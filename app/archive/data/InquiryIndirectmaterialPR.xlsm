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iliang.zhong\Desktop\"/>
    </mc:Choice>
  </mc:AlternateContent>
  <xr:revisionPtr revIDLastSave="0" documentId="13_ncr:1_{C2D985C5-179A-4964-8463-944D1ECD163E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ummary" sheetId="5" r:id="rId1"/>
    <sheet name="PRBuyer" sheetId="1" r:id="rId2"/>
    <sheet name="Vendor" sheetId="2" r:id="rId3"/>
    <sheet name="Delete PR" sheetId="7" r:id="rId4"/>
    <sheet name="Invalid Vendor" sheetId="10" r:id="rId5"/>
    <sheet name="Price Comparison" sheetId="9" state="hidden" r:id="rId6"/>
    <sheet name="PR" sheetId="8" state="hidden" r:id="rId7"/>
  </sheets>
  <functionGroups builtInGroupCount="19"/>
  <definedNames>
    <definedName name="_xlnm._FilterDatabase" localSheetId="1" hidden="1">PRBuyer!$A$15:$AK$15</definedName>
    <definedName name="Buyer">PRBuyer!$L$2:$M$14</definedName>
    <definedName name="Currency">PRBuyer!$P$2:$Q$14</definedName>
    <definedName name="EUR">Vendor!$V$5</definedName>
    <definedName name="HKD">Vendor!$V$3</definedName>
    <definedName name="KRW">Vendor!$V$4</definedName>
    <definedName name="RMB">Vendor!$V$6</definedName>
    <definedName name="Supplier1">'Price Comparison'!$F$6</definedName>
    <definedName name="Supplier2">'Price Comparison'!$H$6</definedName>
    <definedName name="Supplier3">'Price Comparison'!$J$6</definedName>
    <definedName name="THB">Vendor!$V$7</definedName>
    <definedName name="USD">Vendor!$V$2</definedName>
    <definedName name="xTotal" localSheetId="5">'Price Comparison'!$A$14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" i="1" l="1"/>
  <c r="Q19" i="1"/>
  <c r="S19" i="1" s="1"/>
  <c r="S18" i="1"/>
  <c r="R18" i="1"/>
  <c r="Q18" i="1"/>
  <c r="R17" i="1"/>
  <c r="Q17" i="1"/>
  <c r="S17" i="1" s="1"/>
  <c r="R16" i="1"/>
  <c r="Q16" i="1"/>
  <c r="S16" i="1" s="1"/>
  <c r="A1" i="8"/>
  <c r="A2" i="8"/>
  <c r="H32" i="5" l="1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June FT</author>
  </authors>
  <commentList>
    <comment ref="AC15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**Y 表示确定该条PR记录
**N 表示取消该条PR记录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Li, June FT</author>
  </authors>
  <commentList>
    <comment ref="AC6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**Y 表示确定该条PR记录
**N 表示取消该条PR记录
</t>
        </r>
      </text>
    </comment>
  </commentList>
</comments>
</file>

<file path=xl/sharedStrings.xml><?xml version="1.0" encoding="utf-8"?>
<sst xmlns="http://schemas.openxmlformats.org/spreadsheetml/2006/main" count="2633" uniqueCount="2322">
  <si>
    <t>Currency</t>
  </si>
  <si>
    <t>Rate</t>
  </si>
  <si>
    <t>RMB</t>
  </si>
  <si>
    <t>HKD</t>
  </si>
  <si>
    <t>PR No.</t>
    <phoneticPr fontId="0" type="noConversion"/>
  </si>
  <si>
    <t>EUR</t>
  </si>
  <si>
    <t>OR</t>
  </si>
  <si>
    <t>USD</t>
  </si>
  <si>
    <t>Date From:</t>
  </si>
  <si>
    <t>To:</t>
  </si>
  <si>
    <t>Balance(PR)</t>
  </si>
  <si>
    <t>PO No.</t>
  </si>
  <si>
    <t>Vendor Code</t>
  </si>
  <si>
    <t>Vendor Name</t>
  </si>
  <si>
    <t>Date:</t>
  </si>
  <si>
    <t>PR Summary</t>
  </si>
  <si>
    <t>Facility</t>
  </si>
  <si>
    <t>Dept</t>
  </si>
  <si>
    <t>A/C Code</t>
  </si>
  <si>
    <t>Forecast</t>
  </si>
  <si>
    <t>Order(PR)</t>
  </si>
  <si>
    <t>Order(Receive)</t>
  </si>
  <si>
    <t>Balance(Receive)</t>
  </si>
  <si>
    <t>Dept:</t>
  </si>
  <si>
    <t>PR No.</t>
    <phoneticPr fontId="0" type="noConversion"/>
  </si>
  <si>
    <t>Line</t>
    <phoneticPr fontId="0" type="noConversion"/>
  </si>
  <si>
    <t>Dept.</t>
    <phoneticPr fontId="0" type="noConversion"/>
  </si>
  <si>
    <t>ECI P/N</t>
    <phoneticPr fontId="0" type="noConversion"/>
  </si>
  <si>
    <t>Item Description</t>
    <phoneticPr fontId="0" type="noConversion"/>
  </si>
  <si>
    <t>PR Iss.Date</t>
    <phoneticPr fontId="0" type="noConversion"/>
  </si>
  <si>
    <t>PR initiator</t>
    <phoneticPr fontId="0" type="noConversion"/>
  </si>
  <si>
    <t>Qty.</t>
  </si>
  <si>
    <t>Unit</t>
    <phoneticPr fontId="0" type="noConversion"/>
  </si>
  <si>
    <t>Account No.</t>
    <phoneticPr fontId="0" type="noConversion"/>
  </si>
  <si>
    <t>ACE No.</t>
    <phoneticPr fontId="0" type="noConversion"/>
  </si>
  <si>
    <t>Balance(Delivery)</t>
  </si>
  <si>
    <t>Buyer</t>
    <phoneticPr fontId="0" type="noConversion"/>
  </si>
  <si>
    <t>Currency</t>
    <phoneticPr fontId="0" type="noConversion"/>
  </si>
  <si>
    <t>Unit price</t>
    <phoneticPr fontId="0" type="noConversion"/>
  </si>
  <si>
    <t>Unit Price($)</t>
    <phoneticPr fontId="0" type="noConversion"/>
  </si>
  <si>
    <t>Amount</t>
  </si>
  <si>
    <t>Amount($)</t>
  </si>
  <si>
    <t>PR Rec. Date</t>
    <phoneticPr fontId="0" type="noConversion"/>
  </si>
  <si>
    <t>PR App.Date</t>
    <phoneticPr fontId="0" type="noConversion"/>
  </si>
  <si>
    <t>Vendor</t>
  </si>
  <si>
    <t>Vendor name</t>
    <phoneticPr fontId="0" type="noConversion"/>
  </si>
  <si>
    <t>PO date</t>
  </si>
  <si>
    <t>ETA Month</t>
    <phoneticPr fontId="0" type="noConversion"/>
  </si>
  <si>
    <t>ETA</t>
  </si>
  <si>
    <t>Remark</t>
    <phoneticPr fontId="0" type="noConversion"/>
  </si>
  <si>
    <t>Sts</t>
    <phoneticPr fontId="0" type="noConversion"/>
  </si>
  <si>
    <t>Current.Sts</t>
  </si>
  <si>
    <t>Eroor</t>
    <phoneticPr fontId="0" type="noConversion"/>
  </si>
  <si>
    <t>Buyer:</t>
  </si>
  <si>
    <t>KRW</t>
    <phoneticPr fontId="224" type="noConversion"/>
  </si>
  <si>
    <r>
      <t>Purchase Requisition (</t>
    </r>
    <r>
      <rPr>
        <b/>
        <sz val="16"/>
        <rFont val="宋体"/>
        <family val="3"/>
        <charset val="134"/>
      </rPr>
      <t>请购单）</t>
    </r>
  </si>
  <si>
    <t>Dept.</t>
  </si>
  <si>
    <t xml:space="preserve">Issuing Date </t>
  </si>
  <si>
    <t>Initiator</t>
  </si>
  <si>
    <t>User</t>
  </si>
  <si>
    <t>PR No.</t>
    <phoneticPr fontId="223" type="noConversion"/>
  </si>
  <si>
    <t>ACE No.</t>
  </si>
  <si>
    <t>PO No.</t>
    <phoneticPr fontId="223" type="noConversion"/>
  </si>
  <si>
    <t xml:space="preserve">Sourcing </t>
  </si>
  <si>
    <t>Sourcing Rec. Date</t>
    <phoneticPr fontId="223" type="noConversion"/>
  </si>
  <si>
    <t>Buyer</t>
    <phoneticPr fontId="223" type="noConversion"/>
  </si>
  <si>
    <t>Sourcing</t>
    <phoneticPr fontId="223" type="noConversion"/>
  </si>
  <si>
    <t>Iterm</t>
  </si>
  <si>
    <t>ECI P/N</t>
  </si>
  <si>
    <t>Commodity</t>
    <phoneticPr fontId="223" type="noConversion"/>
  </si>
  <si>
    <t>Quantity</t>
    <phoneticPr fontId="223" type="noConversion"/>
  </si>
  <si>
    <t>Unit</t>
    <phoneticPr fontId="223" type="noConversion"/>
  </si>
  <si>
    <t xml:space="preserve">Used for </t>
    <phoneticPr fontId="223" type="noConversion"/>
  </si>
  <si>
    <t>Estimate Cost</t>
    <phoneticPr fontId="223" type="noConversion"/>
  </si>
  <si>
    <t>Expect Date</t>
    <phoneticPr fontId="223" type="noConversion"/>
  </si>
  <si>
    <t>Consumption Rate</t>
    <phoneticPr fontId="223" type="noConversion"/>
  </si>
  <si>
    <t>Stock QTY</t>
    <phoneticPr fontId="223" type="noConversion"/>
  </si>
  <si>
    <t>A/C Code</t>
    <phoneticPr fontId="223" type="noConversion"/>
  </si>
  <si>
    <t>Promised Date</t>
    <phoneticPr fontId="223" type="noConversion"/>
  </si>
  <si>
    <t>Balance Budget</t>
  </si>
  <si>
    <t>Recommended vendor</t>
  </si>
  <si>
    <t xml:space="preserve">Approved By: </t>
    <phoneticPr fontId="223" type="noConversion"/>
  </si>
  <si>
    <t xml:space="preserve">          Department Manager</t>
    <phoneticPr fontId="223" type="noConversion"/>
  </si>
  <si>
    <t>Finance Director</t>
    <phoneticPr fontId="223" type="noConversion"/>
  </si>
  <si>
    <t>Final Approve</t>
    <phoneticPr fontId="223" type="noConversion"/>
  </si>
  <si>
    <t>Price($)</t>
    <phoneticPr fontId="224" type="noConversion"/>
  </si>
  <si>
    <t>Amount($)</t>
    <phoneticPr fontId="224" type="noConversion"/>
  </si>
  <si>
    <t>Balance($)</t>
    <phoneticPr fontId="224" type="noConversion"/>
  </si>
  <si>
    <t>WH</t>
    <phoneticPr fontId="0" type="noConversion"/>
  </si>
  <si>
    <t>ETA Month</t>
    <phoneticPr fontId="0" type="noConversion"/>
  </si>
  <si>
    <t>ETA</t>
    <phoneticPr fontId="0" type="noConversion"/>
  </si>
  <si>
    <r>
      <t>B</t>
    </r>
    <r>
      <rPr>
        <sz val="11"/>
        <color theme="1"/>
        <rFont val="Calibri"/>
        <family val="2"/>
      </rPr>
      <t>uyer</t>
    </r>
    <phoneticPr fontId="224" type="noConversion"/>
  </si>
  <si>
    <r>
      <t>B</t>
    </r>
    <r>
      <rPr>
        <sz val="11"/>
        <color theme="1"/>
        <rFont val="Calibri"/>
        <family val="2"/>
      </rPr>
      <t>uyer Code</t>
    </r>
    <phoneticPr fontId="224" type="noConversion"/>
  </si>
  <si>
    <t>PO No.</t>
    <phoneticPr fontId="0" type="noConversion"/>
  </si>
  <si>
    <t>PO date</t>
    <phoneticPr fontId="0" type="noConversion"/>
  </si>
  <si>
    <t>PR Rec. Date</t>
    <phoneticPr fontId="0" type="noConversion"/>
  </si>
  <si>
    <t>Usefor</t>
    <phoneticPr fontId="0" type="noConversion"/>
  </si>
  <si>
    <t>Expect Date</t>
    <phoneticPr fontId="0" type="noConversion"/>
  </si>
  <si>
    <t>User</t>
    <phoneticPr fontId="223" type="noConversion"/>
  </si>
  <si>
    <t>Ship Term: DDP</t>
    <phoneticPr fontId="240" type="noConversion"/>
  </si>
  <si>
    <t>Unit</t>
    <phoneticPr fontId="240" type="noConversion"/>
  </si>
  <si>
    <t>QTY</t>
    <phoneticPr fontId="240" type="noConversion"/>
  </si>
  <si>
    <t>Remark</t>
    <phoneticPr fontId="240" type="noConversion"/>
  </si>
  <si>
    <t>Final Selected</t>
    <phoneticPr fontId="240" type="noConversion"/>
  </si>
  <si>
    <t xml:space="preserve">Approved By: </t>
    <phoneticPr fontId="240" type="noConversion"/>
  </si>
  <si>
    <t>User Department</t>
    <phoneticPr fontId="240" type="noConversion"/>
  </si>
  <si>
    <t xml:space="preserve">Function Director </t>
    <phoneticPr fontId="240" type="noConversion"/>
  </si>
  <si>
    <t>Price comparison</t>
    <phoneticPr fontId="224" type="noConversion"/>
  </si>
  <si>
    <t>line</t>
    <phoneticPr fontId="224" type="noConversion"/>
  </si>
  <si>
    <t>prod</t>
    <phoneticPr fontId="224" type="noConversion"/>
  </si>
  <si>
    <t>pdesc</t>
    <phoneticPr fontId="224" type="noConversion"/>
  </si>
  <si>
    <t>punit</t>
    <phoneticPr fontId="224" type="noConversion"/>
  </si>
  <si>
    <t>qty</t>
    <phoneticPr fontId="224" type="noConversion"/>
  </si>
  <si>
    <t>pvendor</t>
    <phoneticPr fontId="224" type="noConversion"/>
  </si>
  <si>
    <t>name</t>
    <phoneticPr fontId="224" type="noConversion"/>
  </si>
  <si>
    <t>remark</t>
    <phoneticPr fontId="224" type="noConversion"/>
  </si>
  <si>
    <t>price</t>
    <phoneticPr fontId="224" type="noConversion"/>
  </si>
  <si>
    <t>Currency</t>
    <phoneticPr fontId="224" type="noConversion"/>
  </si>
  <si>
    <t>USD</t>
    <phoneticPr fontId="224" type="noConversion"/>
  </si>
  <si>
    <t>HKD</t>
    <phoneticPr fontId="224" type="noConversion"/>
  </si>
  <si>
    <t>KRW</t>
    <phoneticPr fontId="224" type="noConversion"/>
  </si>
  <si>
    <t>EUR</t>
    <phoneticPr fontId="224" type="noConversion"/>
  </si>
  <si>
    <t>flag</t>
    <phoneticPr fontId="224" type="noConversion"/>
  </si>
  <si>
    <t>cur</t>
    <phoneticPr fontId="224" type="noConversion"/>
  </si>
  <si>
    <t>RMB</t>
    <phoneticPr fontId="224" type="noConversion"/>
  </si>
  <si>
    <t xml:space="preserve">Approved By:PUR </t>
    <phoneticPr fontId="240" type="noConversion"/>
  </si>
  <si>
    <r>
      <t>Purchase Price Compare List (</t>
    </r>
    <r>
      <rPr>
        <b/>
        <sz val="16"/>
        <rFont val="宋体"/>
        <family val="3"/>
        <charset val="134"/>
      </rPr>
      <t>采购比价清单）</t>
    </r>
    <phoneticPr fontId="240" type="noConversion"/>
  </si>
  <si>
    <t>Total :</t>
    <phoneticPr fontId="240" type="noConversion"/>
  </si>
  <si>
    <t>Selected By :</t>
    <phoneticPr fontId="224" type="noConversion"/>
  </si>
  <si>
    <t>Cur: RMB (EX VAT)</t>
    <phoneticPr fontId="240" type="noConversion"/>
  </si>
  <si>
    <t>ZXL</t>
    <phoneticPr fontId="224" type="noConversion"/>
  </si>
  <si>
    <t>Attach</t>
  </si>
  <si>
    <t>ME</t>
  </si>
  <si>
    <t>IN6168</t>
  </si>
  <si>
    <t>PROD</t>
  </si>
  <si>
    <t>IN6009</t>
  </si>
  <si>
    <t>HR</t>
  </si>
  <si>
    <t>IN6138</t>
  </si>
  <si>
    <t>IN6166</t>
  </si>
  <si>
    <t>IN6172</t>
  </si>
  <si>
    <t>IN6192</t>
  </si>
  <si>
    <t>IN6171</t>
  </si>
  <si>
    <t>HZ</t>
  </si>
  <si>
    <t>FIN</t>
  </si>
  <si>
    <t>IN9100</t>
  </si>
  <si>
    <t>IN6109</t>
  </si>
  <si>
    <t>IN6204</t>
  </si>
  <si>
    <t>IN5138</t>
  </si>
  <si>
    <t>IN6191</t>
  </si>
  <si>
    <t>IN6130</t>
  </si>
  <si>
    <t>IN6193</t>
  </si>
  <si>
    <t>IN6184</t>
  </si>
  <si>
    <t>IN6175</t>
  </si>
  <si>
    <t>IN1298</t>
  </si>
  <si>
    <t>IN1661</t>
  </si>
  <si>
    <t>IT</t>
  </si>
  <si>
    <t>IN6182</t>
  </si>
  <si>
    <t>IN6177</t>
  </si>
  <si>
    <t>QA</t>
  </si>
  <si>
    <t>IN6180</t>
  </si>
  <si>
    <t>IN1303</t>
  </si>
  <si>
    <t>SC</t>
  </si>
  <si>
    <t>IN6169</t>
  </si>
  <si>
    <t>Vendor Code</t>
    <phoneticPr fontId="224" type="noConversion"/>
  </si>
  <si>
    <t>Error</t>
    <phoneticPr fontId="224" type="noConversion"/>
  </si>
  <si>
    <t>增加(Y)?</t>
    <phoneticPr fontId="224" type="noConversion"/>
  </si>
  <si>
    <t>删除(Y)?</t>
    <phoneticPr fontId="224" type="noConversion"/>
  </si>
  <si>
    <t>Y</t>
    <phoneticPr fontId="224" type="noConversion"/>
  </si>
  <si>
    <t>Y</t>
    <phoneticPr fontId="224" type="noConversion"/>
  </si>
  <si>
    <t>WebLink</t>
    <phoneticPr fontId="224" type="noConversion"/>
  </si>
  <si>
    <t>PO Line</t>
    <phoneticPr fontId="224" type="noConversion"/>
  </si>
  <si>
    <t>注：如果要用惠州的供应下泰国PR，请将B2单元格的PR no.手动改成HZ字样</t>
    <phoneticPr fontId="224" type="noConversion"/>
  </si>
  <si>
    <t>H41</t>
  </si>
  <si>
    <t>H46</t>
  </si>
  <si>
    <t>Outside P/O</t>
  </si>
  <si>
    <t>Due Date</t>
  </si>
  <si>
    <t>MDY</t>
  </si>
  <si>
    <t>PO price</t>
  </si>
  <si>
    <t>Curr.</t>
  </si>
  <si>
    <t>PO</t>
  </si>
  <si>
    <t>Line</t>
  </si>
  <si>
    <t>Whs</t>
  </si>
  <si>
    <t>Fac</t>
  </si>
  <si>
    <t>Internal P/O</t>
  </si>
  <si>
    <t>New P/O</t>
  </si>
  <si>
    <t xml:space="preserve"> Flag</t>
  </si>
  <si>
    <t>Unit price</t>
  </si>
  <si>
    <t>Err Msg</t>
  </si>
  <si>
    <t>Buyer Code</t>
  </si>
  <si>
    <t>H73</t>
  </si>
  <si>
    <t>H49</t>
  </si>
  <si>
    <t>H70</t>
  </si>
  <si>
    <t>H48</t>
  </si>
  <si>
    <t>THB</t>
  </si>
  <si>
    <t xml:space="preserve">ECI (HUI ZHOU) COMPANY LIMITED QINGDAO BRANCH     </t>
  </si>
  <si>
    <t xml:space="preserve">ECI (HONG KONG) COMPANY LIMITED                   </t>
  </si>
  <si>
    <t xml:space="preserve">GZ ECI                                            </t>
  </si>
  <si>
    <t xml:space="preserve">ECI (HUI ZHOU) COMPANY LIMITED                    </t>
  </si>
  <si>
    <t xml:space="preserve">Electrical Components International/CO 10         </t>
  </si>
  <si>
    <t xml:space="preserve">Dongguan Salipt Co., Ltd.                         </t>
  </si>
  <si>
    <t xml:space="preserve">Huaxia Yongle Tape Co., Ltd.                      </t>
  </si>
  <si>
    <t xml:space="preserve">Certoplast(Suzhou) Co., Ltd.                      </t>
  </si>
  <si>
    <t xml:space="preserve">Xiamen Xinhongzhou Precision Technology Co., Ltd. </t>
  </si>
  <si>
    <t xml:space="preserve">LEONI Cable(China) Co., Ltd.                      </t>
  </si>
  <si>
    <t xml:space="preserve">Xiamen Tangyu Electronic Materials Co., Ltd       </t>
  </si>
  <si>
    <t xml:space="preserve">Xiamen Maihua Rubber Products Co., LTD.           </t>
  </si>
  <si>
    <t xml:space="preserve">DongGuan Hu Lane  PuGuang  Trading  Co., Ltd.     </t>
  </si>
  <si>
    <t xml:space="preserve">GEM Terminal Ind.Co.,Ltd                          </t>
  </si>
  <si>
    <t xml:space="preserve">SAN KAI INDUSTRIAL CO., LTD                       </t>
  </si>
  <si>
    <t xml:space="preserve">TE Connectivity HK Limited                        </t>
  </si>
  <si>
    <t xml:space="preserve">Senko Advanced Components (HK) Ltd.               </t>
  </si>
  <si>
    <t xml:space="preserve">Hakuto Enterprises Ltd.                           </t>
  </si>
  <si>
    <t>HellermannTyton ( Wuxi) Electrical Accessories Co,</t>
  </si>
  <si>
    <t xml:space="preserve">K.S Terminals Inc.                                </t>
  </si>
  <si>
    <t xml:space="preserve">Fuzhou Fuqiang Precision Co., Ltd.                </t>
  </si>
  <si>
    <t xml:space="preserve">Kawasho Co.,Ltd                                   </t>
  </si>
  <si>
    <t xml:space="preserve">Xiamen Xinchengda Electric Co., Ltd.              </t>
  </si>
  <si>
    <t xml:space="preserve">Dongguan Jin Hui Terminal Co., Ltd                </t>
  </si>
  <si>
    <t xml:space="preserve">Xiamen Gangguang Plastic Industry Co. LTD         </t>
  </si>
  <si>
    <t xml:space="preserve">Xiamen Shuangjian Trading Co., Ltd.               </t>
  </si>
  <si>
    <t xml:space="preserve">Qingdao Kakoo International Business Co.,Ltd.     </t>
  </si>
  <si>
    <t xml:space="preserve">Chengmao Electron (Tianjin) Co., Ltd.             </t>
  </si>
  <si>
    <t xml:space="preserve">Hong kong mansion enterprises Limited             </t>
  </si>
  <si>
    <t xml:space="preserve">Xiamen Boxinyuan Industry and Trade Co. LTD       </t>
  </si>
  <si>
    <t xml:space="preserve">DB Fasterners (China) Ltd.                        </t>
  </si>
  <si>
    <t xml:space="preserve">Suzhou GEM Opto-electronics Terminal Co., Ltd.    </t>
  </si>
  <si>
    <t xml:space="preserve">Double Feather Electronics (Suzhou) Co., LTD      </t>
  </si>
  <si>
    <t xml:space="preserve">Heilind Asia Pacific(HK)Limited                   </t>
  </si>
  <si>
    <t xml:space="preserve">Wenzhou Lianyi Wire Harness Tape Co.,ltd          </t>
  </si>
  <si>
    <t xml:space="preserve">Dongguan Selittel Fuses MFG Co., Ltd.             </t>
  </si>
  <si>
    <t xml:space="preserve">FC DYNAMICS Limited                               </t>
  </si>
  <si>
    <t xml:space="preserve">LTK Electric Wire (Huizhou) Ltd.                  </t>
  </si>
  <si>
    <t xml:space="preserve">Shanghai Qinguang Industrial Co., LTD             </t>
  </si>
  <si>
    <t xml:space="preserve">Xiamen Hung's Enterprise Co., Ltd.                </t>
  </si>
  <si>
    <t xml:space="preserve">XIAMEN GAODIKE EL CTRONICS INDUSTRY CO.,LTD       </t>
  </si>
  <si>
    <t xml:space="preserve">Sumiden International Trading(Shanghai) Co.,Ltd   </t>
  </si>
  <si>
    <t xml:space="preserve">Xiamen Hongluhua Precision Technology Co.,Ltd     </t>
  </si>
  <si>
    <t xml:space="preserve">SHANGHAI FC DYNAMICS CO.,LTD                      </t>
  </si>
  <si>
    <t xml:space="preserve">Tianjin Elpis Technology Co.,Ltd.                 </t>
  </si>
  <si>
    <t xml:space="preserve">Xiamen Xinjude Technology Co., LTD                </t>
  </si>
  <si>
    <t xml:space="preserve">Jiansu shenyun string and belt CO.LTD             </t>
  </si>
  <si>
    <t xml:space="preserve">Dongguan Weiteng Electronics Co., Ltd.            </t>
  </si>
  <si>
    <t xml:space="preserve">Shanghai TTI Electronics Co., Ltd                 </t>
  </si>
  <si>
    <t xml:space="preserve">Shenzhen Fuchanglong Packing Material Co. , Ltd.  </t>
  </si>
  <si>
    <t xml:space="preserve">Megaca Electronics Co., Limited                   </t>
  </si>
  <si>
    <t xml:space="preserve">Fair-Rite Asia Pte Ltd                            </t>
  </si>
  <si>
    <t xml:space="preserve">WPI INTERNATIONAL (HK) LTD                        </t>
  </si>
  <si>
    <t xml:space="preserve">Kunshan Qianjin Electronics Co., Ltd.             </t>
  </si>
  <si>
    <t>Shanghai Kingroad Electronics Technology Co., Ltd.</t>
  </si>
  <si>
    <t xml:space="preserve">Dongguan Hang Yuan Electronics Technology Co.,Ltd </t>
  </si>
  <si>
    <t xml:space="preserve">GREAT SAINT (H.K) COMPANY LIMITED                 </t>
  </si>
  <si>
    <t xml:space="preserve">CVILUX Technology（shenzhen) Limited              </t>
  </si>
  <si>
    <t xml:space="preserve">ECI(Hong Kong)Company Limited                     </t>
  </si>
  <si>
    <t xml:space="preserve">Shanghai WKK Plastic Products Co., Ltd.           </t>
  </si>
  <si>
    <t xml:space="preserve">Guangdong Hongru Technology Co., Ltd              </t>
  </si>
  <si>
    <t xml:space="preserve">Changzhou Yongle Adhesive Products Co. LTD        </t>
  </si>
  <si>
    <t xml:space="preserve">FCI PRC LTD                                       </t>
  </si>
  <si>
    <t xml:space="preserve">Kunsan Leibao Electronics Co., Ltd                </t>
  </si>
  <si>
    <t xml:space="preserve">Fujian Tesu Industry and Trade Co., Ltd.          </t>
  </si>
  <si>
    <t>Fuzhou HuaXiaYongChang Adhesive Products Co., Ltd.</t>
  </si>
  <si>
    <t xml:space="preserve">Tyco Electronics (Shanghai) Co., Ltd.             </t>
  </si>
  <si>
    <t xml:space="preserve">XIAMEN DEVON PLASTICS INDUSTRY CO., LTD.          </t>
  </si>
  <si>
    <t xml:space="preserve">Shenzhen Ao Lian Electronics Co., LTD             </t>
  </si>
  <si>
    <t xml:space="preserve">Beijing Jingbei Tongyu electronicCO; LTD          </t>
  </si>
  <si>
    <t xml:space="preserve">ICkey （Shanghai）Internet and Technology Co.     </t>
  </si>
  <si>
    <t xml:space="preserve">Xiamen Bozhan Technology co.,ltd.                 </t>
  </si>
  <si>
    <t xml:space="preserve">Beijing Weipeng Huaying Electronics Co., LTD      </t>
  </si>
  <si>
    <t xml:space="preserve">Xiamen Sihongte Electronic Technology Co., LTD    </t>
  </si>
  <si>
    <t xml:space="preserve">Gecko (Xiamen) Packaging Co., LTD                 </t>
  </si>
  <si>
    <t xml:space="preserve">Huashicheng Intelligent Technology Co., LTD       </t>
  </si>
  <si>
    <t xml:space="preserve">Xiamen Taisheng Testing Equipment Co. LTD         </t>
  </si>
  <si>
    <t xml:space="preserve">East Arsenic mechanical and electrical equipment  </t>
  </si>
  <si>
    <t xml:space="preserve">Xiamen Yunheng Industry and Trade Co. LTD         </t>
  </si>
  <si>
    <t xml:space="preserve">Xiamen Tianyang Industry and Trade Co. LTD        </t>
  </si>
  <si>
    <t xml:space="preserve">Dongguan Julun Machinery Co. LTD                  </t>
  </si>
  <si>
    <t xml:space="preserve">Coumax Precision Machinery (Shanghai) Co., LTD    </t>
  </si>
  <si>
    <t xml:space="preserve">Xiamen Weimeiyi Furniture Co., LTD                </t>
  </si>
  <si>
    <t xml:space="preserve">Shanghai Taihua Freight Agency Co., LTD.          </t>
  </si>
  <si>
    <t xml:space="preserve">Credit Investment Freight Forwarding Co. LTD      </t>
  </si>
  <si>
    <t xml:space="preserve">Xiamen Jinbaorui Customs Clearance Co. LTD        </t>
  </si>
  <si>
    <t xml:space="preserve">Huada Zhou (Xiamen) International Logistics       </t>
  </si>
  <si>
    <t xml:space="preserve">Shanghai Solu Precision Instrument Co., LTD       </t>
  </si>
  <si>
    <t xml:space="preserve">Xiamen Xingdaosheng Electronic Technology Co. LTD </t>
  </si>
  <si>
    <t xml:space="preserve">Taimede (Xiamen) Intelligent Technology Co., LTD  </t>
  </si>
  <si>
    <t xml:space="preserve">Xiamen Yanet Automation Equipment Co. LTD         </t>
  </si>
  <si>
    <t xml:space="preserve">Dongguan Zanyang Machinery Co., LTD               </t>
  </si>
  <si>
    <t xml:space="preserve">Quanzhou Zhengqida Electromechanical              </t>
  </si>
  <si>
    <t xml:space="preserve">Guangdong Bishi Technology Co., LTD               </t>
  </si>
  <si>
    <t xml:space="preserve">Ningbo Hongsheng Intelligent Technology Co., LTD  </t>
  </si>
  <si>
    <t xml:space="preserve">Xiamen Haixing Automation Equipment Co., LTD      </t>
  </si>
  <si>
    <t xml:space="preserve">Xiamen Yikai Electronic Technology Co., LTD       </t>
  </si>
  <si>
    <t xml:space="preserve">Orca (Suzhou) Industrial Technology Co., LTD      </t>
  </si>
  <si>
    <t xml:space="preserve">Xiamen Dongxinsheng Industry and Trade Co., LTD   </t>
  </si>
  <si>
    <t xml:space="preserve">Xiamen ten Tong industry and trade Co., LTD       </t>
  </si>
  <si>
    <t xml:space="preserve">Gaojieke (Xiamen) Packaging Co., LTD              </t>
  </si>
  <si>
    <t xml:space="preserve">Xiamen Runyu Plastic Mould CO.,LTD                </t>
  </si>
  <si>
    <t>Xiamen Tongan District Yibaijia machinery equipmen</t>
  </si>
  <si>
    <t xml:space="preserve">Shanghai Shoufeng Precision instrument Co., Ltd.  </t>
  </si>
  <si>
    <t>Xiamen Ming Sheng Xing Packaging Products Co., LTD</t>
  </si>
  <si>
    <t>Dongguan Houjie Yongjun Hardware Machinery Busines</t>
  </si>
  <si>
    <t xml:space="preserve">Xiamen Jiebao Air Compression Equipment Co., Ltd  </t>
  </si>
  <si>
    <t xml:space="preserve">ALLPORT CARGO SERVICES(THAILAND)CO LTD            </t>
  </si>
  <si>
    <t xml:space="preserve">TE CONNECTIVITY HK LIMITED                        </t>
  </si>
  <si>
    <t xml:space="preserve">NGAI HING HONG PLASTIC MATERIALS (HONG KONG)LTD   </t>
  </si>
  <si>
    <t xml:space="preserve">MOLEX HK CHINA LTD.                               </t>
  </si>
  <si>
    <t xml:space="preserve">J.S.T.MFG.CO.,LTD.                                </t>
  </si>
  <si>
    <t xml:space="preserve">UL GmbH                                           </t>
  </si>
  <si>
    <t xml:space="preserve">TEXTAPE INC                                       </t>
  </si>
  <si>
    <t>Guangzhou Baohing Electric Wire &amp; Cable Manufactur</t>
  </si>
  <si>
    <t xml:space="preserve">STOCKO CONTACT GMBH &amp; CO.KG                       </t>
  </si>
  <si>
    <t xml:space="preserve">OHM CO.,LTD                                       </t>
  </si>
  <si>
    <t xml:space="preserve">UL GMBH                                           </t>
  </si>
  <si>
    <t xml:space="preserve">GOLDEM PAPER CO.,LTD                              </t>
  </si>
  <si>
    <t xml:space="preserve">KPM Manufacturing Co., Ltd.                       </t>
  </si>
  <si>
    <t xml:space="preserve">Zhong Fang Packing (Thailand) Co., Ltd.           </t>
  </si>
  <si>
    <t xml:space="preserve">F.T. Industrial Supplies (Thailand) Co.,Ltd.      </t>
  </si>
  <si>
    <t xml:space="preserve">C and T Inter Service Co., Ltd.                   </t>
  </si>
  <si>
    <t xml:space="preserve">CN LOGISTICS(THALAND) CO,.LTD                     </t>
  </si>
  <si>
    <t xml:space="preserve">TEMPORARY SUPPLIER                                </t>
  </si>
  <si>
    <t xml:space="preserve">TEMPORARY SUPPLIER - USD                          </t>
  </si>
  <si>
    <t xml:space="preserve">ECI (HUIZHOU) Company Limited                     </t>
  </si>
  <si>
    <t xml:space="preserve">TS. Well Supply Limited Partnership               </t>
  </si>
  <si>
    <t xml:space="preserve">Nakorn Engineering &amp; Supply Co.,Ltd               </t>
  </si>
  <si>
    <t xml:space="preserve">Shini Plastics Technologies (Thailand) Co.Ltd     </t>
  </si>
  <si>
    <t xml:space="preserve">ONEWAY CONSTRUCTION (THAILAND) CO.,LTD.           </t>
  </si>
  <si>
    <t xml:space="preserve">YUSHI GROUP CO.,LTD.                              </t>
  </si>
  <si>
    <t xml:space="preserve">CLS Corporation Co., Ltd.                         </t>
  </si>
  <si>
    <t xml:space="preserve">The Practical Solution Public Company Limited     </t>
  </si>
  <si>
    <t xml:space="preserve">Ferric (Thailand) Co., Ltd                        </t>
  </si>
  <si>
    <t xml:space="preserve">THE GOODWILL CO.,LTD.                             </t>
  </si>
  <si>
    <t xml:space="preserve">Pornprasert Re-build Co., Ltd.                    </t>
  </si>
  <si>
    <t xml:space="preserve">AT Industrial Co. Ltd.                            </t>
  </si>
  <si>
    <t xml:space="preserve">First Supply &amp; Service                            </t>
  </si>
  <si>
    <t xml:space="preserve">TIGER SOFT (1998) CO., LTD.                       </t>
  </si>
  <si>
    <t xml:space="preserve">ECI (HUIZHOU) Company Ltd IDM                     </t>
  </si>
  <si>
    <t xml:space="preserve">ECI (HONGKONG) Company Limited                    </t>
  </si>
  <si>
    <t xml:space="preserve">ECI (MEXICO)                                      </t>
  </si>
  <si>
    <t xml:space="preserve">ECI INC.                                          </t>
  </si>
  <si>
    <t xml:space="preserve">ECI (HONGKONG) CO., LTD                           </t>
  </si>
  <si>
    <t xml:space="preserve">AMPHENOL EAST ASIA LIMITED                        </t>
  </si>
  <si>
    <t xml:space="preserve">ARROW COMPONENTS AGENT LTD                        </t>
  </si>
  <si>
    <t xml:space="preserve">CARLTON-BATES COMPANY                             </t>
  </si>
  <si>
    <t xml:space="preserve">CLASSIC COMPONENTS - LOS ANGEL                    </t>
  </si>
  <si>
    <t xml:space="preserve">CONNECT SYSTEMS INT.                              </t>
  </si>
  <si>
    <t xml:space="preserve">DYNAMIC SOURCE PTE LTD(S)                         </t>
  </si>
  <si>
    <t xml:space="preserve">ETCO ENGINEERED PRODUCTS                          </t>
  </si>
  <si>
    <t xml:space="preserve">FCI PRC LIMITED                                   </t>
  </si>
  <si>
    <t xml:space="preserve">FUTURE ELECTRONICS (HK) LTD                       </t>
  </si>
  <si>
    <t xml:space="preserve">EXA THERMOMETRICS INDIA PVT.LTD.,                 </t>
  </si>
  <si>
    <t xml:space="preserve">GRAYLINE INC                                      </t>
  </si>
  <si>
    <t xml:space="preserve">HAKUTO ENTERPRISES LTD                            </t>
  </si>
  <si>
    <t xml:space="preserve">HANG SHING LABEL PRINTING PROD                    </t>
  </si>
  <si>
    <t xml:space="preserve">HEYCO PRODUCTS CORP.                              </t>
  </si>
  <si>
    <t xml:space="preserve">IBS TECHNOLOGY INT'I HK LTD                       </t>
  </si>
  <si>
    <t xml:space="preserve">JOSEFINA ESPERANZA ORDONEZ ROD                    </t>
  </si>
  <si>
    <t xml:space="preserve">LOGISTIC INDUSTRIAL SUPPLY CO.                    </t>
  </si>
  <si>
    <t xml:space="preserve">N.F. SMITH &amp; ASSOCIATES FE LTD                    </t>
  </si>
  <si>
    <t xml:space="preserve">NEW ADVANTAGE CORPORATION                         </t>
  </si>
  <si>
    <t xml:space="preserve">PENT PLASTICS INC                                 </t>
  </si>
  <si>
    <t xml:space="preserve">RAYCHEM (HK) LTD                                  </t>
  </si>
  <si>
    <t xml:space="preserve">ROYAL PLASTICS                                    </t>
  </si>
  <si>
    <t xml:space="preserve">SORENSON LIGHTED CONTROLS, INC                    </t>
  </si>
  <si>
    <t xml:space="preserve">STOCKO ELECTRONICS ASIA PACIFI                    </t>
  </si>
  <si>
    <t xml:space="preserve">TTI ELECTRONICS ASIA PTELTD                       </t>
  </si>
  <si>
    <t xml:space="preserve">WEST COST ENGINEERING                             </t>
  </si>
  <si>
    <t xml:space="preserve">WILLAS-ARRAY ELECTRONICS (HONG KONG)              </t>
  </si>
  <si>
    <t xml:space="preserve">ROKETTO  LIMITED                                  </t>
  </si>
  <si>
    <t xml:space="preserve">ACHIEVA COMPONENTS CHINA LTD                      </t>
  </si>
  <si>
    <t xml:space="preserve">ALLSTAR ELECTRONICS,INC                           </t>
  </si>
  <si>
    <t xml:space="preserve">ANIXTER HONGKONG LIMITED                          </t>
  </si>
  <si>
    <t xml:space="preserve">ASC CAPACITORS                                    </t>
  </si>
  <si>
    <t xml:space="preserve">ATLAS INTERNATIONAL ENTERPRISE                    </t>
  </si>
  <si>
    <t xml:space="preserve">BOURBON PLASTICS INC                              </t>
  </si>
  <si>
    <t xml:space="preserve">GEORGIA GULF CHEMICALS&amp;UINYLS,                    </t>
  </si>
  <si>
    <t xml:space="preserve">HONGKONG NITTAN ELECTRONICS LT                    </t>
  </si>
  <si>
    <t xml:space="preserve">ITT CANNON (HK)/SZ LTD                            </t>
  </si>
  <si>
    <t xml:space="preserve">QIFURUI(H.K.)CO.                                  </t>
  </si>
  <si>
    <t xml:space="preserve">RS COMPONENTS LTD                                 </t>
  </si>
  <si>
    <t xml:space="preserve">CLASSIC COMPONENTS SINGAPORE PTE LTD              </t>
  </si>
  <si>
    <t xml:space="preserve">HONGSHANG HEAT SHRINKABLE MATERIALS CO., LTD.     </t>
  </si>
  <si>
    <t xml:space="preserve">KITAGAWA  INDUSTRIES(H.K)LTD                      </t>
  </si>
  <si>
    <t xml:space="preserve">OKAYA ELECTRIC AMERICA, INC.                      </t>
  </si>
  <si>
    <t xml:space="preserve">Therm-O-Disc(Asia) Limited                        </t>
  </si>
  <si>
    <t xml:space="preserve">COBA ENTERPRISE HONG KONG LTD                     </t>
  </si>
  <si>
    <t xml:space="preserve">INTERNATIONAL WIRE GROUP-INSUL                    </t>
  </si>
  <si>
    <t xml:space="preserve">JUDD WIRE INC                                     </t>
  </si>
  <si>
    <t xml:space="preserve">CAPABLE B.V                                       </t>
  </si>
  <si>
    <t xml:space="preserve">DATAFLEX BVBA                                     </t>
  </si>
  <si>
    <t xml:space="preserve">EVERTRADE MANUFCTURING&amp;TRADING                    </t>
  </si>
  <si>
    <t xml:space="preserve">HIDEC (HK) LTD                                    </t>
  </si>
  <si>
    <t xml:space="preserve">ITW JEMCO                                         </t>
  </si>
  <si>
    <t xml:space="preserve">TAKEISHI OIL&amp;CHEMICAL CO.,LTD                     </t>
  </si>
  <si>
    <t xml:space="preserve">HELLERMANNTYTON PTE LTD.                          </t>
  </si>
  <si>
    <t xml:space="preserve">SPECTRUM CONTROL INC                              </t>
  </si>
  <si>
    <t xml:space="preserve">XB COMPONENTS N.V.                                </t>
  </si>
  <si>
    <t xml:space="preserve">SMITH AND ASSOCIATE                               </t>
  </si>
  <si>
    <t xml:space="preserve">SELECTA ELECTRONICS PTE LTD                       </t>
  </si>
  <si>
    <t xml:space="preserve">VIASYSTEMS MOMMERS BV                             </t>
  </si>
  <si>
    <t xml:space="preserve">FELLOWCOM INDUSTRIAL CO.,LTD                      </t>
  </si>
  <si>
    <t xml:space="preserve">OLYMPIC ELECTRONICS INTERNATIONAL,INC             </t>
  </si>
  <si>
    <t xml:space="preserve">ESSENTRA INTERNATIONAL TRADING(SHANGHAI)CO.,LTD   </t>
  </si>
  <si>
    <t xml:space="preserve">TAY SUH INDUSTRIAL(H.K.)CO.,LTD                   </t>
  </si>
  <si>
    <t xml:space="preserve">OSRAM SYLVANIA INC                                </t>
  </si>
  <si>
    <t xml:space="preserve">MEGA TECHCOM LIMITED                              </t>
  </si>
  <si>
    <t xml:space="preserve">INFINIPUS ENTERPRISES(HK)CO.,LTD                  </t>
  </si>
  <si>
    <t xml:space="preserve">TA SHIN F.R.P.CO.,LTD                             </t>
  </si>
  <si>
    <t xml:space="preserve">FORCE ELECTRONICS, INC                            </t>
  </si>
  <si>
    <t xml:space="preserve">JET-GLORY LIGHTING CO.,LTD.                       </t>
  </si>
  <si>
    <t xml:space="preserve">ITW Appliance Components                          </t>
  </si>
  <si>
    <t xml:space="preserve">TEX YEAR CHEMISTRY INDUSTRY TECHNOLOGY CO.,LTD    </t>
  </si>
  <si>
    <t xml:space="preserve">HONGKONG RESISTORS MANUFACTOR                     </t>
  </si>
  <si>
    <t xml:space="preserve">GEM TERMINAL INDUSTRY CO .,LTD                    </t>
  </si>
  <si>
    <t xml:space="preserve">RICH BRAND INDUSTRIES LIMITED                     </t>
  </si>
  <si>
    <t xml:space="preserve">GLOBAL TECHNOLOGY EXCHANGE LLC                    </t>
  </si>
  <si>
    <t xml:space="preserve">CHE FUNG ENTERPRISE CO.                           </t>
  </si>
  <si>
    <t xml:space="preserve">HUA TUNG CONNECTOR COMPANY LIMITED                </t>
  </si>
  <si>
    <t xml:space="preserve">GE SUPPLY (SHANGHAI)CO.,LTD                       </t>
  </si>
  <si>
    <t xml:space="preserve">INCHANG ELECTRONICS CO.,LTD                       </t>
  </si>
  <si>
    <t xml:space="preserve">MURRAY-BENJAMIN ELECTRIC CO                       </t>
  </si>
  <si>
    <t xml:space="preserve">VTE AUSTRALIA PTY LTD                             </t>
  </si>
  <si>
    <t xml:space="preserve">AITKEN ENTERPRISE LIMITED                         </t>
  </si>
  <si>
    <t xml:space="preserve">MEGA CHOICE LIMITED                               </t>
  </si>
  <si>
    <t xml:space="preserve">POSITRONIC ASIA PTE LTD                           </t>
  </si>
  <si>
    <t xml:space="preserve">FARNELL COMPONENTS (HK) LTD.                      </t>
  </si>
  <si>
    <t xml:space="preserve">SMART ELECTRONICS LTD                             </t>
  </si>
  <si>
    <t xml:space="preserve">UTILUX SOUTH CHINA LTD.                           </t>
  </si>
  <si>
    <t xml:space="preserve">THE LABEL PRINTERS                                </t>
  </si>
  <si>
    <t xml:space="preserve">GROWTRON BUSINESS COMPANY                         </t>
  </si>
  <si>
    <t xml:space="preserve">BAND POWER LIMITED                                </t>
  </si>
  <si>
    <t xml:space="preserve">KUO CHIE PROCISION INDUSTRIAL CO.,LTD             </t>
  </si>
  <si>
    <t xml:space="preserve">JETPRESS LIMITED                                  </t>
  </si>
  <si>
    <t xml:space="preserve">ELECTRONICS FUTURA S.P.A.                         </t>
  </si>
  <si>
    <t xml:space="preserve">TONELUCK INTERNATIONAL INDUSTRIAL LIMITED         </t>
  </si>
  <si>
    <t xml:space="preserve">FURAS, S.A.                                       </t>
  </si>
  <si>
    <t xml:space="preserve">ARROW ELECTRONIC DISTRIBUTION(SHANGHAI)CO.LTD     </t>
  </si>
  <si>
    <t xml:space="preserve">SJ CO., LTD.                                      </t>
  </si>
  <si>
    <t xml:space="preserve">ZF ELECTRONICS ASIA LIMITED                       </t>
  </si>
  <si>
    <t xml:space="preserve">STARION (HZ) ELECTRONICS CO. LTD.                 </t>
  </si>
  <si>
    <t xml:space="preserve">DENETRON INTERNATIONAL LIMITED                    </t>
  </si>
  <si>
    <t xml:space="preserve">WELL SHIN TECHNOLOGY CO., LTD                     </t>
  </si>
  <si>
    <t xml:space="preserve">MONTICELLO SPRING CORPORATION                     </t>
  </si>
  <si>
    <t xml:space="preserve">KENFORD SHIPPING LTD                              </t>
  </si>
  <si>
    <t xml:space="preserve">DUMMY IBM CHINA/HONGKONG LIMITED                  </t>
  </si>
  <si>
    <t xml:space="preserve">DEMO TECHNIC                                      </t>
  </si>
  <si>
    <t xml:space="preserve">CORE SYSTEMS LLC                                  </t>
  </si>
  <si>
    <t xml:space="preserve">HELLON ENTERPRISE (H.K) SHARES CO.,LTD            </t>
  </si>
  <si>
    <t>INTERNATIONAL CONNECTION ASSOCIATES TAIWAN CO. LTD</t>
  </si>
  <si>
    <t xml:space="preserve">SPARK HOLLAND BV                                  </t>
  </si>
  <si>
    <t xml:space="preserve">SEATECH INTERNATIONAL                             </t>
  </si>
  <si>
    <t xml:space="preserve">FORCE ELECTRONICS                                 </t>
  </si>
  <si>
    <t xml:space="preserve">SERENDIPITY ELECTRONICS INC                       </t>
  </si>
  <si>
    <t xml:space="preserve">TECK INTERNATIONL (PTE) LTD                       </t>
  </si>
  <si>
    <t xml:space="preserve">LUMBERG ASIA PACIFIC PTE LTD                      </t>
  </si>
  <si>
    <t xml:space="preserve">MARATHON SPECIAL PRODUCTS                         </t>
  </si>
  <si>
    <t xml:space="preserve">COMTECH INTERNATIONAL (HONG KONG) LIMITED         </t>
  </si>
  <si>
    <t xml:space="preserve">STANDEX ELECTRONICS INC.                          </t>
  </si>
  <si>
    <t xml:space="preserve">ELEC-TRON.INC                                     </t>
  </si>
  <si>
    <t xml:space="preserve">FPG MEXICO S.DE R.L.DE C.V.                       </t>
  </si>
  <si>
    <t xml:space="preserve">POLY VINYL CO., INC                               </t>
  </si>
  <si>
    <t xml:space="preserve">MEASUREMENT SPECIALTIES INC                       </t>
  </si>
  <si>
    <t xml:space="preserve">PARKER HANNIFIN HONG KONG LIMITED                 </t>
  </si>
  <si>
    <t xml:space="preserve">CCL LABEL INC.                                    </t>
  </si>
  <si>
    <t xml:space="preserve">CRESCENT PLASTICS, INC                            </t>
  </si>
  <si>
    <t xml:space="preserve">BURNER SYSTEMS INTERNATIONAL                      </t>
  </si>
  <si>
    <t xml:space="preserve">TOWARDS TECHNOLOGY CO.LIMITED                     </t>
  </si>
  <si>
    <t xml:space="preserve">ALLIANCE ELECTRONICS DISTRIBUTOR                  </t>
  </si>
  <si>
    <t xml:space="preserve">NUMARK INC.                                       </t>
  </si>
  <si>
    <t xml:space="preserve">MLC INTERNATIONAL LIMITED                         </t>
  </si>
  <si>
    <t xml:space="preserve">PARTMINER ASIA LIMITED                            </t>
  </si>
  <si>
    <t xml:space="preserve">MOLEX TRADING (SHANGHAI) LIMITED                  </t>
  </si>
  <si>
    <t xml:space="preserve">SAGER ELECTRONICS                                 </t>
  </si>
  <si>
    <t xml:space="preserve">SENKO ADVANCED COMPONENTS (HK) LTD.               </t>
  </si>
  <si>
    <t xml:space="preserve">DEXTER TECHNOLOGY INC.                            </t>
  </si>
  <si>
    <t xml:space="preserve">SHENZHEN WELLIDA ELECTRONIC CO.LTD.               </t>
  </si>
  <si>
    <t xml:space="preserve">BEST TECH (BVI) CO.LTD                            </t>
  </si>
  <si>
    <t xml:space="preserve">JADERMAR CORPORATION                              </t>
  </si>
  <si>
    <t xml:space="preserve">Mercury Plastics LLC.                             </t>
  </si>
  <si>
    <t xml:space="preserve">WELLS COMPONENTS                                  </t>
  </si>
  <si>
    <t xml:space="preserve">U.S.SENSOR.CORP                                   </t>
  </si>
  <si>
    <t xml:space="preserve">FOF  CORPORATION                                  </t>
  </si>
  <si>
    <t xml:space="preserve">BAOHING ELECTRIC WIRE&amp;CABLE                       </t>
  </si>
  <si>
    <t xml:space="preserve">PIM TECHNOLOGY LTD                                </t>
  </si>
  <si>
    <t xml:space="preserve">SHENZHEN QIFURUI ELECTRONIC CO.,LTD               </t>
  </si>
  <si>
    <t xml:space="preserve">ARROW ELECTRONICS CHINA.LTD                       </t>
  </si>
  <si>
    <t xml:space="preserve">PARTMINER WORLDWIDE INC                           </t>
  </si>
  <si>
    <t xml:space="preserve">MATSUMOTO ELECTRONIC(HK)CO LTD                    </t>
  </si>
  <si>
    <t xml:space="preserve">DA THINK INTERNATIONAL LTD                        </t>
  </si>
  <si>
    <t xml:space="preserve">CW INDUSTRIES                                     </t>
  </si>
  <si>
    <t xml:space="preserve">COPPERFIELD, LLC                                  </t>
  </si>
  <si>
    <t xml:space="preserve">ELECTRICAL COMPONENTS INDIA                       </t>
  </si>
  <si>
    <t xml:space="preserve">GROUP DEKKO,INC                                   </t>
  </si>
  <si>
    <t xml:space="preserve">MACER AUTOMOTIVE SYSTEMS PVT.LTD                  </t>
  </si>
  <si>
    <t xml:space="preserve">MAXMEGA ELECTRONICS CO.LIMITED                    </t>
  </si>
  <si>
    <t xml:space="preserve">SHENZHEN WOER HEAT-SHRINKABLE MATERIAL CO LTD     </t>
  </si>
  <si>
    <t xml:space="preserve">GUANGDONG LINOYA ELECTRONIC CO LTD                </t>
  </si>
  <si>
    <t xml:space="preserve">GUANGDONG SILVER AGE SCI &amp; TECH CO.,LTD           </t>
  </si>
  <si>
    <t xml:space="preserve">HOSHO ELECTRONICS (H.K.) LIMITED                  </t>
  </si>
  <si>
    <t xml:space="preserve">TDK Electronics Hong Kong Limited                 </t>
  </si>
  <si>
    <t xml:space="preserve">SOUTHWIRE OEM DIVISION                            </t>
  </si>
  <si>
    <t xml:space="preserve">GENERAL ELECTRIC(APPLIANCE CONTROL BUSINESS OF GE </t>
  </si>
  <si>
    <t xml:space="preserve">THERM-O-DISC,INC.                                 </t>
  </si>
  <si>
    <t xml:space="preserve">SOLTEAM ELECTRONICS CO.,LTD                       </t>
  </si>
  <si>
    <t xml:space="preserve">CABIND POLSKA SP.Z O.O.                           </t>
  </si>
  <si>
    <t xml:space="preserve">VINCENT INDUSTRIAL PLASTICS,INC.                  </t>
  </si>
  <si>
    <t xml:space="preserve">GOOD LINK ELECTRONICS LTD                         </t>
  </si>
  <si>
    <t xml:space="preserve">YAGEO USA (H.K) LTD                               </t>
  </si>
  <si>
    <t xml:space="preserve">CHINA CONCORD INDUSTRIES LTD                      </t>
  </si>
  <si>
    <t xml:space="preserve">GUANGDONG HUA SHENG ELECTRICAL INDUSTRIAL         </t>
  </si>
  <si>
    <t xml:space="preserve">CHING CHENG WIRE MATERIAL CO.LTD                  </t>
  </si>
  <si>
    <t xml:space="preserve">RADIX WIRE                                        </t>
  </si>
  <si>
    <t xml:space="preserve">SERIAL MICROELECTRONICS(HK)LTD                    </t>
  </si>
  <si>
    <t xml:space="preserve">WAKO ELECTRONICS (USA),INC                        </t>
  </si>
  <si>
    <t xml:space="preserve">ILPEA INDUSTRIES,INC                              </t>
  </si>
  <si>
    <t xml:space="preserve">ILPEA INDUSTRIES,INC.                             </t>
  </si>
  <si>
    <t xml:space="preserve">HONEYWELL LIMITED                                 </t>
  </si>
  <si>
    <t xml:space="preserve">YEONHO ELECTRONICS CO.,LTD                        </t>
  </si>
  <si>
    <t xml:space="preserve">JUNGHYUN LEADING EDGE                             </t>
  </si>
  <si>
    <t xml:space="preserve">ELECTRO INSULATION CORPORATION                    </t>
  </si>
  <si>
    <t xml:space="preserve">KOREA ELECTRIC TERMINAL CO.,LTD                   </t>
  </si>
  <si>
    <t xml:space="preserve">TRANTEK ELECTRONICS CO.,LTD                       </t>
  </si>
  <si>
    <t xml:space="preserve">SENSATA TECHNOLOGY JAPAN LIMITED                  </t>
  </si>
  <si>
    <t xml:space="preserve">REGAL BELIOT                                      </t>
  </si>
  <si>
    <t xml:space="preserve">ULMER GMBH                                        </t>
  </si>
  <si>
    <t xml:space="preserve">THERMTROL ASIA LTD                                </t>
  </si>
  <si>
    <t xml:space="preserve">SONG CHUAN PRECISION CO.,LTD                      </t>
  </si>
  <si>
    <t xml:space="preserve">SLIM SOCIETA LAMPADE INTERRUTTORI MERCURIO S.R.L. </t>
  </si>
  <si>
    <t xml:space="preserve">MERITEK ELECTRONICS CORPORATION-TAIWAN BRANCH     </t>
  </si>
  <si>
    <t xml:space="preserve">JAMAK FABRICATION,INC                             </t>
  </si>
  <si>
    <t xml:space="preserve">RIVER BEND INDUSTRIES,LLC                         </t>
  </si>
  <si>
    <t xml:space="preserve">JEDISON                                           </t>
  </si>
  <si>
    <t xml:space="preserve">TTI ELECTRONICS ASIA PTE LTD                      </t>
  </si>
  <si>
    <t xml:space="preserve">THECONN CO.,LTD                                   </t>
  </si>
  <si>
    <t xml:space="preserve">OMRON ELECTRONIC COMPONENTS (HONG KONG ) LTD      </t>
  </si>
  <si>
    <t xml:space="preserve">ELECTRICAL COMPONENTS INTERNATIONAL SP.ZOO        </t>
  </si>
  <si>
    <t xml:space="preserve">LUMBERG CONNECT GMBH                              </t>
  </si>
  <si>
    <t xml:space="preserve">SUFFICE INDUSTRIAL TECHNOLOGY LIMITED             </t>
  </si>
  <si>
    <t xml:space="preserve">POLYONE (DONGGUAN)VINYL COMPOUNDS CO. LTD.        </t>
  </si>
  <si>
    <t xml:space="preserve">WON-TOP ELCTRONICS CO.,LTD                        </t>
  </si>
  <si>
    <t xml:space="preserve">UNIRISE ELECTRONICS CO.,LTD                       </t>
  </si>
  <si>
    <t xml:space="preserve">TECHFLEX INC                                      </t>
  </si>
  <si>
    <t xml:space="preserve">VABSCO ABS COMPONENTS LTDA                        </t>
  </si>
  <si>
    <t xml:space="preserve">PAC INTERNATIONAL (HK) COMPANY LIMITED            </t>
  </si>
  <si>
    <t xml:space="preserve">ZIPPERTUBING COMPANY                              </t>
  </si>
  <si>
    <t xml:space="preserve">PROCOND ELETTRONICA                               </t>
  </si>
  <si>
    <t xml:space="preserve">VERTELLUS PERFORMATERIALS INS                     </t>
  </si>
  <si>
    <t xml:space="preserve">CABLEX PLASTIK D.O.O                              </t>
  </si>
  <si>
    <t xml:space="preserve">ACOME CO,LTD.                                     </t>
  </si>
  <si>
    <t xml:space="preserve">EISEN ELECTRIC CORP.                              </t>
  </si>
  <si>
    <t xml:space="preserve">INARCA S.P.A.                                     </t>
  </si>
  <si>
    <t xml:space="preserve">AMTEK TECHNOLOGY LTD                              </t>
  </si>
  <si>
    <t xml:space="preserve">AW-TRONICS LTD                                    </t>
  </si>
  <si>
    <t xml:space="preserve">ATOMPLAST INDUSTRIA E COMERCIO DE PLASTICOS LTDA  </t>
  </si>
  <si>
    <t xml:space="preserve">BELLS IND E COMERCIO DE PLASTICOS E METAIS LTDA   </t>
  </si>
  <si>
    <t xml:space="preserve">GMA IND E COMERCIO DE PLASTICOS E METAIS LTDA     </t>
  </si>
  <si>
    <t xml:space="preserve">EXCON TECHNOLOGY COMPANY                          </t>
  </si>
  <si>
    <t xml:space="preserve">D.E.L.M.A.C.SRL                                   </t>
  </si>
  <si>
    <t xml:space="preserve">Triad Components Group,Inc.                       </t>
  </si>
  <si>
    <t xml:space="preserve">COROPLAST FRITZ MULLER GMBH &amp; CO.KG               </t>
  </si>
  <si>
    <t xml:space="preserve">PERENNIAL CABLE (H.K.) LTD.                       </t>
  </si>
  <si>
    <t xml:space="preserve">DRAKA CABLE WUPPERTAL GMBH                        </t>
  </si>
  <si>
    <t xml:space="preserve">KYOSHIN VIETNAM CO.,LTD                           </t>
  </si>
  <si>
    <t xml:space="preserve">ANIXTER HONG KONG LIMITED                         </t>
  </si>
  <si>
    <t xml:space="preserve">BOURBON PLASTICS INDUSTRIES. LLC                  </t>
  </si>
  <si>
    <t xml:space="preserve">HYPER-SENSE TECHNOLOGY CO.,LTD                    </t>
  </si>
  <si>
    <t xml:space="preserve">CYKLOP HONGKONG LIMITED                           </t>
  </si>
  <si>
    <t xml:space="preserve">PERENNIAL CABLE (HK) LIMITED                      </t>
  </si>
  <si>
    <t xml:space="preserve">TRONIFER(HK)LTD                                   </t>
  </si>
  <si>
    <t xml:space="preserve">ELLIOTT TAPE,INC                                  </t>
  </si>
  <si>
    <t xml:space="preserve">SEALCON,LLC                                       </t>
  </si>
  <si>
    <t xml:space="preserve">EVERWORTH HONGKONG LIMITED                        </t>
  </si>
  <si>
    <t xml:space="preserve">ECI SPAIN                                         </t>
  </si>
  <si>
    <t xml:space="preserve">IEWC Southeast Asia Limited                       </t>
  </si>
  <si>
    <t xml:space="preserve">TOHO GLOBAL COMPANY LIMITED                       </t>
  </si>
  <si>
    <t xml:space="preserve">YAZAKI(HONG KONG)LIMITED                          </t>
  </si>
  <si>
    <t xml:space="preserve">JUAN CORPORATION                                  </t>
  </si>
  <si>
    <t xml:space="preserve">ELETECK (HONG KONG)  WIRE&amp;CABLE CO.,LTD           </t>
  </si>
  <si>
    <t xml:space="preserve">WELTEC ENGINEERING &amp; CONSULTANT LTD               </t>
  </si>
  <si>
    <t xml:space="preserve">QUALITY SYNTHETIC RUBBER INC                      </t>
  </si>
  <si>
    <t xml:space="preserve">PAIGE ELECTRIC COMPANY.L.P.                       </t>
  </si>
  <si>
    <t xml:space="preserve">LA MIEUX (KUNSHAN) IMPORT  AND EXPORT CO.LTD      </t>
  </si>
  <si>
    <t xml:space="preserve">EFC INTERNATIONAL                                 </t>
  </si>
  <si>
    <t xml:space="preserve">GOOGOLPLEX ELECTRIC CO LTD                        </t>
  </si>
  <si>
    <t xml:space="preserve">INTEGRITY ELECTRONICS LLC                         </t>
  </si>
  <si>
    <t xml:space="preserve">EY TECHNOLOGIES,DIVISON OF PASCALE INDUSTRIES,INC </t>
  </si>
  <si>
    <t xml:space="preserve">LECO PLASTIC INC                                  </t>
  </si>
  <si>
    <t xml:space="preserve">KNINPPING KUNSTSOFFTECHNIK GESSMANN GMBH          </t>
  </si>
  <si>
    <t xml:space="preserve">HEILIND ASIA PACIFIC(SH)LTD                       </t>
  </si>
  <si>
    <t xml:space="preserve">ICSOSO ELECTRONICS COMPANY LIMITED                </t>
  </si>
  <si>
    <t xml:space="preserve">LEONI KABEL POLSKA SP.Z.O.O                       </t>
  </si>
  <si>
    <t xml:space="preserve">KAI SUH SUH ENTERPRISE CO.,LTD                    </t>
  </si>
  <si>
    <t xml:space="preserve">USE ELECTRONICS(H.K)CO.LTD                        </t>
  </si>
  <si>
    <t xml:space="preserve">EVEREL GROUP SPA                                  </t>
  </si>
  <si>
    <t xml:space="preserve">VOLITION ELECTRONIC(HONGKONG) CO.,LIMITED         </t>
  </si>
  <si>
    <t xml:space="preserve">POWER&amp;SIGNAL GROUP                                </t>
  </si>
  <si>
    <t xml:space="preserve">WAUCONDA TOOL &amp; ENGINEERING,LLC                   </t>
  </si>
  <si>
    <t xml:space="preserve">NTI                                               </t>
  </si>
  <si>
    <t xml:space="preserve">ARFINE ELECTRONICS(HONG KONG) CO.,LIMITED         </t>
  </si>
  <si>
    <t xml:space="preserve">FUSES UNLIMITED                                   </t>
  </si>
  <si>
    <t xml:space="preserve">UT WORLDWIDE SDN.BHD.                             </t>
  </si>
  <si>
    <t xml:space="preserve">WE COMPONENTS(HK)LIMITED                          </t>
  </si>
  <si>
    <t xml:space="preserve">SIGMA TECHNOLOGY INC,.LTD                         </t>
  </si>
  <si>
    <t xml:space="preserve">ITW EF&amp;C US                                       </t>
  </si>
  <si>
    <t xml:space="preserve">RAVENTECH DE MEXICO S DE RL                       </t>
  </si>
  <si>
    <t xml:space="preserve">HOFFER PLASTICS CORP.                             </t>
  </si>
  <si>
    <t xml:space="preserve">SERVICE TOOL&amp;PLASTICS                             </t>
  </si>
  <si>
    <t xml:space="preserve">LAUGHLIN SUPPLY COMPANY                           </t>
  </si>
  <si>
    <t xml:space="preserve">TTI US,INC                                        </t>
  </si>
  <si>
    <t xml:space="preserve">HK JUNCV TECHNOLOGY LIMITED                       </t>
  </si>
  <si>
    <t xml:space="preserve">LOTUS TECHNOLOGY COMPANY LIMITED                  </t>
  </si>
  <si>
    <t xml:space="preserve">SIMAD S.R.L                                       </t>
  </si>
  <si>
    <t xml:space="preserve">TAYLOR COMMUNICATIONS,INC.                        </t>
  </si>
  <si>
    <t xml:space="preserve">MENNEKES ELEKTROTECHNIK GMBH &amp; CO. KG             </t>
  </si>
  <si>
    <t xml:space="preserve">TRAMAR INDUSTRIAL LTDA                            </t>
  </si>
  <si>
    <t xml:space="preserve">CABLENA DO BRASIL LTDA                            </t>
  </si>
  <si>
    <t xml:space="preserve">TAIWAN KINKKI MACHINEREY CO.,LTD                  </t>
  </si>
  <si>
    <t xml:space="preserve">KOREA ELECTRIC TERMINAL CO.,LTD.                  </t>
  </si>
  <si>
    <t xml:space="preserve">WUHAN RYSCHEN CO.LTD                              </t>
  </si>
  <si>
    <t xml:space="preserve">AVNET TECHNOLOGY HONGKONG LTD                     </t>
  </si>
  <si>
    <t xml:space="preserve">AVERY DENNISON (HK)LTD                            </t>
  </si>
  <si>
    <t xml:space="preserve">U-ONE ELECTRONICS CO.,LTD                         </t>
  </si>
  <si>
    <t xml:space="preserve">DONGGUAN LINOYA WIRE CABLE CO.,LTD                </t>
  </si>
  <si>
    <t xml:space="preserve">ELEKTROZUBEHOR SPA                                </t>
  </si>
  <si>
    <t xml:space="preserve">THINKING ELECTRONIC INDUSTRIAL                    </t>
  </si>
  <si>
    <t xml:space="preserve">HUBBELL-TAIAN.,CO.,LTD                            </t>
  </si>
  <si>
    <t xml:space="preserve">FARGO ND ASSEMBLY CO.                             </t>
  </si>
  <si>
    <t xml:space="preserve">HISCO,INC                                         </t>
  </si>
  <si>
    <t xml:space="preserve">WATTERA LLC                                       </t>
  </si>
  <si>
    <t xml:space="preserve">SHANGHAI TAORONG ELECTRICAL CO.,LTD               </t>
  </si>
  <si>
    <t xml:space="preserve">LEAD TECH INDUSTRIAL CORPORATION LIMITED          </t>
  </si>
  <si>
    <t xml:space="preserve">COOPER BUSSMANN LLC                               </t>
  </si>
  <si>
    <t xml:space="preserve">LS CABLE &amp; SYSTEM LTD.                            </t>
  </si>
  <si>
    <t xml:space="preserve">FARGO PA ASSEMBLY.CO                              </t>
  </si>
  <si>
    <t xml:space="preserve">OMRON HONGKONG LIMITED                            </t>
  </si>
  <si>
    <t xml:space="preserve">LEIMEN ENTERPRISES LIMITED                        </t>
  </si>
  <si>
    <t xml:space="preserve">SUZHOU COMP MACHINERY CO.,LTD                     </t>
  </si>
  <si>
    <t xml:space="preserve">CABLEX-T D.O.O                                    </t>
  </si>
  <si>
    <t xml:space="preserve">PLASTIC MOOLDINGS LTO                             </t>
  </si>
  <si>
    <t xml:space="preserve">TDK ELECTRONICS HONG KONG LIMITED                 </t>
  </si>
  <si>
    <t xml:space="preserve">Delta-Q Technologies Corp.                        </t>
  </si>
  <si>
    <t xml:space="preserve">Auto Electro Tecnica,S.A.                         </t>
  </si>
  <si>
    <t xml:space="preserve">LML PRODUCTS LTD                                  </t>
  </si>
  <si>
    <t xml:space="preserve">KAWASHO CO.LTD                                    </t>
  </si>
  <si>
    <t xml:space="preserve">Lintronix Co.,Ltd.                                </t>
  </si>
  <si>
    <t xml:space="preserve">WELLDONE ELECTRONICS(HONG KONG) LIMITED           </t>
  </si>
  <si>
    <t xml:space="preserve">BIZLINK SILITHERM S.R.L.                          </t>
  </si>
  <si>
    <t xml:space="preserve">EIC SEMICONDUCTOR INC.                            </t>
  </si>
  <si>
    <t xml:space="preserve">AOSHIKANG TECHNOLOGY(HONGKONG)CO LTD              </t>
  </si>
  <si>
    <t xml:space="preserve">Chief Enterprises LLC                             </t>
  </si>
  <si>
    <t>Electrical Components International (Thailand) Co.</t>
  </si>
  <si>
    <t xml:space="preserve">Jung Hyun Leading Edge Co.,Ltd                    </t>
  </si>
  <si>
    <t xml:space="preserve">Energy Battery Asia Co. Ltd                       </t>
  </si>
  <si>
    <t xml:space="preserve">Semunscreen                                       </t>
  </si>
  <si>
    <t xml:space="preserve">Aone Company                                      </t>
  </si>
  <si>
    <t xml:space="preserve">Mapro Electronics Limited                         </t>
  </si>
  <si>
    <t xml:space="preserve">ADAM TECH INTL LTD TW. BR                         </t>
  </si>
  <si>
    <t xml:space="preserve">MOXIE INDUCTOR CORPORATION                        </t>
  </si>
  <si>
    <t xml:space="preserve">A-SUNG INVESTMENTS CO., LIMITED                   </t>
  </si>
  <si>
    <t xml:space="preserve">Herth+Buss Fahrzeugteile GmbH &amp; Co. KG            </t>
  </si>
  <si>
    <t xml:space="preserve">Group Dekko, Inc.                                 </t>
  </si>
  <si>
    <t xml:space="preserve">HK J&amp;M INTERNATIONAL CO., LIMITED                 </t>
  </si>
  <si>
    <t xml:space="preserve">CVG SPRAGUE DEVICES LLC                           </t>
  </si>
  <si>
    <t xml:space="preserve">ELUOMENG LIMITED                                  </t>
  </si>
  <si>
    <t xml:space="preserve">ALINABAL INC                                      </t>
  </si>
  <si>
    <t xml:space="preserve">3F ELECTRONICS INDUSTRY CORP.LTD                  </t>
  </si>
  <si>
    <t xml:space="preserve">LTK INTERNATIONAL LIMITED                         </t>
  </si>
  <si>
    <t xml:space="preserve">GUANQUN ELECTRIC APPLIANCE FACTORY                </t>
  </si>
  <si>
    <t xml:space="preserve">3F ELECTRONICS INDUSTRY CORP                      </t>
  </si>
  <si>
    <t xml:space="preserve">GUANGZHOU TACHIBANA ELETRONIE CO.LTD              </t>
  </si>
  <si>
    <t xml:space="preserve">LTK INTERNATIOAL LIMITED                          </t>
  </si>
  <si>
    <t xml:space="preserve">EMERSON ELECTRIC (SHENZHEN) CO.,LTD               </t>
  </si>
  <si>
    <t xml:space="preserve">ECOPOWER INDUSTRIAL LIMITED                       </t>
  </si>
  <si>
    <t xml:space="preserve">SHENZHEN TONGYUAN INDUSTRIAL CO.LTD               </t>
  </si>
  <si>
    <t xml:space="preserve">H.R.SILVINE-CMC CO. LTD                           </t>
  </si>
  <si>
    <t xml:space="preserve">CHAU'S ELECTRICAL CO.,LTD                         </t>
  </si>
  <si>
    <t xml:space="preserve">DONGGUAN HANNSTAR ELECTRONICS CO.LTD              </t>
  </si>
  <si>
    <t xml:space="preserve">DUMMY KWONG FAI TRANSPORTATION CO.                </t>
  </si>
  <si>
    <t>DUMMY THE MOTOR TRANSPORT COMPANY OF GD AND HK LTD</t>
  </si>
  <si>
    <t xml:space="preserve">DUMMY CHINALINK LOGISTICS LTD.                    </t>
  </si>
  <si>
    <t xml:space="preserve">DUMMY KINTETSU WORLD EXPRESS (HK) LIMITED         </t>
  </si>
  <si>
    <t xml:space="preserve">DUMMY PANALPINA CHINA LTD                         </t>
  </si>
  <si>
    <t xml:space="preserve">DUMMY GSE (HK) LIMITED                            </t>
  </si>
  <si>
    <t xml:space="preserve">DUMMY香港珠江货运有限公司                         </t>
  </si>
  <si>
    <t xml:space="preserve">DUMMY SSA GLOBAL TECHNOLOGIES (HK) LIMITED        </t>
  </si>
  <si>
    <t xml:space="preserve">DUMMY CPCNET HONGKONG LIMITED                     </t>
  </si>
  <si>
    <t xml:space="preserve">DUMMY MPC EXPRESS SERVICES LTD.                   </t>
  </si>
  <si>
    <t xml:space="preserve">DUMMY HANJIN LOGISTICS (HK) CO.,LTD.              </t>
  </si>
  <si>
    <t xml:space="preserve">DUMMY GEODIS OVERSEAS LIMITED                     </t>
  </si>
  <si>
    <t xml:space="preserve">DUMMY SDV HONG KONG LTD                           </t>
  </si>
  <si>
    <t xml:space="preserve">DUMMY AMITSU LINE (H.K.) LTD.                     </t>
  </si>
  <si>
    <t xml:space="preserve">DUMMY HSBC INSURANCE (ASIA) LIMITED               </t>
  </si>
  <si>
    <t xml:space="preserve">DUMMY REGENT LABEL &amp; PRINTING CO.                 </t>
  </si>
  <si>
    <t xml:space="preserve">DUMMY MERCER CONSULTING (SHANGHAI) LIMITED        </t>
  </si>
  <si>
    <t xml:space="preserve">DUMMY LLOYD'S REGISTER QUALITY ASSURANCE LIMITED  </t>
  </si>
  <si>
    <t xml:space="preserve">Geon Performance Solutions (Dongguan) Co.,Ltd     </t>
  </si>
  <si>
    <t xml:space="preserve">LYTE INDUSTRIES COMPANY LTD                       </t>
  </si>
  <si>
    <t xml:space="preserve">ELETECK (HUIZHOU)  WIRE&amp;CABLE CO.,LTD             </t>
  </si>
  <si>
    <t xml:space="preserve">YUEN  TAI ELECTRICAL CO.,LTD                      </t>
  </si>
  <si>
    <t xml:space="preserve">SHEN ZHEN LINOYA ELECTRONIC CO.,LTD               </t>
  </si>
  <si>
    <t xml:space="preserve">MAGNETEC (GUANGZHOU)MAGNETIC DECICC CO.,LTD       </t>
  </si>
  <si>
    <t>SNJ INDUSTRIA DE MATERIAIS ELETRICOS E ELETRONICOS</t>
  </si>
  <si>
    <t xml:space="preserve">UTILUX SOUTH CHINA LIMITED                        </t>
  </si>
  <si>
    <t xml:space="preserve">HONGKONG NITTAN ELECTRONICS LIMITED               </t>
  </si>
  <si>
    <t xml:space="preserve">KOMAX SINGAPORE PTE LIMITED                       </t>
  </si>
  <si>
    <t xml:space="preserve">PANDUIT ASIA PACIFIC PTE LTD                      </t>
  </si>
  <si>
    <t xml:space="preserve">RAYCHEM (HK) LIMITED                              </t>
  </si>
  <si>
    <t xml:space="preserve">CHEER MORE LIMITED                                </t>
  </si>
  <si>
    <t xml:space="preserve">DYNALAB, INC.                                     </t>
  </si>
  <si>
    <t xml:space="preserve">MULTIPLAS ENTERPRISE (HK) COMPANY LTD             </t>
  </si>
  <si>
    <t xml:space="preserve">TRONIFER (HK) LIMITED                             </t>
  </si>
  <si>
    <t xml:space="preserve">TGO ELECTRONICS                                   </t>
  </si>
  <si>
    <t xml:space="preserve">FULL INTERNATIONAL (HK) LIMITED                   </t>
  </si>
  <si>
    <t xml:space="preserve">PRACTICAL SOLUTION PTE LIMITED                    </t>
  </si>
  <si>
    <t xml:space="preserve">DOUBLE COMPONENTS COMPANY LIMITED                 </t>
  </si>
  <si>
    <t xml:space="preserve">HEYCO PRODUCTS INC.                               </t>
  </si>
  <si>
    <t xml:space="preserve">MAINWAY ENGINEERING COMPANY                       </t>
  </si>
  <si>
    <t xml:space="preserve">FRITZ AIR FREIGHT (HK) LIMITED                    </t>
  </si>
  <si>
    <t xml:space="preserve">DUMMY BAX GLOBAL LIMITED                          </t>
  </si>
  <si>
    <t xml:space="preserve">DUMMY DHL INTERNATIONAL (HK) LTD                  </t>
  </si>
  <si>
    <t xml:space="preserve">EMERY FORWARDING                                  </t>
  </si>
  <si>
    <t xml:space="preserve">DUMMY EXPEDITORS HONG KONG LIMITED                </t>
  </si>
  <si>
    <t xml:space="preserve">DUMMY GEOLOGISTICS LTD                            </t>
  </si>
  <si>
    <t xml:space="preserve">DUMMY KUEHNE &amp; NAGEL LIMITED                      </t>
  </si>
  <si>
    <t xml:space="preserve">DUMMY SPEEDMARK TRANSPORTATION LTD                </t>
  </si>
  <si>
    <t xml:space="preserve">UPS PARCEL DELIVERY SERVICE LTD                   </t>
  </si>
  <si>
    <t xml:space="preserve">UPS SCS (ASIA) LIMITED                            </t>
  </si>
  <si>
    <t xml:space="preserve">SUN EAST ELECTRONIC EQUIPMENT CO LTD.             </t>
  </si>
  <si>
    <t xml:space="preserve">DUMMY TNT EXPRESS WORLDWIDE (HK) LTD              </t>
  </si>
  <si>
    <t xml:space="preserve">MIRAMAR HOTEL &amp; INVESTMENT LTD                    </t>
  </si>
  <si>
    <t xml:space="preserve">WINFULL INTERNATIONAL TECHNOLOGY LTD              </t>
  </si>
  <si>
    <t xml:space="preserve">VIASYSTEMS HARNESS DIVISION                       </t>
  </si>
  <si>
    <t xml:space="preserve">FARRINGTON AMERICAN EXPRESS TRAVEL                </t>
  </si>
  <si>
    <t xml:space="preserve">HOPE SEA ENTERPRISE CO.                           </t>
  </si>
  <si>
    <t xml:space="preserve">东莞华实连接器件有限公司                          </t>
  </si>
  <si>
    <t xml:space="preserve">LONG TEAM (H.K.) CO. LTD                          </t>
  </si>
  <si>
    <t xml:space="preserve">CL SOLUTIONS (CHINA) LTD.                         </t>
  </si>
  <si>
    <t xml:space="preserve">ART-KO FAR EAST LIMITED                           </t>
  </si>
  <si>
    <t xml:space="preserve">STOCKO ELECTRONICS AP PTE LTD                     </t>
  </si>
  <si>
    <t xml:space="preserve">SCHMIDT &amp; CO., (H.K.) LTD.                        </t>
  </si>
  <si>
    <t xml:space="preserve">LAKES PRECISION INC                               </t>
  </si>
  <si>
    <t xml:space="preserve">MONECO MACHINE COMPANY INC.                       </t>
  </si>
  <si>
    <t xml:space="preserve">GEM TERMINAL IND. CO., LTD.                       </t>
  </si>
  <si>
    <t xml:space="preserve">AUTO ID SOURCE, INC                               </t>
  </si>
  <si>
    <t xml:space="preserve">STANDARD-TECH TESTING SERVICES                    </t>
  </si>
  <si>
    <t xml:space="preserve">TSK TEST SYSTEMS CO.,LTD.                         </t>
  </si>
  <si>
    <t xml:space="preserve">SSA GLOBAL TECHNOLOGIES (HK) LIMITED              </t>
  </si>
  <si>
    <t xml:space="preserve">SDV HONG KONG LTD                                 </t>
  </si>
  <si>
    <t xml:space="preserve">HSBC INSURANCE (ASIA) LIMITED                     </t>
  </si>
  <si>
    <t xml:space="preserve">REGENT LABEL &amp; PRINTING CO.                       </t>
  </si>
  <si>
    <t xml:space="preserve">MERCER CONSULTING (SHANGHAI) LIMITED              </t>
  </si>
  <si>
    <t xml:space="preserve">LLOYD'S REGISTER QUALITY ASSURANCE LIMITED        </t>
  </si>
  <si>
    <t xml:space="preserve">CSA INTERNATIONAL                                 </t>
  </si>
  <si>
    <t xml:space="preserve">IBM CHINA/HONGKONG LIMITED                        </t>
  </si>
  <si>
    <t xml:space="preserve">AXA CHINA REGION TRUSTEES LTD - ELITE MPF         </t>
  </si>
  <si>
    <t xml:space="preserve">ROKETTO LIMITED                                   </t>
  </si>
  <si>
    <t xml:space="preserve">CRIMPING &amp; STAMPING TECHNOLOGIES.INC.             </t>
  </si>
  <si>
    <t xml:space="preserve">MOLEX HK/CHINA LTD.                               </t>
  </si>
  <si>
    <t xml:space="preserve">DONGGUAN HANYANG ELECTRONIC INSTRUMENT CO.,LTD    </t>
  </si>
  <si>
    <t xml:space="preserve">ASSOCIATED RESEARCH.INC.                          </t>
  </si>
  <si>
    <t xml:space="preserve">PRACTICAL SOLUTION PTE. LTD                       </t>
  </si>
  <si>
    <t xml:space="preserve">ACHEM TECHNOLOGY(DONGGUAN) ADHESIVE PRODUCTS LTD  </t>
  </si>
  <si>
    <t xml:space="preserve">D&amp;N TECHNOLOGIES,LLC                              </t>
  </si>
  <si>
    <t xml:space="preserve">SCHAEFER MEGOMAT USA,INC.                         </t>
  </si>
  <si>
    <t xml:space="preserve">KOMAX SINGAPORE PTE LTD                           </t>
  </si>
  <si>
    <t xml:space="preserve">KM CORPORATE SRL UNIPERSONALE,CO.LTD              </t>
  </si>
  <si>
    <t xml:space="preserve">TYCO ELECTRONICS(GER) LTD                         </t>
  </si>
  <si>
    <t xml:space="preserve">INERGY AUTOMOTIVE SYSTEMS FRANCE                  </t>
  </si>
  <si>
    <t xml:space="preserve">INERGY AUTOMOTIVE SYSTEMS(WUHAN)CO.LTD            </t>
  </si>
  <si>
    <t xml:space="preserve">DELPHI PACKARD ELECTRIC SYSTEMS CO.,LTD           </t>
  </si>
  <si>
    <t xml:space="preserve">TRIALON CORPORATION                               </t>
  </si>
  <si>
    <t xml:space="preserve">J.S.T.MFG.CO.,LTD                                 </t>
  </si>
  <si>
    <t xml:space="preserve">DELPHI DEUTSCHLAND GMBH                           </t>
  </si>
  <si>
    <t xml:space="preserve">Tradelink Technologies Ltd                        </t>
  </si>
  <si>
    <t xml:space="preserve">Dynalab Test Systems,Inc.                         </t>
  </si>
  <si>
    <t xml:space="preserve">KWONG FAI TRANSPORTATION CO.                      </t>
  </si>
  <si>
    <t xml:space="preserve">THE MOTOR TRANSPORT COMPANY OF GD AND HK LTD      </t>
  </si>
  <si>
    <t xml:space="preserve">CHINALINK LOGISTICS LTD.                          </t>
  </si>
  <si>
    <t xml:space="preserve">KINTETSU WORLD EXPRESS (HK) LIMITED               </t>
  </si>
  <si>
    <t xml:space="preserve">PANALPINA CHINA LTD                               </t>
  </si>
  <si>
    <t xml:space="preserve">GSE (HK) LIMITED                                  </t>
  </si>
  <si>
    <t xml:space="preserve">香港珠江货运有限公司                              </t>
  </si>
  <si>
    <t xml:space="preserve">BAX GLOBAL LIMITED                                </t>
  </si>
  <si>
    <t xml:space="preserve">DHL INTERNATIONAL (HK) LTD                        </t>
  </si>
  <si>
    <t xml:space="preserve">EXPEDITORS HONG KONG LIMITED                      </t>
  </si>
  <si>
    <t xml:space="preserve">GEOLOGISTICS LTD                                  </t>
  </si>
  <si>
    <t xml:space="preserve">SPEEDMARK TRANSPORTATION LTD                      </t>
  </si>
  <si>
    <t xml:space="preserve">TNT EXPRESS WORLDWIDE (HK) LTD                    </t>
  </si>
  <si>
    <t xml:space="preserve">KUEHNE &amp; NAGEL LIMITED                            </t>
  </si>
  <si>
    <t xml:space="preserve">HANJIN LOGISTICS (HK) CO.,LTD.                    </t>
  </si>
  <si>
    <t xml:space="preserve">MPC EXPRESS SERVICES LTD.                         </t>
  </si>
  <si>
    <t xml:space="preserve">GEODIS OVERSEAS LIMITED                           </t>
  </si>
  <si>
    <t xml:space="preserve">AMITSU LINE (H.K.) LTD.                           </t>
  </si>
  <si>
    <t xml:space="preserve">KERRY LOGISTICS (HONG KONG) LIMITED               </t>
  </si>
  <si>
    <t xml:space="preserve">ELECTRONIC BUSINESS SOLUTIONS LIMITIED            </t>
  </si>
  <si>
    <t xml:space="preserve">SMARTONE MOBILE COMMUNICATIONS LTD                </t>
  </si>
  <si>
    <t xml:space="preserve">HOOAIR INTERNATIONAL TRAVEL LTD.                  </t>
  </si>
  <si>
    <t xml:space="preserve">UNION ENTERPRISES                                 </t>
  </si>
  <si>
    <t xml:space="preserve">HUTCHISON GLOBAL COMMUNICATIONS LIMITED           </t>
  </si>
  <si>
    <t xml:space="preserve">CPCNET HONGKONG LIMITED                           </t>
  </si>
  <si>
    <t xml:space="preserve">UNDERWRITERS LABORATORIES INC.                    </t>
  </si>
  <si>
    <t xml:space="preserve">PCCW-HKT NETWORK SERVICES LIMITED                 </t>
  </si>
  <si>
    <t xml:space="preserve">STANDARD-TECH CO., LTD                            </t>
  </si>
  <si>
    <t xml:space="preserve">KERRY FREIGHT(HONG KONG) LIMITED                  </t>
  </si>
  <si>
    <t xml:space="preserve">INFOR GLOBAL SOLUTIONS( ASIA PACIFFIC )LIMITED    </t>
  </si>
  <si>
    <t xml:space="preserve">DHL GLOBAL FORWARDING(HONGKONG)LTD                </t>
  </si>
  <si>
    <t xml:space="preserve">GEODIS WILSON HONG KONG LTD                       </t>
  </si>
  <si>
    <t>DIMERCO ZHONGJING INT'L EXPRESS CO.LTD.SHENZHEN BR</t>
  </si>
  <si>
    <t xml:space="preserve">CANADIAN STANDARDS ASSOCIATION                    </t>
  </si>
  <si>
    <t xml:space="preserve">GEFCO HONG KONG COMPANY LIMITED                   </t>
  </si>
  <si>
    <t xml:space="preserve">AO FREIGHT (HK) LTD                               </t>
  </si>
  <si>
    <t xml:space="preserve">DHL ISC(HONG KONG)LIMITED                         </t>
  </si>
  <si>
    <t xml:space="preserve">PANMAXX CORPORATE MANAGEMENT LTD                  </t>
  </si>
  <si>
    <t xml:space="preserve">ETI LOGISTICS CO.,LTD                             </t>
  </si>
  <si>
    <t xml:space="preserve">SHENZHEN SOUTH CIMC LOGISTICS CO.,LTD             </t>
  </si>
  <si>
    <t xml:space="preserve">FAIR WIND SECRETARIAL SERVICES LIMITED            </t>
  </si>
  <si>
    <t xml:space="preserve">PHOENIX INTERNATIONAL FREIGHT SERVICES LIMITED    </t>
  </si>
  <si>
    <t xml:space="preserve">KUEHNE&amp;NAGEL LIMITED                              </t>
  </si>
  <si>
    <t xml:space="preserve">FEDERAL EXPRESS (HONG KONG) LTD                   </t>
  </si>
  <si>
    <t xml:space="preserve">SIMBA LOGISTICS (HK) LTD                          </t>
  </si>
  <si>
    <t xml:space="preserve">CMA CGM(HONG KONG)LIMITED                         </t>
  </si>
  <si>
    <t xml:space="preserve">SCAN GLOBAL LOGISTICS, LTD.                       </t>
  </si>
  <si>
    <t xml:space="preserve">JACOBSON GLOBAL LOGISTICS (HONG KONG) LTD.        </t>
  </si>
  <si>
    <t xml:space="preserve">KUEHNE+NAGEL INC.                                 </t>
  </si>
  <si>
    <t>BEIJING KANGJIEKONG INTERNATION CARGO AGENT CO.,LT</t>
  </si>
  <si>
    <t xml:space="preserve">DACHSER SHENZHEN CO.,LTD.                         </t>
  </si>
  <si>
    <t xml:space="preserve">SINOMART TRANSPORT LIMITED                        </t>
  </si>
  <si>
    <t xml:space="preserve">MASTER INTERNATIONAL SHIPPING AGENCY CO.,LTD.     </t>
  </si>
  <si>
    <t xml:space="preserve">CSAV GROUP AGENCIES (HONGKONG) LTD                </t>
  </si>
  <si>
    <t xml:space="preserve">ASIA SHIPPING INTERNATIONALTRANSPORT(SHENZHEN)LTD </t>
  </si>
  <si>
    <t xml:space="preserve">HAPAG-LIOYD(CHINA)SHIPPING LTD                    </t>
  </si>
  <si>
    <t>NINGBO GLOBAL OCEAN INTERNATIONAL LOGISTICS CO.LTD</t>
  </si>
  <si>
    <t xml:space="preserve">KUEHNE&amp;NAGEL LIMITED  SHENZHEN BRANCH OFFICE      </t>
  </si>
  <si>
    <t>AME QUALITY SERVICOS DE CONTROLE DE QUALIDADE LTDA</t>
  </si>
  <si>
    <t xml:space="preserve">PANALPINA                                         </t>
  </si>
  <si>
    <t xml:space="preserve">ASIA SHIPPING INTERNATIONAL TRANSPORT(SZ)LTD      </t>
  </si>
  <si>
    <t xml:space="preserve">FEDEX INTERNATIONAL FREIGHT FORWARDING CO.,LTD    </t>
  </si>
  <si>
    <t xml:space="preserve">HTNS SHENZHEN CO.,LTD                             </t>
  </si>
  <si>
    <t xml:space="preserve">MOL (CHINA) CO., LTD. SHENZHEN BRANCH             </t>
  </si>
  <si>
    <t xml:space="preserve">MOL MITSUI O.S.K.LINES,LTD.                       </t>
  </si>
  <si>
    <t xml:space="preserve">KORCHINA LOGISTICS(SHENZHEN)CO.,LTD               </t>
  </si>
  <si>
    <t xml:space="preserve">MITSUI O.S.K.LINES,LTD                            </t>
  </si>
  <si>
    <t xml:space="preserve">SEAMASTER GLOBAL FORWARDING(SHANGHAI)LTD,SHENZHEN </t>
  </si>
  <si>
    <t xml:space="preserve">MAERSK (CHINA) SHIPPING CO. LTD., SHENZHEN BRANCH </t>
  </si>
  <si>
    <t xml:space="preserve">EXPEDITORS                                        </t>
  </si>
  <si>
    <t xml:space="preserve">CMA CGM(CHINA)SHIPPING CO LTD                     </t>
  </si>
  <si>
    <t xml:space="preserve">FAMOUS PACIFIC SHIPPING(HK) LIMITED               </t>
  </si>
  <si>
    <t xml:space="preserve">SHENSHEN LUCKY LOGISTICS LTD                      </t>
  </si>
  <si>
    <t xml:space="preserve">FPS(HK)                                           </t>
  </si>
  <si>
    <t xml:space="preserve">FFC INTERNATIONAL CO., LTD                        </t>
  </si>
  <si>
    <t xml:space="preserve">SCHENKER                                          </t>
  </si>
  <si>
    <t xml:space="preserve">PARISIGS                                          </t>
  </si>
  <si>
    <t xml:space="preserve">C.H.ROBINSON                                      </t>
  </si>
  <si>
    <t xml:space="preserve">KORCHINA                                          </t>
  </si>
  <si>
    <t xml:space="preserve">GLOBAL GOODWILL                                   </t>
  </si>
  <si>
    <t xml:space="preserve">Trans-expedite                                    </t>
  </si>
  <si>
    <t xml:space="preserve">MAN SHUN SHIPPING COMPANY LIMITED                 </t>
  </si>
  <si>
    <t xml:space="preserve">Omni Logistics, LLC                               </t>
  </si>
  <si>
    <t xml:space="preserve">JUN SHEN(H.K.)LOGISTICS CO.LIMITED                </t>
  </si>
  <si>
    <t xml:space="preserve">SENATOR INTERNATIONAL LOGISTICS LTD               </t>
  </si>
  <si>
    <t xml:space="preserve">FedEx Trade Networks Transport &amp; Brokerage (Hong  </t>
  </si>
  <si>
    <t xml:space="preserve">Expofreight(Shen Zhen) Limited                    </t>
  </si>
  <si>
    <t xml:space="preserve">Inclusive Logistics LLC                           </t>
  </si>
  <si>
    <t xml:space="preserve">Royal Dynamic Solutions ,LLC                      </t>
  </si>
  <si>
    <t xml:space="preserve">WEIDA FREIGHT SYSTEM（SHENZHEN）CO.LTD            </t>
  </si>
  <si>
    <t xml:space="preserve">SHENZHEN YUNING SUPPLY CHAIN MANAGEMENT CO.LTD    </t>
  </si>
  <si>
    <t xml:space="preserve">US ALLPORT CARGO SERVICES (H.K.) LIMITED          </t>
  </si>
  <si>
    <t xml:space="preserve">DK SAILING CHINA LIMITED                          </t>
  </si>
  <si>
    <t xml:space="preserve">Hot-Line INTERNATIONAL TRANSPORT (H.K.)LTD        </t>
  </si>
  <si>
    <t xml:space="preserve">DHL GLOBAL FORWARDING(HONG KONG)LIIMITED          </t>
  </si>
  <si>
    <t xml:space="preserve">Rohlig China Limited                              </t>
  </si>
  <si>
    <t xml:space="preserve">NCH lntemational Trade Services                   </t>
  </si>
  <si>
    <t xml:space="preserve">D&amp;J PARTNERS                                      </t>
  </si>
  <si>
    <t xml:space="preserve">Bstill Inc.                                       </t>
  </si>
  <si>
    <t xml:space="preserve">HAYMA TECHNOLOGY INCORPORATION LIMITED            </t>
  </si>
  <si>
    <t xml:space="preserve">THERMTROL CORPORATION                             </t>
  </si>
  <si>
    <t xml:space="preserve">WELL SHIN TECHNOLOGY CO.,LTD                      </t>
  </si>
  <si>
    <t xml:space="preserve">ENG HONG SUCCESS INDUSTRIES SDN BHD               </t>
  </si>
  <si>
    <t xml:space="preserve">NISSHO NIKKO COMPANY,LTD                          </t>
  </si>
  <si>
    <t xml:space="preserve">STACK ELECTRONICS                                 </t>
  </si>
  <si>
    <t xml:space="preserve">EISEN ELECTRIC CORPORATION                        </t>
  </si>
  <si>
    <t xml:space="preserve">POWERTRONICS CO.,LTD.                             </t>
  </si>
  <si>
    <t xml:space="preserve">MATERIAL PROVIDE BY CUSTOMER                      </t>
  </si>
  <si>
    <t xml:space="preserve">WORLD BUYING SERVICE INC.                         </t>
  </si>
  <si>
    <t xml:space="preserve">temporary supplier-EX-WORK                        </t>
  </si>
  <si>
    <t>KABEL INDUSTRIA COMERCIO DE CHICOTES ELETRICO LTDA</t>
  </si>
  <si>
    <t xml:space="preserve">TEMPORARY SUPPLIER -DDP                           </t>
  </si>
  <si>
    <t xml:space="preserve">TEMPORARY SUPPLIER -KRW                           </t>
  </si>
  <si>
    <t xml:space="preserve">TEMPORARY SUPPLIER-EX-WORK                        </t>
  </si>
  <si>
    <t xml:space="preserve">KENIC ELECTRIC MFG CO.,LTD                        </t>
  </si>
  <si>
    <t xml:space="preserve">INTERTEK TESTING SERVICES NA,INC                  </t>
  </si>
  <si>
    <t xml:space="preserve">EMICOL ELETRO ELETRONICA S.A.                     </t>
  </si>
  <si>
    <t xml:space="preserve">DONGGUAN QIAOTOU FUYANG MOULD PLANT               </t>
  </si>
  <si>
    <t xml:space="preserve">PROFIT PLUS ENGINEERING LTD                       </t>
  </si>
  <si>
    <t xml:space="preserve">GZ WIRE HARNESS                                   </t>
  </si>
  <si>
    <t xml:space="preserve">HUI ZHOU ECI                                      </t>
  </si>
  <si>
    <t xml:space="preserve">HONGKONG HE FENG PLASTICS MOLD CO.,LINITED        </t>
  </si>
  <si>
    <t xml:space="preserve">SANHE SHENG CO.                                   </t>
  </si>
  <si>
    <t xml:space="preserve">LODE INTERNATIONAL LIMITED                        </t>
  </si>
  <si>
    <t xml:space="preserve">HOFFMAN PRODUCTS                                  </t>
  </si>
  <si>
    <t xml:space="preserve">TAIXINGDA ELECTRONIC (SHENZHEN)CO.,LTD            </t>
  </si>
  <si>
    <t>DONGGUAN DALINGSHAN KING PAPER MANUFACTRUE FACTORY</t>
  </si>
  <si>
    <t xml:space="preserve">SUZHOU BAOHING ELECTRIC WIRE&amp;CABLE CO.LTD         </t>
  </si>
  <si>
    <t xml:space="preserve">ZHENJIANG SHUGUANG PRINTING CO.GUANGZHOU OFFICE   </t>
  </si>
  <si>
    <t xml:space="preserve">SHENZHEN LINAN PACKAGE MATRIAL CO.,LTD            </t>
  </si>
  <si>
    <t xml:space="preserve">GUANGZHOU ANDA PAPER MANUFACTURE FACTORY          </t>
  </si>
  <si>
    <t xml:space="preserve">GUANGZHOU YUANYUAN ELECTRIC-MATRIAL CO.,LTD       </t>
  </si>
  <si>
    <t xml:space="preserve">GUANGZHOU LUOXI PRINTING FACTORY                  </t>
  </si>
  <si>
    <t xml:space="preserve">ACHEM TECHNOLOGY ADHESIVE MANUFACTURE CO.,LTD.    </t>
  </si>
  <si>
    <t xml:space="preserve">GUANGZHOU LIWANQU HONGYUE PLASTICS SHOP           </t>
  </si>
  <si>
    <t xml:space="preserve">GUANGZHOU LINGTIANNAN PACKING APPLICAN FACTORY    </t>
  </si>
  <si>
    <t xml:space="preserve">SHEN ZHEN SHI HONGSHANG CAILIAO KEJI GUFEN LTD.   </t>
  </si>
  <si>
    <t>FUSHAN SHUNDEQU RONGGUI QU TIANYI PRINTING FACTORY</t>
  </si>
  <si>
    <t xml:space="preserve">SHANGHAI NEXANS KANG HUA CABLE CO.,LTD            </t>
  </si>
  <si>
    <t xml:space="preserve">GUANGZHOU DATAMATIC MOULDING  INJECTION CO.,LTD.  </t>
  </si>
  <si>
    <t>GUANGZHOU PANYUQU SHIQIAO XINHENG PACKAGE MATERIAL</t>
  </si>
  <si>
    <t xml:space="preserve">FINE TECH LABELS &amp; PRINTING CO.                   </t>
  </si>
  <si>
    <t xml:space="preserve">SHENZHEN YINGJIAFENG TECHNOLOGY CO LTD            </t>
  </si>
  <si>
    <t xml:space="preserve">FOUR PILLARS ENTERPRISE COMPANY LIMITED           </t>
  </si>
  <si>
    <t xml:space="preserve">SHANGHAI SEP ELECTRONIC CO.LTD                    </t>
  </si>
  <si>
    <t xml:space="preserve">TAI HING CHEUNG PALLET CO.                        </t>
  </si>
  <si>
    <t xml:space="preserve">DONGGUAN XINLIAN PAPER FACTORY                    </t>
  </si>
  <si>
    <t xml:space="preserve">DONGGUAN WIN LABEL PRINTING CO.,LTD               </t>
  </si>
  <si>
    <t>BOLUO COUNTY LUOFUSHAN FOREST ZHENJI WOOD PRODUCTS</t>
  </si>
  <si>
    <t xml:space="preserve">JINGJIANG HENGHE ADHESIVE CO.,LTD                 </t>
  </si>
  <si>
    <t xml:space="preserve">DONGGUAN SHILONG HUA TONG ELECTRIC CO..LTD        </t>
  </si>
  <si>
    <t xml:space="preserve">GUANGZHOU KAIHENG K&amp;S CO.LTD                      </t>
  </si>
  <si>
    <t xml:space="preserve">GUANGZHOU SHICHENG INDUSTRIAL CO LTD              </t>
  </si>
  <si>
    <t xml:space="preserve">GUANGZHOU GJ ELECTRONICS TECHNOLOGY CO.LTD        </t>
  </si>
  <si>
    <t xml:space="preserve">SHANGHAI ZHONGKONG TRADE                          </t>
  </si>
  <si>
    <t xml:space="preserve">SHANGHAI  HONGSHUO  MACHINE  ELECTRICITY CO.,LTD  </t>
  </si>
  <si>
    <t xml:space="preserve">JINAN PAC WIRE &amp; CABLE CO.LTD                     </t>
  </si>
  <si>
    <t xml:space="preserve">SCAPA TAPES (SUZHOU) CO.,LTD                      </t>
  </si>
  <si>
    <t xml:space="preserve">HAINAN XIANFENG ELECTRIC IMP. &amp; EXP. CO., LTD     </t>
  </si>
  <si>
    <t xml:space="preserve">ZHEJIANG ZHUCHENG TECHNOLOGY CO., LT              </t>
  </si>
  <si>
    <t xml:space="preserve"> JIANHEXING(SUZHOU) CO.,LTD OFGUANGZHOU BRANCH    </t>
  </si>
  <si>
    <t xml:space="preserve">DONG GUAN HONEST TERMINAL CO.LTD.                 </t>
  </si>
  <si>
    <t xml:space="preserve">DONGGUAN HORNG  JIIN APPLIED MATERIAL CO.,LTD     </t>
  </si>
  <si>
    <t xml:space="preserve">DONGGUAN CITY SHIJIE HEFENG HARDWARE &amp; PLASTIC    </t>
  </si>
  <si>
    <t xml:space="preserve">GUANG ZHOU KE HAO ELECTRIC CO.,LTD                </t>
  </si>
  <si>
    <t xml:space="preserve">JIAYUN ADHESIVE INSULATED MATERIAL                </t>
  </si>
  <si>
    <t xml:space="preserve">DONGGUAN SALIPT CO.,LTD.                          </t>
  </si>
  <si>
    <t>WENZHOU HONGXIN MECHANICAL AND ELECTRICAL  TECHNOL</t>
  </si>
  <si>
    <t>QINGDAO VISHAY-MINGJIA INTERMATIONALTRADING CO.LTD</t>
  </si>
  <si>
    <t xml:space="preserve">WUHAN HUAXIA NANFANG ADHESIVE TAPES CO.,LTD       </t>
  </si>
  <si>
    <t xml:space="preserve">SHENZHEN JIUSHENG DA TECHNOLOGICAL.CO.LTD.        </t>
  </si>
  <si>
    <t xml:space="preserve">QINGDAO TOPSALE INTERNATIONAL TRADING CO.LTD      </t>
  </si>
  <si>
    <t>WU JIANG SONG LING BA CHE YI TONG ZHA XIAN FACTORY</t>
  </si>
  <si>
    <t xml:space="preserve">DONGGUAN QUNFENG SUOJIAO WUJIN ZHIPIN LTD         </t>
  </si>
  <si>
    <t xml:space="preserve">HOW WEIH PRECISION METAL(SZ)CO.,LTD.              </t>
  </si>
  <si>
    <t xml:space="preserve">HUAN YU TERMINALS CO.,LTD                         </t>
  </si>
  <si>
    <t xml:space="preserve">SHANGHAI BOWEI PLASTIC ELECTRICAL CO.LTD          </t>
  </si>
  <si>
    <t xml:space="preserve">DONG GUAN TOPSUN ELECTRONICS CO.,LTD              </t>
  </si>
  <si>
    <t xml:space="preserve">Dongguan Dushi Chengfa Precision Spring Co., Ltd  </t>
  </si>
  <si>
    <t xml:space="preserve">SHENZHEN INTONG INDUSTRIAL CO.,L                  </t>
  </si>
  <si>
    <t xml:space="preserve">ZHONGSHAN JIAZHAN Electric Co., Ltd               </t>
  </si>
  <si>
    <t xml:space="preserve">DONGGUAN CO-MO MELT ADHESIVES CO                  </t>
  </si>
  <si>
    <t xml:space="preserve">DELPHI PACKARD ELECTRIC SYSTEMS CO., LTD          </t>
  </si>
  <si>
    <t xml:space="preserve">FOSHAN FANGPU  DIPPING TECHNOLOGY CO.,LTD         </t>
  </si>
  <si>
    <t xml:space="preserve">GUANGZHOU FERRICO ELECTRONICS CO.LTD.             </t>
  </si>
  <si>
    <t xml:space="preserve">YANTAI YUKE ELECTRONICS TECHNOLOGY CO., LTD       </t>
  </si>
  <si>
    <t xml:space="preserve">DONG GUAN WANG SHENG PACKING PRODUCT CO.,LTD      </t>
  </si>
  <si>
    <t xml:space="preserve">YITAI PAPER BOX FACTORY                           </t>
  </si>
  <si>
    <t xml:space="preserve">DONGGUAN SIWEB CONNECTORS CO.,LTD                 </t>
  </si>
  <si>
    <t xml:space="preserve">QINGDAO YIYANG ELEC.CO., LTD                      </t>
  </si>
  <si>
    <t xml:space="preserve">SHENZHEN DEREN ELECTRONIC CO., LTD                </t>
  </si>
  <si>
    <t xml:space="preserve">QINGDAO MEIKE ELECTRONICS CO., LTD                </t>
  </si>
  <si>
    <t xml:space="preserve">DONGGUAN HAOFU HARDWARE ELECTUON CO.,LTD          </t>
  </si>
  <si>
    <t xml:space="preserve">SHENZHEN LINKS WIRING EQUIPMENT SCIENCE           </t>
  </si>
  <si>
    <t xml:space="preserve">DONGGUAN JINMINGCHENG SCREW&amp;METAL CO., LTD        </t>
  </si>
  <si>
    <t xml:space="preserve">DONGGUAN CHANG LI INSULATION MATERIAL DEPT.       </t>
  </si>
  <si>
    <t xml:space="preserve">ZHANGQIU TAIHE ELECTRIC CO., LTD                  </t>
  </si>
  <si>
    <t xml:space="preserve">CHANGDECHENG ELECTRICAL CO., LTD******            </t>
  </si>
  <si>
    <t xml:space="preserve">CHANGYUAN ELECTRONIC (SHEN ZHEN) CO., LTD         </t>
  </si>
  <si>
    <t xml:space="preserve">GUANGZHOU ENPOT BARCODE INDUSTRIAL CO., LTD       </t>
  </si>
  <si>
    <t xml:space="preserve">DONGGUAN DONGCHON AUDU ELECTRONIC                 </t>
  </si>
  <si>
    <t xml:space="preserve">DONGGUAN CITY BAIJIN PACKING MATERIAL LTD.        </t>
  </si>
  <si>
    <t xml:space="preserve">GUANGZHOU XIN GUAN LABEL INDUSTRY CO., LTD        </t>
  </si>
  <si>
    <t xml:space="preserve">GUANGZHOU FORU ELECTRONICS CO., LTD               </t>
  </si>
  <si>
    <t xml:space="preserve">GUANGZHOU FENG TAI ELECTRONIC CO., LTD            </t>
  </si>
  <si>
    <t xml:space="preserve">NANJING LUOJIA TECHNOLOGY&amp;TRADE CO., LTD          </t>
  </si>
  <si>
    <t xml:space="preserve">GUANGZHOU JIANLONG ELECTRIVAL CO., LTD            </t>
  </si>
  <si>
    <t xml:space="preserve">GUANGZHOU JUNWEN TRADE CO., LTD                   </t>
  </si>
  <si>
    <t xml:space="preserve">DONGGUANSHI HUAXING PAPER PRODUCTS COMPANY        </t>
  </si>
  <si>
    <t xml:space="preserve">LTK ELECTRIC  WIRE (HUI ZHOU)LTD                  </t>
  </si>
  <si>
    <t xml:space="preserve">ZHONGSHAN HENGLAN HYD HARDWARE PLANT              </t>
  </si>
  <si>
    <t xml:space="preserve">BEI JING NITTAN ELECTRONICS CO. LTD               </t>
  </si>
  <si>
    <t xml:space="preserve">SHEN ZHEN CWB ELECTRONICS CO. LTD                 </t>
  </si>
  <si>
    <t xml:space="preserve">SHENZHEN SIN NP INTERNATIONAL TRADING LTD         </t>
  </si>
  <si>
    <t xml:space="preserve">YUE QING FAMFULL ELECTRONICS CO.LTD               </t>
  </si>
  <si>
    <t xml:space="preserve">KAIPHONE COMMUNICATION CO. LTD                    </t>
  </si>
  <si>
    <t xml:space="preserve">SHEN ZHEN HUI YUN SCIENCE AND TECHNOLOGY CO.LTD   </t>
  </si>
  <si>
    <t xml:space="preserve">YAN CHENG ADVANCED INSULATION                     </t>
  </si>
  <si>
    <t xml:space="preserve">DONGGUAN JINHUI ELECTRONIC.CO.LTD                 </t>
  </si>
  <si>
    <t xml:space="preserve">DONGGUAN ELITE ELECTRICAL.CO.LTD                  </t>
  </si>
  <si>
    <t xml:space="preserve">DONGGUAN SHANG YI TERMINALS CC.LTD                </t>
  </si>
  <si>
    <t xml:space="preserve">GUANGZHOU HICHALN ELECTRICITY CO.LTD              </t>
  </si>
  <si>
    <t xml:space="preserve">DONGGUAN JINGDUAN PRECISE METAL PRODUCTS CO.LTD   </t>
  </si>
  <si>
    <t xml:space="preserve">SHEN ZHEN SHI WANG NIAN HUA DIAN ZI CO.LTD        </t>
  </si>
  <si>
    <t xml:space="preserve">SHENZHEN PULSION TECHNOLOGY CO. LTD.              </t>
  </si>
  <si>
    <t xml:space="preserve">YAFEI WIRE &amp; CABLE CO.LTD.                        </t>
  </si>
  <si>
    <t xml:space="preserve">WU XI XIN HONG YE WIRE &amp;CO.LTD                    </t>
  </si>
  <si>
    <t xml:space="preserve">SHENZHEN BARON ELECTRONIC TECHNOLOGY CO., LTD QD  </t>
  </si>
  <si>
    <t xml:space="preserve">QINGDAO HONGLIAN HEAT SHRINKABLE MATERIAL CO.,LTD </t>
  </si>
  <si>
    <t xml:space="preserve">LTK ELECTRIC  WIRE (SHANG HAI) LTD                </t>
  </si>
  <si>
    <t xml:space="preserve">QINGDAO LEATECH CO., LTD                          </t>
  </si>
  <si>
    <t xml:space="preserve">QINGDAO HUIDONG RUBBER CO., LTD                   </t>
  </si>
  <si>
    <t xml:space="preserve">QINGDAO HAISHIHAO PLASTICS AND RUBBER CO., LTD    </t>
  </si>
  <si>
    <t>QINGDAO GENERAL ELECTRONIC PLASTIC INDUSTRY CO.LTD</t>
  </si>
  <si>
    <t xml:space="preserve">DALIAN LTK ELECTRIC WIRE LTD                      </t>
  </si>
  <si>
    <t>QINGDAO ELECTRICITY SAVING PRODUCT EXTENSION&amp;SEVIC</t>
  </si>
  <si>
    <t xml:space="preserve">QINGDAO KUMLKA PLASTIC CO., LTD                   </t>
  </si>
  <si>
    <t xml:space="preserve">HEFEI HENG SHINKI ELECTRONIC CO., LTD             </t>
  </si>
  <si>
    <t xml:space="preserve">ACHEM (TIANJIN) ADHESIVE PRODUCTS CO.,LTD         </t>
  </si>
  <si>
    <t xml:space="preserve">QINGDAO CHENG YU PRECISION PRODUCTS CO,LTD        </t>
  </si>
  <si>
    <t xml:space="preserve">QINGDAO HUACHEN ELECTRONIC CO., LTD               </t>
  </si>
  <si>
    <t xml:space="preserve">SUZHOU ZHONGCHUANG CORD&amp;CABLE                     </t>
  </si>
  <si>
    <t xml:space="preserve">XIAMEN WINTRONIC CO.,LTD                          </t>
  </si>
  <si>
    <t>SHENZHENSHIYAHAIXINTERMINALKNIFEMODELPROCESFACTORY</t>
  </si>
  <si>
    <t xml:space="preserve">YUEQING CITY ZHULIAN ELECTRONICS CO.,LTD          </t>
  </si>
  <si>
    <t xml:space="preserve">JIAXING YODA ELECTRIC CO.,LTD                     </t>
  </si>
  <si>
    <t xml:space="preserve">QINDAO FINDER LABEL PRODUCT CO.LTD                </t>
  </si>
  <si>
    <t xml:space="preserve">WEILAND ELECTRIC TRADING(SHANGHAI)CO.,LTD         </t>
  </si>
  <si>
    <t xml:space="preserve">SHANGHAI LEGANG ELECTRIC CO.                      </t>
  </si>
  <si>
    <t xml:space="preserve">SUHO PRECISE COMPONENT CO.,LTD.                   </t>
  </si>
  <si>
    <t xml:space="preserve">XIN YA ELECTRONIC CO., LTD                        </t>
  </si>
  <si>
    <t xml:space="preserve">QINGDAO SHANYO ELECTRIC CO.,LTD                   </t>
  </si>
  <si>
    <t xml:space="preserve">QINGDAO NENGNENG PACKING&amp;TAPE CO.,LTD             </t>
  </si>
  <si>
    <t xml:space="preserve">LEQING CITY KAISHITONG DUANTOU CO.,LTD            </t>
  </si>
  <si>
    <t xml:space="preserve">WEIHAI HONGLIN WIRE &amp;CABLE CO.,LTD                </t>
  </si>
  <si>
    <t xml:space="preserve">TYCO ELECTRONICS (SHANG HAI) LTD                  </t>
  </si>
  <si>
    <t xml:space="preserve">SUZHOU BAOHING ELECTRIC WIRE &amp; CABLE CO., LTD     </t>
  </si>
  <si>
    <t xml:space="preserve">ARROW (CHINA) ELECTRONICS TRADING COMPANY LIMITED </t>
  </si>
  <si>
    <t xml:space="preserve">HAKUTO TRADING (SHENZHEN) LTD                     </t>
  </si>
  <si>
    <t xml:space="preserve">TRW(NINGBO)COMPONENTS &amp; FASTENING SYSTEMS         </t>
  </si>
  <si>
    <t xml:space="preserve">NING BO WELL ELECTRIC APPLIANCE CO LTD            </t>
  </si>
  <si>
    <t xml:space="preserve">WEI TENG DIAN ZI YOU XIAN GONG SI                 </t>
  </si>
  <si>
    <t xml:space="preserve">HUIZHOUSHI HUICHENGQU XUYANG BAOZHUANG CO.LTD     </t>
  </si>
  <si>
    <t xml:space="preserve">HUIZHOUSHI DEXUAN KEJI CO,LTD                     </t>
  </si>
  <si>
    <t xml:space="preserve">SHANGHAI WELCONN INTERNATIONAL TRADING CO.,LTD.   </t>
  </si>
  <si>
    <t xml:space="preserve">YOUSHANG HUANAN KEJI (SHENZHEN) CO,LTD            </t>
  </si>
  <si>
    <t xml:space="preserve">DG HUA WEI PEI XIAN QICAI CO.LTD                  </t>
  </si>
  <si>
    <t xml:space="preserve">SUZHOU HUAPENG HEAT-SHRINKABLE MATERIALS CO,LTD   </t>
  </si>
  <si>
    <t xml:space="preserve">WUXI YIXIN SULIAO ZHIPIN CO,LTD                   </t>
  </si>
  <si>
    <t xml:space="preserve">HUIZHOU DEFENG PACKING MATERIAL CO.LTD            </t>
  </si>
  <si>
    <t xml:space="preserve">SHENZHEN WOER HUI TECHNOLOGY CO., LTD             </t>
  </si>
  <si>
    <t xml:space="preserve">LINOYA ELECTRONIC CO LTD                          </t>
  </si>
  <si>
    <t xml:space="preserve">ZHONGSHAN SCHLEMMER AUTOMOTIVE PARTS CO.,LTD      </t>
  </si>
  <si>
    <t xml:space="preserve">SHENZHENSHI EUNSHENG EUJIN ZHIZAO CO,LTD          </t>
  </si>
  <si>
    <t xml:space="preserve">DONGGUANSHI SHIJIE SHENGFENG MUJU SHOP            </t>
  </si>
  <si>
    <t xml:space="preserve">SHENZHENSHI ZHANXIN DIANZI CO,LTD                 </t>
  </si>
  <si>
    <t xml:space="preserve">LEQINGSHI HONGXINCHEN DAINZI CO,LTD               </t>
  </si>
  <si>
    <t xml:space="preserve">XINYANGLIN DIANZI (SHENZHEN) CO,LTD               </t>
  </si>
  <si>
    <t xml:space="preserve">CHANGDECHENG ELECTRONIC CO., LTD                  </t>
  </si>
  <si>
    <t xml:space="preserve">JINFUMEI KEJI(SHENZHEN) CO,LTD                    </t>
  </si>
  <si>
    <t xml:space="preserve">ZHEJIANG ZHONGTIAN DIANZI HUTAO CO,LTD            </t>
  </si>
  <si>
    <t xml:space="preserve">NAC GROUP INC.(NEW ADVANTAGE)                     </t>
  </si>
  <si>
    <t xml:space="preserve">FUJISAWA DENKO (SHANGHAI) CO.,LTD                 </t>
  </si>
  <si>
    <t xml:space="preserve">Sensience Technology(Zhuhai)Co.,Ltd.              </t>
  </si>
  <si>
    <t xml:space="preserve">DONGGUAN LIANFA ELECTRONIC CO., LTD.              </t>
  </si>
  <si>
    <t xml:space="preserve">YIHE ELECTRONICS (GUANGZHOU) CO.,LTD              </t>
  </si>
  <si>
    <t xml:space="preserve">SHANGHAI HEBI DIANZI YUANJIAN CO.LTD              </t>
  </si>
  <si>
    <t xml:space="preserve">NING BO ZHENGYAO QICHE DIANQI CO,LTD              </t>
  </si>
  <si>
    <t xml:space="preserve">HUANGHE QIPEI JITUAN CO,LTD                       </t>
  </si>
  <si>
    <t xml:space="preserve">HUIZHOUSHI GEWEI JINGMI SUJIAO WUJIN CO,LTD       </t>
  </si>
  <si>
    <t xml:space="preserve">ECI (NANTONG) CO,LTD                              </t>
  </si>
  <si>
    <t xml:space="preserve">YANTAI DONGRUN DIANZI CO.LTD                      </t>
  </si>
  <si>
    <t xml:space="preserve">GUANGZHOU SUZHI CHEMICALS CO,LTD                  </t>
  </si>
  <si>
    <t xml:space="preserve">DONGGAUNSHI JIAYANG DIANZI CO,LTD                 </t>
  </si>
  <si>
    <t xml:space="preserve">AUPO ELECTRONICS LTD                              </t>
  </si>
  <si>
    <t xml:space="preserve">ZHEJIANG JINZHAO ELECTRONIC CO., LTD              </t>
  </si>
  <si>
    <t xml:space="preserve">HONG RU CONNECTORS CO.LTD                         </t>
  </si>
  <si>
    <t xml:space="preserve">SHEN ZHEN JDH TECHNOLOGY CO.,LTD                  </t>
  </si>
  <si>
    <t xml:space="preserve">QIN DAO HAI YONG CHANG  ELECTRONIC CO., LTD       </t>
  </si>
  <si>
    <t xml:space="preserve">TIANJIN LIYE MACHINERY&amp;ELECTRONIC CO.,LTD         </t>
  </si>
  <si>
    <t xml:space="preserve">STEWARD(FO SHAN)MAGNETIC MATERIALS CO.,LTD        </t>
  </si>
  <si>
    <t xml:space="preserve">SHENZHENSHI JUNLICHENG KEJI CO,LTD                </t>
  </si>
  <si>
    <t xml:space="preserve">JASDI INTERNATION TRADING CO.,LTD                 </t>
  </si>
  <si>
    <t xml:space="preserve">CHAOZHOU NANKE ELECTRONICS CO.LTD                 </t>
  </si>
  <si>
    <t xml:space="preserve">HUBEI HANGTIAN ELECTRONICS CO.LTD                 </t>
  </si>
  <si>
    <t xml:space="preserve">TIAN JIN WEI LI SHENG ELECTRICAL CO.,LTD          </t>
  </si>
  <si>
    <t>BOLUO XIAN FUTIAN ZHEN FUYOU PACKING MATERIAL SHOP</t>
  </si>
  <si>
    <t xml:space="preserve">SHENGZHENG WELLDONE-ELECTRONICS CO.,LTD           </t>
  </si>
  <si>
    <t xml:space="preserve">JINYUN ELECTRONICS DONG GUAN LTD.                 </t>
  </si>
  <si>
    <t xml:space="preserve">DONG GUAN NISTAR TRANSMITTING                     </t>
  </si>
  <si>
    <t xml:space="preserve">SHENZHEN LIGAN CONNECTOR CO.,LTD.                 </t>
  </si>
  <si>
    <t xml:space="preserve">SHENGZHENSHI WOER SPECIAL WINE &amp;CABLE CO.,LTD     </t>
  </si>
  <si>
    <t xml:space="preserve">ZHUJI TONGLING INDUSTRY CO.,LTD                   </t>
  </si>
  <si>
    <t xml:space="preserve">SHANGHAI ARFINE ELECTRONIC.,LTD                   </t>
  </si>
  <si>
    <t xml:space="preserve">CHANGSHA SHENDA TECHNOLOGY CO.,                   </t>
  </si>
  <si>
    <t xml:space="preserve">SHENZHEN HUACHUANGWEI INDUSTRIAL                  </t>
  </si>
  <si>
    <t xml:space="preserve">SHENZHEN QIHAISHEN INDUSTRY.,CO.LTD               </t>
  </si>
  <si>
    <t xml:space="preserve">HUIZHOUSHI WANGJIA ELECTRICAL TECHNOLOGY CO.,LTD  </t>
  </si>
  <si>
    <t xml:space="preserve">SHANGHAI HAOBO ELECTRONICS CO.,LTD                </t>
  </si>
  <si>
    <t>QINDAO EECON ELECTRONIC CONTROLS AND APPLIANCES CO</t>
  </si>
  <si>
    <t xml:space="preserve">SHENZHENSHI GUTAI WEIXIANGSUZHIPIN CO.,LTD        </t>
  </si>
  <si>
    <t xml:space="preserve">Zhejiang Zhulian Electrical Industry Co.,Ltd      </t>
  </si>
  <si>
    <t xml:space="preserve">LIN DE(CHINA)CHA CHE CO.,LTD                      </t>
  </si>
  <si>
    <t xml:space="preserve"> HUIZHOU ZHENGPAI TECHNOLOGY ELECTRON CO.,LTD     </t>
  </si>
  <si>
    <t xml:space="preserve">FOSHAN CITY WEILING WASH MOTOR MAKING CO.,LTD     </t>
  </si>
  <si>
    <t xml:space="preserve">DONGGUANG YICHANG PLASTIC TEXTILE CENTRE CO.,LTD  </t>
  </si>
  <si>
    <t xml:space="preserve">SHANGHAI KAILI TRANSPORTATION EQUIPMENT CO.,LTD   </t>
  </si>
  <si>
    <t xml:space="preserve">QINGDAO HAINUOTE ELECTRIAL CO.,LTD                </t>
  </si>
  <si>
    <t xml:space="preserve">QINGDAO SHENGHUI PLASTIC CO.,LTD                  </t>
  </si>
  <si>
    <t xml:space="preserve">GUANGZHOU TIANHAI ELECTRIAL CO.LTD                </t>
  </si>
  <si>
    <t xml:space="preserve">CHONGQING CHANGZHI CAR CONNECTOR CO.LTD           </t>
  </si>
  <si>
    <t xml:space="preserve">YOUDE CAR ELECTRIAL OF HAIMEN CO.LTD              </t>
  </si>
  <si>
    <t xml:space="preserve">LIUZHOUSHI JIEWEI CAR ELECTRIAL FACTORY           </t>
  </si>
  <si>
    <t xml:space="preserve">DongGuang HuLane  PuGuang  Trading  Co., Ltd.     </t>
  </si>
  <si>
    <t xml:space="preserve">JIMEN FUSE MAKING OF XIAMEN CO.LTD                </t>
  </si>
  <si>
    <t xml:space="preserve">SHANGHAI XIANHUAN INMPORT AND OUTPOTR CO.LTD      </t>
  </si>
  <si>
    <t xml:space="preserve">LEQINGSHI KAIDI ELEATRIAL CO.,LTD                 </t>
  </si>
  <si>
    <t xml:space="preserve">XIAMEN PULIDE CAR ELECTRIAL CO.,LTD               </t>
  </si>
  <si>
    <t xml:space="preserve">LESHAN WUXIANDIAN CO.,LTD                         </t>
  </si>
  <si>
    <t xml:space="preserve">ROLD(SHANGHAI)ELECTRONIC TRADING CO.,LTD          </t>
  </si>
  <si>
    <t xml:space="preserve">KUNSHAN AMPHENIX ELECTRONICS TECHNOIOGY CO.       </t>
  </si>
  <si>
    <t xml:space="preserve">RS COMPONENTS (SHANGHAI) CO.,LTD                  </t>
  </si>
  <si>
    <t xml:space="preserve">XIAOGAN HUAGONG GAOLI ELECTREN CO.,LTD            </t>
  </si>
  <si>
    <t xml:space="preserve">SERIAL MICROELECTRONICS(SZ)LTD                    </t>
  </si>
  <si>
    <t xml:space="preserve">DONGGUAN CITY YONGDELIANG PACKING MATERIAL CO,LTD </t>
  </si>
  <si>
    <t xml:space="preserve">GUANGDONG HENGDA NEW MATERIAL TECHNOLOGY          </t>
  </si>
  <si>
    <t xml:space="preserve">DONGGUAN EKA ELECTRONIC CO LTD                    </t>
  </si>
  <si>
    <t xml:space="preserve">GUANGZHOU JIESHENG TECHNOLOGIES CO.,LTD           </t>
  </si>
  <si>
    <t xml:space="preserve">TIANJIN ACE INTERNATIONAL TRADING CO.,LTD         </t>
  </si>
  <si>
    <t xml:space="preserve">DAOXING TECHNOLOGY (SHENZHEN) CO.,LTD             </t>
  </si>
  <si>
    <t xml:space="preserve">GUANGDONG SHUNDE  JINKANGYE PLASTIC CO. LTD.      </t>
  </si>
  <si>
    <t xml:space="preserve">ZHIYUESHIZIQI (SHANGHAI)TRADING CO., LTD          </t>
  </si>
  <si>
    <t xml:space="preserve">HSIUNG YU(FUJIAN QUANZHOU) AUTO                   </t>
  </si>
  <si>
    <t xml:space="preserve">CASTEL REFRIGERATION EQUIPMENT(SHANGHAI)CO.,LTD   </t>
  </si>
  <si>
    <t xml:space="preserve">SHENZHEN KANGWEI PLASTIC CO.,LTD                  </t>
  </si>
  <si>
    <t xml:space="preserve">SHENZHEN JDD MATERIAL CO.,LTD.                    </t>
  </si>
  <si>
    <t xml:space="preserve">JIN'AN ELECTRONIC COMMUNICATIONS(SHENZHEN) LTD.   </t>
  </si>
  <si>
    <t xml:space="preserve">BOLUO JIALI PAPER BOX PACKING CO,LTD.             </t>
  </si>
  <si>
    <t xml:space="preserve">HAKUTO  ENTERPRISES(SHANGHAI)LTD                  </t>
  </si>
  <si>
    <t xml:space="preserve">A.RAYMOND AUTOMOTIVE FASTENERS(ZHENJIANG)CO,LTD.  </t>
  </si>
  <si>
    <t xml:space="preserve">VERTELLUS PERFORMANCE MATERIALS INC               </t>
  </si>
  <si>
    <t xml:space="preserve">LCR ELECTRONICS(KUNSHAN) CO,LTD.                  </t>
  </si>
  <si>
    <t xml:space="preserve">CHAU'S ELECTRICAL CO,LTD.                         </t>
  </si>
  <si>
    <t xml:space="preserve">LEONI CABLE(CHINA)CO.,LTD.                        </t>
  </si>
  <si>
    <t xml:space="preserve">HELLERMANNTYTON(WUXI)ELECT.ACC.CO.,LTD.           </t>
  </si>
  <si>
    <t xml:space="preserve">STEWARD(FOSHAN)MAGNETIC CO.,LTD.                  </t>
  </si>
  <si>
    <t xml:space="preserve">THINKING(CHANGZHOU) ELECTRONIC CO.LTD             </t>
  </si>
  <si>
    <t xml:space="preserve">YI LUO MENG ELECTRONICS CO.,LTD                   </t>
  </si>
  <si>
    <t xml:space="preserve">KUNSHAN QIANJIN ELECTRONIC CO,LTD                 </t>
  </si>
  <si>
    <t xml:space="preserve">SUZHOU JINYANG ELECTRONICS.,LCD                   </t>
  </si>
  <si>
    <t xml:space="preserve">SUZHOU  EONYANG ELECTRONICS CO.,LTD               </t>
  </si>
  <si>
    <t xml:space="preserve">TAIZHOU XING YI CHANG TRADING CO.,LTD             </t>
  </si>
  <si>
    <t xml:space="preserve">DAE MYOUNG PRECISION ELECTRONICS(TIANJIN) CO.,LTD </t>
  </si>
  <si>
    <t xml:space="preserve">上海义文机电有限公司                              </t>
  </si>
  <si>
    <t xml:space="preserve">SHANGHAI TOULON AUTOMATION CONTROL TOCHNIQUE      </t>
  </si>
  <si>
    <t xml:space="preserve">SUZHOU DRAKA CABLE CO.,LTD                        </t>
  </si>
  <si>
    <t xml:space="preserve"> DONGGUAN HONGTUO AUTOMATIC IDENTIFICATION CO.,LTD</t>
  </si>
  <si>
    <t xml:space="preserve">FOSHAN BONLEX RUBBER ENTERPRISE CO.LTD            </t>
  </si>
  <si>
    <t xml:space="preserve">TIANJIN DEHOU ELECTRONICS CO.LTD                  </t>
  </si>
  <si>
    <t xml:space="preserve">QINGDAO HUOFUSI ELECTRONICS CO.LTD                </t>
  </si>
  <si>
    <t xml:space="preserve">TDK (SHANGHAI) INTERNATIONAL TRADING CO.,LTD      </t>
  </si>
  <si>
    <t xml:space="preserve">KUNSHAN YOUCI ELECTRONIC CO.,LTD                  </t>
  </si>
  <si>
    <t xml:space="preserve">DONGGUAN PARK''S INDUSTRIAL CO., LTD              </t>
  </si>
  <si>
    <t xml:space="preserve">ZHEJIANG AMA&amp;HIEN TECHNOLOGY CO.,LTD              </t>
  </si>
  <si>
    <t xml:space="preserve">CHANGSHU HONGLIN WIRE &amp; CABLE.CO.,LTD             </t>
  </si>
  <si>
    <t xml:space="preserve">DONGGUANCITY PENGTIAN PAPER CO.,LTD               </t>
  </si>
  <si>
    <t xml:space="preserve">SINOCHEM QINGDAO CO., LTD                         </t>
  </si>
  <si>
    <t xml:space="preserve">QINGDAO LINGTONG INDUSTRY AND TRADE CO.,LTD       </t>
  </si>
  <si>
    <t xml:space="preserve">TESA TAPE (SHANGHAI) CO.,LTD                      </t>
  </si>
  <si>
    <t xml:space="preserve">DECHI CONNECTION TRADING (SHANGHAI) CO., LTD      </t>
  </si>
  <si>
    <t xml:space="preserve">SHANGHAI SONGSHAN ELECTRONICS CO., LTD            </t>
  </si>
  <si>
    <t xml:space="preserve">SUZHOU LITTELFUSE OVS CO.,LTD                     </t>
  </si>
  <si>
    <t xml:space="preserve">SHANGHAI JIANG HAO CABLE CO., LTD                 </t>
  </si>
  <si>
    <t xml:space="preserve">SHANGHAI SU CHI ELECTRONIC TECHNOLOGY CO., LTD    </t>
  </si>
  <si>
    <t xml:space="preserve">QINGDAO YUANSHUN ELECTRONIC CO.LTD                </t>
  </si>
  <si>
    <t xml:space="preserve">QINGDAO YALU ELECTRONIC EQUIPMENT CO., LTD        </t>
  </si>
  <si>
    <t xml:space="preserve">XINHUA ELECTRONIC PARTS (KUNSHAN) CO., LTD        </t>
  </si>
  <si>
    <t xml:space="preserve">XIAMEN HONGFA ELECTROACOUSTIC SALES CO.,LTD       </t>
  </si>
  <si>
    <t>E-T-A CIRCUIT PROTECTION&amp; CONTROL(SHANGHAI)CO.,LTD</t>
  </si>
  <si>
    <t xml:space="preserve">SHENZHEN WAYSPACE LTD                             </t>
  </si>
  <si>
    <t xml:space="preserve">ESSENTRA TRANDING(NINGBO)TRADING CO.,LTD          </t>
  </si>
  <si>
    <t xml:space="preserve">SHANGHAI DUNCAN CUNY TRADE CO., LTD               </t>
  </si>
  <si>
    <t>GUANGZHOU YIXINGHANG PLASTIC RAW MATERIAL CO., LTD</t>
  </si>
  <si>
    <t xml:space="preserve">Dongguan PlusTech Electrinic technology CO.,LTD   </t>
  </si>
  <si>
    <t xml:space="preserve">SHENZHEN JIN SANWAY MOULD CO., LTD                </t>
  </si>
  <si>
    <t xml:space="preserve">SHANGHAI STANDEX-MEDER ELECTRONIC CO., LTD.,      </t>
  </si>
  <si>
    <t xml:space="preserve">BOLUO COUNTY XIANGJI PAPER PACKAGING CO.,LTD      </t>
  </si>
  <si>
    <t xml:space="preserve">FUSTONAL (SHANGHAI) INTERNATIONAL TRADING CO.,LTD </t>
  </si>
  <si>
    <t xml:space="preserve">QINGDAO BEST ELECTRONIC CO.,LTD                   </t>
  </si>
  <si>
    <t xml:space="preserve">GUANGZHOU SEARDING TECHNOLOGIES CO.,LTD           </t>
  </si>
  <si>
    <t xml:space="preserve">Huizhou Toneluck Electro-Mechanics Co., Ltd.      </t>
  </si>
  <si>
    <t xml:space="preserve">SHENZHEN INTEG ELECTRONICS TECHNOLOGY CO.,        </t>
  </si>
  <si>
    <t xml:space="preserve">SUZHOU IEWC,LTD                                   </t>
  </si>
  <si>
    <t xml:space="preserve">DONGGUAN GINO PLASTIC PRODUCTS CO.,LTD            </t>
  </si>
  <si>
    <t xml:space="preserve">GUANGDONG HUASHENG ELECTRICAL APPLIANCES CO.,LTD  </t>
  </si>
  <si>
    <t xml:space="preserve">CHYAO SHIUNN ELECTRONIC(DONG GUAN)CO.,LTD         </t>
  </si>
  <si>
    <t xml:space="preserve">ELETECK WIRE&amp;CABLE CO.,LTD                        </t>
  </si>
  <si>
    <t xml:space="preserve">DONGGUAN CITY SHENGLAN ELECTRONICS                </t>
  </si>
  <si>
    <t xml:space="preserve">SHANGHAI ZERSUN INDUSTRAL CO.,LTD                 </t>
  </si>
  <si>
    <t xml:space="preserve">LS CABLE &amp; SYSTEM(WUXI)CO.,LTD                    </t>
  </si>
  <si>
    <t xml:space="preserve">BEI ER JIA ELECTRONICS CO.,LTD HUIZHOU            </t>
  </si>
  <si>
    <t xml:space="preserve">ALT INDUSTRAIL PARTS(SHANGHAI)CO.,LTD             </t>
  </si>
  <si>
    <t xml:space="preserve">PENGLAI CHENG AN PLASTIC FACTORY                  </t>
  </si>
  <si>
    <t xml:space="preserve">SHANGHAI LINECHIP ELECTRONICE CO.,LTD             </t>
  </si>
  <si>
    <t xml:space="preserve">GOLO ELECTRIC LIGHTING CO.,LTD.OF GUANGZHOU       </t>
  </si>
  <si>
    <t xml:space="preserve">HOLLYLAND(XIAMEN)TECHNOLOGY CORPORATION LIMITED   </t>
  </si>
  <si>
    <t xml:space="preserve">DONGGUAN KEFOUR ELECTRONIC CO.,LTD                </t>
  </si>
  <si>
    <t>TIANJIN WANFENG INDUSTRY TRADE DEVELOPMENT CO.,LTD</t>
  </si>
  <si>
    <t xml:space="preserve">DONGGUAN YUEXING PAPER PRODUCTS CO., LTD.         </t>
  </si>
  <si>
    <t xml:space="preserve">NINGBO KBE ELECTRICAL TECHNOLOGY CO., LTD.        </t>
  </si>
  <si>
    <t xml:space="preserve">PHOENIXTEC INTERNATIONAL TRADE CO.,LTD            </t>
  </si>
  <si>
    <t xml:space="preserve">QINGDAO GUANHONG PACKAGING TECHNOLOY CO LTD       </t>
  </si>
  <si>
    <t xml:space="preserve">JINTAN CITY YONGFU TUTO PARTS SUPPLIER            </t>
  </si>
  <si>
    <t xml:space="preserve">ADHESIVEC SHANGHAI CO.,LTD                        </t>
  </si>
  <si>
    <t xml:space="preserve">KUNSHAN SISONE ELECTRONICS TECHNOLOY CO.,LTD      </t>
  </si>
  <si>
    <t xml:space="preserve">SHANGHAI  ZHENG YUAN  INDUSTRIAL  CO.,LTD         </t>
  </si>
  <si>
    <t xml:space="preserve">BEIJING GREEN CENTUR TECHNOLOGY CO. LTD           </t>
  </si>
  <si>
    <t xml:space="preserve">K.S.TERMINALS INC                                 </t>
  </si>
  <si>
    <t xml:space="preserve">SHANGHAI FLEXETRONIC ENCHNOLOGY LTD               </t>
  </si>
  <si>
    <t xml:space="preserve">SHANGHAI GENA ELECTRIC CO.,LTD                    </t>
  </si>
  <si>
    <t xml:space="preserve">SHANGHAI SUCHI ELECTRONICS CO.,LTD                </t>
  </si>
  <si>
    <t xml:space="preserve">SHANGHAI BING?JIA ELECTROMECHANICAL?EQUIPMENT CO. </t>
  </si>
  <si>
    <t xml:space="preserve">WUXI CONCORD PRECISION ENGINEERING CO.,LTD        </t>
  </si>
  <si>
    <t xml:space="preserve">JEHIL CHEMICALS(SUZHOU)CO.LTD                     </t>
  </si>
  <si>
    <t xml:space="preserve">QINGDAO HAIBAILI ELECTRONIC CO.,LTD               </t>
  </si>
  <si>
    <t xml:space="preserve">FASTENAL (SHANGHAI) INTERATIONAL TRADING          </t>
  </si>
  <si>
    <t xml:space="preserve">WILLIAM (SUZHOU) CONTROLS CO., LTD                </t>
  </si>
  <si>
    <t xml:space="preserve">SHANGHAI LIANKUN ELECTRONINC MAARERIAL CO,LTD     </t>
  </si>
  <si>
    <t xml:space="preserve">ZAPI(SHANGHAI)ELECTONIC EPUIPMENT CO .,LTD        </t>
  </si>
  <si>
    <t xml:space="preserve">HUIZHOU APL ELECTONIC CO.,LTD                     </t>
  </si>
  <si>
    <t xml:space="preserve">IDEAL ANDERSON TECHNOLOGIES(SHENZHEN)LTD          </t>
  </si>
  <si>
    <t xml:space="preserve">HEILIND ASIA PACIFIC (SH) LTD                     </t>
  </si>
  <si>
    <t xml:space="preserve">UNIRISE ELECTRONICS CO .,LTD                      </t>
  </si>
  <si>
    <t xml:space="preserve">HUIZHOU YUCHUANG MECHANICAL EQUIPMENT CO LTD      </t>
  </si>
  <si>
    <t xml:space="preserve">SHANGHAI JINWEI INDUSTRY CO.,LTD MD               </t>
  </si>
  <si>
    <t xml:space="preserve">GUANGZHOU HENGXINKEDI ELECTRONIC CO.,LTD          </t>
  </si>
  <si>
    <t xml:space="preserve">EG(SHANGHAI)COMMERCIAL CO.,LTD                    </t>
  </si>
  <si>
    <t xml:space="preserve">FRAENKISCHE PIPE-SYSIEMS(SHANGHAI) CO.,LTD        </t>
  </si>
  <si>
    <t xml:space="preserve">GUANGDONG RIFENG ELECTRIC CABLE CO.,LTD           </t>
  </si>
  <si>
    <t xml:space="preserve">POLYONE-SHENZHEN CO.LTD                           </t>
  </si>
  <si>
    <t xml:space="preserve">SIBAS ELECTRONICS(XIAMEN)CO.,LTD                  </t>
  </si>
  <si>
    <t xml:space="preserve">BACKE-SPRINGFIELD(DONGGUAN)CO.,LTD                </t>
  </si>
  <si>
    <t xml:space="preserve">QINDAO KAIFENGYUAN PLASTIC PRODUCTS CO.,LTD       </t>
  </si>
  <si>
    <t xml:space="preserve">MOLEX(CHINA)INVESTMENT CO.,LTD                    </t>
  </si>
  <si>
    <t xml:space="preserve">PEI GENESIS CONNECTORS ZHUHAI LTD                 </t>
  </si>
  <si>
    <t xml:space="preserve">CHEZHOU WANSHI ELECTRONIC COMPONENT CO.,LTD.      </t>
  </si>
  <si>
    <t xml:space="preserve">ESSENTRA COMMERCIAL COMPANY NINGBO CO.,LTD.       </t>
  </si>
  <si>
    <t xml:space="preserve">HIRSCHMANN(NANTONG)AUTOMOTIVE CO.,LTD             </t>
  </si>
  <si>
    <t xml:space="preserve">SHANGHAI EFC FASTENERS CO.,LTD                    </t>
  </si>
  <si>
    <t xml:space="preserve">DALIAN AOFEI ELECTRICAL CO.,LTD                   </t>
  </si>
  <si>
    <t xml:space="preserve">K-LIN WIRE INDUDTRY CO,LTD                        </t>
  </si>
  <si>
    <t xml:space="preserve">MENNEKES INDUSTRIAL ELECTRIC (CHINA)CO.,LTD       </t>
  </si>
  <si>
    <t xml:space="preserve">GUANGZHOU MINGSHILI HARDWARE ELECTRICAL EQUIPMENT </t>
  </si>
  <si>
    <t xml:space="preserve">HANGZHOU LOROM ELECTRIC&amp; CABLE CO                 </t>
  </si>
  <si>
    <t xml:space="preserve">YUEQING HUALING ELECTRIC CO LTD                   </t>
  </si>
  <si>
    <t xml:space="preserve">WELL FRIEND (BEIJING) TRADING CO.LTD              </t>
  </si>
  <si>
    <t xml:space="preserve">CCIC SOUTHERN ELECTRONIC PRODUCT TESTING SHENZHEN </t>
  </si>
  <si>
    <t xml:space="preserve">YUEQING CHANGDECHENG ELECTRONTCS                  </t>
  </si>
  <si>
    <t xml:space="preserve">ADVANCED COATED YARN CO.,LTD                      </t>
  </si>
  <si>
    <t>WEST UJIMQIN CYLINDER FARM MACHINERY SALES CO.,LTD</t>
  </si>
  <si>
    <t xml:space="preserve">ZOPPAS INDUSTRIES HANGZHOU LTD                    </t>
  </si>
  <si>
    <t xml:space="preserve">SHENZHEN CITY CHENGXIANG METAL CO.LTD             </t>
  </si>
  <si>
    <t xml:space="preserve">WENZHOU FENGDI CONNECTOR CO,LTD                   </t>
  </si>
  <si>
    <t xml:space="preserve">AMPHENOL PCD SHENZHEN                             </t>
  </si>
  <si>
    <t xml:space="preserve">SHENZHEN JUNCHIHUI TECHNOLOGY CO.LTD              </t>
  </si>
  <si>
    <t>ARROW (CHINA) ELECTRONICS TRADING CO., LTD. SHENZH</t>
  </si>
  <si>
    <t xml:space="preserve">NTSP Precision Technology (Shenzhen) Co., Ltd.    </t>
  </si>
  <si>
    <t xml:space="preserve">SHANGHAI QUINN ELECTRONIC TECHNOLOGY CO.,LTD      </t>
  </si>
  <si>
    <t xml:space="preserve">Zhejiang RHI electric Company LTD                 </t>
  </si>
  <si>
    <t xml:space="preserve">RYSCHEN CO.LTD.                                   </t>
  </si>
  <si>
    <t xml:space="preserve">ZHEJIANG ZHONGZHI AUTOMOBILE CO.,LTD              </t>
  </si>
  <si>
    <t xml:space="preserve">WEIPU ELECTRICAL COMMERCE DEPARTMENT              </t>
  </si>
  <si>
    <t xml:space="preserve">SHENZHEN JTK WRIRE&amp;CABLE CO.,LTD                  </t>
  </si>
  <si>
    <t xml:space="preserve">ZHONGSHAN EASEP PLASTIC PRODUCTS CO.,LTD          </t>
  </si>
  <si>
    <t xml:space="preserve">PMC SCIENCE-TECH(NANJING)INDUSTRIES CO.,LTD       </t>
  </si>
  <si>
    <t xml:space="preserve">WELL SHIN ELECTRIC KUNSHAN CO.,LTD                </t>
  </si>
  <si>
    <t xml:space="preserve">NICOMATIC(TIANJIN)ELECTRONICS CO,.LTD             </t>
  </si>
  <si>
    <t xml:space="preserve">QINGDAO YOUCI ELECTRONIC CO.,                     </t>
  </si>
  <si>
    <t xml:space="preserve">SAIC USA ING.SHANGHAI BRANCH                      </t>
  </si>
  <si>
    <t xml:space="preserve">TONGYU                                            </t>
  </si>
  <si>
    <t xml:space="preserve">QINGDAO KANGLUN JIDIAN CO.,LTD                    </t>
  </si>
  <si>
    <t xml:space="preserve">QIDONG HUITONG SCREW FACTORY                      </t>
  </si>
  <si>
    <t xml:space="preserve">ChangTai Plastic Manufacture Factory Co.,Ltd      </t>
  </si>
  <si>
    <t xml:space="preserve">FEELUX OPTOELECTRONIC(SHANGDONG)CO.,LTD           </t>
  </si>
  <si>
    <t xml:space="preserve">WENZHOU LINXIN ELECTRONICS CO:LTD                 </t>
  </si>
  <si>
    <t xml:space="preserve">ZHUJI CANU AUTOMATION EQUIPMENT CO.,LTD           </t>
  </si>
  <si>
    <t xml:space="preserve">CWB ELECTRONICS(ZHEJIANG)CO.,LTD                  </t>
  </si>
  <si>
    <t xml:space="preserve">QINGDAO LIDA ELECTRONICS CO.,LTD                  </t>
  </si>
  <si>
    <t xml:space="preserve">SHENZHEN RUNDEFU ELECTRONIC CO.,LTD               </t>
  </si>
  <si>
    <t xml:space="preserve">OUYACABLE&amp;WIRE CO.,LTD                            </t>
  </si>
  <si>
    <t xml:space="preserve">JIANGSU JIANGYANG WIRE CABLE CO.,LTD              </t>
  </si>
  <si>
    <t xml:space="preserve">QINGDAO XINRU ELECTRONIC  CO.,LTD                 </t>
  </si>
  <si>
    <t xml:space="preserve">CHUZHOU RONGKANG PLASTIC PRODUCTS CO., LTD        </t>
  </si>
  <si>
    <t xml:space="preserve">HUZHOU CAREFUL MAQNETISM CO.,LTD                  </t>
  </si>
  <si>
    <t xml:space="preserve">CHONGQING RUIREN LTD                              </t>
  </si>
  <si>
    <t xml:space="preserve">JINGJIANG JINHUI REFRIGERATOR ACCESSOTY FACTORY   </t>
  </si>
  <si>
    <t xml:space="preserve">CHUZHOU SAIYUAN INDUSTRY AND TRADE CO.,LTD        </t>
  </si>
  <si>
    <t xml:space="preserve">SHENZHEN VIIP ELECTRONIC CO.,LTD                  </t>
  </si>
  <si>
    <t xml:space="preserve">LINOYA ELECTRONIC TECHNOLOGY CO.,LTD              </t>
  </si>
  <si>
    <t xml:space="preserve">BSH HOME APPLIANCES CO., LTD                      </t>
  </si>
  <si>
    <t xml:space="preserve">TDK (SHANGHAI)ELECTRONICS LTD                     </t>
  </si>
  <si>
    <t xml:space="preserve">DONG GUAN JUGAO ADHESIVE PRODUCTS CO.,LTD         </t>
  </si>
  <si>
    <t xml:space="preserve">ANIXTER COMUNICATION(SHANG HAI)CO.LINITED         </t>
  </si>
  <si>
    <t xml:space="preserve"> GUANGZHOU PANYU CABLE GROUP CO.,LTD              </t>
  </si>
  <si>
    <t xml:space="preserve">SHENZHEN MYSUN INSULATION                         </t>
  </si>
  <si>
    <t xml:space="preserve">DONGGUAN DEYI TRADING CO.,LTD                     </t>
  </si>
  <si>
    <t xml:space="preserve">SHUNOE AOSILANG RNBBER CO LTD                     </t>
  </si>
  <si>
    <t xml:space="preserve">SHANGHAI HUICHAI INDUSTRY DEVELOMENT CO,LTD       </t>
  </si>
  <si>
    <t xml:space="preserve">SHENZHEN VICTORS INDUSTRIAL CO,.LTD               </t>
  </si>
  <si>
    <t xml:space="preserve">ZHEJIANG SANHUA TRADING CO.,LTD                   </t>
  </si>
  <si>
    <t xml:space="preserve">SHANGHAI RICHENG ELECTRONICS CO.,LTD              </t>
  </si>
  <si>
    <t xml:space="preserve">Guangzhou Panyu Cable Group Co., Ltd              </t>
  </si>
  <si>
    <t>KUNSHAN HUANGKANG PRECISION METAL PRODUCTS LIMITED</t>
  </si>
  <si>
    <t xml:space="preserve">HuangShan City Tunxi Engineering plastic Co., Ltd </t>
  </si>
  <si>
    <t>DONG GUAN CHUANGXU SONG ELECTRONIC TECHNOLOGY CO.,</t>
  </si>
  <si>
    <t xml:space="preserve">QINGDAO SAMWHA ELECTRONICS CO.,LTD                </t>
  </si>
  <si>
    <t xml:space="preserve">CHANGSHU ENVIRONMENTAL TESTING EQUIPMENT CO,.LTD  </t>
  </si>
  <si>
    <t xml:space="preserve">XING YU ELECTRON (NIGNBO)CO.,LTD                  </t>
  </si>
  <si>
    <t xml:space="preserve">COFICAB WIRE(TIANJIN)CO.,LTD                      </t>
  </si>
  <si>
    <t>JIANGSU SANYOU DIOR ENERGY-SAVING NEW MATERIALS CO</t>
  </si>
  <si>
    <t xml:space="preserve">SHENZHEN MRO-CHINA COMPANY LTD                    </t>
  </si>
  <si>
    <t>DONGGUAN RUIHE WIRIGN HARNESS MECHANICAL&amp;ELECTRICA</t>
  </si>
  <si>
    <t xml:space="preserve">QINGDAO NEWLION INTL TRADING CO.,LTD              </t>
  </si>
  <si>
    <t xml:space="preserve">SHANGHAI WG INDUSTRIAL CONTROL EQUIPMENT CO.,LTD  </t>
  </si>
  <si>
    <t xml:space="preserve">COATS SHENZHEN LTD                                </t>
  </si>
  <si>
    <t xml:space="preserve">APTIV ELECTRICAL CENTERS(SHANGHAI)                </t>
  </si>
  <si>
    <t xml:space="preserve">GuangDong OMG Transmitting Technology Co.,Ltd     </t>
  </si>
  <si>
    <t xml:space="preserve">WuHan Kaishishi Electronic Technology Co. , Ltd   </t>
  </si>
  <si>
    <t xml:space="preserve">CHANGZHOU BOCHENG PRECISION TECHNOLOGY            </t>
  </si>
  <si>
    <t xml:space="preserve">NANJING HUAGE ELETRONICS&amp;AUTOMOBLIE               </t>
  </si>
  <si>
    <t xml:space="preserve">AMPHENOL-TFC(CHANGZHOU)COMMUNICATION EQUIPMENT CO </t>
  </si>
  <si>
    <t xml:space="preserve">Amphenol Auto Connection Systems(Changzhou)       </t>
  </si>
  <si>
    <t xml:space="preserve">Suzhou rui ke da  connect system co., LTD         </t>
  </si>
  <si>
    <t xml:space="preserve">SUZHOU CURRENT POWER TECHNOLOGY CO.,LTD           </t>
  </si>
  <si>
    <t xml:space="preserve">MAANSHAN YONGXING PLASTIC MOULD CO,.LTD           </t>
  </si>
  <si>
    <t xml:space="preserve">AVIC JONHON OPTRONIC TECHNOLOGY                   </t>
  </si>
  <si>
    <t xml:space="preserve">CHUZHOU PHOENIX COOLING CO.,LTD                   </t>
  </si>
  <si>
    <t xml:space="preserve">DONGGUAN CITY YIFENG LABELS CO.,LTD               </t>
  </si>
  <si>
    <t xml:space="preserve">Circuitronix (Shenzhen) Technology Co.Ltd         </t>
  </si>
  <si>
    <t xml:space="preserve">Shanghai Reesensor  Co,.Ltd                       </t>
  </si>
  <si>
    <t xml:space="preserve">DGKYD                                             </t>
  </si>
  <si>
    <t xml:space="preserve">Shenzhen Welldone Trading Co.,Limited             </t>
  </si>
  <si>
    <t xml:space="preserve">KOSTAL(Shanghai)Kontakt Systeme Co.,Ltd           </t>
  </si>
  <si>
    <t xml:space="preserve">SHENZHEN  JIAGUANGSHUN  TECHNOLOGY  CO.,LTD       </t>
  </si>
  <si>
    <t xml:space="preserve">Arrow(China) Electronics Trading Co.,LTD.Shenzhen </t>
  </si>
  <si>
    <t xml:space="preserve">Chuzhoushi Guangyu Material Co,.LTD               </t>
  </si>
  <si>
    <t xml:space="preserve">Dynamic Electronics(Kunshan)Co.,Ltd               </t>
  </si>
  <si>
    <t xml:space="preserve">Shanghai MARUHI Electronic Technology             </t>
  </si>
  <si>
    <t xml:space="preserve">NINGBO SHUANGLIN INDUSTRIAL MANUFACTURE PRODUCTS  </t>
  </si>
  <si>
    <t xml:space="preserve">SHANGHAI JIDIAN ELECTRONICS TECHNOLOGY CO.,LTD    </t>
  </si>
  <si>
    <t xml:space="preserve">ZHE JIANG QUNXING ELECTRONIC APPLIANCE CO.,LTD    </t>
  </si>
  <si>
    <t xml:space="preserve">ELECTROMECHANICAL TECHNOLOGY CO.,LTD              </t>
  </si>
  <si>
    <t xml:space="preserve">LUMBERG ELECTRONICS(SHANGHAI)LTD                  </t>
  </si>
  <si>
    <t xml:space="preserve">SUZHOU GEM OPTO-ELECTRONICS TERMINAL CO.,LTD      </t>
  </si>
  <si>
    <t xml:space="preserve">DONG GUAN HANGYUAN ELECTRONICS TECHNOLOGY         </t>
  </si>
  <si>
    <t xml:space="preserve">SHENZHEN TONGYUAN INDUSTRIAL CO.,LTD              </t>
  </si>
  <si>
    <t>GUANGZHOU GEULU EQUIPMENTS FOR ELECTRONIC PRODUCTS</t>
  </si>
  <si>
    <t xml:space="preserve">PLASTIFLEX(SUZHOU)CO.,LTD                         </t>
  </si>
  <si>
    <t xml:space="preserve">ZHEJIANG JUNCHUANG ELECTRONICS CO.,LTD            </t>
  </si>
  <si>
    <t xml:space="preserve">SCINENCE&amp;TECHNOLOGY INDUSTRY PARK FOR ADVANCED    </t>
  </si>
  <si>
    <t xml:space="preserve">QINGDAO HEJIN INDUSTRIAL EQUIPMENT CO.,LTD        </t>
  </si>
  <si>
    <t xml:space="preserve">SHENZHEN PERENNAL PLASTICS AND METAL CO.,LTD      </t>
  </si>
  <si>
    <t xml:space="preserve">TONELUCK MECHANICAL (HUIZHOU)CO.LTD               </t>
  </si>
  <si>
    <t xml:space="preserve">SUZHOU CABLEPLUS TECHNOLOGIES CO,.LTD             </t>
  </si>
  <si>
    <t xml:space="preserve">AVERY DENNISON(GUANGZHOU)                         </t>
  </si>
  <si>
    <t xml:space="preserve">ZHUHAI HAODEDA ELECTROMECHANICL MATERIAL CO.,LTD  </t>
  </si>
  <si>
    <t xml:space="preserve">ZHEJIANG KISE TERMINAL CO.,LTD                    </t>
  </si>
  <si>
    <t xml:space="preserve">QINGDAO DINGXIN ELETRONIC TECHNOLOGY CO.,LTD      </t>
  </si>
  <si>
    <t xml:space="preserve">SHENZHEN SUNBOW INSULATION                        </t>
  </si>
  <si>
    <t xml:space="preserve">Zhenjiang Changjiang Composite Material Co,Ltd    </t>
  </si>
  <si>
    <t xml:space="preserve"> Wuxi Hongguang Biaopai youxiangongsi             </t>
  </si>
  <si>
    <t xml:space="preserve">Lutronic TCA Electronics Dongguan Co. Ltd         </t>
  </si>
  <si>
    <t xml:space="preserve">SYMBIO(DONG GUAN)CO.LTD                           </t>
  </si>
  <si>
    <t xml:space="preserve">SHENZHEN AMPRON TECHNOLOGY CO.,LTD                </t>
  </si>
  <si>
    <t xml:space="preserve">DONGGUAN WOFOO PLASTICS COMPANY LIMITED           </t>
  </si>
  <si>
    <t xml:space="preserve"> CERTOPLAST(SUZHOU)CO.,LTD                        </t>
  </si>
  <si>
    <t xml:space="preserve">THOUSAND ISLAND METAL FOIL.,LTD                   </t>
  </si>
  <si>
    <t xml:space="preserve">ZHONGSHAN CONOR ELECTRONIC TECHNOLOGY.,LTD        </t>
  </si>
  <si>
    <t xml:space="preserve">XIAMEN GEORGE ELECTRONIC TECHNOLOGY CO.,LTD       </t>
  </si>
  <si>
    <t xml:space="preserve">QINGDAO SHANSHENGSHUO CO.,LTD                     </t>
  </si>
  <si>
    <t xml:space="preserve">HUZHOU LETONG ELECTRONICS CO LTD                  </t>
  </si>
  <si>
    <t xml:space="preserve">SUZHOU BAOTE PACKAGING CO LTD                     </t>
  </si>
  <si>
    <t xml:space="preserve">SUZHOU HUIHUA ELECTRONICS TECH CO LTD             </t>
  </si>
  <si>
    <t xml:space="preserve">GUANGZHOU PANZHONG CABLE GROUP CO.,LTD            </t>
  </si>
  <si>
    <t xml:space="preserve">AWIN  WIRE&amp;CABLE CO.,LTD                          </t>
  </si>
  <si>
    <t xml:space="preserve">CHANGZHOU LEILI SUPPLY CHAIN MANAGEMENT CO.,LTD   </t>
  </si>
  <si>
    <t xml:space="preserve">GUANGDONG WELKIN THINKING ELECTRONIC              </t>
  </si>
  <si>
    <t xml:space="preserve">SHENZHEN TONGYUAN ELETRIC WIRE&amp;CABLE CO.,LTD      </t>
  </si>
  <si>
    <t xml:space="preserve">KUNSHAN ZHUO QI ELECTRONIC                        </t>
  </si>
  <si>
    <t xml:space="preserve">SHANGHAI HOPEFORE ELECTRONICS AND TECHNOLOGY      </t>
  </si>
  <si>
    <t xml:space="preserve">FUTONG SHOWA ELECTRIC                             </t>
  </si>
  <si>
    <t>SHENZHEN HONGTAIZHOU LEAD FREE TIN PRODUCTS CO LTD</t>
  </si>
  <si>
    <t xml:space="preserve">DONGGUAN ZHIMING ELECTRICAL TECHNOLOGY CO LTD     </t>
  </si>
  <si>
    <t xml:space="preserve"> Shenzhen Jiayuan Technology ., Ltd               </t>
  </si>
  <si>
    <t xml:space="preserve">QUALITY SYNTHBTIC RUBBER (Dong Guan) CO., LTD     </t>
  </si>
  <si>
    <t xml:space="preserve">Dongguan Welkin Electronic Co.,Ltd                </t>
  </si>
  <si>
    <t xml:space="preserve">DONG HANLI TECHNOLOGY CO.LTD                      </t>
  </si>
  <si>
    <t xml:space="preserve">HENGDIAN GOLDENTER ELETRONICS MANUFACTORY         </t>
  </si>
  <si>
    <t xml:space="preserve">CHANGZHOU ELECTRIC SYSTERM TECHNOLOGY CO.LTD      </t>
  </si>
  <si>
    <t xml:space="preserve">BEIJING NITTAN ELETRONICS CO.,LTD                 </t>
  </si>
  <si>
    <t xml:space="preserve">SHANGHAI REESENSOR CO.,LTD                        </t>
  </si>
  <si>
    <t xml:space="preserve">STOCKO CONTACT INTERNATIONAL TRADING              </t>
  </si>
  <si>
    <t xml:space="preserve">QINGDAO NUOJIE DIANZI KEJI YOUXIANGONGSI          </t>
  </si>
  <si>
    <t xml:space="preserve">Qingdao Wanlang Magnetoplastic Products Co. Ltd   </t>
  </si>
  <si>
    <t xml:space="preserve">Zhejiang Qinglong Rubber Tape Co. Ltd             </t>
  </si>
  <si>
    <t xml:space="preserve">Shenzhen Thecable electrical technology co. LTD   </t>
  </si>
  <si>
    <t xml:space="preserve">qingdaofuqiangdianziyouxiangongsi                 </t>
  </si>
  <si>
    <t xml:space="preserve">CHINA AMORPHOUS TECHNOLOGY CO.,                   </t>
  </si>
  <si>
    <t xml:space="preserve">YUEQING MINWANG ELECTRONICS CO., LTD.             </t>
  </si>
  <si>
    <t xml:space="preserve">KINGFA SCI.&amp;TECH.CO.,LTD                          </t>
  </si>
  <si>
    <t xml:space="preserve">SHANGHAI JING YAN TECHNOLOGY CO.,LTD              </t>
  </si>
  <si>
    <t xml:space="preserve">WUHAN DELFINGEN AUTOMOTIVE TUBING CO LYD          </t>
  </si>
  <si>
    <t xml:space="preserve">SHANGHAI LEGANG ELECTRIC CO.,LTD                  </t>
  </si>
  <si>
    <t xml:space="preserve">TOWA DENKI (SHANGHAI) CO.,LTD                     </t>
  </si>
  <si>
    <t xml:space="preserve">GUANGZHOU YIFENG LABELS CO.,LTD                   </t>
  </si>
  <si>
    <t xml:space="preserve">SHANGHAI RUSHENG ELCTRONICS CO.,LTD               </t>
  </si>
  <si>
    <t xml:space="preserve">SHANGHAI EXCELLING INDUSTRIAL CO.,LTD             </t>
  </si>
  <si>
    <t xml:space="preserve">JIAXING LVZHOU PLASTICS CO.,LTD                   </t>
  </si>
  <si>
    <t xml:space="preserve">shanghai brothon automotive technology CO.,LTD    </t>
  </si>
  <si>
    <t xml:space="preserve">zhejiang toowei electronics CO.,LTD               </t>
  </si>
  <si>
    <t xml:space="preserve">Dongguan Recheer Electrical CO.,LTD               </t>
  </si>
  <si>
    <t xml:space="preserve">JIANGSU JINHUI POLYMER TECHNOLOGY CO.,LTD         </t>
  </si>
  <si>
    <t xml:space="preserve">Guangdong Hefu New Material Technology Co.,Ltd    </t>
  </si>
  <si>
    <t xml:space="preserve">Donguan YinShun Printing Co.,LTD                  </t>
  </si>
  <si>
    <t xml:space="preserve">Shenzhen Jinyankun Technology Co.,Ltd             </t>
  </si>
  <si>
    <t xml:space="preserve">Shanghai xiangcen Technology Co., Ltd             </t>
  </si>
  <si>
    <t xml:space="preserve">Shanghai hangpin electric Co., Ltd                </t>
  </si>
  <si>
    <t>Geon Performance Solutions (Dongguan)Co.,Ltd.Houji</t>
  </si>
  <si>
    <t xml:space="preserve">Xiamen HHZ Technology CO.,LTD                     </t>
  </si>
  <si>
    <t xml:space="preserve">Shanghai Conjunclion CO.,LTD                      </t>
  </si>
  <si>
    <t xml:space="preserve">Schmersai Industrial Awitchgear(Shanghai) CO.,LTD </t>
  </si>
  <si>
    <t xml:space="preserve">Shanghai Pepperi+Fuchs Automation Trading CO.,LTD </t>
  </si>
  <si>
    <t xml:space="preserve">REMA Technology Shanghai CO.,Ltd.                 </t>
  </si>
  <si>
    <t xml:space="preserve">Sumiden International Trading (Shanghai) CO.,Ltd. </t>
  </si>
  <si>
    <t xml:space="preserve">Zhejiang Qinglong Adhesive Tape. CO.,Ltd.         </t>
  </si>
  <si>
    <t xml:space="preserve">ZHEJIANGENDAZHINENGKEJIYOUXIANGONGSI              </t>
  </si>
  <si>
    <t xml:space="preserve">Micro-Found Electronics LTD                       </t>
  </si>
  <si>
    <t xml:space="preserve">AICHIE TECH ELECTRONICS CO LTD                    </t>
  </si>
  <si>
    <t xml:space="preserve">CHINA NISSEN MFG CO.,LTD                          </t>
  </si>
  <si>
    <t xml:space="preserve">Baisheng electronic technology co.LTD             </t>
  </si>
  <si>
    <t xml:space="preserve">Kabeischiepp China Co.,LTD                        </t>
  </si>
  <si>
    <t xml:space="preserve">DONG GUAN TECSTAR TECHNOLOGY CO.,LTD.             </t>
  </si>
  <si>
    <t xml:space="preserve">BRIGHT LED ELECTRONICS CORP                       </t>
  </si>
  <si>
    <t xml:space="preserve">Changzhou Haishun Electronics Co.,LTD             </t>
  </si>
  <si>
    <t xml:space="preserve">Nan'an Xinshun Electronics Co.,LTD                </t>
  </si>
  <si>
    <t xml:space="preserve">Shenzhen Welldone Electronics Co.,Ltd.            </t>
  </si>
  <si>
    <t xml:space="preserve">Jiangxi Xinglian Jingding Electronics Co.,LTD     </t>
  </si>
  <si>
    <t xml:space="preserve">Shenzhen Hongyu Electrical Co.,Ltd                </t>
  </si>
  <si>
    <t xml:space="preserve">Hongxing Electrical Co.,Ltd Zhejiang China        </t>
  </si>
  <si>
    <t xml:space="preserve">Sz Jm Electronics Co.,Ltd.                        </t>
  </si>
  <si>
    <t xml:space="preserve">HANGZHOU YONGYI BAOZHUANGCAILIAOYOUXIANGONGSI     </t>
  </si>
  <si>
    <t xml:space="preserve">HENAN LINKCONN PRECISION TECHNOLOGY CO..LTD       </t>
  </si>
  <si>
    <t xml:space="preserve">Jiangsu Yuanda of Cable Technology Co., Ltd       </t>
  </si>
  <si>
    <t>Thinking Elextronics Technology(Shanghai) Co., Ltd</t>
  </si>
  <si>
    <t xml:space="preserve">Shunsheng(China.H.Z)Manufactory Co., LTD          </t>
  </si>
  <si>
    <t xml:space="preserve">Weifang kaici electronic technology co.,ltd       </t>
  </si>
  <si>
    <t xml:space="preserve">Qingdao Yunlu Energy Technology Co.,LTD           </t>
  </si>
  <si>
    <t xml:space="preserve">Tianjin Zapi Motion Co,.ltd                       </t>
  </si>
  <si>
    <t xml:space="preserve">Chuzhou Xiezhong Home Appliances                  </t>
  </si>
  <si>
    <t xml:space="preserve">Temos Electronics&amp;Technology Co.,ltd              </t>
  </si>
  <si>
    <t xml:space="preserve">JHE Wire(shenzhen)co.,LTD                         </t>
  </si>
  <si>
    <t xml:space="preserve">DONGGUAN WENCHANG ELECTRONIC CO.,LTD              </t>
  </si>
  <si>
    <t xml:space="preserve">BALS ELEKTROTECHNIK(KUNSHAN) CO.,LTD              </t>
  </si>
  <si>
    <t xml:space="preserve">Shanghai Qike Electronic Technology Co.,Ltd       </t>
  </si>
  <si>
    <t xml:space="preserve">Dongguan Xingliyuan Hardware Plastic Co.,LTD      </t>
  </si>
  <si>
    <t xml:space="preserve">Hong Ying Electronic Technology(Shanghai)Co.,LTD  </t>
  </si>
  <si>
    <t xml:space="preserve">Guangzhou Dingyue Electronic Technology Co.,Ltd   </t>
  </si>
  <si>
    <t xml:space="preserve">Dongguan ShiJie yiheng packaging material factory </t>
  </si>
  <si>
    <t xml:space="preserve">Dongguan Huarong Electronics Technology Co,.Ltd   </t>
  </si>
  <si>
    <t xml:space="preserve">SHEN ZHEN CEATR TECHNOLOGY  CO.,LTD.              </t>
  </si>
  <si>
    <t xml:space="preserve">HUICHANG SENSOR CO.,LTD.                          </t>
  </si>
  <si>
    <t>ZHEJIANG CHANGDECHENG ELECTRIC  APPLIANCES CO.,LTD</t>
  </si>
  <si>
    <t xml:space="preserve">PKC Vehicle Technology(suzhou) Co.,Ltd            </t>
  </si>
  <si>
    <t>Shenzhen Baohing Electric Wire&amp;Cable Manufacture C</t>
  </si>
  <si>
    <t xml:space="preserve">ShenZhen Kai Ang Electric Co.,Ltd                 </t>
  </si>
  <si>
    <t xml:space="preserve">SuZhou Norking Electronics Co.,Ltd                </t>
  </si>
  <si>
    <t xml:space="preserve">Dong Guan Joint Tech Electronic. Co.,Ltd          </t>
  </si>
  <si>
    <t xml:space="preserve">Guangdong Yongrui Cable Technology Co.,LTD        </t>
  </si>
  <si>
    <t xml:space="preserve">Shanghai Weyer Electric Co.,Ltd.                  </t>
  </si>
  <si>
    <t xml:space="preserve">XIAMEN SPARK ELECTRONICS CORPORATION LTD.         </t>
  </si>
  <si>
    <t xml:space="preserve">Jingjiang Shuangye Adhesive Technology Co.,LTD    </t>
  </si>
  <si>
    <t xml:space="preserve">Shanghai Jiazhicheng Technology Co.,LTD           </t>
  </si>
  <si>
    <t xml:space="preserve">Shenzhen Bihe Technology Co., Ltd                 </t>
  </si>
  <si>
    <t xml:space="preserve">PIC Sensors Zhuhai Ltd.                           </t>
  </si>
  <si>
    <t>DALIAN LIANCI ELECTRONIC TECHNOLOGY LIMITED COMPAN</t>
  </si>
  <si>
    <t xml:space="preserve">Shanghai Hongfa Relay Co., Ltd.                   </t>
  </si>
  <si>
    <t xml:space="preserve">ChengMao Electronics(Tianjin)Co.,Ltd.             </t>
  </si>
  <si>
    <t xml:space="preserve">TianJing XuanXing                                 </t>
  </si>
  <si>
    <t xml:space="preserve">Shenzhen luyuantong Trading Co.,Ltd               </t>
  </si>
  <si>
    <t xml:space="preserve">Horus International Electronics                   </t>
  </si>
  <si>
    <t xml:space="preserve">Shanghai Huzheng Electronic Technology Co.,Ltd    </t>
  </si>
  <si>
    <t xml:space="preserve">SHENZHEN ZHUQI ELECTRONICS CO.,LTD                </t>
  </si>
  <si>
    <t xml:space="preserve">WOGE PRECISION ELECTRICAL CO LTD                  </t>
  </si>
  <si>
    <t xml:space="preserve">Shenzhen Zoyosic Technology Co., Ltd.             </t>
  </si>
  <si>
    <t xml:space="preserve">SANCO INTELLIGENT CONNECTOR TECHNOLOGY CO,. LTD   </t>
  </si>
  <si>
    <t>Dongguan Lanxin Intelligent Manufacture technology</t>
  </si>
  <si>
    <t xml:space="preserve">YANTAI  SHOUGANG  DENSO  CO.,LTD                  </t>
  </si>
  <si>
    <t xml:space="preserve">Huizhou Nissei Plastic Co., LTD                   </t>
  </si>
  <si>
    <t xml:space="preserve">GUANGZHOU ZIQIANG AUTO PARTS CO., LTD             </t>
  </si>
  <si>
    <t xml:space="preserve">AVNET ELECTRONICS TECHNOLOGY(SHENZHEN) LTD        </t>
  </si>
  <si>
    <t xml:space="preserve">DONGGUAN YUSHUO RUBBER CO., LTD                   </t>
  </si>
  <si>
    <t xml:space="preserve">FAIR-RITE JIANGSU ELECTRONICS CORP                </t>
  </si>
  <si>
    <t xml:space="preserve">Hangzhou Yufang electronic TechnologyCo., LTD     </t>
  </si>
  <si>
    <t xml:space="preserve">DONGYANG FERRITE MARITERIAL CO.,LTD               </t>
  </si>
  <si>
    <t xml:space="preserve">APTIV ELECTRICAL CENTERS(SHNGHAI) CO.,LTD         </t>
  </si>
  <si>
    <t xml:space="preserve">APTIV CONNECTION SYSTEMS(NANTONG) LTD             </t>
  </si>
  <si>
    <t xml:space="preserve">Guangdong Qianwei precision connector co., Ltd    </t>
  </si>
  <si>
    <t xml:space="preserve">HeFei RuibiaoElectronics C o,ltd                  </t>
  </si>
  <si>
    <t xml:space="preserve">SHENZHEN Mansion Technology Limited               </t>
  </si>
  <si>
    <t xml:space="preserve">SUZHOU SONGCEN KEJI YOUXIANGONGSI                 </t>
  </si>
  <si>
    <t xml:space="preserve">SHENZHENSHI MOYI DIANZI YOUXIANGONGSI             </t>
  </si>
  <si>
    <t xml:space="preserve">ZHEJIANG DELI CONNECTORS CO.,LTD                  </t>
  </si>
  <si>
    <t xml:space="preserve">HEBISHI DETIAN DIANQIYOUXIANGONGSI                </t>
  </si>
  <si>
    <t xml:space="preserve">NANJING KUKE-AUTOMATION EQUIPMENT CO.,LTD         </t>
  </si>
  <si>
    <t xml:space="preserve">SUZHOU REFINE METALWORK CO., LTD                  </t>
  </si>
  <si>
    <t xml:space="preserve">CHENGDU EFHON TECHNOIOGY CO.,LTD                  </t>
  </si>
  <si>
    <t xml:space="preserve">DONGGUAN HUACANN ELECTRONICS CO.,LTD              </t>
  </si>
  <si>
    <t xml:space="preserve">super award co.，ltd dongguan office              </t>
  </si>
  <si>
    <t xml:space="preserve">JIANGSU HUACHENG KEJI YOUXIANGONGSI               </t>
  </si>
  <si>
    <t xml:space="preserve">SHENZHEN OUNUOKE ELECTRONIC CO.,LTD               </t>
  </si>
  <si>
    <t xml:space="preserve">PINGHU SONGCUN ELECTRONIC CO.,LTD                 </t>
  </si>
  <si>
    <t xml:space="preserve">Endela electronics（shenzhen）co.,ltd             </t>
  </si>
  <si>
    <t xml:space="preserve">Bitron Electronic China Co.,Ltd                   </t>
  </si>
  <si>
    <t xml:space="preserve">WENZHOU ZHONGYUE QICHEDIANQIYOUXIANGONGSI         </t>
  </si>
  <si>
    <t>ZHONGSHAN ZHENGRUO MECHATRONICS TECHNOLOGY CO.,LTD</t>
  </si>
  <si>
    <t xml:space="preserve">EASE INDUSTRIES &amp; INVESTMENTS CO.. LTD            </t>
  </si>
  <si>
    <t xml:space="preserve">I.L.M.E China                                     </t>
  </si>
  <si>
    <t xml:space="preserve">SHENZHEN ANDELI LABOUR PROTECTION ARTICLE CO.LTD  </t>
  </si>
  <si>
    <t xml:space="preserve">GUANGDONG ANJIAN EQUIPMENT AND ENGINEERING CO.LTD </t>
  </si>
  <si>
    <t>GUANGZHOU BAOHUA MACHINERY AND ELECTRICS SALE DEPT</t>
  </si>
  <si>
    <t xml:space="preserve">GUANGZHOU CHENLIN SCIENCE CO.,LTD                 </t>
  </si>
  <si>
    <t xml:space="preserve">CONGHUA TAIPING CHENGCHANG STORE                  </t>
  </si>
  <si>
    <t xml:space="preserve">GUANGDONG CAILUN PAPER-MAKING DEVELOPMENT CO.,LTD </t>
  </si>
  <si>
    <t>GUANGZHOU DETAI PETROLEUM CHEMICAL INDUSTRY CO.,LT</t>
  </si>
  <si>
    <t xml:space="preserve">DONGGUAN DINGTAIXIN ELECTRONICS CO.,LTD           </t>
  </si>
  <si>
    <t>GUANGZHOU XINGANG RIXIN ELECTRIC EQUIPMENT FACTORY</t>
  </si>
  <si>
    <t xml:space="preserve">GUANGHUA PRINTING FACTORY                         </t>
  </si>
  <si>
    <t xml:space="preserve">CONGHUA GUOTAI FURNITURE STORE                    </t>
  </si>
  <si>
    <t xml:space="preserve">GUANGZHOU XINFEIYING SALE DEPT.                   </t>
  </si>
  <si>
    <t xml:space="preserve">SHENZHEN GUANGYUNDA INDUSTRY CO.,LTD              </t>
  </si>
  <si>
    <t xml:space="preserve">GUANGZHOU PANYU GAOMIJI METAL PRODUCT SALE DEPT.  </t>
  </si>
  <si>
    <t>SHENZHEN HONGYING ELECTRICS AND INDUSTRY GOODS STO</t>
  </si>
  <si>
    <t xml:space="preserve">GUANGZHOU FANGCUN HONGYUE PLASTIC SALE DEPT.      </t>
  </si>
  <si>
    <t xml:space="preserve">GUANGZHOU HENGHUI COLLIGATE SALE DEPT.            </t>
  </si>
  <si>
    <t xml:space="preserve">GUANGZHOU JIUFO HONGFA HARDWARE STORE             </t>
  </si>
  <si>
    <t xml:space="preserve">ZHONGSHAN HONGWEI ELECTRONIC APPARATUS SALE DEPT. </t>
  </si>
  <si>
    <t>SHENZHEN HAOWEI INDUSTRY DEVELOPMENT MACHINE FACTO</t>
  </si>
  <si>
    <t xml:space="preserve">GUANGZHOU LUOGANG QU JIUFO CHENGYE PRINT FACTORY  </t>
  </si>
  <si>
    <t xml:space="preserve">DONGGUAN JINJI PLASTIC MACHINE CO.,LTD            </t>
  </si>
  <si>
    <t xml:space="preserve">GUANGZHOU LIZHI TRADE CO.,LTD                     </t>
  </si>
  <si>
    <t xml:space="preserve">GUANGZHOU PANYU LONGCHANG TRADE DEPT.             </t>
  </si>
  <si>
    <t xml:space="preserve">CONGHUA TAIPING MANYI FURNITURE STORE             </t>
  </si>
  <si>
    <t xml:space="preserve">NANSHAN NANBIN SAFETY ARTICLE STORE               </t>
  </si>
  <si>
    <t xml:space="preserve">DONGGUAN NUOXIN HARDWARE MACHINING STORE          </t>
  </si>
  <si>
    <t xml:space="preserve">GUANGZHOU OUXING PACKING CO.,LTD                  </t>
  </si>
  <si>
    <t xml:space="preserve">QUEXIN ALPHA METAL(SHENZHEN) CO.,LTD              </t>
  </si>
  <si>
    <t xml:space="preserve">SUN EAST ELECTRONIC DEVELOPMENT(SHENZHEN)CO.,LTD  </t>
  </si>
  <si>
    <t xml:space="preserve">CONGHUA SHENGTONG PAPER AND PLASTIC FACTORY       </t>
  </si>
  <si>
    <t>ZHEJIANG SHUGUANG PRINT CO.,LTD (GUANGZHOU OFFICE)</t>
  </si>
  <si>
    <t xml:space="preserve">GUANGZHOU SUIJI HARDWARE TOOL STORE               </t>
  </si>
  <si>
    <t xml:space="preserve">GUANGZHOU SUIJIANYE HARDWARE ELECTRIC CO.,LTD     </t>
  </si>
  <si>
    <t>GUANGZHOU PANYU JINGMEI HARDWARE MACHINERY FACTORY</t>
  </si>
  <si>
    <t xml:space="preserve">CONGHUA GONGXIASHE AGRICULTURE TOOL SALE DEPT.    </t>
  </si>
  <si>
    <t xml:space="preserve">GUANGZHOU TONGDA ELECTRIC EQUIPMENT FACTORY       </t>
  </si>
  <si>
    <t>GUANGZHOU JIUFO WUYANG HARDWARE AND ELECTRIC STORE</t>
  </si>
  <si>
    <t xml:space="preserve">GUANGZHOU XIONGXING HARDWARE MATERIAL SALE DEPT.  </t>
  </si>
  <si>
    <t xml:space="preserve">SHENZHEN SUNLEADER ELECTRONICS CO.,LTD(SZ BRANCH) </t>
  </si>
  <si>
    <t xml:space="preserve">GUANGZHOU XINQINGFENG HARDWARE COLLIGATE STORE    </t>
  </si>
  <si>
    <t>GZ XINYA ENVIRONMENT PROTECTING PRODUCT SALE DEPT.</t>
  </si>
  <si>
    <t>SHENZHEN XINYA TOOLS CHAIN STORE(GUANGZHOU BRANCH)</t>
  </si>
  <si>
    <t>GUANGZHOU XINDE HARDWARE &amp; MACHI.&amp; ELECT.SALE DEPT</t>
  </si>
  <si>
    <t xml:space="preserve">DONGGUAN XINYI GALVANOTHERMY MACHINERY CO.,LTD    </t>
  </si>
  <si>
    <t xml:space="preserve">GUANGZHOU HAOTONG MACHIERY &amp; ELECTRIC CO.,LTD     </t>
  </si>
  <si>
    <t xml:space="preserve">GUANGZHOU YIYANG DECORATION CO.,LTD               </t>
  </si>
  <si>
    <t xml:space="preserve">CONGHUA ZHUOSHENG OFFICE ARTICLE SALE CENTRE      </t>
  </si>
  <si>
    <t xml:space="preserve">SUZHOU TIANHUA SUPER NEAT SCIENCE CO.,LTD         </t>
  </si>
  <si>
    <t xml:space="preserve">GUANGZHOU YUANDA STICKINESS BELT FACTORY          </t>
  </si>
  <si>
    <t xml:space="preserve">TIAIQIONGSI ELEVATOR PART(SHANGHAI)CO.,LTD        </t>
  </si>
  <si>
    <t xml:space="preserve">ZHONGSHAN DONGQU XINBING ELECTRIC MOULD FACTORY   </t>
  </si>
  <si>
    <t xml:space="preserve">GUANGZHOU ZHONGCUI TRADE CO.,LTD                  </t>
  </si>
  <si>
    <t xml:space="preserve">GUANGZHOU SHANZHIFENG CHEMICAL CO.,LTD            </t>
  </si>
  <si>
    <t>GUANGZHOU TIANDA YONGYU ELECTRICS MANUFACTURE CO.L</t>
  </si>
  <si>
    <t>DONGGUAN HENGLI HAIFENG MOULD HARDWARE MACHINING D</t>
  </si>
  <si>
    <t xml:space="preserve">SHENZHEN TESIJIE CLEAN ARTICLE CO.,LTD            </t>
  </si>
  <si>
    <t xml:space="preserve">GUANGZHOU LIYUAN MACHINERY MATERIAL TRADE DEPT.   </t>
  </si>
  <si>
    <t xml:space="preserve">GUANGDONG PRODUCT QUALITY INSPECTION CENTRE       </t>
  </si>
  <si>
    <t xml:space="preserve">HUASHENG SCIENCE EQUIPMENT(GUANGZHOU)CO.,LTD      </t>
  </si>
  <si>
    <t xml:space="preserve">GUANGZHOU YIHAI OFFICE ARTICLE STORE              </t>
  </si>
  <si>
    <t>GUANGZHOU HENGYIDA MACHINIC-ELECTRONIC EQUIPMENT C</t>
  </si>
  <si>
    <t xml:space="preserve">GUANGDONG ZHUOYU SCIENCE DEVELOPMENT CO.,LTD      </t>
  </si>
  <si>
    <t xml:space="preserve">GUANGZHOU TCL ELCTRICS SALES CO.,LTD              </t>
  </si>
  <si>
    <t>FOSHAN JIEXIANG HARDWARE &amp; MACHINC-ELCTRCNIC MATER</t>
  </si>
  <si>
    <t xml:space="preserve">GUANGZHOU LONGFANG OFFICE ARTICLE SALES DEPT.     </t>
  </si>
  <si>
    <t xml:space="preserve">GUANGZHOU TIANHE XINFEIYING SALES DEPT.           </t>
  </si>
  <si>
    <t xml:space="preserve">GUANGZHOU FUYU SCIENCE CO.LTD                     </t>
  </si>
  <si>
    <t xml:space="preserve">SHENZHEN KAITAI SCIENCE CO.LTD                    </t>
  </si>
  <si>
    <t xml:space="preserve">GUANGZHOU FENGDELI INDUSTRY CO.LTD                </t>
  </si>
  <si>
    <t xml:space="preserve">DONGGUAN GOLD STAR ELECTRONICS DEVICES CO.LTD     </t>
  </si>
  <si>
    <t xml:space="preserve">DONGGUAN SHIJIE SANFENG STEEL MOULD FACTORY       </t>
  </si>
  <si>
    <t xml:space="preserve">SHENZHEN NANSHAN XINXING SAFETY ARTICLES STORE    </t>
  </si>
  <si>
    <t xml:space="preserve">GUANGZHOU MINGCUI ELCTRONICS CO.LTD               </t>
  </si>
  <si>
    <t xml:space="preserve">GUANGZHOU YITIAN COMMUNICATION SYSTEM TEC.CO.LTD  </t>
  </si>
  <si>
    <t xml:space="preserve">GUANGZHOU EQUAL INFORMATION TECHNOLOGY CO.LTD     </t>
  </si>
  <si>
    <t xml:space="preserve">DONG GUAN HUANG JIANG DA XIN DIANNAO KEJI FUWUBU  </t>
  </si>
  <si>
    <t xml:space="preserve">DONGGUAN HUMEN LIANGYOU JIXIE SHOP                </t>
  </si>
  <si>
    <t xml:space="preserve">ZHUHAI KEPUK MACHINE EQUIPMENT CO.,LTD            </t>
  </si>
  <si>
    <t xml:space="preserve">GUANGZHOU HENGLIDA TRADE CO.,LTD                  </t>
  </si>
  <si>
    <t xml:space="preserve">GUANGZHOU LINGGAO ELECTRONICS SCIENCE CO.,LTD     </t>
  </si>
  <si>
    <t xml:space="preserve">GUANGZHOU HUAMAO CHUANGYU TRADE CO.,LTD           </t>
  </si>
  <si>
    <t>GUANGZHOU YUYA MACHINERY&amp;ELECTRIC EQUIPMENT CO,.LT</t>
  </si>
  <si>
    <t>ZHONGSHAN JUNTENG AIR-CONDITION PURIFICATION EQUIP</t>
  </si>
  <si>
    <t xml:space="preserve">GUANGZHOU JIUFO NANHUA PRINTING FACTORY           </t>
  </si>
  <si>
    <t>ZHONGSHAN XIALAN XIECHENG PIPELINE EQUIPMENT STORE</t>
  </si>
  <si>
    <t xml:space="preserve">GUANGZHOU AODI CONTROL TECHNOLOGY CO.,LTD         </t>
  </si>
  <si>
    <t xml:space="preserve">VITA-WHEEL FORKLIFT(DONGGUAN) CO.,LTD             </t>
  </si>
  <si>
    <t xml:space="preserve">KOMAX (SHANGHAI) CO.,LTD                          </t>
  </si>
  <si>
    <t>CHUANGZHAO COMPUTER TEC.&amp;NETWORK DEVELOPING CO.,LT</t>
  </si>
  <si>
    <t xml:space="preserve">KELI COMPRESSED AIR SYSTEM ENGINEERING CO.,LTD    </t>
  </si>
  <si>
    <t xml:space="preserve">ATALAS KEPUK(SHANGHAI) TRADE CO.,LTD              </t>
  </si>
  <si>
    <t xml:space="preserve">GUANGZHOU GUANGKONG MACHINERY &amp; ELECTRICS STORE   </t>
  </si>
  <si>
    <t xml:space="preserve">CHINA PETROLEUM N.G.CO.,LTD GUANGZHOU BRANCH      </t>
  </si>
  <si>
    <t xml:space="preserve">GUANGZHOU DONGHUA FORKLIFT EQUIPMENT SALES DEPT.  </t>
  </si>
  <si>
    <t xml:space="preserve">GUANGZHOU YIHAI OFFICAL ARTICLE STORE             </t>
  </si>
  <si>
    <t xml:space="preserve">SHENZHEN NANJU GOODS DELIVERY EQUIPMENT CO.,LTD   </t>
  </si>
  <si>
    <t xml:space="preserve">ZHUHAI WEISHENG TRADING CO.,LTD                   </t>
  </si>
  <si>
    <t xml:space="preserve">GUANGZHOU RONGHUA DECRATING ENGINEERING CO,LTD    </t>
  </si>
  <si>
    <t xml:space="preserve">CHINA PETROLEUM &amp; CHEMICAL CORPORATION            </t>
  </si>
  <si>
    <t xml:space="preserve">GUANGZHOU TIANDA SEAL CARVING CENTRE              </t>
  </si>
  <si>
    <t xml:space="preserve">SMARTECH INDUSTRY AUTOMATION SUPPLY CO.,LTD       </t>
  </si>
  <si>
    <t xml:space="preserve">DONG GUAN DA XU WU JIN MO JU CHANG                </t>
  </si>
  <si>
    <t xml:space="preserve">DONGGUAN BAOJIAN PAPERS CO.,LTD                   </t>
  </si>
  <si>
    <t xml:space="preserve">WENZHOU SUNDOO INSTRUMENTS CO.,LTD                </t>
  </si>
  <si>
    <t xml:space="preserve">GUANGZHOU PENGSHENG TRADE CO.,LTD                 </t>
  </si>
  <si>
    <t>DONGGUAN DONGCHENG NANSHI ELECTRON COMPONENTS STOR</t>
  </si>
  <si>
    <t>ZHONGSHAN XINHUI PRECISION HARDWARE MACHINING FACT</t>
  </si>
  <si>
    <t xml:space="preserve">GUANGZHOU DAAN FIRE CONTROLMENT INDUSTRY CO,LTD   </t>
  </si>
  <si>
    <t xml:space="preserve">DONGGUAN YAT CHUN HARDWARE MACHINING FACTORY      </t>
  </si>
  <si>
    <t>CHANGZHOU SAIEN MACHINERY&amp;ELECTRICS EQUIPMENT CO.L</t>
  </si>
  <si>
    <t xml:space="preserve">DONGGUAN XINBAOLI HARDWARE STORE                  </t>
  </si>
  <si>
    <t xml:space="preserve">GUANGZHOU LIKE HARDWARE MATERIALS STORE           </t>
  </si>
  <si>
    <t xml:space="preserve">DELL CHINA CO.,LTD                                </t>
  </si>
  <si>
    <t>GUANGZHOU JINHONGJIA ELECTRONIC MATERIALS SALES DE</t>
  </si>
  <si>
    <t xml:space="preserve">GUANGZHOU XIANCHENG GROCERIES STORE               </t>
  </si>
  <si>
    <t xml:space="preserve">BAOAN XIECHENG TERMINAL REAMER MOULD STORE        </t>
  </si>
  <si>
    <t xml:space="preserve">SHENZHEN CHAOMING ELECTRONICS CO.,LTD             </t>
  </si>
  <si>
    <t xml:space="preserve">FOSHAN CHUANGXIN SCIENCE&amp;TRADE COMPUTER CO.,LTD   </t>
  </si>
  <si>
    <t xml:space="preserve">SHENZHEN SPEED ELECTRONIC CO.,LTD                 </t>
  </si>
  <si>
    <t xml:space="preserve">GUANGZHOU HONGYUAN TRADING CO.,LTD                </t>
  </si>
  <si>
    <t xml:space="preserve">SHENZHEN BAIGUANG ELECTRONICS SCIENCE CO.,LTD     </t>
  </si>
  <si>
    <t xml:space="preserve">DONGGUAN YIGAO MACHINE CO.,LTD                    </t>
  </si>
  <si>
    <t>FOSHAN KOTAI MACHINE ELECTRICITY EQUIPMENTS CO.,LT</t>
  </si>
  <si>
    <t xml:space="preserve">FOREST PRECISION MACHINING PLANT                  </t>
  </si>
  <si>
    <t xml:space="preserve">DONGGUAN YUEHUA ELECTRONICS TECHNOLOGY CO., LTD   </t>
  </si>
  <si>
    <t xml:space="preserve">GUANGZHOU MIKASA MACHINERY PTE LTD                </t>
  </si>
  <si>
    <t>GUANGDONG HUAGUAN FIRE PROTECTION ENGINEERING CO,L</t>
  </si>
  <si>
    <t xml:space="preserve">GUANGZHOU YONGLI FORKLIFT SALE DEPARTMENT         </t>
  </si>
  <si>
    <t xml:space="preserve">SINPO INSULATION MATERIAL FACTORY                 </t>
  </si>
  <si>
    <t>GUANGZHOU ZYHUAHONG SHIPPING MATERIAL FUEL CO,.LTD</t>
  </si>
  <si>
    <t xml:space="preserve">SHENZHEN SHIJIXING COMPUTER CO,.LTD               </t>
  </si>
  <si>
    <t xml:space="preserve">SHENZHEN NANSHAN KEXING WUJINDIANQI JINGXIAOBU    </t>
  </si>
  <si>
    <t xml:space="preserve">HUIZHOU HUATENG JIAJU CO.,LTD                     </t>
  </si>
  <si>
    <t xml:space="preserve">FUTIAN WANJIALE DIANQICHENG                       </t>
  </si>
  <si>
    <t xml:space="preserve">DONGGUAN CHASHAN FUWANGYI FUZHUANG SHEJIDIAN      </t>
  </si>
  <si>
    <t xml:space="preserve">DONGGUAN CITY SHIJIE HEFENG HARDARE PLASTIC MOLD  </t>
  </si>
  <si>
    <t xml:space="preserve">DONGGUAN DU XIN ELECTRONIC CO., LTD               </t>
  </si>
  <si>
    <t xml:space="preserve">DONGGUAN HUMEN LIANGYOU JIXIE JINGYINGBU          </t>
  </si>
  <si>
    <t xml:space="preserve">LICHENG YIXING SHINEI ZHUANGSHI JINGYINGBU        </t>
  </si>
  <si>
    <t xml:space="preserve">LAB LABORATORY SCIENCE TECHNOLOGY CO., LTD        </t>
  </si>
  <si>
    <t xml:space="preserve">CANYANG MACHINERY FACTORY                         </t>
  </si>
  <si>
    <t xml:space="preserve">DONGJIN INSULATING MATERIAL STORE                 </t>
  </si>
  <si>
    <t xml:space="preserve">SHENZHEN BAO'AN SHAJING XINHE WUJIN DIANZI GONGJU </t>
  </si>
  <si>
    <t xml:space="preserve">DONGGUAN CITY PACKING MATERIAL LTD.               </t>
  </si>
  <si>
    <t>BAI XIANG NUMERAL SCIENCE AND TECHNOLOGY SERVE CO.</t>
  </si>
  <si>
    <t xml:space="preserve">SHENZHEN HONG XING ELECTRONIC TOOL BUSINESS       </t>
  </si>
  <si>
    <t xml:space="preserve">GUANGZHOU ZHUOCHUANG OFFICE EQUIPMENTS CO., LTD   </t>
  </si>
  <si>
    <t xml:space="preserve">OCEANPACK PACKAGING CORPORATION                   </t>
  </si>
  <si>
    <t xml:space="preserve">SHENZHEN CIG(SONGGANG) ELECTRICAL SERVICE BRANCH  </t>
  </si>
  <si>
    <t>DONGGUAN SHIJIE SHENG DA PACKING MATERIAL DEPARTME</t>
  </si>
  <si>
    <t xml:space="preserve">KELONDA ULTRASONIC EQUIPMENT CO., LTD             </t>
  </si>
  <si>
    <t xml:space="preserve">PRACTICAL SOLUTION TRADING (SHANGHAI) CO., LTD    </t>
  </si>
  <si>
    <t xml:space="preserve">QIAOZHI PRECISION MACHINING DEPT.                 </t>
  </si>
  <si>
    <t xml:space="preserve">DONGGUAN DE'ER INDUSTRY SEVERICE CO., LTD         </t>
  </si>
  <si>
    <t xml:space="preserve">SANHE SHENG STEEL MOLD                            </t>
  </si>
  <si>
    <t xml:space="preserve">ELINK ELECTRONIC TECHNOLOGY CO.,LTD               </t>
  </si>
  <si>
    <t xml:space="preserve">FOSHAN SHUNDE HONGLONG HARDWARE&amp;FURNITURE PLANT   </t>
  </si>
  <si>
    <t xml:space="preserve">SHENZHEN SLC TECHNOLOGY CO., LTD                  </t>
  </si>
  <si>
    <t>GUANGZHOUBAIYUNQUHUANGSHIANSHENG FIER EQUIPMENT DE</t>
  </si>
  <si>
    <t xml:space="preserve">DONGGAUN WANJIANG HUAYA HARDWARE ELECTRONIC STORE </t>
  </si>
  <si>
    <t>SUN RISES THE HARDWARE ELECTRONIC PRODUCTS CO. LTD</t>
  </si>
  <si>
    <t xml:space="preserve">DONG GUAN RUI HAO JINGMI WUJIN PEIJIAN DIAN       </t>
  </si>
  <si>
    <t xml:space="preserve">BOLUO FUTIAN YOUYI ZHUANGSHI CAILIAO BU           </t>
  </si>
  <si>
    <t xml:space="preserve">SUN RISES THE HARDWARE ELECTRONIC PRODUCTS CO.LTD </t>
  </si>
  <si>
    <t>SHENZHEN YONGJIE MACHINERY ELECTRICAL EQUIPMENT CO</t>
  </si>
  <si>
    <t xml:space="preserve">GUANG DONG  KE WANG YOU XIAN GONG SI              </t>
  </si>
  <si>
    <t>HENGTONGWEIYE ELECTRONIC INSTRUMENT LONGGANGPINGHU</t>
  </si>
  <si>
    <t xml:space="preserve">ZHIXIN AUTOMATION GUANGZHOU LTD                   </t>
  </si>
  <si>
    <t xml:space="preserve">HONG FENG MOLD PROCESSING SHOP                    </t>
  </si>
  <si>
    <t xml:space="preserve">HUI ZHOU SHI SHANG ZHUN CHEN SHEBEI LTD           </t>
  </si>
  <si>
    <t xml:space="preserve">BO LUO SHI WAN XIN GUAN DIANZI JINGYING BU        </t>
  </si>
  <si>
    <t xml:space="preserve">DONG GUAN SHI SHI JIE CHUANG MING JI XIE MO JU    </t>
  </si>
  <si>
    <t xml:space="preserve">SHANGHAI WESTEL TESTING MATERIALS CO.LTD          </t>
  </si>
  <si>
    <t xml:space="preserve">GUANG ZHOU SANQ DIESEL GENSETS CO. LTD.           </t>
  </si>
  <si>
    <t xml:space="preserve">XIN XI CHAN YE BU DIAN ZI DI WU YAN JIU SUO       </t>
  </si>
  <si>
    <t xml:space="preserve">HUIZHOU FUSHEN FUZHUANG XIAOSHOU LTD.             </t>
  </si>
  <si>
    <t xml:space="preserve">CAMDA GENERATOR WORR CO.,LTD                      </t>
  </si>
  <si>
    <t>DONGGUANQIAOTOU YANGZHOU GAOZHOUBO JIXIEJINGYINGBU</t>
  </si>
  <si>
    <t xml:space="preserve">ZHONG GUODIANZI JICHU CHANPIN ZHUANGBEI GONGSI    </t>
  </si>
  <si>
    <t xml:space="preserve">GUANG DONG SHANGDUN LVSHI SHIWUSUO                </t>
  </si>
  <si>
    <t xml:space="preserve">DONG GUAN SHI GUO WEI WUJIN SHEBEI YOUXIAN GONGSI </t>
  </si>
  <si>
    <t xml:space="preserve">DONGGUAN ELITE INDUSTRIAL.CO.LTD                  </t>
  </si>
  <si>
    <t xml:space="preserve">BOLUO XIAN FUTIAN GUOFENG WUJIN ZHIPIN CHUANG     </t>
  </si>
  <si>
    <t xml:space="preserve">GUANGZHOU SHI TIEQI ZHIGUAN YOU XIANGONGSI        </t>
  </si>
  <si>
    <t xml:space="preserve">GUANGDONG HUIZHOU QUALITY &amp; MEASURING SUPERVISION </t>
  </si>
  <si>
    <t xml:space="preserve">SHENZHENSHI JIEFURUI DIANZI SHANGHANG             </t>
  </si>
  <si>
    <t xml:space="preserve">GUANG ZHOU SHIMAI INFORMATION                     </t>
  </si>
  <si>
    <t xml:space="preserve">BOLUOXIANFUTIANZHENYONGXINGWUJINJIAODIAN MEN SHI  </t>
  </si>
  <si>
    <t xml:space="preserve">HUIZHOU JIANG LING AUTO.CO.LTD.                   </t>
  </si>
  <si>
    <t xml:space="preserve">DONGGUAN SHI JINMING ZHUANGSHI GONGCHENG CO.LTD   </t>
  </si>
  <si>
    <t xml:space="preserve">FOSHAN SHI ZHUOHAO JIDIAN SHEBEI CO. LTD          </t>
  </si>
  <si>
    <t xml:space="preserve">GUANGZHOU ZENGCHENG JINTAI JIAJU PIFA CHENG       </t>
  </si>
  <si>
    <t xml:space="preserve">HUIZHOU SHI HUICHENG QU HUI MING HARDWARE SHOP    </t>
  </si>
  <si>
    <t xml:space="preserve">GUANGZHOU TENGTIAN GONGYE QICAI CO. LTD.          </t>
  </si>
  <si>
    <t xml:space="preserve">HUIZHOU SHI HUICHENG QU GUOTAI PC TECHNIC SERVICE </t>
  </si>
  <si>
    <t xml:space="preserve">ZENGCHENG SHI JIAJIALE DIANQI CO. LTD             </t>
  </si>
  <si>
    <t xml:space="preserve">FU YE SHUIDIAN ANZHUANG YOUXIAN GONGSI            </t>
  </si>
  <si>
    <t xml:space="preserve">HUIZHOUSHI FEIBIDA TULIAO JISHU GONGCHENG CO.LED. </t>
  </si>
  <si>
    <t xml:space="preserve">DONGGUANSHI WANSHIDA CANGCHU SHEBEI CO.LTD        </t>
  </si>
  <si>
    <t xml:space="preserve">DONGGUANSHI CHANGPING HONGXING KONGTIAOJIDIAN     </t>
  </si>
  <si>
    <t xml:space="preserve">DONGGUAN FORSIGHT TECHNOLOGY CO.LTD               </t>
  </si>
  <si>
    <t xml:space="preserve">SKYRAY INSTRUMENT INC.                            </t>
  </si>
  <si>
    <t xml:space="preserve">HUI ZHOU HISOFT CO.LTD.                           </t>
  </si>
  <si>
    <t xml:space="preserve">SHANGHAI DIYI YIBIAO CO.LTD.                      </t>
  </si>
  <si>
    <t xml:space="preserve">DONGGUANSHI YICHU CHUFANG SHEBEI CO.LTD.          </t>
  </si>
  <si>
    <t xml:space="preserve">GUANGZHOU JIESHENG TECHNOLOGY LTD.                </t>
  </si>
  <si>
    <t xml:space="preserve">HENG SHINKI ELECTRONIC(QING DAO)CO., LTD          </t>
  </si>
  <si>
    <t xml:space="preserve">QINGDAO DELEPMENT AREA TECHNOLOGY CO.,LTD         </t>
  </si>
  <si>
    <t xml:space="preserve">QINGDAO XIN LIN BAOZHUANG ZHIPIN CO.,LTD          </t>
  </si>
  <si>
    <t xml:space="preserve">QINGDAO HANG  SHUN  BAOZHUANG CAILIAO CO.,LTD     </t>
  </si>
  <si>
    <t xml:space="preserve">QINGDAO RUI HENG JIA CO.,LTD                      </t>
  </si>
  <si>
    <t xml:space="preserve">QINGDAO FUYONGGE CO.,LTD                          </t>
  </si>
  <si>
    <t xml:space="preserve">QING DAO JINYAO GONGMAO CO.,LTD                   </t>
  </si>
  <si>
    <t xml:space="preserve">DONG GUAN SHI CHANGAN YUANRONG WUJIN JIAGONG SHOP </t>
  </si>
  <si>
    <t xml:space="preserve">ZHUHAI WEIJIA JIDIAN EQUIPMENT CO,LTD             </t>
  </si>
  <si>
    <t xml:space="preserve">HUIZHOUSHI XINKAIPU KEIJI CO,LTD                  </t>
  </si>
  <si>
    <t xml:space="preserve">DONGGUANSHI CHANGTONG SHIYOU HUAGONG MAOYI CO,LTD </t>
  </si>
  <si>
    <t xml:space="preserve">DONGGUANSHI ZHANGMUTOU JIAJIE QINGJIE SHOP        </t>
  </si>
  <si>
    <t>HUIZHOU HUICHENG LIANCHENG ZHONGGANG GUANGGAO SHOP</t>
  </si>
  <si>
    <t xml:space="preserve">MOVIDA INTERNATIONAL FORWARDER                    </t>
  </si>
  <si>
    <t>HUI CHENG QU GUANGSHENG JIDIAN PEIJIAN JINGXIAO BU</t>
  </si>
  <si>
    <t>DONGGUAN SHI NANCHENG HONGFA WUJIN DIANQI JINGYING</t>
  </si>
  <si>
    <t xml:space="preserve">DONGGUAN QIANDAO JINSHU XIPIN                     </t>
  </si>
  <si>
    <t xml:space="preserve">BOLUO HENGXINGDIANZI SHOP                         </t>
  </si>
  <si>
    <t xml:space="preserve">DONGGUANSHI SHIJIE YISHUN JIXIE PEIJIAN SHOP      </t>
  </si>
  <si>
    <t>GUANGDONGSHENG HUIZHOUSHI QIFENG YIQIYIBIAO CO,LTD</t>
  </si>
  <si>
    <t xml:space="preserve">DONGGUAN RUIHE ELECTRICAL TECHNOLOGY CO,.LTD      </t>
  </si>
  <si>
    <t xml:space="preserve">HUIZHOUSHI JIATONG ZIXUN CO,LTD                   </t>
  </si>
  <si>
    <t xml:space="preserve">DONGGUANSHI CHANGAN HONGRI DIANZI CO,LTD          </t>
  </si>
  <si>
    <t xml:space="preserve">HUIZHOU JUNHONG KEMAO CORPORATION LIMITED         </t>
  </si>
  <si>
    <t xml:space="preserve">ADVANCE TECHNOLOGIES CO.,LTD                      </t>
  </si>
  <si>
    <t>TRONFAN TECHNOLOGICAL ELECTRONIC TOOL SERVICE DEPT</t>
  </si>
  <si>
    <t xml:space="preserve">SCHLEUNIGER TRADING (SHANGHAI)CO.,LTD             </t>
  </si>
  <si>
    <t xml:space="preserve">GUANGZHOU KEXIN INSTRUMENT CO.,LTD                </t>
  </si>
  <si>
    <t xml:space="preserve">TONGXIN KANGTI AMUSEMENT TOYS COMPANY             </t>
  </si>
  <si>
    <t xml:space="preserve">SHITONG MEASURERED INSTRUMENTS SERVICE CO.,LTD    </t>
  </si>
  <si>
    <t xml:space="preserve">SHANGHAI HOREN SCIENCE &amp; TECHNOLOGY CO.,LTD       </t>
  </si>
  <si>
    <t xml:space="preserve">VOLOX INDUSTRIAL EQIPMENT CO.LTD                  </t>
  </si>
  <si>
    <t xml:space="preserve">GUANGZHOU IDC SOLUTIONS COMPANY LIMITED           </t>
  </si>
  <si>
    <t xml:space="preserve">BUOLUO HUIYU OFFICE MACHINE BUSINESS DEPARTMENT   </t>
  </si>
  <si>
    <t xml:space="preserve">PETROL CHEMICAL STOCK COMPANY IN HUIZHOU.CHINA    </t>
  </si>
  <si>
    <t xml:space="preserve">FO SHAN HUAKAI ELEVATOR LTD                       </t>
  </si>
  <si>
    <t xml:space="preserve">HUIZHOUSHI SANFENG REFRIGERATION MATCHINE LIMITED </t>
  </si>
  <si>
    <t xml:space="preserve">HUIZHOUSHI JIUWEI COMPANY                         </t>
  </si>
  <si>
    <t>GOLDHUANGSUN ADHESION DISPENSING&amp;COATING MACHINE C</t>
  </si>
  <si>
    <t xml:space="preserve">TRIVERS AUTOMATION SHANGHAI PTY                   </t>
  </si>
  <si>
    <t xml:space="preserve">DONGGUANSHI SUONING ELECTRONICS CO.,LTD           </t>
  </si>
  <si>
    <t xml:space="preserve">HUIZHOU SHI HUICHENG QU XINLI MACHINE CO.,LTD     </t>
  </si>
  <si>
    <t xml:space="preserve">GUANGLONG BAIHUO COMPANY                          </t>
  </si>
  <si>
    <t xml:space="preserve">HUIZHOU SHI HUICHENG QU HONGTAI MACHINE CO.,LTD   </t>
  </si>
  <si>
    <t xml:space="preserve">DONGGUAN YUANJING MACHINERY CO.,LTD               </t>
  </si>
  <si>
    <t xml:space="preserve">HUIZHOU CITY HUICHENGQU YUHUI OFFICE SALE DEP     </t>
  </si>
  <si>
    <t xml:space="preserve">SHICEKEMAO OF SHANGHAI CITY CO.LTD                </t>
  </si>
  <si>
    <t xml:space="preserve">SHENZHEN JINGHAIMA E-COMMERCE CO., LTD            </t>
  </si>
  <si>
    <t xml:space="preserve">HUIZHOU ZHIWEIDA COLD PROJECT CO.LTD              </t>
  </si>
  <si>
    <t xml:space="preserve">CHONGQING YANGJIAN TECHNOLOGY CO LTD              </t>
  </si>
  <si>
    <t xml:space="preserve">HUIZHOU TIANHONG COMPANY CO,LTD                   </t>
  </si>
  <si>
    <t xml:space="preserve">SHENZHEN CITY XINSHAN TRADING CO.,LTD             </t>
  </si>
  <si>
    <t xml:space="preserve">DONGGUANSHI ZHONGYANG PLASTIC CO.,LTD             </t>
  </si>
  <si>
    <t xml:space="preserve">GUANGDONG FIVE-STAR SOLAR ENERGY CO.,LTD          </t>
  </si>
  <si>
    <t xml:space="preserve">GUANGZHOU ZHILING CO.,LTD                         </t>
  </si>
  <si>
    <t xml:space="preserve">XIAMEN XINGHONGHUA ELECTRONIC TECHNOLOGY CO.,LTD  </t>
  </si>
  <si>
    <t>HUIZHOUCITY HUICHENGQU DEXIN PACKING MATERIAL SHOP</t>
  </si>
  <si>
    <t xml:space="preserve">SHENZHEN YIYUANXING AUTOMATIC DOOR CO.,LTD        </t>
  </si>
  <si>
    <t xml:space="preserve">HUIZHOUSHI JINSHENG ELECTRIAL EQUIPMENT CO.,LTD   </t>
  </si>
  <si>
    <t xml:space="preserve">DONGGUAN DEAR INDUSTRY SERIVCE CO.,LTD            </t>
  </si>
  <si>
    <t xml:space="preserve">HUICHENGQU LIANCHENG ZHONGGANG GUANGGAO SHOP      </t>
  </si>
  <si>
    <t xml:space="preserve">DONGGUAN HUMEN HOUHENG EQUIPMENT SHOP             </t>
  </si>
  <si>
    <t xml:space="preserve">CHAGNZHOU WOERKE ELECTRONIC CO.LTD                </t>
  </si>
  <si>
    <t xml:space="preserve">EMDEP AUTOMOTIVE HAMESS CO.,LTD                   </t>
  </si>
  <si>
    <t xml:space="preserve">BOLUOXIAN LUOFUSHAN GUANGGAO CO.,LTD              </t>
  </si>
  <si>
    <t xml:space="preserve">SHENZHEN LINK TECHNOLOGY CO.,LTD                  </t>
  </si>
  <si>
    <t xml:space="preserve">SHENZHEN ZHIHAIHE TECH CO.,LTD                    </t>
  </si>
  <si>
    <t xml:space="preserve">DONGGUAN CHANG'AN HUAPIN WUJIN MACHINE SHOP       </t>
  </si>
  <si>
    <t xml:space="preserve">HUIZHOU JINRI TECHNOLOGY CO,LTD.                  </t>
  </si>
  <si>
    <t xml:space="preserve">BO LUO XIAN WAN JIANG PEIDIAN QICAI COMPANY       </t>
  </si>
  <si>
    <t xml:space="preserve">GUANGZHOU HENGXING REFRIGERATION MATCHINE CO.LTD  </t>
  </si>
  <si>
    <t xml:space="preserve">GOYEA LIGHTING CO,LTD.                            </t>
  </si>
  <si>
    <t xml:space="preserve">SHENZHEN FAST SENSOR CO.,LTD.                     </t>
  </si>
  <si>
    <t>SHENZHEN CITY QI PING TECHNOLOGY DEVELOPMENT CO.,L</t>
  </si>
  <si>
    <t xml:space="preserve">DONGGUAN WANSHIDA STORAGE EQUIPMENT  CO.,LTD.     </t>
  </si>
  <si>
    <t xml:space="preserve">BOLUO SHIWAN ARCHITECTURE ENGINEER PARENT COMPANY </t>
  </si>
  <si>
    <t xml:space="preserve">GUANGZHOU CONGHUA BOLING OPERATION DEPARTMENT     </t>
  </si>
  <si>
    <t xml:space="preserve">LEO TRANSLATION CO.LTD                            </t>
  </si>
  <si>
    <t xml:space="preserve">TSK TEST SYSTEMS (SHANGHAI)CO.,LTD                </t>
  </si>
  <si>
    <t xml:space="preserve">SHANGHAI HOW-AIR TECHNOLOGIES CO.,LTD.            </t>
  </si>
  <si>
    <t xml:space="preserve">GUANGZHOU HUTAI COMPUTER CO.LTD                   </t>
  </si>
  <si>
    <t xml:space="preserve">DONGGUAN JIEYANG CO.LTD                           </t>
  </si>
  <si>
    <t xml:space="preserve"> BOLUO FUTIAN CHANGSHENG JINGGUAN CO.LTD          </t>
  </si>
  <si>
    <t xml:space="preserve">INTERTEK TESTING SERVICES SHENZHEN LTD.GZH BRANCH </t>
  </si>
  <si>
    <t xml:space="preserve">BOLUO JIALI PAPER BOX PACKING CO.,LTD             </t>
  </si>
  <si>
    <t xml:space="preserve">GUANGZHOU JINGDONG TRADING CO,.LTD                </t>
  </si>
  <si>
    <t>HUIZHOU BOHONG PACKING MATERIAL BUSINESS DEPARTMEN</t>
  </si>
  <si>
    <t xml:space="preserve">HUIZHOU YOUMA ELECTRONIC EQUIPMENT CO,.LTD        </t>
  </si>
  <si>
    <t xml:space="preserve">HUIZHOU YITONG ELECTRONIC HARDWARE COMPANY        </t>
  </si>
  <si>
    <t xml:space="preserve">SHENZHEN STARVIEW INDUSTRIAL CO.,LTD              </t>
  </si>
  <si>
    <t xml:space="preserve">HUIZHOU FILT ENVIRONMENTAL TECHNOLOGY CO.,LTD     </t>
  </si>
  <si>
    <t xml:space="preserve">GUANGDONG ZHONGJIAN CONSULTING &amp; TRADING CO.,LTD  </t>
  </si>
  <si>
    <t xml:space="preserve">STANDARD-TECH CONSULTING CO LTD                   </t>
  </si>
  <si>
    <t>BOLUO YUANZHOU CHAOYUE TEER ADVERTISING DEPARTMENT</t>
  </si>
  <si>
    <t xml:space="preserve">BOLUO FUHE ENVIRONMENTAL SERVICE CO., LTD         </t>
  </si>
  <si>
    <t xml:space="preserve">FOSHAN SHUNDE CHUXIN   ELECTROMECHANICAL CO.LTD   </t>
  </si>
  <si>
    <t xml:space="preserve">SGS-CSTC STANDARDS TECHNICAL SERVICE CO.LTD.(GZ)  </t>
  </si>
  <si>
    <t xml:space="preserve">DONGGUANG JIAN TONG IRONWARE ELECTRONIC CO.LTD    </t>
  </si>
  <si>
    <t xml:space="preserve">SHENZHEN  YIJIAN AUTOMATION EQUIPMENT CO., LTD    </t>
  </si>
  <si>
    <t xml:space="preserve">SHENZHEN HUACE MEASUREMENT  TECHNOLOGY CO., LTD   </t>
  </si>
  <si>
    <t xml:space="preserve">BOLUO FUTIAN DONGHUA WHOLESALE DEPARTMENT         </t>
  </si>
  <si>
    <t xml:space="preserve">SHENZHEN ZHEN DA MANAGEMENT CONSULTANT  CO., LTD  </t>
  </si>
  <si>
    <t xml:space="preserve">HUIZHOU ACME TIANCHENG TECHNOLOGY CO., LTD        </t>
  </si>
  <si>
    <t>SHENZHEN FENGGANGHUA FIRE CONTROL INDUSTRIAL DEVEL</t>
  </si>
  <si>
    <t xml:space="preserve">NANTONG HUAYUAN TECHNOLOGY DEVELOPMENT CO.,LTD    </t>
  </si>
  <si>
    <t xml:space="preserve">SHANTOU LINDE FORKLIFT MANAGEMENT CO., LTD        </t>
  </si>
  <si>
    <t xml:space="preserve">SHENZHEN HAO RUI TUO TECHNOLOGY CO.,LTD           </t>
  </si>
  <si>
    <t>DONGGUAN CROWN PRECISION MECHANICAL AND ELECTRICAL</t>
  </si>
  <si>
    <t xml:space="preserve">DONGGUAN ZAN YANG MACHINERY CO., LTD              </t>
  </si>
  <si>
    <t xml:space="preserve">SHENZHEN COMPASSS TECHNOLOGY DEVELOPMENT CO., LTD </t>
  </si>
  <si>
    <t xml:space="preserve">DOMINO CHINA  CO.,LTD                             </t>
  </si>
  <si>
    <t>XIA MEN HAI PU RUI JINGMI ELECTRONIC EQUIPMENT CO.</t>
  </si>
  <si>
    <t xml:space="preserve">BOLUO  FUTIAN TOWN LIANHE HING STORE              </t>
  </si>
  <si>
    <t xml:space="preserve">FESTO(CHINA)LTD                                   </t>
  </si>
  <si>
    <t xml:space="preserve">HUIZHOU DAHANG DECORATION ENGINEERING CO., LTD    </t>
  </si>
  <si>
    <t xml:space="preserve">GUANGDONG ZHIYUAN INTERNATIONAL TRADE CO., LTD    </t>
  </si>
  <si>
    <t xml:space="preserve">FEINMETALL(SHANGHAI)CO.,LTD                       </t>
  </si>
  <si>
    <t xml:space="preserve">SHENZHEN SHUNQIANG TECHNOLOGY CO.,LTD             </t>
  </si>
  <si>
    <t>shantou city Yongjie new energy technology Co.,Ltd</t>
  </si>
  <si>
    <t xml:space="preserve">HUIZHOU WOERKE ELECTRONIC CO.,LTD                 </t>
  </si>
  <si>
    <t xml:space="preserve">BOLUOXIAN LUOYANGZHEN RUNSHENG ELECTRIC SHOP      </t>
  </si>
  <si>
    <t xml:space="preserve"> GUANGZHOU HAINUO PENMA TECHNOLOGY CO., LTD       </t>
  </si>
  <si>
    <t xml:space="preserve">DONGGUAN KEFU ELECTRONIC CO.,LTD                  </t>
  </si>
  <si>
    <t xml:space="preserve">HUIZHOU CHUANGXIANG INDUSTRIAL EQUIPMENT CO.,LTD  </t>
  </si>
  <si>
    <t xml:space="preserve">HUIZHOU HUILIAN TECHNOLOGY CO., LTD.              </t>
  </si>
  <si>
    <t xml:space="preserve">BOLUO COUNTY SANJUN FIRE SERVICE LIMITED COMPANY  </t>
  </si>
  <si>
    <t xml:space="preserve">SHEN ZHEN CHENGRUI MECHINE APPLOCATOR CO.,LTD     </t>
  </si>
  <si>
    <t xml:space="preserve">DONGGUAN YI YU HUA MACHINERY CO. LTD.             </t>
  </si>
  <si>
    <t>GUANG ZHOU PRAISEWINNER MACH &amp;ELEC ENGINEERING CO.</t>
  </si>
  <si>
    <t xml:space="preserve">GUANGZHOU BAOQIANG HARDWARE EF CO.,LTD            </t>
  </si>
  <si>
    <t xml:space="preserve">BACKER-SPRINGFIELD(DONGGUAN)CO.,LTD               </t>
  </si>
  <si>
    <t xml:space="preserve">DONGGUAN ATNECH ELECT.CO.,LTD.                    </t>
  </si>
  <si>
    <t xml:space="preserve">DONGGUANSHI YIYUHUA MACHINERY CO.,LTD             </t>
  </si>
  <si>
    <t xml:space="preserve">BAOLUO COUNTY HUALIN ELECTRIC APPLIANCE CO.,LTD   </t>
  </si>
  <si>
    <t xml:space="preserve">GUANGZHOU LUNGYI INFORMATION TECHNOLOGIES COMPANY </t>
  </si>
  <si>
    <t xml:space="preserve">BOLUO JUNHANG LANDSCAPR ENGINEERING CO,LTD.       </t>
  </si>
  <si>
    <t xml:space="preserve">DONGBAO INFORMATION TECHNOLOGY SHENZHEN CO.,LTD.  </t>
  </si>
  <si>
    <t xml:space="preserve">GUANGDONG YINHE MEASURE DETECTION CO.,LTD         </t>
  </si>
  <si>
    <t xml:space="preserve">HUIZHOU ZHONGKAI YIQUAN                           </t>
  </si>
  <si>
    <t xml:space="preserve">SHENZHEN JIA XUAN DA TECHNOLOGY CO.,LTD           </t>
  </si>
  <si>
    <t xml:space="preserve">SCHLEUNIGER MACHINERY(TIANJIN)CO.,LTD             </t>
  </si>
  <si>
    <t xml:space="preserve">ZHENJI JMWJZP,.LTD                                </t>
  </si>
  <si>
    <t xml:space="preserve">DONGGUAN CCP CONTACT PROBERS CO.,LTD              </t>
  </si>
  <si>
    <t xml:space="preserve">SHENZHEN ELCOM CO,.LTD                            </t>
  </si>
  <si>
    <t xml:space="preserve">SHANGHAI HUALIU AUTOMATION EQUIPMENT CO.,LTD      </t>
  </si>
  <si>
    <t xml:space="preserve">HUIZHOU AITEHUA TECHNOLOGY CO.LT                  </t>
  </si>
  <si>
    <t xml:space="preserve">XUZHOU GUANGDA BRAIDER CO.,LTD                    </t>
  </si>
  <si>
    <t xml:space="preserve">SHENZHEN SHENGDA SCIENCE&amp;TECHNOLOGY CO.LTD        </t>
  </si>
  <si>
    <t xml:space="preserve">DONGGUAN KAIJIE AUTO TECHNOLOGY CO., LTD          </t>
  </si>
  <si>
    <t xml:space="preserve">PONY TESTING GROUP SHENZHEN CO.,LTD               </t>
  </si>
  <si>
    <t xml:space="preserve">福建龙岩丰源建设有限公司                          </t>
  </si>
  <si>
    <t xml:space="preserve">JIAXING JUNQUAN ATUOMATION CO.,LTD                </t>
  </si>
  <si>
    <t xml:space="preserve">SHANTOU HUA YU MECHANICAL ELECTRICAL              </t>
  </si>
  <si>
    <t xml:space="preserve">FURUIKE(HUIZHOU)ELECTRONIC EQUIPMENT CO.,LTD      </t>
  </si>
  <si>
    <t xml:space="preserve">RIUKAI INSTRUMENTA OR EQUIPMENT CO.,LTD           </t>
  </si>
  <si>
    <t xml:space="preserve">HUIZHOU USERFOR INDUSTRIAL CO., LTD.              </t>
  </si>
  <si>
    <t xml:space="preserve">深圳市茂南电力设备工程有限公司博罗分公司          </t>
  </si>
  <si>
    <t xml:space="preserve">广东市结力上自动化设备有限公司                    </t>
  </si>
  <si>
    <t xml:space="preserve">广东华安消防技术服务有限公司                      </t>
  </si>
  <si>
    <t xml:space="preserve">广州德生智盟贸易有限公司                          </t>
  </si>
  <si>
    <t xml:space="preserve">深圳市云安消防装饰工程有限公司                    </t>
  </si>
  <si>
    <t xml:space="preserve">GUANJU AUTOMATION EQUIPMENT CO.,LTD               </t>
  </si>
  <si>
    <t xml:space="preserve">深圳市协力兴五金制品有限公司                      </t>
  </si>
  <si>
    <t xml:space="preserve">DONGGUAN ZOKO MACHINERY CO.,LTD                   </t>
  </si>
  <si>
    <t xml:space="preserve">SHANGHAI JIANGDA TECHNOLOGY DEVELOMENT CO.,LTD    </t>
  </si>
  <si>
    <t xml:space="preserve">GUANGZHOU RUISHENG INFORMATION TECHNOLONY CO.,LTD </t>
  </si>
  <si>
    <t xml:space="preserve">GUANGDONG JINGHENG DETECTION TEECHNOLOGY CO.,LTD  </t>
  </si>
  <si>
    <t xml:space="preserve">CYKLOP PACKAGING TRADING(SHANGHAI)CO.,LTD         </t>
  </si>
  <si>
    <t xml:space="preserve">GUANGZHOU LZ ELECTRONIC TECHNOLOGY CO.,LTD        </t>
  </si>
  <si>
    <t xml:space="preserve">DONGGUAN FAVOUR AUTOMATION EQUIPMENT              </t>
  </si>
  <si>
    <t xml:space="preserve">GRG METROLOGY&amp;TEST GROUP CO.,LTD                  </t>
  </si>
  <si>
    <t xml:space="preserve">AVERY EDNNISON (GUANGZHOU)                        </t>
  </si>
  <si>
    <t xml:space="preserve">HUIZHOU FANSHI AUTOMATION EQUIPMENT CO.,LTD       </t>
  </si>
  <si>
    <t>ZhuHaiShi HaoDeDa electromechanicl material CO.LTD</t>
  </si>
  <si>
    <t xml:space="preserve">GUANGDONG JATEN ROBOT&amp;AUTOMATION CO.,LTD          </t>
  </si>
  <si>
    <t xml:space="preserve">GUANGZHOU TONGYU DECORATION ENGINEERING CO.LTD    </t>
  </si>
  <si>
    <t xml:space="preserve">DONGGUAN WINGUD MACHINERY EQUIPMENT CO.LTD        </t>
  </si>
  <si>
    <t xml:space="preserve">Shenzhen youxinda supply chain group co. LTD      </t>
  </si>
  <si>
    <t xml:space="preserve">HACINT INTELLIGENCE TECHNOLOGY CO.,LTD            </t>
  </si>
  <si>
    <t xml:space="preserve">Huizhou jinrong machinery equipment co. LTD       </t>
  </si>
  <si>
    <t xml:space="preserve">JIANGSU SKYRAY INSTRUMENT LIMITED SHARE LTD       </t>
  </si>
  <si>
    <t xml:space="preserve">HUIZHOU KION LINDE MECHANICAL AND ELECTRICALEQUIP </t>
  </si>
  <si>
    <t xml:space="preserve">ZKH INDUSTRIAL SUPPLY CO.,LTD                     </t>
  </si>
  <si>
    <t xml:space="preserve">HCTEST TECHNOLOGY CO.,LTD                         </t>
  </si>
  <si>
    <t xml:space="preserve">FOSHAN EAGLE VISION TECHNOLOGY CO.,LTD            </t>
  </si>
  <si>
    <t xml:space="preserve">Dongguanshi xumei packaging machinery co.,ltd     </t>
  </si>
  <si>
    <t xml:space="preserve">SHEN ZHEN DASENLIN INTELLIGENT AUTOMATIC          </t>
  </si>
  <si>
    <t xml:space="preserve">YFL International Trading Co.,Ltd                 </t>
  </si>
  <si>
    <t>BOLUO COUNTY CHANGNING YUE MEITE GAS STATION CO.LT</t>
  </si>
  <si>
    <t xml:space="preserve">TONWOO TECHNOLOGY (SHANGHAI) CO.,LTD              </t>
  </si>
  <si>
    <t xml:space="preserve">DONGGUAN HOUJIE HONGLIANG MOULDEQUIPMENT          </t>
  </si>
  <si>
    <t xml:space="preserve">DONGGUAN RUILING AUTOMATION EQUIPMENT CO.,LTD     </t>
  </si>
  <si>
    <t xml:space="preserve">Dongguan jiapuhui Digital Office Equipment Co.LTD </t>
  </si>
  <si>
    <t xml:space="preserve">Shenzhen ODB Translation Co.,Ltd.                 </t>
  </si>
  <si>
    <t xml:space="preserve">DONGGUAN TERRY INTELLIGENT TECHNOLOGY CO,. LTD    </t>
  </si>
  <si>
    <t>Shandong Longzhong Information Technology Co.,Ltd.</t>
  </si>
  <si>
    <t>CCIC(GUANGDONG)METROLOGY&amp;TESTING TECHNOLOGY SERVIC</t>
  </si>
  <si>
    <t xml:space="preserve">DONGGUANSHI DALINGSHAN GAOYUAN SHIPINGDIAN        </t>
  </si>
  <si>
    <t xml:space="preserve">Guangdong Guangyu Information Technology Co.,LTD. </t>
  </si>
  <si>
    <t xml:space="preserve">Shenzhen Call know Technology Co.,Ltd             </t>
  </si>
  <si>
    <t>Shenzhen JiaShun Fa Intelligent Technology Co.,Ltd</t>
  </si>
  <si>
    <t xml:space="preserve">Glaeser (Nanjing) Co.,Ltd                         </t>
  </si>
  <si>
    <t xml:space="preserve">KEYENCE                                           </t>
  </si>
  <si>
    <t xml:space="preserve">Huizhou Dingsheng Xin Products Co.,LTD            </t>
  </si>
  <si>
    <t xml:space="preserve">Macroview Telecom(Guangzhou) Limited              </t>
  </si>
  <si>
    <t xml:space="preserve">Huizhoushi Jiangling Qiche Maoyiyouxiangongsi     </t>
  </si>
  <si>
    <t xml:space="preserve">Huizhoushi Biaoyuan Maoyiyouxiangongsi            </t>
  </si>
  <si>
    <t xml:space="preserve">Huizhou Guochang Fire Technology Service Co.,LTD  </t>
  </si>
  <si>
    <t xml:space="preserve">TUV SUD CERTIFICATION AND TESTING(CHINA)CO.,LTD   </t>
  </si>
  <si>
    <t xml:space="preserve">Dongguan Miaoyang Electronic Technology Co., LTD  </t>
  </si>
  <si>
    <t xml:space="preserve">Aoca (Suzhou) Industrial Technology Co., LTD      </t>
  </si>
  <si>
    <t xml:space="preserve">Dongguan Niufa Plastic Hardware Co., LTD          </t>
  </si>
  <si>
    <t xml:space="preserve">Guangdong zhuo mai intelligent machinery CO.Ltd   </t>
  </si>
  <si>
    <t xml:space="preserve">Huizhou New Fuhua Hardware Co., LTD               </t>
  </si>
  <si>
    <t>Huizhou Hengtai Mechanical and Electrical Equipmen</t>
  </si>
  <si>
    <t xml:space="preserve">Shenzhen Huangxin Precision Machinery Co., LTD    </t>
  </si>
  <si>
    <t xml:space="preserve">Huizhou Tuoda Electromechanical Co., LTD          </t>
  </si>
  <si>
    <t xml:space="preserve">Cirtek Link(Shenzhen) limited                     </t>
  </si>
  <si>
    <t xml:space="preserve">Guang Dong Nan Guo De Shai Law Firm               </t>
  </si>
  <si>
    <t xml:space="preserve">Shenzhen Huakai elevator Co., LTD                 </t>
  </si>
  <si>
    <t xml:space="preserve">Shenzhen Zhansheng Automation Technology Co., LTD </t>
  </si>
  <si>
    <t xml:space="preserve">Dongguan Dacheng Environmental Detection Co.,Ltd  </t>
  </si>
  <si>
    <t xml:space="preserve">Shenzhen ZhiHaiHe Tech Co.,Ltd                    </t>
  </si>
  <si>
    <t xml:space="preserve">Shanghai SEAINE Intelligent Systerm Co.,Ltd       </t>
  </si>
  <si>
    <t xml:space="preserve">Dongguan Cheng Yan automation technology Co., LTD </t>
  </si>
  <si>
    <t xml:space="preserve">Dongguan Dakang Electronic Technology Co.,Ltd     </t>
  </si>
  <si>
    <t xml:space="preserve">huizhoutengshiqichexiaoshouyouxiangongsi          </t>
  </si>
  <si>
    <t xml:space="preserve">Cynthia                                           </t>
  </si>
  <si>
    <t xml:space="preserve">Wuxi Aisitong intelligent equipment Co., LTD      </t>
  </si>
  <si>
    <t xml:space="preserve">Guangdong Lidong Automation Equipment Co., LTD    </t>
  </si>
  <si>
    <t xml:space="preserve">HUIZHOU DIANJI New energy Technology Co., LTD     </t>
  </si>
  <si>
    <t xml:space="preserve">Dongguan Topregen intelligent equipment Co., LTD  </t>
  </si>
  <si>
    <t xml:space="preserve">GUANGZHOU JIAYANG INFORMATION TECHNOLOGY CO.,LTD  </t>
  </si>
  <si>
    <t>BOLUO FUTIAN SHENGPING ENVIRONMENT CLEANING SERVIC</t>
  </si>
  <si>
    <t xml:space="preserve">PANALPINA WORLD TRANSPORT (PRC) LTD.              </t>
  </si>
  <si>
    <t xml:space="preserve">DE XUN FREIGHT GUANGZHOU BRANCH                   </t>
  </si>
  <si>
    <t xml:space="preserve">DING ZI DA FREIGHT SHENZHEN CO.,LTD               </t>
  </si>
  <si>
    <t xml:space="preserve">HAN HONG FREIGHT GUANGZHOU BRANCH                 </t>
  </si>
  <si>
    <t xml:space="preserve">KANG JIE KONG FREIGHT GUANGZHOU BRANCH            </t>
  </si>
  <si>
    <t xml:space="preserve">KAI YUAN INTERNATIONAL FREIGHT NINGBO CO.,LTD     </t>
  </si>
  <si>
    <t xml:space="preserve">LIAN HE INTERNATIONAL SHIPPING SHENZHEN CO.,LTD   </t>
  </si>
  <si>
    <t xml:space="preserve">HUITONG                                           </t>
  </si>
  <si>
    <t xml:space="preserve">DEBANG                                            </t>
  </si>
  <si>
    <t xml:space="preserve">SUNFENG                                           </t>
  </si>
  <si>
    <t xml:space="preserve">FEDEX(HZ)                                         </t>
  </si>
  <si>
    <t xml:space="preserve">DHL(HZ)                                           </t>
  </si>
  <si>
    <t xml:space="preserve">CMA CGM                                           </t>
  </si>
  <si>
    <t xml:space="preserve">CMA                                               </t>
  </si>
  <si>
    <t xml:space="preserve">KEY                                               </t>
  </si>
  <si>
    <t xml:space="preserve">HERCULES                                          </t>
  </si>
  <si>
    <t xml:space="preserve">MAERSK                                            </t>
  </si>
  <si>
    <t xml:space="preserve">PANALPINA WORLD TRANSPORT (PRC) LTD Shenzhen      </t>
  </si>
  <si>
    <t xml:space="preserve">ETERNITY                                          </t>
  </si>
  <si>
    <t xml:space="preserve">PANALPINA CNY                                     </t>
  </si>
  <si>
    <t xml:space="preserve">NINGBO GL RMB                                     </t>
  </si>
  <si>
    <t xml:space="preserve">SCHENKER CHINA LTD.SHENZHEN BRANCH                </t>
  </si>
  <si>
    <t xml:space="preserve">Hapag-Lloyd                                       </t>
  </si>
  <si>
    <t xml:space="preserve">DHL Global Forwarding (China)                     </t>
  </si>
  <si>
    <t xml:space="preserve">Famous Pacific Logistics (Shenzhen) Ltd           </t>
  </si>
  <si>
    <t xml:space="preserve">AIF GLOBAL LOGIS TICS CO                          </t>
  </si>
  <si>
    <t xml:space="preserve">DELTAMAX FREIGHT SERVICE(CHINA)LTD SZ BRANCH      </t>
  </si>
  <si>
    <t xml:space="preserve">Kerry EAS Logistics,                              </t>
  </si>
  <si>
    <t xml:space="preserve">ASIA AHIPPING INTERNATIONAL TRANSPORT(SZ)LTD      </t>
  </si>
  <si>
    <t xml:space="preserve">UNIVERSAL EXPRESS STAR CO.,LTD                    </t>
  </si>
  <si>
    <t>IN FAVOUR OF CHINA MARINE SHIPPING AGENCY SHENZHEN</t>
  </si>
  <si>
    <t xml:space="preserve">WICE Logistics (Shenzhen) Limited                 </t>
  </si>
  <si>
    <t xml:space="preserve">ANTEK LOGISTICS(CHINA)LTD.                        </t>
  </si>
  <si>
    <t xml:space="preserve">EXPOFREIGHT(SHEN ZHEN)LIMITED                     </t>
  </si>
  <si>
    <t xml:space="preserve">CARGAO SERVICES AIRFREIGHT(SHANGHAI)LIMITED       </t>
  </si>
  <si>
    <t xml:space="preserve">DSV AIR &amp; SEA CO.LTD                              </t>
  </si>
  <si>
    <t xml:space="preserve">NINGBO JHSHIP INTERNATIONAL FREIGHT CO.LTD        </t>
  </si>
  <si>
    <t xml:space="preserve">FOUNDER GLOBAL LOGISTICS(SHANGHAI)                </t>
  </si>
  <si>
    <t xml:space="preserve">凯帆国际货运代理（上海）有限公司深圳分公司        </t>
  </si>
  <si>
    <t xml:space="preserve">SCAN GLOBAL LOGISTICS(SHANGHAI)                   </t>
  </si>
  <si>
    <t xml:space="preserve">SHENZHENG JINLONGTENG LTD                         </t>
  </si>
  <si>
    <t xml:space="preserve">HUIZHOUSHI GUANG HUI YUN TONG CO.,LTD             </t>
  </si>
  <si>
    <t xml:space="preserve">Korchina Logistics(Shenzhen)Ltd                   </t>
  </si>
  <si>
    <t xml:space="preserve">SHENZHEN KAIYUAN SHIPPING CO.,LTD                 </t>
  </si>
  <si>
    <t xml:space="preserve">DHL GLOBAL FORWARDING（CHINA）CO.,LTD             </t>
  </si>
  <si>
    <t xml:space="preserve">Wan Hoo Shipping Ltd.                             </t>
  </si>
  <si>
    <t xml:space="preserve">ZHONGYU Shipping Ltd.                             </t>
  </si>
  <si>
    <t xml:space="preserve">Cargo Services(China)Limited Shenzhen Branch      </t>
  </si>
  <si>
    <t xml:space="preserve">BEST-TIME INTERNATIONAL LOGISTICS                 </t>
  </si>
  <si>
    <t xml:space="preserve">SHENZHEN CARGOPRO LOGISTICS CO.,LTD               </t>
  </si>
  <si>
    <t xml:space="preserve">GUANGDONGXIBAINIANGONGYINGLIANKEJIYOUXIANGONGSI   </t>
  </si>
  <si>
    <t>SHENZHENSHIMINGCHUANGGUOJIHUOYUNDAILIYOUXIANGONGSI</t>
  </si>
  <si>
    <t xml:space="preserve">GUANGZHOUJUNSHENGONFYINGLIANFUWUYOUXIANGONGSI     </t>
  </si>
  <si>
    <t xml:space="preserve">ORIENTAL LOGISTICS GROUP LTD(SHENZHEN)            </t>
  </si>
  <si>
    <t xml:space="preserve">ASIA SHIP CO.,LTD(NVOCC)                          </t>
  </si>
  <si>
    <t xml:space="preserve">KUEHNE&amp;NAGEL LTD  SHENZHEN BRANCH OFFICE          </t>
  </si>
  <si>
    <t xml:space="preserve">DAMCO CHINA LIMITED SHENZHEN BRANCH               </t>
  </si>
  <si>
    <t xml:space="preserve">DSV Air &amp; Sea Co.，Ltd（Guangzhou）               </t>
  </si>
  <si>
    <t xml:space="preserve">CEVA FREIGHT SHANGHAI LIMITED SHENZHEN BRANCH     </t>
  </si>
  <si>
    <t xml:space="preserve">PMG LOGISTICS (SHANGHAI ) LIMTED                  </t>
  </si>
  <si>
    <t xml:space="preserve">BEST TOM INTERNATlONAl LTD                        </t>
  </si>
  <si>
    <t xml:space="preserve">LEMAN CHINA CO.,LTD SHENZHEN BRANCH               </t>
  </si>
  <si>
    <t xml:space="preserve">DONGGUAN CITY XINNUO INT'YL FREIGHT SERVUCES CO   </t>
  </si>
  <si>
    <t xml:space="preserve">DHL GLOBAL FORWARDING(CHINA)CO.,LTD SHENZHEN      </t>
  </si>
  <si>
    <t>DHL-sinotrans international air courier ltdhuizhou</t>
  </si>
  <si>
    <t xml:space="preserve">AWOT GLOBAL Corporation Huizhou Branch            </t>
  </si>
  <si>
    <t xml:space="preserve">Eternity lnt' Freight Forwarder（Shenzhen）       </t>
  </si>
  <si>
    <t xml:space="preserve">Kerry EAS Logistics Limited, Dongguan Branch      </t>
  </si>
  <si>
    <t>Guangdong Truely Tong internatianal Freight Farwar</t>
  </si>
  <si>
    <t xml:space="preserve">Lx Pantos Logistics（Shenzhen）Co.,Ltd Guangzh    </t>
  </si>
  <si>
    <t xml:space="preserve">GuangZhou Center Intl Logistics Co., Ltd          </t>
  </si>
  <si>
    <t xml:space="preserve">PORTEVER SHIPPING(SHENZHEN) LTD.                  </t>
  </si>
  <si>
    <t xml:space="preserve">Beijing Kang Jie Kong Intl Cargo Agent Shenzhen   </t>
  </si>
  <si>
    <t xml:space="preserve">DI DI GLOBAL LOGISTICS CO.,LTD                    </t>
  </si>
  <si>
    <t>DHL GLOBAL FORWARDING (CHINA) CO.,LTD. DONGGUAN BR</t>
  </si>
  <si>
    <t xml:space="preserve">SHANGHAI SHUNSHI WULIU YOUXIAN GONGSI             </t>
  </si>
  <si>
    <t xml:space="preserve">TOSHIBA LOGISTCS(HANGZHOU) CO.,LTD                </t>
  </si>
  <si>
    <t xml:space="preserve">TEMP FORWARDER                                    </t>
  </si>
  <si>
    <t xml:space="preserve">THINKING (CHANG ZHOU)ELECTRONIC CO.,LTD           </t>
  </si>
  <si>
    <t xml:space="preserve">GUANGZHOU TOSIN INFORMATION COMPANY               </t>
  </si>
  <si>
    <t xml:space="preserve">QINGDAO YIYANG ELCE.CO.,LTD.                      </t>
  </si>
  <si>
    <t xml:space="preserve">SUZHOU JIEYOU XINDA ELECTRICAL CO.,LTD            </t>
  </si>
  <si>
    <t xml:space="preserve">DONGGUANSHI,PUHUI INSULATION CO.,LTD              </t>
  </si>
  <si>
    <t xml:space="preserve">WUXI HUANCHENG CABLE CO.,LTD                      </t>
  </si>
  <si>
    <t xml:space="preserve">SHANGHAI JIEHONG SPRING LIMTED                    </t>
  </si>
  <si>
    <t xml:space="preserve">HUIZHOU HUICHENGQU QIDONG PRECISION MANUFACTURER  </t>
  </si>
  <si>
    <t xml:space="preserve">DONGGUANSHI HUAJING ELECTRONICS  CO.,LTD          </t>
  </si>
  <si>
    <t xml:space="preserve">QINGDAO WEILAER INTERNATIONAL TRADE CO.,LTD       </t>
  </si>
  <si>
    <t xml:space="preserve">QINGDAO SHANSHENG COMPOSITE MATERIALS PLANT       </t>
  </si>
  <si>
    <t xml:space="preserve">QINGDAO JIUMEIXIANG PLASTIC CO., LTD              </t>
  </si>
  <si>
    <t xml:space="preserve">SHENZHEN XING LI HUI TECHNOLOGY CO.,LTD           </t>
  </si>
  <si>
    <t xml:space="preserve">DONGGUAN ZHIBO AUTOMATION TECHNOLOGY CO.,LTD      </t>
  </si>
  <si>
    <t xml:space="preserve">SHANGHAI QIANMU ELECTROMECHANICAL                 </t>
  </si>
  <si>
    <t xml:space="preserve">SHENZHEN  YITONG TESTING TECHNOLOGY CO.,LTD       </t>
  </si>
  <si>
    <t xml:space="preserve">YA HORNG(DONG GUAN)                               </t>
  </si>
  <si>
    <t xml:space="preserve">BIZLINK TECHNOLOGY (XIAMEN) CO.,LTD               </t>
  </si>
  <si>
    <t xml:space="preserve">TEMPORARY SUPPLIER-DDP                            </t>
  </si>
  <si>
    <t xml:space="preserve">TEMPORARY SUPPLIER-DDP(RONGSHUN HUANG)            </t>
  </si>
  <si>
    <t xml:space="preserve">TEMPORARY SUPPLIER-DDP(LUCIA HUANG)               </t>
  </si>
  <si>
    <t xml:space="preserve">TEMPORARY SUPPLIER-DDP(LISA LI)                   </t>
  </si>
  <si>
    <t xml:space="preserve">TEMPORARY SUPPLIER-DDP(WAYNE HE)                  </t>
  </si>
  <si>
    <t xml:space="preserve">TEMPORARY SUPPLIER-DDP(EVA ZENG)                  </t>
  </si>
  <si>
    <t xml:space="preserve">TEMPORARY SUPPLIER-DDP(DOM HUANG)                 </t>
  </si>
  <si>
    <t xml:space="preserve">TEMPORARY SUPPLIER-DDP(Linda Jia)                 </t>
  </si>
  <si>
    <t xml:space="preserve">TEMPORARY SUPPLIER-DDP(HAN HUI)                   </t>
  </si>
  <si>
    <t xml:space="preserve">Technology Co.,Ltd                                </t>
  </si>
  <si>
    <t xml:space="preserve">WENZHOU HUTAI ELECTRIC WIRE&amp;CABLE CO.,LTD         </t>
  </si>
  <si>
    <t xml:space="preserve">TEMPORARY SUPPLIER-DDP(YUKI LIN)                  </t>
  </si>
  <si>
    <t xml:space="preserve">TEMPORARY SUPPLIER-DDP(SERENA XIAO)               </t>
  </si>
  <si>
    <t xml:space="preserve">TEMPORARY SUPPLIER-DDP(Ivy.Tan)                   </t>
  </si>
  <si>
    <t xml:space="preserve">TEMPORARY SUPPLIER-DDP(Deron,lei)                 </t>
  </si>
  <si>
    <t xml:space="preserve">TEMPORARY SUPPLIER-DDP(Jerry.huang)               </t>
  </si>
  <si>
    <t xml:space="preserve">GUANGZHOU CITY TIANZHAODA COMPUTER CO LTD         </t>
  </si>
  <si>
    <t xml:space="preserve">SHANGHAI M&amp;G COLIPU OFFICE SUPPLIES CO.,LTD       </t>
  </si>
  <si>
    <t xml:space="preserve">GUANGDONG TEST CENTER OF PRODUCT QUALITY          </t>
  </si>
  <si>
    <t xml:space="preserve">SHINESTAR STORAGE EQUIPMENT CO.,LTD               </t>
  </si>
  <si>
    <t xml:space="preserve">DONGGUANSHI CHANGAN BAOXIE WUJIN ZHIPIN SHOP      </t>
  </si>
  <si>
    <t xml:space="preserve">DONGGUAN CITY SHATIAN ZHENZHAN FUNITURE FACTORY   </t>
  </si>
  <si>
    <t xml:space="preserve">GUANGDONG ZIQIANG PLASTIC CO.,LTD                 </t>
  </si>
  <si>
    <t xml:space="preserve">HUIHONG MACHINERY&amp;ELECTRICAL EQUIPMENT CO.LTD     </t>
  </si>
  <si>
    <t xml:space="preserve">GUANGZHOU XUCHENG SCIENCE AND TECHNOLOGY CO.LTD   </t>
  </si>
  <si>
    <t xml:space="preserve">佛山市顺德区乐从镇中域五金家具厂                  </t>
  </si>
  <si>
    <t xml:space="preserve">佛山市顺德区乐从镇水藤华大家具厂                  </t>
  </si>
  <si>
    <t xml:space="preserve">佛山市格林威尔建材有限公司                        </t>
  </si>
  <si>
    <t xml:space="preserve">YESHENG MOJU WUJIN JIAGONG DIAN                   </t>
  </si>
  <si>
    <t xml:space="preserve">ESCUBEDO (SHANGHAI) BUSINESS TRADE CO.LTD         </t>
  </si>
  <si>
    <t xml:space="preserve">SHENZHEN LESHIN SCIENCE &amp; TECHNOLOGY CO .LTD      </t>
  </si>
  <si>
    <t xml:space="preserve">DONGGUAN YUNKANG ELECTRICAL CO.,LTD               </t>
  </si>
  <si>
    <t xml:space="preserve">DAE YOUNG WIRE(TIANJIN) CO.,LTD                   </t>
  </si>
  <si>
    <t xml:space="preserve">DUMMY VENDOR                                      </t>
  </si>
  <si>
    <t xml:space="preserve">SHENZHENSHI XINAHONGHAI NUOXIN TECHNOLOGY CO.,LTD </t>
  </si>
  <si>
    <t xml:space="preserve">Adcel Industries (Thailand) Company Limited       </t>
  </si>
  <si>
    <t xml:space="preserve">Lyreco Th Company Limited                         </t>
  </si>
  <si>
    <t xml:space="preserve">Dongduan XKJX                                     </t>
  </si>
  <si>
    <t xml:space="preserve">Xiamen Xinjie Electronic Technology Co., LTD.     </t>
  </si>
  <si>
    <t xml:space="preserve">Shenzhen Linko Electric Co., Ltd                  </t>
  </si>
  <si>
    <t xml:space="preserve">SHENZHEN Tone Strive Electronice Co.,Ltd          </t>
  </si>
  <si>
    <t xml:space="preserve">BOLUO YUYUE CLEANING SERVICES CO.,LTD             </t>
  </si>
  <si>
    <t xml:space="preserve">guangdongyunnuogongyinglianyouxiangongsi          </t>
  </si>
  <si>
    <t xml:space="preserve">MV INTERPACK Company Limited                      </t>
  </si>
  <si>
    <t xml:space="preserve">ULTRACORE CO.,LTD.                                </t>
  </si>
  <si>
    <t xml:space="preserve">Jiangsu Jiangyang Wire&amp;Cable Co., Ltd.            </t>
  </si>
  <si>
    <t xml:space="preserve">Liuzhou Tongheng Trading co.,Ltd                  </t>
  </si>
  <si>
    <t xml:space="preserve">L&amp;G LAW FIRM                                      </t>
  </si>
  <si>
    <t xml:space="preserve">Shenzhen Sheng internalional Logislics Co.LTD     </t>
  </si>
  <si>
    <t xml:space="preserve">Guangzhou City Zhixin Auto Parts Co.,Ltd          </t>
  </si>
  <si>
    <t>App. Status</t>
  </si>
  <si>
    <t>PR No. Child</t>
  </si>
  <si>
    <t>Child No</t>
  </si>
  <si>
    <t>Fastenal (Shen Zhen) International Trading Co.,Ltd</t>
  </si>
  <si>
    <t>Guangdong Yingang Intelligent Technology Co., Ltd.</t>
  </si>
  <si>
    <t xml:space="preserve">Hebi Haichang Intelligent Technology Co., Ltd     </t>
  </si>
  <si>
    <t xml:space="preserve">Honglin Electric Power Technology(Thailand)Co     </t>
  </si>
  <si>
    <t xml:space="preserve">Thai Hua Chern.Co.,Ltd                            </t>
  </si>
  <si>
    <t xml:space="preserve">ECI (HONGKONG) Company Ltd IDM                    </t>
  </si>
  <si>
    <t xml:space="preserve">KongChee International (Thailand) Co., Ltd.       </t>
  </si>
  <si>
    <t xml:space="preserve">Komax Distribution (Thailand) Co., Ltd.           </t>
  </si>
  <si>
    <t xml:space="preserve">Progressive Engineering Co., Ltd.                 </t>
  </si>
  <si>
    <t xml:space="preserve">Safety Genius Co.,Ltd.                            </t>
  </si>
  <si>
    <t xml:space="preserve">Thai Officepro co., Ltd.                          </t>
  </si>
  <si>
    <t xml:space="preserve">Nak tong construction and engineering Co.,Ltd.    </t>
  </si>
  <si>
    <t xml:space="preserve">The perfect label and barcode Itd.. part.         </t>
  </si>
  <si>
    <t xml:space="preserve">Xiamen Song Chuan Precision                       </t>
  </si>
  <si>
    <t xml:space="preserve">Xunjie New Material(shanghai) Co.,Ltd.            </t>
  </si>
  <si>
    <t xml:space="preserve">Mouser Electronics Inc                            </t>
  </si>
  <si>
    <t xml:space="preserve">Day-Suo industrial(ShangHai)Co.Ltd                </t>
  </si>
  <si>
    <t xml:space="preserve">Guangdong Tianzhi catering group Co.,Ltd          </t>
  </si>
  <si>
    <t xml:space="preserve">Shenzhen Junhua technology Co.,Ltd                </t>
  </si>
  <si>
    <t>Pete</t>
  </si>
  <si>
    <t xml:space="preserve">Quanjiao Quandong Machinery Co., Ltd.             </t>
  </si>
  <si>
    <t xml:space="preserve">Seino Saha Logistics Co., Ltd                     </t>
  </si>
  <si>
    <t xml:space="preserve">Saha Office Co.,LTD.                              </t>
  </si>
  <si>
    <t xml:space="preserve">QingDao YongKai Technology Co.Ltd.                </t>
  </si>
  <si>
    <t xml:space="preserve">Honghu Bluelight Electronic Co., Ltd.             </t>
  </si>
  <si>
    <t xml:space="preserve">Shenzhen Woer Heat Shrinking Co., Ltd             </t>
  </si>
  <si>
    <t xml:space="preserve">Schleuniger AG                                    </t>
  </si>
  <si>
    <t>CHF</t>
  </si>
  <si>
    <t xml:space="preserve">Shenzhen Qinghuo Technology Co., Ltd.             </t>
  </si>
  <si>
    <t xml:space="preserve">Hengshan Lecheng New Materials High tech Co.,Ltd  </t>
  </si>
  <si>
    <t xml:space="preserve">Shenzhen Kemin Sensor Co.,Ltd.                    </t>
  </si>
  <si>
    <t xml:space="preserve">Changzhou Xinnuo Electronic Technology Co.,Ltd.   </t>
  </si>
  <si>
    <t xml:space="preserve">Wuhan Cartion Automobile Parts Co.,Ltd.           </t>
  </si>
  <si>
    <t>PR Status</t>
  </si>
  <si>
    <t>Cost center</t>
  </si>
  <si>
    <t xml:space="preserve">Zhangzhou Jushan New Materials Co., Ltd.          </t>
  </si>
  <si>
    <t xml:space="preserve">Xiamen Yue Kai Electronic Technology Co., LTD.    </t>
  </si>
  <si>
    <t xml:space="preserve">Add In Business CO., LTD.                         </t>
  </si>
  <si>
    <t xml:space="preserve">IA Tech Company Limited                           </t>
  </si>
  <si>
    <t xml:space="preserve">N.T.MACHINERY PART AND PARTS AND SERVICE CO.,LTD  </t>
  </si>
  <si>
    <t xml:space="preserve">JIA CHUANG (HONG KONG) LIMITED                    </t>
  </si>
  <si>
    <t xml:space="preserve">Yuanxinda Electronics Zhuhai Co.,Ltd.             </t>
  </si>
  <si>
    <t xml:space="preserve">OfficeMate (Thai) Limited                         </t>
  </si>
  <si>
    <t xml:space="preserve">Thai eastern copy co.,ltd.                        </t>
  </si>
  <si>
    <t xml:space="preserve">TEMPORARY SUPPLIER -THB                           </t>
  </si>
  <si>
    <t xml:space="preserve">Shanghai Yirui Electronics Co., Ltd               </t>
  </si>
  <si>
    <t xml:space="preserve">Zhangzhou Kangyangma Digital Technology Co., Ltd. </t>
  </si>
  <si>
    <t xml:space="preserve">SHANGHAI INCHOA S&amp;T CO., LTD                      </t>
  </si>
  <si>
    <t xml:space="preserve">Zolftech Innovation co.,ltd.                      </t>
  </si>
  <si>
    <t xml:space="preserve">THAI-LIAN FORKLIFT CO..LTD                        </t>
  </si>
  <si>
    <t>QINGDAO WANYIFENG NEW MATERIAL TECHNOLOGY  CO.,LTD</t>
  </si>
  <si>
    <t xml:space="preserve">Shanghai Winture Electric Co., Ltd                </t>
  </si>
  <si>
    <t xml:space="preserve">Zhejiang Lianhe Electronics Co.Ltd                </t>
  </si>
  <si>
    <t xml:space="preserve">Qingdao DonkeChem Co.,Ltd.                        </t>
  </si>
  <si>
    <t xml:space="preserve">Guangdong Xiangxingsheng Precision Parts Co., Ltd </t>
  </si>
  <si>
    <t>Error</t>
  </si>
  <si>
    <t xml:space="preserve">SHENZHEN KUKI ELECT.Co.,Ltd                       </t>
  </si>
  <si>
    <t>Rainie</t>
  </si>
  <si>
    <t>Hailey</t>
  </si>
  <si>
    <t>Lihong</t>
  </si>
  <si>
    <t>Dom</t>
  </si>
  <si>
    <t xml:space="preserve">Hardware House Corporation Co., Ltd               </t>
  </si>
  <si>
    <t xml:space="preserve">Micro Precision Calibration Laboratory (Thailand) </t>
  </si>
  <si>
    <t xml:space="preserve">Quickserv Provider Co.,Ltd.                       </t>
  </si>
  <si>
    <t xml:space="preserve">SANTO FIRE PRODUCT CO.,LTD.                       </t>
  </si>
  <si>
    <t xml:space="preserve">WK ELECTRIC CO., LTD.                             </t>
  </si>
  <si>
    <t xml:space="preserve">Electronics (Shanghai) Co.,Ltd                    </t>
  </si>
  <si>
    <t xml:space="preserve">Guangdong Qianfeng Electric Co., Ltd              </t>
  </si>
  <si>
    <t>Shaoxing Sanhua Automotive Thermal Management Tech</t>
  </si>
  <si>
    <t xml:space="preserve">SHANGHAI GENERAL ELECTRONIC PRODUCT CO. , LTD     </t>
  </si>
  <si>
    <t xml:space="preserve">SHENZHEN JUNCV TECHNOLOGY LIMITED                 </t>
  </si>
  <si>
    <t xml:space="preserve">Guangdong Jolink New Material Technology Co.,Ltd. </t>
  </si>
  <si>
    <t xml:space="preserve">FC Electronics (Shanghai) Co., Ltd                </t>
  </si>
  <si>
    <t xml:space="preserve">Weli Sheng Terminal Industrial CO.,Ltd            </t>
  </si>
  <si>
    <t xml:space="preserve">Beijing Qixin Tianxia Electronics Co., Ltd.       </t>
  </si>
  <si>
    <t xml:space="preserve">WENZHOU AOHAI ELECTRIC CO.,LTD.                   </t>
  </si>
  <si>
    <t xml:space="preserve">Nan'an Xinshun Electronics Co.,Ltd                </t>
  </si>
  <si>
    <t xml:space="preserve">Shantou Longhu Jiyuan Department Store Co., Ltd.  </t>
  </si>
  <si>
    <t xml:space="preserve">Xiamen Nanlan Solar Wire and Cable Co., Ltd       </t>
  </si>
  <si>
    <t xml:space="preserve">Xiamen Liangji Industrial Co., Ltd                </t>
  </si>
  <si>
    <t xml:space="preserve">Xiamen AOSIF Engineering Ltd.                     </t>
  </si>
  <si>
    <t>Tianjin Xingrun Electromechanical Equipment Co., L</t>
  </si>
  <si>
    <t xml:space="preserve">FERRICO CORPORATION                               </t>
  </si>
  <si>
    <t xml:space="preserve">TECHNIC INDUSTRY CO.,LTD.                         </t>
  </si>
  <si>
    <t xml:space="preserve">Volcano Tec (Thailand) Co.,Ltd                    </t>
  </si>
  <si>
    <t xml:space="preserve">Eldecom dedicated componets srl                   </t>
  </si>
  <si>
    <t xml:space="preserve">TE Connectivity Distribution (Thailand) Limited   </t>
  </si>
  <si>
    <t xml:space="preserve">Expeditors (Thailand) Ltd.                        </t>
  </si>
  <si>
    <t xml:space="preserve">MATERIAL PROVIDE BY CUSTOMER- THB                 </t>
  </si>
  <si>
    <t xml:space="preserve">MATERIAL PROVIDE BY CUSTOMER - USD DDP            </t>
  </si>
  <si>
    <t xml:space="preserve">BURAPHA AUTOTECH ENGINEERING CO., LTD.            </t>
  </si>
  <si>
    <t xml:space="preserve">CTNS Trading Professional Ltd.,Part               </t>
  </si>
  <si>
    <t xml:space="preserve">RS COMPONENTS CO., LTD.                           </t>
  </si>
  <si>
    <t xml:space="preserve">Hacint Intelligent Equipment Co., Ltd             </t>
  </si>
  <si>
    <t xml:space="preserve">JC RUSH CO.,LTD                                   </t>
  </si>
  <si>
    <t xml:space="preserve">Tri-Siam Engineering And Supply Co.,Ltd.          </t>
  </si>
  <si>
    <t xml:space="preserve">ST Global Industries Co., Ltd.                    </t>
  </si>
  <si>
    <t xml:space="preserve">PHETCHSAWAT PACKING INTER CO., LTD.               </t>
  </si>
  <si>
    <t xml:space="preserve">KTR BEST Company Limited                          </t>
  </si>
  <si>
    <t xml:space="preserve">WE CARE GROUP SERVICE CO., LTD                    </t>
  </si>
  <si>
    <t xml:space="preserve">Miunske GmbH                                      </t>
  </si>
  <si>
    <t xml:space="preserve">Littelfuse, Inc                                   </t>
  </si>
  <si>
    <t xml:space="preserve">FAIRWAY TRADING COMPANY                           </t>
  </si>
  <si>
    <t xml:space="preserve">SWE-CHECK PTY LTD                                 </t>
  </si>
  <si>
    <t xml:space="preserve">FACON SRL                                         </t>
  </si>
  <si>
    <t xml:space="preserve">Optimas OE Soultions HK Limited                   </t>
  </si>
  <si>
    <t xml:space="preserve">CS COLOMBO USA, Inc                               </t>
  </si>
  <si>
    <t xml:space="preserve">JOWLE(DONGGUAN)ELECTRONICS CO.LTD                 </t>
  </si>
  <si>
    <t xml:space="preserve">TECASA PAZARLAMA LTD.                             </t>
  </si>
  <si>
    <t xml:space="preserve">Waytek,lnc.                                       </t>
  </si>
  <si>
    <t xml:space="preserve">Xiamen ZTC Technology Co., Ltd.                   </t>
  </si>
  <si>
    <t xml:space="preserve">Zoppas Industries of Mexico, S.A. de C.V.         </t>
  </si>
  <si>
    <t xml:space="preserve">T DESIGN &amp; BUILD LIMITED                          </t>
  </si>
  <si>
    <t xml:space="preserve">Look4good IT Consulting Limited                   </t>
  </si>
  <si>
    <t xml:space="preserve">WING FU OFFICE MACHINE CO.                        </t>
  </si>
  <si>
    <t xml:space="preserve">DHL GLOBAL FORWARDING(HONGKONG)LIMITED            </t>
  </si>
  <si>
    <t xml:space="preserve">TEMPORARY SUPPLIER-EUR                            </t>
  </si>
  <si>
    <t xml:space="preserve">Caplugs Protective Industrial Components(Jiangsu) </t>
  </si>
  <si>
    <t>UnitedCreationPackagingSolutions(Guangzhou)Co.,Ltd</t>
  </si>
  <si>
    <t xml:space="preserve">GUANGDONG HAERKN NEW ENERY CO.， LTD.             </t>
  </si>
  <si>
    <t xml:space="preserve">SuZhou TKS Electronic Co.,Ltd.                    </t>
  </si>
  <si>
    <t xml:space="preserve">SHEN ZHEN GRID POWER CONNECTORS,.LTD              </t>
  </si>
  <si>
    <t>Hunan Smart Changlong Electronic Technology Co., L</t>
  </si>
  <si>
    <t xml:space="preserve">TONGBAO-HUALONG CONTROLS CO., LTD.                </t>
  </si>
  <si>
    <t xml:space="preserve">Shanghai Nebula International Trade Co.,LTD       </t>
  </si>
  <si>
    <t xml:space="preserve">Guangdong Aldex Advanced Plastics Co.,LTD         </t>
  </si>
  <si>
    <t>Zhongshan Chongde Rubber and Plastic Products Co.,</t>
  </si>
  <si>
    <t xml:space="preserve">Shanghai ErYi Machinery Technology Co., LTD       </t>
  </si>
  <si>
    <t xml:space="preserve">Zhejiang Pan an Jiamei Plastic Factory            </t>
  </si>
  <si>
    <t xml:space="preserve">Changzhou Xuexiang Telecommunication Co., Ltd.    </t>
  </si>
  <si>
    <t xml:space="preserve">Dongguan KSY Electronic Technology Co., LTD       </t>
  </si>
  <si>
    <t xml:space="preserve">Dongguan Seso Technology Co.                      </t>
  </si>
  <si>
    <t xml:space="preserve">Dongguan Jin Bo Xin Electronic Hardware CO.LTD    </t>
  </si>
  <si>
    <t xml:space="preserve">Huizhou Yuxuan New Material Co,.Ltd               </t>
  </si>
  <si>
    <t xml:space="preserve">Liyang Electric Machinery(Dongguan) Co. Ltd.      </t>
  </si>
  <si>
    <t xml:space="preserve">Huili Electronic technology (Ningbo) Lim.Co       </t>
  </si>
  <si>
    <t xml:space="preserve">Yangzhou Nuokai Electronics Co., Ltd              </t>
  </si>
  <si>
    <t xml:space="preserve">Suzhou MINANRO Machinery and Electric Co., Ltd    </t>
  </si>
  <si>
    <t xml:space="preserve">Qingdao Addyou Electronics Co.,LTD.               </t>
  </si>
  <si>
    <t xml:space="preserve">Shenzhen AndianTech Ltd.                          </t>
  </si>
  <si>
    <t xml:space="preserve">Dongguan SIKEDE NEW MATERIALS CO.,LTD.            </t>
  </si>
  <si>
    <t xml:space="preserve">Dongguan Yixin Electronics Co., Ltd               </t>
  </si>
  <si>
    <t xml:space="preserve">Hengdian Group DMEGC Magnetics Co., Ltd.          </t>
  </si>
  <si>
    <t xml:space="preserve">Cangnan Xingfeng Electronic Film Co.,Ltd.         </t>
  </si>
  <si>
    <t xml:space="preserve">Dongguan Rongrui Packing Co.,Ltd.                 </t>
  </si>
  <si>
    <t xml:space="preserve">Zoppas Industries Jiaxing Co.,Ltd.                </t>
  </si>
  <si>
    <t xml:space="preserve">XinFeng Ghillie Electrical Materials.co.LTD.      </t>
  </si>
  <si>
    <t xml:space="preserve">GuangZhou Jiantong Industrial &amp; trading Co,Ltd    </t>
  </si>
  <si>
    <t xml:space="preserve">BO FENG ELECTRONICS (SHENZHEN) CO.LTD             </t>
  </si>
  <si>
    <t xml:space="preserve">SHENZHEN HUAHAI XUXING ELECTRONICS CO.,LTD        </t>
  </si>
  <si>
    <t xml:space="preserve">SHANGHAI SUNS ELECTRIC CO.,LTD                    </t>
  </si>
  <si>
    <t xml:space="preserve">SHANGHAI TAORONG INDUSTRIAL CO.LTD                </t>
  </si>
  <si>
    <t xml:space="preserve">Zhuzhou Megmeet Electrical CO.,LTD                </t>
  </si>
  <si>
    <t xml:space="preserve">HUIZHOU BOSHIDI INFORMATION TECHNOLOGY CO., LTD   </t>
  </si>
  <si>
    <t xml:space="preserve">SHENZHNESHI XINAHONG TECHNOLOGY CO.,LTD           </t>
  </si>
  <si>
    <t>Dongguan City Changtai Logistics Equipment Co., Lt</t>
  </si>
  <si>
    <t xml:space="preserve">Huizhou Qishengda Instrument Co., Ltd.            </t>
  </si>
  <si>
    <t>LIKA METAL &amp; PLASTIC MANUFACTUNRING(GUANGDONG) CO.</t>
  </si>
  <si>
    <t xml:space="preserve">SHENZHEN VISION ELECTRONICS TECHNOLOGY CO.,LTD    </t>
  </si>
  <si>
    <t xml:space="preserve">HUIZHOU SKODE TESTING TECHNOLOGY CO.,LTD          </t>
  </si>
  <si>
    <t xml:space="preserve">DONGGUAN SAIAO AUTOMATICAL EQUIPMENT CO., LTD     </t>
  </si>
  <si>
    <t xml:space="preserve">Jin Tai Lian Industrial (Kunshan) Co., Ltd.       </t>
  </si>
  <si>
    <t xml:space="preserve">Waltek Testing Group (Foshan) Co.,Ltd             </t>
  </si>
  <si>
    <t xml:space="preserve">Shenzhen Huakeli Da Technology Co., Ltd.          </t>
  </si>
  <si>
    <t xml:space="preserve">Guangzhou Yuehai Signage Technology Co., Ltd.     </t>
  </si>
  <si>
    <t xml:space="preserve">SHENZHEN LIANXINZHI AUTOMUTION EQUIPMONT CO., LTD </t>
  </si>
  <si>
    <t xml:space="preserve">Guangzhou Yumai Information Technology Co.,Ltd    </t>
  </si>
  <si>
    <t xml:space="preserve">Shenzhen Kaihong Tengfei Equipment Co., Ltd.      </t>
  </si>
  <si>
    <t xml:space="preserve">Huizhou Yida Labor Protection Products Co., Ltd.  </t>
  </si>
  <si>
    <t>BOLUO FUTIAN TOWN WEILI BIRDSONG AND FLOWER Fragra</t>
  </si>
  <si>
    <t>HUIZHOU BRANCH OF GUANGDONG GONGHAO CATERING MANAG</t>
  </si>
  <si>
    <t xml:space="preserve">QINGDAO JINGHONG PRECISION CO.,LTD                </t>
  </si>
  <si>
    <t xml:space="preserve">GUANGZHOU DINGXIN INDUSTRIAL SHAREHOLDING CO.,LTD </t>
  </si>
  <si>
    <t xml:space="preserve">CRAT Testing &amp; Certification Company Ltd.         </t>
  </si>
  <si>
    <t xml:space="preserve">NOBLE BADGE HOTEL                                 </t>
  </si>
  <si>
    <t>Guangdong Boluo Quality&amp;Technology Supervision Tes</t>
  </si>
  <si>
    <t xml:space="preserve">QCGO LOGISTICS CO.,LTD                            </t>
  </si>
  <si>
    <t xml:space="preserve">Freightshop Technology co.,Ltd                    </t>
  </si>
  <si>
    <t xml:space="preserve">Shenzhen zhuoyuan logistics Co.,Ltd               </t>
  </si>
  <si>
    <t xml:space="preserve">Samsung SDS(China)Co.,Ltd Shanghai Brach          </t>
  </si>
  <si>
    <t xml:space="preserve">SHANGHAI MILKWAY CHENMICAL LOGISTICS CO.,LTD      </t>
  </si>
  <si>
    <t xml:space="preserve">Huizhou Debang Logistics Co., Ltd.                </t>
  </si>
  <si>
    <t xml:space="preserve">Hellmann Wordwide Logisitics (china)Ltd.shenzhen  </t>
  </si>
  <si>
    <t xml:space="preserve">Xiamen Haixiang Precision Technology Co., Ltd.    </t>
  </si>
  <si>
    <t xml:space="preserve">Wurth Electronic Tianjin Co.,Ltd.                 </t>
  </si>
  <si>
    <t xml:space="preserve">GUANGZHOU CHEMITEC AUTOMOTIVE COMPONENTS CO.,LTD  </t>
  </si>
  <si>
    <t>H45</t>
  </si>
  <si>
    <t>Aerth</t>
  </si>
  <si>
    <t>HZ_IT_202509001</t>
  </si>
  <si>
    <t>黑白打印机租赁(8月)</t>
  </si>
  <si>
    <t>QIN.PENG</t>
  </si>
  <si>
    <t>EA</t>
  </si>
  <si>
    <t>RAINIE</t>
  </si>
  <si>
    <t>8132300</t>
  </si>
  <si>
    <t>HUIZHOU BOSHIDI INFORMATION TECHNOLOGY CO., LTD</t>
  </si>
  <si>
    <t>20251009</t>
  </si>
  <si>
    <t>Y</t>
  </si>
  <si>
    <t>ALL</t>
  </si>
  <si>
    <t>2025-09-20</t>
  </si>
  <si>
    <t>f</t>
  </si>
  <si>
    <t>HZ_IT_202509001_0</t>
  </si>
  <si>
    <t>PA</t>
  </si>
  <si>
    <t>彩色打印机租赁(8月)</t>
  </si>
  <si>
    <t>树脂碳带 内径Φ25.7MM 110MM*300M</t>
  </si>
  <si>
    <t>卷</t>
  </si>
  <si>
    <t>8132436</t>
  </si>
  <si>
    <t>DONGGUANSHI XUMEI PACKAGING MACHINERY CO.,LTD</t>
  </si>
  <si>
    <t>另一PO25254127</t>
  </si>
  <si>
    <t>得力(DELI)388A硒鼓 88A硒鼓 适用惠普打印机HP P1008 P1106 P1108 M1136 M126A M126NW M128FN硒鼓 4支大容量</t>
  </si>
  <si>
    <t>套</t>
  </si>
  <si>
    <t>8132327</t>
  </si>
  <si>
    <t>GUANGZHOU JINGDONG TRADING CO,.LTD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</si>
</sst>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8">
    <numFmt numFmtId="44" formatCode="_ &quot;¥&quot;* #,##0.00_ ;_ &quot;¥&quot;* \-#,##0.00_ ;_ &quot;¥&quot;* &quot;-&quot;??_ ;_ @_ "/>
    <numFmt numFmtId="43" formatCode="_ * #,##0.00_ ;_ * \-#,##0.00_ ;_ * &quot;-&quot;??_ ;_ @_ "/>
    <numFmt numFmtId="164" formatCode="&quot;$&quot;#,##0.00_);\(&quot;$&quot;#,##0.00\)"/>
    <numFmt numFmtId="165" formatCode="&quot;$&quot;#,##0.00_);[Red]\(&quot;$&quot;#,##0.00\)"/>
    <numFmt numFmtId="166" formatCode="_(* #,##0_);_(* \(#,##0\);_(* &quot;-&quot;_);_(@_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\$#,##0.00_);\(\$#,##0.00\)"/>
    <numFmt numFmtId="170" formatCode="\$#,##0.00_);[Red]\(\$#,##0.00\)"/>
    <numFmt numFmtId="171" formatCode="#,##0\ [$EUR]"/>
    <numFmt numFmtId="172" formatCode="&quot;$&quot;#,##0.0_);\(&quot;$&quot;#,##0.0\)"/>
    <numFmt numFmtId="173" formatCode=";;;"/>
    <numFmt numFmtId="174" formatCode="_(\£* #,##0_);_(\£* \(#,##0\);_(\£* &quot;-&quot;_);_(@_)"/>
    <numFmt numFmtId="175" formatCode="_(\£* #,##0.0_);_(\£* \(#,##0.0\);_(\£* &quot;-&quot;_);_(@_)"/>
    <numFmt numFmtId="176" formatCode="_(\£* #,##0.00_);_(\£* \(#,##0.00\);_(\£* &quot;-&quot;_);_(@_)"/>
    <numFmt numFmtId="177" formatCode="_(* #,##0\p_);_(* \(#,##0\p\);_(* &quot;-&quot;\ \p_);_(@_)"/>
    <numFmt numFmtId="178" formatCode="_(* #,##0.00\p_);_(* \(#,##0.00\p\);_(* &quot;-&quot;\ \p_);_(@_)"/>
    <numFmt numFmtId="179" formatCode="\£#,##0.00"/>
    <numFmt numFmtId="180" formatCode="0.0\ \x;\ \(0.0\ \x\)"/>
    <numFmt numFmtId="181" formatCode="#,##0;\(#,##0\);\-"/>
    <numFmt numFmtId="182" formatCode="#,##0;\(#,##0\)"/>
    <numFmt numFmtId="183" formatCode="#,##0.00;\(#,##0.00\)"/>
    <numFmt numFmtId="184" formatCode="_-* #,##0.00_£_¤_-;\-* #,##0.00_£_¤_-;_-* &quot;-&quot;??_£_¤_-;_-@_-"/>
    <numFmt numFmtId="185" formatCode="_-* #,##0.00_£_¤_-;\-* #,##0.00_£_¤_-;_-* \-??_£_¤_-;_-@_-"/>
    <numFmt numFmtId="186" formatCode="_(* #,##0.0\ \ _);_(* \(#,##0.0\ \ \ ;_(* &quot;-&quot;??_);_(@_)"/>
    <numFmt numFmtId="187" formatCode="#,##0.0_);\(#,##0.0\)"/>
    <numFmt numFmtId="188" formatCode="_(* #,##0.000_);_(* \(#,##0.000\);_(* &quot;-&quot;???_);_(@_)"/>
    <numFmt numFmtId="189" formatCode="_(&quot;$&quot;#,##0.00_);_(&quot;$&quot;\(#,##0.00\);_(&quot;$&quot;&quot;-&quot;??_);_(@_)"/>
    <numFmt numFmtId="190" formatCode="_(\$#,##0.00_);_(&quot;$(&quot;#,##0.00\);_(&quot;$-&quot;??_);_(@_)"/>
    <numFmt numFmtId="191" formatCode="0.000000"/>
    <numFmt numFmtId="192" formatCode="0.0000000"/>
    <numFmt numFmtId="193" formatCode="#,##0.00000000000000"/>
    <numFmt numFmtId="194" formatCode="#,##0.0_);[Red]\(#,##0.0\)"/>
    <numFmt numFmtId="195" formatCode="_-* #,##0.00_-;\-* #,##0.00_-;_-* &quot;-&quot;??_-;_-@_-"/>
    <numFmt numFmtId="196" formatCode="_(* #,##0.00_);_(* \(#,##0.00\);_(* \-??_);_(@_)"/>
    <numFmt numFmtId="197" formatCode="_-* #,##0.00\ _P_t_s_-;\-* #,##0.00\ _P_t_s_-;_-* &quot;-&quot;??\ _P_t_s_-;_-@_-"/>
    <numFmt numFmtId="198" formatCode="0.000"/>
    <numFmt numFmtId="199" formatCode="General_)"/>
    <numFmt numFmtId="200" formatCode="0.0%"/>
    <numFmt numFmtId="201" formatCode="_(&quot;$&quot;* #,##0.0_);_(&quot;$&quot;* \(#,##0.0\);_(&quot;$&quot;* &quot;-&quot;_);_(@_)"/>
    <numFmt numFmtId="202" formatCode="_-* #,##0.00\ &quot;Pts&quot;_-;\-* #,##0.00\ &quot;Pts&quot;_-;_-* &quot;-&quot;??\ &quot;Pts&quot;_-;_-@_-"/>
    <numFmt numFmtId="203" formatCode="_(\$* #,##0.00_);_(\$* \(#,##0.00\);_(\$* \-??_);_(@_)"/>
    <numFmt numFmtId="204" formatCode="_ &quot;￥&quot;* #,##0.00_ ;_ &quot;￥&quot;* \-#,##0.00_ ;_ &quot;￥&quot;* &quot;-&quot;??_ ;_ @_ "/>
    <numFmt numFmtId="205" formatCode="_-* #,##0\ _F_-;\-* #,##0\ _F_-;_-* &quot;-&quot;\ _F_-;_-@_-"/>
    <numFmt numFmtId="206" formatCode="_(* #,##0_);_(* \(#,##0\);_(* &quot;-&quot;??_);_(@_)"/>
    <numFmt numFmtId="207" formatCode="&quot;$&quot;#,##0.00_%_);\(&quot;$&quot;#,##0.00\)_%;&quot;$&quot;###0.00_%_);@_%_)"/>
    <numFmt numFmtId="208" formatCode="00000"/>
    <numFmt numFmtId="209" formatCode="_-&quot;£&quot;* #,##0.0_-;\-&quot;£&quot;* #,##0.0_-;_-&quot;£&quot;* &quot;-&quot;??_-;_-@_-"/>
    <numFmt numFmtId="210" formatCode="mm/dd/yyyy"/>
    <numFmt numFmtId="211" formatCode="#."/>
    <numFmt numFmtId="212" formatCode="&quot;$&quot;#,##0.00"/>
    <numFmt numFmtId="213" formatCode="0.0"/>
    <numFmt numFmtId="214" formatCode="&quot;$&quot;#,##0"/>
    <numFmt numFmtId="215" formatCode="#,##0.0"/>
    <numFmt numFmtId="216" formatCode="0.00\x"/>
    <numFmt numFmtId="217" formatCode="_-&quot;€&quot;\ * #,##0.00_-;\-&quot;€&quot;\ * #,##0.00_-;_-&quot;€&quot;\ * &quot;-&quot;??_-;_-@_-"/>
    <numFmt numFmtId="218" formatCode="0.000\ \x"/>
    <numFmt numFmtId="219" formatCode="#,##0.000_);\(#,##0.000\)"/>
    <numFmt numFmtId="220" formatCode="0.0%\ \ \ "/>
    <numFmt numFmtId="221" formatCode="0_);\(0\)"/>
    <numFmt numFmtId="222" formatCode="mmmddyyyy"/>
    <numFmt numFmtId="223" formatCode="mmmm\ d\,"/>
    <numFmt numFmtId="224" formatCode="_(* #,##0\ \x_);_(* \(#,##0\ \x\);_(* &quot;-&quot;??_);_(@_)"/>
    <numFmt numFmtId="225" formatCode="_(* #,##0.0\ \x_);_(* \(#,##0.0\ \x\);_(* &quot;-&quot;??_);_(@_)"/>
    <numFmt numFmtId="226" formatCode="0.0\ \x;\(0.0\ \x\)"/>
    <numFmt numFmtId="227" formatCode="#,##0.00;[Red]\-#,##0.0"/>
    <numFmt numFmtId="228" formatCode="_ [$￥-804]* #,##0.0000_ ;_ [$￥-804]* \-#,##0.0000_ ;_ [$￥-804]* &quot;-&quot;??_ ;_ @_ "/>
    <numFmt numFmtId="229" formatCode="0.0000_)"/>
    <numFmt numFmtId="230" formatCode="0.0%;\(0.0%\)"/>
    <numFmt numFmtId="231" formatCode="#,##0.0\%_);\(#,##0.0\%\);#,##0.0\%_);@_%_)"/>
    <numFmt numFmtId="232" formatCode="yy"/>
    <numFmt numFmtId="233" formatCode="0.000%"/>
    <numFmt numFmtId="234" formatCode="&quot;$&quot;#,##0.00;\(&quot;$&quot;#,##0.00\)"/>
    <numFmt numFmtId="235" formatCode="_(&quot;$&quot;* #,##0.000_);_(&quot;$&quot;* \(#,##0.000\);_(&quot;$&quot;* &quot;-&quot;??_);_(@_)"/>
    <numFmt numFmtId="236" formatCode="#,##0.000_);[Red]\(#,##0.000\)"/>
    <numFmt numFmtId="237" formatCode="#,##0.000%_);\(#,##0.000%\);#,##0.000%_);@_%_)"/>
    <numFmt numFmtId="238" formatCode="_(* &quot;$&quot;#,##0.0_);_(* \(#,##0.0\);_(* &quot;-&quot;??_);_(@_)"/>
    <numFmt numFmtId="239" formatCode="&quot;$&quot;#,##0.0;\(&quot;$&quot;#,##0.0\)"/>
    <numFmt numFmtId="240" formatCode="#,##0\ &quot;DM&quot;;[Red]\-#,##0\ &quot;DM&quot;"/>
    <numFmt numFmtId="241" formatCode="0_%_);\(0\)_%;0_%_);@_%_)"/>
    <numFmt numFmtId="242" formatCode="[$€-2]\ #,##0.00000;[$€-2]\ \-#,##0.00000"/>
    <numFmt numFmtId="243" formatCode="[$-409]mmmm\ d\,\ yyyy;@"/>
    <numFmt numFmtId="244" formatCode="_-* #,##0.00\ &quot;F&quot;_-;\-* #,##0.00\ &quot;F&quot;_-;_-* &quot;-&quot;??\ &quot;F&quot;_-;_-@_-"/>
    <numFmt numFmtId="245" formatCode="_(* #,##0.0000_);_(* \(#,##0.0000\);_(* &quot;-&quot;??_);_(@_)"/>
    <numFmt numFmtId="246" formatCode="\$#,##0.00;[Red]\-\$#,##0.00"/>
    <numFmt numFmtId="247" formatCode="_(* #,##0.00000_);_(* \(#,##0.00000\);_(* &quot;&quot;??_);_(@_)"/>
    <numFmt numFmtId="248" formatCode="_ * ###0_ ;_ * \-###0_ ;_ * &quot;&quot;??_ ;_ @_ "/>
    <numFmt numFmtId="249" formatCode="_ * #,##0_ ;_ * \-#,##0_ ;_ * &quot;-&quot;??_ ;_ @_ "/>
  </numFmts>
  <fonts count="246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0"/>
      <name val="GillSans"/>
    </font>
    <font>
      <sz val="10"/>
      <name val="GillSans"/>
      <family val="2"/>
    </font>
    <font>
      <sz val="10"/>
      <name val="Times New Roman"/>
      <family val="1"/>
    </font>
    <font>
      <sz val="10"/>
      <color indexed="14"/>
      <name val="Baskerville MT"/>
    </font>
    <font>
      <sz val="12"/>
      <name val="Times New Roman"/>
      <family val="1"/>
    </font>
    <font>
      <sz val="12"/>
      <name val="???"/>
      <family val="1"/>
      <charset val="129"/>
    </font>
    <font>
      <sz val="9"/>
      <name val="Arial MT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宋体"/>
      <family val="3"/>
      <charset val="134"/>
    </font>
    <font>
      <sz val="10"/>
      <name val="Palatino"/>
      <family val="1"/>
    </font>
    <font>
      <sz val="10"/>
      <name val="Palatino"/>
      <family val="1"/>
    </font>
    <font>
      <sz val="11"/>
      <color indexed="8"/>
      <name val="Calibri"/>
      <family val="2"/>
    </font>
    <font>
      <sz val="11"/>
      <color indexed="8"/>
      <name val="宋体"/>
      <family val="3"/>
      <charset val="134"/>
    </font>
    <font>
      <sz val="11"/>
      <color indexed="9"/>
      <name val="Calibri"/>
      <family val="2"/>
    </font>
    <font>
      <sz val="11"/>
      <color indexed="9"/>
      <name val="宋体"/>
      <family val="3"/>
      <charset val="134"/>
    </font>
    <font>
      <sz val="8"/>
      <name val="Arial"/>
      <family val="2"/>
    </font>
    <font>
      <sz val="10"/>
      <name val="Courier"/>
      <family val="3"/>
    </font>
    <font>
      <sz val="10"/>
      <name val="Courier New"/>
      <family val="3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8"/>
      <color indexed="12"/>
      <name val="Tms Rmn"/>
    </font>
    <font>
      <sz val="12"/>
      <name val="Tms Rmn"/>
    </font>
    <font>
      <sz val="10"/>
      <name val="Geneva"/>
      <family val="2"/>
    </font>
    <font>
      <sz val="10"/>
      <name val="Geneva"/>
    </font>
    <font>
      <sz val="8"/>
      <name val="Times New Roman"/>
      <family val="1"/>
    </font>
    <font>
      <sz val="11"/>
      <color indexed="17"/>
      <name val="Calibri"/>
      <family val="2"/>
    </font>
    <font>
      <sz val="11"/>
      <name val="Times New Roman"/>
      <family val="1"/>
    </font>
    <font>
      <b/>
      <sz val="11"/>
      <color indexed="52"/>
      <name val="Calibri"/>
      <family val="2"/>
    </font>
    <font>
      <b/>
      <sz val="11"/>
      <color indexed="10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Book Antiqua"/>
      <family val="1"/>
    </font>
    <font>
      <b/>
      <sz val="14"/>
      <name val="Helv"/>
    </font>
    <font>
      <b/>
      <sz val="14"/>
      <name val="Arial"/>
      <family val="2"/>
    </font>
    <font>
      <sz val="14"/>
      <name val="Helv"/>
    </font>
    <font>
      <sz val="14"/>
      <name val="Arial"/>
      <family val="2"/>
    </font>
    <font>
      <sz val="14"/>
      <name val="Comic Sans MS"/>
      <family val="4"/>
    </font>
    <font>
      <sz val="11"/>
      <color theme="1"/>
      <name val="Calibri"/>
      <family val="2"/>
      <charset val="134"/>
      <scheme val="minor"/>
    </font>
    <font>
      <sz val="12"/>
      <name val="新細明體"/>
      <family val="1"/>
      <charset val="136"/>
    </font>
    <font>
      <b/>
      <sz val="8"/>
      <name val="Helv"/>
    </font>
    <font>
      <sz val="10"/>
      <color indexed="22"/>
      <name val="Arial"/>
      <family val="2"/>
    </font>
    <font>
      <sz val="7"/>
      <name val="Small Fonts"/>
      <family val="2"/>
    </font>
    <font>
      <sz val="10"/>
      <name val="MS Serif"/>
      <family val="1"/>
    </font>
    <font>
      <sz val="11"/>
      <color indexed="12"/>
      <name val="Book Antiqua"/>
      <family val="1"/>
    </font>
    <font>
      <sz val="11"/>
      <color rgb="FF000000"/>
      <name val="Calibri"/>
      <family val="2"/>
      <scheme val="minor"/>
    </font>
    <font>
      <sz val="10"/>
      <name val="Arial Narrow"/>
      <family val="2"/>
    </font>
    <font>
      <sz val="8"/>
      <name val="Helv"/>
    </font>
    <font>
      <sz val="10"/>
      <color indexed="18"/>
      <name val="Times New Roman"/>
      <family val="1"/>
    </font>
    <font>
      <sz val="10"/>
      <name val="Baskerville MT"/>
    </font>
    <font>
      <sz val="11"/>
      <name val="Baskerville MT"/>
      <family val="1"/>
    </font>
    <font>
      <sz val="10"/>
      <name val="Helvetica 55 Roman"/>
    </font>
    <font>
      <sz val="1"/>
      <color indexed="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9"/>
      <color indexed="18"/>
      <name val="Times New Roman"/>
      <family val="1"/>
    </font>
    <font>
      <b/>
      <sz val="12"/>
      <color indexed="18"/>
      <name val="Arial"/>
      <family val="2"/>
    </font>
    <font>
      <b/>
      <sz val="14"/>
      <color indexed="18"/>
      <name val="Arial"/>
      <family val="2"/>
    </font>
    <font>
      <b/>
      <sz val="9"/>
      <color indexed="18"/>
      <name val="Arial"/>
      <family val="2"/>
    </font>
    <font>
      <b/>
      <u/>
      <sz val="9"/>
      <color indexed="18"/>
      <name val="Arial"/>
      <family val="2"/>
    </font>
    <font>
      <sz val="9"/>
      <name val="Arial Narrow"/>
      <family val="2"/>
    </font>
    <font>
      <sz val="8"/>
      <color indexed="8"/>
      <name val="GoudyOlSt BT"/>
      <family val="1"/>
    </font>
    <font>
      <i/>
      <sz val="9"/>
      <color indexed="18"/>
      <name val="Times New Roman"/>
      <family val="1"/>
    </font>
    <font>
      <i/>
      <sz val="10"/>
      <name val="Arial Narrow"/>
      <family val="2"/>
    </font>
    <font>
      <i/>
      <sz val="9"/>
      <color indexed="8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sz val="14"/>
      <name val="Times New Roman"/>
      <family val="1"/>
    </font>
    <font>
      <sz val="22"/>
      <name val="Times New Roman"/>
      <family val="1"/>
    </font>
    <font>
      <b/>
      <sz val="10"/>
      <name val="Arial Narrow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9"/>
      <name val="GillSans Light"/>
      <family val="2"/>
    </font>
    <font>
      <sz val="9"/>
      <name val="GillSans Light"/>
    </font>
    <font>
      <b/>
      <u/>
      <sz val="11"/>
      <color indexed="37"/>
      <name val="Arial"/>
      <family val="2"/>
    </font>
    <font>
      <b/>
      <u/>
      <sz val="11"/>
      <color indexed="16"/>
      <name val="Arial"/>
      <family val="2"/>
    </font>
    <font>
      <b/>
      <sz val="12"/>
      <name val="Arial"/>
      <family val="2"/>
    </font>
    <font>
      <b/>
      <sz val="8"/>
      <name val="Palatino"/>
      <family val="1"/>
    </font>
    <font>
      <b/>
      <sz val="8"/>
      <name val="Palatino"/>
      <family val="1"/>
    </font>
    <font>
      <b/>
      <sz val="18"/>
      <color indexed="2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  <scheme val="minor"/>
    </font>
    <font>
      <b/>
      <sz val="12"/>
      <color indexed="22"/>
      <name val="Arial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  <scheme val="minor"/>
    </font>
    <font>
      <b/>
      <sz val="11"/>
      <color indexed="62"/>
      <name val="Calibri"/>
      <family val="2"/>
      <scheme val="minor"/>
    </font>
    <font>
      <sz val="1"/>
      <color indexed="8"/>
      <name val="Courier New"/>
      <family val="3"/>
    </font>
    <font>
      <b/>
      <sz val="1"/>
      <color indexed="0"/>
      <name val="Courier"/>
      <family val="3"/>
    </font>
    <font>
      <sz val="10"/>
      <color indexed="12"/>
      <name val="Arial"/>
      <family val="2"/>
    </font>
    <font>
      <u/>
      <sz val="11"/>
      <color theme="10"/>
      <name val="Calibri"/>
      <family val="2"/>
    </font>
    <font>
      <u/>
      <sz val="12"/>
      <color theme="10"/>
      <name val="宋体"/>
      <family val="3"/>
      <charset val="134"/>
    </font>
    <font>
      <u/>
      <sz val="11"/>
      <color rgb="FF0000FF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indexed="12"/>
      <name val="Tahoma"/>
      <family val="2"/>
    </font>
    <font>
      <u/>
      <sz val="8.5"/>
      <color indexed="12"/>
      <name val="Arial"/>
      <family val="2"/>
    </font>
    <font>
      <u/>
      <sz val="7.5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0"/>
      <name val="Palatino"/>
      <family val="1"/>
    </font>
    <font>
      <b/>
      <sz val="10"/>
      <name val="Palatino"/>
      <family val="1"/>
    </font>
    <font>
      <sz val="11"/>
      <color indexed="10"/>
      <name val="Calibri"/>
      <family val="2"/>
      <scheme val="minor"/>
    </font>
    <font>
      <sz val="10"/>
      <name val="Futura Md BT"/>
      <family val="2"/>
    </font>
    <font>
      <b/>
      <sz val="36"/>
      <name val="Times New Roman"/>
      <family val="1"/>
    </font>
    <font>
      <sz val="14"/>
      <name val="Architecture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  <scheme val="minor"/>
    </font>
    <font>
      <sz val="10"/>
      <name val="Calibri"/>
      <family val="2"/>
      <scheme val="minor"/>
    </font>
    <font>
      <sz val="10"/>
      <name val="Helvetica"/>
      <family val="2"/>
    </font>
    <font>
      <sz val="10"/>
      <name val="Arial"/>
      <family val="2"/>
      <charset val="238"/>
    </font>
    <font>
      <sz val="12"/>
      <color indexed="12"/>
      <name val="Times New Roman"/>
      <family val="1"/>
    </font>
    <font>
      <b/>
      <sz val="12"/>
      <name val="Times New Roman"/>
      <family val="1"/>
    </font>
    <font>
      <sz val="10"/>
      <name val="Tahoma"/>
      <family val="2"/>
      <charset val="238"/>
    </font>
    <font>
      <sz val="10"/>
      <name val="Garamond"/>
      <family val="1"/>
    </font>
    <font>
      <sz val="8"/>
      <color indexed="12"/>
      <name val="Times New Roman"/>
      <family val="1"/>
    </font>
    <font>
      <b/>
      <sz val="11"/>
      <color indexed="63"/>
      <name val="Calibri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b/>
      <sz val="10"/>
      <name val="MS Sans Serif"/>
      <family val="2"/>
    </font>
    <font>
      <u/>
      <sz val="10"/>
      <name val="GillSans"/>
      <family val="2"/>
    </font>
    <font>
      <sz val="10"/>
      <color indexed="8"/>
      <name val="Times New Roman"/>
      <family val="1"/>
    </font>
    <font>
      <sz val="10"/>
      <name val="GillSans Light"/>
      <family val="2"/>
    </font>
    <font>
      <sz val="10"/>
      <name val="GillSans Light"/>
    </font>
    <font>
      <sz val="9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b/>
      <sz val="10"/>
      <name val="GillSans"/>
      <family val="2"/>
    </font>
    <font>
      <b/>
      <sz val="10"/>
      <name val="GillSans"/>
    </font>
    <font>
      <sz val="7"/>
      <name val="Times New Roman"/>
      <family val="1"/>
    </font>
    <font>
      <i/>
      <sz val="14"/>
      <name val="Times New Roman"/>
      <family val="1"/>
    </font>
    <font>
      <b/>
      <sz val="12"/>
      <name val="GillSans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  <scheme val="major"/>
    </font>
    <font>
      <sz val="10"/>
      <name val="Book Antiqua"/>
      <family val="1"/>
    </font>
    <font>
      <u/>
      <sz val="11"/>
      <name val="GillSans"/>
      <family val="2"/>
    </font>
    <font>
      <sz val="8"/>
      <color indexed="12"/>
      <name val="Arial"/>
      <family val="2"/>
    </font>
    <font>
      <sz val="8"/>
      <name val="Book Antiqua"/>
      <family val="1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sz val="10"/>
      <name val="Tahoma"/>
      <family val="2"/>
    </font>
    <font>
      <b/>
      <sz val="15"/>
      <color indexed="62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新細明體"/>
      <family val="1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1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Czcionka tekstu podstawowego"/>
      <family val="2"/>
      <charset val="238"/>
    </font>
    <font>
      <sz val="11"/>
      <color indexed="8"/>
      <name val="맑은 고딕"/>
      <family val="3"/>
      <charset val="129"/>
    </font>
    <font>
      <sz val="11"/>
      <color indexed="9"/>
      <name val="Czcionka tekstu podstawowego"/>
      <family val="2"/>
      <charset val="238"/>
    </font>
    <font>
      <sz val="11"/>
      <color indexed="9"/>
      <name val="맑은 고딕"/>
      <family val="3"/>
      <charset val="129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9"/>
      <name val="Czcionka tekstu podstawowego"/>
      <family val="2"/>
      <charset val="238"/>
    </font>
    <font>
      <b/>
      <sz val="15"/>
      <color indexed="56"/>
      <name val="Czcionka tekstu podstawowego"/>
      <family val="2"/>
      <charset val="238"/>
    </font>
    <font>
      <b/>
      <sz val="13"/>
      <color indexed="56"/>
      <name val="Czcionka tekstu podstawowego"/>
      <family val="2"/>
      <charset val="238"/>
    </font>
    <font>
      <b/>
      <sz val="11"/>
      <color indexed="56"/>
      <name val="Czcionka tekstu podstawowego"/>
      <family val="2"/>
      <charset val="238"/>
    </font>
    <font>
      <sz val="11"/>
      <color indexed="60"/>
      <name val="Czcionka tekstu podstawowego"/>
      <family val="2"/>
      <charset val="238"/>
    </font>
    <font>
      <sz val="11"/>
      <color theme="1"/>
      <name val="Calibri"/>
      <family val="3"/>
      <charset val="134"/>
      <scheme val="minor"/>
    </font>
    <font>
      <b/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i/>
      <sz val="11"/>
      <color indexed="23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8"/>
      <color indexed="56"/>
      <name val="Cambria"/>
      <family val="1"/>
    </font>
    <font>
      <sz val="11"/>
      <color indexed="20"/>
      <name val="Czcionka tekstu podstawowego"/>
      <family val="2"/>
      <charset val="238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9"/>
      <color indexed="81"/>
      <name val="Tahoma"/>
      <family val="2"/>
    </font>
    <font>
      <sz val="11"/>
      <name val="Calibri"/>
      <family val="2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</font>
    <font>
      <b/>
      <sz val="16"/>
      <name val="宋体"/>
      <family val="3"/>
      <charset val="134"/>
    </font>
    <font>
      <b/>
      <sz val="12"/>
      <name val="Calibri"/>
      <family val="2"/>
    </font>
    <font>
      <b/>
      <sz val="16"/>
      <name val="Calibri"/>
      <family val="2"/>
    </font>
    <font>
      <sz val="8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b/>
      <sz val="9"/>
      <name val="Calibri"/>
      <family val="2"/>
    </font>
    <font>
      <sz val="8"/>
      <color theme="1"/>
      <name val="Calibri"/>
      <family val="2"/>
    </font>
    <font>
      <sz val="12"/>
      <name val="Calibri"/>
      <family val="2"/>
    </font>
    <font>
      <b/>
      <sz val="8"/>
      <name val="Calibri"/>
      <family val="2"/>
    </font>
    <font>
      <sz val="10"/>
      <name val="Calibri"/>
      <family val="2"/>
    </font>
    <font>
      <sz val="8"/>
      <color indexed="10"/>
      <name val="Calibri"/>
      <family val="2"/>
    </font>
    <font>
      <sz val="10"/>
      <color indexed="8"/>
      <name val="Calibri"/>
      <family val="2"/>
    </font>
    <font>
      <sz val="14"/>
      <color theme="1"/>
      <name val="Calibri"/>
      <family val="2"/>
    </font>
    <font>
      <sz val="9"/>
      <name val="Calibri"/>
      <family val="2"/>
      <charset val="134"/>
      <scheme val="minor"/>
    </font>
    <font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name val="Calibri"/>
      <family val="2"/>
    </font>
    <font>
      <sz val="8"/>
      <color theme="0"/>
      <name val="Calibri"/>
      <family val="2"/>
    </font>
    <font>
      <sz val="11"/>
      <color rgb="FF000000"/>
      <name val="宋体"/>
      <charset val="134"/>
    </font>
  </fonts>
  <fills count="10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44"/>
        <bgColor indexed="22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26"/>
        <bgColor indexed="64"/>
      </patternFill>
    </fill>
    <fill>
      <patternFill patternType="solid">
        <fgColor indexed="26"/>
        <bgColor indexed="9"/>
      </patternFill>
    </fill>
    <fill>
      <patternFill patternType="mediumGray">
        <fgColor indexed="22"/>
      </patternFill>
    </fill>
    <fill>
      <patternFill patternType="solid">
        <fgColor indexed="31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3"/>
        <bgColor indexed="26"/>
      </patternFill>
    </fill>
    <fill>
      <patternFill patternType="lightGray">
        <fgColor indexed="13"/>
      </patternFill>
    </fill>
    <fill>
      <patternFill patternType="solid">
        <fgColor indexed="27"/>
        <bgColor indexed="41"/>
      </patternFill>
    </fill>
    <fill>
      <patternFill patternType="solid">
        <fgColor indexed="46"/>
        <bgColor indexed="4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8"/>
      </left>
      <right/>
      <top/>
      <bottom style="hair">
        <color indexed="8"/>
      </bottom>
      <diagonal/>
    </border>
    <border>
      <left/>
      <right style="thin">
        <color indexed="18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8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23"/>
      </bottom>
      <diagonal/>
    </border>
    <border>
      <left/>
      <right/>
      <top style="thick">
        <color indexed="17"/>
      </top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/>
      <bottom style="double">
        <color indexed="1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5872">
    <xf numFmtId="0" fontId="0" fillId="0" borderId="0"/>
    <xf numFmtId="168" fontId="4" fillId="0" borderId="0" applyFont="0" applyFill="0" applyBorder="0" applyAlignment="0" applyProtection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3" fillId="0" borderId="0"/>
    <xf numFmtId="171" fontId="24" fillId="0" borderId="0" applyNumberFormat="0" applyFill="0" applyBorder="0" applyAlignment="0" applyProtection="0"/>
    <xf numFmtId="171" fontId="23" fillId="0" borderId="0"/>
    <xf numFmtId="171" fontId="25" fillId="0" borderId="0"/>
    <xf numFmtId="171" fontId="26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2" fontId="27" fillId="0" borderId="0">
      <alignment horizontal="right"/>
    </xf>
    <xf numFmtId="164" fontId="27" fillId="0" borderId="0">
      <alignment horizontal="right"/>
    </xf>
    <xf numFmtId="171" fontId="25" fillId="0" borderId="0">
      <alignment horizontal="right"/>
    </xf>
    <xf numFmtId="171" fontId="26" fillId="0" borderId="0">
      <alignment horizontal="right"/>
    </xf>
    <xf numFmtId="171" fontId="25" fillId="0" borderId="0">
      <alignment horizontal="right"/>
    </xf>
    <xf numFmtId="171" fontId="25" fillId="0" borderId="0">
      <alignment horizontal="right"/>
    </xf>
    <xf numFmtId="171" fontId="25" fillId="0" borderId="0">
      <alignment horizontal="right"/>
    </xf>
    <xf numFmtId="171" fontId="25" fillId="0" borderId="0">
      <alignment horizontal="right"/>
    </xf>
    <xf numFmtId="164" fontId="28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3" fontId="27" fillId="0" borderId="0" applyFont="0" applyFill="0" applyBorder="0" applyAlignment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21" fontId="23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8" fontId="29" fillId="0" borderId="0" applyFont="0" applyFill="0" applyBorder="0" applyAlignment="0" applyProtection="0"/>
    <xf numFmtId="22" fontId="23" fillId="0" borderId="0" applyFont="0" applyFill="0" applyBorder="0" applyAlignment="0" applyProtection="0"/>
    <xf numFmtId="171" fontId="30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31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1" fontId="24" fillId="0" borderId="0" applyNumberFormat="0" applyFill="0" applyBorder="0" applyAlignment="0" applyProtection="0"/>
    <xf numFmtId="174" fontId="32" fillId="0" borderId="0" applyFont="0" applyFill="0" applyBorder="0" applyAlignment="0" applyProtection="0"/>
    <xf numFmtId="175" fontId="32" fillId="0" borderId="0" applyFont="0" applyFill="0" applyBorder="0" applyAlignment="0" applyProtection="0"/>
    <xf numFmtId="176" fontId="32" fillId="0" borderId="0" applyFont="0" applyFill="0" applyBorder="0" applyAlignment="0" applyProtection="0"/>
    <xf numFmtId="177" fontId="32" fillId="0" borderId="0" applyFont="0" applyFill="0" applyBorder="0" applyAlignment="0" applyProtection="0"/>
    <xf numFmtId="178" fontId="32" fillId="0" borderId="0" applyFont="0" applyFill="0" applyBorder="0" applyAlignment="0" applyProtection="0"/>
    <xf numFmtId="179" fontId="33" fillId="0" borderId="0" applyFont="0" applyFill="0" applyBorder="0" applyAlignment="0" applyProtection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29" fillId="0" borderId="0"/>
    <xf numFmtId="171" fontId="34" fillId="0" borderId="0"/>
    <xf numFmtId="171" fontId="29" fillId="0" borderId="0"/>
    <xf numFmtId="171" fontId="34" fillId="0" borderId="0"/>
    <xf numFmtId="180" fontId="27" fillId="0" borderId="16" applyBorder="0"/>
    <xf numFmtId="180" fontId="27" fillId="0" borderId="16" applyBorder="0"/>
    <xf numFmtId="180" fontId="27" fillId="0" borderId="16" applyBorder="0"/>
    <xf numFmtId="180" fontId="27" fillId="0" borderId="16" applyBorder="0"/>
    <xf numFmtId="180" fontId="27" fillId="0" borderId="16" applyBorder="0"/>
    <xf numFmtId="180" fontId="27" fillId="0" borderId="16" applyBorder="0"/>
    <xf numFmtId="181" fontId="35" fillId="0" borderId="0">
      <alignment horizontal="center"/>
    </xf>
    <xf numFmtId="181" fontId="35" fillId="0" borderId="0">
      <alignment horizontal="center"/>
    </xf>
    <xf numFmtId="181" fontId="36" fillId="0" borderId="0">
      <alignment horizontal="center"/>
    </xf>
    <xf numFmtId="171" fontId="37" fillId="37" borderId="0" applyNumberFormat="0" applyBorder="0" applyAlignment="0" applyProtection="0"/>
    <xf numFmtId="171" fontId="37" fillId="38" borderId="0" applyNumberFormat="0" applyBorder="0" applyAlignment="0" applyProtection="0"/>
    <xf numFmtId="171" fontId="37" fillId="39" borderId="0" applyNumberFormat="0" applyBorder="0" applyAlignment="0" applyProtection="0"/>
    <xf numFmtId="171" fontId="37" fillId="40" borderId="0" applyNumberFormat="0" applyBorder="0" applyAlignment="0" applyProtection="0"/>
    <xf numFmtId="171" fontId="37" fillId="41" borderId="0" applyNumberFormat="0" applyBorder="0" applyAlignment="0" applyProtection="0"/>
    <xf numFmtId="171" fontId="37" fillId="42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37" fillId="37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43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0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37" fillId="38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4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4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37" fillId="39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45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18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37" fillId="40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4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2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37" fillId="41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26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37" fillId="42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45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4" fillId="30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7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8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39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1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7" fillId="42" borderId="0" applyNumberFormat="0" applyBorder="0" applyAlignment="0" applyProtection="0"/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3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2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7" fillId="43" borderId="0" applyNumberFormat="0" applyBorder="0" applyAlignment="0" applyProtection="0"/>
    <xf numFmtId="171" fontId="37" fillId="44" borderId="0" applyNumberFormat="0" applyBorder="0" applyAlignment="0" applyProtection="0"/>
    <xf numFmtId="171" fontId="37" fillId="46" borderId="0" applyNumberFormat="0" applyBorder="0" applyAlignment="0" applyProtection="0"/>
    <xf numFmtId="171" fontId="37" fillId="40" borderId="0" applyNumberFormat="0" applyBorder="0" applyAlignment="0" applyProtection="0"/>
    <xf numFmtId="171" fontId="37" fillId="43" borderId="0" applyNumberFormat="0" applyBorder="0" applyAlignment="0" applyProtection="0"/>
    <xf numFmtId="171" fontId="37" fillId="47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37" fillId="43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4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1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37" fillId="44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5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37" fillId="46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48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19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37" fillId="40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38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37" fillId="43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41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2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37" fillId="47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45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4" fillId="31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3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4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6" borderId="0" applyNumberFormat="0" applyBorder="0" applyAlignment="0" applyProtection="0"/>
    <xf numFmtId="171" fontId="37" fillId="40" borderId="0" applyNumberFormat="0" applyBorder="0" applyAlignment="0" applyProtection="0"/>
    <xf numFmtId="171" fontId="23" fillId="0" borderId="0"/>
    <xf numFmtId="171" fontId="37" fillId="40" borderId="0" applyNumberFormat="0" applyBorder="0" applyAlignment="0" applyProtection="0"/>
    <xf numFmtId="171" fontId="23" fillId="0" borderId="0"/>
    <xf numFmtId="171" fontId="37" fillId="4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7" fillId="40" borderId="0" applyNumberFormat="0" applyBorder="0" applyAlignment="0" applyProtection="0"/>
    <xf numFmtId="171" fontId="23" fillId="0" borderId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37" fillId="40" borderId="0" applyNumberFormat="0" applyBorder="0" applyAlignment="0" applyProtection="0"/>
    <xf numFmtId="171" fontId="23" fillId="0" borderId="0"/>
    <xf numFmtId="171" fontId="23" fillId="0" borderId="0"/>
    <xf numFmtId="171" fontId="37" fillId="43" borderId="0" applyNumberFormat="0" applyBorder="0" applyAlignment="0" applyProtection="0"/>
    <xf numFmtId="171" fontId="23" fillId="0" borderId="0"/>
    <xf numFmtId="171" fontId="37" fillId="4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7" fillId="43" borderId="0" applyNumberFormat="0" applyBorder="0" applyAlignment="0" applyProtection="0"/>
    <xf numFmtId="171" fontId="23" fillId="0" borderId="0"/>
    <xf numFmtId="171" fontId="23" fillId="0" borderId="0"/>
    <xf numFmtId="171" fontId="37" fillId="43" borderId="0" applyNumberFormat="0" applyBorder="0" applyAlignment="0" applyProtection="0"/>
    <xf numFmtId="171" fontId="23" fillId="0" borderId="0"/>
    <xf numFmtId="171" fontId="37" fillId="43" borderId="0" applyNumberFormat="0" applyBorder="0" applyAlignment="0" applyProtection="0"/>
    <xf numFmtId="171" fontId="23" fillId="0" borderId="0"/>
    <xf numFmtId="171" fontId="23" fillId="0" borderId="0"/>
    <xf numFmtId="171" fontId="37" fillId="47" borderId="0" applyNumberFormat="0" applyBorder="0" applyAlignment="0" applyProtection="0"/>
    <xf numFmtId="171" fontId="23" fillId="0" borderId="0"/>
    <xf numFmtId="171" fontId="37" fillId="4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7" fillId="47" borderId="0" applyNumberFormat="0" applyBorder="0" applyAlignment="0" applyProtection="0"/>
    <xf numFmtId="171" fontId="23" fillId="0" borderId="0"/>
    <xf numFmtId="171" fontId="23" fillId="0" borderId="0"/>
    <xf numFmtId="171" fontId="37" fillId="47" borderId="0" applyNumberFormat="0" applyBorder="0" applyAlignment="0" applyProtection="0"/>
    <xf numFmtId="171" fontId="23" fillId="0" borderId="0"/>
    <xf numFmtId="171" fontId="37" fillId="4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38" fillId="44" borderId="0" applyNumberFormat="0" applyBorder="0" applyAlignment="0" applyProtection="0">
      <alignment vertical="center"/>
    </xf>
    <xf numFmtId="171" fontId="23" fillId="0" borderId="0"/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38" fillId="44" borderId="0" applyNumberFormat="0" applyBorder="0" applyAlignment="0" applyProtection="0">
      <alignment vertical="center"/>
    </xf>
    <xf numFmtId="171" fontId="23" fillId="0" borderId="0"/>
    <xf numFmtId="171" fontId="38" fillId="44" borderId="0" applyNumberFormat="0" applyBorder="0" applyAlignment="0" applyProtection="0">
      <alignment vertical="center"/>
    </xf>
    <xf numFmtId="171" fontId="23" fillId="0" borderId="0"/>
    <xf numFmtId="171" fontId="38" fillId="44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38" fillId="48" borderId="0" applyNumberFormat="0" applyBorder="0" applyAlignment="0" applyProtection="0">
      <alignment vertical="center"/>
    </xf>
    <xf numFmtId="171" fontId="23" fillId="0" borderId="0"/>
    <xf numFmtId="171" fontId="38" fillId="48" borderId="0" applyNumberFormat="0" applyBorder="0" applyAlignment="0" applyProtection="0">
      <alignment vertical="center"/>
    </xf>
    <xf numFmtId="171" fontId="38" fillId="48" borderId="0" applyNumberFormat="0" applyBorder="0" applyAlignment="0" applyProtection="0">
      <alignment vertical="center"/>
    </xf>
    <xf numFmtId="171" fontId="38" fillId="48" borderId="0" applyNumberFormat="0" applyBorder="0" applyAlignment="0" applyProtection="0">
      <alignment vertical="center"/>
    </xf>
    <xf numFmtId="171" fontId="38" fillId="48" borderId="0" applyNumberFormat="0" applyBorder="0" applyAlignment="0" applyProtection="0">
      <alignment vertical="center"/>
    </xf>
    <xf numFmtId="171" fontId="23" fillId="0" borderId="0"/>
    <xf numFmtId="171" fontId="38" fillId="48" borderId="0" applyNumberFormat="0" applyBorder="0" applyAlignment="0" applyProtection="0">
      <alignment vertical="center"/>
    </xf>
    <xf numFmtId="171" fontId="23" fillId="0" borderId="0"/>
    <xf numFmtId="171" fontId="38" fillId="4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38" fillId="38" borderId="0" applyNumberFormat="0" applyBorder="0" applyAlignment="0" applyProtection="0">
      <alignment vertical="center"/>
    </xf>
    <xf numFmtId="171" fontId="23" fillId="0" borderId="0"/>
    <xf numFmtId="171" fontId="38" fillId="38" borderId="0" applyNumberFormat="0" applyBorder="0" applyAlignment="0" applyProtection="0">
      <alignment vertical="center"/>
    </xf>
    <xf numFmtId="171" fontId="38" fillId="38" borderId="0" applyNumberFormat="0" applyBorder="0" applyAlignment="0" applyProtection="0">
      <alignment vertical="center"/>
    </xf>
    <xf numFmtId="171" fontId="38" fillId="38" borderId="0" applyNumberFormat="0" applyBorder="0" applyAlignment="0" applyProtection="0">
      <alignment vertical="center"/>
    </xf>
    <xf numFmtId="171" fontId="38" fillId="38" borderId="0" applyNumberFormat="0" applyBorder="0" applyAlignment="0" applyProtection="0">
      <alignment vertical="center"/>
    </xf>
    <xf numFmtId="171" fontId="23" fillId="0" borderId="0"/>
    <xf numFmtId="171" fontId="38" fillId="38" borderId="0" applyNumberFormat="0" applyBorder="0" applyAlignment="0" applyProtection="0">
      <alignment vertical="center"/>
    </xf>
    <xf numFmtId="171" fontId="23" fillId="0" borderId="0"/>
    <xf numFmtId="171" fontId="38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38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38" fillId="45" borderId="0" applyNumberFormat="0" applyBorder="0" applyAlignment="0" applyProtection="0">
      <alignment vertical="center"/>
    </xf>
    <xf numFmtId="171" fontId="23" fillId="0" borderId="0"/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38" fillId="45" borderId="0" applyNumberFormat="0" applyBorder="0" applyAlignment="0" applyProtection="0">
      <alignment vertical="center"/>
    </xf>
    <xf numFmtId="171" fontId="23" fillId="0" borderId="0"/>
    <xf numFmtId="171" fontId="38" fillId="45" borderId="0" applyNumberFormat="0" applyBorder="0" applyAlignment="0" applyProtection="0">
      <alignment vertical="center"/>
    </xf>
    <xf numFmtId="171" fontId="23" fillId="0" borderId="0"/>
    <xf numFmtId="171" fontId="38" fillId="45" borderId="0" applyNumberFormat="0" applyBorder="0" applyAlignment="0" applyProtection="0">
      <alignment vertical="center"/>
    </xf>
    <xf numFmtId="171" fontId="39" fillId="49" borderId="0" applyNumberFormat="0" applyBorder="0" applyAlignment="0" applyProtection="0"/>
    <xf numFmtId="171" fontId="39" fillId="44" borderId="0" applyNumberFormat="0" applyBorder="0" applyAlignment="0" applyProtection="0"/>
    <xf numFmtId="171" fontId="39" fillId="46" borderId="0" applyNumberFormat="0" applyBorder="0" applyAlignment="0" applyProtection="0"/>
    <xf numFmtId="171" fontId="39" fillId="50" borderId="0" applyNumberFormat="0" applyBorder="0" applyAlignment="0" applyProtection="0"/>
    <xf numFmtId="171" fontId="39" fillId="51" borderId="0" applyNumberFormat="0" applyBorder="0" applyAlignment="0" applyProtection="0"/>
    <xf numFmtId="171" fontId="39" fillId="52" borderId="0" applyNumberFormat="0" applyBorder="0" applyAlignment="0" applyProtection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0" fillId="41" borderId="0" applyNumberFormat="0" applyBorder="0" applyAlignment="0" applyProtection="0"/>
    <xf numFmtId="171" fontId="20" fillId="12" borderId="0" applyNumberFormat="0" applyBorder="0" applyAlignment="0" applyProtection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12" borderId="0" applyNumberFormat="0" applyBorder="0" applyAlignment="0" applyProtection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12" borderId="0" applyNumberFormat="0" applyBorder="0" applyAlignment="0" applyProtection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12" borderId="0" applyNumberFormat="0" applyBorder="0" applyAlignment="0" applyProtection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12" borderId="0" applyNumberFormat="0" applyBorder="0" applyAlignment="0" applyProtection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0" fillId="53" borderId="0" applyNumberFormat="0" applyBorder="0" applyAlignment="0" applyProtection="0"/>
    <xf numFmtId="171" fontId="20" fillId="16" borderId="0" applyNumberFormat="0" applyBorder="0" applyAlignment="0" applyProtection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6" borderId="0" applyNumberFormat="0" applyBorder="0" applyAlignment="0" applyProtection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6" borderId="0" applyNumberFormat="0" applyBorder="0" applyAlignment="0" applyProtection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6" borderId="0" applyNumberFormat="0" applyBorder="0" applyAlignment="0" applyProtection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6" borderId="0" applyNumberFormat="0" applyBorder="0" applyAlignment="0" applyProtection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0" fillId="47" borderId="0" applyNumberFormat="0" applyBorder="0" applyAlignment="0" applyProtection="0"/>
    <xf numFmtId="171" fontId="20" fillId="20" borderId="0" applyNumberFormat="0" applyBorder="0" applyAlignment="0" applyProtection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20" borderId="0" applyNumberFormat="0" applyBorder="0" applyAlignment="0" applyProtection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20" borderId="0" applyNumberFormat="0" applyBorder="0" applyAlignment="0" applyProtection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20" borderId="0" applyNumberFormat="0" applyBorder="0" applyAlignment="0" applyProtection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20" borderId="0" applyNumberFormat="0" applyBorder="0" applyAlignment="0" applyProtection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0" fillId="38" borderId="0" applyNumberFormat="0" applyBorder="0" applyAlignment="0" applyProtection="0"/>
    <xf numFmtId="171" fontId="20" fillId="24" borderId="0" applyNumberFormat="0" applyBorder="0" applyAlignment="0" applyProtection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0" fillId="38" borderId="0" applyNumberFormat="0" applyBorder="0" applyAlignment="0" applyProtection="0"/>
    <xf numFmtId="171" fontId="20" fillId="24" borderId="0" applyNumberFormat="0" applyBorder="0" applyAlignment="0" applyProtection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0" fillId="38" borderId="0" applyNumberFormat="0" applyBorder="0" applyAlignment="0" applyProtection="0"/>
    <xf numFmtId="171" fontId="20" fillId="24" borderId="0" applyNumberFormat="0" applyBorder="0" applyAlignment="0" applyProtection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0" fillId="38" borderId="0" applyNumberFormat="0" applyBorder="0" applyAlignment="0" applyProtection="0"/>
    <xf numFmtId="171" fontId="20" fillId="24" borderId="0" applyNumberFormat="0" applyBorder="0" applyAlignment="0" applyProtection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0" fillId="38" borderId="0" applyNumberFormat="0" applyBorder="0" applyAlignment="0" applyProtection="0"/>
    <xf numFmtId="171" fontId="20" fillId="24" borderId="0" applyNumberFormat="0" applyBorder="0" applyAlignment="0" applyProtection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0" fillId="41" borderId="0" applyNumberFormat="0" applyBorder="0" applyAlignment="0" applyProtection="0"/>
    <xf numFmtId="171" fontId="20" fillId="28" borderId="0" applyNumberFormat="0" applyBorder="0" applyAlignment="0" applyProtection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28" borderId="0" applyNumberFormat="0" applyBorder="0" applyAlignment="0" applyProtection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28" borderId="0" applyNumberFormat="0" applyBorder="0" applyAlignment="0" applyProtection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28" borderId="0" applyNumberFormat="0" applyBorder="0" applyAlignment="0" applyProtection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0" fillId="41" borderId="0" applyNumberFormat="0" applyBorder="0" applyAlignment="0" applyProtection="0"/>
    <xf numFmtId="171" fontId="20" fillId="28" borderId="0" applyNumberFormat="0" applyBorder="0" applyAlignment="0" applyProtection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0" fillId="44" borderId="0" applyNumberFormat="0" applyBorder="0" applyAlignment="0" applyProtection="0"/>
    <xf numFmtId="171" fontId="20" fillId="32" borderId="0" applyNumberFormat="0" applyBorder="0" applyAlignment="0" applyProtection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0" fillId="44" borderId="0" applyNumberFormat="0" applyBorder="0" applyAlignment="0" applyProtection="0"/>
    <xf numFmtId="171" fontId="20" fillId="32" borderId="0" applyNumberFormat="0" applyBorder="0" applyAlignment="0" applyProtection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0" fillId="44" borderId="0" applyNumberFormat="0" applyBorder="0" applyAlignment="0" applyProtection="0"/>
    <xf numFmtId="171" fontId="20" fillId="32" borderId="0" applyNumberFormat="0" applyBorder="0" applyAlignment="0" applyProtection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0" fillId="44" borderId="0" applyNumberFormat="0" applyBorder="0" applyAlignment="0" applyProtection="0"/>
    <xf numFmtId="171" fontId="20" fillId="32" borderId="0" applyNumberFormat="0" applyBorder="0" applyAlignment="0" applyProtection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0" fillId="44" borderId="0" applyNumberFormat="0" applyBorder="0" applyAlignment="0" applyProtection="0"/>
    <xf numFmtId="171" fontId="20" fillId="32" borderId="0" applyNumberFormat="0" applyBorder="0" applyAlignment="0" applyProtection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3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39" fillId="4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39" fillId="4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39" fillId="4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39" fillId="5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38" borderId="0" applyNumberFormat="0" applyBorder="0" applyAlignment="0" applyProtection="0">
      <alignment vertical="center"/>
    </xf>
    <xf numFmtId="171" fontId="23" fillId="0" borderId="0"/>
    <xf numFmtId="171" fontId="40" fillId="38" borderId="0" applyNumberFormat="0" applyBorder="0" applyAlignment="0" applyProtection="0">
      <alignment vertical="center"/>
    </xf>
    <xf numFmtId="171" fontId="40" fillId="38" borderId="0" applyNumberFormat="0" applyBorder="0" applyAlignment="0" applyProtection="0">
      <alignment vertical="center"/>
    </xf>
    <xf numFmtId="171" fontId="40" fillId="38" borderId="0" applyNumberFormat="0" applyBorder="0" applyAlignment="0" applyProtection="0">
      <alignment vertical="center"/>
    </xf>
    <xf numFmtId="171" fontId="40" fillId="38" borderId="0" applyNumberFormat="0" applyBorder="0" applyAlignment="0" applyProtection="0">
      <alignment vertical="center"/>
    </xf>
    <xf numFmtId="171" fontId="23" fillId="0" borderId="0"/>
    <xf numFmtId="171" fontId="40" fillId="38" borderId="0" applyNumberFormat="0" applyBorder="0" applyAlignment="0" applyProtection="0">
      <alignment vertical="center"/>
    </xf>
    <xf numFmtId="171" fontId="23" fillId="0" borderId="0"/>
    <xf numFmtId="171" fontId="4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40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44" borderId="0" applyNumberFormat="0" applyBorder="0" applyAlignment="0" applyProtection="0">
      <alignment vertical="center"/>
    </xf>
    <xf numFmtId="171" fontId="23" fillId="0" borderId="0"/>
    <xf numFmtId="171" fontId="40" fillId="44" borderId="0" applyNumberFormat="0" applyBorder="0" applyAlignment="0" applyProtection="0">
      <alignment vertical="center"/>
    </xf>
    <xf numFmtId="171" fontId="40" fillId="44" borderId="0" applyNumberFormat="0" applyBorder="0" applyAlignment="0" applyProtection="0">
      <alignment vertical="center"/>
    </xf>
    <xf numFmtId="171" fontId="40" fillId="44" borderId="0" applyNumberFormat="0" applyBorder="0" applyAlignment="0" applyProtection="0">
      <alignment vertical="center"/>
    </xf>
    <xf numFmtId="171" fontId="40" fillId="44" borderId="0" applyNumberFormat="0" applyBorder="0" applyAlignment="0" applyProtection="0">
      <alignment vertical="center"/>
    </xf>
    <xf numFmtId="171" fontId="23" fillId="0" borderId="0"/>
    <xf numFmtId="171" fontId="40" fillId="44" borderId="0" applyNumberFormat="0" applyBorder="0" applyAlignment="0" applyProtection="0">
      <alignment vertical="center"/>
    </xf>
    <xf numFmtId="171" fontId="23" fillId="0" borderId="0"/>
    <xf numFmtId="171" fontId="40" fillId="44" borderId="0" applyNumberFormat="0" applyBorder="0" applyAlignment="0" applyProtection="0">
      <alignment vertical="center"/>
    </xf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23" fillId="0" borderId="0"/>
    <xf numFmtId="171" fontId="39" fillId="55" borderId="0" applyNumberFormat="0" applyBorder="0" applyAlignment="0" applyProtection="0"/>
    <xf numFmtId="171" fontId="23" fillId="0" borderId="0"/>
    <xf numFmtId="171" fontId="39" fillId="5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0" fillId="9" borderId="0" applyNumberFormat="0" applyBorder="0" applyAlignment="0" applyProtection="0"/>
    <xf numFmtId="171" fontId="20" fillId="9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57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57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57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57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0" fillId="57" borderId="0" applyNumberFormat="0" applyBorder="0" applyAlignment="0" applyProtection="0"/>
    <xf numFmtId="171" fontId="20" fillId="9" borderId="0" applyNumberFormat="0" applyBorder="0" applyAlignment="0" applyProtection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9" borderId="0" applyNumberFormat="0" applyBorder="0" applyAlignment="0" applyProtection="0"/>
    <xf numFmtId="171" fontId="23" fillId="0" borderId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23" fillId="0" borderId="0"/>
    <xf numFmtId="171" fontId="37" fillId="59" borderId="0" applyNumberFormat="0" applyBorder="0" applyAlignment="0" applyProtection="0"/>
    <xf numFmtId="171" fontId="23" fillId="0" borderId="0"/>
    <xf numFmtId="171" fontId="37" fillId="59" borderId="0" applyNumberFormat="0" applyBorder="0" applyAlignment="0" applyProtection="0"/>
    <xf numFmtId="171" fontId="23" fillId="0" borderId="0"/>
    <xf numFmtId="171" fontId="23" fillId="0" borderId="0"/>
    <xf numFmtId="171" fontId="39" fillId="60" borderId="0" applyNumberFormat="0" applyBorder="0" applyAlignment="0" applyProtection="0"/>
    <xf numFmtId="171" fontId="23" fillId="0" borderId="0"/>
    <xf numFmtId="171" fontId="39" fillId="6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0" fillId="13" borderId="0" applyNumberFormat="0" applyBorder="0" applyAlignment="0" applyProtection="0"/>
    <xf numFmtId="171" fontId="20" fillId="1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5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0" fillId="53" borderId="0" applyNumberFormat="0" applyBorder="0" applyAlignment="0" applyProtection="0"/>
    <xf numFmtId="171" fontId="20" fillId="13" borderId="0" applyNumberFormat="0" applyBorder="0" applyAlignment="0" applyProtection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3" borderId="0" applyNumberFormat="0" applyBorder="0" applyAlignment="0" applyProtection="0"/>
    <xf numFmtId="171" fontId="23" fillId="0" borderId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23" fillId="0" borderId="0"/>
    <xf numFmtId="171" fontId="37" fillId="62" borderId="0" applyNumberFormat="0" applyBorder="0" applyAlignment="0" applyProtection="0"/>
    <xf numFmtId="171" fontId="23" fillId="0" borderId="0"/>
    <xf numFmtId="171" fontId="37" fillId="62" borderId="0" applyNumberFormat="0" applyBorder="0" applyAlignment="0" applyProtection="0"/>
    <xf numFmtId="171" fontId="23" fillId="0" borderId="0"/>
    <xf numFmtId="171" fontId="23" fillId="0" borderId="0"/>
    <xf numFmtId="171" fontId="39" fillId="59" borderId="0" applyNumberFormat="0" applyBorder="0" applyAlignment="0" applyProtection="0"/>
    <xf numFmtId="171" fontId="23" fillId="0" borderId="0"/>
    <xf numFmtId="171" fontId="39" fillId="5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0" fillId="17" borderId="0" applyNumberFormat="0" applyBorder="0" applyAlignment="0" applyProtection="0"/>
    <xf numFmtId="171" fontId="20" fillId="1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4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0" fillId="47" borderId="0" applyNumberFormat="0" applyBorder="0" applyAlignment="0" applyProtection="0"/>
    <xf numFmtId="171" fontId="20" fillId="17" borderId="0" applyNumberFormat="0" applyBorder="0" applyAlignment="0" applyProtection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17" borderId="0" applyNumberFormat="0" applyBorder="0" applyAlignment="0" applyProtection="0"/>
    <xf numFmtId="171" fontId="23" fillId="0" borderId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23" fillId="0" borderId="0"/>
    <xf numFmtId="171" fontId="37" fillId="59" borderId="0" applyNumberFormat="0" applyBorder="0" applyAlignment="0" applyProtection="0"/>
    <xf numFmtId="171" fontId="23" fillId="0" borderId="0"/>
    <xf numFmtId="171" fontId="37" fillId="59" borderId="0" applyNumberFormat="0" applyBorder="0" applyAlignment="0" applyProtection="0"/>
    <xf numFmtId="171" fontId="23" fillId="0" borderId="0"/>
    <xf numFmtId="171" fontId="23" fillId="0" borderId="0"/>
    <xf numFmtId="171" fontId="39" fillId="59" borderId="0" applyNumberFormat="0" applyBorder="0" applyAlignment="0" applyProtection="0"/>
    <xf numFmtId="171" fontId="23" fillId="0" borderId="0"/>
    <xf numFmtId="171" fontId="39" fillId="5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0" fillId="21" borderId="0" applyNumberFormat="0" applyBorder="0" applyAlignment="0" applyProtection="0"/>
    <xf numFmtId="171" fontId="20" fillId="21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64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64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64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64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0" fillId="64" borderId="0" applyNumberFormat="0" applyBorder="0" applyAlignment="0" applyProtection="0"/>
    <xf numFmtId="171" fontId="20" fillId="21" borderId="0" applyNumberFormat="0" applyBorder="0" applyAlignment="0" applyProtection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1" borderId="0" applyNumberFormat="0" applyBorder="0" applyAlignment="0" applyProtection="0"/>
    <xf numFmtId="171" fontId="23" fillId="0" borderId="0"/>
    <xf numFmtId="171" fontId="23" fillId="0" borderId="0"/>
    <xf numFmtId="171" fontId="37" fillId="65" borderId="0" applyNumberFormat="0" applyBorder="0" applyAlignment="0" applyProtection="0"/>
    <xf numFmtId="171" fontId="23" fillId="0" borderId="0"/>
    <xf numFmtId="171" fontId="37" fillId="65" borderId="0" applyNumberFormat="0" applyBorder="0" applyAlignment="0" applyProtection="0"/>
    <xf numFmtId="171" fontId="23" fillId="0" borderId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37" fillId="54" borderId="0" applyNumberFormat="0" applyBorder="0" applyAlignment="0" applyProtection="0"/>
    <xf numFmtId="171" fontId="23" fillId="0" borderId="0"/>
    <xf numFmtId="171" fontId="23" fillId="0" borderId="0"/>
    <xf numFmtId="171" fontId="39" fillId="55" borderId="0" applyNumberFormat="0" applyBorder="0" applyAlignment="0" applyProtection="0"/>
    <xf numFmtId="171" fontId="23" fillId="0" borderId="0"/>
    <xf numFmtId="171" fontId="39" fillId="5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0" fillId="25" borderId="0" applyNumberFormat="0" applyBorder="0" applyAlignment="0" applyProtection="0"/>
    <xf numFmtId="171" fontId="20" fillId="25" borderId="0" applyNumberFormat="0" applyBorder="0" applyAlignment="0" applyProtection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5" borderId="0" applyNumberFormat="0" applyBorder="0" applyAlignment="0" applyProtection="0"/>
    <xf numFmtId="171" fontId="23" fillId="0" borderId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37" fillId="58" borderId="0" applyNumberFormat="0" applyBorder="0" applyAlignment="0" applyProtection="0"/>
    <xf numFmtId="171" fontId="23" fillId="0" borderId="0"/>
    <xf numFmtId="171" fontId="23" fillId="0" borderId="0"/>
    <xf numFmtId="171" fontId="37" fillId="66" borderId="0" applyNumberFormat="0" applyBorder="0" applyAlignment="0" applyProtection="0"/>
    <xf numFmtId="171" fontId="23" fillId="0" borderId="0"/>
    <xf numFmtId="171" fontId="37" fillId="66" borderId="0" applyNumberFormat="0" applyBorder="0" applyAlignment="0" applyProtection="0"/>
    <xf numFmtId="171" fontId="23" fillId="0" borderId="0"/>
    <xf numFmtId="171" fontId="23" fillId="0" borderId="0"/>
    <xf numFmtId="171" fontId="39" fillId="66" borderId="0" applyNumberFormat="0" applyBorder="0" applyAlignment="0" applyProtection="0"/>
    <xf numFmtId="171" fontId="23" fillId="0" borderId="0"/>
    <xf numFmtId="171" fontId="39" fillId="6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0" fillId="29" borderId="0" applyNumberFormat="0" applyBorder="0" applyAlignment="0" applyProtection="0"/>
    <xf numFmtId="171" fontId="20" fillId="29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61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61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61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61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0" fillId="61" borderId="0" applyNumberFormat="0" applyBorder="0" applyAlignment="0" applyProtection="0"/>
    <xf numFmtId="171" fontId="20" fillId="29" borderId="0" applyNumberFormat="0" applyBorder="0" applyAlignment="0" applyProtection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0" fillId="2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82" fontId="23" fillId="0" borderId="0"/>
    <xf numFmtId="171" fontId="23" fillId="0" borderId="0"/>
    <xf numFmtId="182" fontId="23" fillId="0" borderId="0"/>
    <xf numFmtId="171" fontId="23" fillId="0" borderId="0"/>
    <xf numFmtId="171" fontId="23" fillId="0" borderId="0"/>
    <xf numFmtId="183" fontId="23" fillId="0" borderId="0"/>
    <xf numFmtId="171" fontId="23" fillId="0" borderId="0"/>
    <xf numFmtId="183" fontId="23" fillId="0" borderId="0"/>
    <xf numFmtId="171" fontId="23" fillId="0" borderId="0"/>
    <xf numFmtId="171" fontId="23" fillId="0" borderId="0"/>
    <xf numFmtId="183" fontId="23" fillId="0" borderId="0"/>
    <xf numFmtId="183" fontId="23" fillId="0" borderId="0"/>
    <xf numFmtId="183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83" fontId="23" fillId="0" borderId="0"/>
    <xf numFmtId="183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1" fillId="0" borderId="0" applyNumberFormat="0" applyAlignment="0"/>
    <xf numFmtId="171" fontId="23" fillId="0" borderId="0"/>
    <xf numFmtId="171" fontId="23" fillId="0" borderId="0"/>
    <xf numFmtId="171" fontId="23" fillId="0" borderId="0"/>
    <xf numFmtId="171" fontId="23" fillId="0" borderId="0"/>
    <xf numFmtId="184" fontId="42" fillId="67" borderId="17">
      <alignment horizontal="center" vertical="center"/>
    </xf>
    <xf numFmtId="171" fontId="23" fillId="0" borderId="0"/>
    <xf numFmtId="185" fontId="43" fillId="68" borderId="18">
      <alignment horizontal="center" vertical="center"/>
    </xf>
    <xf numFmtId="171" fontId="23" fillId="0" borderId="0"/>
    <xf numFmtId="184" fontId="42" fillId="67" borderId="17">
      <alignment horizontal="center" vertical="center"/>
    </xf>
    <xf numFmtId="171" fontId="23" fillId="0" borderId="0"/>
    <xf numFmtId="171" fontId="23" fillId="0" borderId="0"/>
    <xf numFmtId="171" fontId="23" fillId="0" borderId="0"/>
    <xf numFmtId="186" fontId="27" fillId="0" borderId="19" applyFont="0" applyFill="0" applyBorder="0" applyAlignment="0" applyProtection="0"/>
    <xf numFmtId="171" fontId="23" fillId="0" borderId="0"/>
    <xf numFmtId="171" fontId="34" fillId="0" borderId="0"/>
    <xf numFmtId="171" fontId="44" fillId="0" borderId="0" applyNumberFormat="0" applyFill="0" applyBorder="0" applyAlignment="0" applyProtection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10" fillId="40" borderId="0" applyNumberFormat="0" applyBorder="0" applyAlignment="0" applyProtection="0"/>
    <xf numFmtId="171" fontId="10" fillId="3" borderId="0" applyNumberFormat="0" applyBorder="0" applyAlignment="0" applyProtection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10" fillId="40" borderId="0" applyNumberFormat="0" applyBorder="0" applyAlignment="0" applyProtection="0"/>
    <xf numFmtId="171" fontId="10" fillId="3" borderId="0" applyNumberFormat="0" applyBorder="0" applyAlignment="0" applyProtection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10" fillId="40" borderId="0" applyNumberFormat="0" applyBorder="0" applyAlignment="0" applyProtection="0"/>
    <xf numFmtId="171" fontId="10" fillId="3" borderId="0" applyNumberFormat="0" applyBorder="0" applyAlignment="0" applyProtection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10" fillId="40" borderId="0" applyNumberFormat="0" applyBorder="0" applyAlignment="0" applyProtection="0"/>
    <xf numFmtId="171" fontId="10" fillId="3" borderId="0" applyNumberFormat="0" applyBorder="0" applyAlignment="0" applyProtection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10" fillId="40" borderId="0" applyNumberFormat="0" applyBorder="0" applyAlignment="0" applyProtection="0"/>
    <xf numFmtId="171" fontId="10" fillId="3" borderId="0" applyNumberFormat="0" applyBorder="0" applyAlignment="0" applyProtection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" fillId="3" borderId="0" applyNumberFormat="0" applyBorder="0" applyAlignment="0" applyProtection="0"/>
    <xf numFmtId="171" fontId="23" fillId="0" borderId="0"/>
    <xf numFmtId="171" fontId="23" fillId="0" borderId="0"/>
    <xf numFmtId="3" fontId="23" fillId="0" borderId="0"/>
    <xf numFmtId="171" fontId="23" fillId="0" borderId="0"/>
    <xf numFmtId="3" fontId="23" fillId="0" borderId="0"/>
    <xf numFmtId="171" fontId="23" fillId="0" borderId="0"/>
    <xf numFmtId="171" fontId="23" fillId="0" borderId="0"/>
    <xf numFmtId="171" fontId="23" fillId="0" borderId="0"/>
    <xf numFmtId="187" fontId="32" fillId="0" borderId="0" applyNumberFormat="0" applyFill="0" applyBorder="0" applyAlignment="0" applyProtection="0"/>
    <xf numFmtId="171" fontId="23" fillId="0" borderId="0"/>
    <xf numFmtId="171" fontId="23" fillId="0" borderId="0"/>
    <xf numFmtId="171" fontId="46" fillId="0" borderId="0" applyNumberFormat="0" applyFill="0" applyBorder="0" applyAlignment="0" applyProtection="0"/>
    <xf numFmtId="171" fontId="23" fillId="0" borderId="0"/>
    <xf numFmtId="171" fontId="46" fillId="0" borderId="0" applyNumberFormat="0" applyFill="0" applyBorder="0" applyAlignment="0" applyProtection="0"/>
    <xf numFmtId="171" fontId="23" fillId="0" borderId="0"/>
    <xf numFmtId="171" fontId="23" fillId="0" borderId="0"/>
    <xf numFmtId="171" fontId="47" fillId="0" borderId="0" applyNumberFormat="0" applyFill="0" applyBorder="0" applyAlignment="0" applyProtection="0"/>
    <xf numFmtId="171" fontId="23" fillId="0" borderId="0"/>
    <xf numFmtId="171" fontId="47" fillId="0" borderId="0" applyNumberFormat="0" applyFill="0" applyBorder="0" applyAlignment="0" applyProtection="0"/>
    <xf numFmtId="171" fontId="23" fillId="0" borderId="0"/>
    <xf numFmtId="171" fontId="23" fillId="0" borderId="0"/>
    <xf numFmtId="171" fontId="48" fillId="0" borderId="0" applyNumberFormat="0" applyAlignment="0" applyProtection="0">
      <alignment horizontal="center"/>
    </xf>
    <xf numFmtId="171" fontId="49" fillId="0" borderId="0" applyNumberFormat="0" applyAlignment="0" applyProtection="0">
      <alignment horizontal="center"/>
    </xf>
    <xf numFmtId="171" fontId="23" fillId="0" borderId="0"/>
    <xf numFmtId="171" fontId="49" fillId="0" borderId="0" applyNumberFormat="0" applyAlignment="0" applyProtection="0">
      <alignment horizontal="center"/>
    </xf>
    <xf numFmtId="171" fontId="23" fillId="0" borderId="0"/>
    <xf numFmtId="171" fontId="23" fillId="0" borderId="0"/>
    <xf numFmtId="171" fontId="50" fillId="0" borderId="20" applyNumberFormat="0" applyFont="0" applyFill="0" applyAlignment="0" applyProtection="0"/>
    <xf numFmtId="171" fontId="23" fillId="0" borderId="0"/>
    <xf numFmtId="171" fontId="50" fillId="0" borderId="20" applyNumberFormat="0" applyFont="0" applyFill="0" applyAlignment="0" applyProtection="0"/>
    <xf numFmtId="171" fontId="23" fillId="0" borderId="0"/>
    <xf numFmtId="171" fontId="23" fillId="0" borderId="0"/>
    <xf numFmtId="171" fontId="50" fillId="0" borderId="21" applyNumberFormat="0" applyFont="0" applyFill="0" applyAlignment="0" applyProtection="0"/>
    <xf numFmtId="171" fontId="23" fillId="0" borderId="0"/>
    <xf numFmtId="171" fontId="50" fillId="0" borderId="21" applyNumberFormat="0" applyFont="0" applyFill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89" fontId="23" fillId="0" borderId="0" applyFill="0" applyBorder="0" applyAlignment="0"/>
    <xf numFmtId="171" fontId="23" fillId="0" borderId="0"/>
    <xf numFmtId="190" fontId="23" fillId="0" borderId="0" applyFill="0" applyBorder="0" applyAlignment="0"/>
    <xf numFmtId="189" fontId="23" fillId="0" borderId="0" applyFill="0" applyBorder="0" applyAlignment="0"/>
    <xf numFmtId="189" fontId="23" fillId="0" borderId="0" applyFill="0" applyBorder="0" applyAlignment="0"/>
    <xf numFmtId="171" fontId="23" fillId="0" borderId="0"/>
    <xf numFmtId="189" fontId="23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2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54" fillId="70" borderId="4" applyNumberFormat="0" applyAlignment="0" applyProtection="0"/>
    <xf numFmtId="171" fontId="14" fillId="6" borderId="4" applyNumberFormat="0" applyAlignment="0" applyProtection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54" fillId="70" borderId="4" applyNumberFormat="0" applyAlignment="0" applyProtection="0"/>
    <xf numFmtId="171" fontId="14" fillId="6" borderId="4" applyNumberFormat="0" applyAlignment="0" applyProtection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54" fillId="70" borderId="4" applyNumberFormat="0" applyAlignment="0" applyProtection="0"/>
    <xf numFmtId="171" fontId="14" fillId="6" borderId="4" applyNumberFormat="0" applyAlignment="0" applyProtection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54" fillId="70" borderId="4" applyNumberFormat="0" applyAlignment="0" applyProtection="0"/>
    <xf numFmtId="171" fontId="14" fillId="6" borderId="4" applyNumberFormat="0" applyAlignment="0" applyProtection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54" fillId="70" borderId="4" applyNumberFormat="0" applyAlignment="0" applyProtection="0"/>
    <xf numFmtId="171" fontId="14" fillId="6" borderId="4" applyNumberFormat="0" applyAlignment="0" applyProtection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" fillId="6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53" fillId="69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27" fillId="0" borderId="25" applyBorder="0">
      <alignment horizontal="centerContinuous"/>
    </xf>
    <xf numFmtId="171" fontId="23" fillId="0" borderId="0"/>
    <xf numFmtId="171" fontId="23" fillId="0" borderId="0"/>
    <xf numFmtId="171" fontId="27" fillId="0" borderId="25" applyBorder="0">
      <alignment horizontal="centerContinuous"/>
    </xf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55" fillId="71" borderId="23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6" fillId="7" borderId="7" applyNumberFormat="0" applyAlignment="0" applyProtection="0"/>
    <xf numFmtId="171" fontId="23" fillId="0" borderId="0"/>
    <xf numFmtId="171" fontId="23" fillId="0" borderId="0"/>
    <xf numFmtId="171" fontId="41" fillId="0" borderId="0" applyNumberFormat="0" applyFill="0" applyBorder="0" applyAlignment="0" applyProtection="0"/>
    <xf numFmtId="171" fontId="23" fillId="0" borderId="0"/>
    <xf numFmtId="171" fontId="4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7" fillId="0" borderId="25" applyNumberFormat="0" applyFill="0" applyBorder="0" applyAlignment="0" applyProtection="0">
      <alignment horizontal="center"/>
    </xf>
    <xf numFmtId="171" fontId="23" fillId="0" borderId="0"/>
    <xf numFmtId="171" fontId="23" fillId="0" borderId="0"/>
    <xf numFmtId="171" fontId="57" fillId="0" borderId="25" applyNumberFormat="0" applyFill="0" applyBorder="0" applyAlignment="0" applyProtection="0">
      <alignment horizont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8" fillId="0" borderId="0"/>
    <xf numFmtId="171" fontId="23" fillId="0" borderId="0"/>
    <xf numFmtId="171" fontId="23" fillId="0" borderId="0"/>
    <xf numFmtId="171" fontId="23" fillId="0" borderId="0"/>
    <xf numFmtId="171" fontId="59" fillId="0" borderId="0"/>
    <xf numFmtId="171" fontId="23" fillId="0" borderId="0"/>
    <xf numFmtId="171" fontId="23" fillId="0" borderId="0"/>
    <xf numFmtId="171" fontId="58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71" fontId="61" fillId="0" borderId="0"/>
    <xf numFmtId="171" fontId="23" fillId="0" borderId="0"/>
    <xf numFmtId="171" fontId="23" fillId="0" borderId="0"/>
    <xf numFmtId="171" fontId="60" fillId="0" borderId="0"/>
    <xf numFmtId="171" fontId="23" fillId="0" borderId="0"/>
    <xf numFmtId="171" fontId="23" fillId="0" borderId="0"/>
    <xf numFmtId="171" fontId="23" fillId="0" borderId="0"/>
    <xf numFmtId="194" fontId="62" fillId="0" borderId="0" applyFont="0"/>
    <xf numFmtId="171" fontId="23" fillId="0" borderId="0"/>
    <xf numFmtId="171" fontId="23" fillId="0" borderId="0"/>
    <xf numFmtId="171" fontId="23" fillId="0" borderId="0"/>
    <xf numFmtId="193" fontId="52" fillId="0" borderId="0" applyFont="0" applyFill="0" applyBorder="0" applyAlignment="0" applyProtection="0"/>
    <xf numFmtId="171" fontId="23" fillId="0" borderId="0"/>
    <xf numFmtId="171" fontId="23" fillId="0" borderId="0"/>
    <xf numFmtId="194" fontId="23" fillId="0" borderId="0" applyFont="0" applyFill="0" applyBorder="0"/>
    <xf numFmtId="171" fontId="23" fillId="0" borderId="0"/>
    <xf numFmtId="194" fontId="23" fillId="0" borderId="0" applyFont="0" applyFill="0" applyBorder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6" fontId="23" fillId="0" borderId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4" fillId="0" borderId="0" applyFont="0" applyFill="0" applyBorder="0" applyAlignment="0" applyProtection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97" fontId="23" fillId="0" borderId="0" applyFont="0" applyFill="0" applyBorder="0" applyAlignment="0" applyProtection="0"/>
    <xf numFmtId="171" fontId="23" fillId="0" borderId="0"/>
    <xf numFmtId="19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97" fontId="23" fillId="0" borderId="0" applyFont="0" applyFill="0" applyBorder="0" applyAlignment="0" applyProtection="0"/>
    <xf numFmtId="197" fontId="23" fillId="0" borderId="0" applyFont="0" applyFill="0" applyBorder="0" applyAlignment="0" applyProtection="0"/>
    <xf numFmtId="171" fontId="23" fillId="0" borderId="0"/>
    <xf numFmtId="19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8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37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8" fontId="23" fillId="0" borderId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63" fillId="0" borderId="0" applyFont="0" applyFill="0" applyBorder="0" applyAlignment="0" applyProtection="0">
      <alignment vertical="center"/>
    </xf>
    <xf numFmtId="43" fontId="63" fillId="0" borderId="0" applyFont="0" applyFill="0" applyBorder="0" applyAlignment="0" applyProtection="0">
      <alignment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43" fontId="3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68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64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95" fontId="23" fillId="0" borderId="0" applyFont="0" applyFill="0" applyBorder="0" applyAlignment="0" applyProtection="0"/>
    <xf numFmtId="171" fontId="23" fillId="0" borderId="0"/>
    <xf numFmtId="168" fontId="4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99" fontId="65" fillId="0" borderId="0"/>
    <xf numFmtId="171" fontId="23" fillId="0" borderId="0"/>
    <xf numFmtId="171" fontId="23" fillId="0" borderId="0"/>
    <xf numFmtId="171" fontId="23" fillId="0" borderId="0"/>
    <xf numFmtId="3" fontId="66" fillId="0" borderId="0" applyFont="0" applyFill="0" applyBorder="0" applyAlignment="0" applyProtection="0"/>
    <xf numFmtId="3" fontId="66" fillId="0" borderId="0" applyFont="0" applyFill="0" applyBorder="0" applyAlignment="0" applyProtection="0"/>
    <xf numFmtId="171" fontId="23" fillId="0" borderId="0"/>
    <xf numFmtId="171" fontId="23" fillId="0" borderId="0"/>
    <xf numFmtId="3" fontId="66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3" fontId="23" fillId="0" borderId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3" fontId="66" fillId="0" borderId="0" applyFont="0" applyFill="0" applyBorder="0" applyAlignment="0" applyProtection="0"/>
    <xf numFmtId="3" fontId="66" fillId="0" borderId="0" applyFont="0" applyFill="0" applyBorder="0" applyAlignment="0" applyProtection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200" fontId="67" fillId="0" borderId="0" applyNumberFormat="0" applyFill="0" applyAlignment="0" applyProtection="0"/>
    <xf numFmtId="171" fontId="23" fillId="0" borderId="0"/>
    <xf numFmtId="171" fontId="67" fillId="0" borderId="0" applyNumberFormat="0" applyFill="0" applyAlignment="0" applyProtection="0"/>
    <xf numFmtId="171" fontId="23" fillId="0" borderId="0"/>
    <xf numFmtId="200" fontId="67" fillId="0" borderId="0" applyNumberFormat="0" applyFill="0" applyAlignment="0" applyProtection="0"/>
    <xf numFmtId="171" fontId="23" fillId="0" borderId="0"/>
    <xf numFmtId="171" fontId="23" fillId="0" borderId="0"/>
    <xf numFmtId="171" fontId="68" fillId="0" borderId="0" applyNumberFormat="0" applyAlignment="0">
      <alignment horizontal="left"/>
    </xf>
    <xf numFmtId="171" fontId="23" fillId="0" borderId="0"/>
    <xf numFmtId="171" fontId="68" fillId="0" borderId="0" applyNumberFormat="0" applyAlignment="0">
      <alignment horizontal="left"/>
    </xf>
    <xf numFmtId="171" fontId="23" fillId="0" borderId="0"/>
    <xf numFmtId="171" fontId="23" fillId="0" borderId="0"/>
    <xf numFmtId="171" fontId="52" fillId="0" borderId="0" applyFont="0" applyFill="0" applyBorder="0" applyAlignment="0" applyProtection="0"/>
    <xf numFmtId="171" fontId="23" fillId="0" borderId="0"/>
    <xf numFmtId="171" fontId="52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01" fontId="32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65" fontId="69" fillId="0" borderId="27"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67" fontId="4" fillId="0" borderId="0" applyFont="0" applyFill="0" applyBorder="0" applyAlignment="0" applyProtection="0"/>
    <xf numFmtId="167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03" fontId="23" fillId="0" borderId="0" applyFill="0" applyBorder="0" applyAlignment="0" applyProtection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4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04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204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204" fontId="63" fillId="0" borderId="0" applyFont="0" applyFill="0" applyBorder="0" applyAlignment="0" applyProtection="0">
      <alignment vertical="center"/>
    </xf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204" fontId="63" fillId="0" borderId="0" applyFont="0" applyFill="0" applyBorder="0" applyAlignment="0" applyProtection="0">
      <alignment vertical="center"/>
    </xf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204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202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204" fontId="63" fillId="0" borderId="0" applyFont="0" applyFill="0" applyBorder="0" applyAlignment="0" applyProtection="0">
      <alignment vertical="center"/>
    </xf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202" fontId="23" fillId="0" borderId="0" applyFont="0" applyFill="0" applyBorder="0" applyAlignment="0" applyProtection="0"/>
    <xf numFmtId="205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171" fontId="23" fillId="0" borderId="0"/>
    <xf numFmtId="205" fontId="23" fillId="0" borderId="0" applyFont="0" applyFill="0" applyBorder="0" applyAlignment="0" applyProtection="0"/>
    <xf numFmtId="171" fontId="23" fillId="0" borderId="0"/>
    <xf numFmtId="205" fontId="23" fillId="0" borderId="0" applyFont="0" applyFill="0" applyBorder="0" applyAlignment="0" applyProtection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9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67" fontId="70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202" fontId="23" fillId="0" borderId="0" applyFont="0" applyFill="0" applyBorder="0" applyAlignment="0" applyProtection="0"/>
    <xf numFmtId="171" fontId="23" fillId="0" borderId="0"/>
    <xf numFmtId="206" fontId="23" fillId="0" borderId="0" applyFont="0" applyFill="0" applyBorder="0" applyAlignment="0" applyProtection="0"/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44" fontId="63" fillId="0" borderId="0" applyFont="0" applyFill="0" applyBorder="0" applyAlignment="0" applyProtection="0">
      <alignment vertical="center"/>
    </xf>
    <xf numFmtId="204" fontId="63" fillId="0" borderId="0" applyFont="0" applyFill="0" applyBorder="0" applyAlignment="0" applyProtection="0">
      <alignment vertical="center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44" fontId="3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71" fillId="0" borderId="0" applyFont="0" applyFill="0" applyBorder="0" applyAlignment="0" applyProtection="0"/>
    <xf numFmtId="171" fontId="23" fillId="0" borderId="0"/>
    <xf numFmtId="171" fontId="23" fillId="0" borderId="0"/>
    <xf numFmtId="167" fontId="71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37" fillId="0" borderId="0" applyFont="0" applyFill="0" applyBorder="0" applyAlignment="0" applyProtection="0"/>
    <xf numFmtId="171" fontId="23" fillId="0" borderId="0"/>
    <xf numFmtId="167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67" fontId="4" fillId="0" borderId="0" applyFont="0" applyFill="0" applyBorder="0" applyAlignment="0" applyProtection="0"/>
    <xf numFmtId="171" fontId="23" fillId="0" borderId="0"/>
    <xf numFmtId="171" fontId="23" fillId="0" borderId="0"/>
    <xf numFmtId="167" fontId="38" fillId="0" borderId="0" applyFont="0" applyFill="0" applyBorder="0" applyAlignment="0" applyProtection="0"/>
    <xf numFmtId="171" fontId="23" fillId="0" borderId="0"/>
    <xf numFmtId="167" fontId="38" fillId="0" borderId="0" applyFont="0" applyFill="0" applyBorder="0" applyAlignment="0" applyProtection="0"/>
    <xf numFmtId="171" fontId="23" fillId="0" borderId="0"/>
    <xf numFmtId="171" fontId="23" fillId="0" borderId="0"/>
    <xf numFmtId="207" fontId="27" fillId="0" borderId="0" applyFont="0" applyFill="0" applyBorder="0" applyProtection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208" fontId="23" fillId="0" borderId="0" applyFont="0" applyFill="0" applyBorder="0" applyAlignment="0" applyProtection="0"/>
    <xf numFmtId="171" fontId="23" fillId="0" borderId="0"/>
    <xf numFmtId="208" fontId="23" fillId="0" borderId="0" applyFill="0" applyBorder="0" applyAlignment="0" applyProtection="0"/>
    <xf numFmtId="208" fontId="23" fillId="0" borderId="0" applyFont="0" applyFill="0" applyBorder="0" applyAlignment="0" applyProtection="0"/>
    <xf numFmtId="208" fontId="23" fillId="0" borderId="0" applyFont="0" applyFill="0" applyBorder="0" applyAlignment="0" applyProtection="0"/>
    <xf numFmtId="171" fontId="23" fillId="0" borderId="0"/>
    <xf numFmtId="20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64" fontId="72" fillId="0" borderId="0" applyFill="0" applyBorder="0" applyProtection="0"/>
    <xf numFmtId="171" fontId="23" fillId="0" borderId="0"/>
    <xf numFmtId="171" fontId="23" fillId="0" borderId="0"/>
    <xf numFmtId="171" fontId="23" fillId="0" borderId="0"/>
    <xf numFmtId="209" fontId="73" fillId="0" borderId="0"/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5" fillId="72" borderId="28">
      <alignment horizontal="right"/>
    </xf>
    <xf numFmtId="171" fontId="23" fillId="0" borderId="0"/>
    <xf numFmtId="171" fontId="75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5" fillId="72" borderId="28">
      <alignment horizontal="right"/>
    </xf>
    <xf numFmtId="171" fontId="25" fillId="72" borderId="28">
      <alignment horizontal="right"/>
    </xf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5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199" fontId="76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210" fontId="23" fillId="0" borderId="0" applyNumberFormat="0">
      <alignment horizontal="right"/>
    </xf>
    <xf numFmtId="171" fontId="23" fillId="0" borderId="0"/>
    <xf numFmtId="210" fontId="23" fillId="0" borderId="0" applyNumberFormat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211" fontId="77" fillId="0" borderId="0">
      <protection locked="0"/>
    </xf>
    <xf numFmtId="171" fontId="23" fillId="0" borderId="0"/>
    <xf numFmtId="171" fontId="23" fillId="0" borderId="0"/>
    <xf numFmtId="211" fontId="77" fillId="0" borderId="0">
      <protection locked="0"/>
    </xf>
    <xf numFmtId="171" fontId="23" fillId="0" borderId="0"/>
    <xf numFmtId="171" fontId="23" fillId="0" borderId="0"/>
    <xf numFmtId="171" fontId="23" fillId="0" borderId="0"/>
    <xf numFmtId="14" fontId="78" fillId="0" borderId="0" applyFill="0" applyBorder="0" applyAlignment="0"/>
    <xf numFmtId="171" fontId="23" fillId="0" borderId="0"/>
    <xf numFmtId="171" fontId="23" fillId="0" borderId="0"/>
    <xf numFmtId="171" fontId="23" fillId="0" borderId="0"/>
    <xf numFmtId="171" fontId="23" fillId="0" borderId="0"/>
    <xf numFmtId="38" fontId="7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2" fontId="3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37" fontId="42" fillId="0" borderId="29"/>
    <xf numFmtId="171" fontId="23" fillId="0" borderId="0"/>
    <xf numFmtId="171" fontId="23" fillId="0" borderId="0"/>
    <xf numFmtId="171" fontId="23" fillId="0" borderId="0"/>
    <xf numFmtId="213" fontId="80" fillId="73" borderId="0">
      <alignment vertical="center"/>
    </xf>
    <xf numFmtId="171" fontId="23" fillId="0" borderId="0"/>
    <xf numFmtId="171" fontId="23" fillId="0" borderId="0"/>
    <xf numFmtId="171" fontId="23" fillId="0" borderId="0"/>
    <xf numFmtId="213" fontId="81" fillId="0" borderId="0">
      <alignment vertical="center"/>
    </xf>
    <xf numFmtId="171" fontId="23" fillId="0" borderId="0"/>
    <xf numFmtId="171" fontId="23" fillId="0" borderId="0"/>
    <xf numFmtId="171" fontId="23" fillId="0" borderId="0"/>
    <xf numFmtId="213" fontId="82" fillId="0" borderId="0">
      <alignment vertical="center"/>
    </xf>
    <xf numFmtId="171" fontId="23" fillId="0" borderId="0"/>
    <xf numFmtId="171" fontId="23" fillId="0" borderId="0"/>
    <xf numFmtId="171" fontId="23" fillId="0" borderId="0"/>
    <xf numFmtId="213" fontId="83" fillId="74" borderId="0" applyNumberFormat="0">
      <alignment vertical="center"/>
    </xf>
    <xf numFmtId="171" fontId="23" fillId="0" borderId="0"/>
    <xf numFmtId="171" fontId="23" fillId="0" borderId="0"/>
    <xf numFmtId="171" fontId="23" fillId="0" borderId="0"/>
    <xf numFmtId="213" fontId="84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14" fontId="83" fillId="74" borderId="0">
      <alignment horizontal="center" vertical="center"/>
    </xf>
    <xf numFmtId="171" fontId="23" fillId="0" borderId="0"/>
    <xf numFmtId="171" fontId="23" fillId="0" borderId="0"/>
    <xf numFmtId="171" fontId="23" fillId="0" borderId="0"/>
    <xf numFmtId="17" fontId="85" fillId="74" borderId="0">
      <alignment horizontal="center" vertical="center"/>
    </xf>
    <xf numFmtId="171" fontId="23" fillId="0" borderId="0"/>
    <xf numFmtId="171" fontId="23" fillId="0" borderId="0"/>
    <xf numFmtId="171" fontId="23" fillId="0" borderId="0"/>
    <xf numFmtId="213" fontId="41" fillId="0" borderId="0">
      <alignment vertical="center"/>
    </xf>
    <xf numFmtId="171" fontId="23" fillId="0" borderId="0"/>
    <xf numFmtId="171" fontId="23" fillId="0" borderId="0"/>
    <xf numFmtId="171" fontId="23" fillId="0" borderId="0"/>
    <xf numFmtId="213" fontId="86" fillId="74" borderId="0">
      <alignment vertical="center"/>
    </xf>
    <xf numFmtId="171" fontId="23" fillId="0" borderId="0"/>
    <xf numFmtId="171" fontId="23" fillId="0" borderId="0"/>
    <xf numFmtId="171" fontId="23" fillId="0" borderId="0"/>
    <xf numFmtId="213" fontId="87" fillId="74" borderId="0">
      <alignment vertical="center"/>
    </xf>
    <xf numFmtId="171" fontId="23" fillId="0" borderId="0"/>
    <xf numFmtId="171" fontId="23" fillId="0" borderId="0"/>
    <xf numFmtId="171" fontId="23" fillId="0" borderId="0"/>
    <xf numFmtId="200" fontId="88" fillId="74" borderId="30">
      <alignment vertical="center"/>
    </xf>
    <xf numFmtId="171" fontId="23" fillId="0" borderId="0"/>
    <xf numFmtId="171" fontId="23" fillId="0" borderId="0"/>
    <xf numFmtId="171" fontId="71" fillId="74" borderId="30">
      <alignment vertical="center"/>
    </xf>
    <xf numFmtId="171" fontId="23" fillId="0" borderId="0"/>
    <xf numFmtId="171" fontId="71" fillId="74" borderId="30">
      <alignment vertical="center"/>
    </xf>
    <xf numFmtId="171" fontId="23" fillId="0" borderId="0"/>
    <xf numFmtId="171" fontId="23" fillId="0" borderId="0"/>
    <xf numFmtId="171" fontId="23" fillId="0" borderId="0"/>
    <xf numFmtId="37" fontId="80" fillId="74" borderId="0">
      <alignment horizontal="left" vertical="center"/>
    </xf>
    <xf numFmtId="171" fontId="23" fillId="0" borderId="0"/>
    <xf numFmtId="171" fontId="23" fillId="0" borderId="0"/>
    <xf numFmtId="171" fontId="23" fillId="0" borderId="0"/>
    <xf numFmtId="3" fontId="8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214" fontId="8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212" fontId="8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200" fontId="87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00" fontId="89" fillId="74" borderId="15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00" fontId="89" fillId="74" borderId="15">
      <alignment horizontal="right" vertical="center"/>
    </xf>
    <xf numFmtId="171" fontId="23" fillId="0" borderId="0"/>
    <xf numFmtId="171" fontId="23" fillId="0" borderId="0"/>
    <xf numFmtId="171" fontId="23" fillId="0" borderId="0"/>
    <xf numFmtId="212" fontId="90" fillId="74" borderId="30">
      <alignment horizontal="right" vertical="center"/>
    </xf>
    <xf numFmtId="171" fontId="23" fillId="0" borderId="0"/>
    <xf numFmtId="171" fontId="23" fillId="0" borderId="0"/>
    <xf numFmtId="171" fontId="23" fillId="0" borderId="0"/>
    <xf numFmtId="215" fontId="8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8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215" fontId="90" fillId="74" borderId="25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212" fontId="90" fillId="74" borderId="25">
      <alignment horizontal="right" vertical="center"/>
    </xf>
    <xf numFmtId="171" fontId="23" fillId="0" borderId="0"/>
    <xf numFmtId="171" fontId="23" fillId="0" borderId="0"/>
    <xf numFmtId="171" fontId="23" fillId="0" borderId="0"/>
    <xf numFmtId="212" fontId="91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216" fontId="90" fillId="74" borderId="0">
      <alignment horizontal="right" vertical="center"/>
    </xf>
    <xf numFmtId="171" fontId="23" fillId="0" borderId="0"/>
    <xf numFmtId="171" fontId="23" fillId="0" borderId="0"/>
    <xf numFmtId="171" fontId="23" fillId="0" borderId="0"/>
    <xf numFmtId="213" fontId="71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213" fontId="92" fillId="74" borderId="25" applyBorder="0">
      <alignment horizontal="left" vertical="center"/>
    </xf>
    <xf numFmtId="171" fontId="23" fillId="0" borderId="0"/>
    <xf numFmtId="171" fontId="23" fillId="0" borderId="0"/>
    <xf numFmtId="171" fontId="23" fillId="0" borderId="0"/>
    <xf numFmtId="213" fontId="93" fillId="74" borderId="0">
      <alignment horizontal="left" vertical="center"/>
    </xf>
    <xf numFmtId="171" fontId="23" fillId="0" borderId="0"/>
    <xf numFmtId="171" fontId="23" fillId="0" borderId="0"/>
    <xf numFmtId="171" fontId="23" fillId="0" borderId="0"/>
    <xf numFmtId="213" fontId="92" fillId="74" borderId="31">
      <alignment horizontal="left"/>
    </xf>
    <xf numFmtId="171" fontId="23" fillId="0" borderId="0"/>
    <xf numFmtId="171" fontId="23" fillId="0" borderId="0"/>
    <xf numFmtId="171" fontId="23" fillId="0" borderId="0"/>
    <xf numFmtId="213" fontId="41" fillId="74" borderId="32">
      <alignment vertical="center"/>
    </xf>
    <xf numFmtId="171" fontId="23" fillId="0" borderId="0"/>
    <xf numFmtId="171" fontId="23" fillId="0" borderId="0"/>
    <xf numFmtId="171" fontId="23" fillId="0" borderId="0"/>
    <xf numFmtId="213" fontId="41" fillId="74" borderId="33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3" fontId="41" fillId="74" borderId="15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3" fontId="41" fillId="74" borderId="15">
      <alignment vertical="center"/>
    </xf>
    <xf numFmtId="171" fontId="23" fillId="0" borderId="0"/>
    <xf numFmtId="171" fontId="23" fillId="0" borderId="0"/>
    <xf numFmtId="171" fontId="23" fillId="0" borderId="0"/>
    <xf numFmtId="213" fontId="94" fillId="74" borderId="34">
      <alignment horizontal="center" vertical="center"/>
    </xf>
    <xf numFmtId="171" fontId="23" fillId="0" borderId="0"/>
    <xf numFmtId="171" fontId="23" fillId="0" borderId="0"/>
    <xf numFmtId="171" fontId="23" fillId="0" borderId="0"/>
    <xf numFmtId="213" fontId="95" fillId="0" borderId="0">
      <alignment vertical="center"/>
    </xf>
    <xf numFmtId="171" fontId="23" fillId="0" borderId="0"/>
    <xf numFmtId="171" fontId="23" fillId="0" borderId="0"/>
    <xf numFmtId="171" fontId="23" fillId="0" borderId="0"/>
    <xf numFmtId="213" fontId="95" fillId="0" borderId="0">
      <alignment vertical="center"/>
    </xf>
    <xf numFmtId="171" fontId="23" fillId="0" borderId="0"/>
    <xf numFmtId="171" fontId="23" fillId="0" borderId="0"/>
    <xf numFmtId="171" fontId="23" fillId="0" borderId="0"/>
    <xf numFmtId="213" fontId="95" fillId="0" borderId="0">
      <alignment vertical="center"/>
    </xf>
    <xf numFmtId="171" fontId="23" fillId="0" borderId="0"/>
    <xf numFmtId="171" fontId="23" fillId="0" borderId="0"/>
    <xf numFmtId="171" fontId="96" fillId="75" borderId="0" applyNumberFormat="0" applyBorder="0" applyAlignment="0" applyProtection="0"/>
    <xf numFmtId="171" fontId="23" fillId="0" borderId="0"/>
    <xf numFmtId="171" fontId="96" fillId="75" borderId="0" applyNumberFormat="0" applyBorder="0" applyAlignment="0" applyProtection="0"/>
    <xf numFmtId="171" fontId="23" fillId="0" borderId="0"/>
    <xf numFmtId="171" fontId="23" fillId="0" borderId="0"/>
    <xf numFmtId="171" fontId="96" fillId="76" borderId="0" applyNumberFormat="0" applyBorder="0" applyAlignment="0" applyProtection="0"/>
    <xf numFmtId="171" fontId="23" fillId="0" borderId="0"/>
    <xf numFmtId="171" fontId="96" fillId="76" borderId="0" applyNumberFormat="0" applyBorder="0" applyAlignment="0" applyProtection="0"/>
    <xf numFmtId="171" fontId="23" fillId="0" borderId="0"/>
    <xf numFmtId="171" fontId="23" fillId="0" borderId="0"/>
    <xf numFmtId="171" fontId="96" fillId="77" borderId="0" applyNumberFormat="0" applyBorder="0" applyAlignment="0" applyProtection="0"/>
    <xf numFmtId="171" fontId="23" fillId="0" borderId="0"/>
    <xf numFmtId="171" fontId="96" fillId="77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39" fillId="56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39" fillId="6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39" fillId="6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39" fillId="50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39" fillId="51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39" fillId="5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98" fillId="0" borderId="0" applyNumberFormat="0" applyAlignment="0">
      <alignment horizontal="left"/>
    </xf>
    <xf numFmtId="171" fontId="23" fillId="0" borderId="0"/>
    <xf numFmtId="171" fontId="98" fillId="0" borderId="0" applyNumberFormat="0" applyAlignment="0">
      <alignment horizontal="lef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217" fontId="23" fillId="0" borderId="0" applyFont="0" applyFill="0" applyBorder="0" applyAlignment="0" applyProtection="0"/>
    <xf numFmtId="171" fontId="23" fillId="0" borderId="0"/>
    <xf numFmtId="21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8" fontId="27" fillId="0" borderId="1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8" fontId="27" fillId="0" borderId="1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11" fontId="77" fillId="0" borderId="0">
      <protection locked="0"/>
    </xf>
    <xf numFmtId="171" fontId="23" fillId="0" borderId="0"/>
    <xf numFmtId="171" fontId="23" fillId="0" borderId="0"/>
    <xf numFmtId="211" fontId="77" fillId="0" borderId="0">
      <protection locked="0"/>
    </xf>
    <xf numFmtId="171" fontId="23" fillId="0" borderId="0"/>
    <xf numFmtId="171" fontId="23" fillId="0" borderId="0"/>
    <xf numFmtId="171" fontId="23" fillId="0" borderId="0"/>
    <xf numFmtId="219" fontId="72" fillId="0" borderId="0" applyFill="0" applyBorder="0" applyProtection="0"/>
    <xf numFmtId="171" fontId="23" fillId="0" borderId="0"/>
    <xf numFmtId="171" fontId="23" fillId="0" borderId="0"/>
    <xf numFmtId="171" fontId="101" fillId="0" borderId="0" applyNumberFormat="0" applyFill="0" applyBorder="0" applyProtection="0">
      <alignment horizontal="left" vertical="center"/>
    </xf>
    <xf numFmtId="171" fontId="102" fillId="0" borderId="0" applyNumberFormat="0" applyFill="0" applyBorder="0" applyProtection="0">
      <alignment horizontal="left" vertical="center"/>
    </xf>
    <xf numFmtId="171" fontId="23" fillId="0" borderId="0"/>
    <xf numFmtId="171" fontId="102" fillId="0" borderId="0" applyNumberFormat="0" applyFill="0" applyBorder="0" applyProtection="0">
      <alignment horizontal="left" vertical="center"/>
    </xf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5" fillId="72" borderId="28">
      <alignment horizontal="right"/>
    </xf>
    <xf numFmtId="171" fontId="25" fillId="72" borderId="28">
      <alignment horizontal="right"/>
    </xf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5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3" fillId="0" borderId="0"/>
    <xf numFmtId="220" fontId="76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6" fillId="72" borderId="28">
      <alignment horizontal="right"/>
    </xf>
    <xf numFmtId="171" fontId="25" fillId="72" borderId="28">
      <alignment horizontal="right"/>
    </xf>
    <xf numFmtId="171" fontId="23" fillId="0" borderId="0"/>
    <xf numFmtId="171" fontId="25" fillId="72" borderId="28">
      <alignment horizontal="right"/>
    </xf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9" fillId="41" borderId="0" applyNumberFormat="0" applyBorder="0" applyAlignment="0" applyProtection="0"/>
    <xf numFmtId="171" fontId="9" fillId="2" borderId="0" applyNumberFormat="0" applyBorder="0" applyAlignment="0" applyProtection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9" fillId="41" borderId="0" applyNumberFormat="0" applyBorder="0" applyAlignment="0" applyProtection="0"/>
    <xf numFmtId="171" fontId="9" fillId="2" borderId="0" applyNumberFormat="0" applyBorder="0" applyAlignment="0" applyProtection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9" fillId="41" borderId="0" applyNumberFormat="0" applyBorder="0" applyAlignment="0" applyProtection="0"/>
    <xf numFmtId="171" fontId="9" fillId="2" borderId="0" applyNumberFormat="0" applyBorder="0" applyAlignment="0" applyProtection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9" fillId="41" borderId="0" applyNumberFormat="0" applyBorder="0" applyAlignment="0" applyProtection="0"/>
    <xf numFmtId="171" fontId="9" fillId="2" borderId="0" applyNumberFormat="0" applyBorder="0" applyAlignment="0" applyProtection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9" fillId="41" borderId="0" applyNumberFormat="0" applyBorder="0" applyAlignment="0" applyProtection="0"/>
    <xf numFmtId="171" fontId="9" fillId="2" borderId="0" applyNumberFormat="0" applyBorder="0" applyAlignment="0" applyProtection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9" fillId="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38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2" borderId="0" applyNumberFormat="0" applyBorder="0" applyAlignment="0" applyProtection="0"/>
    <xf numFmtId="171" fontId="23" fillId="0" borderId="0"/>
    <xf numFmtId="171" fontId="41" fillId="78" borderId="0" applyNumberFormat="0" applyBorder="0" applyAlignment="0" applyProtection="0"/>
    <xf numFmtId="171" fontId="23" fillId="0" borderId="0"/>
    <xf numFmtId="38" fontId="41" fillId="72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0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04" fillId="0" borderId="0" applyNumberFormat="0" applyFill="0" applyBorder="0" applyAlignment="0" applyProtection="0"/>
    <xf numFmtId="171" fontId="23" fillId="0" borderId="0"/>
    <xf numFmtId="171" fontId="23" fillId="0" borderId="0"/>
    <xf numFmtId="171" fontId="10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5" fillId="0" borderId="35" applyNumberFormat="0" applyAlignment="0" applyProtection="0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105" fillId="0" borderId="35" applyNumberFormat="0" applyAlignment="0" applyProtection="0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105" fillId="0" borderId="36">
      <alignment horizontal="left" vertical="center"/>
    </xf>
    <xf numFmtId="171" fontId="23" fillId="0" borderId="0"/>
    <xf numFmtId="171" fontId="23" fillId="0" borderId="0"/>
    <xf numFmtId="171" fontId="106" fillId="0" borderId="0">
      <alignment horizontal="center"/>
    </xf>
    <xf numFmtId="171" fontId="106" fillId="0" borderId="0">
      <alignment horizontal="center"/>
    </xf>
    <xf numFmtId="171" fontId="23" fillId="0" borderId="0"/>
    <xf numFmtId="171" fontId="107" fillId="0" borderId="0">
      <alignment horizont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09" fillId="0" borderId="37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110" fillId="0" borderId="38" applyNumberFormat="0" applyFill="0" applyAlignment="0" applyProtection="0"/>
    <xf numFmtId="171" fontId="6" fillId="0" borderId="1" applyNumberFormat="0" applyFill="0" applyAlignment="0" applyProtection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10" fillId="0" borderId="38" applyNumberFormat="0" applyFill="0" applyAlignment="0" applyProtection="0"/>
    <xf numFmtId="171" fontId="6" fillId="0" borderId="1" applyNumberFormat="0" applyFill="0" applyAlignment="0" applyProtection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10" fillId="0" borderId="38" applyNumberFormat="0" applyFill="0" applyAlignment="0" applyProtection="0"/>
    <xf numFmtId="171" fontId="6" fillId="0" borderId="1" applyNumberFormat="0" applyFill="0" applyAlignment="0" applyProtection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10" fillId="0" borderId="38" applyNumberFormat="0" applyFill="0" applyAlignment="0" applyProtection="0"/>
    <xf numFmtId="171" fontId="6" fillId="0" borderId="1" applyNumberFormat="0" applyFill="0" applyAlignment="0" applyProtection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10" fillId="0" borderId="38" applyNumberFormat="0" applyFill="0" applyAlignment="0" applyProtection="0"/>
    <xf numFmtId="171" fontId="6" fillId="0" borderId="1" applyNumberFormat="0" applyFill="0" applyAlignment="0" applyProtection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6" fillId="0" borderId="1" applyNumberFormat="0" applyFill="0" applyAlignment="0" applyProtection="0"/>
    <xf numFmtId="171" fontId="23" fillId="0" borderId="0"/>
    <xf numFmtId="171" fontId="23" fillId="0" borderId="0"/>
    <xf numFmtId="171" fontId="107" fillId="0" borderId="0">
      <alignment horizontal="center"/>
    </xf>
    <xf numFmtId="171" fontId="107" fillId="0" borderId="0">
      <alignment horizontal="center"/>
    </xf>
    <xf numFmtId="171" fontId="23" fillId="0" borderId="0"/>
    <xf numFmtId="171" fontId="23" fillId="0" borderId="0"/>
    <xf numFmtId="171" fontId="107" fillId="0" borderId="0">
      <alignment horizontal="center"/>
    </xf>
    <xf numFmtId="171" fontId="107" fillId="0" borderId="0">
      <alignment horizontal="center"/>
    </xf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12" fillId="0" borderId="3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113" fillId="0" borderId="40" applyNumberFormat="0" applyFill="0" applyAlignment="0" applyProtection="0"/>
    <xf numFmtId="171" fontId="7" fillId="0" borderId="2" applyNumberFormat="0" applyFill="0" applyAlignment="0" applyProtection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113" fillId="0" borderId="40" applyNumberFormat="0" applyFill="0" applyAlignment="0" applyProtection="0"/>
    <xf numFmtId="171" fontId="7" fillId="0" borderId="2" applyNumberFormat="0" applyFill="0" applyAlignment="0" applyProtection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113" fillId="0" borderId="40" applyNumberFormat="0" applyFill="0" applyAlignment="0" applyProtection="0"/>
    <xf numFmtId="171" fontId="7" fillId="0" borderId="2" applyNumberFormat="0" applyFill="0" applyAlignment="0" applyProtection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113" fillId="0" borderId="40" applyNumberFormat="0" applyFill="0" applyAlignment="0" applyProtection="0"/>
    <xf numFmtId="171" fontId="7" fillId="0" borderId="2" applyNumberFormat="0" applyFill="0" applyAlignment="0" applyProtection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113" fillId="0" borderId="40" applyNumberFormat="0" applyFill="0" applyAlignment="0" applyProtection="0"/>
    <xf numFmtId="171" fontId="7" fillId="0" borderId="2" applyNumberFormat="0" applyFill="0" applyAlignment="0" applyProtection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7" fillId="0" borderId="2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114" fillId="0" borderId="42" applyNumberFormat="0" applyFill="0" applyAlignment="0" applyProtection="0"/>
    <xf numFmtId="171" fontId="8" fillId="0" borderId="3" applyNumberFormat="0" applyFill="0" applyAlignment="0" applyProtection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114" fillId="0" borderId="42" applyNumberFormat="0" applyFill="0" applyAlignment="0" applyProtection="0"/>
    <xf numFmtId="171" fontId="8" fillId="0" borderId="3" applyNumberFormat="0" applyFill="0" applyAlignment="0" applyProtection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114" fillId="0" borderId="42" applyNumberFormat="0" applyFill="0" applyAlignment="0" applyProtection="0"/>
    <xf numFmtId="171" fontId="8" fillId="0" borderId="3" applyNumberFormat="0" applyFill="0" applyAlignment="0" applyProtection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114" fillId="0" borderId="42" applyNumberFormat="0" applyFill="0" applyAlignment="0" applyProtection="0"/>
    <xf numFmtId="171" fontId="8" fillId="0" borderId="3" applyNumberFormat="0" applyFill="0" applyAlignment="0" applyProtection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114" fillId="0" borderId="42" applyNumberFormat="0" applyFill="0" applyAlignment="0" applyProtection="0"/>
    <xf numFmtId="171" fontId="8" fillId="0" borderId="3" applyNumberFormat="0" applyFill="0" applyAlignment="0" applyProtection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9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114" fillId="0" borderId="0" applyNumberFormat="0" applyFill="0" applyBorder="0" applyAlignment="0" applyProtection="0"/>
    <xf numFmtId="171" fontId="8" fillId="0" borderId="0" applyNumberFormat="0" applyFill="0" applyBorder="0" applyAlignment="0" applyProtection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114" fillId="0" borderId="0" applyNumberFormat="0" applyFill="0" applyBorder="0" applyAlignment="0" applyProtection="0"/>
    <xf numFmtId="171" fontId="8" fillId="0" borderId="0" applyNumberFormat="0" applyFill="0" applyBorder="0" applyAlignment="0" applyProtection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114" fillId="0" borderId="0" applyNumberFormat="0" applyFill="0" applyBorder="0" applyAlignment="0" applyProtection="0"/>
    <xf numFmtId="171" fontId="8" fillId="0" borderId="0" applyNumberFormat="0" applyFill="0" applyBorder="0" applyAlignment="0" applyProtection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114" fillId="0" borderId="0" applyNumberFormat="0" applyFill="0" applyBorder="0" applyAlignment="0" applyProtection="0"/>
    <xf numFmtId="171" fontId="8" fillId="0" borderId="0" applyNumberFormat="0" applyFill="0" applyBorder="0" applyAlignment="0" applyProtection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114" fillId="0" borderId="0" applyNumberFormat="0" applyFill="0" applyBorder="0" applyAlignment="0" applyProtection="0"/>
    <xf numFmtId="171" fontId="8" fillId="0" borderId="0" applyNumberFormat="0" applyFill="0" applyBorder="0" applyAlignment="0" applyProtection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8" fillId="0" borderId="0" applyNumberFormat="0" applyFill="0" applyBorder="0" applyAlignment="0" applyProtection="0"/>
    <xf numFmtId="171" fontId="23" fillId="0" borderId="0"/>
    <xf numFmtId="171" fontId="106" fillId="0" borderId="0">
      <alignment horizontal="center"/>
    </xf>
    <xf numFmtId="171" fontId="106" fillId="0" borderId="0">
      <alignment horizont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11" fontId="115" fillId="0" borderId="0">
      <protection locked="0"/>
    </xf>
    <xf numFmtId="171" fontId="23" fillId="0" borderId="0"/>
    <xf numFmtId="171" fontId="23" fillId="0" borderId="0"/>
    <xf numFmtId="211" fontId="77" fillId="0" borderId="0"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211" fontId="116" fillId="0" borderId="0">
      <protection locked="0"/>
    </xf>
    <xf numFmtId="171" fontId="23" fillId="0" borderId="0"/>
    <xf numFmtId="171" fontId="23" fillId="0" borderId="0"/>
    <xf numFmtId="211" fontId="116" fillId="0" borderId="0"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17" fillId="0" borderId="43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17" fillId="0" borderId="44" applyNumberFormat="0" applyFill="0" applyAlignment="0" applyProtection="0"/>
    <xf numFmtId="171" fontId="23" fillId="0" borderId="0"/>
    <xf numFmtId="171" fontId="23" fillId="0" borderId="0"/>
    <xf numFmtId="171" fontId="117" fillId="0" borderId="43" applyNumberFormat="0" applyFill="0" applyAlignment="0" applyProtection="0"/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center"/>
    </xf>
    <xf numFmtId="171" fontId="23" fillId="0" borderId="0"/>
    <xf numFmtId="171" fontId="120" fillId="0" borderId="0" applyNumberFormat="0" applyFill="0" applyBorder="0" applyAlignment="0" applyProtection="0"/>
    <xf numFmtId="171" fontId="23" fillId="0" borderId="0"/>
    <xf numFmtId="171" fontId="12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21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21" fillId="0" borderId="0" applyNumberFormat="0" applyFill="0" applyBorder="0" applyAlignment="0" applyProtection="0"/>
    <xf numFmtId="171" fontId="122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22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123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123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24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24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124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24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125" fillId="0" borderId="0" applyNumberFormat="0" applyFill="0" applyBorder="0" applyAlignment="0" applyProtection="0"/>
    <xf numFmtId="171" fontId="23" fillId="0" borderId="0"/>
    <xf numFmtId="171" fontId="118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0" fontId="41" fillId="79" borderId="10" applyNumberFormat="0" applyBorder="0" applyAlignment="0" applyProtection="0"/>
    <xf numFmtId="171" fontId="23" fillId="0" borderId="0"/>
    <xf numFmtId="171" fontId="23" fillId="0" borderId="0"/>
    <xf numFmtId="10" fontId="41" fillId="79" borderId="1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1" fillId="80" borderId="0" applyNumberFormat="0" applyBorder="0" applyAlignment="0" applyProtection="0"/>
    <xf numFmtId="171" fontId="23" fillId="0" borderId="0"/>
    <xf numFmtId="171" fontId="23" fillId="0" borderId="0"/>
    <xf numFmtId="10" fontId="41" fillId="79" borderId="1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9" fillId="42" borderId="22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2" fillId="48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12" fillId="5" borderId="4" applyNumberFormat="0" applyAlignment="0" applyProtection="0"/>
    <xf numFmtId="171" fontId="12" fillId="5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48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48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48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12" fillId="48" borderId="4" applyNumberFormat="0" applyAlignment="0" applyProtection="0"/>
    <xf numFmtId="171" fontId="12" fillId="5" borderId="4" applyNumberFormat="0" applyAlignment="0" applyProtection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2" fillId="5" borderId="4" applyNumberFormat="0" applyAlignment="0" applyProtection="0"/>
    <xf numFmtId="171" fontId="23" fillId="0" borderId="0"/>
    <xf numFmtId="171" fontId="45" fillId="38" borderId="0" applyNumberFormat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26" fillId="0" borderId="0"/>
    <xf numFmtId="171" fontId="126" fillId="0" borderId="0"/>
    <xf numFmtId="171" fontId="23" fillId="0" borderId="0"/>
    <xf numFmtId="171" fontId="127" fillId="0" borderId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56" fillId="0" borderId="24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128" fillId="0" borderId="45" applyNumberFormat="0" applyFill="0" applyAlignment="0" applyProtection="0"/>
    <xf numFmtId="171" fontId="15" fillId="0" borderId="6" applyNumberFormat="0" applyFill="0" applyAlignment="0" applyProtection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128" fillId="0" borderId="45" applyNumberFormat="0" applyFill="0" applyAlignment="0" applyProtection="0"/>
    <xf numFmtId="171" fontId="15" fillId="0" borderId="6" applyNumberFormat="0" applyFill="0" applyAlignment="0" applyProtection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128" fillId="0" borderId="45" applyNumberFormat="0" applyFill="0" applyAlignment="0" applyProtection="0"/>
    <xf numFmtId="171" fontId="15" fillId="0" borderId="6" applyNumberFormat="0" applyFill="0" applyAlignment="0" applyProtection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128" fillId="0" borderId="45" applyNumberFormat="0" applyFill="0" applyAlignment="0" applyProtection="0"/>
    <xf numFmtId="171" fontId="15" fillId="0" borderId="6" applyNumberFormat="0" applyFill="0" applyAlignment="0" applyProtection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128" fillId="0" borderId="45" applyNumberFormat="0" applyFill="0" applyAlignment="0" applyProtection="0"/>
    <xf numFmtId="171" fontId="15" fillId="0" borderId="6" applyNumberFormat="0" applyFill="0" applyAlignment="0" applyProtection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5" fillId="0" borderId="6" applyNumberFormat="0" applyFill="0" applyAlignment="0" applyProtection="0"/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129" fillId="0" borderId="0">
      <alignment horizontal="right"/>
    </xf>
    <xf numFmtId="171" fontId="23" fillId="0" borderId="0"/>
    <xf numFmtId="171" fontId="129" fillId="0" borderId="0">
      <alignment horizontal="right"/>
    </xf>
    <xf numFmtId="171" fontId="23" fillId="0" borderId="0"/>
    <xf numFmtId="171" fontId="23" fillId="0" borderId="0"/>
    <xf numFmtId="171" fontId="129" fillId="0" borderId="0">
      <alignment horizontal="right"/>
    </xf>
    <xf numFmtId="171" fontId="23" fillId="0" borderId="0"/>
    <xf numFmtId="171" fontId="129" fillId="0" borderId="0">
      <alignment horizontal="right"/>
    </xf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6" fillId="0" borderId="0">
      <alignment horizontal="right"/>
    </xf>
    <xf numFmtId="171" fontId="25" fillId="0" borderId="0">
      <alignment horizontal="right"/>
    </xf>
    <xf numFmtId="171" fontId="23" fillId="0" borderId="0"/>
    <xf numFmtId="171" fontId="25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5" fillId="0" borderId="0">
      <alignment horizontal="right"/>
    </xf>
    <xf numFmtId="171" fontId="25" fillId="0" borderId="0">
      <alignment horizontal="right"/>
    </xf>
    <xf numFmtId="171" fontId="26" fillId="0" borderId="0">
      <alignment horizontal="right"/>
    </xf>
    <xf numFmtId="171" fontId="25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5" fillId="0" borderId="0">
      <alignment horizontal="right"/>
    </xf>
    <xf numFmtId="171" fontId="25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23" fillId="0" borderId="0"/>
    <xf numFmtId="221" fontId="76" fillId="0" borderId="0">
      <alignment horizontal="right"/>
    </xf>
    <xf numFmtId="171" fontId="23" fillId="0" borderId="0"/>
    <xf numFmtId="171" fontId="23" fillId="0" borderId="0"/>
    <xf numFmtId="171" fontId="26" fillId="0" borderId="0">
      <alignment horizontal="right"/>
    </xf>
    <xf numFmtId="171" fontId="25" fillId="0" borderId="0">
      <alignment horizontal="right"/>
    </xf>
    <xf numFmtId="171" fontId="23" fillId="0" borderId="0"/>
    <xf numFmtId="171" fontId="25" fillId="0" borderId="0">
      <alignment horizontal="right"/>
    </xf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27" fillId="0" borderId="0" applyNumberFormat="0" applyFill="0" applyBorder="0" applyAlignment="0" applyProtection="0"/>
    <xf numFmtId="171" fontId="23" fillId="0" borderId="0"/>
    <xf numFmtId="171" fontId="27" fillId="0" borderId="0" applyNumberFormat="0" applyFill="0" applyBorder="0" applyAlignment="0" applyProtection="0"/>
    <xf numFmtId="171" fontId="23" fillId="0" borderId="0"/>
    <xf numFmtId="171" fontId="23" fillId="0" borderId="0"/>
    <xf numFmtId="171" fontId="27" fillId="0" borderId="0" applyNumberFormat="0" applyFill="0" applyBorder="0" applyAlignment="0" applyProtection="0"/>
    <xf numFmtId="171" fontId="23" fillId="0" borderId="0"/>
    <xf numFmtId="171" fontId="27" fillId="0" borderId="0" applyNumberFormat="0" applyFill="0" applyBorder="0" applyAlignment="0" applyProtection="0"/>
    <xf numFmtId="171" fontId="23" fillId="0" borderId="0"/>
    <xf numFmtId="171" fontId="23" fillId="0" borderId="0"/>
    <xf numFmtId="171" fontId="130" fillId="0" borderId="0" applyNumberFormat="0" applyFill="0" applyBorder="0" applyAlignment="0" applyProtection="0"/>
    <xf numFmtId="171" fontId="23" fillId="0" borderId="0"/>
    <xf numFmtId="171" fontId="13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22" fontId="37" fillId="0" borderId="0" applyFont="0" applyFill="0" applyBorder="0" applyAlignment="0" applyProtection="0"/>
    <xf numFmtId="171" fontId="23" fillId="0" borderId="0"/>
    <xf numFmtId="222" fontId="4" fillId="0" borderId="0" applyFont="0" applyFill="0" applyBorder="0" applyAlignment="0" applyProtection="0"/>
    <xf numFmtId="222" fontId="37" fillId="0" borderId="0" applyFont="0" applyFill="0" applyBorder="0" applyAlignment="0" applyProtection="0"/>
    <xf numFmtId="171" fontId="23" fillId="0" borderId="0"/>
    <xf numFmtId="222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74" fillId="0" borderId="0">
      <alignment horizontal="right"/>
    </xf>
    <xf numFmtId="171" fontId="23" fillId="0" borderId="0"/>
    <xf numFmtId="171" fontId="74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23" fontId="27" fillId="0" borderId="0"/>
    <xf numFmtId="171" fontId="23" fillId="0" borderId="0"/>
    <xf numFmtId="171" fontId="23" fillId="0" borderId="0"/>
    <xf numFmtId="171" fontId="131" fillId="0" borderId="0"/>
    <xf numFmtId="171" fontId="23" fillId="0" borderId="0"/>
    <xf numFmtId="171" fontId="131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7" fillId="0" borderId="25" applyFont="0" applyFill="0" applyBorder="0" applyProtection="0"/>
    <xf numFmtId="171" fontId="23" fillId="0" borderId="0"/>
    <xf numFmtId="171" fontId="23" fillId="0" borderId="0"/>
    <xf numFmtId="171" fontId="27" fillId="0" borderId="25" applyFont="0" applyFill="0" applyBorder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25" applyFont="0" applyFill="0" applyBorder="0" applyAlignment="0" applyProtection="0"/>
    <xf numFmtId="171" fontId="23" fillId="0" borderId="0"/>
    <xf numFmtId="171" fontId="23" fillId="0" borderId="0"/>
    <xf numFmtId="171" fontId="23" fillId="0" borderId="25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7" fillId="0" borderId="0" applyFont="0" applyFill="0" applyBorder="0" applyAlignment="0" applyProtection="0"/>
    <xf numFmtId="171" fontId="23" fillId="0" borderId="0"/>
    <xf numFmtId="171" fontId="2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 applyFont="0" applyFill="0" applyBorder="0" applyAlignment="0" applyProtection="0"/>
    <xf numFmtId="171" fontId="23" fillId="0" borderId="0"/>
    <xf numFmtId="171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24" fontId="50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25" fontId="29" fillId="0" borderId="0" applyFont="0" applyFill="0" applyBorder="0" applyAlignment="0" applyProtection="0"/>
    <xf numFmtId="171" fontId="23" fillId="0" borderId="0"/>
    <xf numFmtId="226" fontId="27" fillId="0" borderId="0"/>
    <xf numFmtId="226" fontId="2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26" fontId="27" fillId="0" borderId="0"/>
    <xf numFmtId="226" fontId="2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133" fillId="4" borderId="0" applyNumberFormat="0" applyBorder="0" applyAlignment="0" applyProtection="0"/>
    <xf numFmtId="171" fontId="11" fillId="4" borderId="0" applyNumberFormat="0" applyBorder="0" applyAlignment="0" applyProtection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133" fillId="4" borderId="0" applyNumberFormat="0" applyBorder="0" applyAlignment="0" applyProtection="0"/>
    <xf numFmtId="171" fontId="11" fillId="4" borderId="0" applyNumberFormat="0" applyBorder="0" applyAlignment="0" applyProtection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133" fillId="4" borderId="0" applyNumberFormat="0" applyBorder="0" applyAlignment="0" applyProtection="0"/>
    <xf numFmtId="171" fontId="11" fillId="4" borderId="0" applyNumberFormat="0" applyBorder="0" applyAlignment="0" applyProtection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133" fillId="4" borderId="0" applyNumberFormat="0" applyBorder="0" applyAlignment="0" applyProtection="0"/>
    <xf numFmtId="171" fontId="11" fillId="4" borderId="0" applyNumberFormat="0" applyBorder="0" applyAlignment="0" applyProtection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133" fillId="4" borderId="0" applyNumberFormat="0" applyBorder="0" applyAlignment="0" applyProtection="0"/>
    <xf numFmtId="171" fontId="11" fillId="4" borderId="0" applyNumberFormat="0" applyBorder="0" applyAlignment="0" applyProtection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11" fillId="4" borderId="0" applyNumberFormat="0" applyBorder="0" applyAlignment="0" applyProtection="0"/>
    <xf numFmtId="171" fontId="23" fillId="0" borderId="0"/>
    <xf numFmtId="171" fontId="132" fillId="48" borderId="0" applyNumberFormat="0" applyBorder="0" applyAlignment="0" applyProtection="0"/>
    <xf numFmtId="171" fontId="23" fillId="0" borderId="0"/>
    <xf numFmtId="171" fontId="23" fillId="0" borderId="0"/>
    <xf numFmtId="171" fontId="67" fillId="0" borderId="0"/>
    <xf numFmtId="171" fontId="23" fillId="0" borderId="0"/>
    <xf numFmtId="171" fontId="67" fillId="0" borderId="0"/>
    <xf numFmtId="171" fontId="23" fillId="0" borderId="0"/>
    <xf numFmtId="171" fontId="23" fillId="0" borderId="0"/>
    <xf numFmtId="171" fontId="67" fillId="0" borderId="0"/>
    <xf numFmtId="171" fontId="23" fillId="0" borderId="0"/>
    <xf numFmtId="171" fontId="67" fillId="0" borderId="0"/>
    <xf numFmtId="171" fontId="23" fillId="0" borderId="0"/>
    <xf numFmtId="171" fontId="23" fillId="0" borderId="0"/>
    <xf numFmtId="171" fontId="67" fillId="0" borderId="0"/>
    <xf numFmtId="171" fontId="23" fillId="0" borderId="0"/>
    <xf numFmtId="171" fontId="67" fillId="0" borderId="0"/>
    <xf numFmtId="171" fontId="23" fillId="0" borderId="0"/>
    <xf numFmtId="171" fontId="23" fillId="0" borderId="0"/>
    <xf numFmtId="171" fontId="67" fillId="0" borderId="0"/>
    <xf numFmtId="171" fontId="23" fillId="0" borderId="0"/>
    <xf numFmtId="171" fontId="67" fillId="0" borderId="0"/>
    <xf numFmtId="171" fontId="23" fillId="0" borderId="0"/>
    <xf numFmtId="171" fontId="23" fillId="0" borderId="0"/>
    <xf numFmtId="171" fontId="67" fillId="0" borderId="0"/>
    <xf numFmtId="171" fontId="23" fillId="0" borderId="0"/>
    <xf numFmtId="171" fontId="67" fillId="0" borderId="0"/>
    <xf numFmtId="171" fontId="23" fillId="0" borderId="0"/>
    <xf numFmtId="171" fontId="23" fillId="0" borderId="0"/>
    <xf numFmtId="37" fontId="6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4" fillId="0" borderId="0"/>
    <xf numFmtId="171" fontId="23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227" fontId="135" fillId="0" borderId="0"/>
    <xf numFmtId="227" fontId="135" fillId="0" borderId="0"/>
    <xf numFmtId="227" fontId="135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227" fontId="135" fillId="0" borderId="0"/>
    <xf numFmtId="227" fontId="135" fillId="0" borderId="0"/>
    <xf numFmtId="227" fontId="135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171" fontId="23" fillId="0" borderId="0"/>
    <xf numFmtId="227" fontId="135" fillId="0" borderId="0"/>
    <xf numFmtId="171" fontId="23" fillId="0" borderId="0"/>
    <xf numFmtId="227" fontId="135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134" fillId="0" borderId="0"/>
    <xf numFmtId="171" fontId="23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71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71" fillId="0" borderId="0"/>
    <xf numFmtId="171" fontId="23" fillId="0" borderId="0"/>
    <xf numFmtId="171" fontId="71" fillId="0" borderId="0"/>
    <xf numFmtId="171" fontId="23" fillId="0" borderId="0"/>
    <xf numFmtId="171" fontId="23" fillId="0" borderId="0"/>
    <xf numFmtId="171" fontId="23" fillId="0" borderId="0"/>
    <xf numFmtId="171" fontId="71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4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0" fontId="34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37" fillId="0" borderId="0"/>
    <xf numFmtId="171" fontId="23" fillId="0" borderId="0"/>
    <xf numFmtId="171" fontId="37" fillId="0" borderId="0"/>
    <xf numFmtId="171" fontId="23" fillId="0" borderId="0"/>
    <xf numFmtId="171" fontId="37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0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70" fillId="0" borderId="0"/>
    <xf numFmtId="171" fontId="23" fillId="0" borderId="0"/>
    <xf numFmtId="171" fontId="4" fillId="0" borderId="0"/>
    <xf numFmtId="171" fontId="23" fillId="0" borderId="0"/>
    <xf numFmtId="0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34" fillId="0" borderId="0"/>
    <xf numFmtId="171" fontId="4" fillId="0" borderId="0"/>
    <xf numFmtId="171" fontId="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23" fillId="0" borderId="0"/>
    <xf numFmtId="171" fontId="23" fillId="0" borderId="0"/>
    <xf numFmtId="171" fontId="23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34" fillId="0" borderId="0"/>
    <xf numFmtId="171" fontId="23" fillId="0" borderId="0"/>
    <xf numFmtId="171" fontId="23" fillId="0" borderId="0"/>
    <xf numFmtId="171" fontId="23" fillId="0" borderId="0"/>
    <xf numFmtId="171" fontId="34" fillId="0" borderId="0"/>
    <xf numFmtId="171" fontId="4" fillId="0" borderId="0"/>
    <xf numFmtId="171" fontId="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71" fontId="23" fillId="0" borderId="0"/>
    <xf numFmtId="171" fontId="23" fillId="0" borderId="0"/>
    <xf numFmtId="171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228" fontId="23" fillId="0" borderId="0"/>
    <xf numFmtId="228" fontId="23" fillId="0" borderId="0"/>
    <xf numFmtId="228" fontId="23" fillId="0" borderId="0"/>
    <xf numFmtId="228" fontId="23" fillId="0" borderId="0"/>
    <xf numFmtId="171" fontId="23" fillId="0" borderId="0"/>
    <xf numFmtId="171" fontId="23" fillId="0" borderId="0"/>
    <xf numFmtId="171" fontId="23" fillId="0" borderId="0"/>
    <xf numFmtId="228" fontId="23" fillId="0" borderId="0"/>
    <xf numFmtId="0" fontId="23" fillId="0" borderId="0"/>
    <xf numFmtId="0" fontId="23" fillId="0" borderId="0"/>
    <xf numFmtId="0" fontId="23" fillId="0" borderId="0"/>
    <xf numFmtId="228" fontId="23" fillId="0" borderId="0"/>
    <xf numFmtId="228" fontId="23" fillId="0" borderId="0"/>
    <xf numFmtId="228" fontId="23" fillId="0" borderId="0"/>
    <xf numFmtId="228" fontId="23" fillId="0" borderId="0"/>
    <xf numFmtId="228" fontId="23" fillId="0" borderId="0"/>
    <xf numFmtId="0" fontId="23" fillId="0" borderId="0"/>
    <xf numFmtId="171" fontId="23" fillId="0" borderId="0"/>
    <xf numFmtId="171" fontId="23" fillId="0" borderId="0"/>
    <xf numFmtId="171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6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0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228" fontId="4" fillId="0" borderId="0"/>
    <xf numFmtId="228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228" fontId="4" fillId="0" borderId="0"/>
    <xf numFmtId="228" fontId="4" fillId="0" borderId="0"/>
    <xf numFmtId="228" fontId="4" fillId="0" borderId="0"/>
    <xf numFmtId="0" fontId="4" fillId="0" borderId="0"/>
    <xf numFmtId="0" fontId="4" fillId="0" borderId="0"/>
    <xf numFmtId="0" fontId="4" fillId="0" borderId="0"/>
    <xf numFmtId="228" fontId="4" fillId="0" borderId="0"/>
    <xf numFmtId="228" fontId="4" fillId="0" borderId="0"/>
    <xf numFmtId="228" fontId="4" fillId="0" borderId="0"/>
    <xf numFmtId="228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7" fillId="0" borderId="0"/>
    <xf numFmtId="228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0" fontId="4" fillId="0" borderId="0"/>
    <xf numFmtId="171" fontId="4" fillId="0" borderId="0"/>
    <xf numFmtId="171" fontId="4" fillId="0" borderId="0"/>
    <xf numFmtId="171" fontId="4" fillId="0" borderId="0"/>
    <xf numFmtId="171" fontId="4" fillId="0" borderId="0"/>
    <xf numFmtId="0" fontId="34" fillId="0" borderId="0"/>
    <xf numFmtId="0" fontId="3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0" fontId="63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0" fontId="4" fillId="0" borderId="0"/>
    <xf numFmtId="228" fontId="34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70" fillId="0" borderId="0"/>
    <xf numFmtId="171" fontId="70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4" fillId="0" borderId="0"/>
    <xf numFmtId="229" fontId="42" fillId="0" borderId="0"/>
    <xf numFmtId="171" fontId="23" fillId="0" borderId="0"/>
    <xf numFmtId="171" fontId="23" fillId="0" borderId="0"/>
    <xf numFmtId="229" fontId="42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229" fontId="42" fillId="0" borderId="0"/>
    <xf numFmtId="171" fontId="23" fillId="0" borderId="0"/>
    <xf numFmtId="171" fontId="23" fillId="0" borderId="0"/>
    <xf numFmtId="229" fontId="42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38" fillId="0" borderId="0"/>
    <xf numFmtId="171" fontId="38" fillId="0" borderId="0"/>
    <xf numFmtId="171" fontId="38" fillId="0" borderId="0"/>
    <xf numFmtId="229" fontId="42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229" fontId="42" fillId="0" borderId="0"/>
    <xf numFmtId="229" fontId="42" fillId="0" borderId="0"/>
    <xf numFmtId="171" fontId="23" fillId="0" borderId="0"/>
    <xf numFmtId="171" fontId="23" fillId="0" borderId="0"/>
    <xf numFmtId="229" fontId="42" fillId="0" borderId="0"/>
    <xf numFmtId="229" fontId="42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64" fillId="0" borderId="0"/>
    <xf numFmtId="171" fontId="23" fillId="0" borderId="0"/>
    <xf numFmtId="171" fontId="6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0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34" fillId="0" borderId="0"/>
    <xf numFmtId="171" fontId="4" fillId="0" borderId="0"/>
    <xf numFmtId="171" fontId="34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3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4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37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4" fillId="0" borderId="0"/>
    <xf numFmtId="171" fontId="23" fillId="0" borderId="0"/>
    <xf numFmtId="171" fontId="23" fillId="0" borderId="0"/>
    <xf numFmtId="171" fontId="23" fillId="0" borderId="0"/>
    <xf numFmtId="187" fontId="137" fillId="0" borderId="0">
      <alignment horizontal="left"/>
      <protection locked="0"/>
    </xf>
    <xf numFmtId="171" fontId="23" fillId="0" borderId="0"/>
    <xf numFmtId="171" fontId="23" fillId="0" borderId="0"/>
    <xf numFmtId="171" fontId="23" fillId="0" borderId="0"/>
    <xf numFmtId="187" fontId="138" fillId="0" borderId="0">
      <alignment horizontal="left"/>
      <protection locked="0"/>
    </xf>
    <xf numFmtId="171" fontId="23" fillId="0" borderId="0"/>
    <xf numFmtId="171" fontId="139" fillId="0" borderId="0"/>
    <xf numFmtId="171" fontId="23" fillId="0" borderId="0"/>
    <xf numFmtId="171" fontId="23" fillId="0" borderId="0"/>
    <xf numFmtId="230" fontId="140" fillId="74" borderId="0" applyBorder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36" fillId="0" borderId="0"/>
    <xf numFmtId="171" fontId="23" fillId="0" borderId="0"/>
    <xf numFmtId="171" fontId="136" fillId="0" borderId="0"/>
    <xf numFmtId="171" fontId="23" fillId="0" borderId="0"/>
    <xf numFmtId="171" fontId="136" fillId="0" borderId="0"/>
    <xf numFmtId="171" fontId="23" fillId="0" borderId="0"/>
    <xf numFmtId="171" fontId="136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4" fillId="8" borderId="8" applyNumberFormat="0" applyFont="0" applyAlignment="0" applyProtection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4" fillId="8" borderId="8" applyNumberFormat="0" applyFont="0" applyAlignment="0" applyProtection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4" fillId="8" borderId="8" applyNumberFormat="0" applyFont="0" applyAlignment="0" applyProtection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4" fillId="8" borderId="8" applyNumberFormat="0" applyFont="0" applyAlignment="0" applyProtection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4" fillId="8" borderId="8" applyNumberFormat="0" applyFont="0" applyAlignment="0" applyProtection="0"/>
    <xf numFmtId="171" fontId="4" fillId="8" borderId="8" applyNumberFormat="0" applyFont="0" applyAlignment="0" applyProtection="0"/>
    <xf numFmtId="171" fontId="23" fillId="0" borderId="0"/>
    <xf numFmtId="171" fontId="37" fillId="8" borderId="8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/>
    <xf numFmtId="171" fontId="23" fillId="0" borderId="0"/>
    <xf numFmtId="171" fontId="23" fillId="0" borderId="0"/>
    <xf numFmtId="171" fontId="23" fillId="0" borderId="0"/>
    <xf numFmtId="1" fontId="141" fillId="0" borderId="0">
      <alignment horizontal="right"/>
      <protection locked="0"/>
    </xf>
    <xf numFmtId="171" fontId="23" fillId="0" borderId="0"/>
    <xf numFmtId="171" fontId="23" fillId="0" borderId="0"/>
    <xf numFmtId="171" fontId="23" fillId="0" borderId="0"/>
    <xf numFmtId="213" fontId="32" fillId="0" borderId="0">
      <alignment horizontal="right"/>
      <protection locked="0"/>
    </xf>
    <xf numFmtId="171" fontId="23" fillId="0" borderId="0"/>
    <xf numFmtId="171" fontId="23" fillId="0" borderId="0"/>
    <xf numFmtId="171" fontId="23" fillId="0" borderId="0"/>
    <xf numFmtId="2" fontId="32" fillId="0" borderId="0">
      <alignment horizontal="right"/>
      <protection locked="0"/>
    </xf>
    <xf numFmtId="171" fontId="23" fillId="0" borderId="0"/>
    <xf numFmtId="171" fontId="23" fillId="0" borderId="0"/>
    <xf numFmtId="171" fontId="23" fillId="0" borderId="0"/>
    <xf numFmtId="2" fontId="141" fillId="0" borderId="0">
      <alignment horizontal="right"/>
      <protection locked="0"/>
    </xf>
    <xf numFmtId="171" fontId="23" fillId="0" borderId="0"/>
    <xf numFmtId="171" fontId="23" fillId="0" borderId="0"/>
    <xf numFmtId="187" fontId="36" fillId="0" borderId="0"/>
    <xf numFmtId="171" fontId="23" fillId="0" borderId="0"/>
    <xf numFmtId="187" fontId="36" fillId="0" borderId="0"/>
    <xf numFmtId="171" fontId="23" fillId="0" borderId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13" fillId="70" borderId="5" applyNumberFormat="0" applyAlignment="0" applyProtection="0"/>
    <xf numFmtId="171" fontId="13" fillId="6" borderId="5" applyNumberFormat="0" applyAlignment="0" applyProtection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13" fillId="70" borderId="5" applyNumberFormat="0" applyAlignment="0" applyProtection="0"/>
    <xf numFmtId="171" fontId="13" fillId="6" borderId="5" applyNumberFormat="0" applyAlignment="0" applyProtection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13" fillId="70" borderId="5" applyNumberFormat="0" applyAlignment="0" applyProtection="0"/>
    <xf numFmtId="171" fontId="13" fillId="6" borderId="5" applyNumberFormat="0" applyAlignment="0" applyProtection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13" fillId="70" borderId="5" applyNumberFormat="0" applyAlignment="0" applyProtection="0"/>
    <xf numFmtId="171" fontId="13" fillId="6" borderId="5" applyNumberFormat="0" applyAlignment="0" applyProtection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13" fillId="70" borderId="5" applyNumberFormat="0" applyAlignment="0" applyProtection="0"/>
    <xf numFmtId="171" fontId="13" fillId="6" borderId="5" applyNumberFormat="0" applyAlignment="0" applyProtection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3" fillId="6" borderId="5" applyNumberFormat="0" applyAlignment="0" applyProtection="0"/>
    <xf numFmtId="171" fontId="23" fillId="0" borderId="0"/>
    <xf numFmtId="171" fontId="23" fillId="0" borderId="0"/>
    <xf numFmtId="171" fontId="143" fillId="0" borderId="0" applyProtection="0">
      <alignment horizontal="left"/>
    </xf>
    <xf numFmtId="171" fontId="23" fillId="0" borderId="0"/>
    <xf numFmtId="171" fontId="143" fillId="0" borderId="0" applyProtection="0">
      <alignment horizontal="left"/>
    </xf>
    <xf numFmtId="171" fontId="23" fillId="0" borderId="0"/>
    <xf numFmtId="171" fontId="23" fillId="0" borderId="0"/>
    <xf numFmtId="171" fontId="143" fillId="0" borderId="0" applyFill="0" applyBorder="0" applyProtection="0">
      <alignment horizontal="left"/>
    </xf>
    <xf numFmtId="171" fontId="23" fillId="0" borderId="0"/>
    <xf numFmtId="171" fontId="143" fillId="0" borderId="0" applyFill="0" applyBorder="0" applyProtection="0">
      <alignment horizontal="left"/>
    </xf>
    <xf numFmtId="171" fontId="23" fillId="0" borderId="0"/>
    <xf numFmtId="171" fontId="23" fillId="0" borderId="0"/>
    <xf numFmtId="171" fontId="144" fillId="0" borderId="0" applyFill="0" applyBorder="0" applyProtection="0">
      <alignment horizontal="left"/>
    </xf>
    <xf numFmtId="171" fontId="23" fillId="0" borderId="0"/>
    <xf numFmtId="171" fontId="144" fillId="0" borderId="0" applyFill="0" applyBorder="0" applyProtection="0">
      <alignment horizontal="left"/>
    </xf>
    <xf numFmtId="171" fontId="23" fillId="0" borderId="0"/>
    <xf numFmtId="171" fontId="23" fillId="0" borderId="0"/>
    <xf numFmtId="171" fontId="35" fillId="0" borderId="0" applyNumberFormat="0" applyFill="0" applyBorder="0" applyAlignment="0" applyProtection="0"/>
    <xf numFmtId="171" fontId="35" fillId="0" borderId="0" applyNumberFormat="0" applyFill="0" applyBorder="0" applyAlignment="0" applyProtection="0"/>
    <xf numFmtId="171" fontId="23" fillId="0" borderId="0"/>
    <xf numFmtId="171" fontId="36" fillId="0" borderId="0" applyNumberFormat="0" applyFill="0" applyBorder="0" applyAlignment="0" applyProtection="0"/>
    <xf numFmtId="171" fontId="23" fillId="0" borderId="0"/>
    <xf numFmtId="171" fontId="23" fillId="0" borderId="0"/>
    <xf numFmtId="171" fontId="26" fillId="0" borderId="0"/>
    <xf numFmtId="171" fontId="25" fillId="0" borderId="0"/>
    <xf numFmtId="171" fontId="23" fillId="0" borderId="0"/>
    <xf numFmtId="171" fontId="25" fillId="0" borderId="0"/>
    <xf numFmtId="171" fontId="23" fillId="0" borderId="0"/>
    <xf numFmtId="171" fontId="23" fillId="0" borderId="0"/>
    <xf numFmtId="171" fontId="74" fillId="0" borderId="0"/>
    <xf numFmtId="171" fontId="23" fillId="0" borderId="0"/>
    <xf numFmtId="171" fontId="74" fillId="0" borderId="0"/>
    <xf numFmtId="171" fontId="23" fillId="0" borderId="0"/>
    <xf numFmtId="171" fontId="23" fillId="0" borderId="0"/>
    <xf numFmtId="171" fontId="23" fillId="0" borderId="0"/>
    <xf numFmtId="200" fontId="50" fillId="0" borderId="0">
      <alignment horizontal="right"/>
    </xf>
    <xf numFmtId="171" fontId="23" fillId="0" borderId="0"/>
    <xf numFmtId="171" fontId="23" fillId="0" borderId="0"/>
    <xf numFmtId="200" fontId="23" fillId="0" borderId="0" applyFont="0" applyFill="0" applyBorder="0" applyAlignment="0" applyProtection="0"/>
    <xf numFmtId="171" fontId="23" fillId="0" borderId="0"/>
    <xf numFmtId="200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 applyFont="0" applyFill="0" applyBorder="0" applyAlignment="0" applyProtection="0"/>
    <xf numFmtId="171" fontId="23" fillId="0" borderId="0"/>
    <xf numFmtId="171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00" fontId="2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0" fontId="23" fillId="0" borderId="0" applyFont="0" applyFill="0" applyBorder="0" applyAlignment="0" applyProtection="0"/>
    <xf numFmtId="171" fontId="23" fillId="0" borderId="0"/>
    <xf numFmtId="10" fontId="23" fillId="0" borderId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71" fontId="23" fillId="0" borderId="0"/>
    <xf numFmtId="10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ill="0" applyBorder="0" applyAlignment="0" applyProtection="0"/>
    <xf numFmtId="9" fontId="23" fillId="0" borderId="0" applyFont="0" applyFill="0" applyBorder="0" applyAlignment="0" applyProtection="0"/>
    <xf numFmtId="9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71" fillId="0" borderId="0" applyFont="0" applyFill="0" applyBorder="0" applyAlignment="0" applyProtection="0"/>
    <xf numFmtId="171" fontId="23" fillId="0" borderId="0"/>
    <xf numFmtId="171" fontId="23" fillId="0" borderId="0"/>
    <xf numFmtId="9" fontId="71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64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38" fillId="0" borderId="0" applyFont="0" applyFill="0" applyBorder="0" applyAlignment="0" applyProtection="0"/>
    <xf numFmtId="171" fontId="23" fillId="0" borderId="0"/>
    <xf numFmtId="9" fontId="38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37" fillId="0" borderId="0" applyFont="0" applyFill="0" applyBorder="0" applyAlignment="0" applyProtection="0"/>
    <xf numFmtId="171" fontId="23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71" fontId="23" fillId="0" borderId="0"/>
    <xf numFmtId="9" fontId="37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9" fontId="64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231" fontId="50" fillId="0" borderId="0" applyFont="0" applyFill="0" applyBorder="0" applyProtection="0">
      <alignment horizontal="right"/>
    </xf>
    <xf numFmtId="171" fontId="23" fillId="0" borderId="0"/>
    <xf numFmtId="171" fontId="23" fillId="0" borderId="0"/>
    <xf numFmtId="232" fontId="23" fillId="0" borderId="0"/>
    <xf numFmtId="171" fontId="23" fillId="0" borderId="0"/>
    <xf numFmtId="232" fontId="23" fillId="0" borderId="0"/>
    <xf numFmtId="171" fontId="23" fillId="0" borderId="0"/>
    <xf numFmtId="171" fontId="23" fillId="0" borderId="0"/>
    <xf numFmtId="171" fontId="23" fillId="0" borderId="0"/>
    <xf numFmtId="233" fontId="72" fillId="0" borderId="0" applyFill="0" applyBorder="0" applyProtection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93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52" fillId="0" borderId="0" applyFill="0" applyBorder="0" applyAlignment="0"/>
    <xf numFmtId="171" fontId="23" fillId="0" borderId="0"/>
    <xf numFmtId="171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234" fontId="50" fillId="0" borderId="0" applyProtection="0">
      <alignment horizontal="right"/>
    </xf>
    <xf numFmtId="171" fontId="23" fillId="0" borderId="0"/>
    <xf numFmtId="171" fontId="23" fillId="0" borderId="0"/>
    <xf numFmtId="171" fontId="23" fillId="0" borderId="0"/>
    <xf numFmtId="234" fontId="141" fillId="0" borderId="0">
      <alignment horizontal="right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79" fillId="0" borderId="0" applyNumberFormat="0" applyFont="0" applyFill="0" applyBorder="0" applyAlignment="0" applyProtection="0">
      <alignment horizontal="left"/>
    </xf>
    <xf numFmtId="171" fontId="23" fillId="0" borderId="0"/>
    <xf numFmtId="171" fontId="23" fillId="0" borderId="0"/>
    <xf numFmtId="171" fontId="23" fillId="0" borderId="0"/>
    <xf numFmtId="171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79" fillId="0" borderId="0" applyNumberFormat="0" applyFont="0" applyFill="0" applyBorder="0" applyAlignment="0" applyProtection="0">
      <alignment horizontal="left"/>
    </xf>
    <xf numFmtId="171" fontId="23" fillId="0" borderId="0"/>
    <xf numFmtId="171" fontId="23" fillId="0" borderId="0"/>
    <xf numFmtId="171" fontId="23" fillId="0" borderId="0"/>
    <xf numFmtId="15" fontId="7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4" fontId="79" fillId="0" borderId="0" applyFont="0" applyFill="0" applyBorder="0" applyAlignment="0" applyProtection="0"/>
    <xf numFmtId="171" fontId="23" fillId="0" borderId="0"/>
    <xf numFmtId="171" fontId="23" fillId="0" borderId="0"/>
    <xf numFmtId="171" fontId="145" fillId="0" borderId="20">
      <alignment horizontal="center"/>
    </xf>
    <xf numFmtId="171" fontId="23" fillId="0" borderId="0"/>
    <xf numFmtId="171" fontId="145" fillId="0" borderId="20">
      <alignment horizontal="center"/>
    </xf>
    <xf numFmtId="171" fontId="23" fillId="0" borderId="0"/>
    <xf numFmtId="171" fontId="23" fillId="0" borderId="0"/>
    <xf numFmtId="171" fontId="23" fillId="0" borderId="0"/>
    <xf numFmtId="3" fontId="7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79" fillId="81" borderId="0" applyNumberFormat="0" applyFont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82" borderId="0" applyNumberFormat="0" applyBorder="0" applyAlignment="0" applyProtection="0"/>
    <xf numFmtId="171" fontId="23" fillId="0" borderId="0"/>
    <xf numFmtId="171" fontId="23" fillId="0" borderId="0"/>
    <xf numFmtId="171" fontId="79" fillId="81" borderId="0" applyNumberFormat="0" applyFont="0" applyBorder="0" applyAlignment="0" applyProtection="0"/>
    <xf numFmtId="171" fontId="23" fillId="0" borderId="0"/>
    <xf numFmtId="171" fontId="23" fillId="0" borderId="0"/>
    <xf numFmtId="171" fontId="26" fillId="72" borderId="0"/>
    <xf numFmtId="171" fontId="25" fillId="72" borderId="0"/>
    <xf numFmtId="171" fontId="23" fillId="0" borderId="0"/>
    <xf numFmtId="171" fontId="25" fillId="72" borderId="0"/>
    <xf numFmtId="171" fontId="23" fillId="0" borderId="0"/>
    <xf numFmtId="171" fontId="23" fillId="0" borderId="0"/>
    <xf numFmtId="171" fontId="26" fillId="72" borderId="0"/>
    <xf numFmtId="171" fontId="25" fillId="72" borderId="0"/>
    <xf numFmtId="171" fontId="23" fillId="0" borderId="0"/>
    <xf numFmtId="171" fontId="25" fillId="72" borderId="0"/>
    <xf numFmtId="171" fontId="23" fillId="0" borderId="0"/>
    <xf numFmtId="171" fontId="23" fillId="0" borderId="0"/>
    <xf numFmtId="171" fontId="23" fillId="0" borderId="0"/>
    <xf numFmtId="171" fontId="26" fillId="72" borderId="0"/>
    <xf numFmtId="171" fontId="25" fillId="72" borderId="0"/>
    <xf numFmtId="171" fontId="23" fillId="0" borderId="0"/>
    <xf numFmtId="171" fontId="25" fillId="72" borderId="0"/>
    <xf numFmtId="171" fontId="23" fillId="0" borderId="0"/>
    <xf numFmtId="171" fontId="23" fillId="0" borderId="0"/>
    <xf numFmtId="171" fontId="23" fillId="0" borderId="0"/>
    <xf numFmtId="171" fontId="25" fillId="72" borderId="0"/>
    <xf numFmtId="171" fontId="25" fillId="72" borderId="0"/>
    <xf numFmtId="171" fontId="26" fillId="72" borderId="0"/>
    <xf numFmtId="171" fontId="25" fillId="72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5" fillId="72" borderId="0"/>
    <xf numFmtId="171" fontId="25" fillId="72" borderId="0"/>
    <xf numFmtId="171" fontId="23" fillId="0" borderId="0"/>
    <xf numFmtId="171" fontId="26" fillId="72" borderId="0"/>
    <xf numFmtId="171" fontId="25" fillId="72" borderId="0"/>
    <xf numFmtId="171" fontId="23" fillId="0" borderId="0"/>
    <xf numFmtId="171" fontId="25" fillId="72" borderId="0"/>
    <xf numFmtId="171" fontId="23" fillId="0" borderId="0"/>
    <xf numFmtId="171" fontId="23" fillId="0" borderId="0"/>
    <xf numFmtId="171" fontId="23" fillId="0" borderId="0"/>
    <xf numFmtId="235" fontId="76" fillId="72" borderId="0"/>
    <xf numFmtId="171" fontId="23" fillId="0" borderId="0"/>
    <xf numFmtId="171" fontId="23" fillId="0" borderId="0"/>
    <xf numFmtId="171" fontId="146" fillId="0" borderId="0">
      <alignment horizontal="center"/>
    </xf>
    <xf numFmtId="171" fontId="23" fillId="0" borderId="0"/>
    <xf numFmtId="171" fontId="146" fillId="0" borderId="0">
      <alignment horizont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6" fillId="0" borderId="25">
      <alignment horizontal="centerContinuous"/>
    </xf>
    <xf numFmtId="171" fontId="23" fillId="0" borderId="0"/>
    <xf numFmtId="171" fontId="25" fillId="0" borderId="25">
      <alignment horizontal="centerContinuous"/>
    </xf>
    <xf numFmtId="171" fontId="23" fillId="0" borderId="0"/>
    <xf numFmtId="171" fontId="25" fillId="0" borderId="25">
      <alignment horizontal="centerContinuous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23" fillId="0" borderId="0"/>
    <xf numFmtId="236" fontId="74" fillId="0" borderId="0">
      <alignment horizontal="center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27" fillId="0" borderId="0">
      <alignment vertical="top"/>
    </xf>
    <xf numFmtId="171" fontId="23" fillId="0" borderId="0"/>
    <xf numFmtId="171" fontId="27" fillId="0" borderId="0">
      <alignment vertical="top"/>
    </xf>
    <xf numFmtId="171" fontId="23" fillId="0" borderId="0"/>
    <xf numFmtId="171" fontId="23" fillId="0" borderId="0"/>
    <xf numFmtId="171" fontId="74" fillId="72" borderId="28">
      <alignment horizontal="right"/>
    </xf>
    <xf numFmtId="171" fontId="23" fillId="0" borderId="0"/>
    <xf numFmtId="171" fontId="74" fillId="72" borderId="28">
      <alignment horizontal="right"/>
    </xf>
    <xf numFmtId="171" fontId="23" fillId="0" borderId="0"/>
    <xf numFmtId="171" fontId="23" fillId="0" borderId="0"/>
    <xf numFmtId="171" fontId="23" fillId="0" borderId="0"/>
    <xf numFmtId="237" fontId="147" fillId="0" borderId="0" applyFont="0" applyFill="0" applyBorder="0" applyAlignment="0" applyProtection="0">
      <alignment horizontal="right"/>
    </xf>
    <xf numFmtId="171" fontId="23" fillId="0" borderId="0"/>
    <xf numFmtId="171" fontId="23" fillId="0" borderId="0"/>
    <xf numFmtId="171" fontId="23" fillId="0" borderId="0"/>
    <xf numFmtId="187" fontId="27" fillId="0" borderId="0">
      <alignment horizontal="right"/>
    </xf>
    <xf numFmtId="171" fontId="23" fillId="0" borderId="0"/>
    <xf numFmtId="171" fontId="23" fillId="0" borderId="0"/>
    <xf numFmtId="171" fontId="23" fillId="0" borderId="0"/>
    <xf numFmtId="14" fontId="72" fillId="0" borderId="0" applyNumberFormat="0" applyFill="0" applyBorder="0" applyAlignment="0" applyProtection="0">
      <alignment horizontal="left"/>
    </xf>
    <xf numFmtId="171" fontId="23" fillId="0" borderId="0"/>
    <xf numFmtId="171" fontId="23" fillId="0" borderId="0"/>
    <xf numFmtId="171" fontId="148" fillId="0" borderId="0" applyNumberFormat="0" applyFill="0" applyBorder="0" applyProtection="0">
      <alignment horizontal="right" vertical="center"/>
    </xf>
    <xf numFmtId="171" fontId="149" fillId="0" borderId="0" applyNumberFormat="0" applyFill="0" applyBorder="0" applyProtection="0">
      <alignment horizontal="right" vertical="center"/>
    </xf>
    <xf numFmtId="171" fontId="23" fillId="0" borderId="0"/>
    <xf numFmtId="171" fontId="149" fillId="0" borderId="0" applyNumberFormat="0" applyFill="0" applyBorder="0" applyProtection="0">
      <alignment horizontal="right" vertical="center"/>
    </xf>
    <xf numFmtId="171" fontId="23" fillId="0" borderId="0"/>
    <xf numFmtId="171" fontId="23" fillId="0" borderId="0"/>
    <xf numFmtId="171" fontId="150" fillId="0" borderId="0">
      <alignment vertical="center"/>
    </xf>
    <xf numFmtId="171" fontId="23" fillId="0" borderId="0"/>
    <xf numFmtId="171" fontId="150" fillId="0" borderId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151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151" fillId="83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83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6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6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6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6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7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7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7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7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8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8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8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8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9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9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89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89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0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0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0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0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1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1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1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1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2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2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2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2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3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3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3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3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152" fillId="9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152" fillId="9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152" fillId="9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152" fillId="9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7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7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153" fillId="96" borderId="0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97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98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72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151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4" fontId="151" fillId="79" borderId="46" applyNumberForma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4" fontId="78" fillId="79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78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151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151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151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23" fillId="84" borderId="46" applyNumberFormat="0" applyProtection="0">
      <alignment horizontal="left" vertical="center" indent="1"/>
    </xf>
    <xf numFmtId="171" fontId="23" fillId="0" borderId="0"/>
    <xf numFmtId="171" fontId="23" fillId="0" borderId="0"/>
    <xf numFmtId="171" fontId="154" fillId="0" borderId="0"/>
    <xf numFmtId="171" fontId="154" fillId="0" borderId="0"/>
    <xf numFmtId="171" fontId="23" fillId="0" borderId="0"/>
    <xf numFmtId="171" fontId="15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4" fontId="155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155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4" fontId="155" fillId="95" borderId="46" applyNumberFormat="0" applyProtection="0">
      <alignment horizontal="right" vertical="center"/>
    </xf>
    <xf numFmtId="171" fontId="23" fillId="0" borderId="0"/>
    <xf numFmtId="171" fontId="23" fillId="0" borderId="0"/>
    <xf numFmtId="171" fontId="23" fillId="0" borderId="0"/>
    <xf numFmtId="4" fontId="155" fillId="95" borderId="46" applyNumberFormat="0" applyProtection="0">
      <alignment horizontal="right" vertical="center"/>
    </xf>
    <xf numFmtId="171" fontId="23" fillId="0" borderId="0"/>
    <xf numFmtId="171" fontId="51" fillId="39" borderId="0" applyNumberFormat="0" applyBorder="0" applyAlignment="0" applyProtection="0"/>
    <xf numFmtId="171" fontId="23" fillId="0" borderId="0"/>
    <xf numFmtId="171" fontId="27" fillId="99" borderId="0" applyNumberFormat="0" applyFont="0" applyBorder="0" applyAlignment="0" applyProtection="0"/>
    <xf numFmtId="171" fontId="23" fillId="0" borderId="0"/>
    <xf numFmtId="171" fontId="27" fillId="99" borderId="0" applyNumberFormat="0" applyFont="0" applyBorder="0" applyAlignment="0" applyProtection="0"/>
    <xf numFmtId="171" fontId="23" fillId="0" borderId="0"/>
    <xf numFmtId="171" fontId="23" fillId="0" borderId="0"/>
    <xf numFmtId="171" fontId="156" fillId="0" borderId="0" applyNumberFormat="0" applyFill="0" applyBorder="0" applyAlignment="0" applyProtection="0"/>
    <xf numFmtId="171" fontId="23" fillId="0" borderId="0"/>
    <xf numFmtId="171" fontId="156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4" fontId="27" fillId="0" borderId="13">
      <alignment horizontal="centerContinuous"/>
    </xf>
    <xf numFmtId="171" fontId="23" fillId="0" borderId="0"/>
    <xf numFmtId="171" fontId="23" fillId="0" borderId="0"/>
    <xf numFmtId="171" fontId="23" fillId="0" borderId="0"/>
    <xf numFmtId="37" fontId="42" fillId="0" borderId="48"/>
    <xf numFmtId="171" fontId="23" fillId="0" borderId="0"/>
    <xf numFmtId="171" fontId="142" fillId="69" borderId="46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157" fillId="0" borderId="0" applyNumberFormat="0" applyFill="0" applyBorder="0" applyProtection="0">
      <alignment horizontal="left" vertical="center"/>
    </xf>
    <xf numFmtId="171" fontId="158" fillId="0" borderId="0" applyNumberFormat="0" applyFill="0" applyBorder="0" applyProtection="0">
      <alignment horizontal="left" vertical="center"/>
    </xf>
    <xf numFmtId="171" fontId="23" fillId="0" borderId="0"/>
    <xf numFmtId="171" fontId="158" fillId="0" borderId="0" applyNumberFormat="0" applyFill="0" applyBorder="0" applyProtection="0">
      <alignment horizontal="left" vertical="center"/>
    </xf>
    <xf numFmtId="171" fontId="23" fillId="0" borderId="0"/>
    <xf numFmtId="171" fontId="23" fillId="0" borderId="0"/>
    <xf numFmtId="40" fontId="23" fillId="0" borderId="0" applyBorder="0">
      <alignment horizontal="right"/>
    </xf>
    <xf numFmtId="171" fontId="23" fillId="0" borderId="0"/>
    <xf numFmtId="40" fontId="23" fillId="0" borderId="0" applyBorder="0">
      <alignment horizontal="right"/>
    </xf>
    <xf numFmtId="171" fontId="23" fillId="0" borderId="0"/>
    <xf numFmtId="171" fontId="23" fillId="0" borderId="0"/>
    <xf numFmtId="171" fontId="91" fillId="0" borderId="0" applyFill="0" applyBorder="0" applyProtection="0">
      <alignment horizontal="center" vertical="center"/>
    </xf>
    <xf numFmtId="171" fontId="23" fillId="0" borderId="0"/>
    <xf numFmtId="171" fontId="91" fillId="0" borderId="0" applyFill="0" applyBorder="0" applyProtection="0">
      <alignment horizontal="center" vertical="center"/>
    </xf>
    <xf numFmtId="171" fontId="23" fillId="0" borderId="0"/>
    <xf numFmtId="171" fontId="23" fillId="0" borderId="0"/>
    <xf numFmtId="171" fontId="91" fillId="0" borderId="0" applyFill="0" applyBorder="0" applyProtection="0"/>
    <xf numFmtId="171" fontId="23" fillId="0" borderId="0"/>
    <xf numFmtId="171" fontId="91" fillId="0" borderId="0" applyFill="0" applyBorder="0" applyProtection="0"/>
    <xf numFmtId="171" fontId="23" fillId="0" borderId="0"/>
    <xf numFmtId="171" fontId="23" fillId="0" borderId="0"/>
    <xf numFmtId="171" fontId="95" fillId="0" borderId="0" applyFill="0" applyBorder="0" applyProtection="0">
      <alignment horizontal="left"/>
    </xf>
    <xf numFmtId="171" fontId="23" fillId="0" borderId="0"/>
    <xf numFmtId="171" fontId="95" fillId="0" borderId="0" applyFill="0" applyBorder="0" applyProtection="0">
      <alignment horizontal="left"/>
    </xf>
    <xf numFmtId="171" fontId="23" fillId="0" borderId="0"/>
    <xf numFmtId="171" fontId="23" fillId="0" borderId="0"/>
    <xf numFmtId="171" fontId="159" fillId="0" borderId="0" applyFill="0" applyBorder="0" applyProtection="0">
      <alignment horizontal="left" vertical="top"/>
    </xf>
    <xf numFmtId="171" fontId="23" fillId="0" borderId="0"/>
    <xf numFmtId="171" fontId="159" fillId="0" borderId="0" applyFill="0" applyBorder="0" applyProtection="0">
      <alignment horizontal="left" vertical="top"/>
    </xf>
    <xf numFmtId="171" fontId="23" fillId="0" borderId="0"/>
    <xf numFmtId="171" fontId="23" fillId="0" borderId="0"/>
    <xf numFmtId="171" fontId="160" fillId="0" borderId="0" applyFill="0" applyBorder="0" applyProtection="0">
      <alignment vertical="top"/>
    </xf>
    <xf numFmtId="171" fontId="23" fillId="0" borderId="0"/>
    <xf numFmtId="171" fontId="160" fillId="0" borderId="0" applyFill="0" applyBorder="0" applyProtection="0">
      <alignment vertical="top"/>
    </xf>
    <xf numFmtId="171" fontId="23" fillId="0" borderId="0"/>
    <xf numFmtId="171" fontId="23" fillId="0" borderId="0"/>
    <xf numFmtId="171" fontId="23" fillId="0" borderId="0"/>
    <xf numFmtId="49" fontId="161" fillId="0" borderId="0"/>
    <xf numFmtId="171" fontId="23" fillId="0" borderId="0"/>
    <xf numFmtId="171" fontId="23" fillId="0" borderId="0"/>
    <xf numFmtId="171" fontId="23" fillId="0" borderId="0"/>
    <xf numFmtId="49" fontId="78" fillId="0" borderId="0" applyFill="0" applyBorder="0" applyAlignment="0"/>
    <xf numFmtId="171" fontId="23" fillId="0" borderId="0"/>
    <xf numFmtId="171" fontId="23" fillId="0" borderId="0"/>
    <xf numFmtId="171" fontId="23" fillId="0" borderId="0"/>
    <xf numFmtId="238" fontId="52" fillId="0" borderId="0" applyFill="0" applyBorder="0" applyAlignment="0"/>
    <xf numFmtId="171" fontId="23" fillId="0" borderId="0"/>
    <xf numFmtId="171" fontId="23" fillId="0" borderId="0"/>
    <xf numFmtId="171" fontId="23" fillId="0" borderId="0"/>
    <xf numFmtId="187" fontId="52" fillId="0" borderId="0" applyFill="0" applyBorder="0" applyAlignment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100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40" fontId="162" fillId="0" borderId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164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164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164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164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164" fillId="0" borderId="0" applyNumberFormat="0" applyFill="0" applyBorder="0" applyAlignment="0" applyProtection="0"/>
    <xf numFmtId="171" fontId="5" fillId="0" borderId="0" applyNumberFormat="0" applyFill="0" applyBorder="0" applyAlignment="0" applyProtection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5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215" fontId="165" fillId="0" borderId="0">
      <alignment horizontal="center"/>
    </xf>
    <xf numFmtId="171" fontId="23" fillId="0" borderId="0"/>
    <xf numFmtId="171" fontId="23" fillId="0" borderId="0"/>
    <xf numFmtId="171" fontId="23" fillId="0" borderId="0">
      <alignment horizontal="center"/>
    </xf>
    <xf numFmtId="171" fontId="23" fillId="0" borderId="0"/>
    <xf numFmtId="171" fontId="23" fillId="0" borderId="0">
      <alignment horizontal="center"/>
    </xf>
    <xf numFmtId="171" fontId="23" fillId="0" borderId="0"/>
    <xf numFmtId="171" fontId="23" fillId="0" borderId="0"/>
    <xf numFmtId="171" fontId="23" fillId="0" borderId="0"/>
    <xf numFmtId="199" fontId="65" fillId="0" borderId="0">
      <alignment horizontal="center"/>
    </xf>
    <xf numFmtId="171" fontId="23" fillId="0" borderId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88" fontId="23" fillId="0" borderId="0" applyNumberFormat="0" applyFill="0" applyBorder="0" applyAlignment="0" applyProtection="0"/>
    <xf numFmtId="171" fontId="23" fillId="0" borderId="0"/>
    <xf numFmtId="171" fontId="23" fillId="0" borderId="0"/>
    <xf numFmtId="1" fontId="23" fillId="0" borderId="0"/>
    <xf numFmtId="1" fontId="23" fillId="0" borderId="0"/>
    <xf numFmtId="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" fontId="23" fillId="0" borderId="0"/>
    <xf numFmtId="1" fontId="23" fillId="0" borderId="0"/>
    <xf numFmtId="171" fontId="23" fillId="0" borderId="0"/>
    <xf numFmtId="171" fontId="23" fillId="0" borderId="0"/>
    <xf numFmtId="171" fontId="163" fillId="0" borderId="0" applyNumberFormat="0" applyFill="0" applyBorder="0" applyAlignment="0" applyProtection="0"/>
    <xf numFmtId="171" fontId="109" fillId="0" borderId="37" applyNumberFormat="0" applyFill="0" applyAlignment="0" applyProtection="0"/>
    <xf numFmtId="171" fontId="112" fillId="0" borderId="39" applyNumberFormat="0" applyFill="0" applyAlignment="0" applyProtection="0"/>
    <xf numFmtId="171" fontId="97" fillId="0" borderId="41" applyNumberFormat="0" applyFill="0" applyAlignment="0" applyProtection="0"/>
    <xf numFmtId="171" fontId="9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108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111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97" fillId="0" borderId="41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3" fillId="0" borderId="0" applyNumberFormat="0" applyFill="0" applyBorder="0" applyAlignment="0" applyProtection="0"/>
    <xf numFmtId="171" fontId="23" fillId="0" borderId="0"/>
    <xf numFmtId="171" fontId="166" fillId="0" borderId="0"/>
    <xf numFmtId="171" fontId="23" fillId="0" borderId="0"/>
    <xf numFmtId="171" fontId="166" fillId="0" borderId="0"/>
    <xf numFmtId="171" fontId="23" fillId="0" borderId="0"/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66" fillId="0" borderId="50" applyNumberFormat="0" applyFont="0" applyFill="0" applyAlignment="0" applyProtection="0"/>
    <xf numFmtId="171" fontId="23" fillId="0" borderId="0"/>
    <xf numFmtId="211" fontId="77" fillId="0" borderId="49">
      <protection locked="0"/>
    </xf>
    <xf numFmtId="171" fontId="23" fillId="0" borderId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66" fillId="0" borderId="50" applyNumberFormat="0" applyFon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66" fillId="0" borderId="50" applyNumberFormat="0" applyFon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66" fillId="0" borderId="50" applyNumberFormat="0" applyFon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211" fontId="77" fillId="0" borderId="49">
      <protection locked="0"/>
    </xf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19" fillId="0" borderId="51" applyNumberFormat="0" applyFill="0" applyAlignment="0" applyProtection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19" fillId="0" borderId="51" applyNumberFormat="0" applyFill="0" applyAlignment="0" applyProtection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19" fillId="0" borderId="9" applyNumberFormat="0" applyFill="0" applyAlignment="0" applyProtection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19" fillId="0" borderId="51" applyNumberFormat="0" applyFill="0" applyAlignment="0" applyProtection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171" fontId="19" fillId="0" borderId="51" applyNumberFormat="0" applyFill="0" applyAlignment="0" applyProtection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19" fillId="0" borderId="9" applyNumberFormat="0" applyFill="0" applyAlignment="0" applyProtection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19" fillId="0" borderId="51" applyNumberFormat="0" applyFill="0" applyAlignment="0" applyProtection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19" fillId="0" borderId="9" applyNumberFormat="0" applyFill="0" applyAlignment="0" applyProtection="0"/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211" fontId="77" fillId="0" borderId="49">
      <protection locked="0"/>
    </xf>
    <xf numFmtId="211" fontId="77" fillId="0" borderId="49">
      <protection locked="0"/>
    </xf>
    <xf numFmtId="211" fontId="77" fillId="0" borderId="49">
      <protection locked="0"/>
    </xf>
    <xf numFmtId="171" fontId="23" fillId="0" borderId="0"/>
    <xf numFmtId="171" fontId="19" fillId="0" borderId="9" applyNumberFormat="0" applyFill="0" applyAlignment="0" applyProtection="0"/>
    <xf numFmtId="171" fontId="23" fillId="0" borderId="0"/>
    <xf numFmtId="171" fontId="23" fillId="0" borderId="0"/>
    <xf numFmtId="171" fontId="23" fillId="0" borderId="0"/>
    <xf numFmtId="239" fontId="50" fillId="0" borderId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37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83" borderId="0" applyNumberFormat="0" applyBorder="0" applyAlignment="0" applyProtection="0"/>
    <xf numFmtId="171" fontId="23" fillId="0" borderId="0"/>
    <xf numFmtId="171" fontId="41" fillId="100" borderId="0" applyNumberFormat="0" applyBorder="0" applyAlignment="0" applyProtection="0"/>
    <xf numFmtId="171" fontId="23" fillId="0" borderId="0"/>
    <xf numFmtId="37" fontId="41" fillId="83" borderId="0" applyNumberFormat="0" applyBorder="0" applyAlignment="0" applyProtection="0"/>
    <xf numFmtId="171" fontId="23" fillId="0" borderId="0"/>
    <xf numFmtId="171" fontId="23" fillId="0" borderId="0"/>
    <xf numFmtId="171" fontId="23" fillId="0" borderId="0"/>
    <xf numFmtId="171" fontId="41" fillId="0" borderId="0"/>
    <xf numFmtId="171" fontId="23" fillId="0" borderId="0"/>
    <xf numFmtId="171" fontId="41" fillId="0" borderId="0"/>
    <xf numFmtId="171" fontId="23" fillId="0" borderId="0"/>
    <xf numFmtId="171" fontId="23" fillId="0" borderId="0"/>
    <xf numFmtId="171" fontId="41" fillId="0" borderId="0"/>
    <xf numFmtId="171" fontId="23" fillId="0" borderId="0"/>
    <xf numFmtId="171" fontId="41" fillId="0" borderId="0"/>
    <xf numFmtId="171" fontId="23" fillId="0" borderId="0"/>
    <xf numFmtId="171" fontId="23" fillId="0" borderId="0"/>
    <xf numFmtId="171" fontId="41" fillId="0" borderId="0"/>
    <xf numFmtId="171" fontId="23" fillId="0" borderId="0"/>
    <xf numFmtId="171" fontId="41" fillId="0" borderId="0"/>
    <xf numFmtId="171" fontId="23" fillId="0" borderId="0"/>
    <xf numFmtId="171" fontId="23" fillId="0" borderId="0"/>
    <xf numFmtId="171" fontId="41" fillId="0" borderId="0"/>
    <xf numFmtId="171" fontId="23" fillId="0" borderId="0"/>
    <xf numFmtId="171" fontId="41" fillId="0" borderId="0"/>
    <xf numFmtId="171" fontId="23" fillId="0" borderId="0"/>
    <xf numFmtId="171" fontId="23" fillId="0" borderId="0"/>
    <xf numFmtId="171" fontId="41" fillId="0" borderId="0"/>
    <xf numFmtId="171" fontId="23" fillId="0" borderId="0"/>
    <xf numFmtId="171" fontId="41" fillId="0" borderId="0"/>
    <xf numFmtId="171" fontId="23" fillId="0" borderId="0"/>
    <xf numFmtId="171" fontId="23" fillId="0" borderId="0"/>
    <xf numFmtId="171" fontId="23" fillId="0" borderId="0"/>
    <xf numFmtId="37" fontId="41" fillId="0" borderId="0"/>
    <xf numFmtId="171" fontId="23" fillId="0" borderId="0"/>
    <xf numFmtId="171" fontId="23" fillId="0" borderId="0"/>
    <xf numFmtId="37" fontId="41" fillId="0" borderId="0"/>
    <xf numFmtId="171" fontId="23" fillId="0" borderId="0"/>
    <xf numFmtId="171" fontId="23" fillId="0" borderId="0"/>
    <xf numFmtId="171" fontId="23" fillId="0" borderId="0"/>
    <xf numFmtId="3" fontId="167" fillId="0" borderId="43" applyProtection="0"/>
    <xf numFmtId="171" fontId="23" fillId="0" borderId="0"/>
    <xf numFmtId="3" fontId="167" fillId="0" borderId="44" applyProtection="0"/>
    <xf numFmtId="171" fontId="23" fillId="0" borderId="0"/>
    <xf numFmtId="3" fontId="167" fillId="0" borderId="43" applyProtection="0"/>
    <xf numFmtId="171" fontId="23" fillId="0" borderId="0"/>
    <xf numFmtId="171" fontId="23" fillId="0" borderId="0"/>
    <xf numFmtId="171" fontId="23" fillId="0" borderId="0"/>
    <xf numFmtId="173" fontId="38" fillId="0" borderId="0" applyFont="0" applyFill="0" applyBorder="0" applyAlignment="0" applyProtection="0"/>
    <xf numFmtId="171" fontId="23" fillId="0" borderId="0"/>
    <xf numFmtId="173" fontId="38" fillId="0" borderId="0" applyFont="0" applyFill="0" applyBorder="0" applyAlignment="0" applyProtection="0"/>
    <xf numFmtId="171" fontId="55" fillId="71" borderId="23" applyNumberFormat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240" fontId="7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44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17" fillId="0" borderId="0" applyNumberFormat="0" applyFill="0" applyBorder="0" applyAlignment="0" applyProtection="0"/>
    <xf numFmtId="171" fontId="23" fillId="0" borderId="0"/>
    <xf numFmtId="171" fontId="23" fillId="0" borderId="0"/>
    <xf numFmtId="171" fontId="95" fillId="0" borderId="0">
      <alignment horizontal="left"/>
    </xf>
    <xf numFmtId="171" fontId="23" fillId="0" borderId="0"/>
    <xf numFmtId="171" fontId="95" fillId="0" borderId="0">
      <alignment horizontal="left"/>
    </xf>
    <xf numFmtId="171" fontId="23" fillId="0" borderId="0"/>
    <xf numFmtId="171" fontId="23" fillId="0" borderId="0"/>
    <xf numFmtId="171" fontId="23" fillId="0" borderId="0"/>
    <xf numFmtId="191" fontId="27" fillId="0" borderId="0" applyFont="0" applyFill="0" applyBorder="0" applyAlignment="0" applyProtection="0">
      <alignment horizontal="right"/>
    </xf>
    <xf numFmtId="171" fontId="23" fillId="0" borderId="0"/>
    <xf numFmtId="171" fontId="23" fillId="0" borderId="0"/>
    <xf numFmtId="171" fontId="23" fillId="0" borderId="0"/>
    <xf numFmtId="241" fontId="50" fillId="0" borderId="0" applyFont="0" applyFill="0" applyBorder="0" applyProtection="0">
      <alignment horizontal="right"/>
    </xf>
    <xf numFmtId="171" fontId="23" fillId="0" borderId="0"/>
    <xf numFmtId="171" fontId="23" fillId="0" borderId="0"/>
    <xf numFmtId="171" fontId="168" fillId="101" borderId="52" applyNumberFormat="0" applyFont="0" applyBorder="0" applyAlignment="0" applyProtection="0">
      <alignment horizontal="right"/>
    </xf>
    <xf numFmtId="171" fontId="23" fillId="0" borderId="0"/>
    <xf numFmtId="171" fontId="168" fillId="101" borderId="52" applyNumberFormat="0" applyFont="0" applyBorder="0" applyAlignment="0" applyProtection="0">
      <alignment horizontal="right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68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102" borderId="0" applyNumberFormat="0" applyBorder="0" applyAlignment="0" applyProtection="0"/>
    <xf numFmtId="171" fontId="23" fillId="0" borderId="0"/>
    <xf numFmtId="171" fontId="169" fillId="102" borderId="0" applyNumberFormat="0" applyBorder="0" applyAlignment="0" applyProtection="0"/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23" fillId="0" borderId="0"/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39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169" fillId="4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103" borderId="0" applyNumberFormat="0" applyBorder="0" applyAlignment="0" applyProtection="0"/>
    <xf numFmtId="171" fontId="23" fillId="0" borderId="0"/>
    <xf numFmtId="171" fontId="170" fillId="103" borderId="0" applyNumberFormat="0" applyBorder="0" applyAlignment="0" applyProtection="0"/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23" fillId="0" borderId="0"/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38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170" fillId="40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71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34" fillId="0" borderId="0">
      <alignment vertical="center"/>
    </xf>
    <xf numFmtId="171" fontId="23" fillId="0" borderId="0"/>
    <xf numFmtId="171" fontId="34" fillId="0" borderId="0">
      <alignment vertical="center"/>
    </xf>
    <xf numFmtId="171" fontId="34" fillId="0" borderId="0">
      <alignment vertical="center"/>
    </xf>
    <xf numFmtId="171" fontId="34" fillId="0" borderId="0">
      <alignment vertical="center"/>
    </xf>
    <xf numFmtId="171" fontId="34" fillId="0" borderId="0"/>
    <xf numFmtId="171" fontId="34" fillId="0" borderId="0">
      <alignment vertical="center"/>
    </xf>
    <xf numFmtId="171" fontId="34" fillId="0" borderId="0">
      <alignment vertical="center"/>
    </xf>
    <xf numFmtId="171" fontId="64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40" fillId="57" borderId="0" applyNumberFormat="0" applyBorder="0" applyAlignment="0" applyProtection="0">
      <alignment vertical="center"/>
    </xf>
    <xf numFmtId="171" fontId="23" fillId="0" borderId="0"/>
    <xf numFmtId="171" fontId="40" fillId="57" borderId="0" applyNumberFormat="0" applyBorder="0" applyAlignment="0" applyProtection="0">
      <alignment vertical="center"/>
    </xf>
    <xf numFmtId="171" fontId="40" fillId="57" borderId="0" applyNumberFormat="0" applyBorder="0" applyAlignment="0" applyProtection="0">
      <alignment vertical="center"/>
    </xf>
    <xf numFmtId="171" fontId="40" fillId="57" borderId="0" applyNumberFormat="0" applyBorder="0" applyAlignment="0" applyProtection="0">
      <alignment vertical="center"/>
    </xf>
    <xf numFmtId="171" fontId="40" fillId="57" borderId="0" applyNumberFormat="0" applyBorder="0" applyAlignment="0" applyProtection="0">
      <alignment vertical="center"/>
    </xf>
    <xf numFmtId="171" fontId="23" fillId="0" borderId="0"/>
    <xf numFmtId="171" fontId="40" fillId="57" borderId="0" applyNumberFormat="0" applyBorder="0" applyAlignment="0" applyProtection="0">
      <alignment vertical="center"/>
    </xf>
    <xf numFmtId="171" fontId="23" fillId="0" borderId="0"/>
    <xf numFmtId="171" fontId="40" fillId="57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40" fillId="53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40" fillId="47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64" borderId="0" applyNumberFormat="0" applyBorder="0" applyAlignment="0" applyProtection="0">
      <alignment vertical="center"/>
    </xf>
    <xf numFmtId="171" fontId="23" fillId="0" borderId="0"/>
    <xf numFmtId="171" fontId="40" fillId="64" borderId="0" applyNumberFormat="0" applyBorder="0" applyAlignment="0" applyProtection="0">
      <alignment vertical="center"/>
    </xf>
    <xf numFmtId="171" fontId="40" fillId="64" borderId="0" applyNumberFormat="0" applyBorder="0" applyAlignment="0" applyProtection="0">
      <alignment vertical="center"/>
    </xf>
    <xf numFmtId="171" fontId="40" fillId="64" borderId="0" applyNumberFormat="0" applyBorder="0" applyAlignment="0" applyProtection="0">
      <alignment vertical="center"/>
    </xf>
    <xf numFmtId="171" fontId="40" fillId="64" borderId="0" applyNumberFormat="0" applyBorder="0" applyAlignment="0" applyProtection="0">
      <alignment vertical="center"/>
    </xf>
    <xf numFmtId="171" fontId="23" fillId="0" borderId="0"/>
    <xf numFmtId="171" fontId="40" fillId="64" borderId="0" applyNumberFormat="0" applyBorder="0" applyAlignment="0" applyProtection="0">
      <alignment vertical="center"/>
    </xf>
    <xf numFmtId="171" fontId="23" fillId="0" borderId="0"/>
    <xf numFmtId="171" fontId="40" fillId="64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51" borderId="0" applyNumberFormat="0" applyBorder="0" applyAlignment="0" applyProtection="0">
      <alignment vertical="center"/>
    </xf>
    <xf numFmtId="171" fontId="23" fillId="0" borderId="0"/>
    <xf numFmtId="171" fontId="40" fillId="51" borderId="0" applyNumberFormat="0" applyBorder="0" applyAlignment="0" applyProtection="0">
      <alignment vertical="center"/>
    </xf>
    <xf numFmtId="171" fontId="40" fillId="51" borderId="0" applyNumberFormat="0" applyBorder="0" applyAlignment="0" applyProtection="0">
      <alignment vertical="center"/>
    </xf>
    <xf numFmtId="171" fontId="40" fillId="51" borderId="0" applyNumberFormat="0" applyBorder="0" applyAlignment="0" applyProtection="0">
      <alignment vertical="center"/>
    </xf>
    <xf numFmtId="171" fontId="40" fillId="51" borderId="0" applyNumberFormat="0" applyBorder="0" applyAlignment="0" applyProtection="0">
      <alignment vertical="center"/>
    </xf>
    <xf numFmtId="171" fontId="23" fillId="0" borderId="0"/>
    <xf numFmtId="171" fontId="40" fillId="51" borderId="0" applyNumberFormat="0" applyBorder="0" applyAlignment="0" applyProtection="0">
      <alignment vertical="center"/>
    </xf>
    <xf numFmtId="171" fontId="23" fillId="0" borderId="0"/>
    <xf numFmtId="171" fontId="40" fillId="5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40" fillId="61" borderId="0" applyNumberFormat="0" applyBorder="0" applyAlignment="0" applyProtection="0">
      <alignment vertical="center"/>
    </xf>
    <xf numFmtId="171" fontId="23" fillId="0" borderId="0"/>
    <xf numFmtId="171" fontId="40" fillId="61" borderId="0" applyNumberFormat="0" applyBorder="0" applyAlignment="0" applyProtection="0">
      <alignment vertical="center"/>
    </xf>
    <xf numFmtId="171" fontId="40" fillId="61" borderId="0" applyNumberFormat="0" applyBorder="0" applyAlignment="0" applyProtection="0">
      <alignment vertical="center"/>
    </xf>
    <xf numFmtId="171" fontId="40" fillId="61" borderId="0" applyNumberFormat="0" applyBorder="0" applyAlignment="0" applyProtection="0">
      <alignment vertical="center"/>
    </xf>
    <xf numFmtId="171" fontId="40" fillId="61" borderId="0" applyNumberFormat="0" applyBorder="0" applyAlignment="0" applyProtection="0">
      <alignment vertical="center"/>
    </xf>
    <xf numFmtId="171" fontId="23" fillId="0" borderId="0"/>
    <xf numFmtId="171" fontId="40" fillId="61" borderId="0" applyNumberFormat="0" applyBorder="0" applyAlignment="0" applyProtection="0">
      <alignment vertical="center"/>
    </xf>
    <xf numFmtId="171" fontId="23" fillId="0" borderId="0"/>
    <xf numFmtId="171" fontId="40" fillId="61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2" fillId="0" borderId="38" applyNumberFormat="0" applyFill="0" applyAlignment="0" applyProtection="0">
      <alignment vertical="center"/>
    </xf>
    <xf numFmtId="171" fontId="23" fillId="0" borderId="0"/>
    <xf numFmtId="171" fontId="172" fillId="0" borderId="38" applyNumberFormat="0" applyFill="0" applyAlignment="0" applyProtection="0">
      <alignment vertical="center"/>
    </xf>
    <xf numFmtId="171" fontId="172" fillId="0" borderId="38" applyNumberFormat="0" applyFill="0" applyAlignment="0" applyProtection="0">
      <alignment vertical="center"/>
    </xf>
    <xf numFmtId="171" fontId="172" fillId="0" borderId="38" applyNumberFormat="0" applyFill="0" applyAlignment="0" applyProtection="0">
      <alignment vertical="center"/>
    </xf>
    <xf numFmtId="171" fontId="172" fillId="0" borderId="38" applyNumberFormat="0" applyFill="0" applyAlignment="0" applyProtection="0">
      <alignment vertical="center"/>
    </xf>
    <xf numFmtId="171" fontId="23" fillId="0" borderId="0"/>
    <xf numFmtId="171" fontId="172" fillId="0" borderId="38" applyNumberFormat="0" applyFill="0" applyAlignment="0" applyProtection="0">
      <alignment vertical="center"/>
    </xf>
    <xf numFmtId="171" fontId="23" fillId="0" borderId="0"/>
    <xf numFmtId="171" fontId="172" fillId="0" borderId="38" applyNumberFormat="0" applyFill="0" applyAlignment="0" applyProtection="0">
      <alignment vertical="center"/>
    </xf>
    <xf numFmtId="171" fontId="173" fillId="0" borderId="0" applyNumberForma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4" fillId="0" borderId="40" applyNumberFormat="0" applyFill="0" applyAlignment="0" applyProtection="0">
      <alignment vertical="center"/>
    </xf>
    <xf numFmtId="171" fontId="23" fillId="0" borderId="0"/>
    <xf numFmtId="171" fontId="174" fillId="0" borderId="40" applyNumberFormat="0" applyFill="0" applyAlignment="0" applyProtection="0">
      <alignment vertical="center"/>
    </xf>
    <xf numFmtId="171" fontId="174" fillId="0" borderId="40" applyNumberFormat="0" applyFill="0" applyAlignment="0" applyProtection="0">
      <alignment vertical="center"/>
    </xf>
    <xf numFmtId="171" fontId="174" fillId="0" borderId="40" applyNumberFormat="0" applyFill="0" applyAlignment="0" applyProtection="0">
      <alignment vertical="center"/>
    </xf>
    <xf numFmtId="171" fontId="174" fillId="0" borderId="40" applyNumberFormat="0" applyFill="0" applyAlignment="0" applyProtection="0">
      <alignment vertical="center"/>
    </xf>
    <xf numFmtId="171" fontId="23" fillId="0" borderId="0"/>
    <xf numFmtId="171" fontId="174" fillId="0" borderId="40" applyNumberFormat="0" applyFill="0" applyAlignment="0" applyProtection="0">
      <alignment vertical="center"/>
    </xf>
    <xf numFmtId="171" fontId="23" fillId="0" borderId="0"/>
    <xf numFmtId="171" fontId="174" fillId="0" borderId="40" applyNumberFormat="0" applyFill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5" fillId="0" borderId="42" applyNumberFormat="0" applyFill="0" applyAlignment="0" applyProtection="0">
      <alignment vertical="center"/>
    </xf>
    <xf numFmtId="171" fontId="23" fillId="0" borderId="0"/>
    <xf numFmtId="171" fontId="175" fillId="0" borderId="42" applyNumberFormat="0" applyFill="0" applyAlignment="0" applyProtection="0">
      <alignment vertical="center"/>
    </xf>
    <xf numFmtId="171" fontId="175" fillId="0" borderId="42" applyNumberFormat="0" applyFill="0" applyAlignment="0" applyProtection="0">
      <alignment vertical="center"/>
    </xf>
    <xf numFmtId="171" fontId="175" fillId="0" borderId="42" applyNumberFormat="0" applyFill="0" applyAlignment="0" applyProtection="0">
      <alignment vertical="center"/>
    </xf>
    <xf numFmtId="171" fontId="175" fillId="0" borderId="42" applyNumberFormat="0" applyFill="0" applyAlignment="0" applyProtection="0">
      <alignment vertical="center"/>
    </xf>
    <xf numFmtId="171" fontId="23" fillId="0" borderId="0"/>
    <xf numFmtId="171" fontId="175" fillId="0" borderId="42" applyNumberFormat="0" applyFill="0" applyAlignment="0" applyProtection="0">
      <alignment vertical="center"/>
    </xf>
    <xf numFmtId="171" fontId="23" fillId="0" borderId="0"/>
    <xf numFmtId="171" fontId="175" fillId="0" borderId="42" applyNumberFormat="0" applyFill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75" fillId="0" borderId="0" applyNumberFormat="0" applyFill="0" applyBorder="0" applyAlignment="0" applyProtection="0">
      <alignment vertical="center"/>
    </xf>
    <xf numFmtId="171" fontId="23" fillId="0" borderId="0"/>
    <xf numFmtId="171" fontId="175" fillId="0" borderId="0" applyNumberFormat="0" applyFill="0" applyBorder="0" applyAlignment="0" applyProtection="0">
      <alignment vertical="center"/>
    </xf>
    <xf numFmtId="171" fontId="175" fillId="0" borderId="0" applyNumberFormat="0" applyFill="0" applyBorder="0" applyAlignment="0" applyProtection="0">
      <alignment vertical="center"/>
    </xf>
    <xf numFmtId="171" fontId="175" fillId="0" borderId="0" applyNumberFormat="0" applyFill="0" applyBorder="0" applyAlignment="0" applyProtection="0">
      <alignment vertical="center"/>
    </xf>
    <xf numFmtId="171" fontId="175" fillId="0" borderId="0" applyNumberFormat="0" applyFill="0" applyBorder="0" applyAlignment="0" applyProtection="0">
      <alignment vertical="center"/>
    </xf>
    <xf numFmtId="171" fontId="23" fillId="0" borderId="0"/>
    <xf numFmtId="171" fontId="175" fillId="0" borderId="0" applyNumberFormat="0" applyFill="0" applyBorder="0" applyAlignment="0" applyProtection="0">
      <alignment vertical="center"/>
    </xf>
    <xf numFmtId="171" fontId="23" fillId="0" borderId="0"/>
    <xf numFmtId="171" fontId="175" fillId="0" borderId="0" applyNumberFormat="0" applyFill="0" applyBorder="0" applyAlignment="0" applyProtection="0">
      <alignment vertical="center"/>
    </xf>
    <xf numFmtId="171" fontId="23" fillId="0" borderId="0"/>
    <xf numFmtId="171" fontId="23" fillId="0" borderId="0"/>
    <xf numFmtId="171" fontId="173" fillId="0" borderId="0" applyNumberFormat="0" applyFill="0" applyBorder="0" applyAlignment="0" applyProtection="0">
      <alignment vertical="center"/>
    </xf>
    <xf numFmtId="171" fontId="23" fillId="0" borderId="0"/>
    <xf numFmtId="171" fontId="173" fillId="0" borderId="0" applyNumberFormat="0" applyFill="0" applyBorder="0" applyAlignment="0" applyProtection="0">
      <alignment vertical="center"/>
    </xf>
    <xf numFmtId="171" fontId="173" fillId="0" borderId="0" applyNumberFormat="0" applyFill="0" applyBorder="0" applyAlignment="0" applyProtection="0">
      <alignment vertical="center"/>
    </xf>
    <xf numFmtId="171" fontId="173" fillId="0" borderId="0" applyNumberFormat="0" applyFill="0" applyBorder="0" applyAlignment="0" applyProtection="0">
      <alignment vertical="center"/>
    </xf>
    <xf numFmtId="171" fontId="173" fillId="0" borderId="0" applyNumberFormat="0" applyFill="0" applyBorder="0" applyAlignment="0" applyProtection="0">
      <alignment vertical="center"/>
    </xf>
    <xf numFmtId="171" fontId="23" fillId="0" borderId="0"/>
    <xf numFmtId="171" fontId="173" fillId="0" borderId="0" applyNumberFormat="0" applyFill="0" applyBorder="0" applyAlignment="0" applyProtection="0">
      <alignment vertical="center"/>
    </xf>
    <xf numFmtId="171" fontId="23" fillId="0" borderId="0"/>
    <xf numFmtId="171" fontId="176" fillId="0" borderId="0" applyNumberForma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9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7" fillId="71" borderId="23" applyNumberFormat="0" applyAlignment="0" applyProtection="0">
      <alignment vertical="center"/>
    </xf>
    <xf numFmtId="171" fontId="23" fillId="0" borderId="0"/>
    <xf numFmtId="171" fontId="177" fillId="71" borderId="23" applyNumberFormat="0" applyAlignment="0" applyProtection="0">
      <alignment vertical="center"/>
    </xf>
    <xf numFmtId="171" fontId="177" fillId="71" borderId="23" applyNumberFormat="0" applyAlignment="0" applyProtection="0">
      <alignment vertical="center"/>
    </xf>
    <xf numFmtId="171" fontId="177" fillId="71" borderId="23" applyNumberFormat="0" applyAlignment="0" applyProtection="0">
      <alignment vertical="center"/>
    </xf>
    <xf numFmtId="171" fontId="177" fillId="71" borderId="23" applyNumberFormat="0" applyAlignment="0" applyProtection="0">
      <alignment vertical="center"/>
    </xf>
    <xf numFmtId="171" fontId="23" fillId="0" borderId="0"/>
    <xf numFmtId="171" fontId="177" fillId="71" borderId="23" applyNumberFormat="0" applyAlignment="0" applyProtection="0">
      <alignment vertical="center"/>
    </xf>
    <xf numFmtId="171" fontId="23" fillId="0" borderId="0"/>
    <xf numFmtId="171" fontId="177" fillId="71" borderId="23" applyNumberForma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178" fillId="0" borderId="51" applyNumberFormat="0" applyFill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45" borderId="26" applyNumberFormat="0" applyFont="0" applyAlignment="0" applyProtection="0">
      <alignment vertical="center"/>
    </xf>
    <xf numFmtId="171" fontId="23" fillId="0" borderId="0"/>
    <xf numFmtId="171" fontId="23" fillId="45" borderId="26" applyNumberFormat="0" applyFont="0" applyAlignment="0" applyProtection="0">
      <alignment vertical="center"/>
    </xf>
    <xf numFmtId="171" fontId="23" fillId="0" borderId="0"/>
    <xf numFmtId="171" fontId="23" fillId="45" borderId="26" applyNumberFormat="0" applyFont="0" applyAlignment="0" applyProtection="0">
      <alignment vertical="center"/>
    </xf>
    <xf numFmtId="171" fontId="23" fillId="0" borderId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23" fillId="0" borderId="0" applyFont="0" applyFill="0" applyBorder="0" applyAlignment="0" applyProtection="0"/>
    <xf numFmtId="171" fontId="23" fillId="0" borderId="0"/>
    <xf numFmtId="9" fontId="64" fillId="0" borderId="0" applyFont="0" applyFill="0" applyBorder="0" applyAlignment="0" applyProtection="0"/>
    <xf numFmtId="9" fontId="179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80" fillId="0" borderId="0" applyNumberFormat="0" applyFill="0" applyBorder="0" applyAlignment="0" applyProtection="0">
      <alignment vertical="center"/>
    </xf>
    <xf numFmtId="171" fontId="23" fillId="0" borderId="0"/>
    <xf numFmtId="171" fontId="180" fillId="0" borderId="0" applyNumberFormat="0" applyFill="0" applyBorder="0" applyAlignment="0" applyProtection="0">
      <alignment vertical="center"/>
    </xf>
    <xf numFmtId="171" fontId="180" fillId="0" borderId="0" applyNumberFormat="0" applyFill="0" applyBorder="0" applyAlignment="0" applyProtection="0">
      <alignment vertical="center"/>
    </xf>
    <xf numFmtId="171" fontId="180" fillId="0" borderId="0" applyNumberFormat="0" applyFill="0" applyBorder="0" applyAlignment="0" applyProtection="0">
      <alignment vertical="center"/>
    </xf>
    <xf numFmtId="171" fontId="180" fillId="0" borderId="0" applyNumberFormat="0" applyFill="0" applyBorder="0" applyAlignment="0" applyProtection="0">
      <alignment vertical="center"/>
    </xf>
    <xf numFmtId="171" fontId="23" fillId="0" borderId="0"/>
    <xf numFmtId="171" fontId="180" fillId="0" borderId="0" applyNumberFormat="0" applyFill="0" applyBorder="0" applyAlignment="0" applyProtection="0">
      <alignment vertical="center"/>
    </xf>
    <xf numFmtId="171" fontId="23" fillId="0" borderId="0"/>
    <xf numFmtId="171" fontId="180" fillId="0" borderId="0" applyNumberForma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81" fillId="0" borderId="0" applyNumberFormat="0" applyFill="0" applyBorder="0" applyAlignment="0" applyProtection="0">
      <alignment vertical="center"/>
    </xf>
    <xf numFmtId="171" fontId="23" fillId="0" borderId="0"/>
    <xf numFmtId="171" fontId="181" fillId="0" borderId="0" applyNumberFormat="0" applyFill="0" applyBorder="0" applyAlignment="0" applyProtection="0">
      <alignment vertical="center"/>
    </xf>
    <xf numFmtId="171" fontId="181" fillId="0" borderId="0" applyNumberFormat="0" applyFill="0" applyBorder="0" applyAlignment="0" applyProtection="0">
      <alignment vertical="center"/>
    </xf>
    <xf numFmtId="171" fontId="181" fillId="0" borderId="0" applyNumberFormat="0" applyFill="0" applyBorder="0" applyAlignment="0" applyProtection="0">
      <alignment vertical="center"/>
    </xf>
    <xf numFmtId="171" fontId="181" fillId="0" borderId="0" applyNumberFormat="0" applyFill="0" applyBorder="0" applyAlignment="0" applyProtection="0">
      <alignment vertical="center"/>
    </xf>
    <xf numFmtId="171" fontId="23" fillId="0" borderId="0"/>
    <xf numFmtId="171" fontId="181" fillId="0" borderId="0" applyNumberFormat="0" applyFill="0" applyBorder="0" applyAlignment="0" applyProtection="0">
      <alignment vertical="center"/>
    </xf>
    <xf numFmtId="171" fontId="23" fillId="0" borderId="0"/>
    <xf numFmtId="171" fontId="181" fillId="0" borderId="0" applyNumberFormat="0" applyFill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182" fillId="70" borderId="22" applyNumberForma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67" fontId="23" fillId="0" borderId="0" applyFont="0" applyFill="0" applyBorder="0" applyAlignment="0" applyProtection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22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22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122" fillId="0" borderId="0" applyNumberFormat="0" applyFill="0" applyBorder="0" applyAlignment="0" applyProtection="0">
      <alignment vertical="top"/>
      <protection locked="0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183" fillId="48" borderId="22" applyNumberForma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184" fillId="70" borderId="46" applyNumberFormat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85" fillId="48" borderId="0" applyNumberFormat="0" applyBorder="0" applyAlignment="0" applyProtection="0">
      <alignment vertical="center"/>
    </xf>
    <xf numFmtId="171" fontId="23" fillId="0" borderId="0"/>
    <xf numFmtId="171" fontId="185" fillId="48" borderId="0" applyNumberFormat="0" applyBorder="0" applyAlignment="0" applyProtection="0">
      <alignment vertical="center"/>
    </xf>
    <xf numFmtId="171" fontId="185" fillId="48" borderId="0" applyNumberFormat="0" applyBorder="0" applyAlignment="0" applyProtection="0">
      <alignment vertical="center"/>
    </xf>
    <xf numFmtId="171" fontId="185" fillId="48" borderId="0" applyNumberFormat="0" applyBorder="0" applyAlignment="0" applyProtection="0">
      <alignment vertical="center"/>
    </xf>
    <xf numFmtId="171" fontId="185" fillId="48" borderId="0" applyNumberFormat="0" applyBorder="0" applyAlignment="0" applyProtection="0">
      <alignment vertical="center"/>
    </xf>
    <xf numFmtId="171" fontId="23" fillId="0" borderId="0"/>
    <xf numFmtId="171" fontId="185" fillId="48" borderId="0" applyNumberFormat="0" applyBorder="0" applyAlignment="0" applyProtection="0">
      <alignment vertical="center"/>
    </xf>
    <xf numFmtId="171" fontId="23" fillId="0" borderId="0"/>
    <xf numFmtId="171" fontId="185" fillId="48" borderId="0" applyNumberFormat="0" applyBorder="0" applyAlignment="0" applyProtection="0">
      <alignment vertical="center"/>
    </xf>
    <xf numFmtId="171" fontId="23" fillId="0" borderId="0"/>
    <xf numFmtId="171" fontId="23" fillId="0" borderId="0"/>
    <xf numFmtId="171" fontId="23" fillId="0" borderId="0"/>
    <xf numFmtId="171" fontId="181" fillId="0" borderId="45" applyNumberFormat="0" applyFill="0" applyAlignment="0" applyProtection="0">
      <alignment vertical="center"/>
    </xf>
    <xf numFmtId="171" fontId="23" fillId="0" borderId="0"/>
    <xf numFmtId="171" fontId="181" fillId="0" borderId="45" applyNumberFormat="0" applyFill="0" applyAlignment="0" applyProtection="0">
      <alignment vertical="center"/>
    </xf>
    <xf numFmtId="171" fontId="181" fillId="0" borderId="45" applyNumberFormat="0" applyFill="0" applyAlignment="0" applyProtection="0">
      <alignment vertical="center"/>
    </xf>
    <xf numFmtId="171" fontId="181" fillId="0" borderId="45" applyNumberFormat="0" applyFill="0" applyAlignment="0" applyProtection="0">
      <alignment vertical="center"/>
    </xf>
    <xf numFmtId="171" fontId="181" fillId="0" borderId="45" applyNumberFormat="0" applyFill="0" applyAlignment="0" applyProtection="0">
      <alignment vertical="center"/>
    </xf>
    <xf numFmtId="171" fontId="23" fillId="0" borderId="0"/>
    <xf numFmtId="171" fontId="181" fillId="0" borderId="45" applyNumberFormat="0" applyFill="0" applyAlignment="0" applyProtection="0">
      <alignment vertical="center"/>
    </xf>
    <xf numFmtId="171" fontId="23" fillId="0" borderId="0"/>
    <xf numFmtId="171" fontId="181" fillId="0" borderId="45" applyNumberFormat="0" applyFill="0" applyAlignment="0" applyProtection="0">
      <alignment vertical="center"/>
    </xf>
    <xf numFmtId="0" fontId="186" fillId="0" borderId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0" fontId="23" fillId="0" borderId="0"/>
    <xf numFmtId="243" fontId="23" fillId="0" borderId="0"/>
    <xf numFmtId="242" fontId="23" fillId="0" borderId="0"/>
    <xf numFmtId="242" fontId="23" fillId="0" borderId="0"/>
    <xf numFmtId="242" fontId="23" fillId="0" borderId="0"/>
    <xf numFmtId="243" fontId="29" fillId="0" borderId="0"/>
    <xf numFmtId="243" fontId="29" fillId="0" borderId="0"/>
    <xf numFmtId="242" fontId="29" fillId="0" borderId="0"/>
    <xf numFmtId="242" fontId="29" fillId="0" borderId="0"/>
    <xf numFmtId="243" fontId="29" fillId="0" borderId="0"/>
    <xf numFmtId="243" fontId="29" fillId="0" borderId="0"/>
    <xf numFmtId="243" fontId="29" fillId="0" borderId="0"/>
    <xf numFmtId="243" fontId="29" fillId="0" borderId="0"/>
    <xf numFmtId="243" fontId="29" fillId="0" borderId="0"/>
    <xf numFmtId="243" fontId="29" fillId="0" borderId="0"/>
    <xf numFmtId="242" fontId="29" fillId="0" borderId="0"/>
    <xf numFmtId="242" fontId="23" fillId="0" borderId="0"/>
    <xf numFmtId="242" fontId="23" fillId="0" borderId="0"/>
    <xf numFmtId="242" fontId="29" fillId="0" borderId="0"/>
    <xf numFmtId="242" fontId="29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9" fillId="0" borderId="0"/>
    <xf numFmtId="242" fontId="24" fillId="0" borderId="0" applyNumberFormat="0" applyFill="0" applyBorder="0" applyAlignment="0" applyProtection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9" fillId="0" borderId="0"/>
    <xf numFmtId="242" fontId="29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3" fontId="23" fillId="0" borderId="0"/>
    <xf numFmtId="243" fontId="23" fillId="0" borderId="0"/>
    <xf numFmtId="242" fontId="23" fillId="0" borderId="0"/>
    <xf numFmtId="242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2" fontId="23" fillId="0" borderId="0"/>
    <xf numFmtId="242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3" fontId="23" fillId="0" borderId="0"/>
    <xf numFmtId="243" fontId="23" fillId="0" borderId="0"/>
    <xf numFmtId="242" fontId="23" fillId="0" borderId="0"/>
    <xf numFmtId="242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3" fontId="23" fillId="0" borderId="0"/>
    <xf numFmtId="242" fontId="24" fillId="0" borderId="0" applyNumberFormat="0" applyFill="0" applyBorder="0" applyAlignment="0" applyProtection="0"/>
    <xf numFmtId="242" fontId="23" fillId="0" borderId="0"/>
    <xf numFmtId="242" fontId="23" fillId="0" borderId="0"/>
    <xf numFmtId="242" fontId="29" fillId="0" borderId="0"/>
    <xf numFmtId="242" fontId="29" fillId="0" borderId="0"/>
    <xf numFmtId="242" fontId="29" fillId="0" borderId="0"/>
    <xf numFmtId="242" fontId="29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4" fillId="0" borderId="0" applyNumberFormat="0" applyFill="0" applyBorder="0" applyAlignment="0" applyProtection="0"/>
    <xf numFmtId="242" fontId="29" fillId="0" borderId="0"/>
    <xf numFmtId="242" fontId="24" fillId="0" borderId="0" applyNumberFormat="0" applyFill="0" applyBorder="0" applyAlignment="0" applyProtection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3" fillId="0" borderId="0"/>
    <xf numFmtId="242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9" fillId="0" borderId="0"/>
    <xf numFmtId="243" fontId="29" fillId="0" borderId="0"/>
    <xf numFmtId="242" fontId="29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9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0" fontId="29" fillId="0" borderId="0"/>
    <xf numFmtId="243" fontId="29" fillId="0" borderId="0"/>
    <xf numFmtId="242" fontId="29" fillId="0" borderId="0"/>
    <xf numFmtId="242" fontId="23" fillId="0" borderId="0"/>
    <xf numFmtId="242" fontId="23" fillId="0" borderId="0"/>
    <xf numFmtId="242" fontId="23" fillId="0" borderId="0"/>
    <xf numFmtId="242" fontId="29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9" fillId="0" borderId="0"/>
    <xf numFmtId="242" fontId="29" fillId="0" borderId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3" fillId="0" borderId="0"/>
    <xf numFmtId="242" fontId="23" fillId="0" borderId="0"/>
    <xf numFmtId="243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9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4" fillId="0" borderId="0" applyNumberFormat="0" applyFill="0" applyBorder="0" applyAlignment="0" applyProtection="0"/>
    <xf numFmtId="242" fontId="23" fillId="0" borderId="0"/>
    <xf numFmtId="242" fontId="23" fillId="0" borderId="0"/>
    <xf numFmtId="242" fontId="23" fillId="0" borderId="0"/>
    <xf numFmtId="242" fontId="23" fillId="0" borderId="0"/>
    <xf numFmtId="0" fontId="187" fillId="37" borderId="0" applyNumberFormat="0" applyBorder="0" applyAlignment="0" applyProtection="0"/>
    <xf numFmtId="243" fontId="187" fillId="37" borderId="0" applyNumberFormat="0" applyBorder="0" applyAlignment="0" applyProtection="0"/>
    <xf numFmtId="242" fontId="187" fillId="37" borderId="0" applyNumberFormat="0" applyBorder="0" applyAlignment="0" applyProtection="0"/>
    <xf numFmtId="0" fontId="187" fillId="38" borderId="0" applyNumberFormat="0" applyBorder="0" applyAlignment="0" applyProtection="0"/>
    <xf numFmtId="243" fontId="187" fillId="38" borderId="0" applyNumberFormat="0" applyBorder="0" applyAlignment="0" applyProtection="0"/>
    <xf numFmtId="242" fontId="187" fillId="38" borderId="0" applyNumberFormat="0" applyBorder="0" applyAlignment="0" applyProtection="0"/>
    <xf numFmtId="0" fontId="187" fillId="39" borderId="0" applyNumberFormat="0" applyBorder="0" applyAlignment="0" applyProtection="0"/>
    <xf numFmtId="243" fontId="187" fillId="39" borderId="0" applyNumberFormat="0" applyBorder="0" applyAlignment="0" applyProtection="0"/>
    <xf numFmtId="242" fontId="187" fillId="39" borderId="0" applyNumberFormat="0" applyBorder="0" applyAlignment="0" applyProtection="0"/>
    <xf numFmtId="0" fontId="187" fillId="40" borderId="0" applyNumberFormat="0" applyBorder="0" applyAlignment="0" applyProtection="0"/>
    <xf numFmtId="243" fontId="187" fillId="40" borderId="0" applyNumberFormat="0" applyBorder="0" applyAlignment="0" applyProtection="0"/>
    <xf numFmtId="242" fontId="187" fillId="40" borderId="0" applyNumberFormat="0" applyBorder="0" applyAlignment="0" applyProtection="0"/>
    <xf numFmtId="0" fontId="187" fillId="41" borderId="0" applyNumberFormat="0" applyBorder="0" applyAlignment="0" applyProtection="0"/>
    <xf numFmtId="243" fontId="187" fillId="41" borderId="0" applyNumberFormat="0" applyBorder="0" applyAlignment="0" applyProtection="0"/>
    <xf numFmtId="242" fontId="187" fillId="41" borderId="0" applyNumberFormat="0" applyBorder="0" applyAlignment="0" applyProtection="0"/>
    <xf numFmtId="0" fontId="187" fillId="42" borderId="0" applyNumberFormat="0" applyBorder="0" applyAlignment="0" applyProtection="0"/>
    <xf numFmtId="243" fontId="187" fillId="42" borderId="0" applyNumberFormat="0" applyBorder="0" applyAlignment="0" applyProtection="0"/>
    <xf numFmtId="242" fontId="187" fillId="42" borderId="0" applyNumberFormat="0" applyBorder="0" applyAlignment="0" applyProtection="0"/>
    <xf numFmtId="0" fontId="188" fillId="37" borderId="0" applyNumberFormat="0" applyBorder="0" applyAlignment="0" applyProtection="0">
      <alignment vertical="center"/>
    </xf>
    <xf numFmtId="243" fontId="188" fillId="37" borderId="0" applyNumberFormat="0" applyBorder="0" applyAlignment="0" applyProtection="0">
      <alignment vertical="center"/>
    </xf>
    <xf numFmtId="242" fontId="188" fillId="37" borderId="0" applyNumberFormat="0" applyBorder="0" applyAlignment="0" applyProtection="0">
      <alignment vertical="center"/>
    </xf>
    <xf numFmtId="0" fontId="188" fillId="38" borderId="0" applyNumberFormat="0" applyBorder="0" applyAlignment="0" applyProtection="0">
      <alignment vertical="center"/>
    </xf>
    <xf numFmtId="243" fontId="188" fillId="38" borderId="0" applyNumberFormat="0" applyBorder="0" applyAlignment="0" applyProtection="0">
      <alignment vertical="center"/>
    </xf>
    <xf numFmtId="242" fontId="188" fillId="38" borderId="0" applyNumberFormat="0" applyBorder="0" applyAlignment="0" applyProtection="0">
      <alignment vertical="center"/>
    </xf>
    <xf numFmtId="0" fontId="188" fillId="39" borderId="0" applyNumberFormat="0" applyBorder="0" applyAlignment="0" applyProtection="0">
      <alignment vertical="center"/>
    </xf>
    <xf numFmtId="243" fontId="188" fillId="39" borderId="0" applyNumberFormat="0" applyBorder="0" applyAlignment="0" applyProtection="0">
      <alignment vertical="center"/>
    </xf>
    <xf numFmtId="242" fontId="188" fillId="39" borderId="0" applyNumberFormat="0" applyBorder="0" applyAlignment="0" applyProtection="0">
      <alignment vertical="center"/>
    </xf>
    <xf numFmtId="0" fontId="188" fillId="40" borderId="0" applyNumberFormat="0" applyBorder="0" applyAlignment="0" applyProtection="0">
      <alignment vertical="center"/>
    </xf>
    <xf numFmtId="243" fontId="188" fillId="40" borderId="0" applyNumberFormat="0" applyBorder="0" applyAlignment="0" applyProtection="0">
      <alignment vertical="center"/>
    </xf>
    <xf numFmtId="242" fontId="188" fillId="40" borderId="0" applyNumberFormat="0" applyBorder="0" applyAlignment="0" applyProtection="0">
      <alignment vertical="center"/>
    </xf>
    <xf numFmtId="0" fontId="188" fillId="41" borderId="0" applyNumberFormat="0" applyBorder="0" applyAlignment="0" applyProtection="0">
      <alignment vertical="center"/>
    </xf>
    <xf numFmtId="243" fontId="188" fillId="41" borderId="0" applyNumberFormat="0" applyBorder="0" applyAlignment="0" applyProtection="0">
      <alignment vertical="center"/>
    </xf>
    <xf numFmtId="242" fontId="188" fillId="41" borderId="0" applyNumberFormat="0" applyBorder="0" applyAlignment="0" applyProtection="0">
      <alignment vertical="center"/>
    </xf>
    <xf numFmtId="0" fontId="188" fillId="42" borderId="0" applyNumberFormat="0" applyBorder="0" applyAlignment="0" applyProtection="0">
      <alignment vertical="center"/>
    </xf>
    <xf numFmtId="243" fontId="188" fillId="42" borderId="0" applyNumberFormat="0" applyBorder="0" applyAlignment="0" applyProtection="0">
      <alignment vertical="center"/>
    </xf>
    <xf numFmtId="242" fontId="188" fillId="42" borderId="0" applyNumberFormat="0" applyBorder="0" applyAlignment="0" applyProtection="0">
      <alignment vertical="center"/>
    </xf>
    <xf numFmtId="0" fontId="187" fillId="43" borderId="0" applyNumberFormat="0" applyBorder="0" applyAlignment="0" applyProtection="0"/>
    <xf numFmtId="243" fontId="187" fillId="43" borderId="0" applyNumberFormat="0" applyBorder="0" applyAlignment="0" applyProtection="0"/>
    <xf numFmtId="242" fontId="187" fillId="43" borderId="0" applyNumberFormat="0" applyBorder="0" applyAlignment="0" applyProtection="0"/>
    <xf numFmtId="0" fontId="187" fillId="44" borderId="0" applyNumberFormat="0" applyBorder="0" applyAlignment="0" applyProtection="0"/>
    <xf numFmtId="243" fontId="187" fillId="44" borderId="0" applyNumberFormat="0" applyBorder="0" applyAlignment="0" applyProtection="0"/>
    <xf numFmtId="242" fontId="187" fillId="44" borderId="0" applyNumberFormat="0" applyBorder="0" applyAlignment="0" applyProtection="0"/>
    <xf numFmtId="0" fontId="187" fillId="46" borderId="0" applyNumberFormat="0" applyBorder="0" applyAlignment="0" applyProtection="0"/>
    <xf numFmtId="243" fontId="187" fillId="46" borderId="0" applyNumberFormat="0" applyBorder="0" applyAlignment="0" applyProtection="0"/>
    <xf numFmtId="242" fontId="187" fillId="46" borderId="0" applyNumberFormat="0" applyBorder="0" applyAlignment="0" applyProtection="0"/>
    <xf numFmtId="0" fontId="187" fillId="40" borderId="0" applyNumberFormat="0" applyBorder="0" applyAlignment="0" applyProtection="0"/>
    <xf numFmtId="243" fontId="187" fillId="40" borderId="0" applyNumberFormat="0" applyBorder="0" applyAlignment="0" applyProtection="0"/>
    <xf numFmtId="242" fontId="187" fillId="40" borderId="0" applyNumberFormat="0" applyBorder="0" applyAlignment="0" applyProtection="0"/>
    <xf numFmtId="0" fontId="187" fillId="43" borderId="0" applyNumberFormat="0" applyBorder="0" applyAlignment="0" applyProtection="0"/>
    <xf numFmtId="243" fontId="187" fillId="43" borderId="0" applyNumberFormat="0" applyBorder="0" applyAlignment="0" applyProtection="0"/>
    <xf numFmtId="242" fontId="187" fillId="43" borderId="0" applyNumberFormat="0" applyBorder="0" applyAlignment="0" applyProtection="0"/>
    <xf numFmtId="0" fontId="187" fillId="47" borderId="0" applyNumberFormat="0" applyBorder="0" applyAlignment="0" applyProtection="0"/>
    <xf numFmtId="243" fontId="187" fillId="47" borderId="0" applyNumberFormat="0" applyBorder="0" applyAlignment="0" applyProtection="0"/>
    <xf numFmtId="242" fontId="187" fillId="47" borderId="0" applyNumberFormat="0" applyBorder="0" applyAlignment="0" applyProtection="0"/>
    <xf numFmtId="0" fontId="188" fillId="43" borderId="0" applyNumberFormat="0" applyBorder="0" applyAlignment="0" applyProtection="0">
      <alignment vertical="center"/>
    </xf>
    <xf numFmtId="243" fontId="188" fillId="43" borderId="0" applyNumberFormat="0" applyBorder="0" applyAlignment="0" applyProtection="0">
      <alignment vertical="center"/>
    </xf>
    <xf numFmtId="242" fontId="188" fillId="43" borderId="0" applyNumberFormat="0" applyBorder="0" applyAlignment="0" applyProtection="0">
      <alignment vertical="center"/>
    </xf>
    <xf numFmtId="0" fontId="188" fillId="44" borderId="0" applyNumberFormat="0" applyBorder="0" applyAlignment="0" applyProtection="0">
      <alignment vertical="center"/>
    </xf>
    <xf numFmtId="243" fontId="188" fillId="44" borderId="0" applyNumberFormat="0" applyBorder="0" applyAlignment="0" applyProtection="0">
      <alignment vertical="center"/>
    </xf>
    <xf numFmtId="242" fontId="188" fillId="44" borderId="0" applyNumberFormat="0" applyBorder="0" applyAlignment="0" applyProtection="0">
      <alignment vertical="center"/>
    </xf>
    <xf numFmtId="0" fontId="188" fillId="46" borderId="0" applyNumberFormat="0" applyBorder="0" applyAlignment="0" applyProtection="0">
      <alignment vertical="center"/>
    </xf>
    <xf numFmtId="243" fontId="188" fillId="46" borderId="0" applyNumberFormat="0" applyBorder="0" applyAlignment="0" applyProtection="0">
      <alignment vertical="center"/>
    </xf>
    <xf numFmtId="242" fontId="188" fillId="46" borderId="0" applyNumberFormat="0" applyBorder="0" applyAlignment="0" applyProtection="0">
      <alignment vertical="center"/>
    </xf>
    <xf numFmtId="0" fontId="188" fillId="40" borderId="0" applyNumberFormat="0" applyBorder="0" applyAlignment="0" applyProtection="0">
      <alignment vertical="center"/>
    </xf>
    <xf numFmtId="243" fontId="188" fillId="40" borderId="0" applyNumberFormat="0" applyBorder="0" applyAlignment="0" applyProtection="0">
      <alignment vertical="center"/>
    </xf>
    <xf numFmtId="242" fontId="188" fillId="40" borderId="0" applyNumberFormat="0" applyBorder="0" applyAlignment="0" applyProtection="0">
      <alignment vertical="center"/>
    </xf>
    <xf numFmtId="0" fontId="188" fillId="43" borderId="0" applyNumberFormat="0" applyBorder="0" applyAlignment="0" applyProtection="0">
      <alignment vertical="center"/>
    </xf>
    <xf numFmtId="243" fontId="188" fillId="43" borderId="0" applyNumberFormat="0" applyBorder="0" applyAlignment="0" applyProtection="0">
      <alignment vertical="center"/>
    </xf>
    <xf numFmtId="242" fontId="188" fillId="43" borderId="0" applyNumberFormat="0" applyBorder="0" applyAlignment="0" applyProtection="0">
      <alignment vertical="center"/>
    </xf>
    <xf numFmtId="0" fontId="188" fillId="47" borderId="0" applyNumberFormat="0" applyBorder="0" applyAlignment="0" applyProtection="0">
      <alignment vertical="center"/>
    </xf>
    <xf numFmtId="243" fontId="188" fillId="47" borderId="0" applyNumberFormat="0" applyBorder="0" applyAlignment="0" applyProtection="0">
      <alignment vertical="center"/>
    </xf>
    <xf numFmtId="242" fontId="188" fillId="47" borderId="0" applyNumberFormat="0" applyBorder="0" applyAlignment="0" applyProtection="0">
      <alignment vertical="center"/>
    </xf>
    <xf numFmtId="0" fontId="189" fillId="49" borderId="0" applyNumberFormat="0" applyBorder="0" applyAlignment="0" applyProtection="0"/>
    <xf numFmtId="243" fontId="189" fillId="49" borderId="0" applyNumberFormat="0" applyBorder="0" applyAlignment="0" applyProtection="0"/>
    <xf numFmtId="242" fontId="189" fillId="49" borderId="0" applyNumberFormat="0" applyBorder="0" applyAlignment="0" applyProtection="0"/>
    <xf numFmtId="0" fontId="189" fillId="44" borderId="0" applyNumberFormat="0" applyBorder="0" applyAlignment="0" applyProtection="0"/>
    <xf numFmtId="243" fontId="189" fillId="44" borderId="0" applyNumberFormat="0" applyBorder="0" applyAlignment="0" applyProtection="0"/>
    <xf numFmtId="242" fontId="189" fillId="44" borderId="0" applyNumberFormat="0" applyBorder="0" applyAlignment="0" applyProtection="0"/>
    <xf numFmtId="0" fontId="189" fillId="46" borderId="0" applyNumberFormat="0" applyBorder="0" applyAlignment="0" applyProtection="0"/>
    <xf numFmtId="243" fontId="189" fillId="46" borderId="0" applyNumberFormat="0" applyBorder="0" applyAlignment="0" applyProtection="0"/>
    <xf numFmtId="242" fontId="189" fillId="46" borderId="0" applyNumberFormat="0" applyBorder="0" applyAlignment="0" applyProtection="0"/>
    <xf numFmtId="0" fontId="189" fillId="50" borderId="0" applyNumberFormat="0" applyBorder="0" applyAlignment="0" applyProtection="0"/>
    <xf numFmtId="243" fontId="189" fillId="50" borderId="0" applyNumberFormat="0" applyBorder="0" applyAlignment="0" applyProtection="0"/>
    <xf numFmtId="242" fontId="189" fillId="50" borderId="0" applyNumberFormat="0" applyBorder="0" applyAlignment="0" applyProtection="0"/>
    <xf numFmtId="0" fontId="189" fillId="51" borderId="0" applyNumberFormat="0" applyBorder="0" applyAlignment="0" applyProtection="0"/>
    <xf numFmtId="243" fontId="189" fillId="51" borderId="0" applyNumberFormat="0" applyBorder="0" applyAlignment="0" applyProtection="0"/>
    <xf numFmtId="242" fontId="189" fillId="51" borderId="0" applyNumberFormat="0" applyBorder="0" applyAlignment="0" applyProtection="0"/>
    <xf numFmtId="0" fontId="189" fillId="52" borderId="0" applyNumberFormat="0" applyBorder="0" applyAlignment="0" applyProtection="0"/>
    <xf numFmtId="243" fontId="189" fillId="52" borderId="0" applyNumberFormat="0" applyBorder="0" applyAlignment="0" applyProtection="0"/>
    <xf numFmtId="242" fontId="189" fillId="52" borderId="0" applyNumberFormat="0" applyBorder="0" applyAlignment="0" applyProtection="0"/>
    <xf numFmtId="0" fontId="190" fillId="49" borderId="0" applyNumberFormat="0" applyBorder="0" applyAlignment="0" applyProtection="0">
      <alignment vertical="center"/>
    </xf>
    <xf numFmtId="243" fontId="190" fillId="49" borderId="0" applyNumberFormat="0" applyBorder="0" applyAlignment="0" applyProtection="0">
      <alignment vertical="center"/>
    </xf>
    <xf numFmtId="242" fontId="190" fillId="49" borderId="0" applyNumberFormat="0" applyBorder="0" applyAlignment="0" applyProtection="0">
      <alignment vertical="center"/>
    </xf>
    <xf numFmtId="0" fontId="190" fillId="44" borderId="0" applyNumberFormat="0" applyBorder="0" applyAlignment="0" applyProtection="0">
      <alignment vertical="center"/>
    </xf>
    <xf numFmtId="243" fontId="190" fillId="44" borderId="0" applyNumberFormat="0" applyBorder="0" applyAlignment="0" applyProtection="0">
      <alignment vertical="center"/>
    </xf>
    <xf numFmtId="242" fontId="190" fillId="44" borderId="0" applyNumberFormat="0" applyBorder="0" applyAlignment="0" applyProtection="0">
      <alignment vertical="center"/>
    </xf>
    <xf numFmtId="0" fontId="190" fillId="46" borderId="0" applyNumberFormat="0" applyBorder="0" applyAlignment="0" applyProtection="0">
      <alignment vertical="center"/>
    </xf>
    <xf numFmtId="243" fontId="190" fillId="46" borderId="0" applyNumberFormat="0" applyBorder="0" applyAlignment="0" applyProtection="0">
      <alignment vertical="center"/>
    </xf>
    <xf numFmtId="242" fontId="190" fillId="46" borderId="0" applyNumberFormat="0" applyBorder="0" applyAlignment="0" applyProtection="0">
      <alignment vertical="center"/>
    </xf>
    <xf numFmtId="0" fontId="190" fillId="50" borderId="0" applyNumberFormat="0" applyBorder="0" applyAlignment="0" applyProtection="0">
      <alignment vertical="center"/>
    </xf>
    <xf numFmtId="243" fontId="190" fillId="50" borderId="0" applyNumberFormat="0" applyBorder="0" applyAlignment="0" applyProtection="0">
      <alignment vertical="center"/>
    </xf>
    <xf numFmtId="242" fontId="190" fillId="50" borderId="0" applyNumberFormat="0" applyBorder="0" applyAlignment="0" applyProtection="0">
      <alignment vertical="center"/>
    </xf>
    <xf numFmtId="0" fontId="190" fillId="51" borderId="0" applyNumberFormat="0" applyBorder="0" applyAlignment="0" applyProtection="0">
      <alignment vertical="center"/>
    </xf>
    <xf numFmtId="243" fontId="190" fillId="51" borderId="0" applyNumberFormat="0" applyBorder="0" applyAlignment="0" applyProtection="0">
      <alignment vertical="center"/>
    </xf>
    <xf numFmtId="242" fontId="190" fillId="51" borderId="0" applyNumberFormat="0" applyBorder="0" applyAlignment="0" applyProtection="0">
      <alignment vertical="center"/>
    </xf>
    <xf numFmtId="0" fontId="190" fillId="52" borderId="0" applyNumberFormat="0" applyBorder="0" applyAlignment="0" applyProtection="0">
      <alignment vertical="center"/>
    </xf>
    <xf numFmtId="243" fontId="190" fillId="52" borderId="0" applyNumberFormat="0" applyBorder="0" applyAlignment="0" applyProtection="0">
      <alignment vertical="center"/>
    </xf>
    <xf numFmtId="242" fontId="190" fillId="52" borderId="0" applyNumberFormat="0" applyBorder="0" applyAlignment="0" applyProtection="0">
      <alignment vertical="center"/>
    </xf>
    <xf numFmtId="0" fontId="189" fillId="56" borderId="0" applyNumberFormat="0" applyBorder="0" applyAlignment="0" applyProtection="0"/>
    <xf numFmtId="243" fontId="189" fillId="56" borderId="0" applyNumberFormat="0" applyBorder="0" applyAlignment="0" applyProtection="0"/>
    <xf numFmtId="242" fontId="189" fillId="56" borderId="0" applyNumberFormat="0" applyBorder="0" applyAlignment="0" applyProtection="0"/>
    <xf numFmtId="0" fontId="189" fillId="61" borderId="0" applyNumberFormat="0" applyBorder="0" applyAlignment="0" applyProtection="0"/>
    <xf numFmtId="243" fontId="189" fillId="61" borderId="0" applyNumberFormat="0" applyBorder="0" applyAlignment="0" applyProtection="0"/>
    <xf numFmtId="242" fontId="189" fillId="61" borderId="0" applyNumberFormat="0" applyBorder="0" applyAlignment="0" applyProtection="0"/>
    <xf numFmtId="0" fontId="189" fillId="63" borderId="0" applyNumberFormat="0" applyBorder="0" applyAlignment="0" applyProtection="0"/>
    <xf numFmtId="243" fontId="189" fillId="63" borderId="0" applyNumberFormat="0" applyBorder="0" applyAlignment="0" applyProtection="0"/>
    <xf numFmtId="242" fontId="189" fillId="63" borderId="0" applyNumberFormat="0" applyBorder="0" applyAlignment="0" applyProtection="0"/>
    <xf numFmtId="0" fontId="189" fillId="50" borderId="0" applyNumberFormat="0" applyBorder="0" applyAlignment="0" applyProtection="0"/>
    <xf numFmtId="243" fontId="189" fillId="50" borderId="0" applyNumberFormat="0" applyBorder="0" applyAlignment="0" applyProtection="0"/>
    <xf numFmtId="242" fontId="189" fillId="50" borderId="0" applyNumberFormat="0" applyBorder="0" applyAlignment="0" applyProtection="0"/>
    <xf numFmtId="0" fontId="189" fillId="51" borderId="0" applyNumberFormat="0" applyBorder="0" applyAlignment="0" applyProtection="0"/>
    <xf numFmtId="243" fontId="189" fillId="51" borderId="0" applyNumberFormat="0" applyBorder="0" applyAlignment="0" applyProtection="0"/>
    <xf numFmtId="242" fontId="189" fillId="51" borderId="0" applyNumberFormat="0" applyBorder="0" applyAlignment="0" applyProtection="0"/>
    <xf numFmtId="0" fontId="189" fillId="53" borderId="0" applyNumberFormat="0" applyBorder="0" applyAlignment="0" applyProtection="0"/>
    <xf numFmtId="243" fontId="189" fillId="53" borderId="0" applyNumberFormat="0" applyBorder="0" applyAlignment="0" applyProtection="0"/>
    <xf numFmtId="242" fontId="189" fillId="53" borderId="0" applyNumberFormat="0" applyBorder="0" applyAlignment="0" applyProtection="0"/>
    <xf numFmtId="165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91" fillId="42" borderId="22" applyNumberFormat="0" applyAlignment="0" applyProtection="0"/>
    <xf numFmtId="243" fontId="191" fillId="42" borderId="22" applyNumberFormat="0" applyAlignment="0" applyProtection="0"/>
    <xf numFmtId="242" fontId="191" fillId="42" borderId="22" applyNumberFormat="0" applyAlignment="0" applyProtection="0"/>
    <xf numFmtId="0" fontId="192" fillId="69" borderId="46" applyNumberFormat="0" applyAlignment="0" applyProtection="0"/>
    <xf numFmtId="243" fontId="192" fillId="69" borderId="46" applyNumberFormat="0" applyAlignment="0" applyProtection="0"/>
    <xf numFmtId="242" fontId="192" fillId="69" borderId="46" applyNumberFormat="0" applyAlignment="0" applyProtection="0"/>
    <xf numFmtId="0" fontId="193" fillId="39" borderId="0" applyNumberFormat="0" applyBorder="0" applyAlignment="0" applyProtection="0"/>
    <xf numFmtId="243" fontId="193" fillId="39" borderId="0" applyNumberFormat="0" applyBorder="0" applyAlignment="0" applyProtection="0"/>
    <xf numFmtId="242" fontId="193" fillId="39" borderId="0" applyNumberFormat="0" applyBorder="0" applyAlignment="0" applyProtection="0"/>
    <xf numFmtId="243" fontId="122" fillId="0" borderId="0" applyNumberFormat="0" applyFill="0" applyBorder="0" applyAlignment="0" applyProtection="0">
      <alignment vertical="top"/>
      <protection locked="0"/>
    </xf>
    <xf numFmtId="242" fontId="122" fillId="0" borderId="0" applyNumberFormat="0" applyFill="0" applyBorder="0" applyAlignment="0" applyProtection="0">
      <alignment vertical="top"/>
      <protection locked="0"/>
    </xf>
    <xf numFmtId="0" fontId="194" fillId="0" borderId="24" applyNumberFormat="0" applyFill="0" applyAlignment="0" applyProtection="0"/>
    <xf numFmtId="243" fontId="194" fillId="0" borderId="24" applyNumberFormat="0" applyFill="0" applyAlignment="0" applyProtection="0"/>
    <xf numFmtId="242" fontId="194" fillId="0" borderId="24" applyNumberFormat="0" applyFill="0" applyAlignment="0" applyProtection="0"/>
    <xf numFmtId="0" fontId="195" fillId="71" borderId="23" applyNumberFormat="0" applyAlignment="0" applyProtection="0"/>
    <xf numFmtId="243" fontId="195" fillId="71" borderId="23" applyNumberFormat="0" applyAlignment="0" applyProtection="0"/>
    <xf numFmtId="242" fontId="195" fillId="71" borderId="23" applyNumberFormat="0" applyAlignment="0" applyProtection="0"/>
    <xf numFmtId="0" fontId="196" fillId="0" borderId="37" applyNumberFormat="0" applyFill="0" applyAlignment="0" applyProtection="0"/>
    <xf numFmtId="243" fontId="196" fillId="0" borderId="37" applyNumberFormat="0" applyFill="0" applyAlignment="0" applyProtection="0"/>
    <xf numFmtId="242" fontId="196" fillId="0" borderId="37" applyNumberFormat="0" applyFill="0" applyAlignment="0" applyProtection="0"/>
    <xf numFmtId="0" fontId="197" fillId="0" borderId="39" applyNumberFormat="0" applyFill="0" applyAlignment="0" applyProtection="0"/>
    <xf numFmtId="243" fontId="197" fillId="0" borderId="39" applyNumberFormat="0" applyFill="0" applyAlignment="0" applyProtection="0"/>
    <xf numFmtId="242" fontId="197" fillId="0" borderId="39" applyNumberFormat="0" applyFill="0" applyAlignment="0" applyProtection="0"/>
    <xf numFmtId="0" fontId="198" fillId="0" borderId="41" applyNumberFormat="0" applyFill="0" applyAlignment="0" applyProtection="0"/>
    <xf numFmtId="243" fontId="198" fillId="0" borderId="41" applyNumberFormat="0" applyFill="0" applyAlignment="0" applyProtection="0"/>
    <xf numFmtId="242" fontId="198" fillId="0" borderId="41" applyNumberFormat="0" applyFill="0" applyAlignment="0" applyProtection="0"/>
    <xf numFmtId="0" fontId="198" fillId="0" borderId="0" applyNumberFormat="0" applyFill="0" applyBorder="0" applyAlignment="0" applyProtection="0"/>
    <xf numFmtId="243" fontId="198" fillId="0" borderId="0" applyNumberFormat="0" applyFill="0" applyBorder="0" applyAlignment="0" applyProtection="0"/>
    <xf numFmtId="242" fontId="198" fillId="0" borderId="0" applyNumberFormat="0" applyFill="0" applyBorder="0" applyAlignment="0" applyProtection="0"/>
    <xf numFmtId="0" fontId="199" fillId="48" borderId="0" applyNumberFormat="0" applyBorder="0" applyAlignment="0" applyProtection="0"/>
    <xf numFmtId="243" fontId="199" fillId="48" borderId="0" applyNumberFormat="0" applyBorder="0" applyAlignment="0" applyProtection="0"/>
    <xf numFmtId="242" fontId="199" fillId="48" borderId="0" applyNumberFormat="0" applyBorder="0" applyAlignment="0" applyProtection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3" fillId="0" borderId="0"/>
    <xf numFmtId="242" fontId="23" fillId="0" borderId="0"/>
    <xf numFmtId="243" fontId="23" fillId="0" borderId="0"/>
    <xf numFmtId="242" fontId="23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2" fontId="23" fillId="0" borderId="0"/>
    <xf numFmtId="242" fontId="23" fillId="0" borderId="0"/>
    <xf numFmtId="242" fontId="34" fillId="0" borderId="0"/>
    <xf numFmtId="242" fontId="34" fillId="0" borderId="0"/>
    <xf numFmtId="243" fontId="34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34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2" fontId="200" fillId="0" borderId="0">
      <alignment vertical="center"/>
    </xf>
    <xf numFmtId="242" fontId="200" fillId="0" borderId="0">
      <alignment vertical="center"/>
    </xf>
    <xf numFmtId="242" fontId="23" fillId="0" borderId="0"/>
    <xf numFmtId="242" fontId="34" fillId="0" borderId="0"/>
    <xf numFmtId="242" fontId="200" fillId="0" borderId="0">
      <alignment vertical="center"/>
    </xf>
    <xf numFmtId="242" fontId="200" fillId="0" borderId="0">
      <alignment vertical="center"/>
    </xf>
    <xf numFmtId="242" fontId="200" fillId="0" borderId="0">
      <alignment vertical="center"/>
    </xf>
    <xf numFmtId="242" fontId="200" fillId="0" borderId="0">
      <alignment vertical="center"/>
    </xf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2" fontId="34" fillId="0" borderId="0"/>
    <xf numFmtId="243" fontId="34" fillId="0" borderId="0"/>
    <xf numFmtId="242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34" fillId="0" borderId="0"/>
    <xf numFmtId="242" fontId="34" fillId="0" borderId="0"/>
    <xf numFmtId="243" fontId="200" fillId="0" borderId="0">
      <alignment vertical="center"/>
    </xf>
    <xf numFmtId="242" fontId="200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3" fontId="200" fillId="0" borderId="0">
      <alignment vertical="center"/>
    </xf>
    <xf numFmtId="242" fontId="200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3" fontId="34" fillId="0" borderId="0">
      <alignment vertical="center"/>
    </xf>
    <xf numFmtId="242" fontId="34" fillId="0" borderId="0">
      <alignment vertical="center"/>
    </xf>
    <xf numFmtId="243" fontId="34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2" fontId="34" fillId="0" borderId="0">
      <alignment vertical="center"/>
    </xf>
    <xf numFmtId="242" fontId="34" fillId="0" borderId="0"/>
    <xf numFmtId="242" fontId="34" fillId="0" borderId="0"/>
    <xf numFmtId="242" fontId="63" fillId="0" borderId="0">
      <alignment vertical="center"/>
    </xf>
    <xf numFmtId="242" fontId="63" fillId="0" borderId="0">
      <alignment vertical="center"/>
    </xf>
    <xf numFmtId="242" fontId="63" fillId="0" borderId="0">
      <alignment vertical="center"/>
    </xf>
    <xf numFmtId="242" fontId="63" fillId="0" borderId="0">
      <alignment vertical="center"/>
    </xf>
    <xf numFmtId="242" fontId="63" fillId="0" borderId="0">
      <alignment vertical="center"/>
    </xf>
    <xf numFmtId="242" fontId="63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2" fontId="63" fillId="0" borderId="0">
      <alignment vertical="center"/>
    </xf>
    <xf numFmtId="243" fontId="63" fillId="0" borderId="0">
      <alignment vertical="center"/>
    </xf>
    <xf numFmtId="243" fontId="63" fillId="0" borderId="0">
      <alignment vertical="center"/>
    </xf>
    <xf numFmtId="0" fontId="23" fillId="0" borderId="0"/>
    <xf numFmtId="243" fontId="23" fillId="0" borderId="0"/>
    <xf numFmtId="242" fontId="23" fillId="0" borderId="0"/>
    <xf numFmtId="0" fontId="23" fillId="0" borderId="0"/>
    <xf numFmtId="243" fontId="23" fillId="0" borderId="0"/>
    <xf numFmtId="242" fontId="23" fillId="0" borderId="0"/>
    <xf numFmtId="243" fontId="34" fillId="0" borderId="0"/>
    <xf numFmtId="242" fontId="34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3" fillId="0" borderId="0"/>
    <xf numFmtId="242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3" fillId="0" borderId="0"/>
    <xf numFmtId="243" fontId="34" fillId="0" borderId="0"/>
    <xf numFmtId="242" fontId="34" fillId="0" borderId="0"/>
    <xf numFmtId="242" fontId="63" fillId="0" borderId="0">
      <alignment vertical="center"/>
    </xf>
    <xf numFmtId="242" fontId="200" fillId="0" borderId="0"/>
    <xf numFmtId="242" fontId="200" fillId="0" borderId="0">
      <alignment vertical="center"/>
    </xf>
    <xf numFmtId="242" fontId="63" fillId="0" borderId="0">
      <alignment vertical="center"/>
    </xf>
    <xf numFmtId="243" fontId="63" fillId="0" borderId="0">
      <alignment vertical="center"/>
    </xf>
    <xf numFmtId="242" fontId="63" fillId="0" borderId="0">
      <alignment vertical="center"/>
    </xf>
    <xf numFmtId="242" fontId="200" fillId="0" borderId="0">
      <alignment vertical="center"/>
    </xf>
    <xf numFmtId="242" fontId="63" fillId="0" borderId="0">
      <alignment vertical="center"/>
    </xf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3" fontId="200" fillId="0" borderId="0">
      <alignment vertical="center"/>
    </xf>
    <xf numFmtId="242" fontId="200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3" fontId="200" fillId="0" borderId="0">
      <alignment vertical="center"/>
    </xf>
    <xf numFmtId="242" fontId="200" fillId="0" borderId="0">
      <alignment vertical="center"/>
    </xf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3" fontId="200" fillId="0" borderId="0">
      <alignment vertical="center"/>
    </xf>
    <xf numFmtId="242" fontId="200" fillId="0" borderId="0">
      <alignment vertical="center"/>
    </xf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2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2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0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243" fontId="4" fillId="0" borderId="0"/>
    <xf numFmtId="243" fontId="4" fillId="0" borderId="0"/>
    <xf numFmtId="243" fontId="4" fillId="0" borderId="0"/>
    <xf numFmtId="242" fontId="4" fillId="0" borderId="0"/>
    <xf numFmtId="0" fontId="4" fillId="0" borderId="0"/>
    <xf numFmtId="0" fontId="4" fillId="0" borderId="0"/>
    <xf numFmtId="243" fontId="4" fillId="0" borderId="0"/>
    <xf numFmtId="243" fontId="4" fillId="0" borderId="0"/>
    <xf numFmtId="0" fontId="201" fillId="69" borderId="22" applyNumberFormat="0" applyAlignment="0" applyProtection="0"/>
    <xf numFmtId="243" fontId="201" fillId="69" borderId="22" applyNumberFormat="0" applyAlignment="0" applyProtection="0"/>
    <xf numFmtId="242" fontId="201" fillId="69" borderId="22" applyNumberFormat="0" applyAlignment="0" applyProtection="0"/>
    <xf numFmtId="9" fontId="23" fillId="0" borderId="0" applyFont="0" applyFill="0" applyBorder="0" applyAlignment="0" applyProtection="0"/>
    <xf numFmtId="9" fontId="179" fillId="0" borderId="0" applyFont="0" applyFill="0" applyBorder="0" applyAlignment="0" applyProtection="0"/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0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0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2" fontId="23" fillId="97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0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0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2" fontId="23" fillId="98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0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0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2" fontId="23" fillId="72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0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2" fontId="23" fillId="84" borderId="46" applyNumberFormat="0" applyProtection="0">
      <alignment horizontal="left" vertical="center" indent="1"/>
    </xf>
    <xf numFmtId="243" fontId="154" fillId="0" borderId="0"/>
    <xf numFmtId="242" fontId="154" fillId="0" borderId="0"/>
    <xf numFmtId="242" fontId="29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3" fontId="23" fillId="0" borderId="0"/>
    <xf numFmtId="242" fontId="23" fillId="0" borderId="0"/>
    <xf numFmtId="242" fontId="29" fillId="0" borderId="0"/>
    <xf numFmtId="243" fontId="29" fillId="0" borderId="0"/>
    <xf numFmtId="0" fontId="202" fillId="0" borderId="53" applyNumberFormat="0" applyFill="0" applyAlignment="0" applyProtection="0"/>
    <xf numFmtId="243" fontId="202" fillId="0" borderId="53" applyNumberFormat="0" applyFill="0" applyAlignment="0" applyProtection="0"/>
    <xf numFmtId="242" fontId="202" fillId="0" borderId="53" applyNumberFormat="0" applyFill="0" applyAlignment="0" applyProtection="0"/>
    <xf numFmtId="0" fontId="203" fillId="0" borderId="0" applyNumberFormat="0" applyFill="0" applyBorder="0" applyAlignment="0" applyProtection="0"/>
    <xf numFmtId="243" fontId="203" fillId="0" borderId="0" applyNumberFormat="0" applyFill="0" applyBorder="0" applyAlignment="0" applyProtection="0"/>
    <xf numFmtId="242" fontId="203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243" fontId="204" fillId="0" borderId="0" applyNumberFormat="0" applyFill="0" applyBorder="0" applyAlignment="0" applyProtection="0"/>
    <xf numFmtId="242" fontId="204" fillId="0" borderId="0" applyNumberFormat="0" applyFill="0" applyBorder="0" applyAlignment="0" applyProtection="0"/>
    <xf numFmtId="0" fontId="205" fillId="0" borderId="0" applyNumberFormat="0" applyFill="0" applyBorder="0" applyAlignment="0" applyProtection="0"/>
    <xf numFmtId="243" fontId="205" fillId="0" borderId="0" applyNumberFormat="0" applyFill="0" applyBorder="0" applyAlignment="0" applyProtection="0"/>
    <xf numFmtId="242" fontId="205" fillId="0" borderId="0" applyNumberFormat="0" applyFill="0" applyBorder="0" applyAlignment="0" applyProtection="0"/>
    <xf numFmtId="0" fontId="34" fillId="45" borderId="26" applyNumberFormat="0" applyFont="0" applyAlignment="0" applyProtection="0"/>
    <xf numFmtId="243" fontId="34" fillId="45" borderId="26" applyNumberFormat="0" applyFont="0" applyAlignment="0" applyProtection="0"/>
    <xf numFmtId="242" fontId="34" fillId="45" borderId="26" applyNumberFormat="0" applyFont="0" applyAlignment="0" applyProtection="0"/>
    <xf numFmtId="0" fontId="206" fillId="38" borderId="0" applyNumberFormat="0" applyBorder="0" applyAlignment="0" applyProtection="0"/>
    <xf numFmtId="243" fontId="206" fillId="38" borderId="0" applyNumberFormat="0" applyBorder="0" applyAlignment="0" applyProtection="0"/>
    <xf numFmtId="242" fontId="206" fillId="38" borderId="0" applyNumberFormat="0" applyBorder="0" applyAlignment="0" applyProtection="0"/>
    <xf numFmtId="0" fontId="190" fillId="56" borderId="0" applyNumberFormat="0" applyBorder="0" applyAlignment="0" applyProtection="0">
      <alignment vertical="center"/>
    </xf>
    <xf numFmtId="243" fontId="190" fillId="56" borderId="0" applyNumberFormat="0" applyBorder="0" applyAlignment="0" applyProtection="0">
      <alignment vertical="center"/>
    </xf>
    <xf numFmtId="242" fontId="190" fillId="56" borderId="0" applyNumberFormat="0" applyBorder="0" applyAlignment="0" applyProtection="0">
      <alignment vertical="center"/>
    </xf>
    <xf numFmtId="0" fontId="190" fillId="61" borderId="0" applyNumberFormat="0" applyBorder="0" applyAlignment="0" applyProtection="0">
      <alignment vertical="center"/>
    </xf>
    <xf numFmtId="243" fontId="190" fillId="61" borderId="0" applyNumberFormat="0" applyBorder="0" applyAlignment="0" applyProtection="0">
      <alignment vertical="center"/>
    </xf>
    <xf numFmtId="242" fontId="190" fillId="61" borderId="0" applyNumberFormat="0" applyBorder="0" applyAlignment="0" applyProtection="0">
      <alignment vertical="center"/>
    </xf>
    <xf numFmtId="0" fontId="190" fillId="63" borderId="0" applyNumberFormat="0" applyBorder="0" applyAlignment="0" applyProtection="0">
      <alignment vertical="center"/>
    </xf>
    <xf numFmtId="243" fontId="190" fillId="63" borderId="0" applyNumberFormat="0" applyBorder="0" applyAlignment="0" applyProtection="0">
      <alignment vertical="center"/>
    </xf>
    <xf numFmtId="242" fontId="190" fillId="63" borderId="0" applyNumberFormat="0" applyBorder="0" applyAlignment="0" applyProtection="0">
      <alignment vertical="center"/>
    </xf>
    <xf numFmtId="0" fontId="190" fillId="50" borderId="0" applyNumberFormat="0" applyBorder="0" applyAlignment="0" applyProtection="0">
      <alignment vertical="center"/>
    </xf>
    <xf numFmtId="243" fontId="190" fillId="50" borderId="0" applyNumberFormat="0" applyBorder="0" applyAlignment="0" applyProtection="0">
      <alignment vertical="center"/>
    </xf>
    <xf numFmtId="242" fontId="190" fillId="50" borderId="0" applyNumberFormat="0" applyBorder="0" applyAlignment="0" applyProtection="0">
      <alignment vertical="center"/>
    </xf>
    <xf numFmtId="0" fontId="190" fillId="51" borderId="0" applyNumberFormat="0" applyBorder="0" applyAlignment="0" applyProtection="0">
      <alignment vertical="center"/>
    </xf>
    <xf numFmtId="243" fontId="190" fillId="51" borderId="0" applyNumberFormat="0" applyBorder="0" applyAlignment="0" applyProtection="0">
      <alignment vertical="center"/>
    </xf>
    <xf numFmtId="242" fontId="190" fillId="51" borderId="0" applyNumberFormat="0" applyBorder="0" applyAlignment="0" applyProtection="0">
      <alignment vertical="center"/>
    </xf>
    <xf numFmtId="0" fontId="190" fillId="53" borderId="0" applyNumberFormat="0" applyBorder="0" applyAlignment="0" applyProtection="0">
      <alignment vertical="center"/>
    </xf>
    <xf numFmtId="243" fontId="190" fillId="53" borderId="0" applyNumberFormat="0" applyBorder="0" applyAlignment="0" applyProtection="0">
      <alignment vertical="center"/>
    </xf>
    <xf numFmtId="242" fontId="190" fillId="53" borderId="0" applyNumberFormat="0" applyBorder="0" applyAlignment="0" applyProtection="0">
      <alignment vertical="center"/>
    </xf>
    <xf numFmtId="0" fontId="207" fillId="0" borderId="0" applyNumberFormat="0" applyFill="0" applyBorder="0" applyAlignment="0" applyProtection="0">
      <alignment vertical="center"/>
    </xf>
    <xf numFmtId="243" fontId="207" fillId="0" borderId="0" applyNumberFormat="0" applyFill="0" applyBorder="0" applyAlignment="0" applyProtection="0">
      <alignment vertical="center"/>
    </xf>
    <xf numFmtId="242" fontId="207" fillId="0" borderId="0" applyNumberFormat="0" applyFill="0" applyBorder="0" applyAlignment="0" applyProtection="0">
      <alignment vertical="center"/>
    </xf>
    <xf numFmtId="0" fontId="208" fillId="69" borderId="22" applyNumberFormat="0" applyAlignment="0" applyProtection="0">
      <alignment vertical="center"/>
    </xf>
    <xf numFmtId="243" fontId="208" fillId="69" borderId="22" applyNumberFormat="0" applyAlignment="0" applyProtection="0">
      <alignment vertical="center"/>
    </xf>
    <xf numFmtId="242" fontId="208" fillId="69" borderId="22" applyNumberFormat="0" applyAlignment="0" applyProtection="0">
      <alignment vertical="center"/>
    </xf>
    <xf numFmtId="0" fontId="209" fillId="38" borderId="0" applyNumberFormat="0" applyBorder="0" applyAlignment="0" applyProtection="0">
      <alignment vertical="center"/>
    </xf>
    <xf numFmtId="243" fontId="209" fillId="38" borderId="0" applyNumberFormat="0" applyBorder="0" applyAlignment="0" applyProtection="0">
      <alignment vertical="center"/>
    </xf>
    <xf numFmtId="242" fontId="209" fillId="38" borderId="0" applyNumberFormat="0" applyBorder="0" applyAlignment="0" applyProtection="0">
      <alignment vertical="center"/>
    </xf>
    <xf numFmtId="0" fontId="188" fillId="45" borderId="26" applyNumberFormat="0" applyFont="0" applyAlignment="0" applyProtection="0">
      <alignment vertical="center"/>
    </xf>
    <xf numFmtId="243" fontId="188" fillId="45" borderId="26" applyNumberFormat="0" applyFont="0" applyAlignment="0" applyProtection="0">
      <alignment vertical="center"/>
    </xf>
    <xf numFmtId="242" fontId="188" fillId="45" borderId="26" applyNumberFormat="0" applyFont="0" applyAlignment="0" applyProtection="0">
      <alignment vertical="center"/>
    </xf>
    <xf numFmtId="0" fontId="210" fillId="48" borderId="0" applyNumberFormat="0" applyBorder="0" applyAlignment="0" applyProtection="0">
      <alignment vertical="center"/>
    </xf>
    <xf numFmtId="243" fontId="210" fillId="48" borderId="0" applyNumberFormat="0" applyBorder="0" applyAlignment="0" applyProtection="0">
      <alignment vertical="center"/>
    </xf>
    <xf numFmtId="242" fontId="210" fillId="48" borderId="0" applyNumberFormat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43" fontId="211" fillId="0" borderId="0" applyNumberFormat="0" applyFill="0" applyBorder="0" applyAlignment="0" applyProtection="0">
      <alignment vertical="center"/>
    </xf>
    <xf numFmtId="242" fontId="211" fillId="0" borderId="0" applyNumberFormat="0" applyFill="0" applyBorder="0" applyAlignment="0" applyProtection="0">
      <alignment vertical="center"/>
    </xf>
    <xf numFmtId="0" fontId="212" fillId="71" borderId="23" applyNumberFormat="0" applyAlignment="0" applyProtection="0">
      <alignment vertical="center"/>
    </xf>
    <xf numFmtId="243" fontId="212" fillId="71" borderId="23" applyNumberFormat="0" applyAlignment="0" applyProtection="0">
      <alignment vertical="center"/>
    </xf>
    <xf numFmtId="242" fontId="212" fillId="71" borderId="23" applyNumberFormat="0" applyAlignment="0" applyProtection="0">
      <alignment vertical="center"/>
    </xf>
    <xf numFmtId="0" fontId="213" fillId="0" borderId="24" applyNumberFormat="0" applyFill="0" applyAlignment="0" applyProtection="0">
      <alignment vertical="center"/>
    </xf>
    <xf numFmtId="243" fontId="213" fillId="0" borderId="24" applyNumberFormat="0" applyFill="0" applyAlignment="0" applyProtection="0">
      <alignment vertical="center"/>
    </xf>
    <xf numFmtId="242" fontId="213" fillId="0" borderId="24" applyNumberFormat="0" applyFill="0" applyAlignment="0" applyProtection="0">
      <alignment vertical="center"/>
    </xf>
    <xf numFmtId="0" fontId="214" fillId="0" borderId="53" applyNumberFormat="0" applyFill="0" applyAlignment="0" applyProtection="0">
      <alignment vertical="center"/>
    </xf>
    <xf numFmtId="243" fontId="214" fillId="0" borderId="53" applyNumberFormat="0" applyFill="0" applyAlignment="0" applyProtection="0">
      <alignment vertical="center"/>
    </xf>
    <xf numFmtId="242" fontId="214" fillId="0" borderId="53" applyNumberFormat="0" applyFill="0" applyAlignment="0" applyProtection="0">
      <alignment vertical="center"/>
    </xf>
    <xf numFmtId="0" fontId="215" fillId="42" borderId="22" applyNumberFormat="0" applyAlignment="0" applyProtection="0">
      <alignment vertical="center"/>
    </xf>
    <xf numFmtId="243" fontId="215" fillId="42" borderId="22" applyNumberFormat="0" applyAlignment="0" applyProtection="0">
      <alignment vertical="center"/>
    </xf>
    <xf numFmtId="242" fontId="215" fillId="42" borderId="22" applyNumberFormat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7" fillId="0" borderId="37" applyNumberFormat="0" applyFill="0" applyAlignment="0" applyProtection="0">
      <alignment vertical="center"/>
    </xf>
    <xf numFmtId="243" fontId="217" fillId="0" borderId="37" applyNumberFormat="0" applyFill="0" applyAlignment="0" applyProtection="0">
      <alignment vertical="center"/>
    </xf>
    <xf numFmtId="242" fontId="217" fillId="0" borderId="37" applyNumberFormat="0" applyFill="0" applyAlignment="0" applyProtection="0">
      <alignment vertical="center"/>
    </xf>
    <xf numFmtId="0" fontId="218" fillId="0" borderId="39" applyNumberFormat="0" applyFill="0" applyAlignment="0" applyProtection="0">
      <alignment vertical="center"/>
    </xf>
    <xf numFmtId="243" fontId="218" fillId="0" borderId="39" applyNumberFormat="0" applyFill="0" applyAlignment="0" applyProtection="0">
      <alignment vertical="center"/>
    </xf>
    <xf numFmtId="242" fontId="218" fillId="0" borderId="39" applyNumberFormat="0" applyFill="0" applyAlignment="0" applyProtection="0">
      <alignment vertical="center"/>
    </xf>
    <xf numFmtId="0" fontId="219" fillId="0" borderId="41" applyNumberFormat="0" applyFill="0" applyAlignment="0" applyProtection="0">
      <alignment vertical="center"/>
    </xf>
    <xf numFmtId="243" fontId="219" fillId="0" borderId="41" applyNumberFormat="0" applyFill="0" applyAlignment="0" applyProtection="0">
      <alignment vertical="center"/>
    </xf>
    <xf numFmtId="242" fontId="219" fillId="0" borderId="41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243" fontId="219" fillId="0" borderId="0" applyNumberFormat="0" applyFill="0" applyBorder="0" applyAlignment="0" applyProtection="0">
      <alignment vertical="center"/>
    </xf>
    <xf numFmtId="242" fontId="219" fillId="0" borderId="0" applyNumberFormat="0" applyFill="0" applyBorder="0" applyAlignment="0" applyProtection="0">
      <alignment vertical="center"/>
    </xf>
    <xf numFmtId="243" fontId="216" fillId="0" borderId="0" applyNumberFormat="0" applyFill="0" applyBorder="0" applyAlignment="0" applyProtection="0">
      <alignment vertical="center"/>
    </xf>
    <xf numFmtId="242" fontId="216" fillId="0" borderId="0" applyNumberFormat="0" applyFill="0" applyBorder="0" applyAlignment="0" applyProtection="0">
      <alignment vertical="center"/>
    </xf>
    <xf numFmtId="0" fontId="220" fillId="39" borderId="0" applyNumberFormat="0" applyBorder="0" applyAlignment="0" applyProtection="0">
      <alignment vertical="center"/>
    </xf>
    <xf numFmtId="243" fontId="220" fillId="39" borderId="0" applyNumberFormat="0" applyBorder="0" applyAlignment="0" applyProtection="0">
      <alignment vertical="center"/>
    </xf>
    <xf numFmtId="242" fontId="220" fillId="39" borderId="0" applyNumberFormat="0" applyBorder="0" applyAlignment="0" applyProtection="0">
      <alignment vertical="center"/>
    </xf>
    <xf numFmtId="0" fontId="221" fillId="69" borderId="46" applyNumberFormat="0" applyAlignment="0" applyProtection="0">
      <alignment vertical="center"/>
    </xf>
    <xf numFmtId="243" fontId="221" fillId="69" borderId="46" applyNumberFormat="0" applyAlignment="0" applyProtection="0">
      <alignment vertical="center"/>
    </xf>
    <xf numFmtId="242" fontId="221" fillId="69" borderId="46" applyNumberFormat="0" applyAlignment="0" applyProtection="0">
      <alignment vertical="center"/>
    </xf>
    <xf numFmtId="0" fontId="188" fillId="0" borderId="0">
      <alignment vertical="center"/>
    </xf>
    <xf numFmtId="243" fontId="188" fillId="0" borderId="0">
      <alignment vertical="center"/>
    </xf>
    <xf numFmtId="242" fontId="188" fillId="0" borderId="0">
      <alignment vertical="center"/>
    </xf>
    <xf numFmtId="244" fontId="23" fillId="0" borderId="0" applyFont="0" applyFill="0" applyBorder="0" applyAlignment="0" applyProtection="0"/>
    <xf numFmtId="244" fontId="23" fillId="0" borderId="0" applyFont="0" applyFill="0" applyBorder="0" applyAlignment="0" applyProtection="0"/>
    <xf numFmtId="244" fontId="23" fillId="0" borderId="0" applyFont="0" applyFill="0" applyBorder="0" applyAlignment="0" applyProtection="0"/>
    <xf numFmtId="244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69" fillId="41" borderId="0" applyNumberFormat="0" applyBorder="0" applyAlignment="0" applyProtection="0">
      <alignment vertical="center"/>
    </xf>
    <xf numFmtId="243" fontId="169" fillId="41" borderId="0" applyNumberFormat="0" applyBorder="0" applyAlignment="0" applyProtection="0">
      <alignment vertical="center"/>
    </xf>
    <xf numFmtId="24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51" fillId="39" borderId="0" applyNumberFormat="0" applyBorder="0" applyAlignment="0" applyProtection="0">
      <alignment vertical="center"/>
    </xf>
    <xf numFmtId="243" fontId="51" fillId="39" borderId="0" applyNumberFormat="0" applyBorder="0" applyAlignment="0" applyProtection="0">
      <alignment vertical="center"/>
    </xf>
    <xf numFmtId="242" fontId="51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43" fontId="169" fillId="41" borderId="0" applyNumberFormat="0" applyBorder="0" applyAlignment="0" applyProtection="0">
      <alignment vertical="center"/>
    </xf>
    <xf numFmtId="242" fontId="169" fillId="41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43" fontId="169" fillId="41" borderId="0" applyNumberFormat="0" applyBorder="0" applyAlignment="0" applyProtection="0">
      <alignment vertical="center"/>
    </xf>
    <xf numFmtId="24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43" fontId="169" fillId="41" borderId="0" applyNumberFormat="0" applyBorder="0" applyAlignment="0" applyProtection="0">
      <alignment vertical="center"/>
    </xf>
    <xf numFmtId="24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41" borderId="0" applyNumberFormat="0" applyBorder="0" applyAlignment="0" applyProtection="0">
      <alignment vertical="center"/>
    </xf>
    <xf numFmtId="243" fontId="169" fillId="41" borderId="0" applyNumberFormat="0" applyBorder="0" applyAlignment="0" applyProtection="0">
      <alignment vertical="center"/>
    </xf>
    <xf numFmtId="242" fontId="169" fillId="41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69" fillId="39" borderId="0" applyNumberFormat="0" applyBorder="0" applyAlignment="0" applyProtection="0">
      <alignment vertical="center"/>
    </xf>
    <xf numFmtId="243" fontId="169" fillId="39" borderId="0" applyNumberFormat="0" applyBorder="0" applyAlignment="0" applyProtection="0">
      <alignment vertical="center"/>
    </xf>
    <xf numFmtId="242" fontId="169" fillId="39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43" fontId="170" fillId="40" borderId="0" applyNumberFormat="0" applyBorder="0" applyAlignment="0" applyProtection="0">
      <alignment vertical="center"/>
    </xf>
    <xf numFmtId="24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243" fontId="45" fillId="38" borderId="0" applyNumberFormat="0" applyBorder="0" applyAlignment="0" applyProtection="0">
      <alignment vertical="center"/>
    </xf>
    <xf numFmtId="242" fontId="45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43" fontId="170" fillId="40" borderId="0" applyNumberFormat="0" applyBorder="0" applyAlignment="0" applyProtection="0">
      <alignment vertical="center"/>
    </xf>
    <xf numFmtId="242" fontId="170" fillId="40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43" fontId="170" fillId="40" borderId="0" applyNumberFormat="0" applyBorder="0" applyAlignment="0" applyProtection="0">
      <alignment vertical="center"/>
    </xf>
    <xf numFmtId="24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43" fontId="170" fillId="40" borderId="0" applyNumberFormat="0" applyBorder="0" applyAlignment="0" applyProtection="0">
      <alignment vertical="center"/>
    </xf>
    <xf numFmtId="24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40" borderId="0" applyNumberFormat="0" applyBorder="0" applyAlignment="0" applyProtection="0">
      <alignment vertical="center"/>
    </xf>
    <xf numFmtId="243" fontId="170" fillId="40" borderId="0" applyNumberFormat="0" applyBorder="0" applyAlignment="0" applyProtection="0">
      <alignment vertical="center"/>
    </xf>
    <xf numFmtId="242" fontId="170" fillId="40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0" fontId="170" fillId="38" borderId="0" applyNumberFormat="0" applyBorder="0" applyAlignment="0" applyProtection="0">
      <alignment vertical="center"/>
    </xf>
    <xf numFmtId="243" fontId="170" fillId="38" borderId="0" applyNumberFormat="0" applyBorder="0" applyAlignment="0" applyProtection="0">
      <alignment vertical="center"/>
    </xf>
    <xf numFmtId="242" fontId="170" fillId="38" borderId="0" applyNumberFormat="0" applyBorder="0" applyAlignment="0" applyProtection="0">
      <alignment vertical="center"/>
    </xf>
    <xf numFmtId="242" fontId="23" fillId="0" borderId="0"/>
    <xf numFmtId="243" fontId="64" fillId="0" borderId="0"/>
    <xf numFmtId="242" fontId="64" fillId="0" borderId="0"/>
    <xf numFmtId="243" fontId="200" fillId="0" borderId="0"/>
    <xf numFmtId="242" fontId="200" fillId="0" borderId="0"/>
    <xf numFmtId="0" fontId="34" fillId="0" borderId="0">
      <alignment vertical="center"/>
    </xf>
    <xf numFmtId="243" fontId="34" fillId="0" borderId="0">
      <alignment vertical="center"/>
    </xf>
    <xf numFmtId="242" fontId="34" fillId="0" borderId="0">
      <alignment vertical="center"/>
    </xf>
    <xf numFmtId="243" fontId="29" fillId="0" borderId="0"/>
    <xf numFmtId="242" fontId="29" fillId="0" borderId="0"/>
    <xf numFmtId="242" fontId="23" fillId="0" borderId="0"/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0" fontId="23" fillId="45" borderId="26" applyNumberFormat="0" applyFont="0" applyAlignment="0" applyProtection="0">
      <alignment vertical="center"/>
    </xf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243" fontId="23" fillId="45" borderId="26" applyNumberFormat="0" applyFont="0" applyAlignment="0" applyProtection="0">
      <alignment vertical="center"/>
    </xf>
    <xf numFmtId="242" fontId="23" fillId="45" borderId="26" applyNumberFormat="0" applyFont="0" applyAlignment="0" applyProtection="0">
      <alignment vertical="center"/>
    </xf>
    <xf numFmtId="9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0" fontId="52" fillId="0" borderId="0"/>
    <xf numFmtId="0" fontId="34" fillId="0" borderId="0"/>
    <xf numFmtId="0" fontId="119" fillId="0" borderId="0" applyNumberFormat="0" applyFill="0" applyBorder="0" applyAlignment="0" applyProtection="0"/>
    <xf numFmtId="228" fontId="34" fillId="0" borderId="0"/>
  </cellStyleXfs>
  <cellXfs count="242">
    <xf numFmtId="0" fontId="0" fillId="0" borderId="0" xfId="0"/>
    <xf numFmtId="0" fontId="22" fillId="33" borderId="10" xfId="0" applyFont="1" applyFill="1" applyBorder="1" applyAlignment="1">
      <alignment horizontal="left" vertical="center"/>
    </xf>
    <xf numFmtId="0" fontId="223" fillId="35" borderId="10" xfId="0" applyFont="1" applyFill="1" applyBorder="1"/>
    <xf numFmtId="206" fontId="22" fillId="33" borderId="10" xfId="1" applyNumberFormat="1" applyFont="1" applyFill="1" applyBorder="1" applyAlignment="1">
      <alignment horizontal="left" vertical="center"/>
    </xf>
    <xf numFmtId="168" fontId="22" fillId="33" borderId="14" xfId="1" applyFont="1" applyFill="1" applyBorder="1" applyAlignment="1">
      <alignment horizontal="left" vertical="center"/>
    </xf>
    <xf numFmtId="168" fontId="22" fillId="33" borderId="10" xfId="1" applyFont="1" applyFill="1" applyBorder="1" applyAlignment="1">
      <alignment horizontal="left" vertical="center"/>
    </xf>
    <xf numFmtId="0" fontId="22" fillId="33" borderId="10" xfId="1" applyNumberFormat="1" applyFont="1" applyFill="1" applyBorder="1" applyAlignment="1">
      <alignment horizontal="left" vertical="center"/>
    </xf>
    <xf numFmtId="0" fontId="3" fillId="0" borderId="0" xfId="0" applyFont="1"/>
    <xf numFmtId="206" fontId="3" fillId="0" borderId="0" xfId="1" applyNumberFormat="1" applyFont="1"/>
    <xf numFmtId="168" fontId="3" fillId="0" borderId="10" xfId="1" applyFont="1" applyBorder="1"/>
    <xf numFmtId="168" fontId="3" fillId="0" borderId="0" xfId="1" applyFont="1" applyBorder="1" applyAlignment="1">
      <alignment horizontal="right"/>
    </xf>
    <xf numFmtId="0" fontId="3" fillId="0" borderId="0" xfId="1" applyNumberFormat="1" applyFont="1"/>
    <xf numFmtId="0" fontId="3" fillId="0" borderId="54" xfId="0" applyFont="1" applyBorder="1"/>
    <xf numFmtId="168" fontId="3" fillId="0" borderId="11" xfId="1" applyFont="1" applyBorder="1"/>
    <xf numFmtId="168" fontId="3" fillId="0" borderId="0" xfId="1" applyFont="1" applyBorder="1"/>
    <xf numFmtId="0" fontId="3" fillId="0" borderId="10" xfId="0" applyFont="1" applyBorder="1"/>
    <xf numFmtId="0" fontId="3" fillId="34" borderId="10" xfId="0" applyFont="1" applyFill="1" applyBorder="1"/>
    <xf numFmtId="168" fontId="3" fillId="0" borderId="14" xfId="1" applyFont="1" applyBorder="1"/>
    <xf numFmtId="0" fontId="3" fillId="35" borderId="54" xfId="0" applyFont="1" applyFill="1" applyBorder="1" applyAlignment="1">
      <alignment vertical="center"/>
    </xf>
    <xf numFmtId="206" fontId="3" fillId="0" borderId="0" xfId="0" applyNumberFormat="1" applyFont="1"/>
    <xf numFmtId="0" fontId="3" fillId="0" borderId="14" xfId="0" applyFont="1" applyBorder="1"/>
    <xf numFmtId="168" fontId="3" fillId="0" borderId="0" xfId="1" applyFont="1"/>
    <xf numFmtId="0" fontId="229" fillId="35" borderId="56" xfId="19749" applyFont="1" applyFill="1" applyBorder="1" applyAlignment="1" applyProtection="1">
      <alignment vertical="center"/>
      <protection locked="0"/>
    </xf>
    <xf numFmtId="0" fontId="229" fillId="35" borderId="57" xfId="19749" applyFont="1" applyFill="1" applyBorder="1" applyAlignment="1" applyProtection="1">
      <alignment horizontal="center" vertical="center"/>
      <protection locked="0"/>
    </xf>
    <xf numFmtId="0" fontId="229" fillId="35" borderId="58" xfId="19749" applyFont="1" applyFill="1" applyBorder="1" applyAlignment="1" applyProtection="1">
      <alignment horizontal="center" vertical="center"/>
      <protection locked="0"/>
    </xf>
    <xf numFmtId="0" fontId="229" fillId="35" borderId="59" xfId="19749" applyFont="1" applyFill="1" applyBorder="1" applyAlignment="1" applyProtection="1">
      <alignment horizontal="left" vertical="center"/>
      <protection locked="0"/>
    </xf>
    <xf numFmtId="14" fontId="230" fillId="35" borderId="56" xfId="19749" applyNumberFormat="1" applyFont="1" applyFill="1" applyBorder="1" applyAlignment="1" applyProtection="1">
      <alignment horizontal="center" vertical="center"/>
      <protection locked="0"/>
    </xf>
    <xf numFmtId="0" fontId="230" fillId="35" borderId="56" xfId="19749" applyFont="1" applyFill="1" applyBorder="1" applyAlignment="1" applyProtection="1">
      <alignment horizontal="center" vertical="center"/>
      <protection locked="0"/>
    </xf>
    <xf numFmtId="0" fontId="231" fillId="35" borderId="60" xfId="19749" applyFont="1" applyFill="1" applyBorder="1" applyAlignment="1" applyProtection="1">
      <alignment horizontal="center" vertical="center"/>
      <protection locked="0"/>
    </xf>
    <xf numFmtId="0" fontId="230" fillId="35" borderId="10" xfId="19749" applyFont="1" applyFill="1" applyBorder="1" applyAlignment="1" applyProtection="1">
      <alignment horizontal="center" vertical="center"/>
      <protection locked="0"/>
    </xf>
    <xf numFmtId="14" fontId="230" fillId="35" borderId="55" xfId="19749" applyNumberFormat="1" applyFont="1" applyFill="1" applyBorder="1" applyAlignment="1" applyProtection="1">
      <alignment vertical="center"/>
      <protection locked="0"/>
    </xf>
    <xf numFmtId="14" fontId="230" fillId="35" borderId="10" xfId="19749" applyNumberFormat="1" applyFont="1" applyFill="1" applyBorder="1" applyAlignment="1" applyProtection="1">
      <alignment horizontal="center" vertical="center"/>
      <protection locked="0"/>
    </xf>
    <xf numFmtId="0" fontId="231" fillId="35" borderId="61" xfId="19749" applyFont="1" applyFill="1" applyBorder="1" applyAlignment="1" applyProtection="1">
      <alignment horizontal="center" vertical="center"/>
      <protection locked="0"/>
    </xf>
    <xf numFmtId="0" fontId="230" fillId="35" borderId="63" xfId="19749" applyFont="1" applyFill="1" applyBorder="1" applyAlignment="1" applyProtection="1">
      <alignment horizontal="center" vertical="center"/>
      <protection locked="0"/>
    </xf>
    <xf numFmtId="0" fontId="230" fillId="35" borderId="63" xfId="19749" applyFont="1" applyFill="1" applyBorder="1" applyAlignment="1" applyProtection="1">
      <alignment horizontal="left" vertical="center"/>
      <protection locked="0"/>
    </xf>
    <xf numFmtId="0" fontId="230" fillId="35" borderId="63" xfId="19749" applyFont="1" applyFill="1" applyBorder="1" applyAlignment="1" applyProtection="1">
      <alignment horizontal="left"/>
      <protection locked="0"/>
    </xf>
    <xf numFmtId="170" fontId="230" fillId="35" borderId="63" xfId="19749" applyNumberFormat="1" applyFont="1" applyFill="1" applyBorder="1" applyAlignment="1" applyProtection="1">
      <alignment horizontal="center" vertical="center"/>
      <protection locked="0"/>
    </xf>
    <xf numFmtId="0" fontId="230" fillId="35" borderId="64" xfId="19749" applyFont="1" applyFill="1" applyBorder="1" applyAlignment="1" applyProtection="1">
      <alignment horizontal="center" vertical="center"/>
      <protection locked="0"/>
    </xf>
    <xf numFmtId="0" fontId="233" fillId="36" borderId="70" xfId="19749" applyFont="1" applyFill="1" applyBorder="1" applyAlignment="1" applyProtection="1">
      <alignment horizontal="center" vertical="center"/>
      <protection locked="0"/>
    </xf>
    <xf numFmtId="0" fontId="230" fillId="36" borderId="56" xfId="19749" applyFont="1" applyFill="1" applyBorder="1" applyAlignment="1" applyProtection="1">
      <alignment horizontal="center" vertical="center"/>
      <protection locked="0"/>
    </xf>
    <xf numFmtId="0" fontId="230" fillId="36" borderId="56" xfId="19749" applyFont="1" applyFill="1" applyBorder="1" applyAlignment="1" applyProtection="1">
      <alignment horizontal="center" vertical="center" wrapText="1"/>
      <protection locked="0"/>
    </xf>
    <xf numFmtId="170" fontId="230" fillId="36" borderId="56" xfId="19749" applyNumberFormat="1" applyFont="1" applyFill="1" applyBorder="1" applyAlignment="1" applyProtection="1">
      <alignment horizontal="right" vertical="center"/>
      <protection locked="0"/>
    </xf>
    <xf numFmtId="170" fontId="230" fillId="36" borderId="60" xfId="19749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center" vertical="center"/>
    </xf>
    <xf numFmtId="0" fontId="233" fillId="36" borderId="71" xfId="19749" applyFont="1" applyFill="1" applyBorder="1" applyAlignment="1" applyProtection="1">
      <alignment horizontal="center" vertical="center"/>
      <protection locked="0"/>
    </xf>
    <xf numFmtId="0" fontId="230" fillId="36" borderId="14" xfId="19749" applyFont="1" applyFill="1" applyBorder="1" applyAlignment="1" applyProtection="1">
      <alignment horizontal="center" vertical="center"/>
      <protection locked="0"/>
    </xf>
    <xf numFmtId="0" fontId="230" fillId="36" borderId="14" xfId="19749" applyFont="1" applyFill="1" applyBorder="1" applyAlignment="1" applyProtection="1">
      <alignment horizontal="center" vertical="center" wrapText="1"/>
      <protection locked="0"/>
    </xf>
    <xf numFmtId="170" fontId="230" fillId="36" borderId="14" xfId="19749" applyNumberFormat="1" applyFont="1" applyFill="1" applyBorder="1" applyAlignment="1" applyProtection="1">
      <alignment horizontal="right" vertical="center"/>
      <protection locked="0"/>
    </xf>
    <xf numFmtId="170" fontId="230" fillId="36" borderId="65" xfId="19749" applyNumberFormat="1" applyFont="1" applyFill="1" applyBorder="1" applyAlignment="1" applyProtection="1">
      <alignment horizontal="right" vertical="center"/>
      <protection locked="0"/>
    </xf>
    <xf numFmtId="0" fontId="233" fillId="36" borderId="72" xfId="19749" applyFont="1" applyFill="1" applyBorder="1" applyAlignment="1" applyProtection="1">
      <alignment horizontal="center" vertical="center"/>
      <protection locked="0"/>
    </xf>
    <xf numFmtId="0" fontId="230" fillId="36" borderId="66" xfId="19749" applyFont="1" applyFill="1" applyBorder="1" applyAlignment="1" applyProtection="1">
      <alignment horizontal="center" vertical="center"/>
      <protection locked="0"/>
    </xf>
    <xf numFmtId="0" fontId="230" fillId="36" borderId="66" xfId="19749" applyFont="1" applyFill="1" applyBorder="1" applyAlignment="1" applyProtection="1">
      <alignment horizontal="center" vertical="center" wrapText="1"/>
      <protection locked="0"/>
    </xf>
    <xf numFmtId="170" fontId="230" fillId="36" borderId="66" xfId="19749" applyNumberFormat="1" applyFont="1" applyFill="1" applyBorder="1" applyAlignment="1" applyProtection="1">
      <alignment horizontal="right" vertical="center"/>
      <protection locked="0"/>
    </xf>
    <xf numFmtId="170" fontId="230" fillId="36" borderId="67" xfId="19749" applyNumberFormat="1" applyFont="1" applyFill="1" applyBorder="1" applyAlignment="1" applyProtection="1">
      <alignment horizontal="right" vertical="center"/>
      <protection locked="0"/>
    </xf>
    <xf numFmtId="0" fontId="229" fillId="36" borderId="13" xfId="19749" applyFont="1" applyFill="1" applyBorder="1" applyAlignment="1">
      <alignment horizontal="left" vertical="center"/>
    </xf>
    <xf numFmtId="0" fontId="229" fillId="36" borderId="25" xfId="19749" applyFont="1" applyFill="1" applyBorder="1" applyAlignment="1">
      <alignment horizontal="left" vertical="center"/>
    </xf>
    <xf numFmtId="0" fontId="234" fillId="36" borderId="25" xfId="19749" applyFont="1" applyFill="1" applyBorder="1" applyAlignment="1">
      <alignment horizontal="left" vertical="center" wrapText="1"/>
    </xf>
    <xf numFmtId="0" fontId="234" fillId="36" borderId="25" xfId="19749" applyFont="1" applyFill="1" applyBorder="1" applyAlignment="1">
      <alignment horizontal="left" vertical="center"/>
    </xf>
    <xf numFmtId="0" fontId="229" fillId="36" borderId="13" xfId="19749" applyFont="1" applyFill="1" applyBorder="1" applyAlignment="1" applyProtection="1">
      <alignment horizontal="left" vertical="center"/>
      <protection locked="0"/>
    </xf>
    <xf numFmtId="0" fontId="229" fillId="36" borderId="68" xfId="19749" applyFont="1" applyFill="1" applyBorder="1" applyAlignment="1" applyProtection="1">
      <alignment horizontal="right" vertical="center"/>
      <protection locked="0"/>
    </xf>
    <xf numFmtId="170" fontId="235" fillId="36" borderId="68" xfId="1" applyNumberFormat="1" applyFont="1" applyFill="1" applyBorder="1" applyAlignment="1" applyProtection="1">
      <alignment horizontal="right" vertical="center"/>
      <protection locked="0"/>
    </xf>
    <xf numFmtId="0" fontId="229" fillId="36" borderId="25" xfId="19749" applyFont="1" applyFill="1" applyBorder="1" applyAlignment="1" applyProtection="1">
      <alignment horizontal="right" vertical="center"/>
      <protection locked="0"/>
    </xf>
    <xf numFmtId="0" fontId="229" fillId="36" borderId="0" xfId="19749" applyFont="1" applyFill="1" applyAlignment="1">
      <alignment horizontal="left" vertical="center"/>
    </xf>
    <xf numFmtId="0" fontId="229" fillId="36" borderId="0" xfId="19749" applyFont="1" applyFill="1" applyAlignment="1">
      <alignment horizontal="center" vertical="center"/>
    </xf>
    <xf numFmtId="0" fontId="229" fillId="36" borderId="0" xfId="19749" applyFont="1" applyFill="1" applyAlignment="1">
      <alignment vertical="center" wrapText="1"/>
    </xf>
    <xf numFmtId="0" fontId="229" fillId="36" borderId="0" xfId="19749" applyFont="1" applyFill="1" applyAlignment="1">
      <alignment vertical="center"/>
    </xf>
    <xf numFmtId="0" fontId="229" fillId="36" borderId="0" xfId="19749" applyFont="1" applyFill="1" applyAlignment="1" applyProtection="1">
      <alignment vertical="center"/>
      <protection locked="0"/>
    </xf>
    <xf numFmtId="0" fontId="229" fillId="36" borderId="0" xfId="19749" applyFont="1" applyFill="1" applyAlignment="1" applyProtection="1">
      <alignment horizontal="left"/>
      <protection locked="0"/>
    </xf>
    <xf numFmtId="170" fontId="229" fillId="36" borderId="0" xfId="19749" applyNumberFormat="1" applyFont="1" applyFill="1" applyAlignment="1" applyProtection="1">
      <alignment horizontal="right" vertical="center"/>
      <protection locked="0"/>
    </xf>
    <xf numFmtId="0" fontId="229" fillId="36" borderId="20" xfId="19749" applyFont="1" applyFill="1" applyBorder="1" applyAlignment="1">
      <alignment horizontal="center" vertical="center"/>
    </xf>
    <xf numFmtId="0" fontId="229" fillId="36" borderId="20" xfId="19749" applyFont="1" applyFill="1" applyBorder="1" applyAlignment="1">
      <alignment vertical="center" wrapText="1"/>
    </xf>
    <xf numFmtId="0" fontId="229" fillId="36" borderId="20" xfId="19749" applyFont="1" applyFill="1" applyBorder="1" applyAlignment="1">
      <alignment vertical="center"/>
    </xf>
    <xf numFmtId="0" fontId="229" fillId="36" borderId="20" xfId="19749" applyFont="1" applyFill="1" applyBorder="1" applyAlignment="1" applyProtection="1">
      <alignment vertical="center"/>
      <protection locked="0"/>
    </xf>
    <xf numFmtId="0" fontId="229" fillId="36" borderId="20" xfId="19749" applyFont="1" applyFill="1" applyBorder="1" applyAlignment="1" applyProtection="1">
      <alignment horizontal="left"/>
      <protection locked="0"/>
    </xf>
    <xf numFmtId="170" fontId="229" fillId="36" borderId="20" xfId="19749" applyNumberFormat="1" applyFont="1" applyFill="1" applyBorder="1" applyAlignment="1" applyProtection="1">
      <alignment horizontal="right" vertical="center"/>
      <protection locked="0"/>
    </xf>
    <xf numFmtId="0" fontId="236" fillId="36" borderId="0" xfId="19749" applyFont="1" applyFill="1" applyAlignment="1">
      <alignment vertical="center"/>
    </xf>
    <xf numFmtId="0" fontId="236" fillId="36" borderId="0" xfId="19749" applyFont="1" applyFill="1" applyAlignment="1">
      <alignment vertical="center" wrapText="1"/>
    </xf>
    <xf numFmtId="0" fontId="237" fillId="36" borderId="0" xfId="19749" applyFont="1" applyFill="1" applyAlignment="1">
      <alignment horizontal="center" vertical="center"/>
    </xf>
    <xf numFmtId="0" fontId="237" fillId="36" borderId="0" xfId="19749" applyFont="1" applyFill="1" applyAlignment="1">
      <alignment vertical="center"/>
    </xf>
    <xf numFmtId="0" fontId="233" fillId="36" borderId="0" xfId="19749" applyFont="1" applyFill="1" applyAlignment="1">
      <alignment vertical="center"/>
    </xf>
    <xf numFmtId="0" fontId="233" fillId="36" borderId="0" xfId="19749" applyFont="1" applyFill="1" applyAlignment="1" applyProtection="1">
      <alignment horizontal="center" vertical="center"/>
      <protection locked="0"/>
    </xf>
    <xf numFmtId="170" fontId="3" fillId="0" borderId="0" xfId="0" applyNumberFormat="1" applyFont="1" applyAlignment="1">
      <alignment horizontal="right"/>
    </xf>
    <xf numFmtId="0" fontId="3" fillId="0" borderId="0" xfId="0" applyFont="1" applyAlignment="1">
      <alignment horizontal="left"/>
    </xf>
    <xf numFmtId="0" fontId="2" fillId="34" borderId="10" xfId="0" applyFont="1" applyFill="1" applyBorder="1" applyAlignment="1">
      <alignment horizontal="left" vertical="center"/>
    </xf>
    <xf numFmtId="206" fontId="2" fillId="0" borderId="10" xfId="1" applyNumberFormat="1" applyFont="1" applyBorder="1" applyAlignment="1">
      <alignment horizontal="center"/>
    </xf>
    <xf numFmtId="206" fontId="2" fillId="0" borderId="10" xfId="1" applyNumberFormat="1" applyFont="1" applyBorder="1" applyAlignment="1">
      <alignment horizontal="left"/>
    </xf>
    <xf numFmtId="0" fontId="2" fillId="34" borderId="10" xfId="0" applyFont="1" applyFill="1" applyBorder="1"/>
    <xf numFmtId="0" fontId="230" fillId="35" borderId="36" xfId="1" applyNumberFormat="1" applyFont="1" applyFill="1" applyBorder="1" applyAlignment="1" applyProtection="1">
      <alignment vertical="center"/>
      <protection locked="0"/>
    </xf>
    <xf numFmtId="0" fontId="230" fillId="35" borderId="63" xfId="1" applyNumberFormat="1" applyFont="1" applyFill="1" applyBorder="1" applyAlignment="1" applyProtection="1">
      <alignment horizontal="center" vertical="center"/>
      <protection locked="0"/>
    </xf>
    <xf numFmtId="0" fontId="230" fillId="36" borderId="56" xfId="1" applyNumberFormat="1" applyFont="1" applyFill="1" applyBorder="1" applyAlignment="1" applyProtection="1">
      <alignment horizontal="center" vertical="center"/>
      <protection locked="0"/>
    </xf>
    <xf numFmtId="0" fontId="230" fillId="36" borderId="14" xfId="1" applyNumberFormat="1" applyFont="1" applyFill="1" applyBorder="1" applyAlignment="1" applyProtection="1">
      <alignment horizontal="center" vertical="center"/>
      <protection locked="0"/>
    </xf>
    <xf numFmtId="0" fontId="230" fillId="36" borderId="66" xfId="1" applyNumberFormat="1" applyFont="1" applyFill="1" applyBorder="1" applyAlignment="1" applyProtection="1">
      <alignment horizontal="center" vertical="center"/>
      <protection locked="0"/>
    </xf>
    <xf numFmtId="0" fontId="229" fillId="36" borderId="25" xfId="1" applyNumberFormat="1" applyFont="1" applyFill="1" applyBorder="1" applyAlignment="1" applyProtection="1">
      <alignment horizontal="left" vertical="center"/>
    </xf>
    <xf numFmtId="0" fontId="229" fillId="36" borderId="0" xfId="1" applyNumberFormat="1" applyFont="1" applyFill="1" applyBorder="1" applyAlignment="1" applyProtection="1">
      <alignment vertical="center"/>
    </xf>
    <xf numFmtId="0" fontId="229" fillId="36" borderId="20" xfId="1" applyNumberFormat="1" applyFont="1" applyFill="1" applyBorder="1" applyAlignment="1" applyProtection="1">
      <alignment vertical="center"/>
    </xf>
    <xf numFmtId="0" fontId="237" fillId="36" borderId="0" xfId="1" applyNumberFormat="1" applyFont="1" applyFill="1" applyBorder="1" applyAlignment="1" applyProtection="1">
      <alignment horizontal="center" vertical="center"/>
    </xf>
    <xf numFmtId="169" fontId="230" fillId="35" borderId="63" xfId="1" applyNumberFormat="1" applyFont="1" applyFill="1" applyBorder="1" applyAlignment="1" applyProtection="1">
      <alignment horizontal="center" vertical="center"/>
      <protection locked="0"/>
    </xf>
    <xf numFmtId="169" fontId="230" fillId="36" borderId="56" xfId="1" applyNumberFormat="1" applyFont="1" applyFill="1" applyBorder="1" applyAlignment="1" applyProtection="1">
      <alignment horizontal="center" vertical="center"/>
      <protection locked="0"/>
    </xf>
    <xf numFmtId="169" fontId="230" fillId="36" borderId="14" xfId="1" applyNumberFormat="1" applyFont="1" applyFill="1" applyBorder="1" applyAlignment="1" applyProtection="1">
      <alignment horizontal="center" vertical="center"/>
      <protection locked="0"/>
    </xf>
    <xf numFmtId="169" fontId="230" fillId="36" borderId="66" xfId="1" applyNumberFormat="1" applyFont="1" applyFill="1" applyBorder="1" applyAlignment="1" applyProtection="1">
      <alignment horizontal="center" vertical="center"/>
      <protection locked="0"/>
    </xf>
    <xf numFmtId="169" fontId="229" fillId="36" borderId="25" xfId="1" applyNumberFormat="1" applyFont="1" applyFill="1" applyBorder="1" applyAlignment="1" applyProtection="1">
      <alignment horizontal="left" vertical="center"/>
    </xf>
    <xf numFmtId="169" fontId="229" fillId="36" borderId="0" xfId="1" applyNumberFormat="1" applyFont="1" applyFill="1" applyBorder="1" applyAlignment="1" applyProtection="1">
      <alignment vertical="center"/>
    </xf>
    <xf numFmtId="169" fontId="229" fillId="36" borderId="20" xfId="1" applyNumberFormat="1" applyFont="1" applyFill="1" applyBorder="1" applyAlignment="1" applyProtection="1">
      <alignment vertical="center"/>
    </xf>
    <xf numFmtId="169" fontId="238" fillId="36" borderId="0" xfId="1" applyNumberFormat="1" applyFont="1" applyFill="1" applyBorder="1" applyAlignment="1" applyProtection="1">
      <alignment horizontal="center" vertical="center"/>
    </xf>
    <xf numFmtId="169" fontId="3" fillId="0" borderId="0" xfId="1" applyNumberFormat="1" applyFont="1"/>
    <xf numFmtId="0" fontId="230" fillId="35" borderId="12" xfId="1" applyNumberFormat="1" applyFont="1" applyFill="1" applyBorder="1" applyAlignment="1" applyProtection="1">
      <alignment horizontal="center" vertical="center"/>
      <protection locked="0"/>
    </xf>
    <xf numFmtId="206" fontId="1" fillId="0" borderId="0" xfId="1" applyNumberFormat="1" applyFont="1"/>
    <xf numFmtId="0" fontId="1" fillId="0" borderId="0" xfId="0" applyFont="1"/>
    <xf numFmtId="0" fontId="22" fillId="33" borderId="10" xfId="0" applyFont="1" applyFill="1" applyBorder="1"/>
    <xf numFmtId="14" fontId="1" fillId="34" borderId="10" xfId="0" applyNumberFormat="1" applyFont="1" applyFill="1" applyBorder="1"/>
    <xf numFmtId="0" fontId="22" fillId="33" borderId="16" xfId="0" applyFont="1" applyFill="1" applyBorder="1"/>
    <xf numFmtId="206" fontId="22" fillId="33" borderId="16" xfId="1" applyNumberFormat="1" applyFont="1" applyFill="1" applyBorder="1"/>
    <xf numFmtId="0" fontId="1" fillId="0" borderId="10" xfId="0" applyFont="1" applyBorder="1"/>
    <xf numFmtId="206" fontId="1" fillId="0" borderId="10" xfId="1" applyNumberFormat="1" applyFont="1" applyBorder="1"/>
    <xf numFmtId="206" fontId="1" fillId="0" borderId="0" xfId="1" applyNumberFormat="1" applyFont="1" applyBorder="1"/>
    <xf numFmtId="0" fontId="241" fillId="0" borderId="0" xfId="0" applyFont="1"/>
    <xf numFmtId="0" fontId="1" fillId="0" borderId="0" xfId="19628" applyFont="1">
      <alignment vertical="center"/>
    </xf>
    <xf numFmtId="0" fontId="229" fillId="35" borderId="70" xfId="25871" applyNumberFormat="1" applyFont="1" applyFill="1" applyBorder="1" applyAlignment="1" applyProtection="1">
      <alignment vertical="center"/>
      <protection locked="0"/>
    </xf>
    <xf numFmtId="0" fontId="229" fillId="35" borderId="57" xfId="25871" applyNumberFormat="1" applyFont="1" applyFill="1" applyBorder="1" applyAlignment="1" applyProtection="1">
      <alignment vertical="center"/>
      <protection locked="0"/>
    </xf>
    <xf numFmtId="0" fontId="1" fillId="0" borderId="57" xfId="19628" applyFont="1" applyBorder="1">
      <alignment vertical="center"/>
    </xf>
    <xf numFmtId="0" fontId="1" fillId="0" borderId="59" xfId="19628" applyFont="1" applyBorder="1">
      <alignment vertical="center"/>
    </xf>
    <xf numFmtId="0" fontId="230" fillId="35" borderId="56" xfId="25871" applyNumberFormat="1" applyFont="1" applyFill="1" applyBorder="1" applyAlignment="1" applyProtection="1">
      <alignment horizontal="center" vertical="center"/>
      <protection locked="0"/>
    </xf>
    <xf numFmtId="0" fontId="230" fillId="35" borderId="73" xfId="25871" applyNumberFormat="1" applyFont="1" applyFill="1" applyBorder="1" applyAlignment="1" applyProtection="1">
      <alignment horizontal="center" vertical="center"/>
      <protection locked="0"/>
    </xf>
    <xf numFmtId="0" fontId="229" fillId="35" borderId="69" xfId="25871" applyNumberFormat="1" applyFont="1" applyFill="1" applyBorder="1" applyAlignment="1" applyProtection="1">
      <alignment vertical="center"/>
      <protection locked="0"/>
    </xf>
    <xf numFmtId="0" fontId="229" fillId="35" borderId="74" xfId="25871" applyNumberFormat="1" applyFont="1" applyFill="1" applyBorder="1" applyAlignment="1" applyProtection="1">
      <alignment vertical="center"/>
      <protection locked="0"/>
    </xf>
    <xf numFmtId="0" fontId="231" fillId="35" borderId="75" xfId="25871" applyNumberFormat="1" applyFont="1" applyFill="1" applyBorder="1" applyAlignment="1" applyProtection="1">
      <alignment horizontal="center" vertical="center"/>
      <protection locked="0"/>
    </xf>
    <xf numFmtId="0" fontId="229" fillId="35" borderId="76" xfId="25871" applyNumberFormat="1" applyFont="1" applyFill="1" applyBorder="1" applyAlignment="1" applyProtection="1">
      <alignment vertical="center"/>
      <protection locked="0"/>
    </xf>
    <xf numFmtId="0" fontId="229" fillId="35" borderId="15" xfId="25871" applyNumberFormat="1" applyFont="1" applyFill="1" applyBorder="1" applyAlignment="1" applyProtection="1">
      <alignment vertical="center"/>
      <protection locked="0"/>
    </xf>
    <xf numFmtId="0" fontId="1" fillId="0" borderId="15" xfId="19628" applyFont="1" applyBorder="1">
      <alignment vertical="center"/>
    </xf>
    <xf numFmtId="0" fontId="1" fillId="0" borderId="77" xfId="19628" applyFont="1" applyBorder="1">
      <alignment vertical="center"/>
    </xf>
    <xf numFmtId="0" fontId="230" fillId="35" borderId="14" xfId="25871" applyNumberFormat="1" applyFont="1" applyFill="1" applyBorder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vertical="center"/>
      <protection locked="0"/>
    </xf>
    <xf numFmtId="0" fontId="1" fillId="0" borderId="28" xfId="19628" applyFont="1" applyBorder="1">
      <alignment vertical="center"/>
    </xf>
    <xf numFmtId="0" fontId="230" fillId="35" borderId="10" xfId="25871" applyNumberFormat="1" applyFont="1" applyFill="1" applyBorder="1" applyAlignment="1" applyProtection="1">
      <alignment horizontal="center" vertical="center"/>
      <protection locked="0"/>
    </xf>
    <xf numFmtId="0" fontId="230" fillId="35" borderId="15" xfId="25871" applyNumberFormat="1" applyFont="1" applyFill="1" applyBorder="1" applyAlignment="1" applyProtection="1">
      <alignment vertical="center"/>
      <protection locked="0"/>
    </xf>
    <xf numFmtId="0" fontId="230" fillId="35" borderId="77" xfId="25871" applyNumberFormat="1" applyFont="1" applyFill="1" applyBorder="1" applyAlignment="1" applyProtection="1">
      <alignment vertical="center"/>
      <protection locked="0"/>
    </xf>
    <xf numFmtId="0" fontId="231" fillId="35" borderId="78" xfId="25871" applyNumberFormat="1" applyFont="1" applyFill="1" applyBorder="1" applyAlignment="1" applyProtection="1">
      <alignment horizontal="center" vertical="center"/>
      <protection locked="0"/>
    </xf>
    <xf numFmtId="0" fontId="230" fillId="35" borderId="16" xfId="25871" applyNumberFormat="1" applyFont="1" applyFill="1" applyBorder="1" applyAlignment="1" applyProtection="1">
      <alignment horizontal="left" vertical="center"/>
      <protection locked="0"/>
    </xf>
    <xf numFmtId="0" fontId="230" fillId="35" borderId="16" xfId="25871" applyNumberFormat="1" applyFont="1" applyFill="1" applyBorder="1" applyAlignment="1" applyProtection="1">
      <alignment horizontal="right" vertical="center"/>
      <protection locked="0"/>
    </xf>
    <xf numFmtId="0" fontId="230" fillId="35" borderId="16" xfId="25871" applyNumberFormat="1" applyFont="1" applyFill="1" applyBorder="1" applyAlignment="1" applyProtection="1">
      <alignment vertical="center"/>
      <protection locked="0"/>
    </xf>
    <xf numFmtId="0" fontId="230" fillId="35" borderId="79" xfId="25871" applyNumberFormat="1" applyFont="1" applyFill="1" applyBorder="1" applyProtection="1">
      <protection locked="0"/>
    </xf>
    <xf numFmtId="0" fontId="230" fillId="35" borderId="80" xfId="25871" applyNumberFormat="1" applyFont="1" applyFill="1" applyBorder="1" applyAlignment="1" applyProtection="1">
      <alignment vertical="center"/>
      <protection locked="0"/>
    </xf>
    <xf numFmtId="0" fontId="230" fillId="35" borderId="81" xfId="25871" applyNumberFormat="1" applyFont="1" applyFill="1" applyBorder="1" applyAlignment="1" applyProtection="1">
      <alignment vertical="center"/>
      <protection locked="0"/>
    </xf>
    <xf numFmtId="0" fontId="233" fillId="36" borderId="10" xfId="25871" applyNumberFormat="1" applyFont="1" applyFill="1" applyBorder="1" applyAlignment="1" applyProtection="1">
      <alignment horizontal="center" vertical="center"/>
      <protection locked="0"/>
    </xf>
    <xf numFmtId="0" fontId="233" fillId="36" borderId="10" xfId="25871" applyNumberFormat="1" applyFont="1" applyFill="1" applyBorder="1" applyAlignment="1" applyProtection="1">
      <alignment horizontal="left" vertical="center"/>
      <protection locked="0"/>
    </xf>
    <xf numFmtId="0" fontId="230" fillId="36" borderId="10" xfId="25871" applyNumberFormat="1" applyFont="1" applyFill="1" applyBorder="1" applyAlignment="1" applyProtection="1">
      <alignment horizontal="left" vertical="center" wrapText="1"/>
      <protection locked="0"/>
    </xf>
    <xf numFmtId="206" fontId="230" fillId="36" borderId="10" xfId="1" applyNumberFormat="1" applyFont="1" applyFill="1" applyBorder="1" applyAlignment="1" applyProtection="1">
      <alignment horizontal="center" vertical="center"/>
      <protection locked="0"/>
    </xf>
    <xf numFmtId="245" fontId="230" fillId="36" borderId="10" xfId="1" applyNumberFormat="1" applyFont="1" applyFill="1" applyBorder="1" applyAlignment="1" applyProtection="1">
      <alignment horizontal="center" vertical="center"/>
      <protection locked="0"/>
    </xf>
    <xf numFmtId="0" fontId="230" fillId="36" borderId="10" xfId="25871" applyNumberFormat="1" applyFont="1" applyFill="1" applyBorder="1" applyAlignment="1" applyProtection="1">
      <alignment horizontal="center" vertical="center"/>
      <protection locked="0"/>
    </xf>
    <xf numFmtId="245" fontId="230" fillId="35" borderId="10" xfId="1" applyNumberFormat="1" applyFont="1" applyFill="1" applyBorder="1" applyAlignment="1" applyProtection="1">
      <alignment horizontal="center" vertical="center"/>
      <protection locked="0"/>
    </xf>
    <xf numFmtId="0" fontId="230" fillId="36" borderId="10" xfId="25871" applyNumberFormat="1" applyFont="1" applyFill="1" applyBorder="1" applyAlignment="1" applyProtection="1">
      <alignment horizontal="left"/>
      <protection locked="0"/>
    </xf>
    <xf numFmtId="0" fontId="230" fillId="36" borderId="14" xfId="25871" applyNumberFormat="1" applyFont="1" applyFill="1" applyBorder="1" applyAlignment="1" applyProtection="1">
      <alignment horizontal="left" vertical="center"/>
      <protection locked="0"/>
    </xf>
    <xf numFmtId="0" fontId="230" fillId="36" borderId="10" xfId="25871" applyNumberFormat="1" applyFont="1" applyFill="1" applyBorder="1" applyAlignment="1" applyProtection="1">
      <alignment horizontal="left" vertical="center"/>
      <protection locked="0"/>
    </xf>
    <xf numFmtId="0" fontId="233" fillId="35" borderId="10" xfId="25871" applyNumberFormat="1" applyFont="1" applyFill="1" applyBorder="1" applyAlignment="1" applyProtection="1">
      <alignment horizontal="left" vertical="center"/>
      <protection locked="0"/>
    </xf>
    <xf numFmtId="0" fontId="233" fillId="36" borderId="0" xfId="25871" applyNumberFormat="1" applyFont="1" applyFill="1" applyAlignment="1" applyProtection="1">
      <alignment horizontal="left" vertical="center"/>
      <protection locked="0"/>
    </xf>
    <xf numFmtId="0" fontId="230" fillId="36" borderId="0" xfId="25871" applyNumberFormat="1" applyFont="1" applyFill="1" applyAlignment="1" applyProtection="1">
      <alignment horizontal="center" vertical="center"/>
      <protection locked="0"/>
    </xf>
    <xf numFmtId="0" fontId="230" fillId="36" borderId="0" xfId="25871" applyNumberFormat="1" applyFont="1" applyFill="1" applyAlignment="1" applyProtection="1">
      <alignment horizontal="left" vertical="center" wrapText="1"/>
      <protection locked="0"/>
    </xf>
    <xf numFmtId="0" fontId="230" fillId="36" borderId="0" xfId="25871" applyNumberFormat="1" applyFont="1" applyFill="1" applyAlignment="1" applyProtection="1">
      <alignment horizontal="left"/>
      <protection locked="0"/>
    </xf>
    <xf numFmtId="0" fontId="230" fillId="35" borderId="25" xfId="25871" applyNumberFormat="1" applyFont="1" applyFill="1" applyBorder="1" applyAlignment="1" applyProtection="1">
      <alignment horizontal="left" vertical="center"/>
      <protection locked="0"/>
    </xf>
    <xf numFmtId="0" fontId="230" fillId="35" borderId="0" xfId="25871" applyNumberFormat="1" applyFont="1" applyFill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horizontal="left" vertical="center" wrapText="1"/>
      <protection locked="0"/>
    </xf>
    <xf numFmtId="0" fontId="230" fillId="35" borderId="25" xfId="25871" applyNumberFormat="1" applyFont="1" applyFill="1" applyBorder="1" applyAlignment="1" applyProtection="1">
      <alignment horizontal="center" vertical="center"/>
      <protection locked="0"/>
    </xf>
    <xf numFmtId="0" fontId="230" fillId="35" borderId="0" xfId="25871" applyNumberFormat="1" applyFont="1" applyFill="1" applyAlignment="1" applyProtection="1">
      <alignment horizontal="left" vertical="center"/>
      <protection locked="0"/>
    </xf>
    <xf numFmtId="168" fontId="233" fillId="36" borderId="10" xfId="1" applyFont="1" applyFill="1" applyBorder="1" applyAlignment="1" applyProtection="1">
      <alignment horizontal="left" vertical="center"/>
      <protection locked="0"/>
    </xf>
    <xf numFmtId="168" fontId="230" fillId="36" borderId="10" xfId="1" applyFont="1" applyFill="1" applyBorder="1" applyAlignment="1" applyProtection="1">
      <alignment horizontal="center" vertical="center"/>
      <protection locked="0"/>
    </xf>
    <xf numFmtId="168" fontId="230" fillId="36" borderId="10" xfId="1" applyFont="1" applyFill="1" applyBorder="1" applyAlignment="1" applyProtection="1">
      <alignment horizontal="left" vertical="center" wrapText="1"/>
      <protection locked="0"/>
    </xf>
    <xf numFmtId="168" fontId="230" fillId="36" borderId="10" xfId="1" applyFont="1" applyFill="1" applyBorder="1" applyAlignment="1" applyProtection="1">
      <alignment horizontal="left"/>
      <protection locked="0"/>
    </xf>
    <xf numFmtId="168" fontId="1" fillId="0" borderId="11" xfId="1" applyFont="1" applyBorder="1" applyAlignment="1">
      <alignment horizontal="left" vertical="center"/>
    </xf>
    <xf numFmtId="168" fontId="1" fillId="0" borderId="11" xfId="1" applyFont="1" applyBorder="1" applyAlignment="1">
      <alignment horizontal="center" vertical="center"/>
    </xf>
    <xf numFmtId="246" fontId="235" fillId="36" borderId="68" xfId="1" applyNumberFormat="1" applyFont="1" applyFill="1" applyBorder="1" applyAlignment="1" applyProtection="1">
      <alignment horizontal="right" vertical="center"/>
      <protection locked="0"/>
    </xf>
    <xf numFmtId="0" fontId="1" fillId="34" borderId="16" xfId="0" applyFont="1" applyFill="1" applyBorder="1"/>
    <xf numFmtId="0" fontId="1" fillId="34" borderId="11" xfId="0" applyFont="1" applyFill="1" applyBorder="1"/>
    <xf numFmtId="0" fontId="1" fillId="34" borderId="14" xfId="0" applyFont="1" applyFill="1" applyBorder="1"/>
    <xf numFmtId="0" fontId="241" fillId="0" borderId="10" xfId="0" applyFont="1" applyBorder="1"/>
    <xf numFmtId="0" fontId="1" fillId="0" borderId="16" xfId="0" applyFont="1" applyBorder="1"/>
    <xf numFmtId="0" fontId="1" fillId="0" borderId="11" xfId="0" applyFont="1" applyBorder="1"/>
    <xf numFmtId="0" fontId="1" fillId="0" borderId="14" xfId="0" applyFont="1" applyBorder="1"/>
    <xf numFmtId="168" fontId="3" fillId="0" borderId="10" xfId="1" applyFont="1" applyBorder="1" applyAlignment="1">
      <alignment horizontal="right"/>
    </xf>
    <xf numFmtId="168" fontId="225" fillId="0" borderId="11" xfId="1" applyFont="1" applyBorder="1"/>
    <xf numFmtId="168" fontId="225" fillId="0" borderId="14" xfId="1" applyFont="1" applyBorder="1"/>
    <xf numFmtId="168" fontId="3" fillId="0" borderId="0" xfId="0" applyNumberFormat="1" applyFont="1"/>
    <xf numFmtId="0" fontId="22" fillId="104" borderId="10" xfId="0" applyFont="1" applyFill="1" applyBorder="1" applyAlignment="1">
      <alignment horizontal="centerContinuous"/>
    </xf>
    <xf numFmtId="0" fontId="22" fillId="104" borderId="10" xfId="0" applyFont="1" applyFill="1" applyBorder="1"/>
    <xf numFmtId="0" fontId="22" fillId="104" borderId="10" xfId="0" applyFont="1" applyFill="1" applyBorder="1" applyAlignment="1">
      <alignment horizontal="center"/>
    </xf>
    <xf numFmtId="247" fontId="22" fillId="104" borderId="10" xfId="0" applyNumberFormat="1" applyFont="1" applyFill="1" applyBorder="1" applyAlignment="1">
      <alignment horizontal="center"/>
    </xf>
    <xf numFmtId="248" fontId="22" fillId="104" borderId="10" xfId="0" applyNumberFormat="1" applyFont="1" applyFill="1" applyBorder="1"/>
    <xf numFmtId="0" fontId="22" fillId="105" borderId="12" xfId="0" applyFont="1" applyFill="1" applyBorder="1" applyAlignment="1">
      <alignment horizontal="centerContinuous"/>
    </xf>
    <xf numFmtId="0" fontId="22" fillId="105" borderId="36" xfId="0" applyFont="1" applyFill="1" applyBorder="1" applyAlignment="1">
      <alignment horizontal="centerContinuous"/>
    </xf>
    <xf numFmtId="0" fontId="22" fillId="105" borderId="55" xfId="0" applyFont="1" applyFill="1" applyBorder="1" applyAlignment="1">
      <alignment horizontal="centerContinuous"/>
    </xf>
    <xf numFmtId="248" fontId="22" fillId="105" borderId="14" xfId="0" applyNumberFormat="1" applyFont="1" applyFill="1" applyBorder="1"/>
    <xf numFmtId="248" fontId="22" fillId="105" borderId="14" xfId="0" applyNumberFormat="1" applyFont="1" applyFill="1" applyBorder="1" applyAlignment="1">
      <alignment horizontal="center"/>
    </xf>
    <xf numFmtId="247" fontId="22" fillId="105" borderId="14" xfId="0" applyNumberFormat="1" applyFont="1" applyFill="1" applyBorder="1" applyAlignment="1">
      <alignment horizontal="center"/>
    </xf>
    <xf numFmtId="0" fontId="22" fillId="105" borderId="14" xfId="0" applyFont="1" applyFill="1" applyBorder="1"/>
    <xf numFmtId="249" fontId="243" fillId="35" borderId="16" xfId="1" applyNumberFormat="1" applyFont="1" applyFill="1" applyBorder="1"/>
    <xf numFmtId="249" fontId="243" fillId="35" borderId="14" xfId="1" applyNumberFormat="1" applyFont="1" applyFill="1" applyBorder="1"/>
    <xf numFmtId="0" fontId="1" fillId="0" borderId="54" xfId="0" applyFont="1" applyBorder="1"/>
    <xf numFmtId="168" fontId="1" fillId="0" borderId="16" xfId="1" applyFont="1" applyBorder="1" applyAlignment="1">
      <alignment horizontal="left" vertical="center"/>
    </xf>
    <xf numFmtId="168" fontId="1" fillId="0" borderId="16" xfId="1" applyFont="1" applyBorder="1" applyAlignment="1">
      <alignment horizontal="center" vertical="center"/>
    </xf>
    <xf numFmtId="206" fontId="1" fillId="0" borderId="14" xfId="0" applyNumberFormat="1" applyFont="1" applyBorder="1" applyAlignment="1">
      <alignment horizontal="center"/>
    </xf>
    <xf numFmtId="0" fontId="233" fillId="0" borderId="0" xfId="0" applyFont="1"/>
    <xf numFmtId="0" fontId="244" fillId="104" borderId="10" xfId="0" applyFont="1" applyFill="1" applyBorder="1"/>
    <xf numFmtId="168" fontId="3" fillId="0" borderId="16" xfId="1" applyFont="1" applyBorder="1"/>
    <xf numFmtId="168" fontId="225" fillId="0" borderId="16" xfId="1" applyFont="1" applyBorder="1"/>
    <xf numFmtId="168" fontId="1" fillId="0" borderId="11" xfId="1" applyFont="1" applyBorder="1"/>
    <xf numFmtId="0" fontId="3" fillId="36" borderId="0" xfId="0" applyFont="1" applyFill="1"/>
    <xf numFmtId="206" fontId="3" fillId="36" borderId="0" xfId="1" applyNumberFormat="1" applyFont="1" applyFill="1"/>
    <xf numFmtId="168" fontId="3" fillId="36" borderId="0" xfId="1" applyFont="1" applyFill="1"/>
    <xf numFmtId="0" fontId="3" fillId="36" borderId="0" xfId="1" applyNumberFormat="1" applyFont="1" applyFill="1"/>
    <xf numFmtId="0" fontId="1" fillId="36" borderId="14" xfId="0" applyFont="1" applyFill="1" applyBorder="1"/>
    <xf numFmtId="0" fontId="239" fillId="0" borderId="0" xfId="0" applyFont="1" applyAlignment="1">
      <alignment horizontal="left"/>
    </xf>
    <xf numFmtId="0" fontId="3" fillId="34" borderId="12" xfId="0" applyFont="1" applyFill="1" applyBorder="1" applyAlignment="1">
      <alignment horizontal="left"/>
    </xf>
    <xf numFmtId="0" fontId="3" fillId="34" borderId="36" xfId="0" applyFont="1" applyFill="1" applyBorder="1" applyAlignment="1">
      <alignment horizontal="left"/>
    </xf>
    <xf numFmtId="0" fontId="1" fillId="34" borderId="12" xfId="0" applyFont="1" applyFill="1" applyBorder="1" applyAlignment="1">
      <alignment horizontal="left"/>
    </xf>
    <xf numFmtId="0" fontId="3" fillId="34" borderId="55" xfId="0" applyFont="1" applyFill="1" applyBorder="1" applyAlignment="1">
      <alignment horizontal="left"/>
    </xf>
    <xf numFmtId="168" fontId="242" fillId="34" borderId="0" xfId="1" applyFont="1" applyFill="1" applyBorder="1" applyAlignment="1">
      <alignment horizontal="left"/>
    </xf>
    <xf numFmtId="0" fontId="1" fillId="34" borderId="36" xfId="0" applyFont="1" applyFill="1" applyBorder="1" applyAlignment="1">
      <alignment horizontal="left"/>
    </xf>
    <xf numFmtId="0" fontId="1" fillId="34" borderId="55" xfId="0" applyFont="1" applyFill="1" applyBorder="1" applyAlignment="1">
      <alignment horizontal="left"/>
    </xf>
    <xf numFmtId="0" fontId="227" fillId="35" borderId="0" xfId="25871" applyNumberFormat="1" applyFont="1" applyFill="1" applyAlignment="1">
      <alignment horizontal="center" vertical="center"/>
    </xf>
    <xf numFmtId="0" fontId="228" fillId="35" borderId="0" xfId="25871" applyNumberFormat="1" applyFont="1" applyFill="1" applyAlignment="1">
      <alignment horizontal="center" vertical="center"/>
    </xf>
    <xf numFmtId="0" fontId="230" fillId="35" borderId="0" xfId="25871" applyNumberFormat="1" applyFont="1" applyFill="1" applyAlignment="1" applyProtection="1">
      <alignment horizontal="right" vertical="center"/>
      <protection locked="0"/>
    </xf>
    <xf numFmtId="0" fontId="229" fillId="35" borderId="12" xfId="19749" applyFont="1" applyFill="1" applyBorder="1" applyAlignment="1" applyProtection="1">
      <alignment horizontal="left" vertical="center"/>
      <protection locked="0"/>
    </xf>
    <xf numFmtId="0" fontId="229" fillId="35" borderId="55" xfId="19749" applyFont="1" applyFill="1" applyBorder="1" applyAlignment="1" applyProtection="1">
      <alignment horizontal="left" vertical="center"/>
      <protection locked="0"/>
    </xf>
    <xf numFmtId="14" fontId="230" fillId="35" borderId="10" xfId="19749" applyNumberFormat="1" applyFont="1" applyFill="1" applyBorder="1" applyAlignment="1" applyProtection="1">
      <alignment horizontal="center" vertical="center"/>
      <protection locked="0"/>
    </xf>
    <xf numFmtId="0" fontId="230" fillId="35" borderId="10" xfId="19749" applyFont="1" applyFill="1" applyBorder="1" applyAlignment="1" applyProtection="1">
      <alignment horizontal="center" vertical="center"/>
      <protection locked="0"/>
    </xf>
    <xf numFmtId="0" fontId="232" fillId="35" borderId="12" xfId="19749" applyFont="1" applyFill="1" applyBorder="1" applyAlignment="1" applyProtection="1">
      <alignment horizontal="center" vertical="center"/>
      <protection locked="0"/>
    </xf>
    <xf numFmtId="0" fontId="232" fillId="35" borderId="36" xfId="19749" applyFont="1" applyFill="1" applyBorder="1" applyAlignment="1" applyProtection="1">
      <alignment horizontal="center" vertical="center"/>
      <protection locked="0"/>
    </xf>
    <xf numFmtId="0" fontId="232" fillId="35" borderId="62" xfId="19749" applyFont="1" applyFill="1" applyBorder="1" applyAlignment="1" applyProtection="1">
      <alignment horizontal="center" vertical="center"/>
      <protection locked="0"/>
    </xf>
    <xf numFmtId="0" fontId="238" fillId="36" borderId="69" xfId="19749" applyFont="1" applyFill="1" applyBorder="1" applyAlignment="1">
      <alignment horizontal="center" vertical="center"/>
    </xf>
    <xf numFmtId="0" fontId="229" fillId="35" borderId="10" xfId="19749" applyFont="1" applyFill="1" applyBorder="1" applyAlignment="1" applyProtection="1">
      <alignment horizontal="center" vertical="center"/>
      <protection locked="0"/>
    </xf>
    <xf numFmtId="0" fontId="230" fillId="35" borderId="12" xfId="19749" applyFont="1" applyFill="1" applyBorder="1" applyAlignment="1" applyProtection="1">
      <alignment horizontal="center" vertical="center"/>
      <protection locked="0"/>
    </xf>
    <xf numFmtId="0" fontId="230" fillId="35" borderId="36" xfId="19749" applyFont="1" applyFill="1" applyBorder="1" applyAlignment="1" applyProtection="1">
      <alignment horizontal="center" vertical="center"/>
      <protection locked="0"/>
    </xf>
    <xf numFmtId="0" fontId="230" fillId="35" borderId="55" xfId="19749" applyFont="1" applyFill="1" applyBorder="1" applyAlignment="1" applyProtection="1">
      <alignment horizontal="center" vertical="center"/>
      <protection locked="0"/>
    </xf>
    <xf numFmtId="0" fontId="227" fillId="35" borderId="0" xfId="19749" applyFont="1" applyFill="1" applyAlignment="1">
      <alignment horizontal="center" vertical="center"/>
    </xf>
    <xf numFmtId="2" fontId="227" fillId="35" borderId="0" xfId="19749" applyNumberFormat="1" applyFont="1" applyFill="1" applyAlignment="1">
      <alignment horizontal="center" vertical="center"/>
    </xf>
    <xf numFmtId="49" fontId="228" fillId="35" borderId="20" xfId="19749" applyNumberFormat="1" applyFont="1" applyFill="1" applyBorder="1" applyAlignment="1">
      <alignment horizontal="center" vertical="center"/>
    </xf>
    <xf numFmtId="14" fontId="229" fillId="35" borderId="56" xfId="19749" applyNumberFormat="1" applyFont="1" applyFill="1" applyBorder="1" applyAlignment="1" applyProtection="1">
      <alignment horizontal="center" vertical="center"/>
      <protection locked="0"/>
    </xf>
    <xf numFmtId="0" fontId="229" fillId="35" borderId="56" xfId="19749" applyFont="1" applyFill="1" applyBorder="1" applyAlignment="1" applyProtection="1">
      <alignment horizontal="center" vertical="center"/>
      <protection locked="0"/>
    </xf>
    <xf numFmtId="14" fontId="229" fillId="35" borderId="58" xfId="19749" applyNumberFormat="1" applyFont="1" applyFill="1" applyBorder="1" applyAlignment="1" applyProtection="1">
      <alignment horizontal="center" vertical="center"/>
      <protection locked="0"/>
    </xf>
    <xf numFmtId="14" fontId="229" fillId="35" borderId="57" xfId="19749" applyNumberFormat="1" applyFont="1" applyFill="1" applyBorder="1" applyAlignment="1" applyProtection="1">
      <alignment horizontal="center" vertical="center"/>
      <protection locked="0"/>
    </xf>
    <xf numFmtId="14" fontId="229" fillId="35" borderId="59" xfId="19749" applyNumberFormat="1" applyFont="1" applyFill="1" applyBorder="1" applyAlignment="1" applyProtection="1">
      <alignment horizontal="center" vertical="center"/>
      <protection locked="0"/>
    </xf>
    <xf numFmtId="0" fontId="3" fillId="106" borderId="0" xfId="1" applyNumberFormat="1" applyFont="1" applyFill="1"/>
    <xf numFmtId="0" fontId="3" fillId="107" borderId="0" xfId="0" applyFont="1" applyFill="1"/>
  </cellXfs>
  <cellStyles count="25872">
    <cellStyle name=" 1" xfId="2" xr:uid="{00000000-0005-0000-0000-000000000000}"/>
    <cellStyle name=" 1 2" xfId="3" xr:uid="{00000000-0005-0000-0000-000001000000}"/>
    <cellStyle name=" 1 3" xfId="4" xr:uid="{00000000-0005-0000-0000-000002000000}"/>
    <cellStyle name=" 1 4" xfId="5" xr:uid="{00000000-0005-0000-0000-000003000000}"/>
    <cellStyle name=" 1 5" xfId="6" xr:uid="{00000000-0005-0000-0000-000004000000}"/>
    <cellStyle name=" 1 6" xfId="7" xr:uid="{00000000-0005-0000-0000-000005000000}"/>
    <cellStyle name="$" xfId="8" xr:uid="{00000000-0005-0000-0000-000006000000}"/>
    <cellStyle name="$ 2" xfId="9" xr:uid="{00000000-0005-0000-0000-000007000000}"/>
    <cellStyle name="$ 3" xfId="10" xr:uid="{00000000-0005-0000-0000-000008000000}"/>
    <cellStyle name="$ 4" xfId="11" xr:uid="{00000000-0005-0000-0000-000009000000}"/>
    <cellStyle name="$ 5" xfId="12" xr:uid="{00000000-0005-0000-0000-00000A000000}"/>
    <cellStyle name="$ 6" xfId="13" xr:uid="{00000000-0005-0000-0000-00000B000000}"/>
    <cellStyle name="$0.0;($0.0)" xfId="14" xr:uid="{00000000-0005-0000-0000-00000C000000}"/>
    <cellStyle name="$0.00;($0.00)" xfId="15" xr:uid="{00000000-0005-0000-0000-00000D000000}"/>
    <cellStyle name="$m" xfId="16" xr:uid="{00000000-0005-0000-0000-00000E000000}"/>
    <cellStyle name="$m 2" xfId="17" xr:uid="{00000000-0005-0000-0000-00000F000000}"/>
    <cellStyle name="$m 3" xfId="18" xr:uid="{00000000-0005-0000-0000-000010000000}"/>
    <cellStyle name="$m 4" xfId="19" xr:uid="{00000000-0005-0000-0000-000011000000}"/>
    <cellStyle name="$m 5" xfId="20" xr:uid="{00000000-0005-0000-0000-000012000000}"/>
    <cellStyle name="$m 6" xfId="21" xr:uid="{00000000-0005-0000-0000-000013000000}"/>
    <cellStyle name="$sign" xfId="22" xr:uid="{00000000-0005-0000-0000-000014000000}"/>
    <cellStyle name="%" xfId="23" xr:uid="{00000000-0005-0000-0000-000015000000}"/>
    <cellStyle name="% 2" xfId="24" xr:uid="{00000000-0005-0000-0000-000016000000}"/>
    <cellStyle name="% 3" xfId="25" xr:uid="{00000000-0005-0000-0000-000017000000}"/>
    <cellStyle name="% 4" xfId="26" xr:uid="{00000000-0005-0000-0000-000018000000}"/>
    <cellStyle name="% 5" xfId="27" xr:uid="{00000000-0005-0000-0000-000019000000}"/>
    <cellStyle name=";;;" xfId="28" xr:uid="{00000000-0005-0000-0000-00001A000000}"/>
    <cellStyle name="?" xfId="29" xr:uid="{00000000-0005-0000-0000-00001B000000}"/>
    <cellStyle name="? 2" xfId="30" xr:uid="{00000000-0005-0000-0000-00001C000000}"/>
    <cellStyle name="? 3" xfId="31" xr:uid="{00000000-0005-0000-0000-00001D000000}"/>
    <cellStyle name="? 4" xfId="32" xr:uid="{00000000-0005-0000-0000-00001E000000}"/>
    <cellStyle name="? 5" xfId="33" xr:uid="{00000000-0005-0000-0000-00001F000000}"/>
    <cellStyle name="?? [0]_??" xfId="34" xr:uid="{00000000-0005-0000-0000-000020000000}"/>
    <cellStyle name="????[0]_0601" xfId="35" xr:uid="{00000000-0005-0000-0000-000021000000}"/>
    <cellStyle name="???[0]_0109" xfId="36" xr:uid="{00000000-0005-0000-0000-000022000000}"/>
    <cellStyle name="???_0109" xfId="37" xr:uid="{00000000-0005-0000-0000-000023000000}"/>
    <cellStyle name="??[0]_0109" xfId="38" xr:uid="{00000000-0005-0000-0000-000024000000}"/>
    <cellStyle name="??_?.????" xfId="39" xr:uid="{00000000-0005-0000-0000-000025000000}"/>
    <cellStyle name="_001" xfId="40" xr:uid="{00000000-0005-0000-0000-000026000000}"/>
    <cellStyle name="_001 2" xfId="41" xr:uid="{00000000-0005-0000-0000-000027000000}"/>
    <cellStyle name="_001 3" xfId="42" xr:uid="{00000000-0005-0000-0000-000028000000}"/>
    <cellStyle name="_001 4" xfId="43" xr:uid="{00000000-0005-0000-0000-000029000000}"/>
    <cellStyle name="_001 5" xfId="44" xr:uid="{00000000-0005-0000-0000-00002A000000}"/>
    <cellStyle name="_005 - NPI Open Item List Rev 8 2" xfId="45" xr:uid="{00000000-0005-0000-0000-00002B000000}"/>
    <cellStyle name="_005 - NPI Open Item List Rev 8 2 2" xfId="46" xr:uid="{00000000-0005-0000-0000-00002C000000}"/>
    <cellStyle name="_005 - NPI Open Item List Rev 8 2 3" xfId="47" xr:uid="{00000000-0005-0000-0000-00002D000000}"/>
    <cellStyle name="_005 - NPI Open Item List Rev 8 2 4" xfId="48" xr:uid="{00000000-0005-0000-0000-00002E000000}"/>
    <cellStyle name="_005 - NPI Open Item List Rev 8 2 5" xfId="49" xr:uid="{00000000-0005-0000-0000-00002F000000}"/>
    <cellStyle name="_005 - NPI Rev E Auto JW (April 17th meeting)" xfId="50" xr:uid="{00000000-0005-0000-0000-000030000000}"/>
    <cellStyle name="_005 - NPI Rev E Auto JW (April 17th meeting) 2" xfId="51" xr:uid="{00000000-0005-0000-0000-000031000000}"/>
    <cellStyle name="_005 - NPI Rev E Auto JW (April 17th meeting) 3" xfId="52" xr:uid="{00000000-0005-0000-0000-000032000000}"/>
    <cellStyle name="_005 - NPI Rev E Auto JW (April 17th meeting) 4" xfId="53" xr:uid="{00000000-0005-0000-0000-000033000000}"/>
    <cellStyle name="_005 - NPI Rev E Auto JW (April 17th meeting) 5" xfId="54" xr:uid="{00000000-0005-0000-0000-000034000000}"/>
    <cellStyle name="_02.18.251.00 REV AA" xfId="55" xr:uid="{00000000-0005-0000-0000-000035000000}"/>
    <cellStyle name="_02.18.251.00 REV AA_BSHTN061" xfId="56" xr:uid="{00000000-0005-0000-0000-000036000000}"/>
    <cellStyle name="_06090CostBOM" xfId="57" xr:uid="{00000000-0005-0000-0000-000037000000}"/>
    <cellStyle name="_06090CostBOM 2" xfId="58" xr:uid="{00000000-0005-0000-0000-000038000000}"/>
    <cellStyle name="_06090CostBOM 3" xfId="59" xr:uid="{00000000-0005-0000-0000-000039000000}"/>
    <cellStyle name="_06090CostBOM 4" xfId="60" xr:uid="{00000000-0005-0000-0000-00003A000000}"/>
    <cellStyle name="_06090CostBOM 5" xfId="61" xr:uid="{00000000-0005-0000-0000-00003B000000}"/>
    <cellStyle name="_08 BALANZA Y PERFORMANCE SEPT 08" xfId="62" xr:uid="{00000000-0005-0000-0000-00003C000000}"/>
    <cellStyle name="_08 BALANZA Y PERFORMANCE SEPT 08 2" xfId="63" xr:uid="{00000000-0005-0000-0000-00003D000000}"/>
    <cellStyle name="_08 BALANZA Y PERFORMANCE SEPT 08 3" xfId="64" xr:uid="{00000000-0005-0000-0000-00003E000000}"/>
    <cellStyle name="_08 BALANZA Y PERFORMANCE SEPT 08 4" xfId="65" xr:uid="{00000000-0005-0000-0000-00003F000000}"/>
    <cellStyle name="_08 BALANZA Y PERFORMANCE SEPT 08 5" xfId="66" xr:uid="{00000000-0005-0000-0000-000040000000}"/>
    <cellStyle name="_080910 IS AGOSTO ACT FORMATO ADICIONAL 3" xfId="67" xr:uid="{00000000-0005-0000-0000-000041000000}"/>
    <cellStyle name="_080910 IS AGOSTO ACT FORMATO ADICIONAL 3 2" xfId="68" xr:uid="{00000000-0005-0000-0000-000042000000}"/>
    <cellStyle name="_080910 IS AGOSTO ACT FORMATO ADICIONAL 3 3" xfId="69" xr:uid="{00000000-0005-0000-0000-000043000000}"/>
    <cellStyle name="_080910 IS AGOSTO ACT FORMATO ADICIONAL 3 4" xfId="70" xr:uid="{00000000-0005-0000-0000-000044000000}"/>
    <cellStyle name="_080910 IS AGOSTO ACT FORMATO ADICIONAL 3 5" xfId="71" xr:uid="{00000000-0005-0000-0000-000045000000}"/>
    <cellStyle name="_080915 IS AGOSTO ACT FORMATO ADICIONAL 3" xfId="72" xr:uid="{00000000-0005-0000-0000-000046000000}"/>
    <cellStyle name="_080915 IS AGOSTO ACT FORMATO ADICIONAL 3 2" xfId="73" xr:uid="{00000000-0005-0000-0000-000047000000}"/>
    <cellStyle name="_080915 IS AGOSTO ACT FORMATO ADICIONAL 3 3" xfId="74" xr:uid="{00000000-0005-0000-0000-000048000000}"/>
    <cellStyle name="_080915 IS AGOSTO ACT FORMATO ADICIONAL 3 4" xfId="75" xr:uid="{00000000-0005-0000-0000-000049000000}"/>
    <cellStyle name="_080915 IS AGOSTO ACT FORMATO ADICIONAL 3 5" xfId="76" xr:uid="{00000000-0005-0000-0000-00004A000000}"/>
    <cellStyle name="_080924 Jan  to Dec IS Fcst 1 COMPL" xfId="77" xr:uid="{00000000-0005-0000-0000-00004B000000}"/>
    <cellStyle name="_080924 Jan  to Dec IS Fcst 1 COMPL 2" xfId="78" xr:uid="{00000000-0005-0000-0000-00004C000000}"/>
    <cellStyle name="_080924 Jan  to Dec IS Fcst 1 COMPL 3" xfId="79" xr:uid="{00000000-0005-0000-0000-00004D000000}"/>
    <cellStyle name="_080924 Jan  to Dec IS Fcst 1 COMPL 4" xfId="80" xr:uid="{00000000-0005-0000-0000-00004E000000}"/>
    <cellStyle name="_080924 Jan  to Dec IS Fcst 1 COMPL 5" xfId="81" xr:uid="{00000000-0005-0000-0000-00004F000000}"/>
    <cellStyle name="_080930 JRZ 4 PM OJ (2)" xfId="82" xr:uid="{00000000-0005-0000-0000-000050000000}"/>
    <cellStyle name="_080930 JRZ 4 PM OJ (2) 2" xfId="83" xr:uid="{00000000-0005-0000-0000-000051000000}"/>
    <cellStyle name="_080930 JRZ 4 PM OJ (2) 3" xfId="84" xr:uid="{00000000-0005-0000-0000-000052000000}"/>
    <cellStyle name="_080930 JRZ 4 PM OJ (2) 4" xfId="85" xr:uid="{00000000-0005-0000-0000-000053000000}"/>
    <cellStyle name="_080930 JRZ 4 PM OJ (2) 5" xfId="86" xr:uid="{00000000-0005-0000-0000-000054000000}"/>
    <cellStyle name="_081014 FCAST OCT DEC 08" xfId="87" xr:uid="{00000000-0005-0000-0000-000055000000}"/>
    <cellStyle name="_081014 FCAST OCT DEC 08 2" xfId="88" xr:uid="{00000000-0005-0000-0000-000056000000}"/>
    <cellStyle name="_081014 FCAST OCT DEC 08 3" xfId="89" xr:uid="{00000000-0005-0000-0000-000057000000}"/>
    <cellStyle name="_081014 FCAST OCT DEC 08 4" xfId="90" xr:uid="{00000000-0005-0000-0000-000058000000}"/>
    <cellStyle name="_081014 FCAST OCT DEC 08 5" xfId="91" xr:uid="{00000000-0005-0000-0000-000059000000}"/>
    <cellStyle name="_081014 FORECAST SEPT DEC 08" xfId="92" xr:uid="{00000000-0005-0000-0000-00005A000000}"/>
    <cellStyle name="_081014 FORECAST SEPT DEC 08 2" xfId="93" xr:uid="{00000000-0005-0000-0000-00005B000000}"/>
    <cellStyle name="_081014 FORECAST SEPT DEC 08 3" xfId="94" xr:uid="{00000000-0005-0000-0000-00005C000000}"/>
    <cellStyle name="_081014 FORECAST SEPT DEC 08 4" xfId="95" xr:uid="{00000000-0005-0000-0000-00005D000000}"/>
    <cellStyle name="_081014 FORECAST SEPT DEC 08 5" xfId="96" xr:uid="{00000000-0005-0000-0000-00005E000000}"/>
    <cellStyle name="_081027  Sales Forecast Juarez 1- Oct Nov Dec" xfId="97" xr:uid="{00000000-0005-0000-0000-00005F000000}"/>
    <cellStyle name="_081027  Sales Forecast Juarez 1- Oct Nov Dec 2" xfId="98" xr:uid="{00000000-0005-0000-0000-000060000000}"/>
    <cellStyle name="_081027  Sales Forecast Juarez 1- Oct Nov Dec 3" xfId="99" xr:uid="{00000000-0005-0000-0000-000061000000}"/>
    <cellStyle name="_081027  Sales Forecast Juarez 1- Oct Nov Dec 4" xfId="100" xr:uid="{00000000-0005-0000-0000-000062000000}"/>
    <cellStyle name="_081027  Sales Forecast Juarez 1- Oct Nov Dec 5" xfId="101" xr:uid="{00000000-0005-0000-0000-000063000000}"/>
    <cellStyle name="_081027 FORECAST OCT NOV DEC" xfId="102" xr:uid="{00000000-0005-0000-0000-000064000000}"/>
    <cellStyle name="_081027 FORECAST OCT NOV DEC 2" xfId="103" xr:uid="{00000000-0005-0000-0000-000065000000}"/>
    <cellStyle name="_081027 FORECAST OCT NOV DEC 3" xfId="104" xr:uid="{00000000-0005-0000-0000-000066000000}"/>
    <cellStyle name="_081027 FORECAST OCT NOV DEC 4" xfId="105" xr:uid="{00000000-0005-0000-0000-000067000000}"/>
    <cellStyle name="_081027 FORECAST OCT NOV DEC 5" xfId="106" xr:uid="{00000000-0005-0000-0000-000068000000}"/>
    <cellStyle name="_081027 FORECAST SEPT DEC 08" xfId="107" xr:uid="{00000000-0005-0000-0000-000069000000}"/>
    <cellStyle name="_081027 FORECAST SEPT DEC 08 2" xfId="108" xr:uid="{00000000-0005-0000-0000-00006A000000}"/>
    <cellStyle name="_081027 FORECAST SEPT DEC 08 3" xfId="109" xr:uid="{00000000-0005-0000-0000-00006B000000}"/>
    <cellStyle name="_081027 FORECAST SEPT DEC 08 4" xfId="110" xr:uid="{00000000-0005-0000-0000-00006C000000}"/>
    <cellStyle name="_081027 FORECAST SEPT DEC 08 5" xfId="111" xr:uid="{00000000-0005-0000-0000-00006D000000}"/>
    <cellStyle name="_0811011 FORECAST NOV DEC 08" xfId="112" xr:uid="{00000000-0005-0000-0000-00006E000000}"/>
    <cellStyle name="_0811011 FORECAST NOV DEC 08 2" xfId="113" xr:uid="{00000000-0005-0000-0000-00006F000000}"/>
    <cellStyle name="_0811011 FORECAST NOV DEC 08 3" xfId="114" xr:uid="{00000000-0005-0000-0000-000070000000}"/>
    <cellStyle name="_0811011 FORECAST NOV DEC 08 4" xfId="115" xr:uid="{00000000-0005-0000-0000-000071000000}"/>
    <cellStyle name="_0811011 FORECAST NOV DEC 08 5" xfId="116" xr:uid="{00000000-0005-0000-0000-000072000000}"/>
    <cellStyle name="_081104 PREELIMINAR DE OCT" xfId="117" xr:uid="{00000000-0005-0000-0000-000073000000}"/>
    <cellStyle name="_081104 PREELIMINAR DE OCT 2" xfId="118" xr:uid="{00000000-0005-0000-0000-000074000000}"/>
    <cellStyle name="_081104 PREELIMINAR DE OCT 3" xfId="119" xr:uid="{00000000-0005-0000-0000-000075000000}"/>
    <cellStyle name="_081104 PREELIMINAR DE OCT 4" xfId="120" xr:uid="{00000000-0005-0000-0000-000076000000}"/>
    <cellStyle name="_081104 PREELIMINAR DE OCT 5" xfId="121" xr:uid="{00000000-0005-0000-0000-000077000000}"/>
    <cellStyle name="_081105  Sales Forecast Juarez 1- Nov Dec Ene C" xfId="122" xr:uid="{00000000-0005-0000-0000-000078000000}"/>
    <cellStyle name="_081105  Sales Forecast Juarez 1- Nov Dec Ene C 2" xfId="123" xr:uid="{00000000-0005-0000-0000-000079000000}"/>
    <cellStyle name="_081105  Sales Forecast Juarez 1- Nov Dec Ene C 3" xfId="124" xr:uid="{00000000-0005-0000-0000-00007A000000}"/>
    <cellStyle name="_081105  Sales Forecast Juarez 1- Nov Dec Ene C 4" xfId="125" xr:uid="{00000000-0005-0000-0000-00007B000000}"/>
    <cellStyle name="_081105  Sales Forecast Juarez 1- Nov Dec Ene C 5" xfId="126" xr:uid="{00000000-0005-0000-0000-00007C000000}"/>
    <cellStyle name="_081111 PREELIMINAR DE OCT" xfId="127" xr:uid="{00000000-0005-0000-0000-00007D000000}"/>
    <cellStyle name="_081111 PREELIMINAR DE OCT 2" xfId="128" xr:uid="{00000000-0005-0000-0000-00007E000000}"/>
    <cellStyle name="_081111 PREELIMINAR DE OCT 3" xfId="129" xr:uid="{00000000-0005-0000-0000-00007F000000}"/>
    <cellStyle name="_081111 PREELIMINAR DE OCT 4" xfId="130" xr:uid="{00000000-0005-0000-0000-000080000000}"/>
    <cellStyle name="_081111 PREELIMINAR DE OCT 5" xfId="131" xr:uid="{00000000-0005-0000-0000-000081000000}"/>
    <cellStyle name="_081219 BUDGET 2009 PREV" xfId="132" xr:uid="{00000000-0005-0000-0000-000082000000}"/>
    <cellStyle name="_081219 BUDGET 2009 PREV 2" xfId="133" xr:uid="{00000000-0005-0000-0000-000083000000}"/>
    <cellStyle name="_081219 BUDGET 2009 PREV 3" xfId="134" xr:uid="{00000000-0005-0000-0000-000084000000}"/>
    <cellStyle name="_081219 BUDGET 2009 PREV 4" xfId="135" xr:uid="{00000000-0005-0000-0000-000085000000}"/>
    <cellStyle name="_081219 BUDGET 2009 PREV 5" xfId="136" xr:uid="{00000000-0005-0000-0000-000086000000}"/>
    <cellStyle name="_137061900 (lead)1" xfId="137" xr:uid="{00000000-0005-0000-0000-000087000000}"/>
    <cellStyle name="_137061900 (lead)1 2" xfId="138" xr:uid="{00000000-0005-0000-0000-000088000000}"/>
    <cellStyle name="_137061900 (lead)1 3" xfId="24627" xr:uid="{00000000-0005-0000-0000-000089000000}"/>
    <cellStyle name="_137061900 (lead)1_825-CH PROYECTO CORONA" xfId="139" xr:uid="{00000000-0005-0000-0000-00008A000000}"/>
    <cellStyle name="_137061900 (lead)1_825-CH PROYECTO CORONA 2" xfId="140" xr:uid="{00000000-0005-0000-0000-00008B000000}"/>
    <cellStyle name="_137061900 (lead)1_825-CH PROYECTO CORONA 3" xfId="141" xr:uid="{00000000-0005-0000-0000-00008C000000}"/>
    <cellStyle name="_137061900 (lead)1_825-CH PROYECTO CORONA_862-CH" xfId="142" xr:uid="{00000000-0005-0000-0000-00008D000000}"/>
    <cellStyle name="_137061900 (lead)1_825-CH PROYECTO CORONA_W10251766 D" xfId="143" xr:uid="{00000000-0005-0000-0000-00008E000000}"/>
    <cellStyle name="_137061900 (lead)1_825-CH PROYECTO CORONA_W10279106 y W10279107 de MR a 56i" xfId="144" xr:uid="{00000000-0005-0000-0000-00008F000000}"/>
    <cellStyle name="_137061900 (lead)1_825-CH PROYECTO CORONA_W10315922 A" xfId="145" xr:uid="{00000000-0005-0000-0000-000090000000}"/>
    <cellStyle name="_137061900 (lead)1_BSHNC144(RFQ EE2909)gs" xfId="146" xr:uid="{00000000-0005-0000-0000-000091000000}"/>
    <cellStyle name="_137061900 (lead)1_BSHNC144(RFQ EE2909)gs_BSHTN061" xfId="147" xr:uid="{00000000-0005-0000-0000-000092000000}"/>
    <cellStyle name="_137061900 (lead)1_BSHNC144(RFQ EE2909)gs_BSHTN067" xfId="148" xr:uid="{00000000-0005-0000-0000-000093000000}"/>
    <cellStyle name="_137061900 (lead)1_BSHNC144(RFQ EE2909)gs_BSHTN071" xfId="149" xr:uid="{00000000-0005-0000-0000-000094000000}"/>
    <cellStyle name="_137061900 (lead)1_BSHNC145(RFQ EE2909)" xfId="150" xr:uid="{00000000-0005-0000-0000-000095000000}"/>
    <cellStyle name="_137061900 (lead)1_BSHNC145(RFQ EE2909)_BSHNC151 (RFQ EE4509)" xfId="151" xr:uid="{00000000-0005-0000-0000-000096000000}"/>
    <cellStyle name="_137061900 (lead)1_BSHNC145(RFQ EE2909)_BSHNC162 (RFQ EE5409)" xfId="152" xr:uid="{00000000-0005-0000-0000-000097000000}"/>
    <cellStyle name="_137061900 (lead)1_BSHNC145(RFQ EE2909)_Quote BSHNC163" xfId="153" xr:uid="{00000000-0005-0000-0000-000098000000}"/>
    <cellStyle name="_137061900 (lead)1_BSHTN061" xfId="154" xr:uid="{00000000-0005-0000-0000-000099000000}"/>
    <cellStyle name="_137061900 (lead)1_W10297387 A" xfId="155" xr:uid="{00000000-0005-0000-0000-00009A000000}"/>
    <cellStyle name="_137061900 (lead)1_W10315911 A" xfId="156" xr:uid="{00000000-0005-0000-0000-00009B000000}"/>
    <cellStyle name="_137061900 (lead)1_W10315921 A" xfId="157" xr:uid="{00000000-0005-0000-0000-00009C000000}"/>
    <cellStyle name="_137061900 (lead)1_W10315922 A" xfId="158" xr:uid="{00000000-0005-0000-0000-00009D000000}"/>
    <cellStyle name="_137061900 (lead)1_Xl0000052" xfId="159" xr:uid="{00000000-0005-0000-0000-00009E000000}"/>
    <cellStyle name="_137061900 (lead)1_Xl0000052_862-CH" xfId="160" xr:uid="{00000000-0005-0000-0000-00009F000000}"/>
    <cellStyle name="_137061900 (lead)1_Xl0000052_W10251766 D" xfId="161" xr:uid="{00000000-0005-0000-0000-0000A0000000}"/>
    <cellStyle name="_137061900 (lead)1_Xl0000052_W10279106 y W10279107 de MR a 56i" xfId="162" xr:uid="{00000000-0005-0000-0000-0000A1000000}"/>
    <cellStyle name="_137061900 (lead)1_Xl0000052_W10315922 A" xfId="163" xr:uid="{00000000-0005-0000-0000-0000A2000000}"/>
    <cellStyle name="_137130800" xfId="164" xr:uid="{00000000-0005-0000-0000-0000A3000000}"/>
    <cellStyle name="_137130800 2" xfId="165" xr:uid="{00000000-0005-0000-0000-0000A4000000}"/>
    <cellStyle name="_137130800 3" xfId="24628" xr:uid="{00000000-0005-0000-0000-0000A5000000}"/>
    <cellStyle name="_137130800_825-CH PROYECTO CORONA" xfId="166" xr:uid="{00000000-0005-0000-0000-0000A6000000}"/>
    <cellStyle name="_137130800_825-CH PROYECTO CORONA 2" xfId="167" xr:uid="{00000000-0005-0000-0000-0000A7000000}"/>
    <cellStyle name="_137130800_825-CH PROYECTO CORONA 3" xfId="168" xr:uid="{00000000-0005-0000-0000-0000A8000000}"/>
    <cellStyle name="_137130800_825-CH PROYECTO CORONA_862-CH" xfId="169" xr:uid="{00000000-0005-0000-0000-0000A9000000}"/>
    <cellStyle name="_137130800_825-CH PROYECTO CORONA_W10251766 D" xfId="170" xr:uid="{00000000-0005-0000-0000-0000AA000000}"/>
    <cellStyle name="_137130800_825-CH PROYECTO CORONA_W10279106 y W10279107 de MR a 56i" xfId="171" xr:uid="{00000000-0005-0000-0000-0000AB000000}"/>
    <cellStyle name="_137130800_825-CH PROYECTO CORONA_W10315922 A" xfId="172" xr:uid="{00000000-0005-0000-0000-0000AC000000}"/>
    <cellStyle name="_137130800_BSHNC144(RFQ EE2909)gs" xfId="173" xr:uid="{00000000-0005-0000-0000-0000AD000000}"/>
    <cellStyle name="_137130800_BSHNC144(RFQ EE2909)gs_BSHTN061" xfId="174" xr:uid="{00000000-0005-0000-0000-0000AE000000}"/>
    <cellStyle name="_137130800_BSHNC144(RFQ EE2909)gs_BSHTN067" xfId="175" xr:uid="{00000000-0005-0000-0000-0000AF000000}"/>
    <cellStyle name="_137130800_BSHNC144(RFQ EE2909)gs_BSHTN071" xfId="176" xr:uid="{00000000-0005-0000-0000-0000B0000000}"/>
    <cellStyle name="_137130800_BSHNC145(RFQ EE2909)" xfId="177" xr:uid="{00000000-0005-0000-0000-0000B1000000}"/>
    <cellStyle name="_137130800_BSHNC145(RFQ EE2909)_BSHNC151 (RFQ EE4509)" xfId="178" xr:uid="{00000000-0005-0000-0000-0000B2000000}"/>
    <cellStyle name="_137130800_BSHNC145(RFQ EE2909)_BSHNC162 (RFQ EE5409)" xfId="179" xr:uid="{00000000-0005-0000-0000-0000B3000000}"/>
    <cellStyle name="_137130800_BSHNC145(RFQ EE2909)_Quote BSHNC163" xfId="180" xr:uid="{00000000-0005-0000-0000-0000B4000000}"/>
    <cellStyle name="_137130800_BSHTN061" xfId="181" xr:uid="{00000000-0005-0000-0000-0000B5000000}"/>
    <cellStyle name="_137130800_W10297387 A" xfId="182" xr:uid="{00000000-0005-0000-0000-0000B6000000}"/>
    <cellStyle name="_137130800_W10315911 A" xfId="183" xr:uid="{00000000-0005-0000-0000-0000B7000000}"/>
    <cellStyle name="_137130800_W10315921 A" xfId="184" xr:uid="{00000000-0005-0000-0000-0000B8000000}"/>
    <cellStyle name="_137130800_W10315922 A" xfId="185" xr:uid="{00000000-0005-0000-0000-0000B9000000}"/>
    <cellStyle name="_137130800_Xl0000052" xfId="186" xr:uid="{00000000-0005-0000-0000-0000BA000000}"/>
    <cellStyle name="_137130800_Xl0000052_862-CH" xfId="187" xr:uid="{00000000-0005-0000-0000-0000BB000000}"/>
    <cellStyle name="_137130800_Xl0000052_W10251766 D" xfId="188" xr:uid="{00000000-0005-0000-0000-0000BC000000}"/>
    <cellStyle name="_137130800_Xl0000052_W10279106 y W10279107 de MR a 56i" xfId="189" xr:uid="{00000000-0005-0000-0000-0000BD000000}"/>
    <cellStyle name="_137130800_Xl0000052_W10315922 A" xfId="190" xr:uid="{00000000-0005-0000-0000-0000BE000000}"/>
    <cellStyle name="_137131100" xfId="191" xr:uid="{00000000-0005-0000-0000-0000BF000000}"/>
    <cellStyle name="_137131100 2" xfId="192" xr:uid="{00000000-0005-0000-0000-0000C0000000}"/>
    <cellStyle name="_137131100 3" xfId="24629" xr:uid="{00000000-0005-0000-0000-0000C1000000}"/>
    <cellStyle name="_137131100_825-CH PROYECTO CORONA" xfId="193" xr:uid="{00000000-0005-0000-0000-0000C2000000}"/>
    <cellStyle name="_137131100_825-CH PROYECTO CORONA 2" xfId="194" xr:uid="{00000000-0005-0000-0000-0000C3000000}"/>
    <cellStyle name="_137131100_825-CH PROYECTO CORONA 3" xfId="195" xr:uid="{00000000-0005-0000-0000-0000C4000000}"/>
    <cellStyle name="_137131100_825-CH PROYECTO CORONA_862-CH" xfId="196" xr:uid="{00000000-0005-0000-0000-0000C5000000}"/>
    <cellStyle name="_137131100_825-CH PROYECTO CORONA_W10251766 D" xfId="197" xr:uid="{00000000-0005-0000-0000-0000C6000000}"/>
    <cellStyle name="_137131100_825-CH PROYECTO CORONA_W10279106 y W10279107 de MR a 56i" xfId="198" xr:uid="{00000000-0005-0000-0000-0000C7000000}"/>
    <cellStyle name="_137131100_825-CH PROYECTO CORONA_W10315922 A" xfId="199" xr:uid="{00000000-0005-0000-0000-0000C8000000}"/>
    <cellStyle name="_137131100_BSHNC144(RFQ EE2909)gs" xfId="200" xr:uid="{00000000-0005-0000-0000-0000C9000000}"/>
    <cellStyle name="_137131100_BSHNC144(RFQ EE2909)gs_BSHTN061" xfId="201" xr:uid="{00000000-0005-0000-0000-0000CA000000}"/>
    <cellStyle name="_137131100_BSHNC144(RFQ EE2909)gs_BSHTN067" xfId="202" xr:uid="{00000000-0005-0000-0000-0000CB000000}"/>
    <cellStyle name="_137131100_BSHNC144(RFQ EE2909)gs_BSHTN071" xfId="203" xr:uid="{00000000-0005-0000-0000-0000CC000000}"/>
    <cellStyle name="_137131100_BSHNC145(RFQ EE2909)" xfId="204" xr:uid="{00000000-0005-0000-0000-0000CD000000}"/>
    <cellStyle name="_137131100_BSHNC145(RFQ EE2909)_BSHNC151 (RFQ EE4509)" xfId="205" xr:uid="{00000000-0005-0000-0000-0000CE000000}"/>
    <cellStyle name="_137131100_BSHNC145(RFQ EE2909)_BSHNC162 (RFQ EE5409)" xfId="206" xr:uid="{00000000-0005-0000-0000-0000CF000000}"/>
    <cellStyle name="_137131100_BSHNC145(RFQ EE2909)_Quote BSHNC163" xfId="207" xr:uid="{00000000-0005-0000-0000-0000D0000000}"/>
    <cellStyle name="_137131100_BSHTN061" xfId="208" xr:uid="{00000000-0005-0000-0000-0000D1000000}"/>
    <cellStyle name="_137131100_W10297387 A" xfId="209" xr:uid="{00000000-0005-0000-0000-0000D2000000}"/>
    <cellStyle name="_137131100_W10315911 A" xfId="210" xr:uid="{00000000-0005-0000-0000-0000D3000000}"/>
    <cellStyle name="_137131100_W10315921 A" xfId="211" xr:uid="{00000000-0005-0000-0000-0000D4000000}"/>
    <cellStyle name="_137131100_W10315922 A" xfId="212" xr:uid="{00000000-0005-0000-0000-0000D5000000}"/>
    <cellStyle name="_137131100_Xl0000052" xfId="213" xr:uid="{00000000-0005-0000-0000-0000D6000000}"/>
    <cellStyle name="_137131100_Xl0000052_862-CH" xfId="214" xr:uid="{00000000-0005-0000-0000-0000D7000000}"/>
    <cellStyle name="_137131100_Xl0000052_W10251766 D" xfId="215" xr:uid="{00000000-0005-0000-0000-0000D8000000}"/>
    <cellStyle name="_137131100_Xl0000052_W10279106 y W10279107 de MR a 56i" xfId="216" xr:uid="{00000000-0005-0000-0000-0000D9000000}"/>
    <cellStyle name="_137131100_Xl0000052_W10315922 A" xfId="217" xr:uid="{00000000-0005-0000-0000-0000DA000000}"/>
    <cellStyle name="_165D9077G001 AP303 101708" xfId="218" xr:uid="{00000000-0005-0000-0000-0000DB000000}"/>
    <cellStyle name="_165D9077G001 AP303 101708 10" xfId="219" xr:uid="{00000000-0005-0000-0000-0000DC000000}"/>
    <cellStyle name="_165D9077G001 AP303 101708 2" xfId="220" xr:uid="{00000000-0005-0000-0000-0000DD000000}"/>
    <cellStyle name="_165D9077G001 AP303 101708 2 2" xfId="221" xr:uid="{00000000-0005-0000-0000-0000DE000000}"/>
    <cellStyle name="_165D9077G001 AP303 101708 2 3" xfId="222" xr:uid="{00000000-0005-0000-0000-0000DF000000}"/>
    <cellStyle name="_165D9077G001 AP303 101708 2 4" xfId="223" xr:uid="{00000000-0005-0000-0000-0000E0000000}"/>
    <cellStyle name="_165D9077G001 AP303 101708 2 5" xfId="224" xr:uid="{00000000-0005-0000-0000-0000E1000000}"/>
    <cellStyle name="_165D9077G001 AP303 101708 3" xfId="225" xr:uid="{00000000-0005-0000-0000-0000E2000000}"/>
    <cellStyle name="_165D9077G001 AP303 101708 3 2" xfId="226" xr:uid="{00000000-0005-0000-0000-0000E3000000}"/>
    <cellStyle name="_165D9077G001 AP303 101708 3 3" xfId="227" xr:uid="{00000000-0005-0000-0000-0000E4000000}"/>
    <cellStyle name="_165D9077G001 AP303 101708 3 4" xfId="228" xr:uid="{00000000-0005-0000-0000-0000E5000000}"/>
    <cellStyle name="_165D9077G001 AP303 101708 3 5" xfId="229" xr:uid="{00000000-0005-0000-0000-0000E6000000}"/>
    <cellStyle name="_165D9077G001 AP303 101708 4" xfId="230" xr:uid="{00000000-0005-0000-0000-0000E7000000}"/>
    <cellStyle name="_165D9077G001 AP303 101708 4 2" xfId="231" xr:uid="{00000000-0005-0000-0000-0000E8000000}"/>
    <cellStyle name="_165D9077G001 AP303 101708 4 3" xfId="232" xr:uid="{00000000-0005-0000-0000-0000E9000000}"/>
    <cellStyle name="_165D9077G001 AP303 101708 4 4" xfId="233" xr:uid="{00000000-0005-0000-0000-0000EA000000}"/>
    <cellStyle name="_165D9077G001 AP303 101708 4 5" xfId="234" xr:uid="{00000000-0005-0000-0000-0000EB000000}"/>
    <cellStyle name="_165D9077G001 AP303 101708 5" xfId="235" xr:uid="{00000000-0005-0000-0000-0000EC000000}"/>
    <cellStyle name="_165D9077G001 AP303 101708 5 2" xfId="236" xr:uid="{00000000-0005-0000-0000-0000ED000000}"/>
    <cellStyle name="_165D9077G001 AP303 101708 5 3" xfId="237" xr:uid="{00000000-0005-0000-0000-0000EE000000}"/>
    <cellStyle name="_165D9077G001 AP303 101708 5 4" xfId="238" xr:uid="{00000000-0005-0000-0000-0000EF000000}"/>
    <cellStyle name="_165D9077G001 AP303 101708 5 5" xfId="239" xr:uid="{00000000-0005-0000-0000-0000F0000000}"/>
    <cellStyle name="_165D9077G001 AP303 101708 6" xfId="240" xr:uid="{00000000-0005-0000-0000-0000F1000000}"/>
    <cellStyle name="_165D9077G001 AP303 101708 6 2" xfId="241" xr:uid="{00000000-0005-0000-0000-0000F2000000}"/>
    <cellStyle name="_165D9077G001 AP303 101708 6 3" xfId="242" xr:uid="{00000000-0005-0000-0000-0000F3000000}"/>
    <cellStyle name="_165D9077G001 AP303 101708 6 4" xfId="243" xr:uid="{00000000-0005-0000-0000-0000F4000000}"/>
    <cellStyle name="_165D9077G001 AP303 101708 6 5" xfId="244" xr:uid="{00000000-0005-0000-0000-0000F5000000}"/>
    <cellStyle name="_165D9077G001 AP303 101708 7" xfId="245" xr:uid="{00000000-0005-0000-0000-0000F6000000}"/>
    <cellStyle name="_165D9077G001 AP303 101708 8" xfId="246" xr:uid="{00000000-0005-0000-0000-0000F7000000}"/>
    <cellStyle name="_165D9077G001 AP303 101708 9" xfId="247" xr:uid="{00000000-0005-0000-0000-0000F8000000}"/>
    <cellStyle name="_165D9077G001 AP303 101708_SUBARTICO ADD-DEL" xfId="248" xr:uid="{00000000-0005-0000-0000-0000F9000000}"/>
    <cellStyle name="_165D9077G001 AP303 101708_SUBARTICO ADD-DEL 2" xfId="249" xr:uid="{00000000-0005-0000-0000-0000FA000000}"/>
    <cellStyle name="_165D9077G001 AP303 101708_WPN163 8576530" xfId="250" xr:uid="{00000000-0005-0000-0000-0000FB000000}"/>
    <cellStyle name="_165D9077G001 AP303 101708_WPN163 8576530 2" xfId="251" xr:uid="{00000000-0005-0000-0000-0000FC000000}"/>
    <cellStyle name="_165D9077G001 AP303 101708_WPN163 8576530 3" xfId="252" xr:uid="{00000000-0005-0000-0000-0000FD000000}"/>
    <cellStyle name="_165D9077G001 AP303 101708_WPN163 8576530 4" xfId="253" xr:uid="{00000000-0005-0000-0000-0000FE000000}"/>
    <cellStyle name="_2008 COOK TOPS M RFQ ( BSHNC085)" xfId="254" xr:uid="{00000000-0005-0000-0000-0000FF000000}"/>
    <cellStyle name="_2008 COOK TOPS M RFQ ( BSHNC085) 2" xfId="255" xr:uid="{00000000-0005-0000-0000-000000010000}"/>
    <cellStyle name="_2008 COOK TOPS M RFQ ( BSHNC085) 3" xfId="256" xr:uid="{00000000-0005-0000-0000-000001010000}"/>
    <cellStyle name="_2008 COOK TOPS M RFQ ( BSHNC085) 4" xfId="257" xr:uid="{00000000-0005-0000-0000-000002010000}"/>
    <cellStyle name="_2008 COOK TOPS M RFQ ( BSHNC085) 5" xfId="258" xr:uid="{00000000-0005-0000-0000-000003010000}"/>
    <cellStyle name="_2008 COOK TOPS M RFQ ( BSHNC085)_SUBARTICO ADD-DEL" xfId="259" xr:uid="{00000000-0005-0000-0000-000004010000}"/>
    <cellStyle name="_2008 COOK TOPS M RFQ ( BSHNC085)_SUBARTICO ADD-DEL 2" xfId="260" xr:uid="{00000000-0005-0000-0000-000005010000}"/>
    <cellStyle name="_2008 Headcount CHS" xfId="261" xr:uid="{00000000-0005-0000-0000-000006010000}"/>
    <cellStyle name="_2008 Headcount CHS 2" xfId="262" xr:uid="{00000000-0005-0000-0000-000007010000}"/>
    <cellStyle name="_2008 Headcount CHS 3" xfId="263" xr:uid="{00000000-0005-0000-0000-000008010000}"/>
    <cellStyle name="_2008 Headcount CHS 4" xfId="264" xr:uid="{00000000-0005-0000-0000-000009010000}"/>
    <cellStyle name="_2008 Headcount CHS 5" xfId="265" xr:uid="{00000000-0005-0000-0000-00000A010000}"/>
    <cellStyle name="_212D1075G03." xfId="266" xr:uid="{00000000-0005-0000-0000-00000B010000}"/>
    <cellStyle name="_212D1075G03. 2" xfId="267" xr:uid="{00000000-0005-0000-0000-00000C010000}"/>
    <cellStyle name="_212D1075G03. 2 2" xfId="268" xr:uid="{00000000-0005-0000-0000-00000D010000}"/>
    <cellStyle name="_212D1075G03. 2 3" xfId="269" xr:uid="{00000000-0005-0000-0000-00000E010000}"/>
    <cellStyle name="_212D1075G03. 2 4" xfId="270" xr:uid="{00000000-0005-0000-0000-00000F010000}"/>
    <cellStyle name="_212D1075G03. 3" xfId="271" xr:uid="{00000000-0005-0000-0000-000010010000}"/>
    <cellStyle name="_212D1075G03. 4" xfId="272" xr:uid="{00000000-0005-0000-0000-000011010000}"/>
    <cellStyle name="_212D1075G03. 5" xfId="273" xr:uid="{00000000-0005-0000-0000-000012010000}"/>
    <cellStyle name="_212D1075G03._Estimate Quote  Arnes splash 060809" xfId="274" xr:uid="{00000000-0005-0000-0000-000013010000}"/>
    <cellStyle name="_212D1075G03._Estimate Quote  Arnes splash 060809 2" xfId="275" xr:uid="{00000000-0005-0000-0000-000014010000}"/>
    <cellStyle name="_212D1075G03._Estimate Quote  Arnes splash 060809 3" xfId="276" xr:uid="{00000000-0005-0000-0000-000015010000}"/>
    <cellStyle name="_212D1075G03._Estimate Quote  Arnes splash 060809 4" xfId="277" xr:uid="{00000000-0005-0000-0000-000016010000}"/>
    <cellStyle name="_212D1075G03._Estimate Quote  Arnes splash 060809 5" xfId="278" xr:uid="{00000000-0005-0000-0000-000017010000}"/>
    <cellStyle name="_212D1075G03._Estimate quote LA Brasil Argentina project 051509" xfId="279" xr:uid="{00000000-0005-0000-0000-000018010000}"/>
    <cellStyle name="_212D1075G03._Estimate quote LA Brasil Argentina project 051509 2" xfId="280" xr:uid="{00000000-0005-0000-0000-000019010000}"/>
    <cellStyle name="_212D1075G03._Estimate quote LA Brasil Argentina project 051509 2 2" xfId="281" xr:uid="{00000000-0005-0000-0000-00001A010000}"/>
    <cellStyle name="_212D1075G03._Estimate quote LA Brasil Argentina project 051509 2 3" xfId="282" xr:uid="{00000000-0005-0000-0000-00001B010000}"/>
    <cellStyle name="_212D1075G03._Estimate quote LA Brasil Argentina project 051509 2 4" xfId="283" xr:uid="{00000000-0005-0000-0000-00001C010000}"/>
    <cellStyle name="_212D1075G03._Estimate quote LA Brasil Argentina project 051509 3" xfId="284" xr:uid="{00000000-0005-0000-0000-00001D010000}"/>
    <cellStyle name="_212D1075G03._Estimate quote LA Brasil Argentina project 051509 4" xfId="285" xr:uid="{00000000-0005-0000-0000-00001E010000}"/>
    <cellStyle name="_212D1075G03._Estimate quote LA Brasil Argentina project 051509 5" xfId="286" xr:uid="{00000000-0005-0000-0000-00001F010000}"/>
    <cellStyle name="_212D1075G03._Estimate quote LA Brasil Argentina project 051509_SUBARTICO ADD-DEL" xfId="287" xr:uid="{00000000-0005-0000-0000-000020010000}"/>
    <cellStyle name="_212D1075G03._Estimate quote LA Brasil Argentina project 051509_SUBARTICO ADD-DEL 2" xfId="288" xr:uid="{00000000-0005-0000-0000-000021010000}"/>
    <cellStyle name="_212D1075G03._Estimate quote LA Brasil Argentina project 051509_WPN163 8576530" xfId="289" xr:uid="{00000000-0005-0000-0000-000022010000}"/>
    <cellStyle name="_212D1075G03._Estimate quote LA Brasil Argentina project 051509_WPN163 8576530 2" xfId="290" xr:uid="{00000000-0005-0000-0000-000023010000}"/>
    <cellStyle name="_212D1075G03._Estimate quote LA Brasil Argentina project 051509_WPN163 8576530 3" xfId="291" xr:uid="{00000000-0005-0000-0000-000024010000}"/>
    <cellStyle name="_212D1075G03._Estimate quote LA Brasil Argentina project 051509_WPN163 8576530 4" xfId="292" xr:uid="{00000000-0005-0000-0000-000025010000}"/>
    <cellStyle name="_212D1075G03._Estimate Quote Nautilus 070909" xfId="293" xr:uid="{00000000-0005-0000-0000-000026010000}"/>
    <cellStyle name="_212D1075G03._Estimate Quote Nautilus 070909 2" xfId="294" xr:uid="{00000000-0005-0000-0000-000027010000}"/>
    <cellStyle name="_212D1075G03._Estimate Quote Nautilus 070909 3" xfId="295" xr:uid="{00000000-0005-0000-0000-000028010000}"/>
    <cellStyle name="_212D1075G03._Estimate Quote Nautilus 070909 4" xfId="296" xr:uid="{00000000-0005-0000-0000-000029010000}"/>
    <cellStyle name="_212D1075G03._Estimate Quote Nautilus 070909 5" xfId="297" xr:uid="{00000000-0005-0000-0000-00002A010000}"/>
    <cellStyle name="_212D1075G03._Estimate Revolution project 080609" xfId="298" xr:uid="{00000000-0005-0000-0000-00002B010000}"/>
    <cellStyle name="_212D1075G03._Estimate Revolution project 080609 2" xfId="299" xr:uid="{00000000-0005-0000-0000-00002C010000}"/>
    <cellStyle name="_212D1075G03._Estimate Revolution project 080609 3" xfId="300" xr:uid="{00000000-0005-0000-0000-00002D010000}"/>
    <cellStyle name="_212D1075G03._Estimate Revolution project 080609 4" xfId="301" xr:uid="{00000000-0005-0000-0000-00002E010000}"/>
    <cellStyle name="_212D1075G03._Estimate Revolution project 080609 5" xfId="302" xr:uid="{00000000-0005-0000-0000-00002F010000}"/>
    <cellStyle name="_212D1075G03._prueba" xfId="303" xr:uid="{00000000-0005-0000-0000-000030010000}"/>
    <cellStyle name="_212D1075G03._prueba 2" xfId="304" xr:uid="{00000000-0005-0000-0000-000031010000}"/>
    <cellStyle name="_212D1075G03._prueba 3" xfId="305" xr:uid="{00000000-0005-0000-0000-000032010000}"/>
    <cellStyle name="_212D1075G03._prueba 4" xfId="306" xr:uid="{00000000-0005-0000-0000-000033010000}"/>
    <cellStyle name="_212D1075G03._prueba 5" xfId="307" xr:uid="{00000000-0005-0000-0000-000034010000}"/>
    <cellStyle name="_212D1075G03._Quote CAM270-R Perfect Match 021209" xfId="308" xr:uid="{00000000-0005-0000-0000-000035010000}"/>
    <cellStyle name="_212D1075G03._Quote CAM270-R Perfect Match 021209 2" xfId="309" xr:uid="{00000000-0005-0000-0000-000036010000}"/>
    <cellStyle name="_212D1075G03._Quote CAM270-R Perfect Match 021209 2 2" xfId="310" xr:uid="{00000000-0005-0000-0000-000037010000}"/>
    <cellStyle name="_212D1075G03._Quote CAM270-R Perfect Match 021209 2 3" xfId="311" xr:uid="{00000000-0005-0000-0000-000038010000}"/>
    <cellStyle name="_212D1075G03._Quote CAM270-R Perfect Match 021209 2 4" xfId="312" xr:uid="{00000000-0005-0000-0000-000039010000}"/>
    <cellStyle name="_212D1075G03._Quote CAM270-R Perfect Match 021209 3" xfId="313" xr:uid="{00000000-0005-0000-0000-00003A010000}"/>
    <cellStyle name="_212D1075G03._Quote CAM270-R Perfect Match 021209 4" xfId="314" xr:uid="{00000000-0005-0000-0000-00003B010000}"/>
    <cellStyle name="_212D1075G03._Quote CAM270-R Perfect Match 021209 5" xfId="315" xr:uid="{00000000-0005-0000-0000-00003C010000}"/>
    <cellStyle name="_212D1075G03._Quote CAM270-R Perfect Match 021209_SUBARTICO ADD-DEL" xfId="316" xr:uid="{00000000-0005-0000-0000-00003D010000}"/>
    <cellStyle name="_212D1075G03._Quote CAM270-R Perfect Match 021209_SUBARTICO ADD-DEL 2" xfId="317" xr:uid="{00000000-0005-0000-0000-00003E010000}"/>
    <cellStyle name="_212D1075G03._Quote CAM270-R Perfect Match 021209_WPN163 8576530" xfId="318" xr:uid="{00000000-0005-0000-0000-00003F010000}"/>
    <cellStyle name="_212D1075G03._Quote CAM270-R Perfect Match 021209_WPN163 8576530 2" xfId="319" xr:uid="{00000000-0005-0000-0000-000040010000}"/>
    <cellStyle name="_212D1075G03._Quote CAM270-R Perfect Match 021209_WPN163 8576530 3" xfId="320" xr:uid="{00000000-0005-0000-0000-000041010000}"/>
    <cellStyle name="_212D1075G03._Quote CAM270-R Perfect Match 021209_WPN163 8576530 4" xfId="321" xr:uid="{00000000-0005-0000-0000-000042010000}"/>
    <cellStyle name="_212D1075G03._Quote CAM289 7014's 7016's and 7018g001 080609" xfId="322" xr:uid="{00000000-0005-0000-0000-000043010000}"/>
    <cellStyle name="_212D1075G03._Quote CAM289 7014's 7016's and 7018g001 080609 2" xfId="323" xr:uid="{00000000-0005-0000-0000-000044010000}"/>
    <cellStyle name="_212D1075G03._Quote CAM289 7014's 7016's and 7018g001 080609 3" xfId="324" xr:uid="{00000000-0005-0000-0000-000045010000}"/>
    <cellStyle name="_212D1075G03._Quote CAM289 7014's 7016's and 7018g001 080609 4" xfId="325" xr:uid="{00000000-0005-0000-0000-000046010000}"/>
    <cellStyle name="_212D1075G03._Quote CAM289 7014's 7016's and 7018g001 080609 5" xfId="326" xr:uid="{00000000-0005-0000-0000-000047010000}"/>
    <cellStyle name="_212D1075G03._SUBARTICO ADD-DEL" xfId="327" xr:uid="{00000000-0005-0000-0000-000048010000}"/>
    <cellStyle name="_212D1075G03._SUBARTICO ADD-DEL 2" xfId="328" xr:uid="{00000000-0005-0000-0000-000049010000}"/>
    <cellStyle name="_212D1075G03._WPN163 8576530" xfId="329" xr:uid="{00000000-0005-0000-0000-00004A010000}"/>
    <cellStyle name="_212D1075G03._WPN163 8576530 2" xfId="330" xr:uid="{00000000-0005-0000-0000-00004B010000}"/>
    <cellStyle name="_212D1075G03._WPN163 8576530 3" xfId="331" xr:uid="{00000000-0005-0000-0000-00004C010000}"/>
    <cellStyle name="_212D1075G03._WPN163 8576530 4" xfId="332" xr:uid="{00000000-0005-0000-0000-00004D010000}"/>
    <cellStyle name="_212D1075G04." xfId="333" xr:uid="{00000000-0005-0000-0000-00004E010000}"/>
    <cellStyle name="_212D1075G04. 2" xfId="334" xr:uid="{00000000-0005-0000-0000-00004F010000}"/>
    <cellStyle name="_212D1075G04. 2 2" xfId="335" xr:uid="{00000000-0005-0000-0000-000050010000}"/>
    <cellStyle name="_212D1075G04. 2 3" xfId="336" xr:uid="{00000000-0005-0000-0000-000051010000}"/>
    <cellStyle name="_212D1075G04. 2 4" xfId="337" xr:uid="{00000000-0005-0000-0000-000052010000}"/>
    <cellStyle name="_212D1075G04. 3" xfId="338" xr:uid="{00000000-0005-0000-0000-000053010000}"/>
    <cellStyle name="_212D1075G04. 4" xfId="339" xr:uid="{00000000-0005-0000-0000-000054010000}"/>
    <cellStyle name="_212D1075G04. 5" xfId="340" xr:uid="{00000000-0005-0000-0000-000055010000}"/>
    <cellStyle name="_212D1075G04._Estimate Quote  Arnes splash 060809" xfId="341" xr:uid="{00000000-0005-0000-0000-000056010000}"/>
    <cellStyle name="_212D1075G04._Estimate Quote  Arnes splash 060809 2" xfId="342" xr:uid="{00000000-0005-0000-0000-000057010000}"/>
    <cellStyle name="_212D1075G04._Estimate Quote  Arnes splash 060809 3" xfId="343" xr:uid="{00000000-0005-0000-0000-000058010000}"/>
    <cellStyle name="_212D1075G04._Estimate Quote  Arnes splash 060809 4" xfId="344" xr:uid="{00000000-0005-0000-0000-000059010000}"/>
    <cellStyle name="_212D1075G04._Estimate Quote  Arnes splash 060809 5" xfId="345" xr:uid="{00000000-0005-0000-0000-00005A010000}"/>
    <cellStyle name="_212D1075G04._Estimate quote LA Brasil Argentina project 051509" xfId="346" xr:uid="{00000000-0005-0000-0000-00005B010000}"/>
    <cellStyle name="_212D1075G04._Estimate quote LA Brasil Argentina project 051509 2" xfId="347" xr:uid="{00000000-0005-0000-0000-00005C010000}"/>
    <cellStyle name="_212D1075G04._Estimate quote LA Brasil Argentina project 051509 2 2" xfId="348" xr:uid="{00000000-0005-0000-0000-00005D010000}"/>
    <cellStyle name="_212D1075G04._Estimate quote LA Brasil Argentina project 051509 2 3" xfId="349" xr:uid="{00000000-0005-0000-0000-00005E010000}"/>
    <cellStyle name="_212D1075G04._Estimate quote LA Brasil Argentina project 051509 2 4" xfId="350" xr:uid="{00000000-0005-0000-0000-00005F010000}"/>
    <cellStyle name="_212D1075G04._Estimate quote LA Brasil Argentina project 051509 3" xfId="351" xr:uid="{00000000-0005-0000-0000-000060010000}"/>
    <cellStyle name="_212D1075G04._Estimate quote LA Brasil Argentina project 051509 4" xfId="352" xr:uid="{00000000-0005-0000-0000-000061010000}"/>
    <cellStyle name="_212D1075G04._Estimate quote LA Brasil Argentina project 051509 5" xfId="353" xr:uid="{00000000-0005-0000-0000-000062010000}"/>
    <cellStyle name="_212D1075G04._Estimate quote LA Brasil Argentina project 051509_SUBARTICO ADD-DEL" xfId="354" xr:uid="{00000000-0005-0000-0000-000063010000}"/>
    <cellStyle name="_212D1075G04._Estimate quote LA Brasil Argentina project 051509_SUBARTICO ADD-DEL 2" xfId="355" xr:uid="{00000000-0005-0000-0000-000064010000}"/>
    <cellStyle name="_212D1075G04._Estimate quote LA Brasil Argentina project 051509_WPN163 8576530" xfId="356" xr:uid="{00000000-0005-0000-0000-000065010000}"/>
    <cellStyle name="_212D1075G04._Estimate quote LA Brasil Argentina project 051509_WPN163 8576530 2" xfId="357" xr:uid="{00000000-0005-0000-0000-000066010000}"/>
    <cellStyle name="_212D1075G04._Estimate quote LA Brasil Argentina project 051509_WPN163 8576530 3" xfId="358" xr:uid="{00000000-0005-0000-0000-000067010000}"/>
    <cellStyle name="_212D1075G04._Estimate quote LA Brasil Argentina project 051509_WPN163 8576530 4" xfId="359" xr:uid="{00000000-0005-0000-0000-000068010000}"/>
    <cellStyle name="_212D1075G04._Estimate Quote Nautilus 070909" xfId="360" xr:uid="{00000000-0005-0000-0000-000069010000}"/>
    <cellStyle name="_212D1075G04._Estimate Quote Nautilus 070909 2" xfId="361" xr:uid="{00000000-0005-0000-0000-00006A010000}"/>
    <cellStyle name="_212D1075G04._Estimate Quote Nautilus 070909 3" xfId="362" xr:uid="{00000000-0005-0000-0000-00006B010000}"/>
    <cellStyle name="_212D1075G04._Estimate Quote Nautilus 070909 4" xfId="363" xr:uid="{00000000-0005-0000-0000-00006C010000}"/>
    <cellStyle name="_212D1075G04._Estimate Quote Nautilus 070909 5" xfId="364" xr:uid="{00000000-0005-0000-0000-00006D010000}"/>
    <cellStyle name="_212D1075G04._Estimate Revolution project 080609" xfId="365" xr:uid="{00000000-0005-0000-0000-00006E010000}"/>
    <cellStyle name="_212D1075G04._Estimate Revolution project 080609 2" xfId="366" xr:uid="{00000000-0005-0000-0000-00006F010000}"/>
    <cellStyle name="_212D1075G04._Estimate Revolution project 080609 3" xfId="367" xr:uid="{00000000-0005-0000-0000-000070010000}"/>
    <cellStyle name="_212D1075G04._Estimate Revolution project 080609 4" xfId="368" xr:uid="{00000000-0005-0000-0000-000071010000}"/>
    <cellStyle name="_212D1075G04._Estimate Revolution project 080609 5" xfId="369" xr:uid="{00000000-0005-0000-0000-000072010000}"/>
    <cellStyle name="_212D1075G04._prueba" xfId="370" xr:uid="{00000000-0005-0000-0000-000073010000}"/>
    <cellStyle name="_212D1075G04._prueba 2" xfId="371" xr:uid="{00000000-0005-0000-0000-000074010000}"/>
    <cellStyle name="_212D1075G04._prueba 3" xfId="372" xr:uid="{00000000-0005-0000-0000-000075010000}"/>
    <cellStyle name="_212D1075G04._prueba 4" xfId="373" xr:uid="{00000000-0005-0000-0000-000076010000}"/>
    <cellStyle name="_212D1075G04._prueba 5" xfId="374" xr:uid="{00000000-0005-0000-0000-000077010000}"/>
    <cellStyle name="_212D1075G04._Quote CAM270-R Perfect Match 021209" xfId="375" xr:uid="{00000000-0005-0000-0000-000078010000}"/>
    <cellStyle name="_212D1075G04._Quote CAM270-R Perfect Match 021209 2" xfId="376" xr:uid="{00000000-0005-0000-0000-000079010000}"/>
    <cellStyle name="_212D1075G04._Quote CAM270-R Perfect Match 021209 2 2" xfId="377" xr:uid="{00000000-0005-0000-0000-00007A010000}"/>
    <cellStyle name="_212D1075G04._Quote CAM270-R Perfect Match 021209 2 3" xfId="378" xr:uid="{00000000-0005-0000-0000-00007B010000}"/>
    <cellStyle name="_212D1075G04._Quote CAM270-R Perfect Match 021209 2 4" xfId="379" xr:uid="{00000000-0005-0000-0000-00007C010000}"/>
    <cellStyle name="_212D1075G04._Quote CAM270-R Perfect Match 021209 3" xfId="380" xr:uid="{00000000-0005-0000-0000-00007D010000}"/>
    <cellStyle name="_212D1075G04._Quote CAM270-R Perfect Match 021209 4" xfId="381" xr:uid="{00000000-0005-0000-0000-00007E010000}"/>
    <cellStyle name="_212D1075G04._Quote CAM270-R Perfect Match 021209 5" xfId="382" xr:uid="{00000000-0005-0000-0000-00007F010000}"/>
    <cellStyle name="_212D1075G04._Quote CAM270-R Perfect Match 021209_SUBARTICO ADD-DEL" xfId="383" xr:uid="{00000000-0005-0000-0000-000080010000}"/>
    <cellStyle name="_212D1075G04._Quote CAM270-R Perfect Match 021209_SUBARTICO ADD-DEL 2" xfId="384" xr:uid="{00000000-0005-0000-0000-000081010000}"/>
    <cellStyle name="_212D1075G04._Quote CAM270-R Perfect Match 021209_WPN163 8576530" xfId="385" xr:uid="{00000000-0005-0000-0000-000082010000}"/>
    <cellStyle name="_212D1075G04._Quote CAM270-R Perfect Match 021209_WPN163 8576530 2" xfId="386" xr:uid="{00000000-0005-0000-0000-000083010000}"/>
    <cellStyle name="_212D1075G04._Quote CAM270-R Perfect Match 021209_WPN163 8576530 3" xfId="387" xr:uid="{00000000-0005-0000-0000-000084010000}"/>
    <cellStyle name="_212D1075G04._Quote CAM270-R Perfect Match 021209_WPN163 8576530 4" xfId="388" xr:uid="{00000000-0005-0000-0000-000085010000}"/>
    <cellStyle name="_212D1075G04._Quote CAM289 7014's 7016's and 7018g001 080609" xfId="389" xr:uid="{00000000-0005-0000-0000-000086010000}"/>
    <cellStyle name="_212D1075G04._Quote CAM289 7014's 7016's and 7018g001 080609 2" xfId="390" xr:uid="{00000000-0005-0000-0000-000087010000}"/>
    <cellStyle name="_212D1075G04._Quote CAM289 7014's 7016's and 7018g001 080609 3" xfId="391" xr:uid="{00000000-0005-0000-0000-000088010000}"/>
    <cellStyle name="_212D1075G04._Quote CAM289 7014's 7016's and 7018g001 080609 4" xfId="392" xr:uid="{00000000-0005-0000-0000-000089010000}"/>
    <cellStyle name="_212D1075G04._Quote CAM289 7014's 7016's and 7018g001 080609 5" xfId="393" xr:uid="{00000000-0005-0000-0000-00008A010000}"/>
    <cellStyle name="_212D1075G04._SUBARTICO ADD-DEL" xfId="394" xr:uid="{00000000-0005-0000-0000-00008B010000}"/>
    <cellStyle name="_212D1075G04._SUBARTICO ADD-DEL 2" xfId="395" xr:uid="{00000000-0005-0000-0000-00008C010000}"/>
    <cellStyle name="_212D1075G04._WPN163 8576530" xfId="396" xr:uid="{00000000-0005-0000-0000-00008D010000}"/>
    <cellStyle name="_212D1075G04._WPN163 8576530 2" xfId="397" xr:uid="{00000000-0005-0000-0000-00008E010000}"/>
    <cellStyle name="_212D1075G04._WPN163 8576530 3" xfId="398" xr:uid="{00000000-0005-0000-0000-00008F010000}"/>
    <cellStyle name="_212D1075G04._WPN163 8576530 4" xfId="399" xr:uid="{00000000-0005-0000-0000-000090010000}"/>
    <cellStyle name="_27 grupos corriendo con competitor" xfId="400" xr:uid="{00000000-0005-0000-0000-000091010000}"/>
    <cellStyle name="_27 grupos corriendo con competitor 2" xfId="401" xr:uid="{00000000-0005-0000-0000-000092010000}"/>
    <cellStyle name="_27 grupos corriendo con competitor 2 2" xfId="402" xr:uid="{00000000-0005-0000-0000-000093010000}"/>
    <cellStyle name="_27 grupos corriendo con competitor 2 3" xfId="403" xr:uid="{00000000-0005-0000-0000-000094010000}"/>
    <cellStyle name="_27 grupos corriendo con competitor 2 4" xfId="404" xr:uid="{00000000-0005-0000-0000-000095010000}"/>
    <cellStyle name="_27 grupos corriendo con competitor 3" xfId="405" xr:uid="{00000000-0005-0000-0000-000096010000}"/>
    <cellStyle name="_27 grupos corriendo con competitor_SUBARTICO ADD-DEL" xfId="406" xr:uid="{00000000-0005-0000-0000-000097010000}"/>
    <cellStyle name="_27 grupos corriendo con competitor_SUBARTICO ADD-DEL 2" xfId="407" xr:uid="{00000000-0005-0000-0000-000098010000}"/>
    <cellStyle name="_31606287" xfId="408" xr:uid="{00000000-0005-0000-0000-000099010000}"/>
    <cellStyle name="_31606287 2" xfId="409" xr:uid="{00000000-0005-0000-0000-00009A010000}"/>
    <cellStyle name="_31606287 3" xfId="410" xr:uid="{00000000-0005-0000-0000-00009B010000}"/>
    <cellStyle name="_31606287 4" xfId="411" xr:uid="{00000000-0005-0000-0000-00009C010000}"/>
    <cellStyle name="_31606287 5" xfId="412" xr:uid="{00000000-0005-0000-0000-00009D010000}"/>
    <cellStyle name="_316466500 C (add-del, CAPEX, ECI, FR-900)" xfId="413" xr:uid="{00000000-0005-0000-0000-00009E010000}"/>
    <cellStyle name="_316466500 C (add-del, CAPEX, ECI, FR-900) 2" xfId="414" xr:uid="{00000000-0005-0000-0000-00009F010000}"/>
    <cellStyle name="_316466500 C (add-del, CAPEX, ECI, FR-900) 3" xfId="415" xr:uid="{00000000-0005-0000-0000-0000A0010000}"/>
    <cellStyle name="_316466500 C (add-del, CAPEX, ECI, FR-900) 4" xfId="416" xr:uid="{00000000-0005-0000-0000-0000A1010000}"/>
    <cellStyle name="_316466500 C (add-del, CAPEX, ECI, FR-900) 5" xfId="417" xr:uid="{00000000-0005-0000-0000-0000A2010000}"/>
    <cellStyle name="_316512554 B" xfId="418" xr:uid="{00000000-0005-0000-0000-0000A3010000}"/>
    <cellStyle name="_40" xfId="419" xr:uid="{00000000-0005-0000-0000-0000A4010000}"/>
    <cellStyle name="_40 2" xfId="420" xr:uid="{00000000-0005-0000-0000-0000A5010000}"/>
    <cellStyle name="_40 2 2" xfId="421" xr:uid="{00000000-0005-0000-0000-0000A6010000}"/>
    <cellStyle name="_40 2 3" xfId="422" xr:uid="{00000000-0005-0000-0000-0000A7010000}"/>
    <cellStyle name="_40 2 4" xfId="423" xr:uid="{00000000-0005-0000-0000-0000A8010000}"/>
    <cellStyle name="_40 3" xfId="424" xr:uid="{00000000-0005-0000-0000-0000A9010000}"/>
    <cellStyle name="_40 4" xfId="425" xr:uid="{00000000-0005-0000-0000-0000AA010000}"/>
    <cellStyle name="_40 5" xfId="426" xr:uid="{00000000-0005-0000-0000-0000AB010000}"/>
    <cellStyle name="_40_WPN145 3954933" xfId="427" xr:uid="{00000000-0005-0000-0000-0000AC010000}"/>
    <cellStyle name="_40_WPN145 3954933 2" xfId="428" xr:uid="{00000000-0005-0000-0000-0000AD010000}"/>
    <cellStyle name="_40_WPN145 3954933 3" xfId="429" xr:uid="{00000000-0005-0000-0000-0000AE010000}"/>
    <cellStyle name="_40_WPN145 3954933 4" xfId="430" xr:uid="{00000000-0005-0000-0000-0000AF010000}"/>
    <cellStyle name="_40_WPN145 3954933 5" xfId="431" xr:uid="{00000000-0005-0000-0000-0000B0010000}"/>
    <cellStyle name="_40_WPN163 8576530" xfId="432" xr:uid="{00000000-0005-0000-0000-0000B1010000}"/>
    <cellStyle name="_40_WPN163 8576530 2" xfId="433" xr:uid="{00000000-0005-0000-0000-0000B2010000}"/>
    <cellStyle name="_40_WPN163 8576530 3" xfId="434" xr:uid="{00000000-0005-0000-0000-0000B3010000}"/>
    <cellStyle name="_40_WPN163 8576530 4" xfId="435" xr:uid="{00000000-0005-0000-0000-0000B4010000}"/>
    <cellStyle name="_50 (2)" xfId="436" xr:uid="{00000000-0005-0000-0000-0000B5010000}"/>
    <cellStyle name="_50 (2) 2" xfId="437" xr:uid="{00000000-0005-0000-0000-0000B6010000}"/>
    <cellStyle name="_50 (2) 2 2" xfId="438" xr:uid="{00000000-0005-0000-0000-0000B7010000}"/>
    <cellStyle name="_50 (2) 2 3" xfId="439" xr:uid="{00000000-0005-0000-0000-0000B8010000}"/>
    <cellStyle name="_50 (2) 2 4" xfId="440" xr:uid="{00000000-0005-0000-0000-0000B9010000}"/>
    <cellStyle name="_50 (2) 3" xfId="441" xr:uid="{00000000-0005-0000-0000-0000BA010000}"/>
    <cellStyle name="_50 (2) 4" xfId="442" xr:uid="{00000000-0005-0000-0000-0000BB010000}"/>
    <cellStyle name="_50 (2) 5" xfId="443" xr:uid="{00000000-0005-0000-0000-0000BC010000}"/>
    <cellStyle name="_50 (2)_WPN163 8576530" xfId="444" xr:uid="{00000000-0005-0000-0000-0000BD010000}"/>
    <cellStyle name="_50 (2)_WPN163 8576530 2" xfId="445" xr:uid="{00000000-0005-0000-0000-0000BE010000}"/>
    <cellStyle name="_50 (2)_WPN163 8576530 3" xfId="446" xr:uid="{00000000-0005-0000-0000-0000BF010000}"/>
    <cellStyle name="_50 (2)_WPN163 8576530 4" xfId="447" xr:uid="{00000000-0005-0000-0000-0000C0010000}"/>
    <cellStyle name="_6032G17G18G24G26G19G22G23G25" xfId="448" xr:uid="{00000000-0005-0000-0000-0000C1010000}"/>
    <cellStyle name="_6032G17G18G24G26G19G22G23G25 2" xfId="449" xr:uid="{00000000-0005-0000-0000-0000C2010000}"/>
    <cellStyle name="_6032G17G18G24G26G19G22G23G25 3" xfId="450" xr:uid="{00000000-0005-0000-0000-0000C3010000}"/>
    <cellStyle name="_6032G17G18G24G26G19G22G23G25 4" xfId="451" xr:uid="{00000000-0005-0000-0000-0000C4010000}"/>
    <cellStyle name="_6032G17G18G24G26G19G22G23G25 5" xfId="452" xr:uid="{00000000-0005-0000-0000-0000C5010000}"/>
    <cellStyle name="_8 27" xfId="24630" xr:uid="{00000000-0005-0000-0000-0000C6010000}"/>
    <cellStyle name="_8 27 2" xfId="24631" xr:uid="{00000000-0005-0000-0000-0000C7010000}"/>
    <cellStyle name="_8 27 3" xfId="24632" xr:uid="{00000000-0005-0000-0000-0000C8010000}"/>
    <cellStyle name="_801-CH" xfId="453" xr:uid="{00000000-0005-0000-0000-0000C9010000}"/>
    <cellStyle name="_801-CH (7)" xfId="454" xr:uid="{00000000-0005-0000-0000-0000CA010000}"/>
    <cellStyle name="_801-CH (7) 10" xfId="455" xr:uid="{00000000-0005-0000-0000-0000CB010000}"/>
    <cellStyle name="_801-CH (7) 10 2" xfId="456" xr:uid="{00000000-0005-0000-0000-0000CC010000}"/>
    <cellStyle name="_801-CH (7) 10 3" xfId="457" xr:uid="{00000000-0005-0000-0000-0000CD010000}"/>
    <cellStyle name="_801-CH (7) 10 4" xfId="458" xr:uid="{00000000-0005-0000-0000-0000CE010000}"/>
    <cellStyle name="_801-CH (7) 2" xfId="459" xr:uid="{00000000-0005-0000-0000-0000CF010000}"/>
    <cellStyle name="_801-CH (7) 2 2" xfId="460" xr:uid="{00000000-0005-0000-0000-0000D0010000}"/>
    <cellStyle name="_801-CH (7) 2 3" xfId="461" xr:uid="{00000000-0005-0000-0000-0000D1010000}"/>
    <cellStyle name="_801-CH (7) 2 4" xfId="462" xr:uid="{00000000-0005-0000-0000-0000D2010000}"/>
    <cellStyle name="_801-CH (7) 2 5" xfId="463" xr:uid="{00000000-0005-0000-0000-0000D3010000}"/>
    <cellStyle name="_801-CH (7) 2_SUBARTICO ADD-DEL" xfId="464" xr:uid="{00000000-0005-0000-0000-0000D4010000}"/>
    <cellStyle name="_801-CH (7) 2_SUBARTICO ADD-DEL 2" xfId="465" xr:uid="{00000000-0005-0000-0000-0000D5010000}"/>
    <cellStyle name="_801-CH (7) 3" xfId="466" xr:uid="{00000000-0005-0000-0000-0000D6010000}"/>
    <cellStyle name="_801-CH (7) 3 2" xfId="467" xr:uid="{00000000-0005-0000-0000-0000D7010000}"/>
    <cellStyle name="_801-CH (7) 3 3" xfId="468" xr:uid="{00000000-0005-0000-0000-0000D8010000}"/>
    <cellStyle name="_801-CH (7) 3 4" xfId="469" xr:uid="{00000000-0005-0000-0000-0000D9010000}"/>
    <cellStyle name="_801-CH (7) 3 5" xfId="470" xr:uid="{00000000-0005-0000-0000-0000DA010000}"/>
    <cellStyle name="_801-CH (7) 3_SUBARTICO ADD-DEL" xfId="471" xr:uid="{00000000-0005-0000-0000-0000DB010000}"/>
    <cellStyle name="_801-CH (7) 3_SUBARTICO ADD-DEL 2" xfId="472" xr:uid="{00000000-0005-0000-0000-0000DC010000}"/>
    <cellStyle name="_801-CH (7) 4" xfId="473" xr:uid="{00000000-0005-0000-0000-0000DD010000}"/>
    <cellStyle name="_801-CH (7) 4 2" xfId="474" xr:uid="{00000000-0005-0000-0000-0000DE010000}"/>
    <cellStyle name="_801-CH (7) 4 3" xfId="475" xr:uid="{00000000-0005-0000-0000-0000DF010000}"/>
    <cellStyle name="_801-CH (7) 4 4" xfId="476" xr:uid="{00000000-0005-0000-0000-0000E0010000}"/>
    <cellStyle name="_801-CH (7) 4 5" xfId="477" xr:uid="{00000000-0005-0000-0000-0000E1010000}"/>
    <cellStyle name="_801-CH (7) 4_SUBARTICO ADD-DEL" xfId="478" xr:uid="{00000000-0005-0000-0000-0000E2010000}"/>
    <cellStyle name="_801-CH (7) 4_SUBARTICO ADD-DEL 2" xfId="479" xr:uid="{00000000-0005-0000-0000-0000E3010000}"/>
    <cellStyle name="_801-CH (7) 5" xfId="480" xr:uid="{00000000-0005-0000-0000-0000E4010000}"/>
    <cellStyle name="_801-CH (7) 5 2" xfId="481" xr:uid="{00000000-0005-0000-0000-0000E5010000}"/>
    <cellStyle name="_801-CH (7) 5 3" xfId="482" xr:uid="{00000000-0005-0000-0000-0000E6010000}"/>
    <cellStyle name="_801-CH (7) 5 4" xfId="483" xr:uid="{00000000-0005-0000-0000-0000E7010000}"/>
    <cellStyle name="_801-CH (7) 5 5" xfId="484" xr:uid="{00000000-0005-0000-0000-0000E8010000}"/>
    <cellStyle name="_801-CH (7) 5_SUBARTICO ADD-DEL" xfId="485" xr:uid="{00000000-0005-0000-0000-0000E9010000}"/>
    <cellStyle name="_801-CH (7) 5_SUBARTICO ADD-DEL 2" xfId="486" xr:uid="{00000000-0005-0000-0000-0000EA010000}"/>
    <cellStyle name="_801-CH (7) 6" xfId="487" xr:uid="{00000000-0005-0000-0000-0000EB010000}"/>
    <cellStyle name="_801-CH (7) 6 2" xfId="488" xr:uid="{00000000-0005-0000-0000-0000EC010000}"/>
    <cellStyle name="_801-CH (7) 6 3" xfId="489" xr:uid="{00000000-0005-0000-0000-0000ED010000}"/>
    <cellStyle name="_801-CH (7) 6 4" xfId="490" xr:uid="{00000000-0005-0000-0000-0000EE010000}"/>
    <cellStyle name="_801-CH (7) 6 5" xfId="491" xr:uid="{00000000-0005-0000-0000-0000EF010000}"/>
    <cellStyle name="_801-CH (7) 6_SUBARTICO ADD-DEL" xfId="492" xr:uid="{00000000-0005-0000-0000-0000F0010000}"/>
    <cellStyle name="_801-CH (7) 6_SUBARTICO ADD-DEL 2" xfId="493" xr:uid="{00000000-0005-0000-0000-0000F1010000}"/>
    <cellStyle name="_801-CH (7) 7" xfId="494" xr:uid="{00000000-0005-0000-0000-0000F2010000}"/>
    <cellStyle name="_801-CH (7) 7 2" xfId="495" xr:uid="{00000000-0005-0000-0000-0000F3010000}"/>
    <cellStyle name="_801-CH (7) 7 3" xfId="496" xr:uid="{00000000-0005-0000-0000-0000F4010000}"/>
    <cellStyle name="_801-CH (7) 7 4" xfId="497" xr:uid="{00000000-0005-0000-0000-0000F5010000}"/>
    <cellStyle name="_801-CH (7) 7 5" xfId="498" xr:uid="{00000000-0005-0000-0000-0000F6010000}"/>
    <cellStyle name="_801-CH (7) 7_SUBARTICO ADD-DEL" xfId="499" xr:uid="{00000000-0005-0000-0000-0000F7010000}"/>
    <cellStyle name="_801-CH (7) 7_SUBARTICO ADD-DEL 2" xfId="500" xr:uid="{00000000-0005-0000-0000-0000F8010000}"/>
    <cellStyle name="_801-CH (7) 8" xfId="501" xr:uid="{00000000-0005-0000-0000-0000F9010000}"/>
    <cellStyle name="_801-CH (7) 8 2" xfId="502" xr:uid="{00000000-0005-0000-0000-0000FA010000}"/>
    <cellStyle name="_801-CH (7) 8 3" xfId="503" xr:uid="{00000000-0005-0000-0000-0000FB010000}"/>
    <cellStyle name="_801-CH (7) 8 4" xfId="504" xr:uid="{00000000-0005-0000-0000-0000FC010000}"/>
    <cellStyle name="_801-CH (7) 8 5" xfId="505" xr:uid="{00000000-0005-0000-0000-0000FD010000}"/>
    <cellStyle name="_801-CH (7) 8_SUBARTICO ADD-DEL" xfId="506" xr:uid="{00000000-0005-0000-0000-0000FE010000}"/>
    <cellStyle name="_801-CH (7) 8_SUBARTICO ADD-DEL 2" xfId="507" xr:uid="{00000000-0005-0000-0000-0000FF010000}"/>
    <cellStyle name="_801-CH (7) 9" xfId="508" xr:uid="{00000000-0005-0000-0000-000000020000}"/>
    <cellStyle name="_801-CH (7) 9 2" xfId="509" xr:uid="{00000000-0005-0000-0000-000001020000}"/>
    <cellStyle name="_801-CH (7) 9 3" xfId="510" xr:uid="{00000000-0005-0000-0000-000002020000}"/>
    <cellStyle name="_801-CH (7) 9 4" xfId="511" xr:uid="{00000000-0005-0000-0000-000003020000}"/>
    <cellStyle name="_801-CH (7) 9 5" xfId="512" xr:uid="{00000000-0005-0000-0000-000004020000}"/>
    <cellStyle name="_801-CH (7) 9_SUBARTICO ADD-DEL" xfId="513" xr:uid="{00000000-0005-0000-0000-000005020000}"/>
    <cellStyle name="_801-CH (7) 9_SUBARTICO ADD-DEL 2" xfId="514" xr:uid="{00000000-0005-0000-0000-000006020000}"/>
    <cellStyle name="_801-CH (7)_862-CH" xfId="515" xr:uid="{00000000-0005-0000-0000-000007020000}"/>
    <cellStyle name="_801-CH (7)_BSHNC162 (RFQ EE5409)1" xfId="516" xr:uid="{00000000-0005-0000-0000-000008020000}"/>
    <cellStyle name="_801-CH (7)_BSHNC162 (RFQ EE5409)1 2" xfId="517" xr:uid="{00000000-0005-0000-0000-000009020000}"/>
    <cellStyle name="_801-CH (7)_Ec-2376 to 2379 Add-del 318402413 2414 2374 318394491" xfId="518" xr:uid="{00000000-0005-0000-0000-00000A020000}"/>
    <cellStyle name="_801-CH (7)_Ec-2376 to 2379 Add-del 318402413 2414 2374 318394491 2" xfId="519" xr:uid="{00000000-0005-0000-0000-00000B020000}"/>
    <cellStyle name="_801-CH (7)_Ec-2376 to 2379 Add-del 318402413 2414 2374 318394491 3" xfId="520" xr:uid="{00000000-0005-0000-0000-00000C020000}"/>
    <cellStyle name="_801-CH (7)_Ec-2376 to 2379 Add-del 318402413 2414 2374 318394491 4" xfId="521" xr:uid="{00000000-0005-0000-0000-00000D020000}"/>
    <cellStyle name="_801-CH (7)_Ec-2376 to 2379 Add-del 318402413 2414 2374 318394491 5" xfId="522" xr:uid="{00000000-0005-0000-0000-00000E020000}"/>
    <cellStyle name="_801-CH (7)_Ec-2376 to 2379 Add-del 318402413 2414 2374 318394491_SUBARTICO ADD-DEL" xfId="523" xr:uid="{00000000-0005-0000-0000-00000F020000}"/>
    <cellStyle name="_801-CH (7)_Ec-2376 to 2379 Add-del 318402413 2414 2374 318394491_SUBARTICO ADD-DEL 2" xfId="524" xr:uid="{00000000-0005-0000-0000-000010020000}"/>
    <cellStyle name="_801-CH (7)_ESTIMATED ARES-10 PACKAGE 25NOV" xfId="525" xr:uid="{00000000-0005-0000-0000-000011020000}"/>
    <cellStyle name="_801-CH (7)_ESTIMATED ARES-10 PACKAGE 25NOV 2" xfId="526" xr:uid="{00000000-0005-0000-0000-000012020000}"/>
    <cellStyle name="_801-CH (7)_ESTIMATED ARES-10 PACKAGE 25NOV 3" xfId="24633" xr:uid="{00000000-0005-0000-0000-000013020000}"/>
    <cellStyle name="_801-CH (7)_ESTIMATED ARES-10 PACKAGE 25NOV_SUBARTICO ADD-DEL" xfId="527" xr:uid="{00000000-0005-0000-0000-000014020000}"/>
    <cellStyle name="_801-CH (7)_ESTIMATED ARES-10 PACKAGE 25NOV_SUBARTICO ADD-DEL 2" xfId="528" xr:uid="{00000000-0005-0000-0000-000015020000}"/>
    <cellStyle name="_801-CH (7)_SUBARTICO ADD-DEL" xfId="529" xr:uid="{00000000-0005-0000-0000-000016020000}"/>
    <cellStyle name="_801-CH (7)_SUBARTICO ADD-DEL 2" xfId="530" xr:uid="{00000000-0005-0000-0000-000017020000}"/>
    <cellStyle name="_801-CH (7)_W10251766 D" xfId="531" xr:uid="{00000000-0005-0000-0000-000018020000}"/>
    <cellStyle name="_801-CH (7)_W10279106 y W10279107 de MR a 56i" xfId="532" xr:uid="{00000000-0005-0000-0000-000019020000}"/>
    <cellStyle name="_801-CH (7)_W10315922 A" xfId="533" xr:uid="{00000000-0005-0000-0000-00001A020000}"/>
    <cellStyle name="_801-CH (7)_WC cleveland con spreadshet" xfId="534" xr:uid="{00000000-0005-0000-0000-00001B020000}"/>
    <cellStyle name="_801-CH (7)_WC cleveland con spreadshet 2" xfId="535" xr:uid="{00000000-0005-0000-0000-00001C020000}"/>
    <cellStyle name="_801-CH (7)_WC cleveland con spreadshet 3" xfId="24634" xr:uid="{00000000-0005-0000-0000-00001D020000}"/>
    <cellStyle name="_801-CH (7)_WC cleveland con spreadshet_SUBARTICO ADD-DEL" xfId="536" xr:uid="{00000000-0005-0000-0000-00001E020000}"/>
    <cellStyle name="_801-CH (7)_WC cleveland con spreadshet_SUBARTICO ADD-DEL 2" xfId="537" xr:uid="{00000000-0005-0000-0000-00001F020000}"/>
    <cellStyle name="_801-CH 10" xfId="24635" xr:uid="{00000000-0005-0000-0000-000020020000}"/>
    <cellStyle name="_801-CH 11" xfId="24636" xr:uid="{00000000-0005-0000-0000-000021020000}"/>
    <cellStyle name="_801-CH 12" xfId="24637" xr:uid="{00000000-0005-0000-0000-000022020000}"/>
    <cellStyle name="_801-CH 13" xfId="24638" xr:uid="{00000000-0005-0000-0000-000023020000}"/>
    <cellStyle name="_801-CH 2" xfId="538" xr:uid="{00000000-0005-0000-0000-000024020000}"/>
    <cellStyle name="_801-CH 3" xfId="539" xr:uid="{00000000-0005-0000-0000-000025020000}"/>
    <cellStyle name="_801-CH 4" xfId="24639" xr:uid="{00000000-0005-0000-0000-000026020000}"/>
    <cellStyle name="_801-CH 5" xfId="24640" xr:uid="{00000000-0005-0000-0000-000027020000}"/>
    <cellStyle name="_801-CH 6" xfId="24641" xr:uid="{00000000-0005-0000-0000-000028020000}"/>
    <cellStyle name="_801-CH 7" xfId="24642" xr:uid="{00000000-0005-0000-0000-000029020000}"/>
    <cellStyle name="_801-CH 8" xfId="24643" xr:uid="{00000000-0005-0000-0000-00002A020000}"/>
    <cellStyle name="_801-CH 9" xfId="24644" xr:uid="{00000000-0005-0000-0000-00002B020000}"/>
    <cellStyle name="_825-CH (2a  parte)" xfId="540" xr:uid="{00000000-0005-0000-0000-00002C020000}"/>
    <cellStyle name="_825-CH (2a  parte) 2" xfId="541" xr:uid="{00000000-0005-0000-0000-00002D020000}"/>
    <cellStyle name="_825-CH (2a  parte) 3" xfId="542" xr:uid="{00000000-0005-0000-0000-00002E020000}"/>
    <cellStyle name="_825-CH (2a  parte) 4" xfId="543" xr:uid="{00000000-0005-0000-0000-00002F020000}"/>
    <cellStyle name="_825-CH (4a parte)" xfId="544" xr:uid="{00000000-0005-0000-0000-000030020000}"/>
    <cellStyle name="_825-CH (4a parte) 2" xfId="545" xr:uid="{00000000-0005-0000-0000-000031020000}"/>
    <cellStyle name="_825-CH (4a parte) 3" xfId="546" xr:uid="{00000000-0005-0000-0000-000032020000}"/>
    <cellStyle name="_825-CH (4a parte) 4" xfId="547" xr:uid="{00000000-0005-0000-0000-000033020000}"/>
    <cellStyle name="_825-CH (CORONA 1a parte)" xfId="548" xr:uid="{00000000-0005-0000-0000-000034020000}"/>
    <cellStyle name="_825-CH (CORONA 1a parte) 2" xfId="549" xr:uid="{00000000-0005-0000-0000-000035020000}"/>
    <cellStyle name="_825-CH (CORONA 1a parte) 3" xfId="550" xr:uid="{00000000-0005-0000-0000-000036020000}"/>
    <cellStyle name="_825-CH (CORONA 1a parte) 4" xfId="551" xr:uid="{00000000-0005-0000-0000-000037020000}"/>
    <cellStyle name="_825-CH (CORONA 3a parte)" xfId="552" xr:uid="{00000000-0005-0000-0000-000038020000}"/>
    <cellStyle name="_825-CH (CORONA 3a parte) 2" xfId="553" xr:uid="{00000000-0005-0000-0000-000039020000}"/>
    <cellStyle name="_825-CH (CORONA 3a parte) 3" xfId="554" xr:uid="{00000000-0005-0000-0000-00003A020000}"/>
    <cellStyle name="_825-CH (CORONA 3a parte) 4" xfId="555" xr:uid="{00000000-0005-0000-0000-00003B020000}"/>
    <cellStyle name="_825-CH PROYECTO CORONA" xfId="556" xr:uid="{00000000-0005-0000-0000-00003C020000}"/>
    <cellStyle name="_825-CH PROYECTO CORONA 2" xfId="557" xr:uid="{00000000-0005-0000-0000-00003D020000}"/>
    <cellStyle name="_825-CH PROYECTO CORONA 3" xfId="558" xr:uid="{00000000-0005-0000-0000-00003E020000}"/>
    <cellStyle name="_8-27 - Integration Project - 103007 updated with JZ3" xfId="559" xr:uid="{00000000-0005-0000-0000-00003F020000}"/>
    <cellStyle name="_8-27 - Integration Project - 103007 updated with JZ3 2" xfId="560" xr:uid="{00000000-0005-0000-0000-000040020000}"/>
    <cellStyle name="_8-27 - Integration Project - 103007 updated with JZ3 3" xfId="561" xr:uid="{00000000-0005-0000-0000-000041020000}"/>
    <cellStyle name="_8-27 - Integration Project - 103007 updated with JZ3 4" xfId="562" xr:uid="{00000000-0005-0000-0000-000042020000}"/>
    <cellStyle name="_8-27 - Integration Project - 103007 updated with JZ3 5" xfId="563" xr:uid="{00000000-0005-0000-0000-000043020000}"/>
    <cellStyle name="_ACE_COMPARISON" xfId="564" xr:uid="{00000000-0005-0000-0000-000044020000}"/>
    <cellStyle name="_ACE_COMPARISON 2" xfId="565" xr:uid="{00000000-0005-0000-0000-000045020000}"/>
    <cellStyle name="_ACE_COMPARISON 3" xfId="24645" xr:uid="{00000000-0005-0000-0000-000046020000}"/>
    <cellStyle name="_Aceblank-ECI Final" xfId="566" xr:uid="{00000000-0005-0000-0000-000047020000}"/>
    <cellStyle name="_Aceblank-ECI Final 2" xfId="567" xr:uid="{00000000-0005-0000-0000-000048020000}"/>
    <cellStyle name="_Aceblank-ECI Final 2 2" xfId="568" xr:uid="{00000000-0005-0000-0000-000049020000}"/>
    <cellStyle name="_Aceblank-ECI Final 2 3" xfId="569" xr:uid="{00000000-0005-0000-0000-00004A020000}"/>
    <cellStyle name="_Aceblank-ECI Final 2 4" xfId="570" xr:uid="{00000000-0005-0000-0000-00004B020000}"/>
    <cellStyle name="_Aceblank-ECI Final 3" xfId="571" xr:uid="{00000000-0005-0000-0000-00004C020000}"/>
    <cellStyle name="_Aceblank-ECI Final 3 2" xfId="572" xr:uid="{00000000-0005-0000-0000-00004D020000}"/>
    <cellStyle name="_Aceblank-ECI Final 3 3" xfId="573" xr:uid="{00000000-0005-0000-0000-00004E020000}"/>
    <cellStyle name="_Aceblank-ECI Final 3 4" xfId="574" xr:uid="{00000000-0005-0000-0000-00004F020000}"/>
    <cellStyle name="_Aceblank-ECI Final 4" xfId="575" xr:uid="{00000000-0005-0000-0000-000050020000}"/>
    <cellStyle name="_Aceblank-ECI Final 5" xfId="576" xr:uid="{00000000-0005-0000-0000-000051020000}"/>
    <cellStyle name="_Aceblank-ECI Final_54" xfId="577" xr:uid="{00000000-0005-0000-0000-000052020000}"/>
    <cellStyle name="_Aceblank-ECI Final_54 2" xfId="578" xr:uid="{00000000-0005-0000-0000-000053020000}"/>
    <cellStyle name="_Aceblank-ECI Final_54 3" xfId="579" xr:uid="{00000000-0005-0000-0000-000054020000}"/>
    <cellStyle name="_Aceblank-ECI Final_54 4" xfId="580" xr:uid="{00000000-0005-0000-0000-000055020000}"/>
    <cellStyle name="_Aceblank-ECI Final_54 5" xfId="581" xr:uid="{00000000-0005-0000-0000-000056020000}"/>
    <cellStyle name="_Aceblank-ECI Final_54_SUBARTICO ADD-DEL" xfId="582" xr:uid="{00000000-0005-0000-0000-000057020000}"/>
    <cellStyle name="_Aceblank-ECI Final_54_SUBARTICO ADD-DEL 2" xfId="583" xr:uid="{00000000-0005-0000-0000-000058020000}"/>
    <cellStyle name="_Aceblank-ECI Final_57" xfId="584" xr:uid="{00000000-0005-0000-0000-000059020000}"/>
    <cellStyle name="_Aceblank-ECI Final_57 2" xfId="585" xr:uid="{00000000-0005-0000-0000-00005A020000}"/>
    <cellStyle name="_Aceblank-ECI Final_57 3" xfId="586" xr:uid="{00000000-0005-0000-0000-00005B020000}"/>
    <cellStyle name="_Aceblank-ECI Final_57 4" xfId="587" xr:uid="{00000000-0005-0000-0000-00005C020000}"/>
    <cellStyle name="_Aceblank-ECI Final_57 5" xfId="588" xr:uid="{00000000-0005-0000-0000-00005D020000}"/>
    <cellStyle name="_Aceblank-ECI Final_57_SUBARTICO ADD-DEL" xfId="589" xr:uid="{00000000-0005-0000-0000-00005E020000}"/>
    <cellStyle name="_Aceblank-ECI Final_57_SUBARTICO ADD-DEL 2" xfId="590" xr:uid="{00000000-0005-0000-0000-00005F020000}"/>
    <cellStyle name="_Aceblank-ECI Final_69" xfId="591" xr:uid="{00000000-0005-0000-0000-000060020000}"/>
    <cellStyle name="_Aceblank-ECI Final_69 2" xfId="592" xr:uid="{00000000-0005-0000-0000-000061020000}"/>
    <cellStyle name="_Aceblank-ECI Final_69 3" xfId="593" xr:uid="{00000000-0005-0000-0000-000062020000}"/>
    <cellStyle name="_Aceblank-ECI Final_69 4" xfId="594" xr:uid="{00000000-0005-0000-0000-000063020000}"/>
    <cellStyle name="_Aceblank-ECI Final_69 5" xfId="595" xr:uid="{00000000-0005-0000-0000-000064020000}"/>
    <cellStyle name="_Aceblank-ECI Final_69_SUBARTICO ADD-DEL" xfId="596" xr:uid="{00000000-0005-0000-0000-000065020000}"/>
    <cellStyle name="_Aceblank-ECI Final_69_SUBARTICO ADD-DEL 2" xfId="597" xr:uid="{00000000-0005-0000-0000-000066020000}"/>
    <cellStyle name="_Aceblank-ECI Final_79" xfId="598" xr:uid="{00000000-0005-0000-0000-000067020000}"/>
    <cellStyle name="_Aceblank-ECI Final_79 2" xfId="599" xr:uid="{00000000-0005-0000-0000-000068020000}"/>
    <cellStyle name="_Aceblank-ECI Final_79 3" xfId="600" xr:uid="{00000000-0005-0000-0000-000069020000}"/>
    <cellStyle name="_Aceblank-ECI Final_79 4" xfId="601" xr:uid="{00000000-0005-0000-0000-00006A020000}"/>
    <cellStyle name="_Aceblank-ECI Final_79 5" xfId="602" xr:uid="{00000000-0005-0000-0000-00006B020000}"/>
    <cellStyle name="_Aceblank-ECI Final_79_SUBARTICO ADD-DEL" xfId="603" xr:uid="{00000000-0005-0000-0000-00006C020000}"/>
    <cellStyle name="_Aceblank-ECI Final_79_SUBARTICO ADD-DEL 2" xfId="604" xr:uid="{00000000-0005-0000-0000-00006D020000}"/>
    <cellStyle name="_Aceblank-ECI Final_862-CH" xfId="605" xr:uid="{00000000-0005-0000-0000-00006E020000}"/>
    <cellStyle name="_Aceblank-ECI Final_BSHNC151 (RFQ EE4509)" xfId="606" xr:uid="{00000000-0005-0000-0000-00006F020000}"/>
    <cellStyle name="_Aceblank-ECI Final_BSHNC151 (RFQ EE4509) 2" xfId="607" xr:uid="{00000000-0005-0000-0000-000070020000}"/>
    <cellStyle name="_Aceblank-ECI Final_BSHNC162 (RFQ EE5409)1" xfId="608" xr:uid="{00000000-0005-0000-0000-000071020000}"/>
    <cellStyle name="_Aceblank-ECI Final_BSHNC162 (RFQ EE5409)1 2" xfId="609" xr:uid="{00000000-0005-0000-0000-000072020000}"/>
    <cellStyle name="_Aceblank-ECI Final_CAPEX - EMERSON - 19-JUL-10" xfId="610" xr:uid="{00000000-0005-0000-0000-000073020000}"/>
    <cellStyle name="_Aceblank-ECI Final_CAPEX 10-NOV bosch" xfId="611" xr:uid="{00000000-0005-0000-0000-000074020000}"/>
    <cellStyle name="_Aceblank-ECI Final_CAPEX 10-NOV bosch 2" xfId="612" xr:uid="{00000000-0005-0000-0000-000075020000}"/>
    <cellStyle name="_Aceblank-ECI Final_CAPEX P-SERVICE 21001999" xfId="613" xr:uid="{00000000-0005-0000-0000-000076020000}"/>
    <cellStyle name="_Aceblank-ECI Final_CAPEX P-SERVICE 21001999 2" xfId="614" xr:uid="{00000000-0005-0000-0000-000077020000}"/>
    <cellStyle name="_Aceblank-ECI Final_CAPEX P-SERVICE 21001999 3" xfId="615" xr:uid="{00000000-0005-0000-0000-000078020000}"/>
    <cellStyle name="_Aceblank-ECI Final_CAPEX P-SERVICE 21001999 4" xfId="616" xr:uid="{00000000-0005-0000-0000-000079020000}"/>
    <cellStyle name="_Aceblank-ECI Final_CAPEX P-SERVICE 37001157 (2)" xfId="617" xr:uid="{00000000-0005-0000-0000-00007A020000}"/>
    <cellStyle name="_Aceblank-ECI Final_CAPEX P-SERVICE 37001157 (2) 2" xfId="618" xr:uid="{00000000-0005-0000-0000-00007B020000}"/>
    <cellStyle name="_Aceblank-ECI Final_CAPEX P-SERVICE 37001157 (2) 3" xfId="619" xr:uid="{00000000-0005-0000-0000-00007C020000}"/>
    <cellStyle name="_Aceblank-ECI Final_CAPEX P-SERVICE 37001157 (2) 4" xfId="620" xr:uid="{00000000-0005-0000-0000-00007D020000}"/>
    <cellStyle name="_Aceblank-ECI Final_CAPEX P-SERVICE 37001157 (2) 5" xfId="621" xr:uid="{00000000-0005-0000-0000-00007E020000}"/>
    <cellStyle name="_Aceblank-ECI Final_CAPEX P-SERVICE 3957358" xfId="622" xr:uid="{00000000-0005-0000-0000-00007F020000}"/>
    <cellStyle name="_Aceblank-ECI Final_CAPEX P-SERVICE 3957358 (2)" xfId="623" xr:uid="{00000000-0005-0000-0000-000080020000}"/>
    <cellStyle name="_Aceblank-ECI Final_CAPEX P-SERVICE 3957358 (2) 2" xfId="624" xr:uid="{00000000-0005-0000-0000-000081020000}"/>
    <cellStyle name="_Aceblank-ECI Final_CAPEX P-SERVICE 3957358 (2) 3" xfId="625" xr:uid="{00000000-0005-0000-0000-000082020000}"/>
    <cellStyle name="_Aceblank-ECI Final_CAPEX P-SERVICE 3957358 (2) 4" xfId="626" xr:uid="{00000000-0005-0000-0000-000083020000}"/>
    <cellStyle name="_Aceblank-ECI Final_CAPEX P-SERVICE 3957358 10" xfId="627" xr:uid="{00000000-0005-0000-0000-000084020000}"/>
    <cellStyle name="_Aceblank-ECI Final_CAPEX P-SERVICE 3957358 11" xfId="628" xr:uid="{00000000-0005-0000-0000-000085020000}"/>
    <cellStyle name="_Aceblank-ECI Final_CAPEX P-SERVICE 3957358 2" xfId="629" xr:uid="{00000000-0005-0000-0000-000086020000}"/>
    <cellStyle name="_Aceblank-ECI Final_CAPEX P-SERVICE 3957358 3" xfId="630" xr:uid="{00000000-0005-0000-0000-000087020000}"/>
    <cellStyle name="_Aceblank-ECI Final_CAPEX P-SERVICE 3957358 4" xfId="631" xr:uid="{00000000-0005-0000-0000-000088020000}"/>
    <cellStyle name="_Aceblank-ECI Final_CAPEX P-SERVICE 3957358 5" xfId="632" xr:uid="{00000000-0005-0000-0000-000089020000}"/>
    <cellStyle name="_Aceblank-ECI Final_CAPEX P-SERVICE 3957358 6" xfId="633" xr:uid="{00000000-0005-0000-0000-00008A020000}"/>
    <cellStyle name="_Aceblank-ECI Final_CAPEX P-SERVICE 3957358 7" xfId="634" xr:uid="{00000000-0005-0000-0000-00008B020000}"/>
    <cellStyle name="_Aceblank-ECI Final_CAPEX P-SERVICE 3957358 8" xfId="635" xr:uid="{00000000-0005-0000-0000-00008C020000}"/>
    <cellStyle name="_Aceblank-ECI Final_CAPEX P-SERVICE 3957358 9" xfId="636" xr:uid="{00000000-0005-0000-0000-00008D020000}"/>
    <cellStyle name="_Aceblank-ECI Final_CAPEX P-SERVICE 3957377" xfId="637" xr:uid="{00000000-0005-0000-0000-00008E020000}"/>
    <cellStyle name="_Aceblank-ECI Final_CAPEX P-SERVICE 3957377 2" xfId="638" xr:uid="{00000000-0005-0000-0000-00008F020000}"/>
    <cellStyle name="_Aceblank-ECI Final_CAPEX P-SERVICE 3957377 3" xfId="639" xr:uid="{00000000-0005-0000-0000-000090020000}"/>
    <cellStyle name="_Aceblank-ECI Final_CAPEX P-SERVICE 3957377 4" xfId="640" xr:uid="{00000000-0005-0000-0000-000091020000}"/>
    <cellStyle name="_Aceblank-ECI Final_CAPEX P-SERVICE 3957377 5" xfId="641" xr:uid="{00000000-0005-0000-0000-000092020000}"/>
    <cellStyle name="_Aceblank-ECI Final_CAPEX P-SERVICE 8283175" xfId="642" xr:uid="{00000000-0005-0000-0000-000093020000}"/>
    <cellStyle name="_Aceblank-ECI Final_CAPEX P-SERVICE 8283175 2" xfId="643" xr:uid="{00000000-0005-0000-0000-000094020000}"/>
    <cellStyle name="_Aceblank-ECI Final_CAPEX P-SERVICE 8283175 3" xfId="644" xr:uid="{00000000-0005-0000-0000-000095020000}"/>
    <cellStyle name="_Aceblank-ECI Final_CAPEX P-SERVICE 8283175 4" xfId="645" xr:uid="{00000000-0005-0000-0000-000096020000}"/>
    <cellStyle name="_Aceblank-ECI Final_CAPEX P-SERVICE 8299848" xfId="646" xr:uid="{00000000-0005-0000-0000-000097020000}"/>
    <cellStyle name="_Aceblank-ECI Final_CAPEX P-SERVICE 8299848 2" xfId="647" xr:uid="{00000000-0005-0000-0000-000098020000}"/>
    <cellStyle name="_Aceblank-ECI Final_CAPEX P-SERVICE 8299848 3" xfId="648" xr:uid="{00000000-0005-0000-0000-000099020000}"/>
    <cellStyle name="_Aceblank-ECI Final_CAPEX P-SERVICE 8299848 4" xfId="649" xr:uid="{00000000-0005-0000-0000-00009A020000}"/>
    <cellStyle name="_Aceblank-ECI Final_CAPEX P-SERVICE 8299949" xfId="650" xr:uid="{00000000-0005-0000-0000-00009B020000}"/>
    <cellStyle name="_Aceblank-ECI Final_CAPEX P-SERVICE 8299949 2" xfId="651" xr:uid="{00000000-0005-0000-0000-00009C020000}"/>
    <cellStyle name="_Aceblank-ECI Final_CAPEX P-SERVICE 8299949 3" xfId="652" xr:uid="{00000000-0005-0000-0000-00009D020000}"/>
    <cellStyle name="_Aceblank-ECI Final_CAPEX P-SERVICE 8299949 4" xfId="653" xr:uid="{00000000-0005-0000-0000-00009E020000}"/>
    <cellStyle name="_Aceblank-ECI Final_CAPEX P-SERVICE 8299949 5" xfId="654" xr:uid="{00000000-0005-0000-0000-00009F020000}"/>
    <cellStyle name="_Aceblank-ECI Final_ESTIMATED ARES-10 PACKAGE 25NOV" xfId="655" xr:uid="{00000000-0005-0000-0000-0000A0020000}"/>
    <cellStyle name="_Aceblank-ECI Final_ESTIMATED ARES-10 PACKAGE 25NOV 2" xfId="656" xr:uid="{00000000-0005-0000-0000-0000A1020000}"/>
    <cellStyle name="_Aceblank-ECI Final_ESTIMATED ARES-10 PACKAGE 25NOV 3" xfId="24646" xr:uid="{00000000-0005-0000-0000-0000A2020000}"/>
    <cellStyle name="_Aceblank-ECI Final_ESTIMATED ARES-10 PACKAGE 25NOV_SUBARTICO ADD-DEL" xfId="657" xr:uid="{00000000-0005-0000-0000-0000A3020000}"/>
    <cellStyle name="_Aceblank-ECI Final_ESTIMATED ARES-10 PACKAGE 25NOV_SUBARTICO ADD-DEL 2" xfId="658" xr:uid="{00000000-0005-0000-0000-0000A4020000}"/>
    <cellStyle name="_Aceblank-ECI Final_SUBARTICO ADD-DEL" xfId="659" xr:uid="{00000000-0005-0000-0000-0000A5020000}"/>
    <cellStyle name="_Aceblank-ECI Final_SUBARTICO ADD-DEL 2" xfId="660" xr:uid="{00000000-0005-0000-0000-0000A6020000}"/>
    <cellStyle name="_Aceblank-ECI Final_W10251766 D" xfId="661" xr:uid="{00000000-0005-0000-0000-0000A7020000}"/>
    <cellStyle name="_Aceblank-ECI Final_W10279106 y W10279107 de MR a 56i" xfId="662" xr:uid="{00000000-0005-0000-0000-0000A8020000}"/>
    <cellStyle name="_Aceblank-ECI Final_W10315922 A" xfId="663" xr:uid="{00000000-0005-0000-0000-0000A9020000}"/>
    <cellStyle name="_Aceblank-ECI Final_WC cleveland con spreadshet" xfId="664" xr:uid="{00000000-0005-0000-0000-0000AA020000}"/>
    <cellStyle name="_Aceblank-ECI Final_WC cleveland con spreadshet 2" xfId="665" xr:uid="{00000000-0005-0000-0000-0000AB020000}"/>
    <cellStyle name="_Aceblank-ECI Final_WC cleveland con spreadshet 3" xfId="24647" xr:uid="{00000000-0005-0000-0000-0000AC020000}"/>
    <cellStyle name="_Aceblank-ECI Final_WC cleveland con spreadshet_SUBARTICO ADD-DEL" xfId="666" xr:uid="{00000000-0005-0000-0000-0000AD020000}"/>
    <cellStyle name="_Aceblank-ECI Final_WC cleveland con spreadshet_SUBARTICO ADD-DEL 2" xfId="667" xr:uid="{00000000-0005-0000-0000-0000AE020000}"/>
    <cellStyle name="_Aceblank-ECI Final_WPN163 8576530" xfId="668" xr:uid="{00000000-0005-0000-0000-0000AF020000}"/>
    <cellStyle name="_Aceblank-ECI Final_WPN163 8576530 2" xfId="669" xr:uid="{00000000-0005-0000-0000-0000B0020000}"/>
    <cellStyle name="_Aceblank-ECI Final_WPN163 8576530 3" xfId="670" xr:uid="{00000000-0005-0000-0000-0000B1020000}"/>
    <cellStyle name="_Aceblank-ECI Final_WPN163 8576530 4" xfId="671" xr:uid="{00000000-0005-0000-0000-0000B2020000}"/>
    <cellStyle name="_Add&amp;del 316506217 316506241 316253704" xfId="672" xr:uid="{00000000-0005-0000-0000-0000B3020000}"/>
    <cellStyle name="_ADDDEL 21 ENERO 2009 (PKT1)" xfId="673" xr:uid="{00000000-0005-0000-0000-0000B4020000}"/>
    <cellStyle name="_ADDDEL 21 ENERO 2009 (PKT1) 2" xfId="674" xr:uid="{00000000-0005-0000-0000-0000B5020000}"/>
    <cellStyle name="_ADDDEL 21 ENERO 2009 (PKT1) 3" xfId="675" xr:uid="{00000000-0005-0000-0000-0000B6020000}"/>
    <cellStyle name="_ADDDEL 21 ENERO 2009 (PKT1) 4" xfId="676" xr:uid="{00000000-0005-0000-0000-0000B7020000}"/>
    <cellStyle name="_ADDDEL 21 ENERO 2009 (PKT1) 5" xfId="677" xr:uid="{00000000-0005-0000-0000-0000B8020000}"/>
    <cellStyle name="_ADDDEL 21 ENERO 2009 (PKT3)" xfId="678" xr:uid="{00000000-0005-0000-0000-0000B9020000}"/>
    <cellStyle name="_ADDDEL 21 ENERO 2009 (PKT3) 2" xfId="679" xr:uid="{00000000-0005-0000-0000-0000BA020000}"/>
    <cellStyle name="_ADDDEL 21 ENERO 2009 (PKT3) 3" xfId="680" xr:uid="{00000000-0005-0000-0000-0000BB020000}"/>
    <cellStyle name="_ADDDEL 21 ENERO 2009 (PKT3) 4" xfId="681" xr:uid="{00000000-0005-0000-0000-0000BC020000}"/>
    <cellStyle name="_ADDDEL 21 ENERO 2009 (PKT3) 5" xfId="682" xr:uid="{00000000-0005-0000-0000-0000BD020000}"/>
    <cellStyle name="_ADDDEL 27 ENERO 2009 (Reemplazos)" xfId="683" xr:uid="{00000000-0005-0000-0000-0000BE020000}"/>
    <cellStyle name="_ADDDEL 27 ENERO 2009 (Reemplazos) 2" xfId="684" xr:uid="{00000000-0005-0000-0000-0000BF020000}"/>
    <cellStyle name="_ADDDEL 27 ENERO 2009 (Reemplazos) 2 2" xfId="685" xr:uid="{00000000-0005-0000-0000-0000C0020000}"/>
    <cellStyle name="_ADDDEL 27 ENERO 2009 (Reemplazos) 2 3" xfId="686" xr:uid="{00000000-0005-0000-0000-0000C1020000}"/>
    <cellStyle name="_ADDDEL 27 ENERO 2009 (Reemplazos) 2 4" xfId="687" xr:uid="{00000000-0005-0000-0000-0000C2020000}"/>
    <cellStyle name="_ADDDEL 27 ENERO 2009 (Reemplazos) 3" xfId="688" xr:uid="{00000000-0005-0000-0000-0000C3020000}"/>
    <cellStyle name="_Adddel 316525600 5601 5610 5614 5625 5626 5627" xfId="689" xr:uid="{00000000-0005-0000-0000-0000C4020000}"/>
    <cellStyle name="_Adddel 316525600 5601 5610 5614 5625 5626 5627 2" xfId="690" xr:uid="{00000000-0005-0000-0000-0000C5020000}"/>
    <cellStyle name="_Adddel 316525600 5601 5610 5614 5625 5626 5627 3" xfId="24648" xr:uid="{00000000-0005-0000-0000-0000C6020000}"/>
    <cellStyle name="_Add-del 318224859 318384464 318384463 todos A" xfId="691" xr:uid="{00000000-0005-0000-0000-0000C7020000}"/>
    <cellStyle name="_Add-del 318224859 318384464 318384463 todos A 2" xfId="692" xr:uid="{00000000-0005-0000-0000-0000C8020000}"/>
    <cellStyle name="_Add-del 318224859 318384464 318384463 todos A 2 2" xfId="693" xr:uid="{00000000-0005-0000-0000-0000C9020000}"/>
    <cellStyle name="_Add-del 318224859 318384464 318384463 todos A 2 3" xfId="694" xr:uid="{00000000-0005-0000-0000-0000CA020000}"/>
    <cellStyle name="_Add-del 318224859 318384464 318384463 todos A 2 4" xfId="695" xr:uid="{00000000-0005-0000-0000-0000CB020000}"/>
    <cellStyle name="_Add-del 318224859 318384464 318384463 todos A 3" xfId="24649" xr:uid="{00000000-0005-0000-0000-0000CC020000}"/>
    <cellStyle name="_Add-del 318306604 A" xfId="696" xr:uid="{00000000-0005-0000-0000-0000CD020000}"/>
    <cellStyle name="_Add-del 318306604 A 2" xfId="697" xr:uid="{00000000-0005-0000-0000-0000CE020000}"/>
    <cellStyle name="_Add-del 318306604 A 3" xfId="698" xr:uid="{00000000-0005-0000-0000-0000CF020000}"/>
    <cellStyle name="_Add-del 318532182 318532183 318532185 318532186 (new's)" xfId="699" xr:uid="{00000000-0005-0000-0000-0000D0020000}"/>
    <cellStyle name="_Add-del 318532182 318532183 318532185 318532186 (new's) 2" xfId="700" xr:uid="{00000000-0005-0000-0000-0000D1020000}"/>
    <cellStyle name="_Add-del 318532182 318532183 318532185 318532186 (new's) 3" xfId="701" xr:uid="{00000000-0005-0000-0000-0000D2020000}"/>
    <cellStyle name="_Add-del 318532182 318532183 318532185 318532186 (new's) 4" xfId="702" xr:uid="{00000000-0005-0000-0000-0000D3020000}"/>
    <cellStyle name="_add-del Jeff Crowder" xfId="703" xr:uid="{00000000-0005-0000-0000-0000D4020000}"/>
    <cellStyle name="_add-del Jeff Crowder 2" xfId="704" xr:uid="{00000000-0005-0000-0000-0000D5020000}"/>
    <cellStyle name="_add-del Jeff Crowder 3" xfId="705" xr:uid="{00000000-0005-0000-0000-0000D6020000}"/>
    <cellStyle name="_Add-Del Kinston New Parts" xfId="706" xr:uid="{00000000-0005-0000-0000-0000D7020000}"/>
    <cellStyle name="_Add-Del Kinston New Parts 2" xfId="707" xr:uid="{00000000-0005-0000-0000-0000D8020000}"/>
    <cellStyle name="_Add-Del Kinston New Parts 3" xfId="708" xr:uid="{00000000-0005-0000-0000-0000D9020000}"/>
    <cellStyle name="_Add-Del Kinston New Parts 4" xfId="709" xr:uid="{00000000-0005-0000-0000-0000DA020000}"/>
    <cellStyle name="_Add-Del Kinston New Parts 5" xfId="710" xr:uid="{00000000-0005-0000-0000-0000DB020000}"/>
    <cellStyle name="_ALL BOM" xfId="711" xr:uid="{00000000-0005-0000-0000-0000DC020000}"/>
    <cellStyle name="_ALL BOM 2" xfId="712" xr:uid="{00000000-0005-0000-0000-0000DD020000}"/>
    <cellStyle name="_ALL BOM 3" xfId="713" xr:uid="{00000000-0005-0000-0000-0000DE020000}"/>
    <cellStyle name="_ALL BOM 4" xfId="714" xr:uid="{00000000-0005-0000-0000-0000DF020000}"/>
    <cellStyle name="_ALL BOM 5" xfId="715" xr:uid="{00000000-0005-0000-0000-0000E0020000}"/>
    <cellStyle name="_APQP Gates1" xfId="716" xr:uid="{00000000-0005-0000-0000-0000E1020000}"/>
    <cellStyle name="_APQP Gates1 2" xfId="717" xr:uid="{00000000-0005-0000-0000-0000E2020000}"/>
    <cellStyle name="_APQP Gates1 2 2" xfId="24650" xr:uid="{00000000-0005-0000-0000-0000E3020000}"/>
    <cellStyle name="_APQP Gates1 2 2 2" xfId="24651" xr:uid="{00000000-0005-0000-0000-0000E4020000}"/>
    <cellStyle name="_APQP Gates1 2 2 3" xfId="24652" xr:uid="{00000000-0005-0000-0000-0000E5020000}"/>
    <cellStyle name="_APQP Gates1 2 3" xfId="24653" xr:uid="{00000000-0005-0000-0000-0000E6020000}"/>
    <cellStyle name="_APQP Gates1 2 4" xfId="24654" xr:uid="{00000000-0005-0000-0000-0000E7020000}"/>
    <cellStyle name="_APQP Gates1 3" xfId="718" xr:uid="{00000000-0005-0000-0000-0000E8020000}"/>
    <cellStyle name="_APQP Gates1 3 2" xfId="24655" xr:uid="{00000000-0005-0000-0000-0000E9020000}"/>
    <cellStyle name="_APQP Gates1 3 2 2" xfId="24656" xr:uid="{00000000-0005-0000-0000-0000EA020000}"/>
    <cellStyle name="_APQP Gates1 3 2 3" xfId="24657" xr:uid="{00000000-0005-0000-0000-0000EB020000}"/>
    <cellStyle name="_APQP Gates1 3 3" xfId="24658" xr:uid="{00000000-0005-0000-0000-0000EC020000}"/>
    <cellStyle name="_APQP Gates1 3 4" xfId="24659" xr:uid="{00000000-0005-0000-0000-0000ED020000}"/>
    <cellStyle name="_APQP Gates1 4" xfId="719" xr:uid="{00000000-0005-0000-0000-0000EE020000}"/>
    <cellStyle name="_APQP Gates1 4 2" xfId="24660" xr:uid="{00000000-0005-0000-0000-0000EF020000}"/>
    <cellStyle name="_APQP Gates1 4 2 2" xfId="24661" xr:uid="{00000000-0005-0000-0000-0000F0020000}"/>
    <cellStyle name="_APQP Gates1 4 2 3" xfId="24662" xr:uid="{00000000-0005-0000-0000-0000F1020000}"/>
    <cellStyle name="_APQP Gates1 4 3" xfId="24663" xr:uid="{00000000-0005-0000-0000-0000F2020000}"/>
    <cellStyle name="_APQP Gates1 4 4" xfId="24664" xr:uid="{00000000-0005-0000-0000-0000F3020000}"/>
    <cellStyle name="_APQP Gates1 5" xfId="720" xr:uid="{00000000-0005-0000-0000-0000F4020000}"/>
    <cellStyle name="_APQP Gates1 5 2" xfId="24665" xr:uid="{00000000-0005-0000-0000-0000F5020000}"/>
    <cellStyle name="_APQP Gates1 5 2 2" xfId="24666" xr:uid="{00000000-0005-0000-0000-0000F6020000}"/>
    <cellStyle name="_APQP Gates1 5 2 3" xfId="24667" xr:uid="{00000000-0005-0000-0000-0000F7020000}"/>
    <cellStyle name="_APQP Gates1 5 3" xfId="24668" xr:uid="{00000000-0005-0000-0000-0000F8020000}"/>
    <cellStyle name="_APQP Gates1 5 4" xfId="24669" xr:uid="{00000000-0005-0000-0000-0000F9020000}"/>
    <cellStyle name="_APQP Gates1 6" xfId="24670" xr:uid="{00000000-0005-0000-0000-0000FA020000}"/>
    <cellStyle name="_APQP Gates1 6 2" xfId="24671" xr:uid="{00000000-0005-0000-0000-0000FB020000}"/>
    <cellStyle name="_APQP Gates1 6 3" xfId="24672" xr:uid="{00000000-0005-0000-0000-0000FC020000}"/>
    <cellStyle name="_APQP Gates1 7" xfId="24673" xr:uid="{00000000-0005-0000-0000-0000FD020000}"/>
    <cellStyle name="_APQP Gates1 8" xfId="24674" xr:uid="{00000000-0005-0000-0000-0000FE020000}"/>
    <cellStyle name="_APQP Gates1_SUBARTICO ADD-DEL" xfId="721" xr:uid="{00000000-0005-0000-0000-0000FF020000}"/>
    <cellStyle name="_APQP Gates1_SUBARTICO ADD-DEL 2" xfId="722" xr:uid="{00000000-0005-0000-0000-000000030000}"/>
    <cellStyle name="_Attachment A 5-30" xfId="723" xr:uid="{00000000-0005-0000-0000-000001030000}"/>
    <cellStyle name="_Attachment A 5-30 2" xfId="724" xr:uid="{00000000-0005-0000-0000-000002030000}"/>
    <cellStyle name="_Attachment A 5-30 3" xfId="725" xr:uid="{00000000-0005-0000-0000-000003030000}"/>
    <cellStyle name="_Attachment A 5-30 4" xfId="726" xr:uid="{00000000-0005-0000-0000-000004030000}"/>
    <cellStyle name="_Attachment A 5-30 5" xfId="727" xr:uid="{00000000-0005-0000-0000-000005030000}"/>
    <cellStyle name="_BOMS Y CAPEX QUOTE 760-CH" xfId="728" xr:uid="{00000000-0005-0000-0000-000006030000}"/>
    <cellStyle name="_BOMS Y CAPEX QUOTE 760-CH 2" xfId="729" xr:uid="{00000000-0005-0000-0000-000007030000}"/>
    <cellStyle name="_BOMS Y CAPEX QUOTE 760-CH 3" xfId="730" xr:uid="{00000000-0005-0000-0000-000008030000}"/>
    <cellStyle name="_Book10" xfId="731" xr:uid="{00000000-0005-0000-0000-000009030000}"/>
    <cellStyle name="_Book10 2" xfId="732" xr:uid="{00000000-0005-0000-0000-00000A030000}"/>
    <cellStyle name="_Book10 3" xfId="733" xr:uid="{00000000-0005-0000-0000-00000B030000}"/>
    <cellStyle name="_Book10 4" xfId="734" xr:uid="{00000000-0005-0000-0000-00000C030000}"/>
    <cellStyle name="_Book10 5" xfId="735" xr:uid="{00000000-0005-0000-0000-00000D030000}"/>
    <cellStyle name="_Book12" xfId="736" xr:uid="{00000000-0005-0000-0000-00000E030000}"/>
    <cellStyle name="_Book12 2" xfId="737" xr:uid="{00000000-0005-0000-0000-00000F030000}"/>
    <cellStyle name="_Book12 3" xfId="738" xr:uid="{00000000-0005-0000-0000-000010030000}"/>
    <cellStyle name="_Book12 4" xfId="739" xr:uid="{00000000-0005-0000-0000-000011030000}"/>
    <cellStyle name="_Book12 5" xfId="740" xr:uid="{00000000-0005-0000-0000-000012030000}"/>
    <cellStyle name="_Book2 (4)" xfId="741" xr:uid="{00000000-0005-0000-0000-000013030000}"/>
    <cellStyle name="_Book2 (4) 2" xfId="742" xr:uid="{00000000-0005-0000-0000-000014030000}"/>
    <cellStyle name="_Book2 (4) 3" xfId="743" xr:uid="{00000000-0005-0000-0000-000015030000}"/>
    <cellStyle name="_Book2 (4) 4" xfId="744" xr:uid="{00000000-0005-0000-0000-000016030000}"/>
    <cellStyle name="_Book2 (4) 5" xfId="745" xr:uid="{00000000-0005-0000-0000-000017030000}"/>
    <cellStyle name="_Book31" xfId="746" xr:uid="{00000000-0005-0000-0000-000018030000}"/>
    <cellStyle name="_Book31 2" xfId="747" xr:uid="{00000000-0005-0000-0000-000019030000}"/>
    <cellStyle name="_Book31 3" xfId="748" xr:uid="{00000000-0005-0000-0000-00001A030000}"/>
    <cellStyle name="_Book31 4" xfId="749" xr:uid="{00000000-0005-0000-0000-00001B030000}"/>
    <cellStyle name="_Book31 5" xfId="750" xr:uid="{00000000-0005-0000-0000-00001C030000}"/>
    <cellStyle name="_BOSH RFQ EE4908" xfId="751" xr:uid="{00000000-0005-0000-0000-00001D030000}"/>
    <cellStyle name="_BOSH RFQ EE4908 2" xfId="752" xr:uid="{00000000-0005-0000-0000-00001E030000}"/>
    <cellStyle name="_BOSH RFQ EE4908 3" xfId="24675" xr:uid="{00000000-0005-0000-0000-00001F030000}"/>
    <cellStyle name="_BOSH RFQ EE4908_825-CH PROYECTO CORONA" xfId="753" xr:uid="{00000000-0005-0000-0000-000020030000}"/>
    <cellStyle name="_BOSH RFQ EE4908_825-CH PROYECTO CORONA 2" xfId="754" xr:uid="{00000000-0005-0000-0000-000021030000}"/>
    <cellStyle name="_BOSH RFQ EE4908_825-CH PROYECTO CORONA 3" xfId="755" xr:uid="{00000000-0005-0000-0000-000022030000}"/>
    <cellStyle name="_BOSH RFQ EE4908_825-CH PROYECTO CORONA_862-CH" xfId="756" xr:uid="{00000000-0005-0000-0000-000023030000}"/>
    <cellStyle name="_BOSH RFQ EE4908_825-CH PROYECTO CORONA_W10251766 D" xfId="757" xr:uid="{00000000-0005-0000-0000-000024030000}"/>
    <cellStyle name="_BOSH RFQ EE4908_825-CH PROYECTO CORONA_W10279106 y W10279107 de MR a 56i" xfId="758" xr:uid="{00000000-0005-0000-0000-000025030000}"/>
    <cellStyle name="_BOSH RFQ EE4908_825-CH PROYECTO CORONA_W10315922 A" xfId="759" xr:uid="{00000000-0005-0000-0000-000026030000}"/>
    <cellStyle name="_BOSH RFQ EE4908_AP3040 Phoenix project 061709" xfId="760" xr:uid="{00000000-0005-0000-0000-000027030000}"/>
    <cellStyle name="_BOSH RFQ EE4908_AP3040 Phoenix project 061709 2" xfId="761" xr:uid="{00000000-0005-0000-0000-000028030000}"/>
    <cellStyle name="_BOSH RFQ EE4908_AP3040 Phoenix project 061709 3" xfId="762" xr:uid="{00000000-0005-0000-0000-000029030000}"/>
    <cellStyle name="_BOSH RFQ EE4908_AP3040 Phoenix project 061709 4" xfId="763" xr:uid="{00000000-0005-0000-0000-00002A030000}"/>
    <cellStyle name="_BOSH RFQ EE4908_AP3040 Phoenix project 061709 5" xfId="764" xr:uid="{00000000-0005-0000-0000-00002B030000}"/>
    <cellStyle name="_BOSH RFQ EE4908_BSHNC144(RFQ EE2909)gs" xfId="765" xr:uid="{00000000-0005-0000-0000-00002C030000}"/>
    <cellStyle name="_BOSH RFQ EE4908_BSHNC144(RFQ EE2909)gs_BSHTN061" xfId="766" xr:uid="{00000000-0005-0000-0000-00002D030000}"/>
    <cellStyle name="_BOSH RFQ EE4908_BSHNC144(RFQ EE2909)gs_BSHTN067" xfId="767" xr:uid="{00000000-0005-0000-0000-00002E030000}"/>
    <cellStyle name="_BOSH RFQ EE4908_BSHNC144(RFQ EE2909)gs_BSHTN071" xfId="768" xr:uid="{00000000-0005-0000-0000-00002F030000}"/>
    <cellStyle name="_BOSH RFQ EE4908_BSHNC145(RFQ EE2909)" xfId="769" xr:uid="{00000000-0005-0000-0000-000030030000}"/>
    <cellStyle name="_BOSH RFQ EE4908_BSHNC145(RFQ EE2909)_BSHNC151 (RFQ EE4509)" xfId="770" xr:uid="{00000000-0005-0000-0000-000031030000}"/>
    <cellStyle name="_BOSH RFQ EE4908_BSHNC145(RFQ EE2909)_BSHNC162 (RFQ EE5409)" xfId="771" xr:uid="{00000000-0005-0000-0000-000032030000}"/>
    <cellStyle name="_BOSH RFQ EE4908_BSHNC145(RFQ EE2909)_Quote BSHNC163" xfId="772" xr:uid="{00000000-0005-0000-0000-000033030000}"/>
    <cellStyle name="_BOSH RFQ EE4908_BSHTN061" xfId="773" xr:uid="{00000000-0005-0000-0000-000034030000}"/>
    <cellStyle name="_BOSH RFQ EE4908_CAPEX 10-NOV bosch" xfId="774" xr:uid="{00000000-0005-0000-0000-000035030000}"/>
    <cellStyle name="_BOSH RFQ EE4908_CAPEX 10-NOV bosch tn" xfId="775" xr:uid="{00000000-0005-0000-0000-000036030000}"/>
    <cellStyle name="_BOSH RFQ EE4908_CAPEX 10-NOV bosch_BSHNC162 (RFQ EE5409)1" xfId="776" xr:uid="{00000000-0005-0000-0000-000037030000}"/>
    <cellStyle name="_BOSH RFQ EE4908_CAPEX 20-AGO BOSCH NC" xfId="777" xr:uid="{00000000-0005-0000-0000-000038030000}"/>
    <cellStyle name="_BOSH RFQ EE4908_CAPEX 20-AGO BOSCH NC_BSHNC151 (RFQ EE4509)" xfId="778" xr:uid="{00000000-0005-0000-0000-000039030000}"/>
    <cellStyle name="_BOSH RFQ EE4908_CAPEX 20-AGO BOSCH NC_BSHNC162 (RFQ EE5409)" xfId="779" xr:uid="{00000000-0005-0000-0000-00003A030000}"/>
    <cellStyle name="_BOSH RFQ EE4908_CAPEX 20-AGO BOSCH NC_Quote BSHNC163" xfId="780" xr:uid="{00000000-0005-0000-0000-00003B030000}"/>
    <cellStyle name="_BOSH RFQ EE4908_CAPEX 25-AGO BOSCH NC" xfId="781" xr:uid="{00000000-0005-0000-0000-00003C030000}"/>
    <cellStyle name="_BOSH RFQ EE4908_CAPEX 25-AGO BOSCH NC_BSHNC151 (RFQ EE4509)" xfId="782" xr:uid="{00000000-0005-0000-0000-00003D030000}"/>
    <cellStyle name="_BOSH RFQ EE4908_CAPEX 25-AGO BOSCH NC_BSHNC162 (RFQ EE5409)" xfId="783" xr:uid="{00000000-0005-0000-0000-00003E030000}"/>
    <cellStyle name="_BOSH RFQ EE4908_CAPEX 25-AGO BOSCH NC_Quote BSHNC163" xfId="784" xr:uid="{00000000-0005-0000-0000-00003F030000}"/>
    <cellStyle name="_BOSH RFQ EE4908_CAPEX 30-SEP BOSCH TN" xfId="785" xr:uid="{00000000-0005-0000-0000-000040030000}"/>
    <cellStyle name="_BOSH RFQ EE4908_CONCENTRATED QUOTE WLP474" xfId="786" xr:uid="{00000000-0005-0000-0000-000041030000}"/>
    <cellStyle name="_BOSH RFQ EE4908_CONCENTRATED QUOTE WLP474 2" xfId="787" xr:uid="{00000000-0005-0000-0000-000042030000}"/>
    <cellStyle name="_BOSH RFQ EE4908_CONCENTRATED QUOTE WLP474 3" xfId="788" xr:uid="{00000000-0005-0000-0000-000043030000}"/>
    <cellStyle name="_BOSH RFQ EE4908_CONCENTRATED QUOTE WLP474 4" xfId="789" xr:uid="{00000000-0005-0000-0000-000044030000}"/>
    <cellStyle name="_BOSH RFQ EE4908_CONCENTRATED QUOTE WLP550" xfId="790" xr:uid="{00000000-0005-0000-0000-000045030000}"/>
    <cellStyle name="_BOSH RFQ EE4908_CONCENTRATED QUOTE WLP550 2" xfId="791" xr:uid="{00000000-0005-0000-0000-000046030000}"/>
    <cellStyle name="_BOSH RFQ EE4908_CONCENTRATED QUOTE WLP550 3" xfId="792" xr:uid="{00000000-0005-0000-0000-000047030000}"/>
    <cellStyle name="_BOSH RFQ EE4908_CONCENTRATED QUOTE WLP550 4" xfId="793" xr:uid="{00000000-0005-0000-0000-000048030000}"/>
    <cellStyle name="_BOSH RFQ EE4908_CONCENTRATED QUOTE WLP550 5" xfId="794" xr:uid="{00000000-0005-0000-0000-000049030000}"/>
    <cellStyle name="_BOSH RFQ EE4908_CONCENTRATED QUOTE WLP559" xfId="795" xr:uid="{00000000-0005-0000-0000-00004A030000}"/>
    <cellStyle name="_BOSH RFQ EE4908_CONCENTRATED QUOTE WLP568" xfId="796" xr:uid="{00000000-0005-0000-0000-00004B030000}"/>
    <cellStyle name="_BOSH RFQ EE4908_CONCENTRATED QUOTE WLP571" xfId="797" xr:uid="{00000000-0005-0000-0000-00004C030000}"/>
    <cellStyle name="_BOSH RFQ EE4908_CONCENTRATED QUOTE WLP574  ALPHA" xfId="798" xr:uid="{00000000-0005-0000-0000-00004D030000}"/>
    <cellStyle name="_BOSH RFQ EE4908_CONCENTRATED QUOTE WLP574  ALPHA 2" xfId="799" xr:uid="{00000000-0005-0000-0000-00004E030000}"/>
    <cellStyle name="_BOSH RFQ EE4908_CONCENTRATED QUOTE WLP574  ALPHA 3" xfId="800" xr:uid="{00000000-0005-0000-0000-00004F030000}"/>
    <cellStyle name="_BOSH RFQ EE4908_CONCENTRATED QUOTE WLP574  ALPHA 4" xfId="801" xr:uid="{00000000-0005-0000-0000-000050030000}"/>
    <cellStyle name="_BOSH RFQ EE4908_CONCENTRATED QUOTE WLP574  ALPHA 5" xfId="802" xr:uid="{00000000-0005-0000-0000-000051030000}"/>
    <cellStyle name="_BOSH RFQ EE4908_Estimated Quote 050609 039" xfId="803" xr:uid="{00000000-0005-0000-0000-000052030000}"/>
    <cellStyle name="_BOSH RFQ EE4908_Estimated Quote 050609 039 2" xfId="804" xr:uid="{00000000-0005-0000-0000-000053030000}"/>
    <cellStyle name="_BOSH RFQ EE4908_Estimated Quote 050609 039 3" xfId="805" xr:uid="{00000000-0005-0000-0000-000054030000}"/>
    <cellStyle name="_BOSH RFQ EE4908_Estimated Quote 050609 039 4" xfId="806" xr:uid="{00000000-0005-0000-0000-000055030000}"/>
    <cellStyle name="_BOSH RFQ EE4908_Estimated Quote 050609 039 5" xfId="807" xr:uid="{00000000-0005-0000-0000-000056030000}"/>
    <cellStyle name="_BOSH RFQ EE4908_W10251442" xfId="808" xr:uid="{00000000-0005-0000-0000-000057030000}"/>
    <cellStyle name="_BOSH RFQ EE4908_W10251443" xfId="809" xr:uid="{00000000-0005-0000-0000-000058030000}"/>
    <cellStyle name="_BOSH RFQ EE4908_W10251444" xfId="810" xr:uid="{00000000-0005-0000-0000-000059030000}"/>
    <cellStyle name="_BOSH RFQ EE4908_W10278758" xfId="811" xr:uid="{00000000-0005-0000-0000-00005A030000}"/>
    <cellStyle name="_BOSH RFQ EE4908_W10278759" xfId="812" xr:uid="{00000000-0005-0000-0000-00005B030000}"/>
    <cellStyle name="_BOSH RFQ EE4908_W10290772" xfId="813" xr:uid="{00000000-0005-0000-0000-00005C030000}"/>
    <cellStyle name="_BOSH RFQ EE4908_W10290772 2" xfId="814" xr:uid="{00000000-0005-0000-0000-00005D030000}"/>
    <cellStyle name="_BOSH RFQ EE4908_W10290772 3" xfId="815" xr:uid="{00000000-0005-0000-0000-00005E030000}"/>
    <cellStyle name="_BOSH RFQ EE4908_W10290772 4" xfId="816" xr:uid="{00000000-0005-0000-0000-00005F030000}"/>
    <cellStyle name="_BOSH RFQ EE4908_W10290772 5" xfId="817" xr:uid="{00000000-0005-0000-0000-000060030000}"/>
    <cellStyle name="_BOSH RFQ EE4908_W10290774" xfId="818" xr:uid="{00000000-0005-0000-0000-000061030000}"/>
    <cellStyle name="_BOSH RFQ EE4908_W10290774 2" xfId="819" xr:uid="{00000000-0005-0000-0000-000062030000}"/>
    <cellStyle name="_BOSH RFQ EE4908_W10290774 3" xfId="820" xr:uid="{00000000-0005-0000-0000-000063030000}"/>
    <cellStyle name="_BOSH RFQ EE4908_W10290774 4" xfId="821" xr:uid="{00000000-0005-0000-0000-000064030000}"/>
    <cellStyle name="_BOSH RFQ EE4908_W10290774 5" xfId="822" xr:uid="{00000000-0005-0000-0000-000065030000}"/>
    <cellStyle name="_BOSH RFQ EE4908_W10297387 A" xfId="823" xr:uid="{00000000-0005-0000-0000-000066030000}"/>
    <cellStyle name="_BOSH RFQ EE4908_W10315911 A" xfId="824" xr:uid="{00000000-0005-0000-0000-000067030000}"/>
    <cellStyle name="_BOSH RFQ EE4908_W10315921 A" xfId="825" xr:uid="{00000000-0005-0000-0000-000068030000}"/>
    <cellStyle name="_BOSH RFQ EE4908_W10315922 A" xfId="826" xr:uid="{00000000-0005-0000-0000-000069030000}"/>
    <cellStyle name="_BOSH RFQ EE4908_WPN114 8299934" xfId="827" xr:uid="{00000000-0005-0000-0000-00006A030000}"/>
    <cellStyle name="_BOSH RFQ EE4908_WPN114 8299934 2" xfId="828" xr:uid="{00000000-0005-0000-0000-00006B030000}"/>
    <cellStyle name="_BOSH RFQ EE4908_WPN114 8299934 3" xfId="829" xr:uid="{00000000-0005-0000-0000-00006C030000}"/>
    <cellStyle name="_BOSH RFQ EE4908_WPN114 8299934 4" xfId="830" xr:uid="{00000000-0005-0000-0000-00006D030000}"/>
    <cellStyle name="_BOSH RFQ EE4908_WPN114 8299934 5" xfId="831" xr:uid="{00000000-0005-0000-0000-00006E030000}"/>
    <cellStyle name="_BOSH RFQ EE4908_WPN145 3954933" xfId="832" xr:uid="{00000000-0005-0000-0000-00006F030000}"/>
    <cellStyle name="_BOSH RFQ EE4908_WPN145 3954933 2" xfId="833" xr:uid="{00000000-0005-0000-0000-000070030000}"/>
    <cellStyle name="_BOSH RFQ EE4908_WPN145 3954933 3" xfId="834" xr:uid="{00000000-0005-0000-0000-000071030000}"/>
    <cellStyle name="_BOSH RFQ EE4908_WPN145 3954933 4" xfId="835" xr:uid="{00000000-0005-0000-0000-000072030000}"/>
    <cellStyle name="_BOSH RFQ EE4908_WPN145 3954933 5" xfId="836" xr:uid="{00000000-0005-0000-0000-000073030000}"/>
    <cellStyle name="_BOSH RFQ EE4908_Xl0000052" xfId="837" xr:uid="{00000000-0005-0000-0000-000074030000}"/>
    <cellStyle name="_BOSH RFQ EE4908_Xl0000052_862-CH" xfId="838" xr:uid="{00000000-0005-0000-0000-000075030000}"/>
    <cellStyle name="_BOSH RFQ EE4908_Xl0000052_W10251766 D" xfId="839" xr:uid="{00000000-0005-0000-0000-000076030000}"/>
    <cellStyle name="_BOSH RFQ EE4908_Xl0000052_W10279106 y W10279107 de MR a 56i" xfId="840" xr:uid="{00000000-0005-0000-0000-000077030000}"/>
    <cellStyle name="_BOSH RFQ EE4908_Xl0000052_W10315922 A" xfId="841" xr:uid="{00000000-0005-0000-0000-000078030000}"/>
    <cellStyle name="_BOSH RFQ EE49081" xfId="842" xr:uid="{00000000-0005-0000-0000-000079030000}"/>
    <cellStyle name="_BOSH RFQ EE49081 2" xfId="843" xr:uid="{00000000-0005-0000-0000-00007A030000}"/>
    <cellStyle name="_BOSH RFQ EE49081 3" xfId="24676" xr:uid="{00000000-0005-0000-0000-00007B030000}"/>
    <cellStyle name="_BOSH RFQ EE49081_825-CH PROYECTO CORONA" xfId="844" xr:uid="{00000000-0005-0000-0000-00007C030000}"/>
    <cellStyle name="_BOSH RFQ EE49081_825-CH PROYECTO CORONA 2" xfId="845" xr:uid="{00000000-0005-0000-0000-00007D030000}"/>
    <cellStyle name="_BOSH RFQ EE49081_825-CH PROYECTO CORONA 3" xfId="846" xr:uid="{00000000-0005-0000-0000-00007E030000}"/>
    <cellStyle name="_BOSH RFQ EE49081_825-CH PROYECTO CORONA_862-CH" xfId="847" xr:uid="{00000000-0005-0000-0000-00007F030000}"/>
    <cellStyle name="_BOSH RFQ EE49081_825-CH PROYECTO CORONA_W10251766 D" xfId="848" xr:uid="{00000000-0005-0000-0000-000080030000}"/>
    <cellStyle name="_BOSH RFQ EE49081_825-CH PROYECTO CORONA_W10279106 y W10279107 de MR a 56i" xfId="849" xr:uid="{00000000-0005-0000-0000-000081030000}"/>
    <cellStyle name="_BOSH RFQ EE49081_825-CH PROYECTO CORONA_W10315922 A" xfId="850" xr:uid="{00000000-0005-0000-0000-000082030000}"/>
    <cellStyle name="_BOSH RFQ EE49081_BSHNC144(RFQ EE2909)gs" xfId="851" xr:uid="{00000000-0005-0000-0000-000083030000}"/>
    <cellStyle name="_BOSH RFQ EE49081_BSHNC144(RFQ EE2909)gs_BSHTN061" xfId="852" xr:uid="{00000000-0005-0000-0000-000084030000}"/>
    <cellStyle name="_BOSH RFQ EE49081_BSHNC144(RFQ EE2909)gs_BSHTN067" xfId="853" xr:uid="{00000000-0005-0000-0000-000085030000}"/>
    <cellStyle name="_BOSH RFQ EE49081_BSHNC144(RFQ EE2909)gs_BSHTN071" xfId="854" xr:uid="{00000000-0005-0000-0000-000086030000}"/>
    <cellStyle name="_BOSH RFQ EE49081_BSHNC145(RFQ EE2909)" xfId="855" xr:uid="{00000000-0005-0000-0000-000087030000}"/>
    <cellStyle name="_BOSH RFQ EE49081_BSHNC145(RFQ EE2909)_BSHNC151 (RFQ EE4509)" xfId="856" xr:uid="{00000000-0005-0000-0000-000088030000}"/>
    <cellStyle name="_BOSH RFQ EE49081_BSHNC145(RFQ EE2909)_BSHNC162 (RFQ EE5409)" xfId="857" xr:uid="{00000000-0005-0000-0000-000089030000}"/>
    <cellStyle name="_BOSH RFQ EE49081_BSHNC145(RFQ EE2909)_Quote BSHNC163" xfId="858" xr:uid="{00000000-0005-0000-0000-00008A030000}"/>
    <cellStyle name="_BOSH RFQ EE49081_BSHTN061" xfId="859" xr:uid="{00000000-0005-0000-0000-00008B030000}"/>
    <cellStyle name="_BOSH RFQ EE49081_W10297387 A" xfId="860" xr:uid="{00000000-0005-0000-0000-00008C030000}"/>
    <cellStyle name="_BOSH RFQ EE49081_W10315911 A" xfId="861" xr:uid="{00000000-0005-0000-0000-00008D030000}"/>
    <cellStyle name="_BOSH RFQ EE49081_W10315921 A" xfId="862" xr:uid="{00000000-0005-0000-0000-00008E030000}"/>
    <cellStyle name="_BOSH RFQ EE49081_W10315922 A" xfId="863" xr:uid="{00000000-0005-0000-0000-00008F030000}"/>
    <cellStyle name="_BOSH RFQ EE49081_Xl0000052" xfId="864" xr:uid="{00000000-0005-0000-0000-000090030000}"/>
    <cellStyle name="_BOSH RFQ EE49081_Xl0000052_862-CH" xfId="865" xr:uid="{00000000-0005-0000-0000-000091030000}"/>
    <cellStyle name="_BOSH RFQ EE49081_Xl0000052_W10251766 D" xfId="866" xr:uid="{00000000-0005-0000-0000-000092030000}"/>
    <cellStyle name="_BOSH RFQ EE49081_Xl0000052_W10279106 y W10279107 de MR a 56i" xfId="867" xr:uid="{00000000-0005-0000-0000-000093030000}"/>
    <cellStyle name="_BOSH RFQ EE49081_Xl0000052_W10315922 A" xfId="868" xr:uid="{00000000-0005-0000-0000-000094030000}"/>
    <cellStyle name="_BOSH RFQ EE49082" xfId="869" xr:uid="{00000000-0005-0000-0000-000095030000}"/>
    <cellStyle name="_BOSH RFQ EE49082 2" xfId="870" xr:uid="{00000000-0005-0000-0000-000096030000}"/>
    <cellStyle name="_BOSH RFQ EE49082 3" xfId="24677" xr:uid="{00000000-0005-0000-0000-000097030000}"/>
    <cellStyle name="_BOSH RFQ EE49082_825-CH PROYECTO CORONA" xfId="871" xr:uid="{00000000-0005-0000-0000-000098030000}"/>
    <cellStyle name="_BOSH RFQ EE49082_825-CH PROYECTO CORONA 2" xfId="872" xr:uid="{00000000-0005-0000-0000-000099030000}"/>
    <cellStyle name="_BOSH RFQ EE49082_825-CH PROYECTO CORONA 3" xfId="873" xr:uid="{00000000-0005-0000-0000-00009A030000}"/>
    <cellStyle name="_BOSH RFQ EE49082_825-CH PROYECTO CORONA_862-CH" xfId="874" xr:uid="{00000000-0005-0000-0000-00009B030000}"/>
    <cellStyle name="_BOSH RFQ EE49082_825-CH PROYECTO CORONA_W10251766 D" xfId="875" xr:uid="{00000000-0005-0000-0000-00009C030000}"/>
    <cellStyle name="_BOSH RFQ EE49082_825-CH PROYECTO CORONA_W10279106 y W10279107 de MR a 56i" xfId="876" xr:uid="{00000000-0005-0000-0000-00009D030000}"/>
    <cellStyle name="_BOSH RFQ EE49082_825-CH PROYECTO CORONA_W10315922 A" xfId="877" xr:uid="{00000000-0005-0000-0000-00009E030000}"/>
    <cellStyle name="_BOSH RFQ EE49082_BSHNC144(RFQ EE2909)gs" xfId="878" xr:uid="{00000000-0005-0000-0000-00009F030000}"/>
    <cellStyle name="_BOSH RFQ EE49082_BSHNC144(RFQ EE2909)gs_BSHTN061" xfId="879" xr:uid="{00000000-0005-0000-0000-0000A0030000}"/>
    <cellStyle name="_BOSH RFQ EE49082_BSHNC144(RFQ EE2909)gs_BSHTN067" xfId="880" xr:uid="{00000000-0005-0000-0000-0000A1030000}"/>
    <cellStyle name="_BOSH RFQ EE49082_BSHNC144(RFQ EE2909)gs_BSHTN071" xfId="881" xr:uid="{00000000-0005-0000-0000-0000A2030000}"/>
    <cellStyle name="_BOSH RFQ EE49082_BSHNC145(RFQ EE2909)" xfId="882" xr:uid="{00000000-0005-0000-0000-0000A3030000}"/>
    <cellStyle name="_BOSH RFQ EE49082_BSHNC145(RFQ EE2909)_BSHNC151 (RFQ EE4509)" xfId="883" xr:uid="{00000000-0005-0000-0000-0000A4030000}"/>
    <cellStyle name="_BOSH RFQ EE49082_BSHNC145(RFQ EE2909)_BSHNC162 (RFQ EE5409)" xfId="884" xr:uid="{00000000-0005-0000-0000-0000A5030000}"/>
    <cellStyle name="_BOSH RFQ EE49082_BSHNC145(RFQ EE2909)_Quote BSHNC163" xfId="885" xr:uid="{00000000-0005-0000-0000-0000A6030000}"/>
    <cellStyle name="_BOSH RFQ EE49082_BSHTN061" xfId="886" xr:uid="{00000000-0005-0000-0000-0000A7030000}"/>
    <cellStyle name="_BOSH RFQ EE49082_W10297387 A" xfId="887" xr:uid="{00000000-0005-0000-0000-0000A8030000}"/>
    <cellStyle name="_BOSH RFQ EE49082_W10315911 A" xfId="888" xr:uid="{00000000-0005-0000-0000-0000A9030000}"/>
    <cellStyle name="_BOSH RFQ EE49082_W10315921 A" xfId="889" xr:uid="{00000000-0005-0000-0000-0000AA030000}"/>
    <cellStyle name="_BOSH RFQ EE49082_W10315922 A" xfId="890" xr:uid="{00000000-0005-0000-0000-0000AB030000}"/>
    <cellStyle name="_BOSH RFQ EE49082_Xl0000052" xfId="891" xr:uid="{00000000-0005-0000-0000-0000AC030000}"/>
    <cellStyle name="_BOSH RFQ EE49082_Xl0000052_862-CH" xfId="892" xr:uid="{00000000-0005-0000-0000-0000AD030000}"/>
    <cellStyle name="_BOSH RFQ EE49082_Xl0000052_W10251766 D" xfId="893" xr:uid="{00000000-0005-0000-0000-0000AE030000}"/>
    <cellStyle name="_BOSH RFQ EE49082_Xl0000052_W10279106 y W10279107 de MR a 56i" xfId="894" xr:uid="{00000000-0005-0000-0000-0000AF030000}"/>
    <cellStyle name="_BOSH RFQ EE49082_Xl0000052_W10315922 A" xfId="895" xr:uid="{00000000-0005-0000-0000-0000B0030000}"/>
    <cellStyle name="_BRIDGE CHS" xfId="896" xr:uid="{00000000-0005-0000-0000-0000B1030000}"/>
    <cellStyle name="_BRIDGE CHS 2" xfId="897" xr:uid="{00000000-0005-0000-0000-0000B2030000}"/>
    <cellStyle name="_BRIDGE CHS 3" xfId="898" xr:uid="{00000000-0005-0000-0000-0000B3030000}"/>
    <cellStyle name="_BRIDGE CHS 4" xfId="899" xr:uid="{00000000-0005-0000-0000-0000B4030000}"/>
    <cellStyle name="_BRIDGE CHS 5" xfId="900" xr:uid="{00000000-0005-0000-0000-0000B5030000}"/>
    <cellStyle name="_CA05099" xfId="901" xr:uid="{00000000-0005-0000-0000-0000B6030000}"/>
    <cellStyle name="_CA05099 2" xfId="902" xr:uid="{00000000-0005-0000-0000-0000B7030000}"/>
    <cellStyle name="_CA05099 3" xfId="903" xr:uid="{00000000-0005-0000-0000-0000B8030000}"/>
    <cellStyle name="_CA05099 4" xfId="904" xr:uid="{00000000-0005-0000-0000-0000B9030000}"/>
    <cellStyle name="_CA05099 5" xfId="905" xr:uid="{00000000-0005-0000-0000-0000BA030000}"/>
    <cellStyle name="_CA05108 -CostBOM" xfId="906" xr:uid="{00000000-0005-0000-0000-0000BB030000}"/>
    <cellStyle name="_CA05108 -CostBOM 2" xfId="907" xr:uid="{00000000-0005-0000-0000-0000BC030000}"/>
    <cellStyle name="_CA05108 -CostBOM 3" xfId="908" xr:uid="{00000000-0005-0000-0000-0000BD030000}"/>
    <cellStyle name="_CA05108 -CostBOM 4" xfId="909" xr:uid="{00000000-0005-0000-0000-0000BE030000}"/>
    <cellStyle name="_CA05108 -CostBOM 5" xfId="910" xr:uid="{00000000-0005-0000-0000-0000BF030000}"/>
    <cellStyle name="_CA05119 -CostBOM" xfId="911" xr:uid="{00000000-0005-0000-0000-0000C0030000}"/>
    <cellStyle name="_CA05119 -CostBOM 2" xfId="912" xr:uid="{00000000-0005-0000-0000-0000C1030000}"/>
    <cellStyle name="_CA05119 -CostBOM 3" xfId="913" xr:uid="{00000000-0005-0000-0000-0000C2030000}"/>
    <cellStyle name="_CA05119 -CostBOM 4" xfId="914" xr:uid="{00000000-0005-0000-0000-0000C3030000}"/>
    <cellStyle name="_CA05119 -CostBOM 5" xfId="915" xr:uid="{00000000-0005-0000-0000-0000C4030000}"/>
    <cellStyle name="_CA05131 -CostBOM" xfId="916" xr:uid="{00000000-0005-0000-0000-0000C5030000}"/>
    <cellStyle name="_CA05131 -CostBOM 2" xfId="917" xr:uid="{00000000-0005-0000-0000-0000C6030000}"/>
    <cellStyle name="_CA05131 -CostBOM 3" xfId="918" xr:uid="{00000000-0005-0000-0000-0000C7030000}"/>
    <cellStyle name="_CA05131 -CostBOM 4" xfId="919" xr:uid="{00000000-0005-0000-0000-0000C8030000}"/>
    <cellStyle name="_CA05131 -CostBOM 5" xfId="920" xr:uid="{00000000-0005-0000-0000-0000C9030000}"/>
    <cellStyle name="_CA05143 -CostBOM" xfId="921" xr:uid="{00000000-0005-0000-0000-0000CA030000}"/>
    <cellStyle name="_CA05143 -CostBOM 2" xfId="922" xr:uid="{00000000-0005-0000-0000-0000CB030000}"/>
    <cellStyle name="_CA05143 -CostBOM 3" xfId="923" xr:uid="{00000000-0005-0000-0000-0000CC030000}"/>
    <cellStyle name="_CA05143 -CostBOM 4" xfId="924" xr:uid="{00000000-0005-0000-0000-0000CD030000}"/>
    <cellStyle name="_CA05143 -CostBOM 5" xfId="925" xr:uid="{00000000-0005-0000-0000-0000CE030000}"/>
    <cellStyle name="_CA06001 -CostBOM" xfId="926" xr:uid="{00000000-0005-0000-0000-0000CF030000}"/>
    <cellStyle name="_CA06001 -CostBOM 2" xfId="927" xr:uid="{00000000-0005-0000-0000-0000D0030000}"/>
    <cellStyle name="_CA06001 -CostBOM 3" xfId="928" xr:uid="{00000000-0005-0000-0000-0000D1030000}"/>
    <cellStyle name="_CA06001 -CostBOM 4" xfId="929" xr:uid="{00000000-0005-0000-0000-0000D2030000}"/>
    <cellStyle name="_CA06001 -CostBOM 5" xfId="930" xr:uid="{00000000-0005-0000-0000-0000D3030000}"/>
    <cellStyle name="_CA06027 -CostBOM" xfId="931" xr:uid="{00000000-0005-0000-0000-0000D4030000}"/>
    <cellStyle name="_CA06027 -CostBOM 2" xfId="932" xr:uid="{00000000-0005-0000-0000-0000D5030000}"/>
    <cellStyle name="_CA06027 -CostBOM 3" xfId="933" xr:uid="{00000000-0005-0000-0000-0000D6030000}"/>
    <cellStyle name="_CA06027 -CostBOM 4" xfId="934" xr:uid="{00000000-0005-0000-0000-0000D7030000}"/>
    <cellStyle name="_CA06027 -CostBOM 5" xfId="935" xr:uid="{00000000-0005-0000-0000-0000D8030000}"/>
    <cellStyle name="_CA06094 costed BOM" xfId="936" xr:uid="{00000000-0005-0000-0000-0000D9030000}"/>
    <cellStyle name="_CA06094 costed BOM 2" xfId="937" xr:uid="{00000000-0005-0000-0000-0000DA030000}"/>
    <cellStyle name="_CA06094 costed BOM 3" xfId="938" xr:uid="{00000000-0005-0000-0000-0000DB030000}"/>
    <cellStyle name="_CA06094 costed BOM 4" xfId="939" xr:uid="{00000000-0005-0000-0000-0000DC030000}"/>
    <cellStyle name="_CA06094 costed BOM 5" xfId="940" xr:uid="{00000000-0005-0000-0000-0000DD030000}"/>
    <cellStyle name="_Cambios Radiante SW (JM355)" xfId="941" xr:uid="{00000000-0005-0000-0000-0000DE030000}"/>
    <cellStyle name="_Cambios Radiante SW (JM355) 2" xfId="942" xr:uid="{00000000-0005-0000-0000-0000DF030000}"/>
    <cellStyle name="_Cambios Radiante SW (JM355) 2 2" xfId="943" xr:uid="{00000000-0005-0000-0000-0000E0030000}"/>
    <cellStyle name="_Cambios Radiante SW (JM355) 2 3" xfId="944" xr:uid="{00000000-0005-0000-0000-0000E1030000}"/>
    <cellStyle name="_Cambios Radiante SW (JM355) 2 4" xfId="945" xr:uid="{00000000-0005-0000-0000-0000E2030000}"/>
    <cellStyle name="_Cambios Radiante SW (JM355) 3" xfId="24678" xr:uid="{00000000-0005-0000-0000-0000E3030000}"/>
    <cellStyle name="_CAPEX 01-DIC" xfId="946" xr:uid="{00000000-0005-0000-0000-0000E4030000}"/>
    <cellStyle name="_CAPEX 01-DIC - CORRECCION EN APLICADORES2" xfId="947" xr:uid="{00000000-0005-0000-0000-0000E5030000}"/>
    <cellStyle name="_CAPEX 01-DIC - CORRECCION EN APLICADORES2 2" xfId="948" xr:uid="{00000000-0005-0000-0000-0000E6030000}"/>
    <cellStyle name="_CAPEX 01-DIC - CORRECCION EN APLICADORES2 3" xfId="949" xr:uid="{00000000-0005-0000-0000-0000E7030000}"/>
    <cellStyle name="_CAPEX 01-DIC - CORRECCION EN APLICADORES2 4" xfId="950" xr:uid="{00000000-0005-0000-0000-0000E8030000}"/>
    <cellStyle name="_CAPEX 01-DIC - CORRECCION EN APLICADORES2_862-CH" xfId="951" xr:uid="{00000000-0005-0000-0000-0000E9030000}"/>
    <cellStyle name="_CAPEX 01-DIC - CORRECCION EN APLICADORES2_W10251766 D" xfId="952" xr:uid="{00000000-0005-0000-0000-0000EA030000}"/>
    <cellStyle name="_CAPEX 01-DIC - CORRECCION EN APLICADORES2_W10279106 y W10279107 de MR a 56i" xfId="953" xr:uid="{00000000-0005-0000-0000-0000EB030000}"/>
    <cellStyle name="_CAPEX 01-DIC - CORRECCION EN APLICADORES2_W10315922 A" xfId="954" xr:uid="{00000000-0005-0000-0000-0000EC030000}"/>
    <cellStyle name="_CAPEX 01-DIC 10" xfId="955" xr:uid="{00000000-0005-0000-0000-0000ED030000}"/>
    <cellStyle name="_CAPEX 01-DIC 11" xfId="956" xr:uid="{00000000-0005-0000-0000-0000EE030000}"/>
    <cellStyle name="_CAPEX 01-DIC 12" xfId="957" xr:uid="{00000000-0005-0000-0000-0000EF030000}"/>
    <cellStyle name="_CAPEX 01-DIC 13" xfId="958" xr:uid="{00000000-0005-0000-0000-0000F0030000}"/>
    <cellStyle name="_CAPEX 01-DIC 2" xfId="959" xr:uid="{00000000-0005-0000-0000-0000F1030000}"/>
    <cellStyle name="_CAPEX 01-DIC 3" xfId="960" xr:uid="{00000000-0005-0000-0000-0000F2030000}"/>
    <cellStyle name="_CAPEX 01-DIC 4" xfId="961" xr:uid="{00000000-0005-0000-0000-0000F3030000}"/>
    <cellStyle name="_CAPEX 01-DIC 5" xfId="962" xr:uid="{00000000-0005-0000-0000-0000F4030000}"/>
    <cellStyle name="_CAPEX 01-DIC 6" xfId="963" xr:uid="{00000000-0005-0000-0000-0000F5030000}"/>
    <cellStyle name="_CAPEX 01-DIC 7" xfId="964" xr:uid="{00000000-0005-0000-0000-0000F6030000}"/>
    <cellStyle name="_CAPEX 01-DIC 8" xfId="965" xr:uid="{00000000-0005-0000-0000-0000F7030000}"/>
    <cellStyle name="_CAPEX 01-DIC 9" xfId="966" xr:uid="{00000000-0005-0000-0000-0000F8030000}"/>
    <cellStyle name="_CAPEX 01-DIC_862-CH" xfId="967" xr:uid="{00000000-0005-0000-0000-0000F9030000}"/>
    <cellStyle name="_CAPEX 01-DIC_W10251766 D" xfId="968" xr:uid="{00000000-0005-0000-0000-0000FA030000}"/>
    <cellStyle name="_CAPEX 01-DIC_W10279106 y W10279107 de MR a 56i" xfId="969" xr:uid="{00000000-0005-0000-0000-0000FB030000}"/>
    <cellStyle name="_CAPEX 01-DIC_W10315922 A" xfId="970" xr:uid="{00000000-0005-0000-0000-0000FC030000}"/>
    <cellStyle name="_CAPEX 11-NOV1" xfId="971" xr:uid="{00000000-0005-0000-0000-0000FD030000}"/>
    <cellStyle name="_CAPEX 11-NOV1_BSHTN061" xfId="972" xr:uid="{00000000-0005-0000-0000-0000FE030000}"/>
    <cellStyle name="_CAPEX 7-NOV2" xfId="973" xr:uid="{00000000-0005-0000-0000-0000FF030000}"/>
    <cellStyle name="_CAPEX 7-NOV2_BSHTN061" xfId="974" xr:uid="{00000000-0005-0000-0000-000000040000}"/>
    <cellStyle name="_CAPEX BOSCH 02-DIC-08" xfId="975" xr:uid="{00000000-0005-0000-0000-000001040000}"/>
    <cellStyle name="_CAPEX BOSCH 02-DIC-08 2" xfId="976" xr:uid="{00000000-0005-0000-0000-000002040000}"/>
    <cellStyle name="_CAPEX BOSCH 02-DIC-08 2 2" xfId="977" xr:uid="{00000000-0005-0000-0000-000003040000}"/>
    <cellStyle name="_CAPEX BOSCH 02-DIC-08 2 3" xfId="978" xr:uid="{00000000-0005-0000-0000-000004040000}"/>
    <cellStyle name="_CAPEX BOSCH 02-DIC-08 2 4" xfId="979" xr:uid="{00000000-0005-0000-0000-000005040000}"/>
    <cellStyle name="_CAPEX BOSCH 02-DIC-08 3" xfId="980" xr:uid="{00000000-0005-0000-0000-000006040000}"/>
    <cellStyle name="_CAPEX BOSCH 02-DIC-08_BSHTN061" xfId="981" xr:uid="{00000000-0005-0000-0000-000007040000}"/>
    <cellStyle name="_CAPEX BOSCH 02-DIC-08_W10297387 A" xfId="982" xr:uid="{00000000-0005-0000-0000-000008040000}"/>
    <cellStyle name="_CAPEX BOSCH 02-DIC-08_W10315911 A" xfId="983" xr:uid="{00000000-0005-0000-0000-000009040000}"/>
    <cellStyle name="_CAPEX BOSCH 02-DIC-08_W10315921 A" xfId="984" xr:uid="{00000000-0005-0000-0000-00000A040000}"/>
    <cellStyle name="_CAPEX BOSCH 02-DIC-08_W10315922 A" xfId="985" xr:uid="{00000000-0005-0000-0000-00000B040000}"/>
    <cellStyle name="_CAPEX BOSCH 09-DIC-08" xfId="986" xr:uid="{00000000-0005-0000-0000-00000C040000}"/>
    <cellStyle name="_CAPEX BOSCH 09-DIC-08_BSHTN061" xfId="987" xr:uid="{00000000-0005-0000-0000-00000D040000}"/>
    <cellStyle name="_CAPEX BOSCH 25-NOV-08" xfId="988" xr:uid="{00000000-0005-0000-0000-00000E040000}"/>
    <cellStyle name="_CAPEX BOSCH 25-NOV-08_BSHTN061" xfId="989" xr:uid="{00000000-0005-0000-0000-00000F040000}"/>
    <cellStyle name="_CAPEX BOSCH 29-SEP-08" xfId="990" xr:uid="{00000000-0005-0000-0000-000010040000}"/>
    <cellStyle name="_CAPEX BOSCH 29-SEP-08_BSHTN061" xfId="991" xr:uid="{00000000-0005-0000-0000-000011040000}"/>
    <cellStyle name="_CAPEX BOSCH 29-SEP-081" xfId="992" xr:uid="{00000000-0005-0000-0000-000012040000}"/>
    <cellStyle name="_CAPEX BOSCH 29-SEP-081_BSHTN061" xfId="993" xr:uid="{00000000-0005-0000-0000-000013040000}"/>
    <cellStyle name="_CAPEX DD 03-AGO (2)" xfId="994" xr:uid="{00000000-0005-0000-0000-000014040000}"/>
    <cellStyle name="_CAPEX DD 03-AGO (2) 2" xfId="995" xr:uid="{00000000-0005-0000-0000-000015040000}"/>
    <cellStyle name="_CAPEX DD 03-AGO (2) 3" xfId="996" xr:uid="{00000000-0005-0000-0000-000016040000}"/>
    <cellStyle name="_CAPEX DD 03-AGO (2) 4" xfId="997" xr:uid="{00000000-0005-0000-0000-000017040000}"/>
    <cellStyle name="_CAPEX DD 03-AGO (2) 5" xfId="998" xr:uid="{00000000-0005-0000-0000-000018040000}"/>
    <cellStyle name="_CAPEX DD 21-SEP" xfId="999" xr:uid="{00000000-0005-0000-0000-000019040000}"/>
    <cellStyle name="_CAPEX DD 21-SEP 2" xfId="1000" xr:uid="{00000000-0005-0000-0000-00001A040000}"/>
    <cellStyle name="_CAPEX DD 21-SEP 3" xfId="1001" xr:uid="{00000000-0005-0000-0000-00001B040000}"/>
    <cellStyle name="_CAPEX DD 21-SEP 4" xfId="1002" xr:uid="{00000000-0005-0000-0000-00001C040000}"/>
    <cellStyle name="_CAPEX DD 21-SEP 5" xfId="1003" xr:uid="{00000000-0005-0000-0000-00001D040000}"/>
    <cellStyle name="_CAPEX DD 25-May" xfId="1004" xr:uid="{00000000-0005-0000-0000-00001E040000}"/>
    <cellStyle name="_CAPEX DD 25-May 2" xfId="1005" xr:uid="{00000000-0005-0000-0000-00001F040000}"/>
    <cellStyle name="_CAPEX DD 25-May 3" xfId="1006" xr:uid="{00000000-0005-0000-0000-000020040000}"/>
    <cellStyle name="_CAPEX DD 25-May 4" xfId="1007" xr:uid="{00000000-0005-0000-0000-000021040000}"/>
    <cellStyle name="_CAPEX DD 25-May 5" xfId="1008" xr:uid="{00000000-0005-0000-0000-000022040000}"/>
    <cellStyle name="_CAPEX DD 28-AGO" xfId="1009" xr:uid="{00000000-0005-0000-0000-000023040000}"/>
    <cellStyle name="_CAPEX DD 28-AGO 2" xfId="1010" xr:uid="{00000000-0005-0000-0000-000024040000}"/>
    <cellStyle name="_CAPEX DD 28-AGO 3" xfId="1011" xr:uid="{00000000-0005-0000-0000-000025040000}"/>
    <cellStyle name="_CAPEX DD 28-AGO 4" xfId="1012" xr:uid="{00000000-0005-0000-0000-000026040000}"/>
    <cellStyle name="_CAPEX DD 28-AGO 5" xfId="1013" xr:uid="{00000000-0005-0000-0000-000027040000}"/>
    <cellStyle name="_CAPEX formato" xfId="1014" xr:uid="{00000000-0005-0000-0000-000028040000}"/>
    <cellStyle name="_CAPEX formato 2" xfId="1015" xr:uid="{00000000-0005-0000-0000-000029040000}"/>
    <cellStyle name="_CAPEX formato 3" xfId="1016" xr:uid="{00000000-0005-0000-0000-00002A040000}"/>
    <cellStyle name="_CAPEX formato 4" xfId="1017" xr:uid="{00000000-0005-0000-0000-00002B040000}"/>
    <cellStyle name="_CAPEX formato 5" xfId="1018" xr:uid="{00000000-0005-0000-0000-00002C040000}"/>
    <cellStyle name="_CAPEX MARION - INDIA 14-NOV (2)" xfId="1019" xr:uid="{00000000-0005-0000-0000-00002D040000}"/>
    <cellStyle name="_CAPEX MARION - INDIA 14-NOV (2) 2" xfId="1020" xr:uid="{00000000-0005-0000-0000-00002E040000}"/>
    <cellStyle name="_CAPEX MARION - INDIA 14-NOV (2) 3" xfId="24679" xr:uid="{00000000-0005-0000-0000-00002F040000}"/>
    <cellStyle name="_CAPEX MARION - INDIA 14-NOV (2)_862-CH" xfId="1021" xr:uid="{00000000-0005-0000-0000-000030040000}"/>
    <cellStyle name="_CAPEX MARION - INDIA 14-NOV (2)_CONCENTRATED QUOTE WLP397" xfId="1022" xr:uid="{00000000-0005-0000-0000-000031040000}"/>
    <cellStyle name="_CAPEX MARION - INDIA 14-NOV (2)_CONCENTRATED QUOTE WLP397 2" xfId="1023" xr:uid="{00000000-0005-0000-0000-000032040000}"/>
    <cellStyle name="_CAPEX MARION - INDIA 14-NOV (2)_CONCENTRATED QUOTE WLP397 2 2" xfId="24680" xr:uid="{00000000-0005-0000-0000-000033040000}"/>
    <cellStyle name="_CAPEX MARION - INDIA 14-NOV (2)_CONCENTRATED QUOTE WLP397 2 3" xfId="24681" xr:uid="{00000000-0005-0000-0000-000034040000}"/>
    <cellStyle name="_CAPEX MARION - INDIA 14-NOV (2)_CONCENTRATED QUOTE WLP397 3" xfId="1024" xr:uid="{00000000-0005-0000-0000-000035040000}"/>
    <cellStyle name="_CAPEX MARION - INDIA 14-NOV (2)_CONCENTRATED QUOTE WLP397 4" xfId="1025" xr:uid="{00000000-0005-0000-0000-000036040000}"/>
    <cellStyle name="_CAPEX MARION - INDIA 14-NOV (2)_CONCENTRATED QUOTE WLP397_862-CH" xfId="1026" xr:uid="{00000000-0005-0000-0000-000037040000}"/>
    <cellStyle name="_CAPEX MARION - INDIA 14-NOV (2)_CONCENTRATED QUOTE WLP397_CONCENTRATED QUOTE WLP474" xfId="1027" xr:uid="{00000000-0005-0000-0000-000038040000}"/>
    <cellStyle name="_CAPEX MARION - INDIA 14-NOV (2)_CONCENTRATED QUOTE WLP397_CONCENTRATED QUOTE WLP474 2" xfId="1028" xr:uid="{00000000-0005-0000-0000-000039040000}"/>
    <cellStyle name="_CAPEX MARION - INDIA 14-NOV (2)_CONCENTRATED QUOTE WLP397_CONCENTRATED QUOTE WLP474 3" xfId="1029" xr:uid="{00000000-0005-0000-0000-00003A040000}"/>
    <cellStyle name="_CAPEX MARION - INDIA 14-NOV (2)_CONCENTRATED QUOTE WLP397_CONCENTRATED QUOTE WLP474 4" xfId="1030" xr:uid="{00000000-0005-0000-0000-00003B040000}"/>
    <cellStyle name="_CAPEX MARION - INDIA 14-NOV (2)_CONCENTRATED QUOTE WLP397_CONCENTRATED QUOTE WLP550" xfId="1031" xr:uid="{00000000-0005-0000-0000-00003C040000}"/>
    <cellStyle name="_CAPEX MARION - INDIA 14-NOV (2)_CONCENTRATED QUOTE WLP397_CONCENTRATED QUOTE WLP550 2" xfId="1032" xr:uid="{00000000-0005-0000-0000-00003D040000}"/>
    <cellStyle name="_CAPEX MARION - INDIA 14-NOV (2)_CONCENTRATED QUOTE WLP397_CONCENTRATED QUOTE WLP550 3" xfId="1033" xr:uid="{00000000-0005-0000-0000-00003E040000}"/>
    <cellStyle name="_CAPEX MARION - INDIA 14-NOV (2)_CONCENTRATED QUOTE WLP397_CONCENTRATED QUOTE WLP550 4" xfId="1034" xr:uid="{00000000-0005-0000-0000-00003F040000}"/>
    <cellStyle name="_CAPEX MARION - INDIA 14-NOV (2)_CONCENTRATED QUOTE WLP397_CONCENTRATED QUOTE WLP550 5" xfId="1035" xr:uid="{00000000-0005-0000-0000-000040040000}"/>
    <cellStyle name="_CAPEX MARION - INDIA 14-NOV (2)_CONCENTRATED QUOTE WLP397_CONCENTRATED QUOTE WLP559" xfId="1036" xr:uid="{00000000-0005-0000-0000-000041040000}"/>
    <cellStyle name="_CAPEX MARION - INDIA 14-NOV (2)_CONCENTRATED QUOTE WLP397_CONCENTRATED QUOTE WLP568" xfId="1037" xr:uid="{00000000-0005-0000-0000-000042040000}"/>
    <cellStyle name="_CAPEX MARION - INDIA 14-NOV (2)_CONCENTRATED QUOTE WLP397_CONCENTRATED QUOTE WLP571" xfId="1038" xr:uid="{00000000-0005-0000-0000-000043040000}"/>
    <cellStyle name="_CAPEX MARION - INDIA 14-NOV (2)_CONCENTRATED QUOTE WLP397_CONCENTRATED QUOTE WLP574  ALPHA" xfId="1039" xr:uid="{00000000-0005-0000-0000-000044040000}"/>
    <cellStyle name="_CAPEX MARION - INDIA 14-NOV (2)_CONCENTRATED QUOTE WLP397_CONCENTRATED QUOTE WLP574  ALPHA 2" xfId="1040" xr:uid="{00000000-0005-0000-0000-000045040000}"/>
    <cellStyle name="_CAPEX MARION - INDIA 14-NOV (2)_CONCENTRATED QUOTE WLP397_CONCENTRATED QUOTE WLP574  ALPHA 3" xfId="1041" xr:uid="{00000000-0005-0000-0000-000046040000}"/>
    <cellStyle name="_CAPEX MARION - INDIA 14-NOV (2)_CONCENTRATED QUOTE WLP397_CONCENTRATED QUOTE WLP574  ALPHA 4" xfId="1042" xr:uid="{00000000-0005-0000-0000-000047040000}"/>
    <cellStyle name="_CAPEX MARION - INDIA 14-NOV (2)_CONCENTRATED QUOTE WLP397_CONCENTRATED QUOTE WLP574  ALPHA 5" xfId="1043" xr:uid="{00000000-0005-0000-0000-000048040000}"/>
    <cellStyle name="_CAPEX MARION - INDIA 14-NOV (2)_CONCENTRATED QUOTE WLP397_Estimated Quote 050609 039" xfId="1044" xr:uid="{00000000-0005-0000-0000-000049040000}"/>
    <cellStyle name="_CAPEX MARION - INDIA 14-NOV (2)_CONCENTRATED QUOTE WLP397_Estimated Quote 050609 039 2" xfId="1045" xr:uid="{00000000-0005-0000-0000-00004A040000}"/>
    <cellStyle name="_CAPEX MARION - INDIA 14-NOV (2)_CONCENTRATED QUOTE WLP397_Estimated Quote 050609 039 3" xfId="1046" xr:uid="{00000000-0005-0000-0000-00004B040000}"/>
    <cellStyle name="_CAPEX MARION - INDIA 14-NOV (2)_CONCENTRATED QUOTE WLP397_Estimated Quote 050609 039 4" xfId="1047" xr:uid="{00000000-0005-0000-0000-00004C040000}"/>
    <cellStyle name="_CAPEX MARION - INDIA 14-NOV (2)_CONCENTRATED QUOTE WLP397_Estimated Quote 050609 039 5" xfId="1048" xr:uid="{00000000-0005-0000-0000-00004D040000}"/>
    <cellStyle name="_CAPEX MARION - INDIA 14-NOV (2)_CONCENTRATED QUOTE WLP397_W10251442" xfId="1049" xr:uid="{00000000-0005-0000-0000-00004E040000}"/>
    <cellStyle name="_CAPEX MARION - INDIA 14-NOV (2)_CONCENTRATED QUOTE WLP397_W10251443" xfId="1050" xr:uid="{00000000-0005-0000-0000-00004F040000}"/>
    <cellStyle name="_CAPEX MARION - INDIA 14-NOV (2)_CONCENTRATED QUOTE WLP397_W10251444" xfId="1051" xr:uid="{00000000-0005-0000-0000-000050040000}"/>
    <cellStyle name="_CAPEX MARION - INDIA 14-NOV (2)_CONCENTRATED QUOTE WLP397_W10251766 D" xfId="1052" xr:uid="{00000000-0005-0000-0000-000051040000}"/>
    <cellStyle name="_CAPEX MARION - INDIA 14-NOV (2)_CONCENTRATED QUOTE WLP397_W10278758" xfId="1053" xr:uid="{00000000-0005-0000-0000-000052040000}"/>
    <cellStyle name="_CAPEX MARION - INDIA 14-NOV (2)_CONCENTRATED QUOTE WLP397_W10278759" xfId="1054" xr:uid="{00000000-0005-0000-0000-000053040000}"/>
    <cellStyle name="_CAPEX MARION - INDIA 14-NOV (2)_CONCENTRATED QUOTE WLP397_W10279106 y W10279107 de MR a 56i" xfId="1055" xr:uid="{00000000-0005-0000-0000-000054040000}"/>
    <cellStyle name="_CAPEX MARION - INDIA 14-NOV (2)_CONCENTRATED QUOTE WLP397_W10290772" xfId="1056" xr:uid="{00000000-0005-0000-0000-000055040000}"/>
    <cellStyle name="_CAPEX MARION - INDIA 14-NOV (2)_CONCENTRATED QUOTE WLP397_W10290772 2" xfId="1057" xr:uid="{00000000-0005-0000-0000-000056040000}"/>
    <cellStyle name="_CAPEX MARION - INDIA 14-NOV (2)_CONCENTRATED QUOTE WLP397_W10290772 3" xfId="1058" xr:uid="{00000000-0005-0000-0000-000057040000}"/>
    <cellStyle name="_CAPEX MARION - INDIA 14-NOV (2)_CONCENTRATED QUOTE WLP397_W10290772 4" xfId="1059" xr:uid="{00000000-0005-0000-0000-000058040000}"/>
    <cellStyle name="_CAPEX MARION - INDIA 14-NOV (2)_CONCENTRATED QUOTE WLP397_W10290772 5" xfId="1060" xr:uid="{00000000-0005-0000-0000-000059040000}"/>
    <cellStyle name="_CAPEX MARION - INDIA 14-NOV (2)_CONCENTRATED QUOTE WLP397_W10290774" xfId="1061" xr:uid="{00000000-0005-0000-0000-00005A040000}"/>
    <cellStyle name="_CAPEX MARION - INDIA 14-NOV (2)_CONCENTRATED QUOTE WLP397_W10290774 2" xfId="1062" xr:uid="{00000000-0005-0000-0000-00005B040000}"/>
    <cellStyle name="_CAPEX MARION - INDIA 14-NOV (2)_CONCENTRATED QUOTE WLP397_W10290774 3" xfId="1063" xr:uid="{00000000-0005-0000-0000-00005C040000}"/>
    <cellStyle name="_CAPEX MARION - INDIA 14-NOV (2)_CONCENTRATED QUOTE WLP397_W10290774 4" xfId="1064" xr:uid="{00000000-0005-0000-0000-00005D040000}"/>
    <cellStyle name="_CAPEX MARION - INDIA 14-NOV (2)_CONCENTRATED QUOTE WLP397_W10290774 5" xfId="1065" xr:uid="{00000000-0005-0000-0000-00005E040000}"/>
    <cellStyle name="_CAPEX MARION - INDIA 14-NOV (2)_CONCENTRATED QUOTE WLP397_W10315922 A" xfId="1066" xr:uid="{00000000-0005-0000-0000-00005F040000}"/>
    <cellStyle name="_CAPEX MARION - INDIA 14-NOV (2)_CONCENTRATED QUOTE WLP401" xfId="1067" xr:uid="{00000000-0005-0000-0000-000060040000}"/>
    <cellStyle name="_CAPEX MARION - INDIA 14-NOV (2)_CONCENTRATED QUOTE WLP401 2" xfId="1068" xr:uid="{00000000-0005-0000-0000-000061040000}"/>
    <cellStyle name="_CAPEX MARION - INDIA 14-NOV (2)_CONCENTRATED QUOTE WLP401 2 2" xfId="1069" xr:uid="{00000000-0005-0000-0000-000062040000}"/>
    <cellStyle name="_CAPEX MARION - INDIA 14-NOV (2)_CONCENTRATED QUOTE WLP401 2 3" xfId="1070" xr:uid="{00000000-0005-0000-0000-000063040000}"/>
    <cellStyle name="_CAPEX MARION - INDIA 14-NOV (2)_CONCENTRATED QUOTE WLP401 2 4" xfId="1071" xr:uid="{00000000-0005-0000-0000-000064040000}"/>
    <cellStyle name="_CAPEX MARION - INDIA 14-NOV (2)_CONCENTRATED QUOTE WLP401 3" xfId="1072" xr:uid="{00000000-0005-0000-0000-000065040000}"/>
    <cellStyle name="_CAPEX MARION - INDIA 14-NOV (2)_CONCENTRATED QUOTE WLP401_862-CH" xfId="1073" xr:uid="{00000000-0005-0000-0000-000066040000}"/>
    <cellStyle name="_CAPEX MARION - INDIA 14-NOV (2)_CONCENTRATED QUOTE WLP401_CONCENTRATED QUOTE WLP440" xfId="1074" xr:uid="{00000000-0005-0000-0000-000067040000}"/>
    <cellStyle name="_CAPEX MARION - INDIA 14-NOV (2)_CONCENTRATED QUOTE WLP401_CONCENTRATED QUOTE WLP440 2" xfId="1075" xr:uid="{00000000-0005-0000-0000-000068040000}"/>
    <cellStyle name="_CAPEX MARION - INDIA 14-NOV (2)_CONCENTRATED QUOTE WLP401_CONCENTRATED QUOTE WLP440 3" xfId="1076" xr:uid="{00000000-0005-0000-0000-000069040000}"/>
    <cellStyle name="_CAPEX MARION - INDIA 14-NOV (2)_CONCENTRATED QUOTE WLP401_CONCENTRATED QUOTE WLP440 4" xfId="1077" xr:uid="{00000000-0005-0000-0000-00006A040000}"/>
    <cellStyle name="_CAPEX MARION - INDIA 14-NOV (2)_CONCENTRATED QUOTE WLP401_CONCENTRATED QUOTE WLP440 5" xfId="1078" xr:uid="{00000000-0005-0000-0000-00006B040000}"/>
    <cellStyle name="_CAPEX MARION - INDIA 14-NOV (2)_CONCENTRATED QUOTE WLP401_CONCENTRATED QUOTE WLP474" xfId="1079" xr:uid="{00000000-0005-0000-0000-00006C040000}"/>
    <cellStyle name="_CAPEX MARION - INDIA 14-NOV (2)_CONCENTRATED QUOTE WLP401_CONCENTRATED QUOTE WLP474 2" xfId="1080" xr:uid="{00000000-0005-0000-0000-00006D040000}"/>
    <cellStyle name="_CAPEX MARION - INDIA 14-NOV (2)_CONCENTRATED QUOTE WLP401_CONCENTRATED QUOTE WLP474 3" xfId="1081" xr:uid="{00000000-0005-0000-0000-00006E040000}"/>
    <cellStyle name="_CAPEX MARION - INDIA 14-NOV (2)_CONCENTRATED QUOTE WLP401_CONCENTRATED QUOTE WLP474 4" xfId="1082" xr:uid="{00000000-0005-0000-0000-00006F040000}"/>
    <cellStyle name="_CAPEX MARION - INDIA 14-NOV (2)_CONCENTRATED QUOTE WLP401_CONCENTRATED QUOTE WLP477" xfId="1083" xr:uid="{00000000-0005-0000-0000-000070040000}"/>
    <cellStyle name="_CAPEX MARION - INDIA 14-NOV (2)_CONCENTRATED QUOTE WLP401_CONCENTRATED QUOTE WLP477 2" xfId="1084" xr:uid="{00000000-0005-0000-0000-000071040000}"/>
    <cellStyle name="_CAPEX MARION - INDIA 14-NOV (2)_CONCENTRATED QUOTE WLP401_CONCENTRATED QUOTE WLP477 3" xfId="1085" xr:uid="{00000000-0005-0000-0000-000072040000}"/>
    <cellStyle name="_CAPEX MARION - INDIA 14-NOV (2)_CONCENTRATED QUOTE WLP401_CONCENTRATED QUOTE WLP477 4" xfId="1086" xr:uid="{00000000-0005-0000-0000-000073040000}"/>
    <cellStyle name="_CAPEX MARION - INDIA 14-NOV (2)_CONCENTRATED QUOTE WLP401_CONCENTRATED QUOTE WLP477 5" xfId="1087" xr:uid="{00000000-0005-0000-0000-000074040000}"/>
    <cellStyle name="_CAPEX MARION - INDIA 14-NOV (2)_CONCENTRATED QUOTE WLP401_CONCENTRATED QUOTE WLP488" xfId="1088" xr:uid="{00000000-0005-0000-0000-000075040000}"/>
    <cellStyle name="_CAPEX MARION - INDIA 14-NOV (2)_CONCENTRATED QUOTE WLP401_CONCENTRATED QUOTE WLP488 2" xfId="1089" xr:uid="{00000000-0005-0000-0000-000076040000}"/>
    <cellStyle name="_CAPEX MARION - INDIA 14-NOV (2)_CONCENTRATED QUOTE WLP401_CONCENTRATED QUOTE WLP488 3" xfId="1090" xr:uid="{00000000-0005-0000-0000-000077040000}"/>
    <cellStyle name="_CAPEX MARION - INDIA 14-NOV (2)_CONCENTRATED QUOTE WLP401_CONCENTRATED QUOTE WLP488 4" xfId="1091" xr:uid="{00000000-0005-0000-0000-000078040000}"/>
    <cellStyle name="_CAPEX MARION - INDIA 14-NOV (2)_CONCENTRATED QUOTE WLP401_CONCENTRATED QUOTE WLP488 5" xfId="1092" xr:uid="{00000000-0005-0000-0000-000079040000}"/>
    <cellStyle name="_CAPEX MARION - INDIA 14-NOV (2)_CONCENTRATED QUOTE WLP401_CONCENTRATED QUOTE WLP491" xfId="1093" xr:uid="{00000000-0005-0000-0000-00007A040000}"/>
    <cellStyle name="_CAPEX MARION - INDIA 14-NOV (2)_CONCENTRATED QUOTE WLP401_CONCENTRATED QUOTE WLP491 2" xfId="1094" xr:uid="{00000000-0005-0000-0000-00007B040000}"/>
    <cellStyle name="_CAPEX MARION - INDIA 14-NOV (2)_CONCENTRATED QUOTE WLP401_CONCENTRATED QUOTE WLP491 3" xfId="1095" xr:uid="{00000000-0005-0000-0000-00007C040000}"/>
    <cellStyle name="_CAPEX MARION - INDIA 14-NOV (2)_CONCENTRATED QUOTE WLP401_CONCENTRATED QUOTE WLP491 4" xfId="1096" xr:uid="{00000000-0005-0000-0000-00007D040000}"/>
    <cellStyle name="_CAPEX MARION - INDIA 14-NOV (2)_CONCENTRATED QUOTE WLP401_CONCENTRATED QUOTE WLP491 5" xfId="1097" xr:uid="{00000000-0005-0000-0000-00007E040000}"/>
    <cellStyle name="_CAPEX MARION - INDIA 14-NOV (2)_CONCENTRATED QUOTE WLP401_CONCENTRATED QUOTE WLP507A" xfId="1098" xr:uid="{00000000-0005-0000-0000-00007F040000}"/>
    <cellStyle name="_CAPEX MARION - INDIA 14-NOV (2)_CONCENTRATED QUOTE WLP401_CONCENTRATED QUOTE WLP507A 081909" xfId="1099" xr:uid="{00000000-0005-0000-0000-000080040000}"/>
    <cellStyle name="_CAPEX MARION - INDIA 14-NOV (2)_CONCENTRATED QUOTE WLP401_CONCENTRATED QUOTE WLP507A 081909 2" xfId="1100" xr:uid="{00000000-0005-0000-0000-000081040000}"/>
    <cellStyle name="_CAPEX MARION - INDIA 14-NOV (2)_CONCENTRATED QUOTE WLP401_CONCENTRATED QUOTE WLP507A 081909 3" xfId="1101" xr:uid="{00000000-0005-0000-0000-000082040000}"/>
    <cellStyle name="_CAPEX MARION - INDIA 14-NOV (2)_CONCENTRATED QUOTE WLP401_CONCENTRATED QUOTE WLP507A 081909 4" xfId="1102" xr:uid="{00000000-0005-0000-0000-000083040000}"/>
    <cellStyle name="_CAPEX MARION - INDIA 14-NOV (2)_CONCENTRATED QUOTE WLP401_CONCENTRATED QUOTE WLP507A 081909 5" xfId="1103" xr:uid="{00000000-0005-0000-0000-000084040000}"/>
    <cellStyle name="_CAPEX MARION - INDIA 14-NOV (2)_CONCENTRATED QUOTE WLP401_CONCENTRATED QUOTE WLP507A 2" xfId="1104" xr:uid="{00000000-0005-0000-0000-000085040000}"/>
    <cellStyle name="_CAPEX MARION - INDIA 14-NOV (2)_CONCENTRATED QUOTE WLP401_CONCENTRATED QUOTE WLP507A 3" xfId="1105" xr:uid="{00000000-0005-0000-0000-000086040000}"/>
    <cellStyle name="_CAPEX MARION - INDIA 14-NOV (2)_CONCENTRATED QUOTE WLP401_CONCENTRATED QUOTE WLP507A 4" xfId="1106" xr:uid="{00000000-0005-0000-0000-000087040000}"/>
    <cellStyle name="_CAPEX MARION - INDIA 14-NOV (2)_CONCENTRATED QUOTE WLP401_CONCENTRATED QUOTE WLP515" xfId="1107" xr:uid="{00000000-0005-0000-0000-000088040000}"/>
    <cellStyle name="_CAPEX MARION - INDIA 14-NOV (2)_CONCENTRATED QUOTE WLP401_CONCENTRATED QUOTE WLP515 2" xfId="1108" xr:uid="{00000000-0005-0000-0000-000089040000}"/>
    <cellStyle name="_CAPEX MARION - INDIA 14-NOV (2)_CONCENTRATED QUOTE WLP401_CONCENTRATED QUOTE WLP515 3" xfId="1109" xr:uid="{00000000-0005-0000-0000-00008A040000}"/>
    <cellStyle name="_CAPEX MARION - INDIA 14-NOV (2)_CONCENTRATED QUOTE WLP401_CONCENTRATED QUOTE WLP515 4" xfId="1110" xr:uid="{00000000-0005-0000-0000-00008B040000}"/>
    <cellStyle name="_CAPEX MARION - INDIA 14-NOV (2)_CONCENTRATED QUOTE WLP401_CONCENTRATED QUOTE WLP515 5" xfId="1111" xr:uid="{00000000-0005-0000-0000-00008C040000}"/>
    <cellStyle name="_CAPEX MARION - INDIA 14-NOV (2)_CONCENTRATED QUOTE WLP401_CONCENTRATED QUOTE WLP528" xfId="1112" xr:uid="{00000000-0005-0000-0000-00008D040000}"/>
    <cellStyle name="_CAPEX MARION - INDIA 14-NOV (2)_CONCENTRATED QUOTE WLP401_CONCENTRATED QUOTE WLP528 2" xfId="1113" xr:uid="{00000000-0005-0000-0000-00008E040000}"/>
    <cellStyle name="_CAPEX MARION - INDIA 14-NOV (2)_CONCENTRATED QUOTE WLP401_CONCENTRATED QUOTE WLP528 3" xfId="1114" xr:uid="{00000000-0005-0000-0000-00008F040000}"/>
    <cellStyle name="_CAPEX MARION - INDIA 14-NOV (2)_CONCENTRATED QUOTE WLP401_CONCENTRATED QUOTE WLP528 4" xfId="1115" xr:uid="{00000000-0005-0000-0000-000090040000}"/>
    <cellStyle name="_CAPEX MARION - INDIA 14-NOV (2)_CONCENTRATED QUOTE WLP401_CONCENTRATED QUOTE WLP528 5" xfId="1116" xr:uid="{00000000-0005-0000-0000-000091040000}"/>
    <cellStyle name="_CAPEX MARION - INDIA 14-NOV (2)_CONCENTRATED QUOTE WLP401_CONCENTRATED QUOTE WLP534" xfId="1117" xr:uid="{00000000-0005-0000-0000-000092040000}"/>
    <cellStyle name="_CAPEX MARION - INDIA 14-NOV (2)_CONCENTRATED QUOTE WLP401_CONCENTRATED QUOTE WLP534 2" xfId="1118" xr:uid="{00000000-0005-0000-0000-000093040000}"/>
    <cellStyle name="_CAPEX MARION - INDIA 14-NOV (2)_CONCENTRATED QUOTE WLP401_CONCENTRATED QUOTE WLP534 3" xfId="1119" xr:uid="{00000000-0005-0000-0000-000094040000}"/>
    <cellStyle name="_CAPEX MARION - INDIA 14-NOV (2)_CONCENTRATED QUOTE WLP401_CONCENTRATED QUOTE WLP534 4" xfId="1120" xr:uid="{00000000-0005-0000-0000-000095040000}"/>
    <cellStyle name="_CAPEX MARION - INDIA 14-NOV (2)_CONCENTRATED QUOTE WLP401_CONCENTRATED QUOTE WLP536" xfId="1121" xr:uid="{00000000-0005-0000-0000-000096040000}"/>
    <cellStyle name="_CAPEX MARION - INDIA 14-NOV (2)_CONCENTRATED QUOTE WLP401_CONCENTRATED QUOTE WLP536 2" xfId="1122" xr:uid="{00000000-0005-0000-0000-000097040000}"/>
    <cellStyle name="_CAPEX MARION - INDIA 14-NOV (2)_CONCENTRATED QUOTE WLP401_CONCENTRATED QUOTE WLP536 3" xfId="1123" xr:uid="{00000000-0005-0000-0000-000098040000}"/>
    <cellStyle name="_CAPEX MARION - INDIA 14-NOV (2)_CONCENTRATED QUOTE WLP401_CONCENTRATED QUOTE WLP536 4" xfId="1124" xr:uid="{00000000-0005-0000-0000-000099040000}"/>
    <cellStyle name="_CAPEX MARION - INDIA 14-NOV (2)_CONCENTRATED QUOTE WLP401_CONCENTRATED QUOTE WLP536 5" xfId="1125" xr:uid="{00000000-0005-0000-0000-00009A040000}"/>
    <cellStyle name="_CAPEX MARION - INDIA 14-NOV (2)_CONCENTRATED QUOTE WLP401_CONCENTRATED QUOTE WLP545" xfId="1126" xr:uid="{00000000-0005-0000-0000-00009B040000}"/>
    <cellStyle name="_CAPEX MARION - INDIA 14-NOV (2)_CONCENTRATED QUOTE WLP401_CONCENTRATED QUOTE WLP545 2" xfId="1127" xr:uid="{00000000-0005-0000-0000-00009C040000}"/>
    <cellStyle name="_CAPEX MARION - INDIA 14-NOV (2)_CONCENTRATED QUOTE WLP401_CONCENTRATED QUOTE WLP545 3" xfId="1128" xr:uid="{00000000-0005-0000-0000-00009D040000}"/>
    <cellStyle name="_CAPEX MARION - INDIA 14-NOV (2)_CONCENTRATED QUOTE WLP401_CONCENTRATED QUOTE WLP545 4" xfId="1129" xr:uid="{00000000-0005-0000-0000-00009E040000}"/>
    <cellStyle name="_CAPEX MARION - INDIA 14-NOV (2)_CONCENTRATED QUOTE WLP401_CONCENTRATED QUOTE WLP550" xfId="1130" xr:uid="{00000000-0005-0000-0000-00009F040000}"/>
    <cellStyle name="_CAPEX MARION - INDIA 14-NOV (2)_CONCENTRATED QUOTE WLP401_CONCENTRATED QUOTE WLP550 2" xfId="1131" xr:uid="{00000000-0005-0000-0000-0000A0040000}"/>
    <cellStyle name="_CAPEX MARION - INDIA 14-NOV (2)_CONCENTRATED QUOTE WLP401_CONCENTRATED QUOTE WLP550 3" xfId="1132" xr:uid="{00000000-0005-0000-0000-0000A1040000}"/>
    <cellStyle name="_CAPEX MARION - INDIA 14-NOV (2)_CONCENTRATED QUOTE WLP401_CONCENTRATED QUOTE WLP550 4" xfId="1133" xr:uid="{00000000-0005-0000-0000-0000A2040000}"/>
    <cellStyle name="_CAPEX MARION - INDIA 14-NOV (2)_CONCENTRATED QUOTE WLP401_CONCENTRATED QUOTE WLP550 5" xfId="1134" xr:uid="{00000000-0005-0000-0000-0000A3040000}"/>
    <cellStyle name="_CAPEX MARION - INDIA 14-NOV (2)_CONCENTRATED QUOTE WLP401_CONCENTRATED QUOTE WLP552" xfId="1135" xr:uid="{00000000-0005-0000-0000-0000A4040000}"/>
    <cellStyle name="_CAPEX MARION - INDIA 14-NOV (2)_CONCENTRATED QUOTE WLP401_CONCENTRATED QUOTE WLP552 2" xfId="1136" xr:uid="{00000000-0005-0000-0000-0000A5040000}"/>
    <cellStyle name="_CAPEX MARION - INDIA 14-NOV (2)_CONCENTRATED QUOTE WLP401_CONCENTRATED QUOTE WLP552 3" xfId="1137" xr:uid="{00000000-0005-0000-0000-0000A6040000}"/>
    <cellStyle name="_CAPEX MARION - INDIA 14-NOV (2)_CONCENTRATED QUOTE WLP401_CONCENTRATED QUOTE WLP552 4" xfId="1138" xr:uid="{00000000-0005-0000-0000-0000A7040000}"/>
    <cellStyle name="_CAPEX MARION - INDIA 14-NOV (2)_CONCENTRATED QUOTE WLP401_CONCENTRATED QUOTE WLP5565" xfId="1139" xr:uid="{00000000-0005-0000-0000-0000A8040000}"/>
    <cellStyle name="_CAPEX MARION - INDIA 14-NOV (2)_CONCENTRATED QUOTE WLP401_CONCENTRATED QUOTE WLP5565 2" xfId="1140" xr:uid="{00000000-0005-0000-0000-0000A9040000}"/>
    <cellStyle name="_CAPEX MARION - INDIA 14-NOV (2)_CONCENTRATED QUOTE WLP401_CONCENTRATED QUOTE WLP5565 3" xfId="1141" xr:uid="{00000000-0005-0000-0000-0000AA040000}"/>
    <cellStyle name="_CAPEX MARION - INDIA 14-NOV (2)_CONCENTRATED QUOTE WLP401_CONCENTRATED QUOTE WLP5565 4" xfId="1142" xr:uid="{00000000-0005-0000-0000-0000AB040000}"/>
    <cellStyle name="_CAPEX MARION - INDIA 14-NOV (2)_CONCENTRATED QUOTE WLP401_CONCENTRATED QUOTE WLP559" xfId="1143" xr:uid="{00000000-0005-0000-0000-0000AC040000}"/>
    <cellStyle name="_CAPEX MARION - INDIA 14-NOV (2)_CONCENTRATED QUOTE WLP401_CONCENTRATED QUOTE WLP568" xfId="1144" xr:uid="{00000000-0005-0000-0000-0000AD040000}"/>
    <cellStyle name="_CAPEX MARION - INDIA 14-NOV (2)_CONCENTRATED QUOTE WLP401_CONCENTRATED QUOTE WLP571" xfId="1145" xr:uid="{00000000-0005-0000-0000-0000AE040000}"/>
    <cellStyle name="_CAPEX MARION - INDIA 14-NOV (2)_CONCENTRATED QUOTE WLP401_CONCENTRATED QUOTE WLP574  ALPHA" xfId="1146" xr:uid="{00000000-0005-0000-0000-0000AF040000}"/>
    <cellStyle name="_CAPEX MARION - INDIA 14-NOV (2)_CONCENTRATED QUOTE WLP401_CONCENTRATED QUOTE WLP574  ALPHA 2" xfId="1147" xr:uid="{00000000-0005-0000-0000-0000B0040000}"/>
    <cellStyle name="_CAPEX MARION - INDIA 14-NOV (2)_CONCENTRATED QUOTE WLP401_CONCENTRATED QUOTE WLP574  ALPHA 3" xfId="1148" xr:uid="{00000000-0005-0000-0000-0000B1040000}"/>
    <cellStyle name="_CAPEX MARION - INDIA 14-NOV (2)_CONCENTRATED QUOTE WLP401_CONCENTRATED QUOTE WLP574  ALPHA 4" xfId="1149" xr:uid="{00000000-0005-0000-0000-0000B2040000}"/>
    <cellStyle name="_CAPEX MARION - INDIA 14-NOV (2)_CONCENTRATED QUOTE WLP401_CONCENTRATED QUOTE WLP574  ALPHA 5" xfId="1150" xr:uid="{00000000-0005-0000-0000-0000B3040000}"/>
    <cellStyle name="_CAPEX MARION - INDIA 14-NOV (2)_CONCENTRATED QUOTE WLP401_CONCENTRATED QUOTE WLP610 VMW CLC" xfId="1151" xr:uid="{00000000-0005-0000-0000-0000B4040000}"/>
    <cellStyle name="_CAPEX MARION - INDIA 14-NOV (2)_CONCENTRATED QUOTE WLP401_CONCENTRATED QUOTE WLP610 VMW CLC 2" xfId="1152" xr:uid="{00000000-0005-0000-0000-0000B5040000}"/>
    <cellStyle name="_CAPEX MARION - INDIA 14-NOV (2)_CONCENTRATED QUOTE WLP401_CONCENTRATED QUOTE WLP610 VMW CLC 3" xfId="1153" xr:uid="{00000000-0005-0000-0000-0000B6040000}"/>
    <cellStyle name="_CAPEX MARION - INDIA 14-NOV (2)_CONCENTRATED QUOTE WLP401_CONCENTRATED QUOTE WLP610 VMW CLC 4" xfId="1154" xr:uid="{00000000-0005-0000-0000-0000B7040000}"/>
    <cellStyle name="_CAPEX MARION - INDIA 14-NOV (2)_CONCENTRATED QUOTE WLP401_CONCENTRATED QUOTE WLP610 VMW CLC 5" xfId="1155" xr:uid="{00000000-0005-0000-0000-0000B8040000}"/>
    <cellStyle name="_CAPEX MARION - INDIA 14-NOV (2)_CONCENTRATED QUOTE WLP401_CONCENTRATED QUOTE WLP623 071310" xfId="1156" xr:uid="{00000000-0005-0000-0000-0000B9040000}"/>
    <cellStyle name="_CAPEX MARION - INDIA 14-NOV (2)_CONCENTRATED QUOTE WLP401_CONCENTRATED QUOTE WLP628" xfId="1157" xr:uid="{00000000-0005-0000-0000-0000BA040000}"/>
    <cellStyle name="_CAPEX MARION - INDIA 14-NOV (2)_CONCENTRATED QUOTE WLP401_CONCENTRATED QUOTE WLP628 2" xfId="1158" xr:uid="{00000000-0005-0000-0000-0000BB040000}"/>
    <cellStyle name="_CAPEX MARION - INDIA 14-NOV (2)_CONCENTRATED QUOTE WLP401_CONCENTRATED QUOTE WLP628 3" xfId="1159" xr:uid="{00000000-0005-0000-0000-0000BC040000}"/>
    <cellStyle name="_CAPEX MARION - INDIA 14-NOV (2)_CONCENTRATED QUOTE WLP401_CONCENTRATED QUOTE WLP628 4" xfId="1160" xr:uid="{00000000-0005-0000-0000-0000BD040000}"/>
    <cellStyle name="_CAPEX MARION - INDIA 14-NOV (2)_CONCENTRATED QUOTE WLP401_CONCENTRATED QUOTE WLP628 5" xfId="1161" xr:uid="{00000000-0005-0000-0000-0000BE040000}"/>
    <cellStyle name="_CAPEX MARION - INDIA 14-NOV (2)_CONCENTRATED QUOTE WLP401_CONCENTRATED QUOTE WLP634 VMW MTAG" xfId="1162" xr:uid="{00000000-0005-0000-0000-0000BF040000}"/>
    <cellStyle name="_CAPEX MARION - INDIA 14-NOV (2)_CONCENTRATED QUOTE WLP401_CONCENTRATED QUOTE WLP635" xfId="1163" xr:uid="{00000000-0005-0000-0000-0000C0040000}"/>
    <cellStyle name="_CAPEX MARION - INDIA 14-NOV (2)_CONCENTRATED QUOTE WLP401_CONCENTRATED QUOTE WLP646" xfId="1164" xr:uid="{00000000-0005-0000-0000-0000C1040000}"/>
    <cellStyle name="_CAPEX MARION - INDIA 14-NOV (2)_CONCENTRATED QUOTE WLP401_CONCENTRATED QUOTE WLP646 2" xfId="1165" xr:uid="{00000000-0005-0000-0000-0000C2040000}"/>
    <cellStyle name="_CAPEX MARION - INDIA 14-NOV (2)_CONCENTRATED QUOTE WLP401_CONCENTRATED QUOTE WLP646 3" xfId="1166" xr:uid="{00000000-0005-0000-0000-0000C3040000}"/>
    <cellStyle name="_CAPEX MARION - INDIA 14-NOV (2)_CONCENTRATED QUOTE WLP401_CONCENTRATED QUOTE WLP646 4" xfId="1167" xr:uid="{00000000-0005-0000-0000-0000C4040000}"/>
    <cellStyle name="_CAPEX MARION - INDIA 14-NOV (2)_CONCENTRATED QUOTE WLP401_CONCENTRATED QUOTE WLP646 5" xfId="1168" xr:uid="{00000000-0005-0000-0000-0000C5040000}"/>
    <cellStyle name="_CAPEX MARION - INDIA 14-NOV (2)_CONCENTRATED QUOTE WLP401_Copy of CONCENTRATED QUOTE WLP579" xfId="1169" xr:uid="{00000000-0005-0000-0000-0000C6040000}"/>
    <cellStyle name="_CAPEX MARION - INDIA 14-NOV (2)_CONCENTRATED QUOTE WLP401_Copy of CONCENTRATED QUOTE WLP579 2" xfId="1170" xr:uid="{00000000-0005-0000-0000-0000C7040000}"/>
    <cellStyle name="_CAPEX MARION - INDIA 14-NOV (2)_CONCENTRATED QUOTE WLP401_Copy of CONCENTRATED QUOTE WLP579 3" xfId="1171" xr:uid="{00000000-0005-0000-0000-0000C8040000}"/>
    <cellStyle name="_CAPEX MARION - INDIA 14-NOV (2)_CONCENTRATED QUOTE WLP401_Copy of CONCENTRATED QUOTE WLP579 4" xfId="1172" xr:uid="{00000000-0005-0000-0000-0000C9040000}"/>
    <cellStyle name="_CAPEX MARION - INDIA 14-NOV (2)_CONCENTRATED QUOTE WLP401_Dekko HE P3-Classic P1" xfId="1173" xr:uid="{00000000-0005-0000-0000-0000CA040000}"/>
    <cellStyle name="_CAPEX MARION - INDIA 14-NOV (2)_CONCENTRATED QUOTE WLP401_Dekko HE P3-Classic P1 2" xfId="1174" xr:uid="{00000000-0005-0000-0000-0000CB040000}"/>
    <cellStyle name="_CAPEX MARION - INDIA 14-NOV (2)_CONCENTRATED QUOTE WLP401_Dekko HE P3-Classic P1 3" xfId="1175" xr:uid="{00000000-0005-0000-0000-0000CC040000}"/>
    <cellStyle name="_CAPEX MARION - INDIA 14-NOV (2)_CONCENTRATED QUOTE WLP401_Dekko HE P3-Classic P1 4" xfId="1176" xr:uid="{00000000-0005-0000-0000-0000CD040000}"/>
    <cellStyle name="_CAPEX MARION - INDIA 14-NOV (2)_CONCENTRATED QUOTE WLP401_ESTC1CLY0012" xfId="1177" xr:uid="{00000000-0005-0000-0000-0000CE040000}"/>
    <cellStyle name="_CAPEX MARION - INDIA 14-NOV (2)_CONCENTRATED QUOTE WLP401_ESTC1CLY0012 2" xfId="1178" xr:uid="{00000000-0005-0000-0000-0000CF040000}"/>
    <cellStyle name="_CAPEX MARION - INDIA 14-NOV (2)_CONCENTRATED QUOTE WLP401_ESTC1CLY0012 3" xfId="1179" xr:uid="{00000000-0005-0000-0000-0000D0040000}"/>
    <cellStyle name="_CAPEX MARION - INDIA 14-NOV (2)_CONCENTRATED QUOTE WLP401_ESTC1CLY0012 4" xfId="1180" xr:uid="{00000000-0005-0000-0000-0000D1040000}"/>
    <cellStyle name="_CAPEX MARION - INDIA 14-NOV (2)_CONCENTRATED QUOTE WLP401_ESTC1CLY0013" xfId="1181" xr:uid="{00000000-0005-0000-0000-0000D2040000}"/>
    <cellStyle name="_CAPEX MARION - INDIA 14-NOV (2)_CONCENTRATED QUOTE WLP401_ESTC1CLY0013 2" xfId="1182" xr:uid="{00000000-0005-0000-0000-0000D3040000}"/>
    <cellStyle name="_CAPEX MARION - INDIA 14-NOV (2)_CONCENTRATED QUOTE WLP401_ESTC1CLY0013 3" xfId="1183" xr:uid="{00000000-0005-0000-0000-0000D4040000}"/>
    <cellStyle name="_CAPEX MARION - INDIA 14-NOV (2)_CONCENTRATED QUOTE WLP401_ESTC1CLY0013 4" xfId="1184" xr:uid="{00000000-0005-0000-0000-0000D5040000}"/>
    <cellStyle name="_CAPEX MARION - INDIA 14-NOV (2)_CONCENTRATED QUOTE WLP401_ESTC1FIN018" xfId="1185" xr:uid="{00000000-0005-0000-0000-0000D6040000}"/>
    <cellStyle name="_CAPEX MARION - INDIA 14-NOV (2)_CONCENTRATED QUOTE WLP401_Estimated Quote 050609 039" xfId="1186" xr:uid="{00000000-0005-0000-0000-0000D7040000}"/>
    <cellStyle name="_CAPEX MARION - INDIA 14-NOV (2)_CONCENTRATED QUOTE WLP401_Estimated Quote 050609 039 2" xfId="1187" xr:uid="{00000000-0005-0000-0000-0000D8040000}"/>
    <cellStyle name="_CAPEX MARION - INDIA 14-NOV (2)_CONCENTRATED QUOTE WLP401_Estimated Quote 050609 039 3" xfId="1188" xr:uid="{00000000-0005-0000-0000-0000D9040000}"/>
    <cellStyle name="_CAPEX MARION - INDIA 14-NOV (2)_CONCENTRATED QUOTE WLP401_Estimated Quote 050609 039 4" xfId="1189" xr:uid="{00000000-0005-0000-0000-0000DA040000}"/>
    <cellStyle name="_CAPEX MARION - INDIA 14-NOV (2)_CONCENTRATED QUOTE WLP401_Estimated Quote 050609 039 5" xfId="1190" xr:uid="{00000000-0005-0000-0000-0000DB040000}"/>
    <cellStyle name="_CAPEX MARION - INDIA 14-NOV (2)_CONCENTRATED QUOTE WLP401_W01278760" xfId="1191" xr:uid="{00000000-0005-0000-0000-0000DC040000}"/>
    <cellStyle name="_CAPEX MARION - INDIA 14-NOV (2)_CONCENTRATED QUOTE WLP401_W01278760 2" xfId="1192" xr:uid="{00000000-0005-0000-0000-0000DD040000}"/>
    <cellStyle name="_CAPEX MARION - INDIA 14-NOV (2)_CONCENTRATED QUOTE WLP401_W01278760 3" xfId="1193" xr:uid="{00000000-0005-0000-0000-0000DE040000}"/>
    <cellStyle name="_CAPEX MARION - INDIA 14-NOV (2)_CONCENTRATED QUOTE WLP401_W01278760 4" xfId="1194" xr:uid="{00000000-0005-0000-0000-0000DF040000}"/>
    <cellStyle name="_CAPEX MARION - INDIA 14-NOV (2)_CONCENTRATED QUOTE WLP401_W01278760 5" xfId="1195" xr:uid="{00000000-0005-0000-0000-0000E0040000}"/>
    <cellStyle name="_CAPEX MARION - INDIA 14-NOV (2)_CONCENTRATED QUOTE WLP401_W10251442" xfId="1196" xr:uid="{00000000-0005-0000-0000-0000E1040000}"/>
    <cellStyle name="_CAPEX MARION - INDIA 14-NOV (2)_CONCENTRATED QUOTE WLP401_W10251443" xfId="1197" xr:uid="{00000000-0005-0000-0000-0000E2040000}"/>
    <cellStyle name="_CAPEX MARION - INDIA 14-NOV (2)_CONCENTRATED QUOTE WLP401_W10251444" xfId="1198" xr:uid="{00000000-0005-0000-0000-0000E3040000}"/>
    <cellStyle name="_CAPEX MARION - INDIA 14-NOV (2)_CONCENTRATED QUOTE WLP401_W10251766 D" xfId="1199" xr:uid="{00000000-0005-0000-0000-0000E4040000}"/>
    <cellStyle name="_CAPEX MARION - INDIA 14-NOV (2)_CONCENTRATED QUOTE WLP401_W10278758" xfId="1200" xr:uid="{00000000-0005-0000-0000-0000E5040000}"/>
    <cellStyle name="_CAPEX MARION - INDIA 14-NOV (2)_CONCENTRATED QUOTE WLP401_W10278758 2" xfId="1201" xr:uid="{00000000-0005-0000-0000-0000E6040000}"/>
    <cellStyle name="_CAPEX MARION - INDIA 14-NOV (2)_CONCENTRATED QUOTE WLP401_W10278758 3" xfId="1202" xr:uid="{00000000-0005-0000-0000-0000E7040000}"/>
    <cellStyle name="_CAPEX MARION - INDIA 14-NOV (2)_CONCENTRATED QUOTE WLP401_W10278758 4" xfId="1203" xr:uid="{00000000-0005-0000-0000-0000E8040000}"/>
    <cellStyle name="_CAPEX MARION - INDIA 14-NOV (2)_CONCENTRATED QUOTE WLP401_W10278758 5" xfId="1204" xr:uid="{00000000-0005-0000-0000-0000E9040000}"/>
    <cellStyle name="_CAPEX MARION - INDIA 14-NOV (2)_CONCENTRATED QUOTE WLP401_W10278759" xfId="1205" xr:uid="{00000000-0005-0000-0000-0000EA040000}"/>
    <cellStyle name="_CAPEX MARION - INDIA 14-NOV (2)_CONCENTRATED QUOTE WLP401_W10279106 y W10279107 de MR a 56i" xfId="1206" xr:uid="{00000000-0005-0000-0000-0000EB040000}"/>
    <cellStyle name="_CAPEX MARION - INDIA 14-NOV (2)_CONCENTRATED QUOTE WLP401_W10290772" xfId="1207" xr:uid="{00000000-0005-0000-0000-0000EC040000}"/>
    <cellStyle name="_CAPEX MARION - INDIA 14-NOV (2)_CONCENTRATED QUOTE WLP401_W10290772 2" xfId="1208" xr:uid="{00000000-0005-0000-0000-0000ED040000}"/>
    <cellStyle name="_CAPEX MARION - INDIA 14-NOV (2)_CONCENTRATED QUOTE WLP401_W10290772 3" xfId="1209" xr:uid="{00000000-0005-0000-0000-0000EE040000}"/>
    <cellStyle name="_CAPEX MARION - INDIA 14-NOV (2)_CONCENTRATED QUOTE WLP401_W10290772 4" xfId="1210" xr:uid="{00000000-0005-0000-0000-0000EF040000}"/>
    <cellStyle name="_CAPEX MARION - INDIA 14-NOV (2)_CONCENTRATED QUOTE WLP401_W10290772 5" xfId="1211" xr:uid="{00000000-0005-0000-0000-0000F0040000}"/>
    <cellStyle name="_CAPEX MARION - INDIA 14-NOV (2)_CONCENTRATED QUOTE WLP401_W10290774" xfId="1212" xr:uid="{00000000-0005-0000-0000-0000F1040000}"/>
    <cellStyle name="_CAPEX MARION - INDIA 14-NOV (2)_CONCENTRATED QUOTE WLP401_W10290774 2" xfId="1213" xr:uid="{00000000-0005-0000-0000-0000F2040000}"/>
    <cellStyle name="_CAPEX MARION - INDIA 14-NOV (2)_CONCENTRATED QUOTE WLP401_W10290774 3" xfId="1214" xr:uid="{00000000-0005-0000-0000-0000F3040000}"/>
    <cellStyle name="_CAPEX MARION - INDIA 14-NOV (2)_CONCENTRATED QUOTE WLP401_W10290774 4" xfId="1215" xr:uid="{00000000-0005-0000-0000-0000F4040000}"/>
    <cellStyle name="_CAPEX MARION - INDIA 14-NOV (2)_CONCENTRATED QUOTE WLP401_W10290774 5" xfId="1216" xr:uid="{00000000-0005-0000-0000-0000F5040000}"/>
    <cellStyle name="_CAPEX MARION - INDIA 14-NOV (2)_CONCENTRATED QUOTE WLP401_W10300883" xfId="1217" xr:uid="{00000000-0005-0000-0000-0000F6040000}"/>
    <cellStyle name="_CAPEX MARION - INDIA 14-NOV (2)_CONCENTRATED QUOTE WLP401_W10300883 2" xfId="1218" xr:uid="{00000000-0005-0000-0000-0000F7040000}"/>
    <cellStyle name="_CAPEX MARION - INDIA 14-NOV (2)_CONCENTRATED QUOTE WLP401_W10300883 3" xfId="1219" xr:uid="{00000000-0005-0000-0000-0000F8040000}"/>
    <cellStyle name="_CAPEX MARION - INDIA 14-NOV (2)_CONCENTRATED QUOTE WLP401_W10300883 4" xfId="1220" xr:uid="{00000000-0005-0000-0000-0000F9040000}"/>
    <cellStyle name="_CAPEX MARION - INDIA 14-NOV (2)_CONCENTRATED QUOTE WLP401_W10300883 5" xfId="1221" xr:uid="{00000000-0005-0000-0000-0000FA040000}"/>
    <cellStyle name="_CAPEX MARION - INDIA 14-NOV (2)_CONCENTRATED QUOTE WLP401_W10315922 A" xfId="1222" xr:uid="{00000000-0005-0000-0000-0000FB040000}"/>
    <cellStyle name="_CAPEX MARION - INDIA 14-NOV (2)_CONCENTRATED QUOTE WLP401_WPFINDLAY-0037" xfId="1223" xr:uid="{00000000-0005-0000-0000-0000FC040000}"/>
    <cellStyle name="_CAPEX MARION - INDIA 14-NOV (2)_CONCENTRATED QUOTE WLP401_WPN145 3954933" xfId="1224" xr:uid="{00000000-0005-0000-0000-0000FD040000}"/>
    <cellStyle name="_CAPEX MARION - INDIA 14-NOV (2)_CONCENTRATED QUOTE WLP401_WPN145 3954933 2" xfId="1225" xr:uid="{00000000-0005-0000-0000-0000FE040000}"/>
    <cellStyle name="_CAPEX MARION - INDIA 14-NOV (2)_CONCENTRATED QUOTE WLP401_WPN145 3954933 3" xfId="1226" xr:uid="{00000000-0005-0000-0000-0000FF040000}"/>
    <cellStyle name="_CAPEX MARION - INDIA 14-NOV (2)_CONCENTRATED QUOTE WLP401_WPN145 3954933 4" xfId="1227" xr:uid="{00000000-0005-0000-0000-000000050000}"/>
    <cellStyle name="_CAPEX MARION - INDIA 14-NOV (2)_CONCENTRATED QUOTE WLP401_WPN145 3954933 5" xfId="1228" xr:uid="{00000000-0005-0000-0000-000001050000}"/>
    <cellStyle name="_CAPEX MARION - INDIA 14-NOV (2)_CONCENTRATED QUOTE WLP401_WPN163 8576530" xfId="1229" xr:uid="{00000000-0005-0000-0000-000002050000}"/>
    <cellStyle name="_CAPEX MARION - INDIA 14-NOV (2)_CONCENTRATED QUOTE WLP401_WPN163 8576530 2" xfId="1230" xr:uid="{00000000-0005-0000-0000-000003050000}"/>
    <cellStyle name="_CAPEX MARION - INDIA 14-NOV (2)_CONCENTRATED QUOTE WLP401_WPN163 8576530 3" xfId="1231" xr:uid="{00000000-0005-0000-0000-000004050000}"/>
    <cellStyle name="_CAPEX MARION - INDIA 14-NOV (2)_CONCENTRATED QUOTE WLP401_WPN163 8576530 4" xfId="1232" xr:uid="{00000000-0005-0000-0000-000005050000}"/>
    <cellStyle name="_CAPEX MARION - INDIA 14-NOV (2)_CONCENTRATED QUOTE WLP401_xCONCENTRATED QUOTE 2" xfId="1233" xr:uid="{00000000-0005-0000-0000-000006050000}"/>
    <cellStyle name="_CAPEX MARION - INDIA 14-NOV (2)_CONCENTRATED QUOTE WLP401_xCONCENTRATED QUOTE 2 2" xfId="1234" xr:uid="{00000000-0005-0000-0000-000007050000}"/>
    <cellStyle name="_CAPEX MARION - INDIA 14-NOV (2)_CONCENTRATED QUOTE WLP401_xCONCENTRATED QUOTE 2 3" xfId="1235" xr:uid="{00000000-0005-0000-0000-000008050000}"/>
    <cellStyle name="_CAPEX MARION - INDIA 14-NOV (2)_CONCENTRATED QUOTE WLP401_xCONCENTRATED QUOTE 2 4" xfId="1236" xr:uid="{00000000-0005-0000-0000-000009050000}"/>
    <cellStyle name="_CAPEX MARION - INDIA 14-NOV (2)_CONCENTRATED QUOTE WLP401_xCONCENTRATED QUOTE 2 5" xfId="1237" xr:uid="{00000000-0005-0000-0000-00000A050000}"/>
    <cellStyle name="_CAPEX MARION - INDIA 14-NOV (2)_CONCENTRATED QUOTE WLP401_xCONCENTRATED QUOTE 3" xfId="1238" xr:uid="{00000000-0005-0000-0000-00000B050000}"/>
    <cellStyle name="_CAPEX MARION - INDIA 14-NOV (2)_CONCENTRATED QUOTE WLP401_xCONCENTRATED QUOTE 3 2" xfId="1239" xr:uid="{00000000-0005-0000-0000-00000C050000}"/>
    <cellStyle name="_CAPEX MARION - INDIA 14-NOV (2)_CONCENTRATED QUOTE WLP401_xCONCENTRATED QUOTE 3 3" xfId="1240" xr:uid="{00000000-0005-0000-0000-00000D050000}"/>
    <cellStyle name="_CAPEX MARION - INDIA 14-NOV (2)_CONCENTRATED QUOTE WLP401_xCONCENTRATED QUOTE 3 4" xfId="1241" xr:uid="{00000000-0005-0000-0000-00000E050000}"/>
    <cellStyle name="_CAPEX MARION - INDIA 14-NOV (2)_CONCENTRATED QUOTE WLP401_xCONCENTRATED QUOTE 3 5" xfId="1242" xr:uid="{00000000-0005-0000-0000-00000F050000}"/>
    <cellStyle name="_CAPEX MARION - INDIA 14-NOV (2)_CONCENTRATED QUOTE WLP401_Xl0000004" xfId="1243" xr:uid="{00000000-0005-0000-0000-000010050000}"/>
    <cellStyle name="_CAPEX MARION - INDIA 14-NOV (2)_CONCENTRATED QUOTE WLP401_Xl0000004 2" xfId="1244" xr:uid="{00000000-0005-0000-0000-000011050000}"/>
    <cellStyle name="_CAPEX MARION - INDIA 14-NOV (2)_CONCENTRATED QUOTE WLP401_Xl0000004 3" xfId="1245" xr:uid="{00000000-0005-0000-0000-000012050000}"/>
    <cellStyle name="_CAPEX MARION - INDIA 14-NOV (2)_CONCENTRATED QUOTE WLP401_Xl0000004 4" xfId="1246" xr:uid="{00000000-0005-0000-0000-000013050000}"/>
    <cellStyle name="_CAPEX MARION - INDIA 14-NOV (2)_CONCENTRATED QUOTE WLP401_Xl0000004 5" xfId="1247" xr:uid="{00000000-0005-0000-0000-000014050000}"/>
    <cellStyle name="_CAPEX MARION - INDIA 14-NOV (2)_CONCENTRATED QUOTE WLP403" xfId="1248" xr:uid="{00000000-0005-0000-0000-000015050000}"/>
    <cellStyle name="_CAPEX MARION - INDIA 14-NOV (2)_CONCENTRATED QUOTE WLP403 2" xfId="1249" xr:uid="{00000000-0005-0000-0000-000016050000}"/>
    <cellStyle name="_CAPEX MARION - INDIA 14-NOV (2)_CONCENTRATED QUOTE WLP403 3" xfId="1250" xr:uid="{00000000-0005-0000-0000-000017050000}"/>
    <cellStyle name="_CAPEX MARION - INDIA 14-NOV (2)_CONCENTRATED QUOTE WLP403 4" xfId="1251" xr:uid="{00000000-0005-0000-0000-000018050000}"/>
    <cellStyle name="_CAPEX MARION - INDIA 14-NOV (2)_CONCENTRATED QUOTE WLP403_862-CH" xfId="1252" xr:uid="{00000000-0005-0000-0000-000019050000}"/>
    <cellStyle name="_CAPEX MARION - INDIA 14-NOV (2)_CONCENTRATED QUOTE WLP403_CONCENTRATED QUOTE WLP417 OP 3" xfId="1253" xr:uid="{00000000-0005-0000-0000-00001A050000}"/>
    <cellStyle name="_CAPEX MARION - INDIA 14-NOV (2)_CONCENTRATED QUOTE WLP403_CONCENTRATED QUOTE WLP417 OP 3 2" xfId="1254" xr:uid="{00000000-0005-0000-0000-00001B050000}"/>
    <cellStyle name="_CAPEX MARION - INDIA 14-NOV (2)_CONCENTRATED QUOTE WLP403_CONCENTRATED QUOTE WLP417 OP 3 2 2" xfId="1255" xr:uid="{00000000-0005-0000-0000-00001C050000}"/>
    <cellStyle name="_CAPEX MARION - INDIA 14-NOV (2)_CONCENTRATED QUOTE WLP403_CONCENTRATED QUOTE WLP417 OP 3 2 3" xfId="1256" xr:uid="{00000000-0005-0000-0000-00001D050000}"/>
    <cellStyle name="_CAPEX MARION - INDIA 14-NOV (2)_CONCENTRATED QUOTE WLP403_CONCENTRATED QUOTE WLP417 OP 3 2 4" xfId="1257" xr:uid="{00000000-0005-0000-0000-00001E050000}"/>
    <cellStyle name="_CAPEX MARION - INDIA 14-NOV (2)_CONCENTRATED QUOTE WLP403_CONCENTRATED QUOTE WLP417 OP 3 3" xfId="1258" xr:uid="{00000000-0005-0000-0000-00001F050000}"/>
    <cellStyle name="_CAPEX MARION - INDIA 14-NOV (2)_CONCENTRATED QUOTE WLP403_CONCENTRATED QUOTE WLP417 OP 3_862-CH" xfId="1259" xr:uid="{00000000-0005-0000-0000-000020050000}"/>
    <cellStyle name="_CAPEX MARION - INDIA 14-NOV (2)_CONCENTRATED QUOTE WLP403_CONCENTRATED QUOTE WLP417 OP 3_W10251766 D" xfId="1260" xr:uid="{00000000-0005-0000-0000-000021050000}"/>
    <cellStyle name="_CAPEX MARION - INDIA 14-NOV (2)_CONCENTRATED QUOTE WLP403_CONCENTRATED QUOTE WLP417 OP 3_W10279106 y W10279107 de MR a 56i" xfId="1261" xr:uid="{00000000-0005-0000-0000-000022050000}"/>
    <cellStyle name="_CAPEX MARION - INDIA 14-NOV (2)_CONCENTRATED QUOTE WLP403_CONCENTRATED QUOTE WLP417 OP 3_W10315922 A" xfId="1262" xr:uid="{00000000-0005-0000-0000-000023050000}"/>
    <cellStyle name="_CAPEX MARION - INDIA 14-NOV (2)_CONCENTRATED QUOTE WLP403_CONCENTRATED QUOTE WLP417 OP 4" xfId="1263" xr:uid="{00000000-0005-0000-0000-000024050000}"/>
    <cellStyle name="_CAPEX MARION - INDIA 14-NOV (2)_CONCENTRATED QUOTE WLP403_CONCENTRATED QUOTE WLP417 OP 4 2" xfId="1264" xr:uid="{00000000-0005-0000-0000-000025050000}"/>
    <cellStyle name="_CAPEX MARION - INDIA 14-NOV (2)_CONCENTRATED QUOTE WLP403_CONCENTRATED QUOTE WLP417 OP 4 2 2" xfId="1265" xr:uid="{00000000-0005-0000-0000-000026050000}"/>
    <cellStyle name="_CAPEX MARION - INDIA 14-NOV (2)_CONCENTRATED QUOTE WLP403_CONCENTRATED QUOTE WLP417 OP 4 2 3" xfId="1266" xr:uid="{00000000-0005-0000-0000-000027050000}"/>
    <cellStyle name="_CAPEX MARION - INDIA 14-NOV (2)_CONCENTRATED QUOTE WLP403_CONCENTRATED QUOTE WLP417 OP 4 2 4" xfId="1267" xr:uid="{00000000-0005-0000-0000-000028050000}"/>
    <cellStyle name="_CAPEX MARION - INDIA 14-NOV (2)_CONCENTRATED QUOTE WLP403_CONCENTRATED QUOTE WLP417 OP 4 3" xfId="1268" xr:uid="{00000000-0005-0000-0000-000029050000}"/>
    <cellStyle name="_CAPEX MARION - INDIA 14-NOV (2)_CONCENTRATED QUOTE WLP403_CONCENTRATED QUOTE WLP417 OP 4_862-CH" xfId="1269" xr:uid="{00000000-0005-0000-0000-00002A050000}"/>
    <cellStyle name="_CAPEX MARION - INDIA 14-NOV (2)_CONCENTRATED QUOTE WLP403_CONCENTRATED QUOTE WLP417 OP 4_W10251766 D" xfId="1270" xr:uid="{00000000-0005-0000-0000-00002B050000}"/>
    <cellStyle name="_CAPEX MARION - INDIA 14-NOV (2)_CONCENTRATED QUOTE WLP403_CONCENTRATED QUOTE WLP417 OP 4_W10279106 y W10279107 de MR a 56i" xfId="1271" xr:uid="{00000000-0005-0000-0000-00002C050000}"/>
    <cellStyle name="_CAPEX MARION - INDIA 14-NOV (2)_CONCENTRATED QUOTE WLP403_CONCENTRATED QUOTE WLP417 OP 4_W10315922 A" xfId="1272" xr:uid="{00000000-0005-0000-0000-00002D050000}"/>
    <cellStyle name="_CAPEX MARION - INDIA 14-NOV (2)_CONCENTRATED QUOTE WLP403_CONCENTRATED QUOTE WLP417 OP 5" xfId="1273" xr:uid="{00000000-0005-0000-0000-00002E050000}"/>
    <cellStyle name="_CAPEX MARION - INDIA 14-NOV (2)_CONCENTRATED QUOTE WLP403_CONCENTRATED QUOTE WLP417 OP 5 2" xfId="1274" xr:uid="{00000000-0005-0000-0000-00002F050000}"/>
    <cellStyle name="_CAPEX MARION - INDIA 14-NOV (2)_CONCENTRATED QUOTE WLP403_CONCENTRATED QUOTE WLP417 OP 5 2 2" xfId="1275" xr:uid="{00000000-0005-0000-0000-000030050000}"/>
    <cellStyle name="_CAPEX MARION - INDIA 14-NOV (2)_CONCENTRATED QUOTE WLP403_CONCENTRATED QUOTE WLP417 OP 5 2 3" xfId="1276" xr:uid="{00000000-0005-0000-0000-000031050000}"/>
    <cellStyle name="_CAPEX MARION - INDIA 14-NOV (2)_CONCENTRATED QUOTE WLP403_CONCENTRATED QUOTE WLP417 OP 5 2 4" xfId="1277" xr:uid="{00000000-0005-0000-0000-000032050000}"/>
    <cellStyle name="_CAPEX MARION - INDIA 14-NOV (2)_CONCENTRATED QUOTE WLP403_CONCENTRATED QUOTE WLP417 OP 5 3" xfId="1278" xr:uid="{00000000-0005-0000-0000-000033050000}"/>
    <cellStyle name="_CAPEX MARION - INDIA 14-NOV (2)_CONCENTRATED QUOTE WLP403_CONCENTRATED QUOTE WLP417 OP 5_862-CH" xfId="1279" xr:uid="{00000000-0005-0000-0000-000034050000}"/>
    <cellStyle name="_CAPEX MARION - INDIA 14-NOV (2)_CONCENTRATED QUOTE WLP403_CONCENTRATED QUOTE WLP417 OP 5_W10251766 D" xfId="1280" xr:uid="{00000000-0005-0000-0000-000035050000}"/>
    <cellStyle name="_CAPEX MARION - INDIA 14-NOV (2)_CONCENTRATED QUOTE WLP403_CONCENTRATED QUOTE WLP417 OP 5_W10279106 y W10279107 de MR a 56i" xfId="1281" xr:uid="{00000000-0005-0000-0000-000036050000}"/>
    <cellStyle name="_CAPEX MARION - INDIA 14-NOV (2)_CONCENTRATED QUOTE WLP403_CONCENTRATED QUOTE WLP417 OP 5_W10315922 A" xfId="1282" xr:uid="{00000000-0005-0000-0000-000037050000}"/>
    <cellStyle name="_CAPEX MARION - INDIA 14-NOV (2)_CONCENTRATED QUOTE WLP403_CONCENTRATED QUOTE WLP417 OP 6" xfId="1283" xr:uid="{00000000-0005-0000-0000-000038050000}"/>
    <cellStyle name="_CAPEX MARION - INDIA 14-NOV (2)_CONCENTRATED QUOTE WLP403_CONCENTRATED QUOTE WLP417 OP 6 2" xfId="1284" xr:uid="{00000000-0005-0000-0000-000039050000}"/>
    <cellStyle name="_CAPEX MARION - INDIA 14-NOV (2)_CONCENTRATED QUOTE WLP403_CONCENTRATED QUOTE WLP417 OP 6 2 2" xfId="1285" xr:uid="{00000000-0005-0000-0000-00003A050000}"/>
    <cellStyle name="_CAPEX MARION - INDIA 14-NOV (2)_CONCENTRATED QUOTE WLP403_CONCENTRATED QUOTE WLP417 OP 6 2 3" xfId="1286" xr:uid="{00000000-0005-0000-0000-00003B050000}"/>
    <cellStyle name="_CAPEX MARION - INDIA 14-NOV (2)_CONCENTRATED QUOTE WLP403_CONCENTRATED QUOTE WLP417 OP 6 2 4" xfId="1287" xr:uid="{00000000-0005-0000-0000-00003C050000}"/>
    <cellStyle name="_CAPEX MARION - INDIA 14-NOV (2)_CONCENTRATED QUOTE WLP403_CONCENTRATED QUOTE WLP417 OP 6 3" xfId="1288" xr:uid="{00000000-0005-0000-0000-00003D050000}"/>
    <cellStyle name="_CAPEX MARION - INDIA 14-NOV (2)_CONCENTRATED QUOTE WLP403_CONCENTRATED QUOTE WLP417 OP 6_862-CH" xfId="1289" xr:uid="{00000000-0005-0000-0000-00003E050000}"/>
    <cellStyle name="_CAPEX MARION - INDIA 14-NOV (2)_CONCENTRATED QUOTE WLP403_CONCENTRATED QUOTE WLP417 OP 6_W10251766 D" xfId="1290" xr:uid="{00000000-0005-0000-0000-00003F050000}"/>
    <cellStyle name="_CAPEX MARION - INDIA 14-NOV (2)_CONCENTRATED QUOTE WLP403_CONCENTRATED QUOTE WLP417 OP 6_W10279106 y W10279107 de MR a 56i" xfId="1291" xr:uid="{00000000-0005-0000-0000-000040050000}"/>
    <cellStyle name="_CAPEX MARION - INDIA 14-NOV (2)_CONCENTRATED QUOTE WLP403_CONCENTRATED QUOTE WLP417 OP 6_W10315922 A" xfId="1292" xr:uid="{00000000-0005-0000-0000-000041050000}"/>
    <cellStyle name="_CAPEX MARION - INDIA 14-NOV (2)_CONCENTRATED QUOTE WLP403_Op 1 VMW Base Line Molex" xfId="1293" xr:uid="{00000000-0005-0000-0000-000042050000}"/>
    <cellStyle name="_CAPEX MARION - INDIA 14-NOV (2)_CONCENTRATED QUOTE WLP403_Op 1 VMW Base Line Molex 2" xfId="1294" xr:uid="{00000000-0005-0000-0000-000043050000}"/>
    <cellStyle name="_CAPEX MARION - INDIA 14-NOV (2)_CONCENTRATED QUOTE WLP403_Op 1 VMW Base Line Molex 2 2" xfId="1295" xr:uid="{00000000-0005-0000-0000-000044050000}"/>
    <cellStyle name="_CAPEX MARION - INDIA 14-NOV (2)_CONCENTRATED QUOTE WLP403_Op 1 VMW Base Line Molex 2 3" xfId="1296" xr:uid="{00000000-0005-0000-0000-000045050000}"/>
    <cellStyle name="_CAPEX MARION - INDIA 14-NOV (2)_CONCENTRATED QUOTE WLP403_Op 1 VMW Base Line Molex 2 4" xfId="1297" xr:uid="{00000000-0005-0000-0000-000046050000}"/>
    <cellStyle name="_CAPEX MARION - INDIA 14-NOV (2)_CONCENTRATED QUOTE WLP403_Op 1 VMW Base Line Molex 3" xfId="1298" xr:uid="{00000000-0005-0000-0000-000047050000}"/>
    <cellStyle name="_CAPEX MARION - INDIA 14-NOV (2)_CONCENTRATED QUOTE WLP403_Op 1 VMW Base Line Molex_862-CH" xfId="1299" xr:uid="{00000000-0005-0000-0000-000048050000}"/>
    <cellStyle name="_CAPEX MARION - INDIA 14-NOV (2)_CONCENTRATED QUOTE WLP403_Op 1 VMW Base Line Molex_W10251766 D" xfId="1300" xr:uid="{00000000-0005-0000-0000-000049050000}"/>
    <cellStyle name="_CAPEX MARION - INDIA 14-NOV (2)_CONCENTRATED QUOTE WLP403_Op 1 VMW Base Line Molex_W10279106 y W10279107 de MR a 56i" xfId="1301" xr:uid="{00000000-0005-0000-0000-00004A050000}"/>
    <cellStyle name="_CAPEX MARION - INDIA 14-NOV (2)_CONCENTRATED QUOTE WLP403_Op 1 VMW Base Line Molex_W10315922 A" xfId="1302" xr:uid="{00000000-0005-0000-0000-00004B050000}"/>
    <cellStyle name="_CAPEX MARION - INDIA 14-NOV (2)_CONCENTRATED QUOTE WLP403_Op 8 VMW TYCO Splice Option" xfId="1303" xr:uid="{00000000-0005-0000-0000-00004C050000}"/>
    <cellStyle name="_CAPEX MARION - INDIA 14-NOV (2)_CONCENTRATED QUOTE WLP403_Op 8 VMW TYCO Splice Option - Per Conference 3-27-2009" xfId="1304" xr:uid="{00000000-0005-0000-0000-00004D050000}"/>
    <cellStyle name="_CAPEX MARION - INDIA 14-NOV (2)_CONCENTRATED QUOTE WLP403_Op 8 VMW TYCO Splice Option - Per Conference 3-27-2009 2" xfId="1305" xr:uid="{00000000-0005-0000-0000-00004E050000}"/>
    <cellStyle name="_CAPEX MARION - INDIA 14-NOV (2)_CONCENTRATED QUOTE WLP403_Op 8 VMW TYCO Splice Option - Per Conference 3-27-2009 2 2" xfId="1306" xr:uid="{00000000-0005-0000-0000-00004F050000}"/>
    <cellStyle name="_CAPEX MARION - INDIA 14-NOV (2)_CONCENTRATED QUOTE WLP403_Op 8 VMW TYCO Splice Option - Per Conference 3-27-2009 2 3" xfId="1307" xr:uid="{00000000-0005-0000-0000-000050050000}"/>
    <cellStyle name="_CAPEX MARION - INDIA 14-NOV (2)_CONCENTRATED QUOTE WLP403_Op 8 VMW TYCO Splice Option - Per Conference 3-27-2009 2 4" xfId="1308" xr:uid="{00000000-0005-0000-0000-000051050000}"/>
    <cellStyle name="_CAPEX MARION - INDIA 14-NOV (2)_CONCENTRATED QUOTE WLP403_Op 8 VMW TYCO Splice Option - Per Conference 3-27-2009 3" xfId="1309" xr:uid="{00000000-0005-0000-0000-000052050000}"/>
    <cellStyle name="_CAPEX MARION - INDIA 14-NOV (2)_CONCENTRATED QUOTE WLP403_Op 8 VMW TYCO Splice Option - Per Conference 3-27-2009_862-CH" xfId="1310" xr:uid="{00000000-0005-0000-0000-000053050000}"/>
    <cellStyle name="_CAPEX MARION - INDIA 14-NOV (2)_CONCENTRATED QUOTE WLP403_Op 8 VMW TYCO Splice Option - Per Conference 3-27-2009_W10251766 D" xfId="1311" xr:uid="{00000000-0005-0000-0000-000054050000}"/>
    <cellStyle name="_CAPEX MARION - INDIA 14-NOV (2)_CONCENTRATED QUOTE WLP403_Op 8 VMW TYCO Splice Option - Per Conference 3-27-2009_W10279106 y W10279107 de MR a 56i" xfId="1312" xr:uid="{00000000-0005-0000-0000-000055050000}"/>
    <cellStyle name="_CAPEX MARION - INDIA 14-NOV (2)_CONCENTRATED QUOTE WLP403_Op 8 VMW TYCO Splice Option - Per Conference 3-27-2009_W10315922 A" xfId="1313" xr:uid="{00000000-0005-0000-0000-000056050000}"/>
    <cellStyle name="_CAPEX MARION - INDIA 14-NOV (2)_CONCENTRATED QUOTE WLP403_Op 8 VMW TYCO Splice Option 10" xfId="1314" xr:uid="{00000000-0005-0000-0000-000057050000}"/>
    <cellStyle name="_CAPEX MARION - INDIA 14-NOV (2)_CONCENTRATED QUOTE WLP403_Op 8 VMW TYCO Splice Option 11" xfId="1315" xr:uid="{00000000-0005-0000-0000-000058050000}"/>
    <cellStyle name="_CAPEX MARION - INDIA 14-NOV (2)_CONCENTRATED QUOTE WLP403_Op 8 VMW TYCO Splice Option 12" xfId="1316" xr:uid="{00000000-0005-0000-0000-000059050000}"/>
    <cellStyle name="_CAPEX MARION - INDIA 14-NOV (2)_CONCENTRATED QUOTE WLP403_Op 8 VMW TYCO Splice Option 13" xfId="1317" xr:uid="{00000000-0005-0000-0000-00005A050000}"/>
    <cellStyle name="_CAPEX MARION - INDIA 14-NOV (2)_CONCENTRATED QUOTE WLP403_Op 8 VMW TYCO Splice Option 2" xfId="1318" xr:uid="{00000000-0005-0000-0000-00005B050000}"/>
    <cellStyle name="_CAPEX MARION - INDIA 14-NOV (2)_CONCENTRATED QUOTE WLP403_Op 8 VMW TYCO Splice Option 2 2" xfId="1319" xr:uid="{00000000-0005-0000-0000-00005C050000}"/>
    <cellStyle name="_CAPEX MARION - INDIA 14-NOV (2)_CONCENTRATED QUOTE WLP403_Op 8 VMW TYCO Splice Option 2 3" xfId="1320" xr:uid="{00000000-0005-0000-0000-00005D050000}"/>
    <cellStyle name="_CAPEX MARION - INDIA 14-NOV (2)_CONCENTRATED QUOTE WLP403_Op 8 VMW TYCO Splice Option 2 4" xfId="1321" xr:uid="{00000000-0005-0000-0000-00005E050000}"/>
    <cellStyle name="_CAPEX MARION - INDIA 14-NOV (2)_CONCENTRATED QUOTE WLP403_Op 8 VMW TYCO Splice Option 3" xfId="1322" xr:uid="{00000000-0005-0000-0000-00005F050000}"/>
    <cellStyle name="_CAPEX MARION - INDIA 14-NOV (2)_CONCENTRATED QUOTE WLP403_Op 8 VMW TYCO Splice Option 4" xfId="1323" xr:uid="{00000000-0005-0000-0000-000060050000}"/>
    <cellStyle name="_CAPEX MARION - INDIA 14-NOV (2)_CONCENTRATED QUOTE WLP403_Op 8 VMW TYCO Splice Option 5" xfId="1324" xr:uid="{00000000-0005-0000-0000-000061050000}"/>
    <cellStyle name="_CAPEX MARION - INDIA 14-NOV (2)_CONCENTRATED QUOTE WLP403_Op 8 VMW TYCO Splice Option 6" xfId="1325" xr:uid="{00000000-0005-0000-0000-000062050000}"/>
    <cellStyle name="_CAPEX MARION - INDIA 14-NOV (2)_CONCENTRATED QUOTE WLP403_Op 8 VMW TYCO Splice Option 7" xfId="1326" xr:uid="{00000000-0005-0000-0000-000063050000}"/>
    <cellStyle name="_CAPEX MARION - INDIA 14-NOV (2)_CONCENTRATED QUOTE WLP403_Op 8 VMW TYCO Splice Option 8" xfId="1327" xr:uid="{00000000-0005-0000-0000-000064050000}"/>
    <cellStyle name="_CAPEX MARION - INDIA 14-NOV (2)_CONCENTRATED QUOTE WLP403_Op 8 VMW TYCO Splice Option 9" xfId="1328" xr:uid="{00000000-0005-0000-0000-000065050000}"/>
    <cellStyle name="_CAPEX MARION - INDIA 14-NOV (2)_CONCENTRATED QUOTE WLP403_Op 8 VMW TYCO Splice Option_862-CH" xfId="1329" xr:uid="{00000000-0005-0000-0000-000066050000}"/>
    <cellStyle name="_CAPEX MARION - INDIA 14-NOV (2)_CONCENTRATED QUOTE WLP403_Op 8 VMW TYCO Splice Option_W10251766 D" xfId="1330" xr:uid="{00000000-0005-0000-0000-000067050000}"/>
    <cellStyle name="_CAPEX MARION - INDIA 14-NOV (2)_CONCENTRATED QUOTE WLP403_Op 8 VMW TYCO Splice Option_W10279106 y W10279107 de MR a 56i" xfId="1331" xr:uid="{00000000-0005-0000-0000-000068050000}"/>
    <cellStyle name="_CAPEX MARION - INDIA 14-NOV (2)_CONCENTRATED QUOTE WLP403_Op 8 VMW TYCO Splice Option_W10315922 A" xfId="1332" xr:uid="{00000000-0005-0000-0000-000069050000}"/>
    <cellStyle name="_CAPEX MARION - INDIA 14-NOV (2)_CONCENTRATED QUOTE WLP403_W10251766 D" xfId="1333" xr:uid="{00000000-0005-0000-0000-00006A050000}"/>
    <cellStyle name="_CAPEX MARION - INDIA 14-NOV (2)_CONCENTRATED QUOTE WLP403_W10279106 y W10279107 de MR a 56i" xfId="1334" xr:uid="{00000000-0005-0000-0000-00006B050000}"/>
    <cellStyle name="_CAPEX MARION - INDIA 14-NOV (2)_CONCENTRATED QUOTE WLP403_W10315922 A" xfId="1335" xr:uid="{00000000-0005-0000-0000-00006C050000}"/>
    <cellStyle name="_CAPEX MARION - INDIA 14-NOV (2)_L1568 137097800 0986 A" xfId="1336" xr:uid="{00000000-0005-0000-0000-00006D050000}"/>
    <cellStyle name="_CAPEX MARION - INDIA 14-NOV (2)_L1568 137097800 0986 A 2" xfId="1337" xr:uid="{00000000-0005-0000-0000-00006E050000}"/>
    <cellStyle name="_CAPEX MARION - INDIA 14-NOV (2)_L1568 137097800 0986 A 3" xfId="1338" xr:uid="{00000000-0005-0000-0000-00006F050000}"/>
    <cellStyle name="_CAPEX MARION - INDIA 14-NOV (2)_L1568 137097800 0986 A 4" xfId="1339" xr:uid="{00000000-0005-0000-0000-000070050000}"/>
    <cellStyle name="_CAPEX MARION - INDIA 14-NOV (2)_L1568 137097800 0986 A 5" xfId="1340" xr:uid="{00000000-0005-0000-0000-000071050000}"/>
    <cellStyle name="_CAPEX MARION - INDIA 14-NOV (2)_W10251766 D" xfId="1341" xr:uid="{00000000-0005-0000-0000-000072050000}"/>
    <cellStyle name="_CAPEX MARION - INDIA 14-NOV (2)_W10279106 y W10279107 de MR a 56i" xfId="1342" xr:uid="{00000000-0005-0000-0000-000073050000}"/>
    <cellStyle name="_CAPEX MARION - INDIA 14-NOV (2)_W10315922 A" xfId="1343" xr:uid="{00000000-0005-0000-0000-000074050000}"/>
    <cellStyle name="_CAPEX MARION - INDIA 14-NOV (2)_WLP FP Format1" xfId="1344" xr:uid="{00000000-0005-0000-0000-000075050000}"/>
    <cellStyle name="_CAPEX MARION - INDIA 14-NOV (2)_WLP FP Format1 2" xfId="1345" xr:uid="{00000000-0005-0000-0000-000076050000}"/>
    <cellStyle name="_CAPEX MARION - INDIA 14-NOV (2)_WLP FP Format1 3" xfId="24682" xr:uid="{00000000-0005-0000-0000-000077050000}"/>
    <cellStyle name="_CAPEX MARION - INDIA 14-NOV (2)_WLP FP Format1_862-CH" xfId="1346" xr:uid="{00000000-0005-0000-0000-000078050000}"/>
    <cellStyle name="_CAPEX MARION - INDIA 14-NOV (2)_WLP FP Format1_CONCENTRATED QUOTE WLP417 Dave approval2" xfId="1347" xr:uid="{00000000-0005-0000-0000-000079050000}"/>
    <cellStyle name="_CAPEX MARION - INDIA 14-NOV (2)_WLP FP Format1_CONCENTRATED QUOTE WLP417 Dave approval2 2" xfId="1348" xr:uid="{00000000-0005-0000-0000-00007A050000}"/>
    <cellStyle name="_CAPEX MARION - INDIA 14-NOV (2)_WLP FP Format1_CONCENTRATED QUOTE WLP417 Dave approval2 3" xfId="1349" xr:uid="{00000000-0005-0000-0000-00007B050000}"/>
    <cellStyle name="_CAPEX MARION - INDIA 14-NOV (2)_WLP FP Format1_CONCENTRATED QUOTE WLP417 Dave approval2 4" xfId="1350" xr:uid="{00000000-0005-0000-0000-00007C050000}"/>
    <cellStyle name="_CAPEX MARION - INDIA 14-NOV (2)_WLP FP Format1_CONCENTRATED QUOTE WLP417 Dave approval2_862-CH" xfId="1351" xr:uid="{00000000-0005-0000-0000-00007D050000}"/>
    <cellStyle name="_CAPEX MARION - INDIA 14-NOV (2)_WLP FP Format1_CONCENTRATED QUOTE WLP417 Dave approval2_W10251766 D" xfId="1352" xr:uid="{00000000-0005-0000-0000-00007E050000}"/>
    <cellStyle name="_CAPEX MARION - INDIA 14-NOV (2)_WLP FP Format1_CONCENTRATED QUOTE WLP417 Dave approval2_W10279106 y W10279107 de MR a 56i" xfId="1353" xr:uid="{00000000-0005-0000-0000-00007F050000}"/>
    <cellStyle name="_CAPEX MARION - INDIA 14-NOV (2)_WLP FP Format1_CONCENTRATED QUOTE WLP417 Dave approval2_W10315922 A" xfId="1354" xr:uid="{00000000-0005-0000-0000-000080050000}"/>
    <cellStyle name="_CAPEX MARION - INDIA 14-NOV (2)_WLP FP Format1_CONCENTRATED QUOTE WLP417 OP 3" xfId="1355" xr:uid="{00000000-0005-0000-0000-000081050000}"/>
    <cellStyle name="_CAPEX MARION - INDIA 14-NOV (2)_WLP FP Format1_CONCENTRATED QUOTE WLP417 OP 3 2" xfId="1356" xr:uid="{00000000-0005-0000-0000-000082050000}"/>
    <cellStyle name="_CAPEX MARION - INDIA 14-NOV (2)_WLP FP Format1_CONCENTRATED QUOTE WLP417 OP 3 2 2" xfId="1357" xr:uid="{00000000-0005-0000-0000-000083050000}"/>
    <cellStyle name="_CAPEX MARION - INDIA 14-NOV (2)_WLP FP Format1_CONCENTRATED QUOTE WLP417 OP 3 2 3" xfId="1358" xr:uid="{00000000-0005-0000-0000-000084050000}"/>
    <cellStyle name="_CAPEX MARION - INDIA 14-NOV (2)_WLP FP Format1_CONCENTRATED QUOTE WLP417 OP 3 2 4" xfId="1359" xr:uid="{00000000-0005-0000-0000-000085050000}"/>
    <cellStyle name="_CAPEX MARION - INDIA 14-NOV (2)_WLP FP Format1_CONCENTRATED QUOTE WLP417 OP 3 3" xfId="1360" xr:uid="{00000000-0005-0000-0000-000086050000}"/>
    <cellStyle name="_CAPEX MARION - INDIA 14-NOV (2)_WLP FP Format1_CONCENTRATED QUOTE WLP417 OP 3_862-CH" xfId="1361" xr:uid="{00000000-0005-0000-0000-000087050000}"/>
    <cellStyle name="_CAPEX MARION - INDIA 14-NOV (2)_WLP FP Format1_CONCENTRATED QUOTE WLP417 OP 3_W10251766 D" xfId="1362" xr:uid="{00000000-0005-0000-0000-000088050000}"/>
    <cellStyle name="_CAPEX MARION - INDIA 14-NOV (2)_WLP FP Format1_CONCENTRATED QUOTE WLP417 OP 3_W10279106 y W10279107 de MR a 56i" xfId="1363" xr:uid="{00000000-0005-0000-0000-000089050000}"/>
    <cellStyle name="_CAPEX MARION - INDIA 14-NOV (2)_WLP FP Format1_CONCENTRATED QUOTE WLP417 OP 3_W10315922 A" xfId="1364" xr:uid="{00000000-0005-0000-0000-00008A050000}"/>
    <cellStyle name="_CAPEX MARION - INDIA 14-NOV (2)_WLP FP Format1_CONCENTRATED QUOTE WLP417 OP 4" xfId="1365" xr:uid="{00000000-0005-0000-0000-00008B050000}"/>
    <cellStyle name="_CAPEX MARION - INDIA 14-NOV (2)_WLP FP Format1_CONCENTRATED QUOTE WLP417 OP 4 2" xfId="1366" xr:uid="{00000000-0005-0000-0000-00008C050000}"/>
    <cellStyle name="_CAPEX MARION - INDIA 14-NOV (2)_WLP FP Format1_CONCENTRATED QUOTE WLP417 OP 4 2 2" xfId="1367" xr:uid="{00000000-0005-0000-0000-00008D050000}"/>
    <cellStyle name="_CAPEX MARION - INDIA 14-NOV (2)_WLP FP Format1_CONCENTRATED QUOTE WLP417 OP 4 2 3" xfId="1368" xr:uid="{00000000-0005-0000-0000-00008E050000}"/>
    <cellStyle name="_CAPEX MARION - INDIA 14-NOV (2)_WLP FP Format1_CONCENTRATED QUOTE WLP417 OP 4 2 4" xfId="1369" xr:uid="{00000000-0005-0000-0000-00008F050000}"/>
    <cellStyle name="_CAPEX MARION - INDIA 14-NOV (2)_WLP FP Format1_CONCENTRATED QUOTE WLP417 OP 4 3" xfId="1370" xr:uid="{00000000-0005-0000-0000-000090050000}"/>
    <cellStyle name="_CAPEX MARION - INDIA 14-NOV (2)_WLP FP Format1_CONCENTRATED QUOTE WLP417 OP 4_862-CH" xfId="1371" xr:uid="{00000000-0005-0000-0000-000091050000}"/>
    <cellStyle name="_CAPEX MARION - INDIA 14-NOV (2)_WLP FP Format1_CONCENTRATED QUOTE WLP417 OP 4_W10251766 D" xfId="1372" xr:uid="{00000000-0005-0000-0000-000092050000}"/>
    <cellStyle name="_CAPEX MARION - INDIA 14-NOV (2)_WLP FP Format1_CONCENTRATED QUOTE WLP417 OP 4_W10279106 y W10279107 de MR a 56i" xfId="1373" xr:uid="{00000000-0005-0000-0000-000093050000}"/>
    <cellStyle name="_CAPEX MARION - INDIA 14-NOV (2)_WLP FP Format1_CONCENTRATED QUOTE WLP417 OP 4_W10315922 A" xfId="1374" xr:uid="{00000000-0005-0000-0000-000094050000}"/>
    <cellStyle name="_CAPEX MARION - INDIA 14-NOV (2)_WLP FP Format1_CONCENTRATED QUOTE WLP417 OP 5" xfId="1375" xr:uid="{00000000-0005-0000-0000-000095050000}"/>
    <cellStyle name="_CAPEX MARION - INDIA 14-NOV (2)_WLP FP Format1_CONCENTRATED QUOTE WLP417 OP 5 2" xfId="1376" xr:uid="{00000000-0005-0000-0000-000096050000}"/>
    <cellStyle name="_CAPEX MARION - INDIA 14-NOV (2)_WLP FP Format1_CONCENTRATED QUOTE WLP417 OP 5 2 2" xfId="1377" xr:uid="{00000000-0005-0000-0000-000097050000}"/>
    <cellStyle name="_CAPEX MARION - INDIA 14-NOV (2)_WLP FP Format1_CONCENTRATED QUOTE WLP417 OP 5 2 3" xfId="1378" xr:uid="{00000000-0005-0000-0000-000098050000}"/>
    <cellStyle name="_CAPEX MARION - INDIA 14-NOV (2)_WLP FP Format1_CONCENTRATED QUOTE WLP417 OP 5 2 4" xfId="1379" xr:uid="{00000000-0005-0000-0000-000099050000}"/>
    <cellStyle name="_CAPEX MARION - INDIA 14-NOV (2)_WLP FP Format1_CONCENTRATED QUOTE WLP417 OP 5 3" xfId="1380" xr:uid="{00000000-0005-0000-0000-00009A050000}"/>
    <cellStyle name="_CAPEX MARION - INDIA 14-NOV (2)_WLP FP Format1_CONCENTRATED QUOTE WLP417 OP 5_862-CH" xfId="1381" xr:uid="{00000000-0005-0000-0000-00009B050000}"/>
    <cellStyle name="_CAPEX MARION - INDIA 14-NOV (2)_WLP FP Format1_CONCENTRATED QUOTE WLP417 OP 5_W10251766 D" xfId="1382" xr:uid="{00000000-0005-0000-0000-00009C050000}"/>
    <cellStyle name="_CAPEX MARION - INDIA 14-NOV (2)_WLP FP Format1_CONCENTRATED QUOTE WLP417 OP 5_W10279106 y W10279107 de MR a 56i" xfId="1383" xr:uid="{00000000-0005-0000-0000-00009D050000}"/>
    <cellStyle name="_CAPEX MARION - INDIA 14-NOV (2)_WLP FP Format1_CONCENTRATED QUOTE WLP417 OP 5_W10315922 A" xfId="1384" xr:uid="{00000000-0005-0000-0000-00009E050000}"/>
    <cellStyle name="_CAPEX MARION - INDIA 14-NOV (2)_WLP FP Format1_CONCENTRATED QUOTE WLP417 OP 6" xfId="1385" xr:uid="{00000000-0005-0000-0000-00009F050000}"/>
    <cellStyle name="_CAPEX MARION - INDIA 14-NOV (2)_WLP FP Format1_CONCENTRATED QUOTE WLP417 OP 6 2" xfId="1386" xr:uid="{00000000-0005-0000-0000-0000A0050000}"/>
    <cellStyle name="_CAPEX MARION - INDIA 14-NOV (2)_WLP FP Format1_CONCENTRATED QUOTE WLP417 OP 6 2 2" xfId="1387" xr:uid="{00000000-0005-0000-0000-0000A1050000}"/>
    <cellStyle name="_CAPEX MARION - INDIA 14-NOV (2)_WLP FP Format1_CONCENTRATED QUOTE WLP417 OP 6 2 3" xfId="1388" xr:uid="{00000000-0005-0000-0000-0000A2050000}"/>
    <cellStyle name="_CAPEX MARION - INDIA 14-NOV (2)_WLP FP Format1_CONCENTRATED QUOTE WLP417 OP 6 2 4" xfId="1389" xr:uid="{00000000-0005-0000-0000-0000A3050000}"/>
    <cellStyle name="_CAPEX MARION - INDIA 14-NOV (2)_WLP FP Format1_CONCENTRATED QUOTE WLP417 OP 6 3" xfId="1390" xr:uid="{00000000-0005-0000-0000-0000A4050000}"/>
    <cellStyle name="_CAPEX MARION - INDIA 14-NOV (2)_WLP FP Format1_CONCENTRATED QUOTE WLP417 OP 6_862-CH" xfId="1391" xr:uid="{00000000-0005-0000-0000-0000A5050000}"/>
    <cellStyle name="_CAPEX MARION - INDIA 14-NOV (2)_WLP FP Format1_CONCENTRATED QUOTE WLP417 OP 6_W10251766 D" xfId="1392" xr:uid="{00000000-0005-0000-0000-0000A6050000}"/>
    <cellStyle name="_CAPEX MARION - INDIA 14-NOV (2)_WLP FP Format1_CONCENTRATED QUOTE WLP417 OP 6_W10279106 y W10279107 de MR a 56i" xfId="1393" xr:uid="{00000000-0005-0000-0000-0000A7050000}"/>
    <cellStyle name="_CAPEX MARION - INDIA 14-NOV (2)_WLP FP Format1_CONCENTRATED QUOTE WLP417 OP 6_W10315922 A" xfId="1394" xr:uid="{00000000-0005-0000-0000-0000A8050000}"/>
    <cellStyle name="_CAPEX MARION - INDIA 14-NOV (2)_WLP FP Format1_CONCENTRATED QUOTE WLP425 031309" xfId="1395" xr:uid="{00000000-0005-0000-0000-0000A9050000}"/>
    <cellStyle name="_CAPEX MARION - INDIA 14-NOV (2)_WLP FP Format1_CONCENTRATED QUOTE WLP425 031309 2" xfId="1396" xr:uid="{00000000-0005-0000-0000-0000AA050000}"/>
    <cellStyle name="_CAPEX MARION - INDIA 14-NOV (2)_WLP FP Format1_CONCENTRATED QUOTE WLP425 031309 3" xfId="1397" xr:uid="{00000000-0005-0000-0000-0000AB050000}"/>
    <cellStyle name="_CAPEX MARION - INDIA 14-NOV (2)_WLP FP Format1_CONCENTRATED QUOTE WLP425 031309 4" xfId="1398" xr:uid="{00000000-0005-0000-0000-0000AC050000}"/>
    <cellStyle name="_CAPEX MARION - INDIA 14-NOV (2)_WLP FP Format1_CONCENTRATED QUOTE WLP425 031309_862-CH" xfId="1399" xr:uid="{00000000-0005-0000-0000-0000AD050000}"/>
    <cellStyle name="_CAPEX MARION - INDIA 14-NOV (2)_WLP FP Format1_CONCENTRATED QUOTE WLP425 031309_W10251766 D" xfId="1400" xr:uid="{00000000-0005-0000-0000-0000AE050000}"/>
    <cellStyle name="_CAPEX MARION - INDIA 14-NOV (2)_WLP FP Format1_CONCENTRATED QUOTE WLP425 031309_W10279106 y W10279107 de MR a 56i" xfId="1401" xr:uid="{00000000-0005-0000-0000-0000AF050000}"/>
    <cellStyle name="_CAPEX MARION - INDIA 14-NOV (2)_WLP FP Format1_CONCENTRATED QUOTE WLP425 031309_W10315922 A" xfId="1402" xr:uid="{00000000-0005-0000-0000-0000B0050000}"/>
    <cellStyle name="_CAPEX MARION - INDIA 14-NOV (2)_WLP FP Format1_CONCENTRATED QUOTE WLP459" xfId="1403" xr:uid="{00000000-0005-0000-0000-0000B1050000}"/>
    <cellStyle name="_CAPEX MARION - INDIA 14-NOV (2)_WLP FP Format1_CONCENTRATED QUOTE WLP459 042209" xfId="1404" xr:uid="{00000000-0005-0000-0000-0000B2050000}"/>
    <cellStyle name="_CAPEX MARION - INDIA 14-NOV (2)_WLP FP Format1_CONCENTRATED QUOTE WLP459 042209 2" xfId="1405" xr:uid="{00000000-0005-0000-0000-0000B3050000}"/>
    <cellStyle name="_CAPEX MARION - INDIA 14-NOV (2)_WLP FP Format1_CONCENTRATED QUOTE WLP459 042209 3" xfId="1406" xr:uid="{00000000-0005-0000-0000-0000B4050000}"/>
    <cellStyle name="_CAPEX MARION - INDIA 14-NOV (2)_WLP FP Format1_CONCENTRATED QUOTE WLP459 042209 4" xfId="1407" xr:uid="{00000000-0005-0000-0000-0000B5050000}"/>
    <cellStyle name="_CAPEX MARION - INDIA 14-NOV (2)_WLP FP Format1_CONCENTRATED QUOTE WLP459 042209_862-CH" xfId="1408" xr:uid="{00000000-0005-0000-0000-0000B6050000}"/>
    <cellStyle name="_CAPEX MARION - INDIA 14-NOV (2)_WLP FP Format1_CONCENTRATED QUOTE WLP459 042209_W10251766 D" xfId="1409" xr:uid="{00000000-0005-0000-0000-0000B7050000}"/>
    <cellStyle name="_CAPEX MARION - INDIA 14-NOV (2)_WLP FP Format1_CONCENTRATED QUOTE WLP459 042209_W10279106 y W10279107 de MR a 56i" xfId="1410" xr:uid="{00000000-0005-0000-0000-0000B8050000}"/>
    <cellStyle name="_CAPEX MARION - INDIA 14-NOV (2)_WLP FP Format1_CONCENTRATED QUOTE WLP459 042209_W10315922 A" xfId="1411" xr:uid="{00000000-0005-0000-0000-0000B9050000}"/>
    <cellStyle name="_CAPEX MARION - INDIA 14-NOV (2)_WLP FP Format1_CONCENTRATED QUOTE WLP459 2" xfId="1412" xr:uid="{00000000-0005-0000-0000-0000BA050000}"/>
    <cellStyle name="_CAPEX MARION - INDIA 14-NOV (2)_WLP FP Format1_CONCENTRATED QUOTE WLP459 3" xfId="1413" xr:uid="{00000000-0005-0000-0000-0000BB050000}"/>
    <cellStyle name="_CAPEX MARION - INDIA 14-NOV (2)_WLP FP Format1_CONCENTRATED QUOTE WLP459 4" xfId="1414" xr:uid="{00000000-0005-0000-0000-0000BC050000}"/>
    <cellStyle name="_CAPEX MARION - INDIA 14-NOV (2)_WLP FP Format1_CONCENTRATED QUOTE WLP459_862-CH" xfId="1415" xr:uid="{00000000-0005-0000-0000-0000BD050000}"/>
    <cellStyle name="_CAPEX MARION - INDIA 14-NOV (2)_WLP FP Format1_CONCENTRATED QUOTE WLP459_W10251766 D" xfId="1416" xr:uid="{00000000-0005-0000-0000-0000BE050000}"/>
    <cellStyle name="_CAPEX MARION - INDIA 14-NOV (2)_WLP FP Format1_CONCENTRATED QUOTE WLP459_W10279106 y W10279107 de MR a 56i" xfId="1417" xr:uid="{00000000-0005-0000-0000-0000BF050000}"/>
    <cellStyle name="_CAPEX MARION - INDIA 14-NOV (2)_WLP FP Format1_CONCENTRATED QUOTE WLP459_W10315922 A" xfId="1418" xr:uid="{00000000-0005-0000-0000-0000C0050000}"/>
    <cellStyle name="_CAPEX MARION - INDIA 14-NOV (2)_WLP FP Format1_CONCENTRATED QUOTE WLP463" xfId="1419" xr:uid="{00000000-0005-0000-0000-0000C1050000}"/>
    <cellStyle name="_CAPEX MARION - INDIA 14-NOV (2)_WLP FP Format1_CONCENTRATED QUOTE WLP463 2" xfId="1420" xr:uid="{00000000-0005-0000-0000-0000C2050000}"/>
    <cellStyle name="_CAPEX MARION - INDIA 14-NOV (2)_WLP FP Format1_CONCENTRATED QUOTE WLP463 3" xfId="1421" xr:uid="{00000000-0005-0000-0000-0000C3050000}"/>
    <cellStyle name="_CAPEX MARION - INDIA 14-NOV (2)_WLP FP Format1_CONCENTRATED QUOTE WLP463 4" xfId="1422" xr:uid="{00000000-0005-0000-0000-0000C4050000}"/>
    <cellStyle name="_CAPEX MARION - INDIA 14-NOV (2)_WLP FP Format1_CONCENTRATED QUOTE WLP463 MOLEX" xfId="1423" xr:uid="{00000000-0005-0000-0000-0000C5050000}"/>
    <cellStyle name="_CAPEX MARION - INDIA 14-NOV (2)_WLP FP Format1_CONCENTRATED QUOTE WLP463 MOLEX 2" xfId="1424" xr:uid="{00000000-0005-0000-0000-0000C6050000}"/>
    <cellStyle name="_CAPEX MARION - INDIA 14-NOV (2)_WLP FP Format1_CONCENTRATED QUOTE WLP463 MOLEX 3" xfId="1425" xr:uid="{00000000-0005-0000-0000-0000C7050000}"/>
    <cellStyle name="_CAPEX MARION - INDIA 14-NOV (2)_WLP FP Format1_CONCENTRATED QUOTE WLP463 MOLEX 4" xfId="1426" xr:uid="{00000000-0005-0000-0000-0000C8050000}"/>
    <cellStyle name="_CAPEX MARION - INDIA 14-NOV (2)_WLP FP Format1_CONCENTRATED QUOTE WLP463 MOLEX 4-28" xfId="1427" xr:uid="{00000000-0005-0000-0000-0000C9050000}"/>
    <cellStyle name="_CAPEX MARION - INDIA 14-NOV (2)_WLP FP Format1_CONCENTRATED QUOTE WLP463 MOLEX 4-28 (2)" xfId="1428" xr:uid="{00000000-0005-0000-0000-0000CA050000}"/>
    <cellStyle name="_CAPEX MARION - INDIA 14-NOV (2)_WLP FP Format1_CONCENTRATED QUOTE WLP463 MOLEX 4-28 (2) 2" xfId="1429" xr:uid="{00000000-0005-0000-0000-0000CB050000}"/>
    <cellStyle name="_CAPEX MARION - INDIA 14-NOV (2)_WLP FP Format1_CONCENTRATED QUOTE WLP463 MOLEX 4-28 (2) 2 2" xfId="1430" xr:uid="{00000000-0005-0000-0000-0000CC050000}"/>
    <cellStyle name="_CAPEX MARION - INDIA 14-NOV (2)_WLP FP Format1_CONCENTRATED QUOTE WLP463 MOLEX 4-28 (2) 2 3" xfId="1431" xr:uid="{00000000-0005-0000-0000-0000CD050000}"/>
    <cellStyle name="_CAPEX MARION - INDIA 14-NOV (2)_WLP FP Format1_CONCENTRATED QUOTE WLP463 MOLEX 4-28 (2) 2 4" xfId="1432" xr:uid="{00000000-0005-0000-0000-0000CE050000}"/>
    <cellStyle name="_CAPEX MARION - INDIA 14-NOV (2)_WLP FP Format1_CONCENTRATED QUOTE WLP463 MOLEX 4-28 (2) 3" xfId="1433" xr:uid="{00000000-0005-0000-0000-0000CF050000}"/>
    <cellStyle name="_CAPEX MARION - INDIA 14-NOV (2)_WLP FP Format1_CONCENTRATED QUOTE WLP463 MOLEX 4-28 (2)_862-CH" xfId="1434" xr:uid="{00000000-0005-0000-0000-0000D0050000}"/>
    <cellStyle name="_CAPEX MARION - INDIA 14-NOV (2)_WLP FP Format1_CONCENTRATED QUOTE WLP463 MOLEX 4-28 (2)_W10251766 D" xfId="1435" xr:uid="{00000000-0005-0000-0000-0000D1050000}"/>
    <cellStyle name="_CAPEX MARION - INDIA 14-NOV (2)_WLP FP Format1_CONCENTRATED QUOTE WLP463 MOLEX 4-28 (2)_W10279106 y W10279107 de MR a 56i" xfId="1436" xr:uid="{00000000-0005-0000-0000-0000D2050000}"/>
    <cellStyle name="_CAPEX MARION - INDIA 14-NOV (2)_WLP FP Format1_CONCENTRATED QUOTE WLP463 MOLEX 4-28 (2)_W10315922 A" xfId="1437" xr:uid="{00000000-0005-0000-0000-0000D3050000}"/>
    <cellStyle name="_CAPEX MARION - INDIA 14-NOV (2)_WLP FP Format1_CONCENTRATED QUOTE WLP463 MOLEX 4-28 10" xfId="1438" xr:uid="{00000000-0005-0000-0000-0000D4050000}"/>
    <cellStyle name="_CAPEX MARION - INDIA 14-NOV (2)_WLP FP Format1_CONCENTRATED QUOTE WLP463 MOLEX 4-28 11" xfId="1439" xr:uid="{00000000-0005-0000-0000-0000D5050000}"/>
    <cellStyle name="_CAPEX MARION - INDIA 14-NOV (2)_WLP FP Format1_CONCENTRATED QUOTE WLP463 MOLEX 4-28 12" xfId="1440" xr:uid="{00000000-0005-0000-0000-0000D6050000}"/>
    <cellStyle name="_CAPEX MARION - INDIA 14-NOV (2)_WLP FP Format1_CONCENTRATED QUOTE WLP463 MOLEX 4-28 13" xfId="1441" xr:uid="{00000000-0005-0000-0000-0000D7050000}"/>
    <cellStyle name="_CAPEX MARION - INDIA 14-NOV (2)_WLP FP Format1_CONCENTRATED QUOTE WLP463 MOLEX 4-28 2" xfId="1442" xr:uid="{00000000-0005-0000-0000-0000D8050000}"/>
    <cellStyle name="_CAPEX MARION - INDIA 14-NOV (2)_WLP FP Format1_CONCENTRATED QUOTE WLP463 MOLEX 4-28 2 2" xfId="1443" xr:uid="{00000000-0005-0000-0000-0000D9050000}"/>
    <cellStyle name="_CAPEX MARION - INDIA 14-NOV (2)_WLP FP Format1_CONCENTRATED QUOTE WLP463 MOLEX 4-28 2 3" xfId="1444" xr:uid="{00000000-0005-0000-0000-0000DA050000}"/>
    <cellStyle name="_CAPEX MARION - INDIA 14-NOV (2)_WLP FP Format1_CONCENTRATED QUOTE WLP463 MOLEX 4-28 2 4" xfId="1445" xr:uid="{00000000-0005-0000-0000-0000DB050000}"/>
    <cellStyle name="_CAPEX MARION - INDIA 14-NOV (2)_WLP FP Format1_CONCENTRATED QUOTE WLP463 MOLEX 4-28 3" xfId="1446" xr:uid="{00000000-0005-0000-0000-0000DC050000}"/>
    <cellStyle name="_CAPEX MARION - INDIA 14-NOV (2)_WLP FP Format1_CONCENTRATED QUOTE WLP463 MOLEX 4-28 4" xfId="1447" xr:uid="{00000000-0005-0000-0000-0000DD050000}"/>
    <cellStyle name="_CAPEX MARION - INDIA 14-NOV (2)_WLP FP Format1_CONCENTRATED QUOTE WLP463 MOLEX 4-28 5" xfId="1448" xr:uid="{00000000-0005-0000-0000-0000DE050000}"/>
    <cellStyle name="_CAPEX MARION - INDIA 14-NOV (2)_WLP FP Format1_CONCENTRATED QUOTE WLP463 MOLEX 4-28 6" xfId="1449" xr:uid="{00000000-0005-0000-0000-0000DF050000}"/>
    <cellStyle name="_CAPEX MARION - INDIA 14-NOV (2)_WLP FP Format1_CONCENTRATED QUOTE WLP463 MOLEX 4-28 7" xfId="1450" xr:uid="{00000000-0005-0000-0000-0000E0050000}"/>
    <cellStyle name="_CAPEX MARION - INDIA 14-NOV (2)_WLP FP Format1_CONCENTRATED QUOTE WLP463 MOLEX 4-28 8" xfId="1451" xr:uid="{00000000-0005-0000-0000-0000E1050000}"/>
    <cellStyle name="_CAPEX MARION - INDIA 14-NOV (2)_WLP FP Format1_CONCENTRATED QUOTE WLP463 MOLEX 4-28 9" xfId="1452" xr:uid="{00000000-0005-0000-0000-0000E2050000}"/>
    <cellStyle name="_CAPEX MARION - INDIA 14-NOV (2)_WLP FP Format1_CONCENTRATED QUOTE WLP463 MOLEX 4-28_862-CH" xfId="1453" xr:uid="{00000000-0005-0000-0000-0000E3050000}"/>
    <cellStyle name="_CAPEX MARION - INDIA 14-NOV (2)_WLP FP Format1_CONCENTRATED QUOTE WLP463 MOLEX 4-28_W10251766 D" xfId="1454" xr:uid="{00000000-0005-0000-0000-0000E4050000}"/>
    <cellStyle name="_CAPEX MARION - INDIA 14-NOV (2)_WLP FP Format1_CONCENTRATED QUOTE WLP463 MOLEX 4-28_W10279106 y W10279107 de MR a 56i" xfId="1455" xr:uid="{00000000-0005-0000-0000-0000E5050000}"/>
    <cellStyle name="_CAPEX MARION - INDIA 14-NOV (2)_WLP FP Format1_CONCENTRATED QUOTE WLP463 MOLEX 4-28_W10315922 A" xfId="1456" xr:uid="{00000000-0005-0000-0000-0000E6050000}"/>
    <cellStyle name="_CAPEX MARION - INDIA 14-NOV (2)_WLP FP Format1_CONCENTRATED QUOTE WLP463 MOLEX_862-CH" xfId="1457" xr:uid="{00000000-0005-0000-0000-0000E7050000}"/>
    <cellStyle name="_CAPEX MARION - INDIA 14-NOV (2)_WLP FP Format1_CONCENTRATED QUOTE WLP463 MOLEX_W10251766 D" xfId="1458" xr:uid="{00000000-0005-0000-0000-0000E8050000}"/>
    <cellStyle name="_CAPEX MARION - INDIA 14-NOV (2)_WLP FP Format1_CONCENTRATED QUOTE WLP463 MOLEX_W10279106 y W10279107 de MR a 56i" xfId="1459" xr:uid="{00000000-0005-0000-0000-0000E9050000}"/>
    <cellStyle name="_CAPEX MARION - INDIA 14-NOV (2)_WLP FP Format1_CONCENTRATED QUOTE WLP463 MOLEX_W10315922 A" xfId="1460" xr:uid="{00000000-0005-0000-0000-0000EA050000}"/>
    <cellStyle name="_CAPEX MARION - INDIA 14-NOV (2)_WLP FP Format1_CONCENTRATED QUOTE WLP463 TYCO1" xfId="1461" xr:uid="{00000000-0005-0000-0000-0000EB050000}"/>
    <cellStyle name="_CAPEX MARION - INDIA 14-NOV (2)_WLP FP Format1_CONCENTRATED QUOTE WLP463 TYCO1 2" xfId="1462" xr:uid="{00000000-0005-0000-0000-0000EC050000}"/>
    <cellStyle name="_CAPEX MARION - INDIA 14-NOV (2)_WLP FP Format1_CONCENTRATED QUOTE WLP463 TYCO1 3" xfId="1463" xr:uid="{00000000-0005-0000-0000-0000ED050000}"/>
    <cellStyle name="_CAPEX MARION - INDIA 14-NOV (2)_WLP FP Format1_CONCENTRATED QUOTE WLP463 TYCO1 4" xfId="1464" xr:uid="{00000000-0005-0000-0000-0000EE050000}"/>
    <cellStyle name="_CAPEX MARION - INDIA 14-NOV (2)_WLP FP Format1_CONCENTRATED QUOTE WLP463 TYCO1_862-CH" xfId="1465" xr:uid="{00000000-0005-0000-0000-0000EF050000}"/>
    <cellStyle name="_CAPEX MARION - INDIA 14-NOV (2)_WLP FP Format1_CONCENTRATED QUOTE WLP463 TYCO1_W10251766 D" xfId="1466" xr:uid="{00000000-0005-0000-0000-0000F0050000}"/>
    <cellStyle name="_CAPEX MARION - INDIA 14-NOV (2)_WLP FP Format1_CONCENTRATED QUOTE WLP463 TYCO1_W10279106 y W10279107 de MR a 56i" xfId="1467" xr:uid="{00000000-0005-0000-0000-0000F1050000}"/>
    <cellStyle name="_CAPEX MARION - INDIA 14-NOV (2)_WLP FP Format1_CONCENTRATED QUOTE WLP463 TYCO1_W10315922 A" xfId="1468" xr:uid="{00000000-0005-0000-0000-0000F2050000}"/>
    <cellStyle name="_CAPEX MARION - INDIA 14-NOV (2)_WLP FP Format1_CONCENTRATED QUOTE WLP463 TYCO3" xfId="1469" xr:uid="{00000000-0005-0000-0000-0000F3050000}"/>
    <cellStyle name="_CAPEX MARION - INDIA 14-NOV (2)_WLP FP Format1_CONCENTRATED QUOTE WLP463 TYCO3 2" xfId="1470" xr:uid="{00000000-0005-0000-0000-0000F4050000}"/>
    <cellStyle name="_CAPEX MARION - INDIA 14-NOV (2)_WLP FP Format1_CONCENTRATED QUOTE WLP463 TYCO3 3" xfId="1471" xr:uid="{00000000-0005-0000-0000-0000F5050000}"/>
    <cellStyle name="_CAPEX MARION - INDIA 14-NOV (2)_WLP FP Format1_CONCENTRATED QUOTE WLP463 TYCO3 4" xfId="1472" xr:uid="{00000000-0005-0000-0000-0000F6050000}"/>
    <cellStyle name="_CAPEX MARION - INDIA 14-NOV (2)_WLP FP Format1_CONCENTRATED QUOTE WLP463 TYCO3_862-CH" xfId="1473" xr:uid="{00000000-0005-0000-0000-0000F7050000}"/>
    <cellStyle name="_CAPEX MARION - INDIA 14-NOV (2)_WLP FP Format1_CONCENTRATED QUOTE WLP463 TYCO3_W10251766 D" xfId="1474" xr:uid="{00000000-0005-0000-0000-0000F8050000}"/>
    <cellStyle name="_CAPEX MARION - INDIA 14-NOV (2)_WLP FP Format1_CONCENTRATED QUOTE WLP463 TYCO3_W10279106 y W10279107 de MR a 56i" xfId="1475" xr:uid="{00000000-0005-0000-0000-0000F9050000}"/>
    <cellStyle name="_CAPEX MARION - INDIA 14-NOV (2)_WLP FP Format1_CONCENTRATED QUOTE WLP463 TYCO3_W10315922 A" xfId="1476" xr:uid="{00000000-0005-0000-0000-0000FA050000}"/>
    <cellStyle name="_CAPEX MARION - INDIA 14-NOV (2)_WLP FP Format1_CONCENTRATED QUOTE WLP463_862-CH" xfId="1477" xr:uid="{00000000-0005-0000-0000-0000FB050000}"/>
    <cellStyle name="_CAPEX MARION - INDIA 14-NOV (2)_WLP FP Format1_CONCENTRATED QUOTE WLP463_W10251766 D" xfId="1478" xr:uid="{00000000-0005-0000-0000-0000FC050000}"/>
    <cellStyle name="_CAPEX MARION - INDIA 14-NOV (2)_WLP FP Format1_CONCENTRATED QUOTE WLP463_W10279106 y W10279107 de MR a 56i" xfId="1479" xr:uid="{00000000-0005-0000-0000-0000FD050000}"/>
    <cellStyle name="_CAPEX MARION - INDIA 14-NOV (2)_WLP FP Format1_CONCENTRATED QUOTE WLP463_W10315922 A" xfId="1480" xr:uid="{00000000-0005-0000-0000-0000FE050000}"/>
    <cellStyle name="_CAPEX MARION - INDIA 14-NOV (2)_WLP FP Format1_CONCENTRATED QUOTE WLP470 050709" xfId="1481" xr:uid="{00000000-0005-0000-0000-0000FF050000}"/>
    <cellStyle name="_CAPEX MARION - INDIA 14-NOV (2)_WLP FP Format1_CONCENTRATED QUOTE WLP470 050709 2" xfId="1482" xr:uid="{00000000-0005-0000-0000-000000060000}"/>
    <cellStyle name="_CAPEX MARION - INDIA 14-NOV (2)_WLP FP Format1_CONCENTRATED QUOTE WLP470 050709 3" xfId="1483" xr:uid="{00000000-0005-0000-0000-000001060000}"/>
    <cellStyle name="_CAPEX MARION - INDIA 14-NOV (2)_WLP FP Format1_CONCENTRATED QUOTE WLP470 050709 4" xfId="1484" xr:uid="{00000000-0005-0000-0000-000002060000}"/>
    <cellStyle name="_CAPEX MARION - INDIA 14-NOV (2)_WLP FP Format1_CONCENTRATED QUOTE WLP481" xfId="1485" xr:uid="{00000000-0005-0000-0000-000003060000}"/>
    <cellStyle name="_CAPEX MARION - INDIA 14-NOV (2)_WLP FP Format1_CONCENTRATED QUOTE WLP481 2" xfId="1486" xr:uid="{00000000-0005-0000-0000-000004060000}"/>
    <cellStyle name="_CAPEX MARION - INDIA 14-NOV (2)_WLP FP Format1_CONCENTRATED QUOTE WLP481 3" xfId="1487" xr:uid="{00000000-0005-0000-0000-000005060000}"/>
    <cellStyle name="_CAPEX MARION - INDIA 14-NOV (2)_WLP FP Format1_CONCENTRATED QUOTE WLP481 4" xfId="1488" xr:uid="{00000000-0005-0000-0000-000006060000}"/>
    <cellStyle name="_CAPEX MARION - INDIA 14-NOV (2)_WLP FP Format1_CONCENTRATED QUOTE WLP481_862-CH" xfId="1489" xr:uid="{00000000-0005-0000-0000-000007060000}"/>
    <cellStyle name="_CAPEX MARION - INDIA 14-NOV (2)_WLP FP Format1_CONCENTRATED QUOTE WLP481_W10251766 D" xfId="1490" xr:uid="{00000000-0005-0000-0000-000008060000}"/>
    <cellStyle name="_CAPEX MARION - INDIA 14-NOV (2)_WLP FP Format1_CONCENTRATED QUOTE WLP481_W10279106 y W10279107 de MR a 56i" xfId="1491" xr:uid="{00000000-0005-0000-0000-000009060000}"/>
    <cellStyle name="_CAPEX MARION - INDIA 14-NOV (2)_WLP FP Format1_CONCENTRATED QUOTE WLP481_W10315922 A" xfId="1492" xr:uid="{00000000-0005-0000-0000-00000A060000}"/>
    <cellStyle name="_CAPEX MARION - INDIA 14-NOV (2)_WLP FP Format1_CONCENTRATED QUOTE WLP485" xfId="1493" xr:uid="{00000000-0005-0000-0000-00000B060000}"/>
    <cellStyle name="_CAPEX MARION - INDIA 14-NOV (2)_WLP FP Format1_CONCENTRATED QUOTE WLP485 2" xfId="1494" xr:uid="{00000000-0005-0000-0000-00000C060000}"/>
    <cellStyle name="_CAPEX MARION - INDIA 14-NOV (2)_WLP FP Format1_CONCENTRATED QUOTE WLP485 3" xfId="1495" xr:uid="{00000000-0005-0000-0000-00000D060000}"/>
    <cellStyle name="_CAPEX MARION - INDIA 14-NOV (2)_WLP FP Format1_CONCENTRATED QUOTE WLP485 4" xfId="1496" xr:uid="{00000000-0005-0000-0000-00000E060000}"/>
    <cellStyle name="_CAPEX MARION - INDIA 14-NOV (2)_WLP FP Format1_CONCENTRATED QUOTE WLP487" xfId="1497" xr:uid="{00000000-0005-0000-0000-00000F060000}"/>
    <cellStyle name="_CAPEX MARION - INDIA 14-NOV (2)_WLP FP Format1_CONCENTRATED QUOTE WLP487 060209" xfId="1498" xr:uid="{00000000-0005-0000-0000-000010060000}"/>
    <cellStyle name="_CAPEX MARION - INDIA 14-NOV (2)_WLP FP Format1_CONCENTRATED QUOTE WLP487 060209 2" xfId="1499" xr:uid="{00000000-0005-0000-0000-000011060000}"/>
    <cellStyle name="_CAPEX MARION - INDIA 14-NOV (2)_WLP FP Format1_CONCENTRATED QUOTE WLP487 060209 3" xfId="1500" xr:uid="{00000000-0005-0000-0000-000012060000}"/>
    <cellStyle name="_CAPEX MARION - INDIA 14-NOV (2)_WLP FP Format1_CONCENTRATED QUOTE WLP487 060209 4" xfId="1501" xr:uid="{00000000-0005-0000-0000-000013060000}"/>
    <cellStyle name="_CAPEX MARION - INDIA 14-NOV (2)_WLP FP Format1_CONCENTRATED QUOTE WLP487 2" xfId="1502" xr:uid="{00000000-0005-0000-0000-000014060000}"/>
    <cellStyle name="_CAPEX MARION - INDIA 14-NOV (2)_WLP FP Format1_CONCENTRATED QUOTE WLP487 3" xfId="1503" xr:uid="{00000000-0005-0000-0000-000015060000}"/>
    <cellStyle name="_CAPEX MARION - INDIA 14-NOV (2)_WLP FP Format1_CONCENTRATED QUOTE WLP487 4" xfId="1504" xr:uid="{00000000-0005-0000-0000-000016060000}"/>
    <cellStyle name="_CAPEX MARION - INDIA 14-NOV (2)_WLP FP Format1_CONCENTRATED QUOTE WLP495" xfId="1505" xr:uid="{00000000-0005-0000-0000-000017060000}"/>
    <cellStyle name="_CAPEX MARION - INDIA 14-NOV (2)_WLP FP Format1_CONCENTRATED QUOTE WLP495 2" xfId="1506" xr:uid="{00000000-0005-0000-0000-000018060000}"/>
    <cellStyle name="_CAPEX MARION - INDIA 14-NOV (2)_WLP FP Format1_CONCENTRATED QUOTE WLP495 3" xfId="1507" xr:uid="{00000000-0005-0000-0000-000019060000}"/>
    <cellStyle name="_CAPEX MARION - INDIA 14-NOV (2)_WLP FP Format1_CONCENTRATED QUOTE WLP495 4" xfId="1508" xr:uid="{00000000-0005-0000-0000-00001A060000}"/>
    <cellStyle name="_CAPEX MARION - INDIA 14-NOV (2)_WLP FP Format1_CONCENTRATED QUOTE WLP552" xfId="1509" xr:uid="{00000000-0005-0000-0000-00001B060000}"/>
    <cellStyle name="_CAPEX MARION - INDIA 14-NOV (2)_WLP FP Format1_CONCENTRATED QUOTE WLP552 2" xfId="1510" xr:uid="{00000000-0005-0000-0000-00001C060000}"/>
    <cellStyle name="_CAPEX MARION - INDIA 14-NOV (2)_WLP FP Format1_CONCENTRATED QUOTE WLP552 3" xfId="1511" xr:uid="{00000000-0005-0000-0000-00001D060000}"/>
    <cellStyle name="_CAPEX MARION - INDIA 14-NOV (2)_WLP FP Format1_CONCENTRATED QUOTE WLP552 4" xfId="1512" xr:uid="{00000000-0005-0000-0000-00001E060000}"/>
    <cellStyle name="_CAPEX MARION - INDIA 14-NOV (2)_WLP FP Format1_COST BKDN FOR REVIEW_W10252578_submitted 4_30_09 to Hector" xfId="1513" xr:uid="{00000000-0005-0000-0000-00001F060000}"/>
    <cellStyle name="_CAPEX MARION - INDIA 14-NOV (2)_WLP FP Format1_COST BKDN FOR REVIEW_W10252578_submitted 4_30_09 to Hector 2" xfId="1514" xr:uid="{00000000-0005-0000-0000-000020060000}"/>
    <cellStyle name="_CAPEX MARION - INDIA 14-NOV (2)_WLP FP Format1_COST BKDN FOR REVIEW_W10252578_submitted 4_30_09 to Hector 2 2" xfId="1515" xr:uid="{00000000-0005-0000-0000-000021060000}"/>
    <cellStyle name="_CAPEX MARION - INDIA 14-NOV (2)_WLP FP Format1_COST BKDN FOR REVIEW_W10252578_submitted 4_30_09 to Hector 2 3" xfId="1516" xr:uid="{00000000-0005-0000-0000-000022060000}"/>
    <cellStyle name="_CAPEX MARION - INDIA 14-NOV (2)_WLP FP Format1_COST BKDN FOR REVIEW_W10252578_submitted 4_30_09 to Hector 2 4" xfId="1517" xr:uid="{00000000-0005-0000-0000-000023060000}"/>
    <cellStyle name="_CAPEX MARION - INDIA 14-NOV (2)_WLP FP Format1_COST BKDN FOR REVIEW_W10252578_submitted 4_30_09 to Hector 3" xfId="1518" xr:uid="{00000000-0005-0000-0000-000024060000}"/>
    <cellStyle name="_CAPEX MARION - INDIA 14-NOV (2)_WLP FP Format1_COST BKDN FOR REVIEW_W10252578_submitted 4_30_09 to Hector_862-CH" xfId="1519" xr:uid="{00000000-0005-0000-0000-000025060000}"/>
    <cellStyle name="_CAPEX MARION - INDIA 14-NOV (2)_WLP FP Format1_COST BKDN FOR REVIEW_W10252578_submitted 4_30_09 to Hector_W10251766 D" xfId="1520" xr:uid="{00000000-0005-0000-0000-000026060000}"/>
    <cellStyle name="_CAPEX MARION - INDIA 14-NOV (2)_WLP FP Format1_COST BKDN FOR REVIEW_W10252578_submitted 4_30_09 to Hector_W10279106 y W10279107 de MR a 56i" xfId="1521" xr:uid="{00000000-0005-0000-0000-000027060000}"/>
    <cellStyle name="_CAPEX MARION - INDIA 14-NOV (2)_WLP FP Format1_COST BKDN FOR REVIEW_W10252578_submitted 4_30_09 to Hector_W10315922 A" xfId="1522" xr:uid="{00000000-0005-0000-0000-000028060000}"/>
    <cellStyle name="_CAPEX MARION - INDIA 14-NOV (2)_WLP FP Format1_DEPRECIATION_OH RAST" xfId="1523" xr:uid="{00000000-0005-0000-0000-000029060000}"/>
    <cellStyle name="_CAPEX MARION - INDIA 14-NOV (2)_WLP FP Format1_DEPRECIATION_OH RAST 2" xfId="1524" xr:uid="{00000000-0005-0000-0000-00002A060000}"/>
    <cellStyle name="_CAPEX MARION - INDIA 14-NOV (2)_WLP FP Format1_DEPRECIATION_OH RAST 2 2" xfId="1525" xr:uid="{00000000-0005-0000-0000-00002B060000}"/>
    <cellStyle name="_CAPEX MARION - INDIA 14-NOV (2)_WLP FP Format1_DEPRECIATION_OH RAST 2 3" xfId="1526" xr:uid="{00000000-0005-0000-0000-00002C060000}"/>
    <cellStyle name="_CAPEX MARION - INDIA 14-NOV (2)_WLP FP Format1_DEPRECIATION_OH RAST 2 4" xfId="1527" xr:uid="{00000000-0005-0000-0000-00002D060000}"/>
    <cellStyle name="_CAPEX MARION - INDIA 14-NOV (2)_WLP FP Format1_DEPRECIATION_OH RAST 3" xfId="1528" xr:uid="{00000000-0005-0000-0000-00002E060000}"/>
    <cellStyle name="_CAPEX MARION - INDIA 14-NOV (2)_WLP FP Format1_DEPRECIATION_OH RAST_862-CH" xfId="1529" xr:uid="{00000000-0005-0000-0000-00002F060000}"/>
    <cellStyle name="_CAPEX MARION - INDIA 14-NOV (2)_WLP FP Format1_DEPRECIATION_OH RAST_W10251766 D" xfId="1530" xr:uid="{00000000-0005-0000-0000-000030060000}"/>
    <cellStyle name="_CAPEX MARION - INDIA 14-NOV (2)_WLP FP Format1_DEPRECIATION_OH RAST_W10279106 y W10279107 de MR a 56i" xfId="1531" xr:uid="{00000000-0005-0000-0000-000031060000}"/>
    <cellStyle name="_CAPEX MARION - INDIA 14-NOV (2)_WLP FP Format1_DEPRECIATION_OH RAST_W10315922 A" xfId="1532" xr:uid="{00000000-0005-0000-0000-000032060000}"/>
    <cellStyle name="_CAPEX MARION - INDIA 14-NOV (2)_WLP FP Format1_Op 1 VMW Base Line Molex" xfId="1533" xr:uid="{00000000-0005-0000-0000-000033060000}"/>
    <cellStyle name="_CAPEX MARION - INDIA 14-NOV (2)_WLP FP Format1_Op 1 VMW Base Line Molex 2" xfId="1534" xr:uid="{00000000-0005-0000-0000-000034060000}"/>
    <cellStyle name="_CAPEX MARION - INDIA 14-NOV (2)_WLP FP Format1_Op 1 VMW Base Line Molex 2 2" xfId="1535" xr:uid="{00000000-0005-0000-0000-000035060000}"/>
    <cellStyle name="_CAPEX MARION - INDIA 14-NOV (2)_WLP FP Format1_Op 1 VMW Base Line Molex 2 3" xfId="1536" xr:uid="{00000000-0005-0000-0000-000036060000}"/>
    <cellStyle name="_CAPEX MARION - INDIA 14-NOV (2)_WLP FP Format1_Op 1 VMW Base Line Molex 2 4" xfId="1537" xr:uid="{00000000-0005-0000-0000-000037060000}"/>
    <cellStyle name="_CAPEX MARION - INDIA 14-NOV (2)_WLP FP Format1_Op 1 VMW Base Line Molex 3" xfId="1538" xr:uid="{00000000-0005-0000-0000-000038060000}"/>
    <cellStyle name="_CAPEX MARION - INDIA 14-NOV (2)_WLP FP Format1_Op 1 VMW Base Line Molex_862-CH" xfId="1539" xr:uid="{00000000-0005-0000-0000-000039060000}"/>
    <cellStyle name="_CAPEX MARION - INDIA 14-NOV (2)_WLP FP Format1_Op 1 VMW Base Line Molex_W10251766 D" xfId="1540" xr:uid="{00000000-0005-0000-0000-00003A060000}"/>
    <cellStyle name="_CAPEX MARION - INDIA 14-NOV (2)_WLP FP Format1_Op 1 VMW Base Line Molex_W10279106 y W10279107 de MR a 56i" xfId="1541" xr:uid="{00000000-0005-0000-0000-00003B060000}"/>
    <cellStyle name="_CAPEX MARION - INDIA 14-NOV (2)_WLP FP Format1_Op 1 VMW Base Line Molex_W10315922 A" xfId="1542" xr:uid="{00000000-0005-0000-0000-00003C060000}"/>
    <cellStyle name="_CAPEX MARION - INDIA 14-NOV (2)_WLP FP Format1_Op 8 VMW TYCO Splice Option" xfId="1543" xr:uid="{00000000-0005-0000-0000-00003D060000}"/>
    <cellStyle name="_CAPEX MARION - INDIA 14-NOV (2)_WLP FP Format1_Op 8 VMW TYCO Splice Option - Per Conference 3-27-2009" xfId="1544" xr:uid="{00000000-0005-0000-0000-00003E060000}"/>
    <cellStyle name="_CAPEX MARION - INDIA 14-NOV (2)_WLP FP Format1_Op 8 VMW TYCO Splice Option - Per Conference 3-27-2009 2" xfId="1545" xr:uid="{00000000-0005-0000-0000-00003F060000}"/>
    <cellStyle name="_CAPEX MARION - INDIA 14-NOV (2)_WLP FP Format1_Op 8 VMW TYCO Splice Option - Per Conference 3-27-2009 2 2" xfId="1546" xr:uid="{00000000-0005-0000-0000-000040060000}"/>
    <cellStyle name="_CAPEX MARION - INDIA 14-NOV (2)_WLP FP Format1_Op 8 VMW TYCO Splice Option - Per Conference 3-27-2009 2 3" xfId="1547" xr:uid="{00000000-0005-0000-0000-000041060000}"/>
    <cellStyle name="_CAPEX MARION - INDIA 14-NOV (2)_WLP FP Format1_Op 8 VMW TYCO Splice Option - Per Conference 3-27-2009 2 4" xfId="1548" xr:uid="{00000000-0005-0000-0000-000042060000}"/>
    <cellStyle name="_CAPEX MARION - INDIA 14-NOV (2)_WLP FP Format1_Op 8 VMW TYCO Splice Option - Per Conference 3-27-2009 3" xfId="1549" xr:uid="{00000000-0005-0000-0000-000043060000}"/>
    <cellStyle name="_CAPEX MARION - INDIA 14-NOV (2)_WLP FP Format1_Op 8 VMW TYCO Splice Option - Per Conference 3-27-2009_862-CH" xfId="1550" xr:uid="{00000000-0005-0000-0000-000044060000}"/>
    <cellStyle name="_CAPEX MARION - INDIA 14-NOV (2)_WLP FP Format1_Op 8 VMW TYCO Splice Option - Per Conference 3-27-2009_W10251766 D" xfId="1551" xr:uid="{00000000-0005-0000-0000-000045060000}"/>
    <cellStyle name="_CAPEX MARION - INDIA 14-NOV (2)_WLP FP Format1_Op 8 VMW TYCO Splice Option - Per Conference 3-27-2009_W10279106 y W10279107 de MR a 56i" xfId="1552" xr:uid="{00000000-0005-0000-0000-000046060000}"/>
    <cellStyle name="_CAPEX MARION - INDIA 14-NOV (2)_WLP FP Format1_Op 8 VMW TYCO Splice Option - Per Conference 3-27-2009_W10315922 A" xfId="1553" xr:uid="{00000000-0005-0000-0000-000047060000}"/>
    <cellStyle name="_CAPEX MARION - INDIA 14-NOV (2)_WLP FP Format1_Op 8 VMW TYCO Splice Option 10" xfId="1554" xr:uid="{00000000-0005-0000-0000-000048060000}"/>
    <cellStyle name="_CAPEX MARION - INDIA 14-NOV (2)_WLP FP Format1_Op 8 VMW TYCO Splice Option 11" xfId="1555" xr:uid="{00000000-0005-0000-0000-000049060000}"/>
    <cellStyle name="_CAPEX MARION - INDIA 14-NOV (2)_WLP FP Format1_Op 8 VMW TYCO Splice Option 12" xfId="1556" xr:uid="{00000000-0005-0000-0000-00004A060000}"/>
    <cellStyle name="_CAPEX MARION - INDIA 14-NOV (2)_WLP FP Format1_Op 8 VMW TYCO Splice Option 13" xfId="1557" xr:uid="{00000000-0005-0000-0000-00004B060000}"/>
    <cellStyle name="_CAPEX MARION - INDIA 14-NOV (2)_WLP FP Format1_Op 8 VMW TYCO Splice Option 2" xfId="1558" xr:uid="{00000000-0005-0000-0000-00004C060000}"/>
    <cellStyle name="_CAPEX MARION - INDIA 14-NOV (2)_WLP FP Format1_Op 8 VMW TYCO Splice Option 2 2" xfId="1559" xr:uid="{00000000-0005-0000-0000-00004D060000}"/>
    <cellStyle name="_CAPEX MARION - INDIA 14-NOV (2)_WLP FP Format1_Op 8 VMW TYCO Splice Option 2 3" xfId="1560" xr:uid="{00000000-0005-0000-0000-00004E060000}"/>
    <cellStyle name="_CAPEX MARION - INDIA 14-NOV (2)_WLP FP Format1_Op 8 VMW TYCO Splice Option 2 4" xfId="1561" xr:uid="{00000000-0005-0000-0000-00004F060000}"/>
    <cellStyle name="_CAPEX MARION - INDIA 14-NOV (2)_WLP FP Format1_Op 8 VMW TYCO Splice Option 3" xfId="1562" xr:uid="{00000000-0005-0000-0000-000050060000}"/>
    <cellStyle name="_CAPEX MARION - INDIA 14-NOV (2)_WLP FP Format1_Op 8 VMW TYCO Splice Option 4" xfId="1563" xr:uid="{00000000-0005-0000-0000-000051060000}"/>
    <cellStyle name="_CAPEX MARION - INDIA 14-NOV (2)_WLP FP Format1_Op 8 VMW TYCO Splice Option 5" xfId="1564" xr:uid="{00000000-0005-0000-0000-000052060000}"/>
    <cellStyle name="_CAPEX MARION - INDIA 14-NOV (2)_WLP FP Format1_Op 8 VMW TYCO Splice Option 6" xfId="1565" xr:uid="{00000000-0005-0000-0000-000053060000}"/>
    <cellStyle name="_CAPEX MARION - INDIA 14-NOV (2)_WLP FP Format1_Op 8 VMW TYCO Splice Option 7" xfId="1566" xr:uid="{00000000-0005-0000-0000-000054060000}"/>
    <cellStyle name="_CAPEX MARION - INDIA 14-NOV (2)_WLP FP Format1_Op 8 VMW TYCO Splice Option 8" xfId="1567" xr:uid="{00000000-0005-0000-0000-000055060000}"/>
    <cellStyle name="_CAPEX MARION - INDIA 14-NOV (2)_WLP FP Format1_Op 8 VMW TYCO Splice Option 9" xfId="1568" xr:uid="{00000000-0005-0000-0000-000056060000}"/>
    <cellStyle name="_CAPEX MARION - INDIA 14-NOV (2)_WLP FP Format1_Op 8 VMW TYCO Splice Option_862-CH" xfId="1569" xr:uid="{00000000-0005-0000-0000-000057060000}"/>
    <cellStyle name="_CAPEX MARION - INDIA 14-NOV (2)_WLP FP Format1_Op 8 VMW TYCO Splice Option_W10251766 D" xfId="1570" xr:uid="{00000000-0005-0000-0000-000058060000}"/>
    <cellStyle name="_CAPEX MARION - INDIA 14-NOV (2)_WLP FP Format1_Op 8 VMW TYCO Splice Option_W10279106 y W10279107 de MR a 56i" xfId="1571" xr:uid="{00000000-0005-0000-0000-000059060000}"/>
    <cellStyle name="_CAPEX MARION - INDIA 14-NOV (2)_WLP FP Format1_Op 8 VMW TYCO Splice Option_W10315922 A" xfId="1572" xr:uid="{00000000-0005-0000-0000-00005A060000}"/>
    <cellStyle name="_CAPEX MARION - INDIA 14-NOV (2)_WLP FP Format1_VMW Latest version MOLEX 4-28" xfId="1573" xr:uid="{00000000-0005-0000-0000-00005B060000}"/>
    <cellStyle name="_CAPEX MARION - INDIA 14-NOV (2)_WLP FP Format1_VMW Latest version MOLEX 4-28 2" xfId="1574" xr:uid="{00000000-0005-0000-0000-00005C060000}"/>
    <cellStyle name="_CAPEX MARION - INDIA 14-NOV (2)_WLP FP Format1_VMW Latest version MOLEX 4-28 2 2" xfId="1575" xr:uid="{00000000-0005-0000-0000-00005D060000}"/>
    <cellStyle name="_CAPEX MARION - INDIA 14-NOV (2)_WLP FP Format1_VMW Latest version MOLEX 4-28 2 3" xfId="1576" xr:uid="{00000000-0005-0000-0000-00005E060000}"/>
    <cellStyle name="_CAPEX MARION - INDIA 14-NOV (2)_WLP FP Format1_VMW Latest version MOLEX 4-28 2 4" xfId="1577" xr:uid="{00000000-0005-0000-0000-00005F060000}"/>
    <cellStyle name="_CAPEX MARION - INDIA 14-NOV (2)_WLP FP Format1_VMW Latest version MOLEX 4-28 3" xfId="1578" xr:uid="{00000000-0005-0000-0000-000060060000}"/>
    <cellStyle name="_CAPEX MARION - INDIA 14-NOV (2)_WLP FP Format1_VMW Latest version MOLEX 4-28 per conference" xfId="1579" xr:uid="{00000000-0005-0000-0000-000061060000}"/>
    <cellStyle name="_CAPEX MARION - INDIA 14-NOV (2)_WLP FP Format1_VMW Latest version MOLEX 4-28 per conference 2" xfId="1580" xr:uid="{00000000-0005-0000-0000-000062060000}"/>
    <cellStyle name="_CAPEX MARION - INDIA 14-NOV (2)_WLP FP Format1_VMW Latest version MOLEX 4-28 per conference 2 2" xfId="1581" xr:uid="{00000000-0005-0000-0000-000063060000}"/>
    <cellStyle name="_CAPEX MARION - INDIA 14-NOV (2)_WLP FP Format1_VMW Latest version MOLEX 4-28 per conference 2 3" xfId="1582" xr:uid="{00000000-0005-0000-0000-000064060000}"/>
    <cellStyle name="_CAPEX MARION - INDIA 14-NOV (2)_WLP FP Format1_VMW Latest version MOLEX 4-28 per conference 2 4" xfId="1583" xr:uid="{00000000-0005-0000-0000-000065060000}"/>
    <cellStyle name="_CAPEX MARION - INDIA 14-NOV (2)_WLP FP Format1_VMW Latest version MOLEX 4-28 per conference 3" xfId="1584" xr:uid="{00000000-0005-0000-0000-000066060000}"/>
    <cellStyle name="_CAPEX MARION - INDIA 14-NOV (2)_WLP FP Format1_VMW Latest version MOLEX 4-28 per conference revised" xfId="1585" xr:uid="{00000000-0005-0000-0000-000067060000}"/>
    <cellStyle name="_CAPEX MARION - INDIA 14-NOV (2)_WLP FP Format1_VMW Latest version MOLEX 4-28 per conference revised 2" xfId="1586" xr:uid="{00000000-0005-0000-0000-000068060000}"/>
    <cellStyle name="_CAPEX MARION - INDIA 14-NOV (2)_WLP FP Format1_VMW Latest version MOLEX 4-28 per conference revised 2 2" xfId="1587" xr:uid="{00000000-0005-0000-0000-000069060000}"/>
    <cellStyle name="_CAPEX MARION - INDIA 14-NOV (2)_WLP FP Format1_VMW Latest version MOLEX 4-28 per conference revised 2 3" xfId="1588" xr:uid="{00000000-0005-0000-0000-00006A060000}"/>
    <cellStyle name="_CAPEX MARION - INDIA 14-NOV (2)_WLP FP Format1_VMW Latest version MOLEX 4-28 per conference revised 2 4" xfId="1589" xr:uid="{00000000-0005-0000-0000-00006B060000}"/>
    <cellStyle name="_CAPEX MARION - INDIA 14-NOV (2)_WLP FP Format1_VMW Latest version MOLEX 4-28 per conference revised 3" xfId="1590" xr:uid="{00000000-0005-0000-0000-00006C060000}"/>
    <cellStyle name="_CAPEX MARION - INDIA 14-NOV (2)_WLP FP Format1_VMW Latest version MOLEX 4-28 per conference revised_862-CH" xfId="1591" xr:uid="{00000000-0005-0000-0000-00006D060000}"/>
    <cellStyle name="_CAPEX MARION - INDIA 14-NOV (2)_WLP FP Format1_VMW Latest version MOLEX 4-28 per conference revised_W10251766 D" xfId="1592" xr:uid="{00000000-0005-0000-0000-00006E060000}"/>
    <cellStyle name="_CAPEX MARION - INDIA 14-NOV (2)_WLP FP Format1_VMW Latest version MOLEX 4-28 per conference revised_W10279106 y W10279107 de MR a 56i" xfId="1593" xr:uid="{00000000-0005-0000-0000-00006F060000}"/>
    <cellStyle name="_CAPEX MARION - INDIA 14-NOV (2)_WLP FP Format1_VMW Latest version MOLEX 4-28 per conference revised_W10315922 A" xfId="1594" xr:uid="{00000000-0005-0000-0000-000070060000}"/>
    <cellStyle name="_CAPEX MARION - INDIA 14-NOV (2)_WLP FP Format1_VMW Latest version MOLEX 4-28 per conference_862-CH" xfId="1595" xr:uid="{00000000-0005-0000-0000-000071060000}"/>
    <cellStyle name="_CAPEX MARION - INDIA 14-NOV (2)_WLP FP Format1_VMW Latest version MOLEX 4-28 per conference_W10251766 D" xfId="1596" xr:uid="{00000000-0005-0000-0000-000072060000}"/>
    <cellStyle name="_CAPEX MARION - INDIA 14-NOV (2)_WLP FP Format1_VMW Latest version MOLEX 4-28 per conference_W10279106 y W10279107 de MR a 56i" xfId="1597" xr:uid="{00000000-0005-0000-0000-000073060000}"/>
    <cellStyle name="_CAPEX MARION - INDIA 14-NOV (2)_WLP FP Format1_VMW Latest version MOLEX 4-28 per conference_W10315922 A" xfId="1598" xr:uid="{00000000-0005-0000-0000-000074060000}"/>
    <cellStyle name="_CAPEX MARION - INDIA 14-NOV (2)_WLP FP Format1_VMW Latest version MOLEX 4-28_862-CH" xfId="1599" xr:uid="{00000000-0005-0000-0000-000075060000}"/>
    <cellStyle name="_CAPEX MARION - INDIA 14-NOV (2)_WLP FP Format1_VMW Latest version MOLEX 4-28_W10251766 D" xfId="1600" xr:uid="{00000000-0005-0000-0000-000076060000}"/>
    <cellStyle name="_CAPEX MARION - INDIA 14-NOV (2)_WLP FP Format1_VMW Latest version MOLEX 4-28_W10279106 y W10279107 de MR a 56i" xfId="1601" xr:uid="{00000000-0005-0000-0000-000077060000}"/>
    <cellStyle name="_CAPEX MARION - INDIA 14-NOV (2)_WLP FP Format1_VMW Latest version MOLEX 4-28_W10315922 A" xfId="1602" xr:uid="{00000000-0005-0000-0000-000078060000}"/>
    <cellStyle name="_CAPEX MARION - INDIA 14-NOV (2)_WLP FP Format1_VMW MOLEX BASELINE OPTION COST BREAKDOWN - 4_16_09_Detail_" xfId="1603" xr:uid="{00000000-0005-0000-0000-000079060000}"/>
    <cellStyle name="_CAPEX MARION - INDIA 14-NOV (2)_WLP FP Format1_VMW MOLEX BASELINE OPTION COST BREAKDOWN - 4_16_09_Detail_ 2" xfId="1604" xr:uid="{00000000-0005-0000-0000-00007A060000}"/>
    <cellStyle name="_CAPEX MARION - INDIA 14-NOV (2)_WLP FP Format1_VMW MOLEX BASELINE OPTION COST BREAKDOWN - 4_16_09_Detail_ 2 2" xfId="1605" xr:uid="{00000000-0005-0000-0000-00007B060000}"/>
    <cellStyle name="_CAPEX MARION - INDIA 14-NOV (2)_WLP FP Format1_VMW MOLEX BASELINE OPTION COST BREAKDOWN - 4_16_09_Detail_ 2 3" xfId="1606" xr:uid="{00000000-0005-0000-0000-00007C060000}"/>
    <cellStyle name="_CAPEX MARION - INDIA 14-NOV (2)_WLP FP Format1_VMW MOLEX BASELINE OPTION COST BREAKDOWN - 4_16_09_Detail_ 2 4" xfId="1607" xr:uid="{00000000-0005-0000-0000-00007D060000}"/>
    <cellStyle name="_CAPEX MARION - INDIA 14-NOV (2)_WLP FP Format1_VMW MOLEX BASELINE OPTION COST BREAKDOWN - 4_16_09_Detail_ 3" xfId="1608" xr:uid="{00000000-0005-0000-0000-00007E060000}"/>
    <cellStyle name="_CAPEX MARION - INDIA 14-NOV (2)_WLP FP Format1_VMW MOLEX BASELINE OPTION COST BREAKDOWN - 4_16_09_Detail__862-CH" xfId="1609" xr:uid="{00000000-0005-0000-0000-00007F060000}"/>
    <cellStyle name="_CAPEX MARION - INDIA 14-NOV (2)_WLP FP Format1_VMW MOLEX BASELINE OPTION COST BREAKDOWN - 4_16_09_Detail__W10251766 D" xfId="1610" xr:uid="{00000000-0005-0000-0000-000080060000}"/>
    <cellStyle name="_CAPEX MARION - INDIA 14-NOV (2)_WLP FP Format1_VMW MOLEX BASELINE OPTION COST BREAKDOWN - 4_16_09_Detail__W10279106 y W10279107 de MR a 56i" xfId="1611" xr:uid="{00000000-0005-0000-0000-000081060000}"/>
    <cellStyle name="_CAPEX MARION - INDIA 14-NOV (2)_WLP FP Format1_VMW MOLEX BASELINE OPTION COST BREAKDOWN - 4_16_09_Detail__W10315922 A" xfId="1612" xr:uid="{00000000-0005-0000-0000-000082060000}"/>
    <cellStyle name="_CAPEX MARION - INDIA 14-NOV (2)_WLP FP Format1_VMW SPLIT CONN" xfId="1613" xr:uid="{00000000-0005-0000-0000-000083060000}"/>
    <cellStyle name="_CAPEX MARION - INDIA 14-NOV (2)_WLP FP Format1_VMW SPLIT CONN 2" xfId="1614" xr:uid="{00000000-0005-0000-0000-000084060000}"/>
    <cellStyle name="_CAPEX MARION - INDIA 14-NOV (2)_WLP FP Format1_VMW SPLIT CONN 2 2" xfId="1615" xr:uid="{00000000-0005-0000-0000-000085060000}"/>
    <cellStyle name="_CAPEX MARION - INDIA 14-NOV (2)_WLP FP Format1_VMW SPLIT CONN 2 3" xfId="1616" xr:uid="{00000000-0005-0000-0000-000086060000}"/>
    <cellStyle name="_CAPEX MARION - INDIA 14-NOV (2)_WLP FP Format1_VMW SPLIT CONN 2 4" xfId="1617" xr:uid="{00000000-0005-0000-0000-000087060000}"/>
    <cellStyle name="_CAPEX MARION - INDIA 14-NOV (2)_WLP FP Format1_VMW SPLIT CONN 3" xfId="1618" xr:uid="{00000000-0005-0000-0000-000088060000}"/>
    <cellStyle name="_CAPEX MARION - INDIA 14-NOV (2)_WLP FP Format1_VMW SPLIT CONN_862-CH" xfId="1619" xr:uid="{00000000-0005-0000-0000-000089060000}"/>
    <cellStyle name="_CAPEX MARION - INDIA 14-NOV (2)_WLP FP Format1_VMW SPLIT CONN_W10251766 D" xfId="1620" xr:uid="{00000000-0005-0000-0000-00008A060000}"/>
    <cellStyle name="_CAPEX MARION - INDIA 14-NOV (2)_WLP FP Format1_VMW SPLIT CONN_W10279106 y W10279107 de MR a 56i" xfId="1621" xr:uid="{00000000-0005-0000-0000-00008B060000}"/>
    <cellStyle name="_CAPEX MARION - INDIA 14-NOV (2)_WLP FP Format1_VMW SPLIT CONN_W10315922 A" xfId="1622" xr:uid="{00000000-0005-0000-0000-00008C060000}"/>
    <cellStyle name="_CAPEX MARION - INDIA 14-NOV (2)_WLP FP Format1_VMW Tyco CONCENTRATED QUOTE WLP480 (AS IS) Gary (2)" xfId="1623" xr:uid="{00000000-0005-0000-0000-00008D060000}"/>
    <cellStyle name="_CAPEX MARION - INDIA 14-NOV (2)_WLP FP Format1_VMW Tyco CONCENTRATED QUOTE WLP480 (AS IS) Gary (2) 2" xfId="1624" xr:uid="{00000000-0005-0000-0000-00008E060000}"/>
    <cellStyle name="_CAPEX MARION - INDIA 14-NOV (2)_WLP FP Format1_VMW Tyco CONCENTRATED QUOTE WLP480 (AS IS) Gary (2) 2 2" xfId="1625" xr:uid="{00000000-0005-0000-0000-00008F060000}"/>
    <cellStyle name="_CAPEX MARION - INDIA 14-NOV (2)_WLP FP Format1_VMW Tyco CONCENTRATED QUOTE WLP480 (AS IS) Gary (2) 2 3" xfId="1626" xr:uid="{00000000-0005-0000-0000-000090060000}"/>
    <cellStyle name="_CAPEX MARION - INDIA 14-NOV (2)_WLP FP Format1_VMW Tyco CONCENTRATED QUOTE WLP480 (AS IS) Gary (2) 2 4" xfId="1627" xr:uid="{00000000-0005-0000-0000-000091060000}"/>
    <cellStyle name="_CAPEX MARION - INDIA 14-NOV (2)_WLP FP Format1_VMW Tyco CONCENTRATED QUOTE WLP480 (AS IS) Gary (2) 3" xfId="1628" xr:uid="{00000000-0005-0000-0000-000092060000}"/>
    <cellStyle name="_CAPEX MARION - INDIA 14-NOV (2)_WLP FP Format1_VMW Tyco CONCENTRATED QUOTE WLP480 (AS IS) Gary (2)_862-CH" xfId="1629" xr:uid="{00000000-0005-0000-0000-000093060000}"/>
    <cellStyle name="_CAPEX MARION - INDIA 14-NOV (2)_WLP FP Format1_VMW Tyco CONCENTRATED QUOTE WLP480 (AS IS) Gary (2)_W10251766 D" xfId="1630" xr:uid="{00000000-0005-0000-0000-000094060000}"/>
    <cellStyle name="_CAPEX MARION - INDIA 14-NOV (2)_WLP FP Format1_VMW Tyco CONCENTRATED QUOTE WLP480 (AS IS) Gary (2)_W10279106 y W10279107 de MR a 56i" xfId="1631" xr:uid="{00000000-0005-0000-0000-000095060000}"/>
    <cellStyle name="_CAPEX MARION - INDIA 14-NOV (2)_WLP FP Format1_VMW Tyco CONCENTRATED QUOTE WLP480 (AS IS) Gary (2)_W10315922 A" xfId="1632" xr:uid="{00000000-0005-0000-0000-000096060000}"/>
    <cellStyle name="_CAPEX MARION - INDIA 14-NOV (2)_WLP FP Format1_VMW Tyco CONCENTRATED QUOTE WLP480 (AS IS) Gary wo tooling (2)" xfId="1633" xr:uid="{00000000-0005-0000-0000-000097060000}"/>
    <cellStyle name="_CAPEX MARION - INDIA 14-NOV (2)_WLP FP Format1_VMW Tyco CONCENTRATED QUOTE WLP480 (AS IS) Gary wo tooling (2) 2" xfId="1634" xr:uid="{00000000-0005-0000-0000-000098060000}"/>
    <cellStyle name="_CAPEX MARION - INDIA 14-NOV (2)_WLP FP Format1_VMW Tyco CONCENTRATED QUOTE WLP480 (AS IS) Gary wo tooling (2) 2 2" xfId="1635" xr:uid="{00000000-0005-0000-0000-000099060000}"/>
    <cellStyle name="_CAPEX MARION - INDIA 14-NOV (2)_WLP FP Format1_VMW Tyco CONCENTRATED QUOTE WLP480 (AS IS) Gary wo tooling (2) 2 3" xfId="1636" xr:uid="{00000000-0005-0000-0000-00009A060000}"/>
    <cellStyle name="_CAPEX MARION - INDIA 14-NOV (2)_WLP FP Format1_VMW Tyco CONCENTRATED QUOTE WLP480 (AS IS) Gary wo tooling (2) 2 4" xfId="1637" xr:uid="{00000000-0005-0000-0000-00009B060000}"/>
    <cellStyle name="_CAPEX MARION - INDIA 14-NOV (2)_WLP FP Format1_VMW Tyco CONCENTRATED QUOTE WLP480 (AS IS) Gary wo tooling (2) 3" xfId="1638" xr:uid="{00000000-0005-0000-0000-00009C060000}"/>
    <cellStyle name="_CAPEX MARION - INDIA 14-NOV (2)_WLP FP Format1_VMW Tyco CONCENTRATED QUOTE WLP480 (AS IS) Gary wo tooling (2)_862-CH" xfId="1639" xr:uid="{00000000-0005-0000-0000-00009D060000}"/>
    <cellStyle name="_CAPEX MARION - INDIA 14-NOV (2)_WLP FP Format1_VMW Tyco CONCENTRATED QUOTE WLP480 (AS IS) Gary wo tooling (2)_W10251766 D" xfId="1640" xr:uid="{00000000-0005-0000-0000-00009E060000}"/>
    <cellStyle name="_CAPEX MARION - INDIA 14-NOV (2)_WLP FP Format1_VMW Tyco CONCENTRATED QUOTE WLP480 (AS IS) Gary wo tooling (2)_W10279106 y W10279107 de MR a 56i" xfId="1641" xr:uid="{00000000-0005-0000-0000-00009F060000}"/>
    <cellStyle name="_CAPEX MARION - INDIA 14-NOV (2)_WLP FP Format1_VMW Tyco CONCENTRATED QUOTE WLP480 (AS IS) Gary wo tooling (2)_W10315922 A" xfId="1642" xr:uid="{00000000-0005-0000-0000-0000A0060000}"/>
    <cellStyle name="_CAPEX MARION - INDIA 14-NOV (2)_WLP FP Format1_VMW Tyco CONCENTRATED QUOTE WLP480 (proposal) additional machine Gary" xfId="1643" xr:uid="{00000000-0005-0000-0000-0000A1060000}"/>
    <cellStyle name="_CAPEX MARION - INDIA 14-NOV (2)_WLP FP Format1_VMW Tyco CONCENTRATED QUOTE WLP480 (proposal) additional machine Gary 2" xfId="1644" xr:uid="{00000000-0005-0000-0000-0000A2060000}"/>
    <cellStyle name="_CAPEX MARION - INDIA 14-NOV (2)_WLP FP Format1_VMW Tyco CONCENTRATED QUOTE WLP480 (proposal) additional machine Gary 2 2" xfId="1645" xr:uid="{00000000-0005-0000-0000-0000A3060000}"/>
    <cellStyle name="_CAPEX MARION - INDIA 14-NOV (2)_WLP FP Format1_VMW Tyco CONCENTRATED QUOTE WLP480 (proposal) additional machine Gary 2 3" xfId="1646" xr:uid="{00000000-0005-0000-0000-0000A4060000}"/>
    <cellStyle name="_CAPEX MARION - INDIA 14-NOV (2)_WLP FP Format1_VMW Tyco CONCENTRATED QUOTE WLP480 (proposal) additional machine Gary 2 4" xfId="1647" xr:uid="{00000000-0005-0000-0000-0000A5060000}"/>
    <cellStyle name="_CAPEX MARION - INDIA 14-NOV (2)_WLP FP Format1_VMW Tyco CONCENTRATED QUOTE WLP480 (proposal) additional machine Gary 3" xfId="1648" xr:uid="{00000000-0005-0000-0000-0000A6060000}"/>
    <cellStyle name="_CAPEX MARION - INDIA 14-NOV (2)_WLP FP Format1_VMW Tyco CONCENTRATED QUOTE WLP480 (proposal) additional machine Gary wo tooling" xfId="1649" xr:uid="{00000000-0005-0000-0000-0000A7060000}"/>
    <cellStyle name="_CAPEX MARION - INDIA 14-NOV (2)_WLP FP Format1_VMW Tyco CONCENTRATED QUOTE WLP480 (proposal) additional machine Gary wo tooling 2" xfId="1650" xr:uid="{00000000-0005-0000-0000-0000A8060000}"/>
    <cellStyle name="_CAPEX MARION - INDIA 14-NOV (2)_WLP FP Format1_VMW Tyco CONCENTRATED QUOTE WLP480 (proposal) additional machine Gary wo tooling 2 2" xfId="1651" xr:uid="{00000000-0005-0000-0000-0000A9060000}"/>
    <cellStyle name="_CAPEX MARION - INDIA 14-NOV (2)_WLP FP Format1_VMW Tyco CONCENTRATED QUOTE WLP480 (proposal) additional machine Gary wo tooling 2 3" xfId="1652" xr:uid="{00000000-0005-0000-0000-0000AA060000}"/>
    <cellStyle name="_CAPEX MARION - INDIA 14-NOV (2)_WLP FP Format1_VMW Tyco CONCENTRATED QUOTE WLP480 (proposal) additional machine Gary wo tooling 2 4" xfId="1653" xr:uid="{00000000-0005-0000-0000-0000AB060000}"/>
    <cellStyle name="_CAPEX MARION - INDIA 14-NOV (2)_WLP FP Format1_VMW Tyco CONCENTRATED QUOTE WLP480 (proposal) additional machine Gary wo tooling 3" xfId="1654" xr:uid="{00000000-0005-0000-0000-0000AC060000}"/>
    <cellStyle name="_CAPEX MARION - INDIA 14-NOV (2)_WLP FP Format1_VMW Tyco CONCENTRATED QUOTE WLP480 (proposal) additional machine Gary wo tooling_862-CH" xfId="1655" xr:uid="{00000000-0005-0000-0000-0000AD060000}"/>
    <cellStyle name="_CAPEX MARION - INDIA 14-NOV (2)_WLP FP Format1_VMW Tyco CONCENTRATED QUOTE WLP480 (proposal) additional machine Gary wo tooling_W10251766 D" xfId="1656" xr:uid="{00000000-0005-0000-0000-0000AE060000}"/>
    <cellStyle name="_CAPEX MARION - INDIA 14-NOV (2)_WLP FP Format1_VMW Tyco CONCENTRATED QUOTE WLP480 (proposal) additional machine Gary wo tooling_W10279106 y W10279107 de MR a 56i" xfId="1657" xr:uid="{00000000-0005-0000-0000-0000AF060000}"/>
    <cellStyle name="_CAPEX MARION - INDIA 14-NOV (2)_WLP FP Format1_VMW Tyco CONCENTRATED QUOTE WLP480 (proposal) additional machine Gary wo tooling_W10315922 A" xfId="1658" xr:uid="{00000000-0005-0000-0000-0000B0060000}"/>
    <cellStyle name="_CAPEX MARION - INDIA 14-NOV (2)_WLP FP Format1_VMW Tyco CONCENTRATED QUOTE WLP480 (proposal) additional machine Gary_862-CH" xfId="1659" xr:uid="{00000000-0005-0000-0000-0000B1060000}"/>
    <cellStyle name="_CAPEX MARION - INDIA 14-NOV (2)_WLP FP Format1_VMW Tyco CONCENTRATED QUOTE WLP480 (proposal) additional machine Gary_W10251766 D" xfId="1660" xr:uid="{00000000-0005-0000-0000-0000B2060000}"/>
    <cellStyle name="_CAPEX MARION - INDIA 14-NOV (2)_WLP FP Format1_VMW Tyco CONCENTRATED QUOTE WLP480 (proposal) additional machine Gary_W10279106 y W10279107 de MR a 56i" xfId="1661" xr:uid="{00000000-0005-0000-0000-0000B3060000}"/>
    <cellStyle name="_CAPEX MARION - INDIA 14-NOV (2)_WLP FP Format1_VMW Tyco CONCENTRATED QUOTE WLP480 (proposal) additional machine Gary_W10315922 A" xfId="1662" xr:uid="{00000000-0005-0000-0000-0000B4060000}"/>
    <cellStyle name="_CAPEX MARION - INDIA 14-NOV (2)_WLP FP Format1_W10251766 D" xfId="1663" xr:uid="{00000000-0005-0000-0000-0000B5060000}"/>
    <cellStyle name="_CAPEX MARION - INDIA 14-NOV (2)_WLP FP Format1_W10279106 y W10279107 de MR a 56i" xfId="1664" xr:uid="{00000000-0005-0000-0000-0000B6060000}"/>
    <cellStyle name="_CAPEX MARION - INDIA 14-NOV (2)_WLP FP Format1_W10315922 A" xfId="1665" xr:uid="{00000000-0005-0000-0000-0000B7060000}"/>
    <cellStyle name="_CAPEX MARION - INDIA 14-NOV (2)_WLP FP Format1_WPN145 3954933" xfId="1666" xr:uid="{00000000-0005-0000-0000-0000B8060000}"/>
    <cellStyle name="_CAPEX MARION - INDIA 14-NOV (2)_WLP FP Format1_WPN145 3954933 2" xfId="1667" xr:uid="{00000000-0005-0000-0000-0000B9060000}"/>
    <cellStyle name="_CAPEX MARION - INDIA 14-NOV (2)_WLP FP Format1_WPN145 3954933 3" xfId="1668" xr:uid="{00000000-0005-0000-0000-0000BA060000}"/>
    <cellStyle name="_CAPEX MARION - INDIA 14-NOV (2)_WLP FP Format1_WPN145 3954933 4" xfId="1669" xr:uid="{00000000-0005-0000-0000-0000BB060000}"/>
    <cellStyle name="_CAPEX MARION - INDIA 14-NOV (2)_WLP FP Format1_WPN145 3954933 5" xfId="1670" xr:uid="{00000000-0005-0000-0000-0000BC060000}"/>
    <cellStyle name="_CAPEX MARION - INDIA 14-NOV (2)_WPN145 3954933" xfId="1671" xr:uid="{00000000-0005-0000-0000-0000BD060000}"/>
    <cellStyle name="_CAPEX MARION - INDIA 14-NOV (2)_WPN145 3954933 2" xfId="1672" xr:uid="{00000000-0005-0000-0000-0000BE060000}"/>
    <cellStyle name="_CAPEX MARION - INDIA 14-NOV (2)_WPN145 3954933 3" xfId="1673" xr:uid="{00000000-0005-0000-0000-0000BF060000}"/>
    <cellStyle name="_CAPEX MARION - INDIA 14-NOV (2)_WPN145 3954933 4" xfId="1674" xr:uid="{00000000-0005-0000-0000-0000C0060000}"/>
    <cellStyle name="_CAPEX MARION - INDIA 14-NOV (2)_WPN145 3954933 5" xfId="1675" xr:uid="{00000000-0005-0000-0000-0000C1060000}"/>
    <cellStyle name="_CAPEX rad Switch 11-09-08" xfId="1676" xr:uid="{00000000-0005-0000-0000-0000C2060000}"/>
    <cellStyle name="_CAPEX rad Switch 11-09-08 2" xfId="1677" xr:uid="{00000000-0005-0000-0000-0000C3060000}"/>
    <cellStyle name="_CAPEX rad Switch 11-09-08 2 2" xfId="1678" xr:uid="{00000000-0005-0000-0000-0000C4060000}"/>
    <cellStyle name="_CAPEX rad Switch 11-09-08 2 3" xfId="1679" xr:uid="{00000000-0005-0000-0000-0000C5060000}"/>
    <cellStyle name="_CAPEX rad Switch 11-09-08 2 4" xfId="1680" xr:uid="{00000000-0005-0000-0000-0000C6060000}"/>
    <cellStyle name="_CAPEX rad Switch 11-09-08 3" xfId="1681" xr:uid="{00000000-0005-0000-0000-0000C7060000}"/>
    <cellStyle name="_CAPEX rad Switch 11-09-08_SUBARTICO ADD-DEL" xfId="1682" xr:uid="{00000000-0005-0000-0000-0000C8060000}"/>
    <cellStyle name="_CAPEX rad Switch 11-09-08_SUBARTICO ADD-DEL 2" xfId="1683" xr:uid="{00000000-0005-0000-0000-0000C9060000}"/>
    <cellStyle name="_CLYDE (3952463)" xfId="1684" xr:uid="{00000000-0005-0000-0000-0000CA060000}"/>
    <cellStyle name="_CLYDE (3952463) 2" xfId="1685" xr:uid="{00000000-0005-0000-0000-0000CB060000}"/>
    <cellStyle name="_CLYDE (3952463) 3" xfId="24683" xr:uid="{00000000-0005-0000-0000-0000CC060000}"/>
    <cellStyle name="_CLYDE (3952463)_825-CH PROYECTO CORONA" xfId="1686" xr:uid="{00000000-0005-0000-0000-0000CD060000}"/>
    <cellStyle name="_CLYDE (3952463)_825-CH PROYECTO CORONA 2" xfId="1687" xr:uid="{00000000-0005-0000-0000-0000CE060000}"/>
    <cellStyle name="_CLYDE (3952463)_825-CH PROYECTO CORONA 3" xfId="1688" xr:uid="{00000000-0005-0000-0000-0000CF060000}"/>
    <cellStyle name="_CLYDE (3952463)_825-CH PROYECTO CORONA_862-CH" xfId="1689" xr:uid="{00000000-0005-0000-0000-0000D0060000}"/>
    <cellStyle name="_CLYDE (3952463)_825-CH PROYECTO CORONA_W10251766 D" xfId="1690" xr:uid="{00000000-0005-0000-0000-0000D1060000}"/>
    <cellStyle name="_CLYDE (3952463)_825-CH PROYECTO CORONA_W10279106 y W10279107 de MR a 56i" xfId="1691" xr:uid="{00000000-0005-0000-0000-0000D2060000}"/>
    <cellStyle name="_CLYDE (3952463)_825-CH PROYECTO CORONA_W10315922 A" xfId="1692" xr:uid="{00000000-0005-0000-0000-0000D3060000}"/>
    <cellStyle name="_CLYDE (3952463)_ama quote" xfId="1693" xr:uid="{00000000-0005-0000-0000-0000D4060000}"/>
    <cellStyle name="_CLYDE (3952463)_ama quote 2" xfId="1694" xr:uid="{00000000-0005-0000-0000-0000D5060000}"/>
    <cellStyle name="_CLYDE (3952463)_ama quote 3" xfId="1695" xr:uid="{00000000-0005-0000-0000-0000D6060000}"/>
    <cellStyle name="_CLYDE (3952463)_ama quote 4" xfId="1696" xr:uid="{00000000-0005-0000-0000-0000D7060000}"/>
    <cellStyle name="_CLYDE (3952463)_ama quote 5" xfId="1697" xr:uid="{00000000-0005-0000-0000-0000D8060000}"/>
    <cellStyle name="_CLYDE (3952463)_BSHNC144(RFQ EE2909)gs" xfId="1698" xr:uid="{00000000-0005-0000-0000-0000D9060000}"/>
    <cellStyle name="_CLYDE (3952463)_BSHNC144(RFQ EE2909)gs_BSHTN061" xfId="1699" xr:uid="{00000000-0005-0000-0000-0000DA060000}"/>
    <cellStyle name="_CLYDE (3952463)_BSHNC144(RFQ EE2909)gs_BSHTN067" xfId="1700" xr:uid="{00000000-0005-0000-0000-0000DB060000}"/>
    <cellStyle name="_CLYDE (3952463)_BSHNC144(RFQ EE2909)gs_BSHTN071" xfId="1701" xr:uid="{00000000-0005-0000-0000-0000DC060000}"/>
    <cellStyle name="_CLYDE (3952463)_BSHNC145(RFQ EE2909)" xfId="1702" xr:uid="{00000000-0005-0000-0000-0000DD060000}"/>
    <cellStyle name="_CLYDE (3952463)_BSHNC145(RFQ EE2909)_BSHNC151 (RFQ EE4509)" xfId="1703" xr:uid="{00000000-0005-0000-0000-0000DE060000}"/>
    <cellStyle name="_CLYDE (3952463)_BSHNC145(RFQ EE2909)_BSHNC162 (RFQ EE5409)" xfId="1704" xr:uid="{00000000-0005-0000-0000-0000DF060000}"/>
    <cellStyle name="_CLYDE (3952463)_BSHNC145(RFQ EE2909)_Quote BSHNC163" xfId="1705" xr:uid="{00000000-0005-0000-0000-0000E0060000}"/>
    <cellStyle name="_CLYDE (3952463)_BSHTN061" xfId="1706" xr:uid="{00000000-0005-0000-0000-0000E1060000}"/>
    <cellStyle name="_CLYDE (3952463)_W10297387 A" xfId="1707" xr:uid="{00000000-0005-0000-0000-0000E2060000}"/>
    <cellStyle name="_CLYDE (3952463)_W10315911 A" xfId="1708" xr:uid="{00000000-0005-0000-0000-0000E3060000}"/>
    <cellStyle name="_CLYDE (3952463)_W10315921 A" xfId="1709" xr:uid="{00000000-0005-0000-0000-0000E4060000}"/>
    <cellStyle name="_CLYDE (3952463)_W10315922 A" xfId="1710" xr:uid="{00000000-0005-0000-0000-0000E5060000}"/>
    <cellStyle name="_CLYDE (3952463)_Xl0000052" xfId="1711" xr:uid="{00000000-0005-0000-0000-0000E6060000}"/>
    <cellStyle name="_CLYDE (3952463)_Xl0000052_862-CH" xfId="1712" xr:uid="{00000000-0005-0000-0000-0000E7060000}"/>
    <cellStyle name="_CLYDE (3952463)_Xl0000052_W10251766 D" xfId="1713" xr:uid="{00000000-0005-0000-0000-0000E8060000}"/>
    <cellStyle name="_CLYDE (3952463)_Xl0000052_W10279106 y W10279107 de MR a 56i" xfId="1714" xr:uid="{00000000-0005-0000-0000-0000E9060000}"/>
    <cellStyle name="_CLYDE (3952463)_Xl0000052_W10315922 A" xfId="1715" xr:uid="{00000000-0005-0000-0000-0000EA060000}"/>
    <cellStyle name="_CLYDE capex (3953793) 12-18-08" xfId="1716" xr:uid="{00000000-0005-0000-0000-0000EB060000}"/>
    <cellStyle name="_CLYDE capex (3953793) 12-18-08 2" xfId="1717" xr:uid="{00000000-0005-0000-0000-0000EC060000}"/>
    <cellStyle name="_CLYDE capex (3953793) 12-18-08 3" xfId="1718" xr:uid="{00000000-0005-0000-0000-0000ED060000}"/>
    <cellStyle name="_CLYDE capex (3953793) 12-18-08 4" xfId="1719" xr:uid="{00000000-0005-0000-0000-0000EE060000}"/>
    <cellStyle name="_CLYDE capex (3953793) 12-18-08_862-CH" xfId="1720" xr:uid="{00000000-0005-0000-0000-0000EF060000}"/>
    <cellStyle name="_CLYDE capex (3953793) 12-18-08_W10251766 D" xfId="1721" xr:uid="{00000000-0005-0000-0000-0000F0060000}"/>
    <cellStyle name="_CLYDE capex (3953793) 12-18-08_W10279106 y W10279107 de MR a 56i" xfId="1722" xr:uid="{00000000-0005-0000-0000-0000F1060000}"/>
    <cellStyle name="_CLYDE capex (3953793) 12-18-08_W10315922 A" xfId="1723" xr:uid="{00000000-0005-0000-0000-0000F2060000}"/>
    <cellStyle name="_Consolidated" xfId="1724" xr:uid="{00000000-0005-0000-0000-0000F3060000}"/>
    <cellStyle name="_Consolidated (2)" xfId="1725" xr:uid="{00000000-0005-0000-0000-0000F4060000}"/>
    <cellStyle name="_Consolidated (2) 2" xfId="1726" xr:uid="{00000000-0005-0000-0000-0000F5060000}"/>
    <cellStyle name="_Consolidated (2) 3" xfId="1727" xr:uid="{00000000-0005-0000-0000-0000F6060000}"/>
    <cellStyle name="_Consolidated (2) 4" xfId="1728" xr:uid="{00000000-0005-0000-0000-0000F7060000}"/>
    <cellStyle name="_Consolidated (2) 5" xfId="1729" xr:uid="{00000000-0005-0000-0000-0000F8060000}"/>
    <cellStyle name="_Consolidated (3)" xfId="1730" xr:uid="{00000000-0005-0000-0000-0000F9060000}"/>
    <cellStyle name="_Consolidated (3) 2" xfId="1731" xr:uid="{00000000-0005-0000-0000-0000FA060000}"/>
    <cellStyle name="_Consolidated (3) 3" xfId="1732" xr:uid="{00000000-0005-0000-0000-0000FB060000}"/>
    <cellStyle name="_Consolidated (3) 4" xfId="1733" xr:uid="{00000000-0005-0000-0000-0000FC060000}"/>
    <cellStyle name="_Consolidated (3) 5" xfId="1734" xr:uid="{00000000-0005-0000-0000-0000FD060000}"/>
    <cellStyle name="_Consolidated (4)" xfId="1735" xr:uid="{00000000-0005-0000-0000-0000FE060000}"/>
    <cellStyle name="_Consolidated (4) 2" xfId="1736" xr:uid="{00000000-0005-0000-0000-0000FF060000}"/>
    <cellStyle name="_Consolidated (4) 3" xfId="1737" xr:uid="{00000000-0005-0000-0000-000000070000}"/>
    <cellStyle name="_Consolidated (4) 4" xfId="1738" xr:uid="{00000000-0005-0000-0000-000001070000}"/>
    <cellStyle name="_Consolidated (4) 5" xfId="1739" xr:uid="{00000000-0005-0000-0000-000002070000}"/>
    <cellStyle name="_Consolidated 10" xfId="1740" xr:uid="{00000000-0005-0000-0000-000003070000}"/>
    <cellStyle name="_Consolidated 11" xfId="1741" xr:uid="{00000000-0005-0000-0000-000004070000}"/>
    <cellStyle name="_Consolidated 12" xfId="1742" xr:uid="{00000000-0005-0000-0000-000005070000}"/>
    <cellStyle name="_Consolidated 13" xfId="1743" xr:uid="{00000000-0005-0000-0000-000006070000}"/>
    <cellStyle name="_Consolidated 2" xfId="1744" xr:uid="{00000000-0005-0000-0000-000007070000}"/>
    <cellStyle name="_Consolidated 3" xfId="1745" xr:uid="{00000000-0005-0000-0000-000008070000}"/>
    <cellStyle name="_Consolidated 4" xfId="1746" xr:uid="{00000000-0005-0000-0000-000009070000}"/>
    <cellStyle name="_Consolidated 5" xfId="1747" xr:uid="{00000000-0005-0000-0000-00000A070000}"/>
    <cellStyle name="_Consolidated 6" xfId="1748" xr:uid="{00000000-0005-0000-0000-00000B070000}"/>
    <cellStyle name="_Consolidated 7" xfId="1749" xr:uid="{00000000-0005-0000-0000-00000C070000}"/>
    <cellStyle name="_Consolidated 8" xfId="1750" xr:uid="{00000000-0005-0000-0000-00000D070000}"/>
    <cellStyle name="_Consolidated 9" xfId="1751" xr:uid="{00000000-0005-0000-0000-00000E070000}"/>
    <cellStyle name="_Copper Weight" xfId="1752" xr:uid="{00000000-0005-0000-0000-00000F070000}"/>
    <cellStyle name="_Copper Weight 2" xfId="24684" xr:uid="{00000000-0005-0000-0000-000010070000}"/>
    <cellStyle name="_Copper Weight 3" xfId="24685" xr:uid="{00000000-0005-0000-0000-000011070000}"/>
    <cellStyle name="_Copy of 827-CH" xfId="1753" xr:uid="{00000000-0005-0000-0000-000012070000}"/>
    <cellStyle name="_Copy of 827-CH 2" xfId="1754" xr:uid="{00000000-0005-0000-0000-000013070000}"/>
    <cellStyle name="_Copy of 827-CH 3" xfId="1755" xr:uid="{00000000-0005-0000-0000-000014070000}"/>
    <cellStyle name="_Copy of CLYDE (3396692) 12-19-08" xfId="1756" xr:uid="{00000000-0005-0000-0000-000015070000}"/>
    <cellStyle name="_Copy of CLYDE (3396692) 12-19-08 2" xfId="1757" xr:uid="{00000000-0005-0000-0000-000016070000}"/>
    <cellStyle name="_Copy of CLYDE (3396692) 12-19-08 3" xfId="1758" xr:uid="{00000000-0005-0000-0000-000017070000}"/>
    <cellStyle name="_Copy of CLYDE (3396692) 12-19-08 4" xfId="1759" xr:uid="{00000000-0005-0000-0000-000018070000}"/>
    <cellStyle name="_Copy of CLYDE (3396692) 12-19-08_862-CH" xfId="1760" xr:uid="{00000000-0005-0000-0000-000019070000}"/>
    <cellStyle name="_Copy of CLYDE (3396692) 12-19-08_W10251766 D" xfId="1761" xr:uid="{00000000-0005-0000-0000-00001A070000}"/>
    <cellStyle name="_Copy of CLYDE (3396692) 12-19-08_W10279106 y W10279107 de MR a 56i" xfId="1762" xr:uid="{00000000-0005-0000-0000-00001B070000}"/>
    <cellStyle name="_Copy of CLYDE (3396692) 12-19-08_W10315922 A" xfId="1763" xr:uid="{00000000-0005-0000-0000-00001C070000}"/>
    <cellStyle name="_Copy of Electrolux Canada Enero-16-09 (2)" xfId="1764" xr:uid="{00000000-0005-0000-0000-00001D070000}"/>
    <cellStyle name="_Copy of Electrolux Canada Enero-16-09 (2) 2" xfId="1765" xr:uid="{00000000-0005-0000-0000-00001E070000}"/>
    <cellStyle name="_Copy of Electrolux Canada Enero-16-09 (2) 2 2" xfId="1766" xr:uid="{00000000-0005-0000-0000-00001F070000}"/>
    <cellStyle name="_Copy of Electrolux Canada Enero-16-09 (2) 2 3" xfId="1767" xr:uid="{00000000-0005-0000-0000-000020070000}"/>
    <cellStyle name="_Copy of Electrolux Canada Enero-16-09 (2) 2 4" xfId="1768" xr:uid="{00000000-0005-0000-0000-000021070000}"/>
    <cellStyle name="_Copy of Electrolux Canada Enero-16-09 (2) 3" xfId="1769" xr:uid="{00000000-0005-0000-0000-000022070000}"/>
    <cellStyle name="_Copy of Electrolux Canada Enero-16-09 (2)_862-CH" xfId="1770" xr:uid="{00000000-0005-0000-0000-000023070000}"/>
    <cellStyle name="_Copy of Electrolux Canada Enero-16-09 (2)_SUBARTICO ADD-DEL" xfId="1771" xr:uid="{00000000-0005-0000-0000-000024070000}"/>
    <cellStyle name="_Copy of Electrolux Canada Enero-16-09 (2)_SUBARTICO ADD-DEL 2" xfId="1772" xr:uid="{00000000-0005-0000-0000-000025070000}"/>
    <cellStyle name="_Copy of Electrolux Canada Enero-16-09 (2)_W10251766 D" xfId="1773" xr:uid="{00000000-0005-0000-0000-000026070000}"/>
    <cellStyle name="_Copy of Electrolux Canada Enero-16-09 (2)_W10279106 y W10279107 de MR a 56i" xfId="1774" xr:uid="{00000000-0005-0000-0000-000027070000}"/>
    <cellStyle name="_Copy of Electrolux Canada Enero-16-09 (2)_W10315922 A" xfId="1775" xr:uid="{00000000-0005-0000-0000-000028070000}"/>
    <cellStyle name="_Copy of MABE capex1810G50 G57 G84 " xfId="1776" xr:uid="{00000000-0005-0000-0000-000029070000}"/>
    <cellStyle name="_Copy of MABE capex1810G50 G57 G84  2" xfId="1777" xr:uid="{00000000-0005-0000-0000-00002A070000}"/>
    <cellStyle name="_Copy of MABE capex1810G50 G57 G84  3" xfId="1778" xr:uid="{00000000-0005-0000-0000-00002B070000}"/>
    <cellStyle name="_Copy of MABE capex1810G50 G57 G84  4" xfId="1779" xr:uid="{00000000-0005-0000-0000-00002C070000}"/>
    <cellStyle name="_Copy of MABE capex1810G50 G57 G84  5" xfId="1780" xr:uid="{00000000-0005-0000-0000-00002D070000}"/>
    <cellStyle name="_Cost bom Norcold CA07005 ( 15 Feb 07)1" xfId="1781" xr:uid="{00000000-0005-0000-0000-00002E070000}"/>
    <cellStyle name="_Cost bom Norcold CA07005 ( 15 Feb 07)1 2" xfId="1782" xr:uid="{00000000-0005-0000-0000-00002F070000}"/>
    <cellStyle name="_Cost bom Norcold CA07005 ( 15 Feb 07)1 3" xfId="1783" xr:uid="{00000000-0005-0000-0000-000030070000}"/>
    <cellStyle name="_Cost bom Norcold CA07005 ( 15 Feb 07)1 4" xfId="1784" xr:uid="{00000000-0005-0000-0000-000031070000}"/>
    <cellStyle name="_Cost bom Norcold CA07005 ( 15 Feb 07)1 5" xfId="1785" xr:uid="{00000000-0005-0000-0000-000032070000}"/>
    <cellStyle name="_COST REDUCTION 09 JRZ 1 pm" xfId="1786" xr:uid="{00000000-0005-0000-0000-000033070000}"/>
    <cellStyle name="_COST REDUCTION 09 JRZ 1 pm 2" xfId="1787" xr:uid="{00000000-0005-0000-0000-000034070000}"/>
    <cellStyle name="_COST REDUCTION 09 JRZ 1 pm 3" xfId="1788" xr:uid="{00000000-0005-0000-0000-000035070000}"/>
    <cellStyle name="_COST REDUCTION 09 JRZ 1 pm 4" xfId="1789" xr:uid="{00000000-0005-0000-0000-000036070000}"/>
    <cellStyle name="_COST REDUCTION 09 JRZ 1 pm 5" xfId="1790" xr:uid="{00000000-0005-0000-0000-000037070000}"/>
    <cellStyle name="_Cost Reduction v-plants v2 ultimo" xfId="1791" xr:uid="{00000000-0005-0000-0000-000038070000}"/>
    <cellStyle name="_Cost Reduction v-plants v2 ultimo 2" xfId="1792" xr:uid="{00000000-0005-0000-0000-000039070000}"/>
    <cellStyle name="_Cost Reduction v-plants v2 ultimo 3" xfId="1793" xr:uid="{00000000-0005-0000-0000-00003A070000}"/>
    <cellStyle name="_Cost Reduction v-plants v2 ultimo 4" xfId="1794" xr:uid="{00000000-0005-0000-0000-00003B070000}"/>
    <cellStyle name="_Cost Reduction v-plants v2 ultimo 5" xfId="1795" xr:uid="{00000000-0005-0000-0000-00003C070000}"/>
    <cellStyle name="_CostBOM " xfId="1796" xr:uid="{00000000-0005-0000-0000-00003D070000}"/>
    <cellStyle name="_CostBOM  2" xfId="1797" xr:uid="{00000000-0005-0000-0000-00003E070000}"/>
    <cellStyle name="_CostBOM  3" xfId="1798" xr:uid="{00000000-0005-0000-0000-00003F070000}"/>
    <cellStyle name="_CostBOM  4" xfId="1799" xr:uid="{00000000-0005-0000-0000-000040070000}"/>
    <cellStyle name="_CostBOM  5" xfId="1800" xr:uid="{00000000-0005-0000-0000-000041070000}"/>
    <cellStyle name="_CostBOM CA06006" xfId="1801" xr:uid="{00000000-0005-0000-0000-000042070000}"/>
    <cellStyle name="_CostBOM CA06006 2" xfId="1802" xr:uid="{00000000-0005-0000-0000-000043070000}"/>
    <cellStyle name="_CostBOM CA06006 3" xfId="1803" xr:uid="{00000000-0005-0000-0000-000044070000}"/>
    <cellStyle name="_CostBOM CA06006 4" xfId="1804" xr:uid="{00000000-0005-0000-0000-000045070000}"/>
    <cellStyle name="_CostBOM CA06006 5" xfId="1805" xr:uid="{00000000-0005-0000-0000-000046070000}"/>
    <cellStyle name="_CostBOM CA06031" xfId="1806" xr:uid="{00000000-0005-0000-0000-000047070000}"/>
    <cellStyle name="_CostBOM CA06031 2" xfId="1807" xr:uid="{00000000-0005-0000-0000-000048070000}"/>
    <cellStyle name="_CostBOM CA06031 3" xfId="1808" xr:uid="{00000000-0005-0000-0000-000049070000}"/>
    <cellStyle name="_CostBOM CA06031 4" xfId="1809" xr:uid="{00000000-0005-0000-0000-00004A070000}"/>
    <cellStyle name="_CostBOM CA06031 5" xfId="1810" xr:uid="{00000000-0005-0000-0000-00004B070000}"/>
    <cellStyle name="_CostBOM for CA05103aa" xfId="1811" xr:uid="{00000000-0005-0000-0000-00004C070000}"/>
    <cellStyle name="_CostBOM for CA05103aa 2" xfId="1812" xr:uid="{00000000-0005-0000-0000-00004D070000}"/>
    <cellStyle name="_CostBOM for CA05103aa 3" xfId="1813" xr:uid="{00000000-0005-0000-0000-00004E070000}"/>
    <cellStyle name="_CostBOM for CA05103aa 4" xfId="1814" xr:uid="{00000000-0005-0000-0000-00004F070000}"/>
    <cellStyle name="_CostBOM for CA05103aa 5" xfId="1815" xr:uid="{00000000-0005-0000-0000-000050070000}"/>
    <cellStyle name="_CostBOM-CA04046" xfId="1816" xr:uid="{00000000-0005-0000-0000-000051070000}"/>
    <cellStyle name="_CostBOM-CA04046 2" xfId="1817" xr:uid="{00000000-0005-0000-0000-000052070000}"/>
    <cellStyle name="_CostBOM-CA04046 2 2" xfId="24686" xr:uid="{00000000-0005-0000-0000-000053070000}"/>
    <cellStyle name="_CostBOM-CA04046 2 2 2" xfId="24687" xr:uid="{00000000-0005-0000-0000-000054070000}"/>
    <cellStyle name="_CostBOM-CA04046 2 2 3" xfId="24688" xr:uid="{00000000-0005-0000-0000-000055070000}"/>
    <cellStyle name="_CostBOM-CA04046 2 3" xfId="24689" xr:uid="{00000000-0005-0000-0000-000056070000}"/>
    <cellStyle name="_CostBOM-CA04046 2 4" xfId="24690" xr:uid="{00000000-0005-0000-0000-000057070000}"/>
    <cellStyle name="_CostBOM-CA04046 3" xfId="1818" xr:uid="{00000000-0005-0000-0000-000058070000}"/>
    <cellStyle name="_CostBOM-CA04046 3 2" xfId="24691" xr:uid="{00000000-0005-0000-0000-000059070000}"/>
    <cellStyle name="_CostBOM-CA04046 3 2 2" xfId="24692" xr:uid="{00000000-0005-0000-0000-00005A070000}"/>
    <cellStyle name="_CostBOM-CA04046 3 2 3" xfId="24693" xr:uid="{00000000-0005-0000-0000-00005B070000}"/>
    <cellStyle name="_CostBOM-CA04046 3 3" xfId="24694" xr:uid="{00000000-0005-0000-0000-00005C070000}"/>
    <cellStyle name="_CostBOM-CA04046 3 4" xfId="24695" xr:uid="{00000000-0005-0000-0000-00005D070000}"/>
    <cellStyle name="_CostBOM-CA04046 4" xfId="1819" xr:uid="{00000000-0005-0000-0000-00005E070000}"/>
    <cellStyle name="_CostBOM-CA04046 4 2" xfId="24696" xr:uid="{00000000-0005-0000-0000-00005F070000}"/>
    <cellStyle name="_CostBOM-CA04046 4 2 2" xfId="24697" xr:uid="{00000000-0005-0000-0000-000060070000}"/>
    <cellStyle name="_CostBOM-CA04046 4 2 3" xfId="24698" xr:uid="{00000000-0005-0000-0000-000061070000}"/>
    <cellStyle name="_CostBOM-CA04046 4 3" xfId="24699" xr:uid="{00000000-0005-0000-0000-000062070000}"/>
    <cellStyle name="_CostBOM-CA04046 4 4" xfId="24700" xr:uid="{00000000-0005-0000-0000-000063070000}"/>
    <cellStyle name="_CostBOM-CA04046 5" xfId="1820" xr:uid="{00000000-0005-0000-0000-000064070000}"/>
    <cellStyle name="_CostBOM-CA04046 5 2" xfId="24701" xr:uid="{00000000-0005-0000-0000-000065070000}"/>
    <cellStyle name="_CostBOM-CA04046 5 2 2" xfId="24702" xr:uid="{00000000-0005-0000-0000-000066070000}"/>
    <cellStyle name="_CostBOM-CA04046 5 2 3" xfId="24703" xr:uid="{00000000-0005-0000-0000-000067070000}"/>
    <cellStyle name="_CostBOM-CA04046 5 3" xfId="24704" xr:uid="{00000000-0005-0000-0000-000068070000}"/>
    <cellStyle name="_CostBOM-CA04046 5 4" xfId="24705" xr:uid="{00000000-0005-0000-0000-000069070000}"/>
    <cellStyle name="_CostBOM-CA04046 6" xfId="1821" xr:uid="{00000000-0005-0000-0000-00006A070000}"/>
    <cellStyle name="_CostBOM-CA04046 6 2" xfId="24706" xr:uid="{00000000-0005-0000-0000-00006B070000}"/>
    <cellStyle name="_CostBOM-CA04046 6 3" xfId="24707" xr:uid="{00000000-0005-0000-0000-00006C070000}"/>
    <cellStyle name="_CostBOM-CA04046 7" xfId="1822" xr:uid="{00000000-0005-0000-0000-00006D070000}"/>
    <cellStyle name="_CostBOM-CA04046 8" xfId="1823" xr:uid="{00000000-0005-0000-0000-00006E070000}"/>
    <cellStyle name="_CostBOM-CA04046_SUBARTICO ADD-DEL" xfId="1824" xr:uid="{00000000-0005-0000-0000-00006F070000}"/>
    <cellStyle name="_CostBOM-CA04046_SUBARTICO ADD-DEL 2" xfId="1825" xr:uid="{00000000-0005-0000-0000-000070070000}"/>
    <cellStyle name="_CRITICAL-CHIH1-oct4" xfId="1826" xr:uid="{00000000-0005-0000-0000-000071070000}"/>
    <cellStyle name="_CRITICAL-CHIH1-oct4 2" xfId="1827" xr:uid="{00000000-0005-0000-0000-000072070000}"/>
    <cellStyle name="_CRITICAL-CHIH1-oct4 3" xfId="1828" xr:uid="{00000000-0005-0000-0000-000073070000}"/>
    <cellStyle name="_CRITICAL-CHIH1-oct4 4" xfId="1829" xr:uid="{00000000-0005-0000-0000-000074070000}"/>
    <cellStyle name="_CRITICAL-CHIH1-oct4 5" xfId="1830" xr:uid="{00000000-0005-0000-0000-000075070000}"/>
    <cellStyle name="_CST cargar" xfId="1831" xr:uid="{00000000-0005-0000-0000-000076070000}"/>
    <cellStyle name="_CST cargar 2" xfId="1832" xr:uid="{00000000-0005-0000-0000-000077070000}"/>
    <cellStyle name="_CST cargar 3" xfId="24708" xr:uid="{00000000-0005-0000-0000-000078070000}"/>
    <cellStyle name="_Delorean project" xfId="1833" xr:uid="{00000000-0005-0000-0000-000079070000}"/>
    <cellStyle name="_Delorean project 2" xfId="1834" xr:uid="{00000000-0005-0000-0000-00007A070000}"/>
    <cellStyle name="_Delorean project 3" xfId="24709" xr:uid="{00000000-0005-0000-0000-00007B070000}"/>
    <cellStyle name="_E  Canada Ago-06-08" xfId="1835" xr:uid="{00000000-0005-0000-0000-00007C070000}"/>
    <cellStyle name="_E  Canada Ago-06-08 2" xfId="1836" xr:uid="{00000000-0005-0000-0000-00007D070000}"/>
    <cellStyle name="_E  Canada Ago-06-08 2 2" xfId="1837" xr:uid="{00000000-0005-0000-0000-00007E070000}"/>
    <cellStyle name="_E  Canada Ago-06-08 2 3" xfId="1838" xr:uid="{00000000-0005-0000-0000-00007F070000}"/>
    <cellStyle name="_E  Canada Ago-06-08 2 4" xfId="1839" xr:uid="{00000000-0005-0000-0000-000080070000}"/>
    <cellStyle name="_E  Canada Ago-06-08 3" xfId="1840" xr:uid="{00000000-0005-0000-0000-000081070000}"/>
    <cellStyle name="_E  Canada Ago-06-08_862-CH" xfId="1841" xr:uid="{00000000-0005-0000-0000-000082070000}"/>
    <cellStyle name="_E  Canada Ago-06-08_BSHNC151 (RFQ EE4509)" xfId="1842" xr:uid="{00000000-0005-0000-0000-000083070000}"/>
    <cellStyle name="_E  Canada Ago-06-08_BSHNC151 (RFQ EE4509) 2" xfId="1843" xr:uid="{00000000-0005-0000-0000-000084070000}"/>
    <cellStyle name="_E  Canada Ago-06-08_BSHNC162 (RFQ EE5409)1" xfId="1844" xr:uid="{00000000-0005-0000-0000-000085070000}"/>
    <cellStyle name="_E  Canada Ago-06-08_BSHNC162 (RFQ EE5409)1 2" xfId="1845" xr:uid="{00000000-0005-0000-0000-000086070000}"/>
    <cellStyle name="_E  Canada Ago-06-08_ESTIMATED ARES-10 PACKAGE 25NOV" xfId="1846" xr:uid="{00000000-0005-0000-0000-000087070000}"/>
    <cellStyle name="_E  Canada Ago-06-08_ESTIMATED ARES-10 PACKAGE 25NOV 2" xfId="1847" xr:uid="{00000000-0005-0000-0000-000088070000}"/>
    <cellStyle name="_E  Canada Ago-06-08_ESTIMATED ARES-10 PACKAGE 25NOV 3" xfId="24710" xr:uid="{00000000-0005-0000-0000-000089070000}"/>
    <cellStyle name="_E  Canada Ago-06-08_ESTIMATED ARES-10 PACKAGE 25NOV_SUBARTICO ADD-DEL" xfId="1848" xr:uid="{00000000-0005-0000-0000-00008A070000}"/>
    <cellStyle name="_E  Canada Ago-06-08_ESTIMATED ARES-10 PACKAGE 25NOV_SUBARTICO ADD-DEL 2" xfId="1849" xr:uid="{00000000-0005-0000-0000-00008B070000}"/>
    <cellStyle name="_E  Canada Ago-06-08_SUBARTICO ADD-DEL" xfId="1850" xr:uid="{00000000-0005-0000-0000-00008C070000}"/>
    <cellStyle name="_E  Canada Ago-06-08_SUBARTICO ADD-DEL 2" xfId="1851" xr:uid="{00000000-0005-0000-0000-00008D070000}"/>
    <cellStyle name="_E  Canada Ago-06-08_W10251766 D" xfId="1852" xr:uid="{00000000-0005-0000-0000-00008E070000}"/>
    <cellStyle name="_E  Canada Ago-06-08_W10279106 y W10279107 de MR a 56i" xfId="1853" xr:uid="{00000000-0005-0000-0000-00008F070000}"/>
    <cellStyle name="_E  Canada Ago-06-08_W10315922 A" xfId="1854" xr:uid="{00000000-0005-0000-0000-000090070000}"/>
    <cellStyle name="_E  Canada Ago-06-08_WC cleveland con spreadshet" xfId="1855" xr:uid="{00000000-0005-0000-0000-000091070000}"/>
    <cellStyle name="_E  Canada Ago-06-08_WC cleveland con spreadshet 2" xfId="1856" xr:uid="{00000000-0005-0000-0000-000092070000}"/>
    <cellStyle name="_E  Canada Ago-06-08_WC cleveland con spreadshet 3" xfId="24711" xr:uid="{00000000-0005-0000-0000-000093070000}"/>
    <cellStyle name="_E  Canada Ago-06-08_WC cleveland con spreadshet_SUBARTICO ADD-DEL" xfId="1857" xr:uid="{00000000-0005-0000-0000-000094070000}"/>
    <cellStyle name="_E  Canada Ago-06-08_WC cleveland con spreadshet_SUBARTICO ADD-DEL 2" xfId="1858" xr:uid="{00000000-0005-0000-0000-000095070000}"/>
    <cellStyle name="_E  Canada Ago-27-08" xfId="1859" xr:uid="{00000000-0005-0000-0000-000096070000}"/>
    <cellStyle name="_E  Canada Ago-27-08 2" xfId="1860" xr:uid="{00000000-0005-0000-0000-000097070000}"/>
    <cellStyle name="_E  Canada Ago-27-08 2 2" xfId="1861" xr:uid="{00000000-0005-0000-0000-000098070000}"/>
    <cellStyle name="_E  Canada Ago-27-08 2 3" xfId="1862" xr:uid="{00000000-0005-0000-0000-000099070000}"/>
    <cellStyle name="_E  Canada Ago-27-08 2 4" xfId="1863" xr:uid="{00000000-0005-0000-0000-00009A070000}"/>
    <cellStyle name="_E  Canada Ago-27-08 3" xfId="1864" xr:uid="{00000000-0005-0000-0000-00009B070000}"/>
    <cellStyle name="_E  Canada Ago-27-08_862-CH" xfId="1865" xr:uid="{00000000-0005-0000-0000-00009C070000}"/>
    <cellStyle name="_E  Canada Ago-27-08_BSHNC151 (RFQ EE4509)" xfId="1866" xr:uid="{00000000-0005-0000-0000-00009D070000}"/>
    <cellStyle name="_E  Canada Ago-27-08_BSHNC151 (RFQ EE4509) 2" xfId="1867" xr:uid="{00000000-0005-0000-0000-00009E070000}"/>
    <cellStyle name="_E  Canada Ago-27-08_BSHNC162 (RFQ EE5409)1" xfId="1868" xr:uid="{00000000-0005-0000-0000-00009F070000}"/>
    <cellStyle name="_E  Canada Ago-27-08_BSHNC162 (RFQ EE5409)1 2" xfId="1869" xr:uid="{00000000-0005-0000-0000-0000A0070000}"/>
    <cellStyle name="_E  Canada Ago-27-08_ESTIMATED ARES-10 PACKAGE 25NOV" xfId="1870" xr:uid="{00000000-0005-0000-0000-0000A1070000}"/>
    <cellStyle name="_E  Canada Ago-27-08_ESTIMATED ARES-10 PACKAGE 25NOV 2" xfId="1871" xr:uid="{00000000-0005-0000-0000-0000A2070000}"/>
    <cellStyle name="_E  Canada Ago-27-08_ESTIMATED ARES-10 PACKAGE 25NOV 3" xfId="24712" xr:uid="{00000000-0005-0000-0000-0000A3070000}"/>
    <cellStyle name="_E  Canada Ago-27-08_ESTIMATED ARES-10 PACKAGE 25NOV_SUBARTICO ADD-DEL" xfId="1872" xr:uid="{00000000-0005-0000-0000-0000A4070000}"/>
    <cellStyle name="_E  Canada Ago-27-08_ESTIMATED ARES-10 PACKAGE 25NOV_SUBARTICO ADD-DEL 2" xfId="1873" xr:uid="{00000000-0005-0000-0000-0000A5070000}"/>
    <cellStyle name="_E  Canada Ago-27-08_SUBARTICO ADD-DEL" xfId="1874" xr:uid="{00000000-0005-0000-0000-0000A6070000}"/>
    <cellStyle name="_E  Canada Ago-27-08_SUBARTICO ADD-DEL 2" xfId="1875" xr:uid="{00000000-0005-0000-0000-0000A7070000}"/>
    <cellStyle name="_E  Canada Ago-27-08_W10251766 D" xfId="1876" xr:uid="{00000000-0005-0000-0000-0000A8070000}"/>
    <cellStyle name="_E  Canada Ago-27-08_W10279106 y W10279107 de MR a 56i" xfId="1877" xr:uid="{00000000-0005-0000-0000-0000A9070000}"/>
    <cellStyle name="_E  Canada Ago-27-08_W10315922 A" xfId="1878" xr:uid="{00000000-0005-0000-0000-0000AA070000}"/>
    <cellStyle name="_E  Canada Ago-27-08_WC cleveland con spreadshet" xfId="1879" xr:uid="{00000000-0005-0000-0000-0000AB070000}"/>
    <cellStyle name="_E  Canada Ago-27-08_WC cleveland con spreadshet 2" xfId="1880" xr:uid="{00000000-0005-0000-0000-0000AC070000}"/>
    <cellStyle name="_E  Canada Ago-27-08_WC cleveland con spreadshet 3" xfId="24713" xr:uid="{00000000-0005-0000-0000-0000AD070000}"/>
    <cellStyle name="_E  Canada Ago-27-08_WC cleveland con spreadshet_SUBARTICO ADD-DEL" xfId="1881" xr:uid="{00000000-0005-0000-0000-0000AE070000}"/>
    <cellStyle name="_E  Canada Ago-27-08_WC cleveland con spreadshet_SUBARTICO ADD-DEL 2" xfId="1882" xr:uid="{00000000-0005-0000-0000-0000AF070000}"/>
    <cellStyle name="_E  Canada Dic-04-08" xfId="1883" xr:uid="{00000000-0005-0000-0000-0000B0070000}"/>
    <cellStyle name="_E  Canada Dic-04-08 10" xfId="1884" xr:uid="{00000000-0005-0000-0000-0000B1070000}"/>
    <cellStyle name="_E  Canada Dic-04-08 10 2" xfId="1885" xr:uid="{00000000-0005-0000-0000-0000B2070000}"/>
    <cellStyle name="_E  Canada Dic-04-08 10 3" xfId="1886" xr:uid="{00000000-0005-0000-0000-0000B3070000}"/>
    <cellStyle name="_E  Canada Dic-04-08 10 4" xfId="1887" xr:uid="{00000000-0005-0000-0000-0000B4070000}"/>
    <cellStyle name="_E  Canada Dic-04-08 2" xfId="1888" xr:uid="{00000000-0005-0000-0000-0000B5070000}"/>
    <cellStyle name="_E  Canada Dic-04-08 2 2" xfId="1889" xr:uid="{00000000-0005-0000-0000-0000B6070000}"/>
    <cellStyle name="_E  Canada Dic-04-08 2 3" xfId="1890" xr:uid="{00000000-0005-0000-0000-0000B7070000}"/>
    <cellStyle name="_E  Canada Dic-04-08 2 4" xfId="1891" xr:uid="{00000000-0005-0000-0000-0000B8070000}"/>
    <cellStyle name="_E  Canada Dic-04-08 2 5" xfId="1892" xr:uid="{00000000-0005-0000-0000-0000B9070000}"/>
    <cellStyle name="_E  Canada Dic-04-08 2_SUBARTICO ADD-DEL" xfId="1893" xr:uid="{00000000-0005-0000-0000-0000BA070000}"/>
    <cellStyle name="_E  Canada Dic-04-08 2_SUBARTICO ADD-DEL 2" xfId="1894" xr:uid="{00000000-0005-0000-0000-0000BB070000}"/>
    <cellStyle name="_E  Canada Dic-04-08 3" xfId="1895" xr:uid="{00000000-0005-0000-0000-0000BC070000}"/>
    <cellStyle name="_E  Canada Dic-04-08 3 2" xfId="1896" xr:uid="{00000000-0005-0000-0000-0000BD070000}"/>
    <cellStyle name="_E  Canada Dic-04-08 3 3" xfId="1897" xr:uid="{00000000-0005-0000-0000-0000BE070000}"/>
    <cellStyle name="_E  Canada Dic-04-08 3 4" xfId="1898" xr:uid="{00000000-0005-0000-0000-0000BF070000}"/>
    <cellStyle name="_E  Canada Dic-04-08 3 5" xfId="1899" xr:uid="{00000000-0005-0000-0000-0000C0070000}"/>
    <cellStyle name="_E  Canada Dic-04-08 3_SUBARTICO ADD-DEL" xfId="1900" xr:uid="{00000000-0005-0000-0000-0000C1070000}"/>
    <cellStyle name="_E  Canada Dic-04-08 3_SUBARTICO ADD-DEL 2" xfId="1901" xr:uid="{00000000-0005-0000-0000-0000C2070000}"/>
    <cellStyle name="_E  Canada Dic-04-08 4" xfId="1902" xr:uid="{00000000-0005-0000-0000-0000C3070000}"/>
    <cellStyle name="_E  Canada Dic-04-08 4 2" xfId="1903" xr:uid="{00000000-0005-0000-0000-0000C4070000}"/>
    <cellStyle name="_E  Canada Dic-04-08 4 3" xfId="1904" xr:uid="{00000000-0005-0000-0000-0000C5070000}"/>
    <cellStyle name="_E  Canada Dic-04-08 4 4" xfId="1905" xr:uid="{00000000-0005-0000-0000-0000C6070000}"/>
    <cellStyle name="_E  Canada Dic-04-08 4 5" xfId="1906" xr:uid="{00000000-0005-0000-0000-0000C7070000}"/>
    <cellStyle name="_E  Canada Dic-04-08 4_SUBARTICO ADD-DEL" xfId="1907" xr:uid="{00000000-0005-0000-0000-0000C8070000}"/>
    <cellStyle name="_E  Canada Dic-04-08 4_SUBARTICO ADD-DEL 2" xfId="1908" xr:uid="{00000000-0005-0000-0000-0000C9070000}"/>
    <cellStyle name="_E  Canada Dic-04-08 5" xfId="1909" xr:uid="{00000000-0005-0000-0000-0000CA070000}"/>
    <cellStyle name="_E  Canada Dic-04-08 5 2" xfId="1910" xr:uid="{00000000-0005-0000-0000-0000CB070000}"/>
    <cellStyle name="_E  Canada Dic-04-08 5 3" xfId="1911" xr:uid="{00000000-0005-0000-0000-0000CC070000}"/>
    <cellStyle name="_E  Canada Dic-04-08 5 4" xfId="1912" xr:uid="{00000000-0005-0000-0000-0000CD070000}"/>
    <cellStyle name="_E  Canada Dic-04-08 5 5" xfId="1913" xr:uid="{00000000-0005-0000-0000-0000CE070000}"/>
    <cellStyle name="_E  Canada Dic-04-08 5_SUBARTICO ADD-DEL" xfId="1914" xr:uid="{00000000-0005-0000-0000-0000CF070000}"/>
    <cellStyle name="_E  Canada Dic-04-08 5_SUBARTICO ADD-DEL 2" xfId="1915" xr:uid="{00000000-0005-0000-0000-0000D0070000}"/>
    <cellStyle name="_E  Canada Dic-04-08 6" xfId="1916" xr:uid="{00000000-0005-0000-0000-0000D1070000}"/>
    <cellStyle name="_E  Canada Dic-04-08 6 2" xfId="1917" xr:uid="{00000000-0005-0000-0000-0000D2070000}"/>
    <cellStyle name="_E  Canada Dic-04-08 6 3" xfId="1918" xr:uid="{00000000-0005-0000-0000-0000D3070000}"/>
    <cellStyle name="_E  Canada Dic-04-08 6 4" xfId="1919" xr:uid="{00000000-0005-0000-0000-0000D4070000}"/>
    <cellStyle name="_E  Canada Dic-04-08 6 5" xfId="1920" xr:uid="{00000000-0005-0000-0000-0000D5070000}"/>
    <cellStyle name="_E  Canada Dic-04-08 6_SUBARTICO ADD-DEL" xfId="1921" xr:uid="{00000000-0005-0000-0000-0000D6070000}"/>
    <cellStyle name="_E  Canada Dic-04-08 6_SUBARTICO ADD-DEL 2" xfId="1922" xr:uid="{00000000-0005-0000-0000-0000D7070000}"/>
    <cellStyle name="_E  Canada Dic-04-08 7" xfId="1923" xr:uid="{00000000-0005-0000-0000-0000D8070000}"/>
    <cellStyle name="_E  Canada Dic-04-08 7 2" xfId="1924" xr:uid="{00000000-0005-0000-0000-0000D9070000}"/>
    <cellStyle name="_E  Canada Dic-04-08 7 3" xfId="1925" xr:uid="{00000000-0005-0000-0000-0000DA070000}"/>
    <cellStyle name="_E  Canada Dic-04-08 7 4" xfId="1926" xr:uid="{00000000-0005-0000-0000-0000DB070000}"/>
    <cellStyle name="_E  Canada Dic-04-08 7 5" xfId="1927" xr:uid="{00000000-0005-0000-0000-0000DC070000}"/>
    <cellStyle name="_E  Canada Dic-04-08 7_SUBARTICO ADD-DEL" xfId="1928" xr:uid="{00000000-0005-0000-0000-0000DD070000}"/>
    <cellStyle name="_E  Canada Dic-04-08 7_SUBARTICO ADD-DEL 2" xfId="1929" xr:uid="{00000000-0005-0000-0000-0000DE070000}"/>
    <cellStyle name="_E  Canada Dic-04-08 8" xfId="1930" xr:uid="{00000000-0005-0000-0000-0000DF070000}"/>
    <cellStyle name="_E  Canada Dic-04-08 8 2" xfId="1931" xr:uid="{00000000-0005-0000-0000-0000E0070000}"/>
    <cellStyle name="_E  Canada Dic-04-08 8 3" xfId="1932" xr:uid="{00000000-0005-0000-0000-0000E1070000}"/>
    <cellStyle name="_E  Canada Dic-04-08 8 4" xfId="1933" xr:uid="{00000000-0005-0000-0000-0000E2070000}"/>
    <cellStyle name="_E  Canada Dic-04-08 8 5" xfId="1934" xr:uid="{00000000-0005-0000-0000-0000E3070000}"/>
    <cellStyle name="_E  Canada Dic-04-08 8_SUBARTICO ADD-DEL" xfId="1935" xr:uid="{00000000-0005-0000-0000-0000E4070000}"/>
    <cellStyle name="_E  Canada Dic-04-08 8_SUBARTICO ADD-DEL 2" xfId="1936" xr:uid="{00000000-0005-0000-0000-0000E5070000}"/>
    <cellStyle name="_E  Canada Dic-04-08 9" xfId="1937" xr:uid="{00000000-0005-0000-0000-0000E6070000}"/>
    <cellStyle name="_E  Canada Dic-04-08 9 2" xfId="1938" xr:uid="{00000000-0005-0000-0000-0000E7070000}"/>
    <cellStyle name="_E  Canada Dic-04-08 9 3" xfId="1939" xr:uid="{00000000-0005-0000-0000-0000E8070000}"/>
    <cellStyle name="_E  Canada Dic-04-08 9 4" xfId="1940" xr:uid="{00000000-0005-0000-0000-0000E9070000}"/>
    <cellStyle name="_E  Canada Dic-04-08 9 5" xfId="1941" xr:uid="{00000000-0005-0000-0000-0000EA070000}"/>
    <cellStyle name="_E  Canada Dic-04-08 9_SUBARTICO ADD-DEL" xfId="1942" xr:uid="{00000000-0005-0000-0000-0000EB070000}"/>
    <cellStyle name="_E  Canada Dic-04-08 9_SUBARTICO ADD-DEL 2" xfId="1943" xr:uid="{00000000-0005-0000-0000-0000EC070000}"/>
    <cellStyle name="_E  Canada Dic-04-08_862-CH" xfId="1944" xr:uid="{00000000-0005-0000-0000-0000ED070000}"/>
    <cellStyle name="_E  Canada Dic-04-08_BSHNC162 (RFQ EE5409)1" xfId="1945" xr:uid="{00000000-0005-0000-0000-0000EE070000}"/>
    <cellStyle name="_E  Canada Dic-04-08_BSHNC162 (RFQ EE5409)1 2" xfId="1946" xr:uid="{00000000-0005-0000-0000-0000EF070000}"/>
    <cellStyle name="_E  Canada Dic-04-08_Ec-2376 to 2379 Add-del 318402413 2414 2374 318394491" xfId="1947" xr:uid="{00000000-0005-0000-0000-0000F0070000}"/>
    <cellStyle name="_E  Canada Dic-04-08_Ec-2376 to 2379 Add-del 318402413 2414 2374 318394491 2" xfId="1948" xr:uid="{00000000-0005-0000-0000-0000F1070000}"/>
    <cellStyle name="_E  Canada Dic-04-08_Ec-2376 to 2379 Add-del 318402413 2414 2374 318394491 3" xfId="1949" xr:uid="{00000000-0005-0000-0000-0000F2070000}"/>
    <cellStyle name="_E  Canada Dic-04-08_Ec-2376 to 2379 Add-del 318402413 2414 2374 318394491 4" xfId="1950" xr:uid="{00000000-0005-0000-0000-0000F3070000}"/>
    <cellStyle name="_E  Canada Dic-04-08_Ec-2376 to 2379 Add-del 318402413 2414 2374 318394491 5" xfId="1951" xr:uid="{00000000-0005-0000-0000-0000F4070000}"/>
    <cellStyle name="_E  Canada Dic-04-08_Ec-2376 to 2379 Add-del 318402413 2414 2374 318394491_SUBARTICO ADD-DEL" xfId="1952" xr:uid="{00000000-0005-0000-0000-0000F5070000}"/>
    <cellStyle name="_E  Canada Dic-04-08_Ec-2376 to 2379 Add-del 318402413 2414 2374 318394491_SUBARTICO ADD-DEL 2" xfId="1953" xr:uid="{00000000-0005-0000-0000-0000F6070000}"/>
    <cellStyle name="_E  Canada Dic-04-08_ESTIMATED ARES-10 PACKAGE 25NOV" xfId="1954" xr:uid="{00000000-0005-0000-0000-0000F7070000}"/>
    <cellStyle name="_E  Canada Dic-04-08_ESTIMATED ARES-10 PACKAGE 25NOV 2" xfId="1955" xr:uid="{00000000-0005-0000-0000-0000F8070000}"/>
    <cellStyle name="_E  Canada Dic-04-08_ESTIMATED ARES-10 PACKAGE 25NOV 3" xfId="24714" xr:uid="{00000000-0005-0000-0000-0000F9070000}"/>
    <cellStyle name="_E  Canada Dic-04-08_ESTIMATED ARES-10 PACKAGE 25NOV_SUBARTICO ADD-DEL" xfId="1956" xr:uid="{00000000-0005-0000-0000-0000FA070000}"/>
    <cellStyle name="_E  Canada Dic-04-08_ESTIMATED ARES-10 PACKAGE 25NOV_SUBARTICO ADD-DEL 2" xfId="1957" xr:uid="{00000000-0005-0000-0000-0000FB070000}"/>
    <cellStyle name="_E  Canada Dic-04-08_SUBARTICO ADD-DEL" xfId="1958" xr:uid="{00000000-0005-0000-0000-0000FC070000}"/>
    <cellStyle name="_E  Canada Dic-04-08_SUBARTICO ADD-DEL 2" xfId="1959" xr:uid="{00000000-0005-0000-0000-0000FD070000}"/>
    <cellStyle name="_E  Canada Dic-04-08_W10251766 D" xfId="1960" xr:uid="{00000000-0005-0000-0000-0000FE070000}"/>
    <cellStyle name="_E  Canada Dic-04-08_W10279106 y W10279107 de MR a 56i" xfId="1961" xr:uid="{00000000-0005-0000-0000-0000FF070000}"/>
    <cellStyle name="_E  Canada Dic-04-08_W10315922 A" xfId="1962" xr:uid="{00000000-0005-0000-0000-000000080000}"/>
    <cellStyle name="_E  Canada Dic-04-08_WC cleveland con spreadshet" xfId="1963" xr:uid="{00000000-0005-0000-0000-000001080000}"/>
    <cellStyle name="_E  Canada Dic-04-08_WC cleveland con spreadshet 2" xfId="1964" xr:uid="{00000000-0005-0000-0000-000002080000}"/>
    <cellStyle name="_E  Canada Dic-04-08_WC cleveland con spreadshet 3" xfId="24715" xr:uid="{00000000-0005-0000-0000-000003080000}"/>
    <cellStyle name="_E  Canada Dic-04-08_WC cleveland con spreadshet_SUBARTICO ADD-DEL" xfId="1965" xr:uid="{00000000-0005-0000-0000-000004080000}"/>
    <cellStyle name="_E  Canada Dic-04-08_WC cleveland con spreadshet_SUBARTICO ADD-DEL 2" xfId="1966" xr:uid="{00000000-0005-0000-0000-000005080000}"/>
    <cellStyle name="_E  Canada Dic-18-08" xfId="1967" xr:uid="{00000000-0005-0000-0000-000006080000}"/>
    <cellStyle name="_E  Canada Dic-18-08 10" xfId="1968" xr:uid="{00000000-0005-0000-0000-000007080000}"/>
    <cellStyle name="_E  Canada Dic-18-08 10 2" xfId="1969" xr:uid="{00000000-0005-0000-0000-000008080000}"/>
    <cellStyle name="_E  Canada Dic-18-08 10 3" xfId="1970" xr:uid="{00000000-0005-0000-0000-000009080000}"/>
    <cellStyle name="_E  Canada Dic-18-08 10 4" xfId="1971" xr:uid="{00000000-0005-0000-0000-00000A080000}"/>
    <cellStyle name="_E  Canada Dic-18-08 2" xfId="1972" xr:uid="{00000000-0005-0000-0000-00000B080000}"/>
    <cellStyle name="_E  Canada Dic-18-08 2 2" xfId="1973" xr:uid="{00000000-0005-0000-0000-00000C080000}"/>
    <cellStyle name="_E  Canada Dic-18-08 2 3" xfId="1974" xr:uid="{00000000-0005-0000-0000-00000D080000}"/>
    <cellStyle name="_E  Canada Dic-18-08 2 4" xfId="1975" xr:uid="{00000000-0005-0000-0000-00000E080000}"/>
    <cellStyle name="_E  Canada Dic-18-08 2 5" xfId="1976" xr:uid="{00000000-0005-0000-0000-00000F080000}"/>
    <cellStyle name="_E  Canada Dic-18-08 2_SUBARTICO ADD-DEL" xfId="1977" xr:uid="{00000000-0005-0000-0000-000010080000}"/>
    <cellStyle name="_E  Canada Dic-18-08 2_SUBARTICO ADD-DEL 2" xfId="1978" xr:uid="{00000000-0005-0000-0000-000011080000}"/>
    <cellStyle name="_E  Canada Dic-18-08 3" xfId="1979" xr:uid="{00000000-0005-0000-0000-000012080000}"/>
    <cellStyle name="_E  Canada Dic-18-08 3 2" xfId="1980" xr:uid="{00000000-0005-0000-0000-000013080000}"/>
    <cellStyle name="_E  Canada Dic-18-08 3 3" xfId="1981" xr:uid="{00000000-0005-0000-0000-000014080000}"/>
    <cellStyle name="_E  Canada Dic-18-08 3 4" xfId="1982" xr:uid="{00000000-0005-0000-0000-000015080000}"/>
    <cellStyle name="_E  Canada Dic-18-08 3 5" xfId="1983" xr:uid="{00000000-0005-0000-0000-000016080000}"/>
    <cellStyle name="_E  Canada Dic-18-08 3_SUBARTICO ADD-DEL" xfId="1984" xr:uid="{00000000-0005-0000-0000-000017080000}"/>
    <cellStyle name="_E  Canada Dic-18-08 3_SUBARTICO ADD-DEL 2" xfId="1985" xr:uid="{00000000-0005-0000-0000-000018080000}"/>
    <cellStyle name="_E  Canada Dic-18-08 4" xfId="1986" xr:uid="{00000000-0005-0000-0000-000019080000}"/>
    <cellStyle name="_E  Canada Dic-18-08 4 2" xfId="1987" xr:uid="{00000000-0005-0000-0000-00001A080000}"/>
    <cellStyle name="_E  Canada Dic-18-08 4 3" xfId="1988" xr:uid="{00000000-0005-0000-0000-00001B080000}"/>
    <cellStyle name="_E  Canada Dic-18-08 4 4" xfId="1989" xr:uid="{00000000-0005-0000-0000-00001C080000}"/>
    <cellStyle name="_E  Canada Dic-18-08 4 5" xfId="1990" xr:uid="{00000000-0005-0000-0000-00001D080000}"/>
    <cellStyle name="_E  Canada Dic-18-08 4_SUBARTICO ADD-DEL" xfId="1991" xr:uid="{00000000-0005-0000-0000-00001E080000}"/>
    <cellStyle name="_E  Canada Dic-18-08 4_SUBARTICO ADD-DEL 2" xfId="1992" xr:uid="{00000000-0005-0000-0000-00001F080000}"/>
    <cellStyle name="_E  Canada Dic-18-08 5" xfId="1993" xr:uid="{00000000-0005-0000-0000-000020080000}"/>
    <cellStyle name="_E  Canada Dic-18-08 5 2" xfId="1994" xr:uid="{00000000-0005-0000-0000-000021080000}"/>
    <cellStyle name="_E  Canada Dic-18-08 5 3" xfId="1995" xr:uid="{00000000-0005-0000-0000-000022080000}"/>
    <cellStyle name="_E  Canada Dic-18-08 5 4" xfId="1996" xr:uid="{00000000-0005-0000-0000-000023080000}"/>
    <cellStyle name="_E  Canada Dic-18-08 5 5" xfId="1997" xr:uid="{00000000-0005-0000-0000-000024080000}"/>
    <cellStyle name="_E  Canada Dic-18-08 5_SUBARTICO ADD-DEL" xfId="1998" xr:uid="{00000000-0005-0000-0000-000025080000}"/>
    <cellStyle name="_E  Canada Dic-18-08 5_SUBARTICO ADD-DEL 2" xfId="1999" xr:uid="{00000000-0005-0000-0000-000026080000}"/>
    <cellStyle name="_E  Canada Dic-18-08 6" xfId="2000" xr:uid="{00000000-0005-0000-0000-000027080000}"/>
    <cellStyle name="_E  Canada Dic-18-08 6 2" xfId="2001" xr:uid="{00000000-0005-0000-0000-000028080000}"/>
    <cellStyle name="_E  Canada Dic-18-08 6 3" xfId="2002" xr:uid="{00000000-0005-0000-0000-000029080000}"/>
    <cellStyle name="_E  Canada Dic-18-08 6 4" xfId="2003" xr:uid="{00000000-0005-0000-0000-00002A080000}"/>
    <cellStyle name="_E  Canada Dic-18-08 6 5" xfId="2004" xr:uid="{00000000-0005-0000-0000-00002B080000}"/>
    <cellStyle name="_E  Canada Dic-18-08 6_SUBARTICO ADD-DEL" xfId="2005" xr:uid="{00000000-0005-0000-0000-00002C080000}"/>
    <cellStyle name="_E  Canada Dic-18-08 6_SUBARTICO ADD-DEL 2" xfId="2006" xr:uid="{00000000-0005-0000-0000-00002D080000}"/>
    <cellStyle name="_E  Canada Dic-18-08 7" xfId="2007" xr:uid="{00000000-0005-0000-0000-00002E080000}"/>
    <cellStyle name="_E  Canada Dic-18-08 7 2" xfId="2008" xr:uid="{00000000-0005-0000-0000-00002F080000}"/>
    <cellStyle name="_E  Canada Dic-18-08 7 3" xfId="2009" xr:uid="{00000000-0005-0000-0000-000030080000}"/>
    <cellStyle name="_E  Canada Dic-18-08 7 4" xfId="2010" xr:uid="{00000000-0005-0000-0000-000031080000}"/>
    <cellStyle name="_E  Canada Dic-18-08 7 5" xfId="2011" xr:uid="{00000000-0005-0000-0000-000032080000}"/>
    <cellStyle name="_E  Canada Dic-18-08 7_SUBARTICO ADD-DEL" xfId="2012" xr:uid="{00000000-0005-0000-0000-000033080000}"/>
    <cellStyle name="_E  Canada Dic-18-08 7_SUBARTICO ADD-DEL 2" xfId="2013" xr:uid="{00000000-0005-0000-0000-000034080000}"/>
    <cellStyle name="_E  Canada Dic-18-08 8" xfId="2014" xr:uid="{00000000-0005-0000-0000-000035080000}"/>
    <cellStyle name="_E  Canada Dic-18-08 8 2" xfId="2015" xr:uid="{00000000-0005-0000-0000-000036080000}"/>
    <cellStyle name="_E  Canada Dic-18-08 8 3" xfId="2016" xr:uid="{00000000-0005-0000-0000-000037080000}"/>
    <cellStyle name="_E  Canada Dic-18-08 8 4" xfId="2017" xr:uid="{00000000-0005-0000-0000-000038080000}"/>
    <cellStyle name="_E  Canada Dic-18-08 8 5" xfId="2018" xr:uid="{00000000-0005-0000-0000-000039080000}"/>
    <cellStyle name="_E  Canada Dic-18-08 8_SUBARTICO ADD-DEL" xfId="2019" xr:uid="{00000000-0005-0000-0000-00003A080000}"/>
    <cellStyle name="_E  Canada Dic-18-08 8_SUBARTICO ADD-DEL 2" xfId="2020" xr:uid="{00000000-0005-0000-0000-00003B080000}"/>
    <cellStyle name="_E  Canada Dic-18-08 9" xfId="2021" xr:uid="{00000000-0005-0000-0000-00003C080000}"/>
    <cellStyle name="_E  Canada Dic-18-08 9 2" xfId="2022" xr:uid="{00000000-0005-0000-0000-00003D080000}"/>
    <cellStyle name="_E  Canada Dic-18-08 9 3" xfId="2023" xr:uid="{00000000-0005-0000-0000-00003E080000}"/>
    <cellStyle name="_E  Canada Dic-18-08 9 4" xfId="2024" xr:uid="{00000000-0005-0000-0000-00003F080000}"/>
    <cellStyle name="_E  Canada Dic-18-08 9 5" xfId="2025" xr:uid="{00000000-0005-0000-0000-000040080000}"/>
    <cellStyle name="_E  Canada Dic-18-08 9_SUBARTICO ADD-DEL" xfId="2026" xr:uid="{00000000-0005-0000-0000-000041080000}"/>
    <cellStyle name="_E  Canada Dic-18-08 9_SUBARTICO ADD-DEL 2" xfId="2027" xr:uid="{00000000-0005-0000-0000-000042080000}"/>
    <cellStyle name="_E  Canada Dic-18-08_862-CH" xfId="2028" xr:uid="{00000000-0005-0000-0000-000043080000}"/>
    <cellStyle name="_E  Canada Dic-18-08_BSHNC162 (RFQ EE5409)1" xfId="2029" xr:uid="{00000000-0005-0000-0000-000044080000}"/>
    <cellStyle name="_E  Canada Dic-18-08_BSHNC162 (RFQ EE5409)1 2" xfId="2030" xr:uid="{00000000-0005-0000-0000-000045080000}"/>
    <cellStyle name="_E  Canada Dic-18-08_Ec-2376 to 2379 Add-del 318402413 2414 2374 318394491" xfId="2031" xr:uid="{00000000-0005-0000-0000-000046080000}"/>
    <cellStyle name="_E  Canada Dic-18-08_Ec-2376 to 2379 Add-del 318402413 2414 2374 318394491 2" xfId="2032" xr:uid="{00000000-0005-0000-0000-000047080000}"/>
    <cellStyle name="_E  Canada Dic-18-08_Ec-2376 to 2379 Add-del 318402413 2414 2374 318394491 3" xfId="2033" xr:uid="{00000000-0005-0000-0000-000048080000}"/>
    <cellStyle name="_E  Canada Dic-18-08_Ec-2376 to 2379 Add-del 318402413 2414 2374 318394491 4" xfId="2034" xr:uid="{00000000-0005-0000-0000-000049080000}"/>
    <cellStyle name="_E  Canada Dic-18-08_Ec-2376 to 2379 Add-del 318402413 2414 2374 318394491 5" xfId="2035" xr:uid="{00000000-0005-0000-0000-00004A080000}"/>
    <cellStyle name="_E  Canada Dic-18-08_Ec-2376 to 2379 Add-del 318402413 2414 2374 318394491_SUBARTICO ADD-DEL" xfId="2036" xr:uid="{00000000-0005-0000-0000-00004B080000}"/>
    <cellStyle name="_E  Canada Dic-18-08_Ec-2376 to 2379 Add-del 318402413 2414 2374 318394491_SUBARTICO ADD-DEL 2" xfId="2037" xr:uid="{00000000-0005-0000-0000-00004C080000}"/>
    <cellStyle name="_E  Canada Dic-18-08_ESTIMATED ARES-10 PACKAGE 25NOV" xfId="2038" xr:uid="{00000000-0005-0000-0000-00004D080000}"/>
    <cellStyle name="_E  Canada Dic-18-08_ESTIMATED ARES-10 PACKAGE 25NOV 2" xfId="2039" xr:uid="{00000000-0005-0000-0000-00004E080000}"/>
    <cellStyle name="_E  Canada Dic-18-08_ESTIMATED ARES-10 PACKAGE 25NOV 3" xfId="24716" xr:uid="{00000000-0005-0000-0000-00004F080000}"/>
    <cellStyle name="_E  Canada Dic-18-08_ESTIMATED ARES-10 PACKAGE 25NOV_SUBARTICO ADD-DEL" xfId="2040" xr:uid="{00000000-0005-0000-0000-000050080000}"/>
    <cellStyle name="_E  Canada Dic-18-08_ESTIMATED ARES-10 PACKAGE 25NOV_SUBARTICO ADD-DEL 2" xfId="2041" xr:uid="{00000000-0005-0000-0000-000051080000}"/>
    <cellStyle name="_E  Canada Dic-18-08_SUBARTICO ADD-DEL" xfId="2042" xr:uid="{00000000-0005-0000-0000-000052080000}"/>
    <cellStyle name="_E  Canada Dic-18-08_SUBARTICO ADD-DEL 2" xfId="2043" xr:uid="{00000000-0005-0000-0000-000053080000}"/>
    <cellStyle name="_E  Canada Dic-18-08_W10251766 D" xfId="2044" xr:uid="{00000000-0005-0000-0000-000054080000}"/>
    <cellStyle name="_E  Canada Dic-18-08_W10279106 y W10279107 de MR a 56i" xfId="2045" xr:uid="{00000000-0005-0000-0000-000055080000}"/>
    <cellStyle name="_E  Canada Dic-18-08_W10315922 A" xfId="2046" xr:uid="{00000000-0005-0000-0000-000056080000}"/>
    <cellStyle name="_E  Canada Dic-18-08_WC cleveland con spreadshet" xfId="2047" xr:uid="{00000000-0005-0000-0000-000057080000}"/>
    <cellStyle name="_E  Canada Dic-18-08_WC cleveland con spreadshet 2" xfId="2048" xr:uid="{00000000-0005-0000-0000-000058080000}"/>
    <cellStyle name="_E  Canada Dic-18-08_WC cleveland con spreadshet 3" xfId="24717" xr:uid="{00000000-0005-0000-0000-000059080000}"/>
    <cellStyle name="_E  Canada Dic-18-08_WC cleveland con spreadshet_SUBARTICO ADD-DEL" xfId="2049" xr:uid="{00000000-0005-0000-0000-00005A080000}"/>
    <cellStyle name="_E  Canada Dic-18-08_WC cleveland con spreadshet_SUBARTICO ADD-DEL 2" xfId="2050" xr:uid="{00000000-0005-0000-0000-00005B080000}"/>
    <cellStyle name="_E  Canada Jul-03-08" xfId="2051" xr:uid="{00000000-0005-0000-0000-00005C080000}"/>
    <cellStyle name="_E  Canada Jul-03-08 10" xfId="2052" xr:uid="{00000000-0005-0000-0000-00005D080000}"/>
    <cellStyle name="_E  Canada Jul-03-08 10 2" xfId="2053" xr:uid="{00000000-0005-0000-0000-00005E080000}"/>
    <cellStyle name="_E  Canada Jul-03-08 10 3" xfId="2054" xr:uid="{00000000-0005-0000-0000-00005F080000}"/>
    <cellStyle name="_E  Canada Jul-03-08 10 4" xfId="2055" xr:uid="{00000000-0005-0000-0000-000060080000}"/>
    <cellStyle name="_E  Canada Jul-03-08 2" xfId="2056" xr:uid="{00000000-0005-0000-0000-000061080000}"/>
    <cellStyle name="_E  Canada Jul-03-08 2 2" xfId="2057" xr:uid="{00000000-0005-0000-0000-000062080000}"/>
    <cellStyle name="_E  Canada Jul-03-08 2 3" xfId="2058" xr:uid="{00000000-0005-0000-0000-000063080000}"/>
    <cellStyle name="_E  Canada Jul-03-08 2 4" xfId="2059" xr:uid="{00000000-0005-0000-0000-000064080000}"/>
    <cellStyle name="_E  Canada Jul-03-08 2 5" xfId="2060" xr:uid="{00000000-0005-0000-0000-000065080000}"/>
    <cellStyle name="_E  Canada Jul-03-08 2_SUBARTICO ADD-DEL" xfId="2061" xr:uid="{00000000-0005-0000-0000-000066080000}"/>
    <cellStyle name="_E  Canada Jul-03-08 2_SUBARTICO ADD-DEL 2" xfId="2062" xr:uid="{00000000-0005-0000-0000-000067080000}"/>
    <cellStyle name="_E  Canada Jul-03-08 3" xfId="2063" xr:uid="{00000000-0005-0000-0000-000068080000}"/>
    <cellStyle name="_E  Canada Jul-03-08 3 2" xfId="2064" xr:uid="{00000000-0005-0000-0000-000069080000}"/>
    <cellStyle name="_E  Canada Jul-03-08 3 3" xfId="2065" xr:uid="{00000000-0005-0000-0000-00006A080000}"/>
    <cellStyle name="_E  Canada Jul-03-08 3 4" xfId="2066" xr:uid="{00000000-0005-0000-0000-00006B080000}"/>
    <cellStyle name="_E  Canada Jul-03-08 3 5" xfId="2067" xr:uid="{00000000-0005-0000-0000-00006C080000}"/>
    <cellStyle name="_E  Canada Jul-03-08 3_SUBARTICO ADD-DEL" xfId="2068" xr:uid="{00000000-0005-0000-0000-00006D080000}"/>
    <cellStyle name="_E  Canada Jul-03-08 3_SUBARTICO ADD-DEL 2" xfId="2069" xr:uid="{00000000-0005-0000-0000-00006E080000}"/>
    <cellStyle name="_E  Canada Jul-03-08 4" xfId="2070" xr:uid="{00000000-0005-0000-0000-00006F080000}"/>
    <cellStyle name="_E  Canada Jul-03-08 4 2" xfId="2071" xr:uid="{00000000-0005-0000-0000-000070080000}"/>
    <cellStyle name="_E  Canada Jul-03-08 4 3" xfId="2072" xr:uid="{00000000-0005-0000-0000-000071080000}"/>
    <cellStyle name="_E  Canada Jul-03-08 4 4" xfId="2073" xr:uid="{00000000-0005-0000-0000-000072080000}"/>
    <cellStyle name="_E  Canada Jul-03-08 4 5" xfId="2074" xr:uid="{00000000-0005-0000-0000-000073080000}"/>
    <cellStyle name="_E  Canada Jul-03-08 4_SUBARTICO ADD-DEL" xfId="2075" xr:uid="{00000000-0005-0000-0000-000074080000}"/>
    <cellStyle name="_E  Canada Jul-03-08 4_SUBARTICO ADD-DEL 2" xfId="2076" xr:uid="{00000000-0005-0000-0000-000075080000}"/>
    <cellStyle name="_E  Canada Jul-03-08 5" xfId="2077" xr:uid="{00000000-0005-0000-0000-000076080000}"/>
    <cellStyle name="_E  Canada Jul-03-08 5 2" xfId="2078" xr:uid="{00000000-0005-0000-0000-000077080000}"/>
    <cellStyle name="_E  Canada Jul-03-08 5 3" xfId="2079" xr:uid="{00000000-0005-0000-0000-000078080000}"/>
    <cellStyle name="_E  Canada Jul-03-08 5 4" xfId="2080" xr:uid="{00000000-0005-0000-0000-000079080000}"/>
    <cellStyle name="_E  Canada Jul-03-08 5 5" xfId="2081" xr:uid="{00000000-0005-0000-0000-00007A080000}"/>
    <cellStyle name="_E  Canada Jul-03-08 5_SUBARTICO ADD-DEL" xfId="2082" xr:uid="{00000000-0005-0000-0000-00007B080000}"/>
    <cellStyle name="_E  Canada Jul-03-08 5_SUBARTICO ADD-DEL 2" xfId="2083" xr:uid="{00000000-0005-0000-0000-00007C080000}"/>
    <cellStyle name="_E  Canada Jul-03-08 6" xfId="2084" xr:uid="{00000000-0005-0000-0000-00007D080000}"/>
    <cellStyle name="_E  Canada Jul-03-08 6 2" xfId="2085" xr:uid="{00000000-0005-0000-0000-00007E080000}"/>
    <cellStyle name="_E  Canada Jul-03-08 6 3" xfId="2086" xr:uid="{00000000-0005-0000-0000-00007F080000}"/>
    <cellStyle name="_E  Canada Jul-03-08 6 4" xfId="2087" xr:uid="{00000000-0005-0000-0000-000080080000}"/>
    <cellStyle name="_E  Canada Jul-03-08 6 5" xfId="2088" xr:uid="{00000000-0005-0000-0000-000081080000}"/>
    <cellStyle name="_E  Canada Jul-03-08 6_SUBARTICO ADD-DEL" xfId="2089" xr:uid="{00000000-0005-0000-0000-000082080000}"/>
    <cellStyle name="_E  Canada Jul-03-08 6_SUBARTICO ADD-DEL 2" xfId="2090" xr:uid="{00000000-0005-0000-0000-000083080000}"/>
    <cellStyle name="_E  Canada Jul-03-08 7" xfId="2091" xr:uid="{00000000-0005-0000-0000-000084080000}"/>
    <cellStyle name="_E  Canada Jul-03-08 7 2" xfId="2092" xr:uid="{00000000-0005-0000-0000-000085080000}"/>
    <cellStyle name="_E  Canada Jul-03-08 7 3" xfId="2093" xr:uid="{00000000-0005-0000-0000-000086080000}"/>
    <cellStyle name="_E  Canada Jul-03-08 7 4" xfId="2094" xr:uid="{00000000-0005-0000-0000-000087080000}"/>
    <cellStyle name="_E  Canada Jul-03-08 7 5" xfId="2095" xr:uid="{00000000-0005-0000-0000-000088080000}"/>
    <cellStyle name="_E  Canada Jul-03-08 7_SUBARTICO ADD-DEL" xfId="2096" xr:uid="{00000000-0005-0000-0000-000089080000}"/>
    <cellStyle name="_E  Canada Jul-03-08 7_SUBARTICO ADD-DEL 2" xfId="2097" xr:uid="{00000000-0005-0000-0000-00008A080000}"/>
    <cellStyle name="_E  Canada Jul-03-08 8" xfId="2098" xr:uid="{00000000-0005-0000-0000-00008B080000}"/>
    <cellStyle name="_E  Canada Jul-03-08 8 2" xfId="2099" xr:uid="{00000000-0005-0000-0000-00008C080000}"/>
    <cellStyle name="_E  Canada Jul-03-08 8 3" xfId="2100" xr:uid="{00000000-0005-0000-0000-00008D080000}"/>
    <cellStyle name="_E  Canada Jul-03-08 8 4" xfId="2101" xr:uid="{00000000-0005-0000-0000-00008E080000}"/>
    <cellStyle name="_E  Canada Jul-03-08 8 5" xfId="2102" xr:uid="{00000000-0005-0000-0000-00008F080000}"/>
    <cellStyle name="_E  Canada Jul-03-08 8_SUBARTICO ADD-DEL" xfId="2103" xr:uid="{00000000-0005-0000-0000-000090080000}"/>
    <cellStyle name="_E  Canada Jul-03-08 8_SUBARTICO ADD-DEL 2" xfId="2104" xr:uid="{00000000-0005-0000-0000-000091080000}"/>
    <cellStyle name="_E  Canada Jul-03-08 9" xfId="2105" xr:uid="{00000000-0005-0000-0000-000092080000}"/>
    <cellStyle name="_E  Canada Jul-03-08 9 2" xfId="2106" xr:uid="{00000000-0005-0000-0000-000093080000}"/>
    <cellStyle name="_E  Canada Jul-03-08 9 3" xfId="2107" xr:uid="{00000000-0005-0000-0000-000094080000}"/>
    <cellStyle name="_E  Canada Jul-03-08 9 4" xfId="2108" xr:uid="{00000000-0005-0000-0000-000095080000}"/>
    <cellStyle name="_E  Canada Jul-03-08 9 5" xfId="2109" xr:uid="{00000000-0005-0000-0000-000096080000}"/>
    <cellStyle name="_E  Canada Jul-03-08 9_SUBARTICO ADD-DEL" xfId="2110" xr:uid="{00000000-0005-0000-0000-000097080000}"/>
    <cellStyle name="_E  Canada Jul-03-08 9_SUBARTICO ADD-DEL 2" xfId="2111" xr:uid="{00000000-0005-0000-0000-000098080000}"/>
    <cellStyle name="_E  Canada Jul-03-08_862-CH" xfId="2112" xr:uid="{00000000-0005-0000-0000-000099080000}"/>
    <cellStyle name="_E  Canada Jul-03-08_BSHNC151 (RFQ EE4509)" xfId="2113" xr:uid="{00000000-0005-0000-0000-00009A080000}"/>
    <cellStyle name="_E  Canada Jul-03-08_BSHNC151 (RFQ EE4509) 2" xfId="2114" xr:uid="{00000000-0005-0000-0000-00009B080000}"/>
    <cellStyle name="_E  Canada Jul-03-08_BSHNC162 (RFQ EE5409)1" xfId="2115" xr:uid="{00000000-0005-0000-0000-00009C080000}"/>
    <cellStyle name="_E  Canada Jul-03-08_BSHNC162 (RFQ EE5409)1 2" xfId="2116" xr:uid="{00000000-0005-0000-0000-00009D080000}"/>
    <cellStyle name="_E  Canada Jul-03-08_Ec-2376 to 2379 Add-del 318402413 2414 2374 318394491" xfId="2117" xr:uid="{00000000-0005-0000-0000-00009E080000}"/>
    <cellStyle name="_E  Canada Jul-03-08_Ec-2376 to 2379 Add-del 318402413 2414 2374 318394491 2" xfId="2118" xr:uid="{00000000-0005-0000-0000-00009F080000}"/>
    <cellStyle name="_E  Canada Jul-03-08_Ec-2376 to 2379 Add-del 318402413 2414 2374 318394491 3" xfId="2119" xr:uid="{00000000-0005-0000-0000-0000A0080000}"/>
    <cellStyle name="_E  Canada Jul-03-08_Ec-2376 to 2379 Add-del 318402413 2414 2374 318394491 4" xfId="2120" xr:uid="{00000000-0005-0000-0000-0000A1080000}"/>
    <cellStyle name="_E  Canada Jul-03-08_Ec-2376 to 2379 Add-del 318402413 2414 2374 318394491 5" xfId="2121" xr:uid="{00000000-0005-0000-0000-0000A2080000}"/>
    <cellStyle name="_E  Canada Jul-03-08_Ec-2376 to 2379 Add-del 318402413 2414 2374 318394491_SUBARTICO ADD-DEL" xfId="2122" xr:uid="{00000000-0005-0000-0000-0000A3080000}"/>
    <cellStyle name="_E  Canada Jul-03-08_Ec-2376 to 2379 Add-del 318402413 2414 2374 318394491_SUBARTICO ADD-DEL 2" xfId="2123" xr:uid="{00000000-0005-0000-0000-0000A4080000}"/>
    <cellStyle name="_E  Canada Jul-03-08_ESTIMATED ARES-10 PACKAGE 25NOV" xfId="2124" xr:uid="{00000000-0005-0000-0000-0000A5080000}"/>
    <cellStyle name="_E  Canada Jul-03-08_ESTIMATED ARES-10 PACKAGE 25NOV 2" xfId="2125" xr:uid="{00000000-0005-0000-0000-0000A6080000}"/>
    <cellStyle name="_E  Canada Jul-03-08_ESTIMATED ARES-10 PACKAGE 25NOV 3" xfId="24718" xr:uid="{00000000-0005-0000-0000-0000A7080000}"/>
    <cellStyle name="_E  Canada Jul-03-08_ESTIMATED ARES-10 PACKAGE 25NOV_SUBARTICO ADD-DEL" xfId="2126" xr:uid="{00000000-0005-0000-0000-0000A8080000}"/>
    <cellStyle name="_E  Canada Jul-03-08_ESTIMATED ARES-10 PACKAGE 25NOV_SUBARTICO ADD-DEL 2" xfId="2127" xr:uid="{00000000-0005-0000-0000-0000A9080000}"/>
    <cellStyle name="_E  Canada Jul-03-08_SUBARTICO ADD-DEL" xfId="2128" xr:uid="{00000000-0005-0000-0000-0000AA080000}"/>
    <cellStyle name="_E  Canada Jul-03-08_SUBARTICO ADD-DEL 2" xfId="2129" xr:uid="{00000000-0005-0000-0000-0000AB080000}"/>
    <cellStyle name="_E  Canada Jul-03-08_W10251766 D" xfId="2130" xr:uid="{00000000-0005-0000-0000-0000AC080000}"/>
    <cellStyle name="_E  Canada Jul-03-08_W10279106 y W10279107 de MR a 56i" xfId="2131" xr:uid="{00000000-0005-0000-0000-0000AD080000}"/>
    <cellStyle name="_E  Canada Jul-03-08_W10315922 A" xfId="2132" xr:uid="{00000000-0005-0000-0000-0000AE080000}"/>
    <cellStyle name="_E  Canada Jul-03-08_WC cleveland con spreadshet" xfId="2133" xr:uid="{00000000-0005-0000-0000-0000AF080000}"/>
    <cellStyle name="_E  Canada Jul-03-08_WC cleveland con spreadshet 2" xfId="2134" xr:uid="{00000000-0005-0000-0000-0000B0080000}"/>
    <cellStyle name="_E  Canada Jul-03-08_WC cleveland con spreadshet 3" xfId="24719" xr:uid="{00000000-0005-0000-0000-0000B1080000}"/>
    <cellStyle name="_E  Canada Jul-03-08_WC cleveland con spreadshet_SUBARTICO ADD-DEL" xfId="2135" xr:uid="{00000000-0005-0000-0000-0000B2080000}"/>
    <cellStyle name="_E  Canada Jul-03-08_WC cleveland con spreadshet_SUBARTICO ADD-DEL 2" xfId="2136" xr:uid="{00000000-0005-0000-0000-0000B3080000}"/>
    <cellStyle name="_E  Canada Jul-09-08" xfId="2137" xr:uid="{00000000-0005-0000-0000-0000B4080000}"/>
    <cellStyle name="_E  Canada Jul-09-08 10" xfId="2138" xr:uid="{00000000-0005-0000-0000-0000B5080000}"/>
    <cellStyle name="_E  Canada Jul-09-08 10 2" xfId="2139" xr:uid="{00000000-0005-0000-0000-0000B6080000}"/>
    <cellStyle name="_E  Canada Jul-09-08 10 3" xfId="2140" xr:uid="{00000000-0005-0000-0000-0000B7080000}"/>
    <cellStyle name="_E  Canada Jul-09-08 10 4" xfId="2141" xr:uid="{00000000-0005-0000-0000-0000B8080000}"/>
    <cellStyle name="_E  Canada Jul-09-08 2" xfId="2142" xr:uid="{00000000-0005-0000-0000-0000B9080000}"/>
    <cellStyle name="_E  Canada Jul-09-08 2 2" xfId="2143" xr:uid="{00000000-0005-0000-0000-0000BA080000}"/>
    <cellStyle name="_E  Canada Jul-09-08 2 3" xfId="2144" xr:uid="{00000000-0005-0000-0000-0000BB080000}"/>
    <cellStyle name="_E  Canada Jul-09-08 2 4" xfId="2145" xr:uid="{00000000-0005-0000-0000-0000BC080000}"/>
    <cellStyle name="_E  Canada Jul-09-08 2 5" xfId="2146" xr:uid="{00000000-0005-0000-0000-0000BD080000}"/>
    <cellStyle name="_E  Canada Jul-09-08 2_SUBARTICO ADD-DEL" xfId="2147" xr:uid="{00000000-0005-0000-0000-0000BE080000}"/>
    <cellStyle name="_E  Canada Jul-09-08 2_SUBARTICO ADD-DEL 2" xfId="2148" xr:uid="{00000000-0005-0000-0000-0000BF080000}"/>
    <cellStyle name="_E  Canada Jul-09-08 3" xfId="2149" xr:uid="{00000000-0005-0000-0000-0000C0080000}"/>
    <cellStyle name="_E  Canada Jul-09-08 3 2" xfId="2150" xr:uid="{00000000-0005-0000-0000-0000C1080000}"/>
    <cellStyle name="_E  Canada Jul-09-08 3 3" xfId="2151" xr:uid="{00000000-0005-0000-0000-0000C2080000}"/>
    <cellStyle name="_E  Canada Jul-09-08 3 4" xfId="2152" xr:uid="{00000000-0005-0000-0000-0000C3080000}"/>
    <cellStyle name="_E  Canada Jul-09-08 3 5" xfId="2153" xr:uid="{00000000-0005-0000-0000-0000C4080000}"/>
    <cellStyle name="_E  Canada Jul-09-08 3_SUBARTICO ADD-DEL" xfId="2154" xr:uid="{00000000-0005-0000-0000-0000C5080000}"/>
    <cellStyle name="_E  Canada Jul-09-08 3_SUBARTICO ADD-DEL 2" xfId="2155" xr:uid="{00000000-0005-0000-0000-0000C6080000}"/>
    <cellStyle name="_E  Canada Jul-09-08 4" xfId="2156" xr:uid="{00000000-0005-0000-0000-0000C7080000}"/>
    <cellStyle name="_E  Canada Jul-09-08 4 2" xfId="2157" xr:uid="{00000000-0005-0000-0000-0000C8080000}"/>
    <cellStyle name="_E  Canada Jul-09-08 4 3" xfId="2158" xr:uid="{00000000-0005-0000-0000-0000C9080000}"/>
    <cellStyle name="_E  Canada Jul-09-08 4 4" xfId="2159" xr:uid="{00000000-0005-0000-0000-0000CA080000}"/>
    <cellStyle name="_E  Canada Jul-09-08 4 5" xfId="2160" xr:uid="{00000000-0005-0000-0000-0000CB080000}"/>
    <cellStyle name="_E  Canada Jul-09-08 4_SUBARTICO ADD-DEL" xfId="2161" xr:uid="{00000000-0005-0000-0000-0000CC080000}"/>
    <cellStyle name="_E  Canada Jul-09-08 4_SUBARTICO ADD-DEL 2" xfId="2162" xr:uid="{00000000-0005-0000-0000-0000CD080000}"/>
    <cellStyle name="_E  Canada Jul-09-08 5" xfId="2163" xr:uid="{00000000-0005-0000-0000-0000CE080000}"/>
    <cellStyle name="_E  Canada Jul-09-08 5 2" xfId="2164" xr:uid="{00000000-0005-0000-0000-0000CF080000}"/>
    <cellStyle name="_E  Canada Jul-09-08 5 3" xfId="2165" xr:uid="{00000000-0005-0000-0000-0000D0080000}"/>
    <cellStyle name="_E  Canada Jul-09-08 5 4" xfId="2166" xr:uid="{00000000-0005-0000-0000-0000D1080000}"/>
    <cellStyle name="_E  Canada Jul-09-08 5 5" xfId="2167" xr:uid="{00000000-0005-0000-0000-0000D2080000}"/>
    <cellStyle name="_E  Canada Jul-09-08 5_SUBARTICO ADD-DEL" xfId="2168" xr:uid="{00000000-0005-0000-0000-0000D3080000}"/>
    <cellStyle name="_E  Canada Jul-09-08 5_SUBARTICO ADD-DEL 2" xfId="2169" xr:uid="{00000000-0005-0000-0000-0000D4080000}"/>
    <cellStyle name="_E  Canada Jul-09-08 6" xfId="2170" xr:uid="{00000000-0005-0000-0000-0000D5080000}"/>
    <cellStyle name="_E  Canada Jul-09-08 6 2" xfId="2171" xr:uid="{00000000-0005-0000-0000-0000D6080000}"/>
    <cellStyle name="_E  Canada Jul-09-08 6 3" xfId="2172" xr:uid="{00000000-0005-0000-0000-0000D7080000}"/>
    <cellStyle name="_E  Canada Jul-09-08 6 4" xfId="2173" xr:uid="{00000000-0005-0000-0000-0000D8080000}"/>
    <cellStyle name="_E  Canada Jul-09-08 6 5" xfId="2174" xr:uid="{00000000-0005-0000-0000-0000D9080000}"/>
    <cellStyle name="_E  Canada Jul-09-08 6_SUBARTICO ADD-DEL" xfId="2175" xr:uid="{00000000-0005-0000-0000-0000DA080000}"/>
    <cellStyle name="_E  Canada Jul-09-08 6_SUBARTICO ADD-DEL 2" xfId="2176" xr:uid="{00000000-0005-0000-0000-0000DB080000}"/>
    <cellStyle name="_E  Canada Jul-09-08 7" xfId="2177" xr:uid="{00000000-0005-0000-0000-0000DC080000}"/>
    <cellStyle name="_E  Canada Jul-09-08 7 2" xfId="2178" xr:uid="{00000000-0005-0000-0000-0000DD080000}"/>
    <cellStyle name="_E  Canada Jul-09-08 7 3" xfId="2179" xr:uid="{00000000-0005-0000-0000-0000DE080000}"/>
    <cellStyle name="_E  Canada Jul-09-08 7 4" xfId="2180" xr:uid="{00000000-0005-0000-0000-0000DF080000}"/>
    <cellStyle name="_E  Canada Jul-09-08 7 5" xfId="2181" xr:uid="{00000000-0005-0000-0000-0000E0080000}"/>
    <cellStyle name="_E  Canada Jul-09-08 7_SUBARTICO ADD-DEL" xfId="2182" xr:uid="{00000000-0005-0000-0000-0000E1080000}"/>
    <cellStyle name="_E  Canada Jul-09-08 7_SUBARTICO ADD-DEL 2" xfId="2183" xr:uid="{00000000-0005-0000-0000-0000E2080000}"/>
    <cellStyle name="_E  Canada Jul-09-08 8" xfId="2184" xr:uid="{00000000-0005-0000-0000-0000E3080000}"/>
    <cellStyle name="_E  Canada Jul-09-08 8 2" xfId="2185" xr:uid="{00000000-0005-0000-0000-0000E4080000}"/>
    <cellStyle name="_E  Canada Jul-09-08 8 3" xfId="2186" xr:uid="{00000000-0005-0000-0000-0000E5080000}"/>
    <cellStyle name="_E  Canada Jul-09-08 8 4" xfId="2187" xr:uid="{00000000-0005-0000-0000-0000E6080000}"/>
    <cellStyle name="_E  Canada Jul-09-08 8 5" xfId="2188" xr:uid="{00000000-0005-0000-0000-0000E7080000}"/>
    <cellStyle name="_E  Canada Jul-09-08 8_SUBARTICO ADD-DEL" xfId="2189" xr:uid="{00000000-0005-0000-0000-0000E8080000}"/>
    <cellStyle name="_E  Canada Jul-09-08 8_SUBARTICO ADD-DEL 2" xfId="2190" xr:uid="{00000000-0005-0000-0000-0000E9080000}"/>
    <cellStyle name="_E  Canada Jul-09-08 9" xfId="2191" xr:uid="{00000000-0005-0000-0000-0000EA080000}"/>
    <cellStyle name="_E  Canada Jul-09-08 9 2" xfId="2192" xr:uid="{00000000-0005-0000-0000-0000EB080000}"/>
    <cellStyle name="_E  Canada Jul-09-08 9 3" xfId="2193" xr:uid="{00000000-0005-0000-0000-0000EC080000}"/>
    <cellStyle name="_E  Canada Jul-09-08 9 4" xfId="2194" xr:uid="{00000000-0005-0000-0000-0000ED080000}"/>
    <cellStyle name="_E  Canada Jul-09-08 9 5" xfId="2195" xr:uid="{00000000-0005-0000-0000-0000EE080000}"/>
    <cellStyle name="_E  Canada Jul-09-08 9_SUBARTICO ADD-DEL" xfId="2196" xr:uid="{00000000-0005-0000-0000-0000EF080000}"/>
    <cellStyle name="_E  Canada Jul-09-08 9_SUBARTICO ADD-DEL 2" xfId="2197" xr:uid="{00000000-0005-0000-0000-0000F0080000}"/>
    <cellStyle name="_E  Canada Jul-09-08_862-CH" xfId="2198" xr:uid="{00000000-0005-0000-0000-0000F1080000}"/>
    <cellStyle name="_E  Canada Jul-09-08_BSHNC151 (RFQ EE4509)" xfId="2199" xr:uid="{00000000-0005-0000-0000-0000F2080000}"/>
    <cellStyle name="_E  Canada Jul-09-08_BSHNC151 (RFQ EE4509) 2" xfId="2200" xr:uid="{00000000-0005-0000-0000-0000F3080000}"/>
    <cellStyle name="_E  Canada Jul-09-08_BSHNC162 (RFQ EE5409)1" xfId="2201" xr:uid="{00000000-0005-0000-0000-0000F4080000}"/>
    <cellStyle name="_E  Canada Jul-09-08_BSHNC162 (RFQ EE5409)1 2" xfId="2202" xr:uid="{00000000-0005-0000-0000-0000F5080000}"/>
    <cellStyle name="_E  Canada Jul-09-08_Ec-2376 to 2379 Add-del 318402413 2414 2374 318394491" xfId="2203" xr:uid="{00000000-0005-0000-0000-0000F6080000}"/>
    <cellStyle name="_E  Canada Jul-09-08_Ec-2376 to 2379 Add-del 318402413 2414 2374 318394491 2" xfId="2204" xr:uid="{00000000-0005-0000-0000-0000F7080000}"/>
    <cellStyle name="_E  Canada Jul-09-08_Ec-2376 to 2379 Add-del 318402413 2414 2374 318394491 3" xfId="2205" xr:uid="{00000000-0005-0000-0000-0000F8080000}"/>
    <cellStyle name="_E  Canada Jul-09-08_Ec-2376 to 2379 Add-del 318402413 2414 2374 318394491 4" xfId="2206" xr:uid="{00000000-0005-0000-0000-0000F9080000}"/>
    <cellStyle name="_E  Canada Jul-09-08_Ec-2376 to 2379 Add-del 318402413 2414 2374 318394491 5" xfId="2207" xr:uid="{00000000-0005-0000-0000-0000FA080000}"/>
    <cellStyle name="_E  Canada Jul-09-08_Ec-2376 to 2379 Add-del 318402413 2414 2374 318394491_SUBARTICO ADD-DEL" xfId="2208" xr:uid="{00000000-0005-0000-0000-0000FB080000}"/>
    <cellStyle name="_E  Canada Jul-09-08_Ec-2376 to 2379 Add-del 318402413 2414 2374 318394491_SUBARTICO ADD-DEL 2" xfId="2209" xr:uid="{00000000-0005-0000-0000-0000FC080000}"/>
    <cellStyle name="_E  Canada Jul-09-08_ESTIMATED ARES-10 PACKAGE 25NOV" xfId="2210" xr:uid="{00000000-0005-0000-0000-0000FD080000}"/>
    <cellStyle name="_E  Canada Jul-09-08_ESTIMATED ARES-10 PACKAGE 25NOV 2" xfId="2211" xr:uid="{00000000-0005-0000-0000-0000FE080000}"/>
    <cellStyle name="_E  Canada Jul-09-08_ESTIMATED ARES-10 PACKAGE 25NOV 3" xfId="24720" xr:uid="{00000000-0005-0000-0000-0000FF080000}"/>
    <cellStyle name="_E  Canada Jul-09-08_ESTIMATED ARES-10 PACKAGE 25NOV_SUBARTICO ADD-DEL" xfId="2212" xr:uid="{00000000-0005-0000-0000-000000090000}"/>
    <cellStyle name="_E  Canada Jul-09-08_ESTIMATED ARES-10 PACKAGE 25NOV_SUBARTICO ADD-DEL 2" xfId="2213" xr:uid="{00000000-0005-0000-0000-000001090000}"/>
    <cellStyle name="_E  Canada Jul-09-08_SUBARTICO ADD-DEL" xfId="2214" xr:uid="{00000000-0005-0000-0000-000002090000}"/>
    <cellStyle name="_E  Canada Jul-09-08_SUBARTICO ADD-DEL 2" xfId="2215" xr:uid="{00000000-0005-0000-0000-000003090000}"/>
    <cellStyle name="_E  Canada Jul-09-08_W10251766 D" xfId="2216" xr:uid="{00000000-0005-0000-0000-000004090000}"/>
    <cellStyle name="_E  Canada Jul-09-08_W10279106 y W10279107 de MR a 56i" xfId="2217" xr:uid="{00000000-0005-0000-0000-000005090000}"/>
    <cellStyle name="_E  Canada Jul-09-08_W10315922 A" xfId="2218" xr:uid="{00000000-0005-0000-0000-000006090000}"/>
    <cellStyle name="_E  Canada Jul-09-08_WC cleveland con spreadshet" xfId="2219" xr:uid="{00000000-0005-0000-0000-000007090000}"/>
    <cellStyle name="_E  Canada Jul-09-08_WC cleveland con spreadshet 2" xfId="2220" xr:uid="{00000000-0005-0000-0000-000008090000}"/>
    <cellStyle name="_E  Canada Jul-09-08_WC cleveland con spreadshet 3" xfId="24721" xr:uid="{00000000-0005-0000-0000-000009090000}"/>
    <cellStyle name="_E  Canada Jul-09-08_WC cleveland con spreadshet_SUBARTICO ADD-DEL" xfId="2221" xr:uid="{00000000-0005-0000-0000-00000A090000}"/>
    <cellStyle name="_E  Canada Jul-09-08_WC cleveland con spreadshet_SUBARTICO ADD-DEL 2" xfId="2222" xr:uid="{00000000-0005-0000-0000-00000B090000}"/>
    <cellStyle name="_E  Canada Jul-29-08 (2)" xfId="2223" xr:uid="{00000000-0005-0000-0000-00000C090000}"/>
    <cellStyle name="_E  Canada Jul-29-08 (2) 10" xfId="2224" xr:uid="{00000000-0005-0000-0000-00000D090000}"/>
    <cellStyle name="_E  Canada Jul-29-08 (2) 10 2" xfId="2225" xr:uid="{00000000-0005-0000-0000-00000E090000}"/>
    <cellStyle name="_E  Canada Jul-29-08 (2) 10 3" xfId="2226" xr:uid="{00000000-0005-0000-0000-00000F090000}"/>
    <cellStyle name="_E  Canada Jul-29-08 (2) 10 4" xfId="2227" xr:uid="{00000000-0005-0000-0000-000010090000}"/>
    <cellStyle name="_E  Canada Jul-29-08 (2) 2" xfId="2228" xr:uid="{00000000-0005-0000-0000-000011090000}"/>
    <cellStyle name="_E  Canada Jul-29-08 (2) 2 2" xfId="2229" xr:uid="{00000000-0005-0000-0000-000012090000}"/>
    <cellStyle name="_E  Canada Jul-29-08 (2) 2 3" xfId="2230" xr:uid="{00000000-0005-0000-0000-000013090000}"/>
    <cellStyle name="_E  Canada Jul-29-08 (2) 2 4" xfId="2231" xr:uid="{00000000-0005-0000-0000-000014090000}"/>
    <cellStyle name="_E  Canada Jul-29-08 (2) 2 5" xfId="2232" xr:uid="{00000000-0005-0000-0000-000015090000}"/>
    <cellStyle name="_E  Canada Jul-29-08 (2) 2_SUBARTICO ADD-DEL" xfId="2233" xr:uid="{00000000-0005-0000-0000-000016090000}"/>
    <cellStyle name="_E  Canada Jul-29-08 (2) 2_SUBARTICO ADD-DEL 2" xfId="2234" xr:uid="{00000000-0005-0000-0000-000017090000}"/>
    <cellStyle name="_E  Canada Jul-29-08 (2) 3" xfId="2235" xr:uid="{00000000-0005-0000-0000-000018090000}"/>
    <cellStyle name="_E  Canada Jul-29-08 (2) 3 2" xfId="2236" xr:uid="{00000000-0005-0000-0000-000019090000}"/>
    <cellStyle name="_E  Canada Jul-29-08 (2) 3 3" xfId="2237" xr:uid="{00000000-0005-0000-0000-00001A090000}"/>
    <cellStyle name="_E  Canada Jul-29-08 (2) 3 4" xfId="2238" xr:uid="{00000000-0005-0000-0000-00001B090000}"/>
    <cellStyle name="_E  Canada Jul-29-08 (2) 3 5" xfId="2239" xr:uid="{00000000-0005-0000-0000-00001C090000}"/>
    <cellStyle name="_E  Canada Jul-29-08 (2) 3_SUBARTICO ADD-DEL" xfId="2240" xr:uid="{00000000-0005-0000-0000-00001D090000}"/>
    <cellStyle name="_E  Canada Jul-29-08 (2) 3_SUBARTICO ADD-DEL 2" xfId="2241" xr:uid="{00000000-0005-0000-0000-00001E090000}"/>
    <cellStyle name="_E  Canada Jul-29-08 (2) 4" xfId="2242" xr:uid="{00000000-0005-0000-0000-00001F090000}"/>
    <cellStyle name="_E  Canada Jul-29-08 (2) 4 2" xfId="2243" xr:uid="{00000000-0005-0000-0000-000020090000}"/>
    <cellStyle name="_E  Canada Jul-29-08 (2) 4 3" xfId="2244" xr:uid="{00000000-0005-0000-0000-000021090000}"/>
    <cellStyle name="_E  Canada Jul-29-08 (2) 4 4" xfId="2245" xr:uid="{00000000-0005-0000-0000-000022090000}"/>
    <cellStyle name="_E  Canada Jul-29-08 (2) 4 5" xfId="2246" xr:uid="{00000000-0005-0000-0000-000023090000}"/>
    <cellStyle name="_E  Canada Jul-29-08 (2) 4_SUBARTICO ADD-DEL" xfId="2247" xr:uid="{00000000-0005-0000-0000-000024090000}"/>
    <cellStyle name="_E  Canada Jul-29-08 (2) 4_SUBARTICO ADD-DEL 2" xfId="2248" xr:uid="{00000000-0005-0000-0000-000025090000}"/>
    <cellStyle name="_E  Canada Jul-29-08 (2) 5" xfId="2249" xr:uid="{00000000-0005-0000-0000-000026090000}"/>
    <cellStyle name="_E  Canada Jul-29-08 (2) 5 2" xfId="2250" xr:uid="{00000000-0005-0000-0000-000027090000}"/>
    <cellStyle name="_E  Canada Jul-29-08 (2) 5 3" xfId="2251" xr:uid="{00000000-0005-0000-0000-000028090000}"/>
    <cellStyle name="_E  Canada Jul-29-08 (2) 5 4" xfId="2252" xr:uid="{00000000-0005-0000-0000-000029090000}"/>
    <cellStyle name="_E  Canada Jul-29-08 (2) 5 5" xfId="2253" xr:uid="{00000000-0005-0000-0000-00002A090000}"/>
    <cellStyle name="_E  Canada Jul-29-08 (2) 5_SUBARTICO ADD-DEL" xfId="2254" xr:uid="{00000000-0005-0000-0000-00002B090000}"/>
    <cellStyle name="_E  Canada Jul-29-08 (2) 5_SUBARTICO ADD-DEL 2" xfId="2255" xr:uid="{00000000-0005-0000-0000-00002C090000}"/>
    <cellStyle name="_E  Canada Jul-29-08 (2) 6" xfId="2256" xr:uid="{00000000-0005-0000-0000-00002D090000}"/>
    <cellStyle name="_E  Canada Jul-29-08 (2) 6 2" xfId="2257" xr:uid="{00000000-0005-0000-0000-00002E090000}"/>
    <cellStyle name="_E  Canada Jul-29-08 (2) 6 3" xfId="2258" xr:uid="{00000000-0005-0000-0000-00002F090000}"/>
    <cellStyle name="_E  Canada Jul-29-08 (2) 6 4" xfId="2259" xr:uid="{00000000-0005-0000-0000-000030090000}"/>
    <cellStyle name="_E  Canada Jul-29-08 (2) 6 5" xfId="2260" xr:uid="{00000000-0005-0000-0000-000031090000}"/>
    <cellStyle name="_E  Canada Jul-29-08 (2) 6_SUBARTICO ADD-DEL" xfId="2261" xr:uid="{00000000-0005-0000-0000-000032090000}"/>
    <cellStyle name="_E  Canada Jul-29-08 (2) 6_SUBARTICO ADD-DEL 2" xfId="2262" xr:uid="{00000000-0005-0000-0000-000033090000}"/>
    <cellStyle name="_E  Canada Jul-29-08 (2) 7" xfId="2263" xr:uid="{00000000-0005-0000-0000-000034090000}"/>
    <cellStyle name="_E  Canada Jul-29-08 (2) 7 2" xfId="2264" xr:uid="{00000000-0005-0000-0000-000035090000}"/>
    <cellStyle name="_E  Canada Jul-29-08 (2) 7 3" xfId="2265" xr:uid="{00000000-0005-0000-0000-000036090000}"/>
    <cellStyle name="_E  Canada Jul-29-08 (2) 7 4" xfId="2266" xr:uid="{00000000-0005-0000-0000-000037090000}"/>
    <cellStyle name="_E  Canada Jul-29-08 (2) 7 5" xfId="2267" xr:uid="{00000000-0005-0000-0000-000038090000}"/>
    <cellStyle name="_E  Canada Jul-29-08 (2) 7_SUBARTICO ADD-DEL" xfId="2268" xr:uid="{00000000-0005-0000-0000-000039090000}"/>
    <cellStyle name="_E  Canada Jul-29-08 (2) 7_SUBARTICO ADD-DEL 2" xfId="2269" xr:uid="{00000000-0005-0000-0000-00003A090000}"/>
    <cellStyle name="_E  Canada Jul-29-08 (2) 8" xfId="2270" xr:uid="{00000000-0005-0000-0000-00003B090000}"/>
    <cellStyle name="_E  Canada Jul-29-08 (2) 8 2" xfId="2271" xr:uid="{00000000-0005-0000-0000-00003C090000}"/>
    <cellStyle name="_E  Canada Jul-29-08 (2) 8 3" xfId="2272" xr:uid="{00000000-0005-0000-0000-00003D090000}"/>
    <cellStyle name="_E  Canada Jul-29-08 (2) 8 4" xfId="2273" xr:uid="{00000000-0005-0000-0000-00003E090000}"/>
    <cellStyle name="_E  Canada Jul-29-08 (2) 8 5" xfId="2274" xr:uid="{00000000-0005-0000-0000-00003F090000}"/>
    <cellStyle name="_E  Canada Jul-29-08 (2) 8_SUBARTICO ADD-DEL" xfId="2275" xr:uid="{00000000-0005-0000-0000-000040090000}"/>
    <cellStyle name="_E  Canada Jul-29-08 (2) 8_SUBARTICO ADD-DEL 2" xfId="2276" xr:uid="{00000000-0005-0000-0000-000041090000}"/>
    <cellStyle name="_E  Canada Jul-29-08 (2) 9" xfId="2277" xr:uid="{00000000-0005-0000-0000-000042090000}"/>
    <cellStyle name="_E  Canada Jul-29-08 (2) 9 2" xfId="2278" xr:uid="{00000000-0005-0000-0000-000043090000}"/>
    <cellStyle name="_E  Canada Jul-29-08 (2) 9 3" xfId="2279" xr:uid="{00000000-0005-0000-0000-000044090000}"/>
    <cellStyle name="_E  Canada Jul-29-08 (2) 9 4" xfId="2280" xr:uid="{00000000-0005-0000-0000-000045090000}"/>
    <cellStyle name="_E  Canada Jul-29-08 (2) 9 5" xfId="2281" xr:uid="{00000000-0005-0000-0000-000046090000}"/>
    <cellStyle name="_E  Canada Jul-29-08 (2) 9_SUBARTICO ADD-DEL" xfId="2282" xr:uid="{00000000-0005-0000-0000-000047090000}"/>
    <cellStyle name="_E  Canada Jul-29-08 (2) 9_SUBARTICO ADD-DEL 2" xfId="2283" xr:uid="{00000000-0005-0000-0000-000048090000}"/>
    <cellStyle name="_E  Canada Jul-29-08 (2)_862-CH" xfId="2284" xr:uid="{00000000-0005-0000-0000-000049090000}"/>
    <cellStyle name="_E  Canada Jul-29-08 (2)_BSHNC151 (RFQ EE4509)" xfId="2285" xr:uid="{00000000-0005-0000-0000-00004A090000}"/>
    <cellStyle name="_E  Canada Jul-29-08 (2)_BSHNC151 (RFQ EE4509) 2" xfId="2286" xr:uid="{00000000-0005-0000-0000-00004B090000}"/>
    <cellStyle name="_E  Canada Jul-29-08 (2)_BSHNC162 (RFQ EE5409)1" xfId="2287" xr:uid="{00000000-0005-0000-0000-00004C090000}"/>
    <cellStyle name="_E  Canada Jul-29-08 (2)_BSHNC162 (RFQ EE5409)1 2" xfId="2288" xr:uid="{00000000-0005-0000-0000-00004D090000}"/>
    <cellStyle name="_E  Canada Jul-29-08 (2)_Ec-2376 to 2379 Add-del 318402413 2414 2374 318394491" xfId="2289" xr:uid="{00000000-0005-0000-0000-00004E090000}"/>
    <cellStyle name="_E  Canada Jul-29-08 (2)_Ec-2376 to 2379 Add-del 318402413 2414 2374 318394491 2" xfId="2290" xr:uid="{00000000-0005-0000-0000-00004F090000}"/>
    <cellStyle name="_E  Canada Jul-29-08 (2)_Ec-2376 to 2379 Add-del 318402413 2414 2374 318394491 3" xfId="2291" xr:uid="{00000000-0005-0000-0000-000050090000}"/>
    <cellStyle name="_E  Canada Jul-29-08 (2)_Ec-2376 to 2379 Add-del 318402413 2414 2374 318394491 4" xfId="2292" xr:uid="{00000000-0005-0000-0000-000051090000}"/>
    <cellStyle name="_E  Canada Jul-29-08 (2)_Ec-2376 to 2379 Add-del 318402413 2414 2374 318394491 5" xfId="2293" xr:uid="{00000000-0005-0000-0000-000052090000}"/>
    <cellStyle name="_E  Canada Jul-29-08 (2)_Ec-2376 to 2379 Add-del 318402413 2414 2374 318394491_SUBARTICO ADD-DEL" xfId="2294" xr:uid="{00000000-0005-0000-0000-000053090000}"/>
    <cellStyle name="_E  Canada Jul-29-08 (2)_Ec-2376 to 2379 Add-del 318402413 2414 2374 318394491_SUBARTICO ADD-DEL 2" xfId="2295" xr:uid="{00000000-0005-0000-0000-000054090000}"/>
    <cellStyle name="_E  Canada Jul-29-08 (2)_ESTIMATED ARES-10 PACKAGE 25NOV" xfId="2296" xr:uid="{00000000-0005-0000-0000-000055090000}"/>
    <cellStyle name="_E  Canada Jul-29-08 (2)_ESTIMATED ARES-10 PACKAGE 25NOV 2" xfId="2297" xr:uid="{00000000-0005-0000-0000-000056090000}"/>
    <cellStyle name="_E  Canada Jul-29-08 (2)_ESTIMATED ARES-10 PACKAGE 25NOV 3" xfId="24722" xr:uid="{00000000-0005-0000-0000-000057090000}"/>
    <cellStyle name="_E  Canada Jul-29-08 (2)_ESTIMATED ARES-10 PACKAGE 25NOV_SUBARTICO ADD-DEL" xfId="2298" xr:uid="{00000000-0005-0000-0000-000058090000}"/>
    <cellStyle name="_E  Canada Jul-29-08 (2)_ESTIMATED ARES-10 PACKAGE 25NOV_SUBARTICO ADD-DEL 2" xfId="2299" xr:uid="{00000000-0005-0000-0000-000059090000}"/>
    <cellStyle name="_E  Canada Jul-29-08 (2)_SUBARTICO ADD-DEL" xfId="2300" xr:uid="{00000000-0005-0000-0000-00005A090000}"/>
    <cellStyle name="_E  Canada Jul-29-08 (2)_SUBARTICO ADD-DEL 2" xfId="2301" xr:uid="{00000000-0005-0000-0000-00005B090000}"/>
    <cellStyle name="_E  Canada Jul-29-08 (2)_W10251766 D" xfId="2302" xr:uid="{00000000-0005-0000-0000-00005C090000}"/>
    <cellStyle name="_E  Canada Jul-29-08 (2)_W10279106 y W10279107 de MR a 56i" xfId="2303" xr:uid="{00000000-0005-0000-0000-00005D090000}"/>
    <cellStyle name="_E  Canada Jul-29-08 (2)_W10315922 A" xfId="2304" xr:uid="{00000000-0005-0000-0000-00005E090000}"/>
    <cellStyle name="_E  Canada Jul-29-08 (2)_WC cleveland con spreadshet" xfId="2305" xr:uid="{00000000-0005-0000-0000-00005F090000}"/>
    <cellStyle name="_E  Canada Jul-29-08 (2)_WC cleveland con spreadshet 2" xfId="2306" xr:uid="{00000000-0005-0000-0000-000060090000}"/>
    <cellStyle name="_E  Canada Jul-29-08 (2)_WC cleveland con spreadshet 3" xfId="24723" xr:uid="{00000000-0005-0000-0000-000061090000}"/>
    <cellStyle name="_E  Canada Jul-29-08 (2)_WC cleveland con spreadshet_SUBARTICO ADD-DEL" xfId="2307" xr:uid="{00000000-0005-0000-0000-000062090000}"/>
    <cellStyle name="_E  Canada Jul-29-08 (2)_WC cleveland con spreadshet_SUBARTICO ADD-DEL 2" xfId="2308" xr:uid="{00000000-0005-0000-0000-000063090000}"/>
    <cellStyle name="_E  Canada Jun-26-08" xfId="2309" xr:uid="{00000000-0005-0000-0000-000064090000}"/>
    <cellStyle name="_E  Canada Jun-26-08 10" xfId="2310" xr:uid="{00000000-0005-0000-0000-000065090000}"/>
    <cellStyle name="_E  Canada Jun-26-08 10 2" xfId="2311" xr:uid="{00000000-0005-0000-0000-000066090000}"/>
    <cellStyle name="_E  Canada Jun-26-08 10 3" xfId="2312" xr:uid="{00000000-0005-0000-0000-000067090000}"/>
    <cellStyle name="_E  Canada Jun-26-08 10 4" xfId="2313" xr:uid="{00000000-0005-0000-0000-000068090000}"/>
    <cellStyle name="_E  Canada Jun-26-08 2" xfId="2314" xr:uid="{00000000-0005-0000-0000-000069090000}"/>
    <cellStyle name="_E  Canada Jun-26-08 2 2" xfId="2315" xr:uid="{00000000-0005-0000-0000-00006A090000}"/>
    <cellStyle name="_E  Canada Jun-26-08 2 3" xfId="2316" xr:uid="{00000000-0005-0000-0000-00006B090000}"/>
    <cellStyle name="_E  Canada Jun-26-08 2 4" xfId="2317" xr:uid="{00000000-0005-0000-0000-00006C090000}"/>
    <cellStyle name="_E  Canada Jun-26-08 2 5" xfId="2318" xr:uid="{00000000-0005-0000-0000-00006D090000}"/>
    <cellStyle name="_E  Canada Jun-26-08 2_SUBARTICO ADD-DEL" xfId="2319" xr:uid="{00000000-0005-0000-0000-00006E090000}"/>
    <cellStyle name="_E  Canada Jun-26-08 2_SUBARTICO ADD-DEL 2" xfId="2320" xr:uid="{00000000-0005-0000-0000-00006F090000}"/>
    <cellStyle name="_E  Canada Jun-26-08 3" xfId="2321" xr:uid="{00000000-0005-0000-0000-000070090000}"/>
    <cellStyle name="_E  Canada Jun-26-08 3 2" xfId="2322" xr:uid="{00000000-0005-0000-0000-000071090000}"/>
    <cellStyle name="_E  Canada Jun-26-08 3 3" xfId="2323" xr:uid="{00000000-0005-0000-0000-000072090000}"/>
    <cellStyle name="_E  Canada Jun-26-08 3 4" xfId="2324" xr:uid="{00000000-0005-0000-0000-000073090000}"/>
    <cellStyle name="_E  Canada Jun-26-08 3 5" xfId="2325" xr:uid="{00000000-0005-0000-0000-000074090000}"/>
    <cellStyle name="_E  Canada Jun-26-08 3_SUBARTICO ADD-DEL" xfId="2326" xr:uid="{00000000-0005-0000-0000-000075090000}"/>
    <cellStyle name="_E  Canada Jun-26-08 3_SUBARTICO ADD-DEL 2" xfId="2327" xr:uid="{00000000-0005-0000-0000-000076090000}"/>
    <cellStyle name="_E  Canada Jun-26-08 4" xfId="2328" xr:uid="{00000000-0005-0000-0000-000077090000}"/>
    <cellStyle name="_E  Canada Jun-26-08 4 2" xfId="2329" xr:uid="{00000000-0005-0000-0000-000078090000}"/>
    <cellStyle name="_E  Canada Jun-26-08 4 3" xfId="2330" xr:uid="{00000000-0005-0000-0000-000079090000}"/>
    <cellStyle name="_E  Canada Jun-26-08 4 4" xfId="2331" xr:uid="{00000000-0005-0000-0000-00007A090000}"/>
    <cellStyle name="_E  Canada Jun-26-08 4 5" xfId="2332" xr:uid="{00000000-0005-0000-0000-00007B090000}"/>
    <cellStyle name="_E  Canada Jun-26-08 4_SUBARTICO ADD-DEL" xfId="2333" xr:uid="{00000000-0005-0000-0000-00007C090000}"/>
    <cellStyle name="_E  Canada Jun-26-08 4_SUBARTICO ADD-DEL 2" xfId="2334" xr:uid="{00000000-0005-0000-0000-00007D090000}"/>
    <cellStyle name="_E  Canada Jun-26-08 5" xfId="2335" xr:uid="{00000000-0005-0000-0000-00007E090000}"/>
    <cellStyle name="_E  Canada Jun-26-08 5 2" xfId="2336" xr:uid="{00000000-0005-0000-0000-00007F090000}"/>
    <cellStyle name="_E  Canada Jun-26-08 5 3" xfId="2337" xr:uid="{00000000-0005-0000-0000-000080090000}"/>
    <cellStyle name="_E  Canada Jun-26-08 5 4" xfId="2338" xr:uid="{00000000-0005-0000-0000-000081090000}"/>
    <cellStyle name="_E  Canada Jun-26-08 5 5" xfId="2339" xr:uid="{00000000-0005-0000-0000-000082090000}"/>
    <cellStyle name="_E  Canada Jun-26-08 5_SUBARTICO ADD-DEL" xfId="2340" xr:uid="{00000000-0005-0000-0000-000083090000}"/>
    <cellStyle name="_E  Canada Jun-26-08 5_SUBARTICO ADD-DEL 2" xfId="2341" xr:uid="{00000000-0005-0000-0000-000084090000}"/>
    <cellStyle name="_E  Canada Jun-26-08 6" xfId="2342" xr:uid="{00000000-0005-0000-0000-000085090000}"/>
    <cellStyle name="_E  Canada Jun-26-08 6 2" xfId="2343" xr:uid="{00000000-0005-0000-0000-000086090000}"/>
    <cellStyle name="_E  Canada Jun-26-08 6 3" xfId="2344" xr:uid="{00000000-0005-0000-0000-000087090000}"/>
    <cellStyle name="_E  Canada Jun-26-08 6 4" xfId="2345" xr:uid="{00000000-0005-0000-0000-000088090000}"/>
    <cellStyle name="_E  Canada Jun-26-08 6 5" xfId="2346" xr:uid="{00000000-0005-0000-0000-000089090000}"/>
    <cellStyle name="_E  Canada Jun-26-08 6_SUBARTICO ADD-DEL" xfId="2347" xr:uid="{00000000-0005-0000-0000-00008A090000}"/>
    <cellStyle name="_E  Canada Jun-26-08 6_SUBARTICO ADD-DEL 2" xfId="2348" xr:uid="{00000000-0005-0000-0000-00008B090000}"/>
    <cellStyle name="_E  Canada Jun-26-08 7" xfId="2349" xr:uid="{00000000-0005-0000-0000-00008C090000}"/>
    <cellStyle name="_E  Canada Jun-26-08 7 2" xfId="2350" xr:uid="{00000000-0005-0000-0000-00008D090000}"/>
    <cellStyle name="_E  Canada Jun-26-08 7 3" xfId="2351" xr:uid="{00000000-0005-0000-0000-00008E090000}"/>
    <cellStyle name="_E  Canada Jun-26-08 7 4" xfId="2352" xr:uid="{00000000-0005-0000-0000-00008F090000}"/>
    <cellStyle name="_E  Canada Jun-26-08 7 5" xfId="2353" xr:uid="{00000000-0005-0000-0000-000090090000}"/>
    <cellStyle name="_E  Canada Jun-26-08 7_SUBARTICO ADD-DEL" xfId="2354" xr:uid="{00000000-0005-0000-0000-000091090000}"/>
    <cellStyle name="_E  Canada Jun-26-08 7_SUBARTICO ADD-DEL 2" xfId="2355" xr:uid="{00000000-0005-0000-0000-000092090000}"/>
    <cellStyle name="_E  Canada Jun-26-08 8" xfId="2356" xr:uid="{00000000-0005-0000-0000-000093090000}"/>
    <cellStyle name="_E  Canada Jun-26-08 8 2" xfId="2357" xr:uid="{00000000-0005-0000-0000-000094090000}"/>
    <cellStyle name="_E  Canada Jun-26-08 8 3" xfId="2358" xr:uid="{00000000-0005-0000-0000-000095090000}"/>
    <cellStyle name="_E  Canada Jun-26-08 8 4" xfId="2359" xr:uid="{00000000-0005-0000-0000-000096090000}"/>
    <cellStyle name="_E  Canada Jun-26-08 8 5" xfId="2360" xr:uid="{00000000-0005-0000-0000-000097090000}"/>
    <cellStyle name="_E  Canada Jun-26-08 8_SUBARTICO ADD-DEL" xfId="2361" xr:uid="{00000000-0005-0000-0000-000098090000}"/>
    <cellStyle name="_E  Canada Jun-26-08 8_SUBARTICO ADD-DEL 2" xfId="2362" xr:uid="{00000000-0005-0000-0000-000099090000}"/>
    <cellStyle name="_E  Canada Jun-26-08 9" xfId="2363" xr:uid="{00000000-0005-0000-0000-00009A090000}"/>
    <cellStyle name="_E  Canada Jun-26-08 9 2" xfId="2364" xr:uid="{00000000-0005-0000-0000-00009B090000}"/>
    <cellStyle name="_E  Canada Jun-26-08 9 3" xfId="2365" xr:uid="{00000000-0005-0000-0000-00009C090000}"/>
    <cellStyle name="_E  Canada Jun-26-08 9 4" xfId="2366" xr:uid="{00000000-0005-0000-0000-00009D090000}"/>
    <cellStyle name="_E  Canada Jun-26-08 9 5" xfId="2367" xr:uid="{00000000-0005-0000-0000-00009E090000}"/>
    <cellStyle name="_E  Canada Jun-26-08 9_SUBARTICO ADD-DEL" xfId="2368" xr:uid="{00000000-0005-0000-0000-00009F090000}"/>
    <cellStyle name="_E  Canada Jun-26-08 9_SUBARTICO ADD-DEL 2" xfId="2369" xr:uid="{00000000-0005-0000-0000-0000A0090000}"/>
    <cellStyle name="_E  Canada Jun-26-08_862-CH" xfId="2370" xr:uid="{00000000-0005-0000-0000-0000A1090000}"/>
    <cellStyle name="_E  Canada Jun-26-08_BSHNC151 (RFQ EE4509)" xfId="2371" xr:uid="{00000000-0005-0000-0000-0000A2090000}"/>
    <cellStyle name="_E  Canada Jun-26-08_BSHNC151 (RFQ EE4509) 2" xfId="2372" xr:uid="{00000000-0005-0000-0000-0000A3090000}"/>
    <cellStyle name="_E  Canada Jun-26-08_BSHNC162 (RFQ EE5409)1" xfId="2373" xr:uid="{00000000-0005-0000-0000-0000A4090000}"/>
    <cellStyle name="_E  Canada Jun-26-08_BSHNC162 (RFQ EE5409)1 2" xfId="2374" xr:uid="{00000000-0005-0000-0000-0000A5090000}"/>
    <cellStyle name="_E  Canada Jun-26-08_Ec-2376 to 2379 Add-del 318402413 2414 2374 318394491" xfId="2375" xr:uid="{00000000-0005-0000-0000-0000A6090000}"/>
    <cellStyle name="_E  Canada Jun-26-08_Ec-2376 to 2379 Add-del 318402413 2414 2374 318394491 2" xfId="2376" xr:uid="{00000000-0005-0000-0000-0000A7090000}"/>
    <cellStyle name="_E  Canada Jun-26-08_Ec-2376 to 2379 Add-del 318402413 2414 2374 318394491 3" xfId="2377" xr:uid="{00000000-0005-0000-0000-0000A8090000}"/>
    <cellStyle name="_E  Canada Jun-26-08_Ec-2376 to 2379 Add-del 318402413 2414 2374 318394491 4" xfId="2378" xr:uid="{00000000-0005-0000-0000-0000A9090000}"/>
    <cellStyle name="_E  Canada Jun-26-08_Ec-2376 to 2379 Add-del 318402413 2414 2374 318394491 5" xfId="2379" xr:uid="{00000000-0005-0000-0000-0000AA090000}"/>
    <cellStyle name="_E  Canada Jun-26-08_Ec-2376 to 2379 Add-del 318402413 2414 2374 318394491_SUBARTICO ADD-DEL" xfId="2380" xr:uid="{00000000-0005-0000-0000-0000AB090000}"/>
    <cellStyle name="_E  Canada Jun-26-08_Ec-2376 to 2379 Add-del 318402413 2414 2374 318394491_SUBARTICO ADD-DEL 2" xfId="2381" xr:uid="{00000000-0005-0000-0000-0000AC090000}"/>
    <cellStyle name="_E  Canada Jun-26-08_ESTIMATED ARES-10 PACKAGE 25NOV" xfId="2382" xr:uid="{00000000-0005-0000-0000-0000AD090000}"/>
    <cellStyle name="_E  Canada Jun-26-08_ESTIMATED ARES-10 PACKAGE 25NOV 2" xfId="2383" xr:uid="{00000000-0005-0000-0000-0000AE090000}"/>
    <cellStyle name="_E  Canada Jun-26-08_ESTIMATED ARES-10 PACKAGE 25NOV 3" xfId="24724" xr:uid="{00000000-0005-0000-0000-0000AF090000}"/>
    <cellStyle name="_E  Canada Jun-26-08_ESTIMATED ARES-10 PACKAGE 25NOV_SUBARTICO ADD-DEL" xfId="2384" xr:uid="{00000000-0005-0000-0000-0000B0090000}"/>
    <cellStyle name="_E  Canada Jun-26-08_ESTIMATED ARES-10 PACKAGE 25NOV_SUBARTICO ADD-DEL 2" xfId="2385" xr:uid="{00000000-0005-0000-0000-0000B1090000}"/>
    <cellStyle name="_E  Canada Jun-26-08_SUBARTICO ADD-DEL" xfId="2386" xr:uid="{00000000-0005-0000-0000-0000B2090000}"/>
    <cellStyle name="_E  Canada Jun-26-08_SUBARTICO ADD-DEL 2" xfId="2387" xr:uid="{00000000-0005-0000-0000-0000B3090000}"/>
    <cellStyle name="_E  Canada Jun-26-08_W10251766 D" xfId="2388" xr:uid="{00000000-0005-0000-0000-0000B4090000}"/>
    <cellStyle name="_E  Canada Jun-26-08_W10279106 y W10279107 de MR a 56i" xfId="2389" xr:uid="{00000000-0005-0000-0000-0000B5090000}"/>
    <cellStyle name="_E  Canada Jun-26-08_W10315922 A" xfId="2390" xr:uid="{00000000-0005-0000-0000-0000B6090000}"/>
    <cellStyle name="_E  Canada Jun-26-08_WC cleveland con spreadshet" xfId="2391" xr:uid="{00000000-0005-0000-0000-0000B7090000}"/>
    <cellStyle name="_E  Canada Jun-26-08_WC cleveland con spreadshet 2" xfId="2392" xr:uid="{00000000-0005-0000-0000-0000B8090000}"/>
    <cellStyle name="_E  Canada Jun-26-08_WC cleveland con spreadshet 3" xfId="24725" xr:uid="{00000000-0005-0000-0000-0000B9090000}"/>
    <cellStyle name="_E  Canada Jun-26-08_WC cleveland con spreadshet_SUBARTICO ADD-DEL" xfId="2393" xr:uid="{00000000-0005-0000-0000-0000BA090000}"/>
    <cellStyle name="_E  Canada Jun-26-08_WC cleveland con spreadshet_SUBARTICO ADD-DEL 2" xfId="2394" xr:uid="{00000000-0005-0000-0000-0000BB090000}"/>
    <cellStyle name="_E  Springfield Ago-06-08" xfId="2395" xr:uid="{00000000-0005-0000-0000-0000BC090000}"/>
    <cellStyle name="_E  Springfield Ago-06-08 2" xfId="2396" xr:uid="{00000000-0005-0000-0000-0000BD090000}"/>
    <cellStyle name="_E  Springfield Ago-06-08 2 2" xfId="2397" xr:uid="{00000000-0005-0000-0000-0000BE090000}"/>
    <cellStyle name="_E  Springfield Ago-06-08 2 3" xfId="2398" xr:uid="{00000000-0005-0000-0000-0000BF090000}"/>
    <cellStyle name="_E  Springfield Ago-06-08 2 4" xfId="2399" xr:uid="{00000000-0005-0000-0000-0000C0090000}"/>
    <cellStyle name="_E  Springfield Ago-06-08 3" xfId="2400" xr:uid="{00000000-0005-0000-0000-0000C1090000}"/>
    <cellStyle name="_E  Springfield Ago-06-08_862-CH" xfId="2401" xr:uid="{00000000-0005-0000-0000-0000C2090000}"/>
    <cellStyle name="_E  Springfield Ago-06-08_BSHNC151 (RFQ EE4509)" xfId="2402" xr:uid="{00000000-0005-0000-0000-0000C3090000}"/>
    <cellStyle name="_E  Springfield Ago-06-08_BSHNC151 (RFQ EE4509) 2" xfId="2403" xr:uid="{00000000-0005-0000-0000-0000C4090000}"/>
    <cellStyle name="_E  Springfield Ago-06-08_BSHNC162 (RFQ EE5409)1" xfId="2404" xr:uid="{00000000-0005-0000-0000-0000C5090000}"/>
    <cellStyle name="_E  Springfield Ago-06-08_BSHNC162 (RFQ EE5409)1 2" xfId="2405" xr:uid="{00000000-0005-0000-0000-0000C6090000}"/>
    <cellStyle name="_E  Springfield Ago-06-08_ESTIMATED ARES-10 PACKAGE 25NOV" xfId="2406" xr:uid="{00000000-0005-0000-0000-0000C7090000}"/>
    <cellStyle name="_E  Springfield Ago-06-08_ESTIMATED ARES-10 PACKAGE 25NOV 2" xfId="2407" xr:uid="{00000000-0005-0000-0000-0000C8090000}"/>
    <cellStyle name="_E  Springfield Ago-06-08_ESTIMATED ARES-10 PACKAGE 25NOV 3" xfId="24726" xr:uid="{00000000-0005-0000-0000-0000C9090000}"/>
    <cellStyle name="_E  Springfield Ago-06-08_ESTIMATED ARES-10 PACKAGE 25NOV_SUBARTICO ADD-DEL" xfId="2408" xr:uid="{00000000-0005-0000-0000-0000CA090000}"/>
    <cellStyle name="_E  Springfield Ago-06-08_ESTIMATED ARES-10 PACKAGE 25NOV_SUBARTICO ADD-DEL 2" xfId="2409" xr:uid="{00000000-0005-0000-0000-0000CB090000}"/>
    <cellStyle name="_E  Springfield Ago-06-08_SUBARTICO ADD-DEL" xfId="2410" xr:uid="{00000000-0005-0000-0000-0000CC090000}"/>
    <cellStyle name="_E  Springfield Ago-06-08_SUBARTICO ADD-DEL 2" xfId="2411" xr:uid="{00000000-0005-0000-0000-0000CD090000}"/>
    <cellStyle name="_E  Springfield Ago-06-08_W10251766 D" xfId="2412" xr:uid="{00000000-0005-0000-0000-0000CE090000}"/>
    <cellStyle name="_E  Springfield Ago-06-08_W10279106 y W10279107 de MR a 56i" xfId="2413" xr:uid="{00000000-0005-0000-0000-0000CF090000}"/>
    <cellStyle name="_E  Springfield Ago-06-08_W10315922 A" xfId="2414" xr:uid="{00000000-0005-0000-0000-0000D0090000}"/>
    <cellStyle name="_E  Springfield Ago-06-08_WC cleveland con spreadshet" xfId="2415" xr:uid="{00000000-0005-0000-0000-0000D1090000}"/>
    <cellStyle name="_E  Springfield Ago-06-08_WC cleveland con spreadshet 2" xfId="2416" xr:uid="{00000000-0005-0000-0000-0000D2090000}"/>
    <cellStyle name="_E  Springfield Ago-06-08_WC cleveland con spreadshet 3" xfId="24727" xr:uid="{00000000-0005-0000-0000-0000D3090000}"/>
    <cellStyle name="_E  Springfield Ago-06-08_WC cleveland con spreadshet_SUBARTICO ADD-DEL" xfId="2417" xr:uid="{00000000-0005-0000-0000-0000D4090000}"/>
    <cellStyle name="_E  Springfield Ago-06-08_WC cleveland con spreadshet_SUBARTICO ADD-DEL 2" xfId="2418" xr:uid="{00000000-0005-0000-0000-0000D5090000}"/>
    <cellStyle name="_E  Springfield Ago-08-08" xfId="2419" xr:uid="{00000000-0005-0000-0000-0000D6090000}"/>
    <cellStyle name="_E  Springfield Ago-08-08 2" xfId="2420" xr:uid="{00000000-0005-0000-0000-0000D7090000}"/>
    <cellStyle name="_E  Springfield Ago-08-08 2 2" xfId="2421" xr:uid="{00000000-0005-0000-0000-0000D8090000}"/>
    <cellStyle name="_E  Springfield Ago-08-08 2 3" xfId="2422" xr:uid="{00000000-0005-0000-0000-0000D9090000}"/>
    <cellStyle name="_E  Springfield Ago-08-08 2 4" xfId="2423" xr:uid="{00000000-0005-0000-0000-0000DA090000}"/>
    <cellStyle name="_E  Springfield Ago-08-08 3" xfId="2424" xr:uid="{00000000-0005-0000-0000-0000DB090000}"/>
    <cellStyle name="_E  Springfield Ago-08-08_862-CH" xfId="2425" xr:uid="{00000000-0005-0000-0000-0000DC090000}"/>
    <cellStyle name="_E  Springfield Ago-08-08_BSHNC162 (RFQ EE5409)1" xfId="2426" xr:uid="{00000000-0005-0000-0000-0000DD090000}"/>
    <cellStyle name="_E  Springfield Ago-08-08_BSHNC162 (RFQ EE5409)1 2" xfId="2427" xr:uid="{00000000-0005-0000-0000-0000DE090000}"/>
    <cellStyle name="_E  Springfield Ago-08-08_SUBARTICO ADD-DEL" xfId="2428" xr:uid="{00000000-0005-0000-0000-0000DF090000}"/>
    <cellStyle name="_E  Springfield Ago-08-08_SUBARTICO ADD-DEL 2" xfId="2429" xr:uid="{00000000-0005-0000-0000-0000E0090000}"/>
    <cellStyle name="_E  Springfield Ago-08-08_W10251766 D" xfId="2430" xr:uid="{00000000-0005-0000-0000-0000E1090000}"/>
    <cellStyle name="_E  Springfield Ago-08-08_W10279106 y W10279107 de MR a 56i" xfId="2431" xr:uid="{00000000-0005-0000-0000-0000E2090000}"/>
    <cellStyle name="_E  Springfield Ago-08-08_W10315922 A" xfId="2432" xr:uid="{00000000-0005-0000-0000-0000E3090000}"/>
    <cellStyle name="_E  Springfield Ago-26-08" xfId="2433" xr:uid="{00000000-0005-0000-0000-0000E4090000}"/>
    <cellStyle name="_E  Springfield Ago-26-08 2" xfId="2434" xr:uid="{00000000-0005-0000-0000-0000E5090000}"/>
    <cellStyle name="_E  Springfield Ago-26-08 2 2" xfId="2435" xr:uid="{00000000-0005-0000-0000-0000E6090000}"/>
    <cellStyle name="_E  Springfield Ago-26-08 2 3" xfId="2436" xr:uid="{00000000-0005-0000-0000-0000E7090000}"/>
    <cellStyle name="_E  Springfield Ago-26-08 2 4" xfId="2437" xr:uid="{00000000-0005-0000-0000-0000E8090000}"/>
    <cellStyle name="_E  Springfield Ago-26-08 3" xfId="2438" xr:uid="{00000000-0005-0000-0000-0000E9090000}"/>
    <cellStyle name="_E  Springfield Ago-26-08_862-CH" xfId="2439" xr:uid="{00000000-0005-0000-0000-0000EA090000}"/>
    <cellStyle name="_E  Springfield Ago-26-08_BSHNC162 (RFQ EE5409)1" xfId="2440" xr:uid="{00000000-0005-0000-0000-0000EB090000}"/>
    <cellStyle name="_E  Springfield Ago-26-08_BSHNC162 (RFQ EE5409)1 2" xfId="2441" xr:uid="{00000000-0005-0000-0000-0000EC090000}"/>
    <cellStyle name="_E  Springfield Ago-26-08_SUBARTICO ADD-DEL" xfId="2442" xr:uid="{00000000-0005-0000-0000-0000ED090000}"/>
    <cellStyle name="_E  Springfield Ago-26-08_SUBARTICO ADD-DEL 2" xfId="2443" xr:uid="{00000000-0005-0000-0000-0000EE090000}"/>
    <cellStyle name="_E  Springfield Ago-26-08_W10251766 D" xfId="2444" xr:uid="{00000000-0005-0000-0000-0000EF090000}"/>
    <cellStyle name="_E  Springfield Ago-26-08_W10279106 y W10279107 de MR a 56i" xfId="2445" xr:uid="{00000000-0005-0000-0000-0000F0090000}"/>
    <cellStyle name="_E  Springfield Ago-26-08_W10315922 A" xfId="2446" xr:uid="{00000000-0005-0000-0000-0000F1090000}"/>
    <cellStyle name="_E  Springfield Ago-27-08" xfId="2447" xr:uid="{00000000-0005-0000-0000-0000F2090000}"/>
    <cellStyle name="_E  Springfield Ago-27-08 2" xfId="2448" xr:uid="{00000000-0005-0000-0000-0000F3090000}"/>
    <cellStyle name="_E  Springfield Ago-27-08 2 2" xfId="2449" xr:uid="{00000000-0005-0000-0000-0000F4090000}"/>
    <cellStyle name="_E  Springfield Ago-27-08 2 3" xfId="2450" xr:uid="{00000000-0005-0000-0000-0000F5090000}"/>
    <cellStyle name="_E  Springfield Ago-27-08 2 4" xfId="2451" xr:uid="{00000000-0005-0000-0000-0000F6090000}"/>
    <cellStyle name="_E  Springfield Ago-27-08 3" xfId="2452" xr:uid="{00000000-0005-0000-0000-0000F7090000}"/>
    <cellStyle name="_E  Springfield Ago-27-08_862-CH" xfId="2453" xr:uid="{00000000-0005-0000-0000-0000F8090000}"/>
    <cellStyle name="_E  Springfield Ago-27-08_BSHNC151 (RFQ EE4509)" xfId="2454" xr:uid="{00000000-0005-0000-0000-0000F9090000}"/>
    <cellStyle name="_E  Springfield Ago-27-08_BSHNC151 (RFQ EE4509) 2" xfId="2455" xr:uid="{00000000-0005-0000-0000-0000FA090000}"/>
    <cellStyle name="_E  Springfield Ago-27-08_BSHNC162 (RFQ EE5409)1" xfId="2456" xr:uid="{00000000-0005-0000-0000-0000FB090000}"/>
    <cellStyle name="_E  Springfield Ago-27-08_BSHNC162 (RFQ EE5409)1 2" xfId="2457" xr:uid="{00000000-0005-0000-0000-0000FC090000}"/>
    <cellStyle name="_E  Springfield Ago-27-08_ESTIMATED ARES-10 PACKAGE 25NOV" xfId="2458" xr:uid="{00000000-0005-0000-0000-0000FD090000}"/>
    <cellStyle name="_E  Springfield Ago-27-08_ESTIMATED ARES-10 PACKAGE 25NOV 2" xfId="2459" xr:uid="{00000000-0005-0000-0000-0000FE090000}"/>
    <cellStyle name="_E  Springfield Ago-27-08_ESTIMATED ARES-10 PACKAGE 25NOV 3" xfId="24728" xr:uid="{00000000-0005-0000-0000-0000FF090000}"/>
    <cellStyle name="_E  Springfield Ago-27-08_ESTIMATED ARES-10 PACKAGE 25NOV_SUBARTICO ADD-DEL" xfId="2460" xr:uid="{00000000-0005-0000-0000-0000000A0000}"/>
    <cellStyle name="_E  Springfield Ago-27-08_ESTIMATED ARES-10 PACKAGE 25NOV_SUBARTICO ADD-DEL 2" xfId="2461" xr:uid="{00000000-0005-0000-0000-0000010A0000}"/>
    <cellStyle name="_E  Springfield Ago-27-08_SUBARTICO ADD-DEL" xfId="2462" xr:uid="{00000000-0005-0000-0000-0000020A0000}"/>
    <cellStyle name="_E  Springfield Ago-27-08_SUBARTICO ADD-DEL 2" xfId="2463" xr:uid="{00000000-0005-0000-0000-0000030A0000}"/>
    <cellStyle name="_E  Springfield Ago-27-08_W10251766 D" xfId="2464" xr:uid="{00000000-0005-0000-0000-0000040A0000}"/>
    <cellStyle name="_E  Springfield Ago-27-08_W10279106 y W10279107 de MR a 56i" xfId="2465" xr:uid="{00000000-0005-0000-0000-0000050A0000}"/>
    <cellStyle name="_E  Springfield Ago-27-08_W10315922 A" xfId="2466" xr:uid="{00000000-0005-0000-0000-0000060A0000}"/>
    <cellStyle name="_E  Springfield Ago-27-08_WC cleveland con spreadshet" xfId="2467" xr:uid="{00000000-0005-0000-0000-0000070A0000}"/>
    <cellStyle name="_E  Springfield Ago-27-08_WC cleveland con spreadshet 2" xfId="2468" xr:uid="{00000000-0005-0000-0000-0000080A0000}"/>
    <cellStyle name="_E  Springfield Ago-27-08_WC cleveland con spreadshet 3" xfId="24729" xr:uid="{00000000-0005-0000-0000-0000090A0000}"/>
    <cellStyle name="_E  Springfield Ago-27-08_WC cleveland con spreadshet_SUBARTICO ADD-DEL" xfId="2469" xr:uid="{00000000-0005-0000-0000-00000A0A0000}"/>
    <cellStyle name="_E  Springfield Ago-27-08_WC cleveland con spreadshet_SUBARTICO ADD-DEL 2" xfId="2470" xr:uid="{00000000-0005-0000-0000-00000B0A0000}"/>
    <cellStyle name="_E  Springfield Dic-17-08" xfId="2471" xr:uid="{00000000-0005-0000-0000-00000C0A0000}"/>
    <cellStyle name="_E  Springfield Dic-17-08 2" xfId="2472" xr:uid="{00000000-0005-0000-0000-00000D0A0000}"/>
    <cellStyle name="_E  Springfield Dic-17-08 2 2" xfId="2473" xr:uid="{00000000-0005-0000-0000-00000E0A0000}"/>
    <cellStyle name="_E  Springfield Dic-17-08 2 3" xfId="2474" xr:uid="{00000000-0005-0000-0000-00000F0A0000}"/>
    <cellStyle name="_E  Springfield Dic-17-08 2 4" xfId="2475" xr:uid="{00000000-0005-0000-0000-0000100A0000}"/>
    <cellStyle name="_E  Springfield Dic-17-08 3" xfId="2476" xr:uid="{00000000-0005-0000-0000-0000110A0000}"/>
    <cellStyle name="_E  Springfield Dic-17-08_862-CH" xfId="2477" xr:uid="{00000000-0005-0000-0000-0000120A0000}"/>
    <cellStyle name="_E  Springfield Dic-17-08_BSHNC162 (RFQ EE5409)1" xfId="2478" xr:uid="{00000000-0005-0000-0000-0000130A0000}"/>
    <cellStyle name="_E  Springfield Dic-17-08_BSHNC162 (RFQ EE5409)1 2" xfId="2479" xr:uid="{00000000-0005-0000-0000-0000140A0000}"/>
    <cellStyle name="_E  Springfield Dic-17-08_SUBARTICO ADD-DEL" xfId="2480" xr:uid="{00000000-0005-0000-0000-0000150A0000}"/>
    <cellStyle name="_E  Springfield Dic-17-08_SUBARTICO ADD-DEL 2" xfId="2481" xr:uid="{00000000-0005-0000-0000-0000160A0000}"/>
    <cellStyle name="_E  Springfield Dic-17-08_W10251766 D" xfId="2482" xr:uid="{00000000-0005-0000-0000-0000170A0000}"/>
    <cellStyle name="_E  Springfield Dic-17-08_W10279106 y W10279107 de MR a 56i" xfId="2483" xr:uid="{00000000-0005-0000-0000-0000180A0000}"/>
    <cellStyle name="_E  Springfield Dic-17-08_W10315922 A" xfId="2484" xr:uid="{00000000-0005-0000-0000-0000190A0000}"/>
    <cellStyle name="_E  Springfield Nov-03-08" xfId="2485" xr:uid="{00000000-0005-0000-0000-00001A0A0000}"/>
    <cellStyle name="_E  Springfield Nov-03-08 2" xfId="2486" xr:uid="{00000000-0005-0000-0000-00001B0A0000}"/>
    <cellStyle name="_E  Springfield Nov-03-08 2 2" xfId="2487" xr:uid="{00000000-0005-0000-0000-00001C0A0000}"/>
    <cellStyle name="_E  Springfield Nov-03-08 2 3" xfId="2488" xr:uid="{00000000-0005-0000-0000-00001D0A0000}"/>
    <cellStyle name="_E  Springfield Nov-03-08 2 4" xfId="2489" xr:uid="{00000000-0005-0000-0000-00001E0A0000}"/>
    <cellStyle name="_E  Springfield Nov-03-08 3" xfId="2490" xr:uid="{00000000-0005-0000-0000-00001F0A0000}"/>
    <cellStyle name="_E  Springfield Nov-03-08_862-CH" xfId="2491" xr:uid="{00000000-0005-0000-0000-0000200A0000}"/>
    <cellStyle name="_E  Springfield Nov-03-08_BSHNC162 (RFQ EE5409)1" xfId="2492" xr:uid="{00000000-0005-0000-0000-0000210A0000}"/>
    <cellStyle name="_E  Springfield Nov-03-08_BSHNC162 (RFQ EE5409)1 2" xfId="2493" xr:uid="{00000000-0005-0000-0000-0000220A0000}"/>
    <cellStyle name="_E  Springfield Nov-03-08_SUBARTICO ADD-DEL" xfId="2494" xr:uid="{00000000-0005-0000-0000-0000230A0000}"/>
    <cellStyle name="_E  Springfield Nov-03-08_SUBARTICO ADD-DEL 2" xfId="2495" xr:uid="{00000000-0005-0000-0000-0000240A0000}"/>
    <cellStyle name="_E  Springfield Nov-03-08_W10251766 D" xfId="2496" xr:uid="{00000000-0005-0000-0000-0000250A0000}"/>
    <cellStyle name="_E  Springfield Nov-03-08_W10279106 y W10279107 de MR a 56i" xfId="2497" xr:uid="{00000000-0005-0000-0000-0000260A0000}"/>
    <cellStyle name="_E  Springfield Nov-03-08_W10315922 A" xfId="2498" xr:uid="{00000000-0005-0000-0000-0000270A0000}"/>
    <cellStyle name="_E  Springfield Oct-07-08" xfId="2499" xr:uid="{00000000-0005-0000-0000-0000280A0000}"/>
    <cellStyle name="_E  Springfield Oct-07-08 2" xfId="2500" xr:uid="{00000000-0005-0000-0000-0000290A0000}"/>
    <cellStyle name="_E  Springfield Oct-07-08 2 2" xfId="2501" xr:uid="{00000000-0005-0000-0000-00002A0A0000}"/>
    <cellStyle name="_E  Springfield Oct-07-08 2 3" xfId="2502" xr:uid="{00000000-0005-0000-0000-00002B0A0000}"/>
    <cellStyle name="_E  Springfield Oct-07-08 2 4" xfId="2503" xr:uid="{00000000-0005-0000-0000-00002C0A0000}"/>
    <cellStyle name="_E  Springfield Oct-07-08 3" xfId="2504" xr:uid="{00000000-0005-0000-0000-00002D0A0000}"/>
    <cellStyle name="_E  Springfield Oct-07-08_862-CH" xfId="2505" xr:uid="{00000000-0005-0000-0000-00002E0A0000}"/>
    <cellStyle name="_E  Springfield Oct-07-08_BSHNC162 (RFQ EE5409)1" xfId="2506" xr:uid="{00000000-0005-0000-0000-00002F0A0000}"/>
    <cellStyle name="_E  Springfield Oct-07-08_BSHNC162 (RFQ EE5409)1 2" xfId="2507" xr:uid="{00000000-0005-0000-0000-0000300A0000}"/>
    <cellStyle name="_E  Springfield Oct-07-08_SUBARTICO ADD-DEL" xfId="2508" xr:uid="{00000000-0005-0000-0000-0000310A0000}"/>
    <cellStyle name="_E  Springfield Oct-07-08_SUBARTICO ADD-DEL 2" xfId="2509" xr:uid="{00000000-0005-0000-0000-0000320A0000}"/>
    <cellStyle name="_E  Springfield Oct-07-08_W10251766 D" xfId="2510" xr:uid="{00000000-0005-0000-0000-0000330A0000}"/>
    <cellStyle name="_E  Springfield Oct-07-08_W10279106 y W10279107 de MR a 56i" xfId="2511" xr:uid="{00000000-0005-0000-0000-0000340A0000}"/>
    <cellStyle name="_E  Springfield Oct-07-08_W10315922 A" xfId="2512" xr:uid="{00000000-0005-0000-0000-0000350A0000}"/>
    <cellStyle name="_E  Springfield Oct-28-08" xfId="2513" xr:uid="{00000000-0005-0000-0000-0000360A0000}"/>
    <cellStyle name="_E  Springfield Oct-28-08 2" xfId="2514" xr:uid="{00000000-0005-0000-0000-0000370A0000}"/>
    <cellStyle name="_E  Springfield Oct-28-08 2 2" xfId="2515" xr:uid="{00000000-0005-0000-0000-0000380A0000}"/>
    <cellStyle name="_E  Springfield Oct-28-08 2 3" xfId="2516" xr:uid="{00000000-0005-0000-0000-0000390A0000}"/>
    <cellStyle name="_E  Springfield Oct-28-08 2 4" xfId="2517" xr:uid="{00000000-0005-0000-0000-00003A0A0000}"/>
    <cellStyle name="_E  Springfield Oct-28-08 3" xfId="2518" xr:uid="{00000000-0005-0000-0000-00003B0A0000}"/>
    <cellStyle name="_E  Springfield Oct-28-08_862-CH" xfId="2519" xr:uid="{00000000-0005-0000-0000-00003C0A0000}"/>
    <cellStyle name="_E  Springfield Oct-28-08_BSHNC162 (RFQ EE5409)1" xfId="2520" xr:uid="{00000000-0005-0000-0000-00003D0A0000}"/>
    <cellStyle name="_E  Springfield Oct-28-08_BSHNC162 (RFQ EE5409)1 2" xfId="2521" xr:uid="{00000000-0005-0000-0000-00003E0A0000}"/>
    <cellStyle name="_E  Springfield Oct-28-08_SUBARTICO ADD-DEL" xfId="2522" xr:uid="{00000000-0005-0000-0000-00003F0A0000}"/>
    <cellStyle name="_E  Springfield Oct-28-08_SUBARTICO ADD-DEL 2" xfId="2523" xr:uid="{00000000-0005-0000-0000-0000400A0000}"/>
    <cellStyle name="_E  Springfield Oct-28-08_W10251766 D" xfId="2524" xr:uid="{00000000-0005-0000-0000-0000410A0000}"/>
    <cellStyle name="_E  Springfield Oct-28-08_W10279106 y W10279107 de MR a 56i" xfId="2525" xr:uid="{00000000-0005-0000-0000-0000420A0000}"/>
    <cellStyle name="_E  Springfield Oct-28-08_W10315922 A" xfId="2526" xr:uid="{00000000-0005-0000-0000-0000430A0000}"/>
    <cellStyle name="_E  Springfield Sep-10-08" xfId="2527" xr:uid="{00000000-0005-0000-0000-0000440A0000}"/>
    <cellStyle name="_E  Springfield Sep-10-08 2" xfId="2528" xr:uid="{00000000-0005-0000-0000-0000450A0000}"/>
    <cellStyle name="_E  Springfield Sep-10-08 2 2" xfId="2529" xr:uid="{00000000-0005-0000-0000-0000460A0000}"/>
    <cellStyle name="_E  Springfield Sep-10-08 2 3" xfId="2530" xr:uid="{00000000-0005-0000-0000-0000470A0000}"/>
    <cellStyle name="_E  Springfield Sep-10-08 2 4" xfId="2531" xr:uid="{00000000-0005-0000-0000-0000480A0000}"/>
    <cellStyle name="_E  Springfield Sep-10-08 3" xfId="2532" xr:uid="{00000000-0005-0000-0000-0000490A0000}"/>
    <cellStyle name="_E  Springfield Sep-10-08_862-CH" xfId="2533" xr:uid="{00000000-0005-0000-0000-00004A0A0000}"/>
    <cellStyle name="_E  Springfield Sep-10-08_BSHNC162 (RFQ EE5409)1" xfId="2534" xr:uid="{00000000-0005-0000-0000-00004B0A0000}"/>
    <cellStyle name="_E  Springfield Sep-10-08_BSHNC162 (RFQ EE5409)1 2" xfId="2535" xr:uid="{00000000-0005-0000-0000-00004C0A0000}"/>
    <cellStyle name="_E  Springfield Sep-10-08_SUBARTICO ADD-DEL" xfId="2536" xr:uid="{00000000-0005-0000-0000-00004D0A0000}"/>
    <cellStyle name="_E  Springfield Sep-10-08_SUBARTICO ADD-DEL 2" xfId="2537" xr:uid="{00000000-0005-0000-0000-00004E0A0000}"/>
    <cellStyle name="_E  Springfield Sep-10-08_W10251766 D" xfId="2538" xr:uid="{00000000-0005-0000-0000-00004F0A0000}"/>
    <cellStyle name="_E  Springfield Sep-10-08_W10279106 y W10279107 de MR a 56i" xfId="2539" xr:uid="{00000000-0005-0000-0000-0000500A0000}"/>
    <cellStyle name="_E  Springfield Sep-10-08_W10315922 A" xfId="2540" xr:uid="{00000000-0005-0000-0000-0000510A0000}"/>
    <cellStyle name="_E  Springfield Sep-24-08" xfId="2541" xr:uid="{00000000-0005-0000-0000-0000520A0000}"/>
    <cellStyle name="_E  Springfield Sep-24-08 (2)" xfId="2542" xr:uid="{00000000-0005-0000-0000-0000530A0000}"/>
    <cellStyle name="_E  Springfield Sep-24-08 (2) 2" xfId="2543" xr:uid="{00000000-0005-0000-0000-0000540A0000}"/>
    <cellStyle name="_E  Springfield Sep-24-08 (2) 2 2" xfId="2544" xr:uid="{00000000-0005-0000-0000-0000550A0000}"/>
    <cellStyle name="_E  Springfield Sep-24-08 (2) 2 3" xfId="2545" xr:uid="{00000000-0005-0000-0000-0000560A0000}"/>
    <cellStyle name="_E  Springfield Sep-24-08 (2) 2 4" xfId="2546" xr:uid="{00000000-0005-0000-0000-0000570A0000}"/>
    <cellStyle name="_E  Springfield Sep-24-08 (2) 3" xfId="2547" xr:uid="{00000000-0005-0000-0000-0000580A0000}"/>
    <cellStyle name="_E  Springfield Sep-24-08 (2)_862-CH" xfId="2548" xr:uid="{00000000-0005-0000-0000-0000590A0000}"/>
    <cellStyle name="_E  Springfield Sep-24-08 (2)_BSHNC162 (RFQ EE5409)1" xfId="2549" xr:uid="{00000000-0005-0000-0000-00005A0A0000}"/>
    <cellStyle name="_E  Springfield Sep-24-08 (2)_BSHNC162 (RFQ EE5409)1 2" xfId="2550" xr:uid="{00000000-0005-0000-0000-00005B0A0000}"/>
    <cellStyle name="_E  Springfield Sep-24-08 (2)_SUBARTICO ADD-DEL" xfId="2551" xr:uid="{00000000-0005-0000-0000-00005C0A0000}"/>
    <cellStyle name="_E  Springfield Sep-24-08 (2)_SUBARTICO ADD-DEL 2" xfId="2552" xr:uid="{00000000-0005-0000-0000-00005D0A0000}"/>
    <cellStyle name="_E  Springfield Sep-24-08 (2)_W10251766 D" xfId="2553" xr:uid="{00000000-0005-0000-0000-00005E0A0000}"/>
    <cellStyle name="_E  Springfield Sep-24-08 (2)_W10279106 y W10279107 de MR a 56i" xfId="2554" xr:uid="{00000000-0005-0000-0000-00005F0A0000}"/>
    <cellStyle name="_E  Springfield Sep-24-08 (2)_W10315922 A" xfId="2555" xr:uid="{00000000-0005-0000-0000-0000600A0000}"/>
    <cellStyle name="_E  Springfield Sep-24-08 10" xfId="24730" xr:uid="{00000000-0005-0000-0000-0000610A0000}"/>
    <cellStyle name="_E  Springfield Sep-24-08 11" xfId="24731" xr:uid="{00000000-0005-0000-0000-0000620A0000}"/>
    <cellStyle name="_E  Springfield Sep-24-08 12" xfId="24732" xr:uid="{00000000-0005-0000-0000-0000630A0000}"/>
    <cellStyle name="_E  Springfield Sep-24-08 13" xfId="24733" xr:uid="{00000000-0005-0000-0000-0000640A0000}"/>
    <cellStyle name="_E  Springfield Sep-24-08 2" xfId="2556" xr:uid="{00000000-0005-0000-0000-0000650A0000}"/>
    <cellStyle name="_E  Springfield Sep-24-08 2 2" xfId="2557" xr:uid="{00000000-0005-0000-0000-0000660A0000}"/>
    <cellStyle name="_E  Springfield Sep-24-08 2 3" xfId="2558" xr:uid="{00000000-0005-0000-0000-0000670A0000}"/>
    <cellStyle name="_E  Springfield Sep-24-08 2 4" xfId="2559" xr:uid="{00000000-0005-0000-0000-0000680A0000}"/>
    <cellStyle name="_E  Springfield Sep-24-08 3" xfId="2560" xr:uid="{00000000-0005-0000-0000-0000690A0000}"/>
    <cellStyle name="_E  Springfield Sep-24-08 3 2" xfId="2561" xr:uid="{00000000-0005-0000-0000-00006A0A0000}"/>
    <cellStyle name="_E  Springfield Sep-24-08 3 3" xfId="2562" xr:uid="{00000000-0005-0000-0000-00006B0A0000}"/>
    <cellStyle name="_E  Springfield Sep-24-08 3 4" xfId="2563" xr:uid="{00000000-0005-0000-0000-00006C0A0000}"/>
    <cellStyle name="_E  Springfield Sep-24-08 4" xfId="2564" xr:uid="{00000000-0005-0000-0000-00006D0A0000}"/>
    <cellStyle name="_E  Springfield Sep-24-08 5" xfId="24734" xr:uid="{00000000-0005-0000-0000-00006E0A0000}"/>
    <cellStyle name="_E  Springfield Sep-24-08 6" xfId="24735" xr:uid="{00000000-0005-0000-0000-00006F0A0000}"/>
    <cellStyle name="_E  Springfield Sep-24-08 7" xfId="24736" xr:uid="{00000000-0005-0000-0000-0000700A0000}"/>
    <cellStyle name="_E  Springfield Sep-24-08 8" xfId="24737" xr:uid="{00000000-0005-0000-0000-0000710A0000}"/>
    <cellStyle name="_E  Springfield Sep-24-08 9" xfId="24738" xr:uid="{00000000-0005-0000-0000-0000720A0000}"/>
    <cellStyle name="_E  Springfield Sep-24-08_862-CH" xfId="2565" xr:uid="{00000000-0005-0000-0000-0000730A0000}"/>
    <cellStyle name="_E  Springfield Sep-24-08_BSHNC162 (RFQ EE5409)1" xfId="2566" xr:uid="{00000000-0005-0000-0000-0000740A0000}"/>
    <cellStyle name="_E  Springfield Sep-24-08_BSHNC162 (RFQ EE5409)1 2" xfId="2567" xr:uid="{00000000-0005-0000-0000-0000750A0000}"/>
    <cellStyle name="_E  Springfield Sep-24-08_SUBARTICO ADD-DEL" xfId="2568" xr:uid="{00000000-0005-0000-0000-0000760A0000}"/>
    <cellStyle name="_E  Springfield Sep-24-08_SUBARTICO ADD-DEL 2" xfId="2569" xr:uid="{00000000-0005-0000-0000-0000770A0000}"/>
    <cellStyle name="_E  Springfield Sep-24-08_W10251766 D" xfId="2570" xr:uid="{00000000-0005-0000-0000-0000780A0000}"/>
    <cellStyle name="_E  Springfield Sep-24-08_W10279106 y W10279107 de MR a 56i" xfId="2571" xr:uid="{00000000-0005-0000-0000-0000790A0000}"/>
    <cellStyle name="_E  Springfield Sep-24-08_W10315922 A" xfId="2572" xr:uid="{00000000-0005-0000-0000-00007A0A0000}"/>
    <cellStyle name="_E Canada Julio-20-09" xfId="2573" xr:uid="{00000000-0005-0000-0000-00007B0A0000}"/>
    <cellStyle name="_E Canada Julio-20-09 10" xfId="2574" xr:uid="{00000000-0005-0000-0000-00007C0A0000}"/>
    <cellStyle name="_E Canada Julio-20-09 11" xfId="2575" xr:uid="{00000000-0005-0000-0000-00007D0A0000}"/>
    <cellStyle name="_E Canada Julio-20-09 2" xfId="2576" xr:uid="{00000000-0005-0000-0000-00007E0A0000}"/>
    <cellStyle name="_E Canada Julio-20-09 2 2" xfId="2577" xr:uid="{00000000-0005-0000-0000-00007F0A0000}"/>
    <cellStyle name="_E Canada Julio-20-09 2 3" xfId="2578" xr:uid="{00000000-0005-0000-0000-0000800A0000}"/>
    <cellStyle name="_E Canada Julio-20-09 2 4" xfId="2579" xr:uid="{00000000-0005-0000-0000-0000810A0000}"/>
    <cellStyle name="_E Canada Julio-20-09 2 5" xfId="2580" xr:uid="{00000000-0005-0000-0000-0000820A0000}"/>
    <cellStyle name="_E Canada Julio-20-09 2_SUBARTICO ADD-DEL" xfId="2581" xr:uid="{00000000-0005-0000-0000-0000830A0000}"/>
    <cellStyle name="_E Canada Julio-20-09 2_SUBARTICO ADD-DEL 2" xfId="2582" xr:uid="{00000000-0005-0000-0000-0000840A0000}"/>
    <cellStyle name="_E Canada Julio-20-09 3" xfId="2583" xr:uid="{00000000-0005-0000-0000-0000850A0000}"/>
    <cellStyle name="_E Canada Julio-20-09 3 2" xfId="2584" xr:uid="{00000000-0005-0000-0000-0000860A0000}"/>
    <cellStyle name="_E Canada Julio-20-09 3 3" xfId="2585" xr:uid="{00000000-0005-0000-0000-0000870A0000}"/>
    <cellStyle name="_E Canada Julio-20-09 3 4" xfId="2586" xr:uid="{00000000-0005-0000-0000-0000880A0000}"/>
    <cellStyle name="_E Canada Julio-20-09 3 5" xfId="2587" xr:uid="{00000000-0005-0000-0000-0000890A0000}"/>
    <cellStyle name="_E Canada Julio-20-09 3_SUBARTICO ADD-DEL" xfId="2588" xr:uid="{00000000-0005-0000-0000-00008A0A0000}"/>
    <cellStyle name="_E Canada Julio-20-09 3_SUBARTICO ADD-DEL 2" xfId="2589" xr:uid="{00000000-0005-0000-0000-00008B0A0000}"/>
    <cellStyle name="_E Canada Julio-20-09 4" xfId="2590" xr:uid="{00000000-0005-0000-0000-00008C0A0000}"/>
    <cellStyle name="_E Canada Julio-20-09 4 2" xfId="2591" xr:uid="{00000000-0005-0000-0000-00008D0A0000}"/>
    <cellStyle name="_E Canada Julio-20-09 4 3" xfId="2592" xr:uid="{00000000-0005-0000-0000-00008E0A0000}"/>
    <cellStyle name="_E Canada Julio-20-09 4 4" xfId="2593" xr:uid="{00000000-0005-0000-0000-00008F0A0000}"/>
    <cellStyle name="_E Canada Julio-20-09 4 5" xfId="2594" xr:uid="{00000000-0005-0000-0000-0000900A0000}"/>
    <cellStyle name="_E Canada Julio-20-09 4_SUBARTICO ADD-DEL" xfId="2595" xr:uid="{00000000-0005-0000-0000-0000910A0000}"/>
    <cellStyle name="_E Canada Julio-20-09 4_SUBARTICO ADD-DEL 2" xfId="2596" xr:uid="{00000000-0005-0000-0000-0000920A0000}"/>
    <cellStyle name="_E Canada Julio-20-09 5" xfId="2597" xr:uid="{00000000-0005-0000-0000-0000930A0000}"/>
    <cellStyle name="_E Canada Julio-20-09 5 2" xfId="2598" xr:uid="{00000000-0005-0000-0000-0000940A0000}"/>
    <cellStyle name="_E Canada Julio-20-09 5 3" xfId="2599" xr:uid="{00000000-0005-0000-0000-0000950A0000}"/>
    <cellStyle name="_E Canada Julio-20-09 5 4" xfId="2600" xr:uid="{00000000-0005-0000-0000-0000960A0000}"/>
    <cellStyle name="_E Canada Julio-20-09 5 5" xfId="2601" xr:uid="{00000000-0005-0000-0000-0000970A0000}"/>
    <cellStyle name="_E Canada Julio-20-09 5_SUBARTICO ADD-DEL" xfId="2602" xr:uid="{00000000-0005-0000-0000-0000980A0000}"/>
    <cellStyle name="_E Canada Julio-20-09 5_SUBARTICO ADD-DEL 2" xfId="2603" xr:uid="{00000000-0005-0000-0000-0000990A0000}"/>
    <cellStyle name="_E Canada Julio-20-09 6" xfId="2604" xr:uid="{00000000-0005-0000-0000-00009A0A0000}"/>
    <cellStyle name="_E Canada Julio-20-09 6 2" xfId="2605" xr:uid="{00000000-0005-0000-0000-00009B0A0000}"/>
    <cellStyle name="_E Canada Julio-20-09 6 3" xfId="2606" xr:uid="{00000000-0005-0000-0000-00009C0A0000}"/>
    <cellStyle name="_E Canada Julio-20-09 6 4" xfId="2607" xr:uid="{00000000-0005-0000-0000-00009D0A0000}"/>
    <cellStyle name="_E Canada Julio-20-09 6 5" xfId="2608" xr:uid="{00000000-0005-0000-0000-00009E0A0000}"/>
    <cellStyle name="_E Canada Julio-20-09 6_SUBARTICO ADD-DEL" xfId="2609" xr:uid="{00000000-0005-0000-0000-00009F0A0000}"/>
    <cellStyle name="_E Canada Julio-20-09 6_SUBARTICO ADD-DEL 2" xfId="2610" xr:uid="{00000000-0005-0000-0000-0000A00A0000}"/>
    <cellStyle name="_E Canada Julio-20-09 7" xfId="2611" xr:uid="{00000000-0005-0000-0000-0000A10A0000}"/>
    <cellStyle name="_E Canada Julio-20-09 7 2" xfId="2612" xr:uid="{00000000-0005-0000-0000-0000A20A0000}"/>
    <cellStyle name="_E Canada Julio-20-09 7 3" xfId="2613" xr:uid="{00000000-0005-0000-0000-0000A30A0000}"/>
    <cellStyle name="_E Canada Julio-20-09 7 4" xfId="2614" xr:uid="{00000000-0005-0000-0000-0000A40A0000}"/>
    <cellStyle name="_E Canada Julio-20-09 7 5" xfId="2615" xr:uid="{00000000-0005-0000-0000-0000A50A0000}"/>
    <cellStyle name="_E Canada Julio-20-09 7_SUBARTICO ADD-DEL" xfId="2616" xr:uid="{00000000-0005-0000-0000-0000A60A0000}"/>
    <cellStyle name="_E Canada Julio-20-09 7_SUBARTICO ADD-DEL 2" xfId="2617" xr:uid="{00000000-0005-0000-0000-0000A70A0000}"/>
    <cellStyle name="_E Canada Julio-20-09 8" xfId="2618" xr:uid="{00000000-0005-0000-0000-0000A80A0000}"/>
    <cellStyle name="_E Canada Julio-20-09 9" xfId="2619" xr:uid="{00000000-0005-0000-0000-0000A90A0000}"/>
    <cellStyle name="_E Canada Julio-20-09_Ec-2376 to 2379 Add-del 318402413 2414 2374 318394491" xfId="2620" xr:uid="{00000000-0005-0000-0000-0000AA0A0000}"/>
    <cellStyle name="_E Canada Julio-20-09_Ec-2376 to 2379 Add-del 318402413 2414 2374 318394491 2" xfId="2621" xr:uid="{00000000-0005-0000-0000-0000AB0A0000}"/>
    <cellStyle name="_E Canada Julio-20-09_Ec-2376 to 2379 Add-del 318402413 2414 2374 318394491 3" xfId="2622" xr:uid="{00000000-0005-0000-0000-0000AC0A0000}"/>
    <cellStyle name="_E Canada Julio-20-09_Ec-2376 to 2379 Add-del 318402413 2414 2374 318394491 4" xfId="2623" xr:uid="{00000000-0005-0000-0000-0000AD0A0000}"/>
    <cellStyle name="_E Canada Julio-20-09_Ec-2376 to 2379 Add-del 318402413 2414 2374 318394491 5" xfId="2624" xr:uid="{00000000-0005-0000-0000-0000AE0A0000}"/>
    <cellStyle name="_E Canada Julio-20-09_Ec-2376 to 2379 Add-del 318402413 2414 2374 318394491_SUBARTICO ADD-DEL" xfId="2625" xr:uid="{00000000-0005-0000-0000-0000AF0A0000}"/>
    <cellStyle name="_E Canada Julio-20-09_Ec-2376 to 2379 Add-del 318402413 2414 2374 318394491_SUBARTICO ADD-DEL 2" xfId="2626" xr:uid="{00000000-0005-0000-0000-0000B00A0000}"/>
    <cellStyle name="_E Canada Julio-20-09_SUBARTICO ADD-DEL" xfId="2627" xr:uid="{00000000-0005-0000-0000-0000B10A0000}"/>
    <cellStyle name="_E Canada Julio-20-09_SUBARTICO ADD-DEL 2" xfId="2628" xr:uid="{00000000-0005-0000-0000-0000B20A0000}"/>
    <cellStyle name="_E Canada Junio-03-09" xfId="2629" xr:uid="{00000000-0005-0000-0000-0000B30A0000}"/>
    <cellStyle name="_E Canada Junio-03-09 10" xfId="2630" xr:uid="{00000000-0005-0000-0000-0000B40A0000}"/>
    <cellStyle name="_E Canada Junio-03-09 10 2" xfId="2631" xr:uid="{00000000-0005-0000-0000-0000B50A0000}"/>
    <cellStyle name="_E Canada Junio-03-09 10 3" xfId="2632" xr:uid="{00000000-0005-0000-0000-0000B60A0000}"/>
    <cellStyle name="_E Canada Junio-03-09 10 4" xfId="2633" xr:uid="{00000000-0005-0000-0000-0000B70A0000}"/>
    <cellStyle name="_E Canada Junio-03-09 2" xfId="2634" xr:uid="{00000000-0005-0000-0000-0000B80A0000}"/>
    <cellStyle name="_E Canada Junio-03-09 2 2" xfId="2635" xr:uid="{00000000-0005-0000-0000-0000B90A0000}"/>
    <cellStyle name="_E Canada Junio-03-09 2 3" xfId="2636" xr:uid="{00000000-0005-0000-0000-0000BA0A0000}"/>
    <cellStyle name="_E Canada Junio-03-09 2 4" xfId="2637" xr:uid="{00000000-0005-0000-0000-0000BB0A0000}"/>
    <cellStyle name="_E Canada Junio-03-09 2 5" xfId="2638" xr:uid="{00000000-0005-0000-0000-0000BC0A0000}"/>
    <cellStyle name="_E Canada Junio-03-09 2_SUBARTICO ADD-DEL" xfId="2639" xr:uid="{00000000-0005-0000-0000-0000BD0A0000}"/>
    <cellStyle name="_E Canada Junio-03-09 2_SUBARTICO ADD-DEL 2" xfId="2640" xr:uid="{00000000-0005-0000-0000-0000BE0A0000}"/>
    <cellStyle name="_E Canada Junio-03-09 3" xfId="2641" xr:uid="{00000000-0005-0000-0000-0000BF0A0000}"/>
    <cellStyle name="_E Canada Junio-03-09 3 2" xfId="2642" xr:uid="{00000000-0005-0000-0000-0000C00A0000}"/>
    <cellStyle name="_E Canada Junio-03-09 3 3" xfId="2643" xr:uid="{00000000-0005-0000-0000-0000C10A0000}"/>
    <cellStyle name="_E Canada Junio-03-09 3 4" xfId="2644" xr:uid="{00000000-0005-0000-0000-0000C20A0000}"/>
    <cellStyle name="_E Canada Junio-03-09 3 5" xfId="2645" xr:uid="{00000000-0005-0000-0000-0000C30A0000}"/>
    <cellStyle name="_E Canada Junio-03-09 3_SUBARTICO ADD-DEL" xfId="2646" xr:uid="{00000000-0005-0000-0000-0000C40A0000}"/>
    <cellStyle name="_E Canada Junio-03-09 3_SUBARTICO ADD-DEL 2" xfId="2647" xr:uid="{00000000-0005-0000-0000-0000C50A0000}"/>
    <cellStyle name="_E Canada Junio-03-09 4" xfId="2648" xr:uid="{00000000-0005-0000-0000-0000C60A0000}"/>
    <cellStyle name="_E Canada Junio-03-09 4 2" xfId="2649" xr:uid="{00000000-0005-0000-0000-0000C70A0000}"/>
    <cellStyle name="_E Canada Junio-03-09 4 3" xfId="2650" xr:uid="{00000000-0005-0000-0000-0000C80A0000}"/>
    <cellStyle name="_E Canada Junio-03-09 4 4" xfId="2651" xr:uid="{00000000-0005-0000-0000-0000C90A0000}"/>
    <cellStyle name="_E Canada Junio-03-09 4 5" xfId="2652" xr:uid="{00000000-0005-0000-0000-0000CA0A0000}"/>
    <cellStyle name="_E Canada Junio-03-09 4_SUBARTICO ADD-DEL" xfId="2653" xr:uid="{00000000-0005-0000-0000-0000CB0A0000}"/>
    <cellStyle name="_E Canada Junio-03-09 4_SUBARTICO ADD-DEL 2" xfId="2654" xr:uid="{00000000-0005-0000-0000-0000CC0A0000}"/>
    <cellStyle name="_E Canada Junio-03-09 5" xfId="2655" xr:uid="{00000000-0005-0000-0000-0000CD0A0000}"/>
    <cellStyle name="_E Canada Junio-03-09 5 2" xfId="2656" xr:uid="{00000000-0005-0000-0000-0000CE0A0000}"/>
    <cellStyle name="_E Canada Junio-03-09 5 3" xfId="2657" xr:uid="{00000000-0005-0000-0000-0000CF0A0000}"/>
    <cellStyle name="_E Canada Junio-03-09 5 4" xfId="2658" xr:uid="{00000000-0005-0000-0000-0000D00A0000}"/>
    <cellStyle name="_E Canada Junio-03-09 5 5" xfId="2659" xr:uid="{00000000-0005-0000-0000-0000D10A0000}"/>
    <cellStyle name="_E Canada Junio-03-09 5_SUBARTICO ADD-DEL" xfId="2660" xr:uid="{00000000-0005-0000-0000-0000D20A0000}"/>
    <cellStyle name="_E Canada Junio-03-09 5_SUBARTICO ADD-DEL 2" xfId="2661" xr:uid="{00000000-0005-0000-0000-0000D30A0000}"/>
    <cellStyle name="_E Canada Junio-03-09 6" xfId="2662" xr:uid="{00000000-0005-0000-0000-0000D40A0000}"/>
    <cellStyle name="_E Canada Junio-03-09 6 2" xfId="2663" xr:uid="{00000000-0005-0000-0000-0000D50A0000}"/>
    <cellStyle name="_E Canada Junio-03-09 6 3" xfId="2664" xr:uid="{00000000-0005-0000-0000-0000D60A0000}"/>
    <cellStyle name="_E Canada Junio-03-09 6 4" xfId="2665" xr:uid="{00000000-0005-0000-0000-0000D70A0000}"/>
    <cellStyle name="_E Canada Junio-03-09 6 5" xfId="2666" xr:uid="{00000000-0005-0000-0000-0000D80A0000}"/>
    <cellStyle name="_E Canada Junio-03-09 6_SUBARTICO ADD-DEL" xfId="2667" xr:uid="{00000000-0005-0000-0000-0000D90A0000}"/>
    <cellStyle name="_E Canada Junio-03-09 6_SUBARTICO ADD-DEL 2" xfId="2668" xr:uid="{00000000-0005-0000-0000-0000DA0A0000}"/>
    <cellStyle name="_E Canada Junio-03-09 7" xfId="2669" xr:uid="{00000000-0005-0000-0000-0000DB0A0000}"/>
    <cellStyle name="_E Canada Junio-03-09 7 2" xfId="2670" xr:uid="{00000000-0005-0000-0000-0000DC0A0000}"/>
    <cellStyle name="_E Canada Junio-03-09 7 3" xfId="2671" xr:uid="{00000000-0005-0000-0000-0000DD0A0000}"/>
    <cellStyle name="_E Canada Junio-03-09 7 4" xfId="2672" xr:uid="{00000000-0005-0000-0000-0000DE0A0000}"/>
    <cellStyle name="_E Canada Junio-03-09 7 5" xfId="2673" xr:uid="{00000000-0005-0000-0000-0000DF0A0000}"/>
    <cellStyle name="_E Canada Junio-03-09 7_SUBARTICO ADD-DEL" xfId="2674" xr:uid="{00000000-0005-0000-0000-0000E00A0000}"/>
    <cellStyle name="_E Canada Junio-03-09 7_SUBARTICO ADD-DEL 2" xfId="2675" xr:uid="{00000000-0005-0000-0000-0000E10A0000}"/>
    <cellStyle name="_E Canada Junio-03-09 8" xfId="2676" xr:uid="{00000000-0005-0000-0000-0000E20A0000}"/>
    <cellStyle name="_E Canada Junio-03-09 8 2" xfId="2677" xr:uid="{00000000-0005-0000-0000-0000E30A0000}"/>
    <cellStyle name="_E Canada Junio-03-09 8 3" xfId="2678" xr:uid="{00000000-0005-0000-0000-0000E40A0000}"/>
    <cellStyle name="_E Canada Junio-03-09 8 4" xfId="2679" xr:uid="{00000000-0005-0000-0000-0000E50A0000}"/>
    <cellStyle name="_E Canada Junio-03-09 8 5" xfId="2680" xr:uid="{00000000-0005-0000-0000-0000E60A0000}"/>
    <cellStyle name="_E Canada Junio-03-09 8_SUBARTICO ADD-DEL" xfId="2681" xr:uid="{00000000-0005-0000-0000-0000E70A0000}"/>
    <cellStyle name="_E Canada Junio-03-09 8_SUBARTICO ADD-DEL 2" xfId="2682" xr:uid="{00000000-0005-0000-0000-0000E80A0000}"/>
    <cellStyle name="_E Canada Junio-03-09 9" xfId="2683" xr:uid="{00000000-0005-0000-0000-0000E90A0000}"/>
    <cellStyle name="_E Canada Junio-03-09 9 2" xfId="2684" xr:uid="{00000000-0005-0000-0000-0000EA0A0000}"/>
    <cellStyle name="_E Canada Junio-03-09 9 3" xfId="2685" xr:uid="{00000000-0005-0000-0000-0000EB0A0000}"/>
    <cellStyle name="_E Canada Junio-03-09 9 4" xfId="2686" xr:uid="{00000000-0005-0000-0000-0000EC0A0000}"/>
    <cellStyle name="_E Canada Junio-03-09 9 5" xfId="2687" xr:uid="{00000000-0005-0000-0000-0000ED0A0000}"/>
    <cellStyle name="_E Canada Junio-03-09 9_SUBARTICO ADD-DEL" xfId="2688" xr:uid="{00000000-0005-0000-0000-0000EE0A0000}"/>
    <cellStyle name="_E Canada Junio-03-09 9_SUBARTICO ADD-DEL 2" xfId="2689" xr:uid="{00000000-0005-0000-0000-0000EF0A0000}"/>
    <cellStyle name="_E Canada Junio-03-09_862-CH" xfId="2690" xr:uid="{00000000-0005-0000-0000-0000F00A0000}"/>
    <cellStyle name="_E Canada Junio-03-09_Ec-2376 to 2379 Add-del 318402413 2414 2374 318394491" xfId="2691" xr:uid="{00000000-0005-0000-0000-0000F10A0000}"/>
    <cellStyle name="_E Canada Junio-03-09_Ec-2376 to 2379 Add-del 318402413 2414 2374 318394491 2" xfId="2692" xr:uid="{00000000-0005-0000-0000-0000F20A0000}"/>
    <cellStyle name="_E Canada Junio-03-09_Ec-2376 to 2379 Add-del 318402413 2414 2374 318394491 3" xfId="2693" xr:uid="{00000000-0005-0000-0000-0000F30A0000}"/>
    <cellStyle name="_E Canada Junio-03-09_Ec-2376 to 2379 Add-del 318402413 2414 2374 318394491 4" xfId="2694" xr:uid="{00000000-0005-0000-0000-0000F40A0000}"/>
    <cellStyle name="_E Canada Junio-03-09_Ec-2376 to 2379 Add-del 318402413 2414 2374 318394491 5" xfId="2695" xr:uid="{00000000-0005-0000-0000-0000F50A0000}"/>
    <cellStyle name="_E Canada Junio-03-09_Ec-2376 to 2379 Add-del 318402413 2414 2374 318394491_SUBARTICO ADD-DEL" xfId="2696" xr:uid="{00000000-0005-0000-0000-0000F60A0000}"/>
    <cellStyle name="_E Canada Junio-03-09_Ec-2376 to 2379 Add-del 318402413 2414 2374 318394491_SUBARTICO ADD-DEL 2" xfId="2697" xr:uid="{00000000-0005-0000-0000-0000F70A0000}"/>
    <cellStyle name="_E Canada Junio-03-09_ESTIMATED ARES-10 PACKAGE 25NOV" xfId="2698" xr:uid="{00000000-0005-0000-0000-0000F80A0000}"/>
    <cellStyle name="_E Canada Junio-03-09_ESTIMATED ARES-10 PACKAGE 25NOV 2" xfId="2699" xr:uid="{00000000-0005-0000-0000-0000F90A0000}"/>
    <cellStyle name="_E Canada Junio-03-09_ESTIMATED ARES-10 PACKAGE 25NOV 3" xfId="24739" xr:uid="{00000000-0005-0000-0000-0000FA0A0000}"/>
    <cellStyle name="_E Canada Junio-03-09_ESTIMATED ARES-10 PACKAGE 25NOV_SUBARTICO ADD-DEL" xfId="2700" xr:uid="{00000000-0005-0000-0000-0000FB0A0000}"/>
    <cellStyle name="_E Canada Junio-03-09_ESTIMATED ARES-10 PACKAGE 25NOV_SUBARTICO ADD-DEL 2" xfId="2701" xr:uid="{00000000-0005-0000-0000-0000FC0A0000}"/>
    <cellStyle name="_E Canada Junio-03-09_SUBARTICO ADD-DEL" xfId="2702" xr:uid="{00000000-0005-0000-0000-0000FD0A0000}"/>
    <cellStyle name="_E Canada Junio-03-09_SUBARTICO ADD-DEL 2" xfId="2703" xr:uid="{00000000-0005-0000-0000-0000FE0A0000}"/>
    <cellStyle name="_E Canada Junio-03-09_W10251766 D" xfId="2704" xr:uid="{00000000-0005-0000-0000-0000FF0A0000}"/>
    <cellStyle name="_E Canada Junio-03-09_W10279106 y W10279107 de MR a 56i" xfId="2705" xr:uid="{00000000-0005-0000-0000-0000000B0000}"/>
    <cellStyle name="_E Canada Junio-03-09_W10315922 A" xfId="2706" xr:uid="{00000000-0005-0000-0000-0000010B0000}"/>
    <cellStyle name="_E Canada Junio-03-09_WC cleveland con spreadshet" xfId="2707" xr:uid="{00000000-0005-0000-0000-0000020B0000}"/>
    <cellStyle name="_E Canada Junio-03-09_WC cleveland con spreadshet 2" xfId="2708" xr:uid="{00000000-0005-0000-0000-0000030B0000}"/>
    <cellStyle name="_E Canada Junio-03-09_WC cleveland con spreadshet 3" xfId="24740" xr:uid="{00000000-0005-0000-0000-0000040B0000}"/>
    <cellStyle name="_E Canada Junio-03-09_WC cleveland con spreadshet_SUBARTICO ADD-DEL" xfId="2709" xr:uid="{00000000-0005-0000-0000-0000050B0000}"/>
    <cellStyle name="_E Canada Junio-03-09_WC cleveland con spreadshet_SUBARTICO ADD-DEL 2" xfId="2710" xr:uid="{00000000-0005-0000-0000-0000060B0000}"/>
    <cellStyle name="_E Canada Junio-08-09" xfId="2711" xr:uid="{00000000-0005-0000-0000-0000070B0000}"/>
    <cellStyle name="_E Canada Junio-08-09 (2)" xfId="2712" xr:uid="{00000000-0005-0000-0000-0000080B0000}"/>
    <cellStyle name="_E Canada Junio-08-09 (2) 10" xfId="2713" xr:uid="{00000000-0005-0000-0000-0000090B0000}"/>
    <cellStyle name="_E Canada Junio-08-09 (2) 11" xfId="2714" xr:uid="{00000000-0005-0000-0000-00000A0B0000}"/>
    <cellStyle name="_E Canada Junio-08-09 (2) 12" xfId="2715" xr:uid="{00000000-0005-0000-0000-00000B0B0000}"/>
    <cellStyle name="_E Canada Junio-08-09 (2) 13" xfId="2716" xr:uid="{00000000-0005-0000-0000-00000C0B0000}"/>
    <cellStyle name="_E Canada Junio-08-09 (2) 2" xfId="2717" xr:uid="{00000000-0005-0000-0000-00000D0B0000}"/>
    <cellStyle name="_E Canada Junio-08-09 (2) 2 2" xfId="2718" xr:uid="{00000000-0005-0000-0000-00000E0B0000}"/>
    <cellStyle name="_E Canada Junio-08-09 (2) 2 3" xfId="2719" xr:uid="{00000000-0005-0000-0000-00000F0B0000}"/>
    <cellStyle name="_E Canada Junio-08-09 (2) 2 4" xfId="2720" xr:uid="{00000000-0005-0000-0000-0000100B0000}"/>
    <cellStyle name="_E Canada Junio-08-09 (2) 2 5" xfId="2721" xr:uid="{00000000-0005-0000-0000-0000110B0000}"/>
    <cellStyle name="_E Canada Junio-08-09 (2) 2_SUBARTICO ADD-DEL" xfId="2722" xr:uid="{00000000-0005-0000-0000-0000120B0000}"/>
    <cellStyle name="_E Canada Junio-08-09 (2) 2_SUBARTICO ADD-DEL 2" xfId="2723" xr:uid="{00000000-0005-0000-0000-0000130B0000}"/>
    <cellStyle name="_E Canada Junio-08-09 (2) 3" xfId="2724" xr:uid="{00000000-0005-0000-0000-0000140B0000}"/>
    <cellStyle name="_E Canada Junio-08-09 (2) 3 2" xfId="2725" xr:uid="{00000000-0005-0000-0000-0000150B0000}"/>
    <cellStyle name="_E Canada Junio-08-09 (2) 3 3" xfId="2726" xr:uid="{00000000-0005-0000-0000-0000160B0000}"/>
    <cellStyle name="_E Canada Junio-08-09 (2) 3 4" xfId="2727" xr:uid="{00000000-0005-0000-0000-0000170B0000}"/>
    <cellStyle name="_E Canada Junio-08-09 (2) 3 5" xfId="2728" xr:uid="{00000000-0005-0000-0000-0000180B0000}"/>
    <cellStyle name="_E Canada Junio-08-09 (2) 3_SUBARTICO ADD-DEL" xfId="2729" xr:uid="{00000000-0005-0000-0000-0000190B0000}"/>
    <cellStyle name="_E Canada Junio-08-09 (2) 3_SUBARTICO ADD-DEL 2" xfId="2730" xr:uid="{00000000-0005-0000-0000-00001A0B0000}"/>
    <cellStyle name="_E Canada Junio-08-09 (2) 4" xfId="2731" xr:uid="{00000000-0005-0000-0000-00001B0B0000}"/>
    <cellStyle name="_E Canada Junio-08-09 (2) 4 2" xfId="2732" xr:uid="{00000000-0005-0000-0000-00001C0B0000}"/>
    <cellStyle name="_E Canada Junio-08-09 (2) 4 3" xfId="2733" xr:uid="{00000000-0005-0000-0000-00001D0B0000}"/>
    <cellStyle name="_E Canada Junio-08-09 (2) 4 4" xfId="2734" xr:uid="{00000000-0005-0000-0000-00001E0B0000}"/>
    <cellStyle name="_E Canada Junio-08-09 (2) 4 5" xfId="2735" xr:uid="{00000000-0005-0000-0000-00001F0B0000}"/>
    <cellStyle name="_E Canada Junio-08-09 (2) 4_SUBARTICO ADD-DEL" xfId="2736" xr:uid="{00000000-0005-0000-0000-0000200B0000}"/>
    <cellStyle name="_E Canada Junio-08-09 (2) 4_SUBARTICO ADD-DEL 2" xfId="2737" xr:uid="{00000000-0005-0000-0000-0000210B0000}"/>
    <cellStyle name="_E Canada Junio-08-09 (2) 5" xfId="2738" xr:uid="{00000000-0005-0000-0000-0000220B0000}"/>
    <cellStyle name="_E Canada Junio-08-09 (2) 5 2" xfId="2739" xr:uid="{00000000-0005-0000-0000-0000230B0000}"/>
    <cellStyle name="_E Canada Junio-08-09 (2) 5 3" xfId="2740" xr:uid="{00000000-0005-0000-0000-0000240B0000}"/>
    <cellStyle name="_E Canada Junio-08-09 (2) 5 4" xfId="2741" xr:uid="{00000000-0005-0000-0000-0000250B0000}"/>
    <cellStyle name="_E Canada Junio-08-09 (2) 5 5" xfId="2742" xr:uid="{00000000-0005-0000-0000-0000260B0000}"/>
    <cellStyle name="_E Canada Junio-08-09 (2) 5_SUBARTICO ADD-DEL" xfId="2743" xr:uid="{00000000-0005-0000-0000-0000270B0000}"/>
    <cellStyle name="_E Canada Junio-08-09 (2) 5_SUBARTICO ADD-DEL 2" xfId="2744" xr:uid="{00000000-0005-0000-0000-0000280B0000}"/>
    <cellStyle name="_E Canada Junio-08-09 (2) 6" xfId="2745" xr:uid="{00000000-0005-0000-0000-0000290B0000}"/>
    <cellStyle name="_E Canada Junio-08-09 (2) 6 2" xfId="2746" xr:uid="{00000000-0005-0000-0000-00002A0B0000}"/>
    <cellStyle name="_E Canada Junio-08-09 (2) 6 3" xfId="2747" xr:uid="{00000000-0005-0000-0000-00002B0B0000}"/>
    <cellStyle name="_E Canada Junio-08-09 (2) 6 4" xfId="2748" xr:uid="{00000000-0005-0000-0000-00002C0B0000}"/>
    <cellStyle name="_E Canada Junio-08-09 (2) 6 5" xfId="2749" xr:uid="{00000000-0005-0000-0000-00002D0B0000}"/>
    <cellStyle name="_E Canada Junio-08-09 (2) 6_SUBARTICO ADD-DEL" xfId="2750" xr:uid="{00000000-0005-0000-0000-00002E0B0000}"/>
    <cellStyle name="_E Canada Junio-08-09 (2) 6_SUBARTICO ADD-DEL 2" xfId="2751" xr:uid="{00000000-0005-0000-0000-00002F0B0000}"/>
    <cellStyle name="_E Canada Junio-08-09 (2) 7" xfId="2752" xr:uid="{00000000-0005-0000-0000-0000300B0000}"/>
    <cellStyle name="_E Canada Junio-08-09 (2) 7 2" xfId="2753" xr:uid="{00000000-0005-0000-0000-0000310B0000}"/>
    <cellStyle name="_E Canada Junio-08-09 (2) 7 3" xfId="2754" xr:uid="{00000000-0005-0000-0000-0000320B0000}"/>
    <cellStyle name="_E Canada Junio-08-09 (2) 7 4" xfId="2755" xr:uid="{00000000-0005-0000-0000-0000330B0000}"/>
    <cellStyle name="_E Canada Junio-08-09 (2) 7 5" xfId="2756" xr:uid="{00000000-0005-0000-0000-0000340B0000}"/>
    <cellStyle name="_E Canada Junio-08-09 (2) 7_SUBARTICO ADD-DEL" xfId="2757" xr:uid="{00000000-0005-0000-0000-0000350B0000}"/>
    <cellStyle name="_E Canada Junio-08-09 (2) 7_SUBARTICO ADD-DEL 2" xfId="2758" xr:uid="{00000000-0005-0000-0000-0000360B0000}"/>
    <cellStyle name="_E Canada Junio-08-09 (2) 8" xfId="2759" xr:uid="{00000000-0005-0000-0000-0000370B0000}"/>
    <cellStyle name="_E Canada Junio-08-09 (2) 8 2" xfId="2760" xr:uid="{00000000-0005-0000-0000-0000380B0000}"/>
    <cellStyle name="_E Canada Junio-08-09 (2) 8 3" xfId="2761" xr:uid="{00000000-0005-0000-0000-0000390B0000}"/>
    <cellStyle name="_E Canada Junio-08-09 (2) 8 4" xfId="2762" xr:uid="{00000000-0005-0000-0000-00003A0B0000}"/>
    <cellStyle name="_E Canada Junio-08-09 (2) 8 5" xfId="2763" xr:uid="{00000000-0005-0000-0000-00003B0B0000}"/>
    <cellStyle name="_E Canada Junio-08-09 (2) 8_SUBARTICO ADD-DEL" xfId="2764" xr:uid="{00000000-0005-0000-0000-00003C0B0000}"/>
    <cellStyle name="_E Canada Junio-08-09 (2) 8_SUBARTICO ADD-DEL 2" xfId="2765" xr:uid="{00000000-0005-0000-0000-00003D0B0000}"/>
    <cellStyle name="_E Canada Junio-08-09 (2) 9" xfId="2766" xr:uid="{00000000-0005-0000-0000-00003E0B0000}"/>
    <cellStyle name="_E Canada Junio-08-09 (2) 9 2" xfId="2767" xr:uid="{00000000-0005-0000-0000-00003F0B0000}"/>
    <cellStyle name="_E Canada Junio-08-09 (2) 9 3" xfId="2768" xr:uid="{00000000-0005-0000-0000-0000400B0000}"/>
    <cellStyle name="_E Canada Junio-08-09 (2) 9 4" xfId="2769" xr:uid="{00000000-0005-0000-0000-0000410B0000}"/>
    <cellStyle name="_E Canada Junio-08-09 (2) 9 5" xfId="2770" xr:uid="{00000000-0005-0000-0000-0000420B0000}"/>
    <cellStyle name="_E Canada Junio-08-09 (2) 9_SUBARTICO ADD-DEL" xfId="2771" xr:uid="{00000000-0005-0000-0000-0000430B0000}"/>
    <cellStyle name="_E Canada Junio-08-09 (2) 9_SUBARTICO ADD-DEL 2" xfId="2772" xr:uid="{00000000-0005-0000-0000-0000440B0000}"/>
    <cellStyle name="_E Canada Junio-08-09 (2)_Ec-2376 to 2379 Add-del 318402413 2414 2374 318394491" xfId="2773" xr:uid="{00000000-0005-0000-0000-0000450B0000}"/>
    <cellStyle name="_E Canada Junio-08-09 (2)_Ec-2376 to 2379 Add-del 318402413 2414 2374 318394491 2" xfId="2774" xr:uid="{00000000-0005-0000-0000-0000460B0000}"/>
    <cellStyle name="_E Canada Junio-08-09 (2)_Ec-2376 to 2379 Add-del 318402413 2414 2374 318394491 3" xfId="2775" xr:uid="{00000000-0005-0000-0000-0000470B0000}"/>
    <cellStyle name="_E Canada Junio-08-09 (2)_Ec-2376 to 2379 Add-del 318402413 2414 2374 318394491 4" xfId="2776" xr:uid="{00000000-0005-0000-0000-0000480B0000}"/>
    <cellStyle name="_E Canada Junio-08-09 (2)_Ec-2376 to 2379 Add-del 318402413 2414 2374 318394491 5" xfId="2777" xr:uid="{00000000-0005-0000-0000-0000490B0000}"/>
    <cellStyle name="_E Canada Junio-08-09 (2)_Ec-2376 to 2379 Add-del 318402413 2414 2374 318394491_SUBARTICO ADD-DEL" xfId="2778" xr:uid="{00000000-0005-0000-0000-00004A0B0000}"/>
    <cellStyle name="_E Canada Junio-08-09 (2)_Ec-2376 to 2379 Add-del 318402413 2414 2374 318394491_SUBARTICO ADD-DEL 2" xfId="2779" xr:uid="{00000000-0005-0000-0000-00004B0B0000}"/>
    <cellStyle name="_E Canada Junio-08-09 (2)_SUBARTICO ADD-DEL" xfId="2780" xr:uid="{00000000-0005-0000-0000-00004C0B0000}"/>
    <cellStyle name="_E Canada Junio-08-09 (2)_SUBARTICO ADD-DEL 2" xfId="2781" xr:uid="{00000000-0005-0000-0000-00004D0B0000}"/>
    <cellStyle name="_E Canada Junio-08-09 10" xfId="2782" xr:uid="{00000000-0005-0000-0000-00004E0B0000}"/>
    <cellStyle name="_E Canada Junio-08-09 11" xfId="2783" xr:uid="{00000000-0005-0000-0000-00004F0B0000}"/>
    <cellStyle name="_E Canada Junio-08-09 12" xfId="2784" xr:uid="{00000000-0005-0000-0000-0000500B0000}"/>
    <cellStyle name="_E Canada Junio-08-09 13" xfId="2785" xr:uid="{00000000-0005-0000-0000-0000510B0000}"/>
    <cellStyle name="_E Canada Junio-08-09 14" xfId="24741" xr:uid="{00000000-0005-0000-0000-0000520B0000}"/>
    <cellStyle name="_E Canada Junio-08-09 15" xfId="24742" xr:uid="{00000000-0005-0000-0000-0000530B0000}"/>
    <cellStyle name="_E Canada Junio-08-09 16" xfId="24743" xr:uid="{00000000-0005-0000-0000-0000540B0000}"/>
    <cellStyle name="_E Canada Junio-08-09 17" xfId="24744" xr:uid="{00000000-0005-0000-0000-0000550B0000}"/>
    <cellStyle name="_E Canada Junio-08-09 18" xfId="24745" xr:uid="{00000000-0005-0000-0000-0000560B0000}"/>
    <cellStyle name="_E Canada Junio-08-09 19" xfId="24746" xr:uid="{00000000-0005-0000-0000-0000570B0000}"/>
    <cellStyle name="_E Canada Junio-08-09 2" xfId="2786" xr:uid="{00000000-0005-0000-0000-0000580B0000}"/>
    <cellStyle name="_E Canada Junio-08-09 2 2" xfId="2787" xr:uid="{00000000-0005-0000-0000-0000590B0000}"/>
    <cellStyle name="_E Canada Junio-08-09 2 3" xfId="2788" xr:uid="{00000000-0005-0000-0000-00005A0B0000}"/>
    <cellStyle name="_E Canada Junio-08-09 2 4" xfId="2789" xr:uid="{00000000-0005-0000-0000-00005B0B0000}"/>
    <cellStyle name="_E Canada Junio-08-09 2 5" xfId="2790" xr:uid="{00000000-0005-0000-0000-00005C0B0000}"/>
    <cellStyle name="_E Canada Junio-08-09 2_SUBARTICO ADD-DEL" xfId="2791" xr:uid="{00000000-0005-0000-0000-00005D0B0000}"/>
    <cellStyle name="_E Canada Junio-08-09 2_SUBARTICO ADD-DEL 2" xfId="2792" xr:uid="{00000000-0005-0000-0000-00005E0B0000}"/>
    <cellStyle name="_E Canada Junio-08-09 20" xfId="24747" xr:uid="{00000000-0005-0000-0000-00005F0B0000}"/>
    <cellStyle name="_E Canada Junio-08-09 21" xfId="24748" xr:uid="{00000000-0005-0000-0000-0000600B0000}"/>
    <cellStyle name="_E Canada Junio-08-09 3" xfId="2793" xr:uid="{00000000-0005-0000-0000-0000610B0000}"/>
    <cellStyle name="_E Canada Junio-08-09 3 2" xfId="2794" xr:uid="{00000000-0005-0000-0000-0000620B0000}"/>
    <cellStyle name="_E Canada Junio-08-09 3 3" xfId="2795" xr:uid="{00000000-0005-0000-0000-0000630B0000}"/>
    <cellStyle name="_E Canada Junio-08-09 3 4" xfId="2796" xr:uid="{00000000-0005-0000-0000-0000640B0000}"/>
    <cellStyle name="_E Canada Junio-08-09 3 5" xfId="2797" xr:uid="{00000000-0005-0000-0000-0000650B0000}"/>
    <cellStyle name="_E Canada Junio-08-09 3_SUBARTICO ADD-DEL" xfId="2798" xr:uid="{00000000-0005-0000-0000-0000660B0000}"/>
    <cellStyle name="_E Canada Junio-08-09 3_SUBARTICO ADD-DEL 2" xfId="2799" xr:uid="{00000000-0005-0000-0000-0000670B0000}"/>
    <cellStyle name="_E Canada Junio-08-09 4" xfId="2800" xr:uid="{00000000-0005-0000-0000-0000680B0000}"/>
    <cellStyle name="_E Canada Junio-08-09 4 2" xfId="2801" xr:uid="{00000000-0005-0000-0000-0000690B0000}"/>
    <cellStyle name="_E Canada Junio-08-09 4 3" xfId="2802" xr:uid="{00000000-0005-0000-0000-00006A0B0000}"/>
    <cellStyle name="_E Canada Junio-08-09 4 4" xfId="2803" xr:uid="{00000000-0005-0000-0000-00006B0B0000}"/>
    <cellStyle name="_E Canada Junio-08-09 4 5" xfId="2804" xr:uid="{00000000-0005-0000-0000-00006C0B0000}"/>
    <cellStyle name="_E Canada Junio-08-09 4_SUBARTICO ADD-DEL" xfId="2805" xr:uid="{00000000-0005-0000-0000-00006D0B0000}"/>
    <cellStyle name="_E Canada Junio-08-09 4_SUBARTICO ADD-DEL 2" xfId="2806" xr:uid="{00000000-0005-0000-0000-00006E0B0000}"/>
    <cellStyle name="_E Canada Junio-08-09 5" xfId="2807" xr:uid="{00000000-0005-0000-0000-00006F0B0000}"/>
    <cellStyle name="_E Canada Junio-08-09 5 2" xfId="2808" xr:uid="{00000000-0005-0000-0000-0000700B0000}"/>
    <cellStyle name="_E Canada Junio-08-09 5 3" xfId="2809" xr:uid="{00000000-0005-0000-0000-0000710B0000}"/>
    <cellStyle name="_E Canada Junio-08-09 5 4" xfId="2810" xr:uid="{00000000-0005-0000-0000-0000720B0000}"/>
    <cellStyle name="_E Canada Junio-08-09 5 5" xfId="2811" xr:uid="{00000000-0005-0000-0000-0000730B0000}"/>
    <cellStyle name="_E Canada Junio-08-09 5_SUBARTICO ADD-DEL" xfId="2812" xr:uid="{00000000-0005-0000-0000-0000740B0000}"/>
    <cellStyle name="_E Canada Junio-08-09 5_SUBARTICO ADD-DEL 2" xfId="2813" xr:uid="{00000000-0005-0000-0000-0000750B0000}"/>
    <cellStyle name="_E Canada Junio-08-09 6" xfId="2814" xr:uid="{00000000-0005-0000-0000-0000760B0000}"/>
    <cellStyle name="_E Canada Junio-08-09 6 2" xfId="2815" xr:uid="{00000000-0005-0000-0000-0000770B0000}"/>
    <cellStyle name="_E Canada Junio-08-09 6 3" xfId="2816" xr:uid="{00000000-0005-0000-0000-0000780B0000}"/>
    <cellStyle name="_E Canada Junio-08-09 6 4" xfId="2817" xr:uid="{00000000-0005-0000-0000-0000790B0000}"/>
    <cellStyle name="_E Canada Junio-08-09 6 5" xfId="2818" xr:uid="{00000000-0005-0000-0000-00007A0B0000}"/>
    <cellStyle name="_E Canada Junio-08-09 6_SUBARTICO ADD-DEL" xfId="2819" xr:uid="{00000000-0005-0000-0000-00007B0B0000}"/>
    <cellStyle name="_E Canada Junio-08-09 6_SUBARTICO ADD-DEL 2" xfId="2820" xr:uid="{00000000-0005-0000-0000-00007C0B0000}"/>
    <cellStyle name="_E Canada Junio-08-09 7" xfId="2821" xr:uid="{00000000-0005-0000-0000-00007D0B0000}"/>
    <cellStyle name="_E Canada Junio-08-09 7 2" xfId="2822" xr:uid="{00000000-0005-0000-0000-00007E0B0000}"/>
    <cellStyle name="_E Canada Junio-08-09 7 3" xfId="2823" xr:uid="{00000000-0005-0000-0000-00007F0B0000}"/>
    <cellStyle name="_E Canada Junio-08-09 7 4" xfId="2824" xr:uid="{00000000-0005-0000-0000-0000800B0000}"/>
    <cellStyle name="_E Canada Junio-08-09 7 5" xfId="2825" xr:uid="{00000000-0005-0000-0000-0000810B0000}"/>
    <cellStyle name="_E Canada Junio-08-09 7_SUBARTICO ADD-DEL" xfId="2826" xr:uid="{00000000-0005-0000-0000-0000820B0000}"/>
    <cellStyle name="_E Canada Junio-08-09 7_SUBARTICO ADD-DEL 2" xfId="2827" xr:uid="{00000000-0005-0000-0000-0000830B0000}"/>
    <cellStyle name="_E Canada Junio-08-09 8" xfId="2828" xr:uid="{00000000-0005-0000-0000-0000840B0000}"/>
    <cellStyle name="_E Canada Junio-08-09 8 2" xfId="2829" xr:uid="{00000000-0005-0000-0000-0000850B0000}"/>
    <cellStyle name="_E Canada Junio-08-09 8 3" xfId="2830" xr:uid="{00000000-0005-0000-0000-0000860B0000}"/>
    <cellStyle name="_E Canada Junio-08-09 8 4" xfId="2831" xr:uid="{00000000-0005-0000-0000-0000870B0000}"/>
    <cellStyle name="_E Canada Junio-08-09 8 5" xfId="2832" xr:uid="{00000000-0005-0000-0000-0000880B0000}"/>
    <cellStyle name="_E Canada Junio-08-09 8_SUBARTICO ADD-DEL" xfId="2833" xr:uid="{00000000-0005-0000-0000-0000890B0000}"/>
    <cellStyle name="_E Canada Junio-08-09 8_SUBARTICO ADD-DEL 2" xfId="2834" xr:uid="{00000000-0005-0000-0000-00008A0B0000}"/>
    <cellStyle name="_E Canada Junio-08-09 9" xfId="2835" xr:uid="{00000000-0005-0000-0000-00008B0B0000}"/>
    <cellStyle name="_E Canada Junio-08-09 9 2" xfId="2836" xr:uid="{00000000-0005-0000-0000-00008C0B0000}"/>
    <cellStyle name="_E Canada Junio-08-09 9 3" xfId="2837" xr:uid="{00000000-0005-0000-0000-00008D0B0000}"/>
    <cellStyle name="_E Canada Junio-08-09 9 4" xfId="2838" xr:uid="{00000000-0005-0000-0000-00008E0B0000}"/>
    <cellStyle name="_E Canada Junio-08-09 9 5" xfId="2839" xr:uid="{00000000-0005-0000-0000-00008F0B0000}"/>
    <cellStyle name="_E Canada Junio-08-09 9_SUBARTICO ADD-DEL" xfId="2840" xr:uid="{00000000-0005-0000-0000-0000900B0000}"/>
    <cellStyle name="_E Canada Junio-08-09 9_SUBARTICO ADD-DEL 2" xfId="2841" xr:uid="{00000000-0005-0000-0000-0000910B0000}"/>
    <cellStyle name="_E Canada Junio-08-09_862-CH" xfId="2842" xr:uid="{00000000-0005-0000-0000-0000920B0000}"/>
    <cellStyle name="_E Canada Junio-08-09_Ec-2376 to 2379 Add-del 318402413 2414 2374 318394491" xfId="2843" xr:uid="{00000000-0005-0000-0000-0000930B0000}"/>
    <cellStyle name="_E Canada Junio-08-09_Ec-2376 to 2379 Add-del 318402413 2414 2374 318394491 2" xfId="2844" xr:uid="{00000000-0005-0000-0000-0000940B0000}"/>
    <cellStyle name="_E Canada Junio-08-09_Ec-2376 to 2379 Add-del 318402413 2414 2374 318394491 3" xfId="2845" xr:uid="{00000000-0005-0000-0000-0000950B0000}"/>
    <cellStyle name="_E Canada Junio-08-09_Ec-2376 to 2379 Add-del 318402413 2414 2374 318394491 4" xfId="2846" xr:uid="{00000000-0005-0000-0000-0000960B0000}"/>
    <cellStyle name="_E Canada Junio-08-09_Ec-2376 to 2379 Add-del 318402413 2414 2374 318394491 5" xfId="2847" xr:uid="{00000000-0005-0000-0000-0000970B0000}"/>
    <cellStyle name="_E Canada Junio-08-09_Ec-2376 to 2379 Add-del 318402413 2414 2374 318394491_SUBARTICO ADD-DEL" xfId="2848" xr:uid="{00000000-0005-0000-0000-0000980B0000}"/>
    <cellStyle name="_E Canada Junio-08-09_Ec-2376 to 2379 Add-del 318402413 2414 2374 318394491_SUBARTICO ADD-DEL 2" xfId="2849" xr:uid="{00000000-0005-0000-0000-0000990B0000}"/>
    <cellStyle name="_E Canada Junio-08-09_SUBARTICO ADD-DEL" xfId="2850" xr:uid="{00000000-0005-0000-0000-00009A0B0000}"/>
    <cellStyle name="_E Canada Junio-08-09_SUBARTICO ADD-DEL 2" xfId="2851" xr:uid="{00000000-0005-0000-0000-00009B0B0000}"/>
    <cellStyle name="_E Canada Junio-08-09_W10251766 D" xfId="2852" xr:uid="{00000000-0005-0000-0000-00009C0B0000}"/>
    <cellStyle name="_E Canada Junio-08-09_W10279106 y W10279107 de MR a 56i" xfId="2853" xr:uid="{00000000-0005-0000-0000-00009D0B0000}"/>
    <cellStyle name="_E Canada Junio-08-09_W10315922 A" xfId="2854" xr:uid="{00000000-0005-0000-0000-00009E0B0000}"/>
    <cellStyle name="_E Canada May-13-09" xfId="2855" xr:uid="{00000000-0005-0000-0000-00009F0B0000}"/>
    <cellStyle name="_E Canada May-13-09 10" xfId="2856" xr:uid="{00000000-0005-0000-0000-0000A00B0000}"/>
    <cellStyle name="_E Canada May-13-09 10 2" xfId="2857" xr:uid="{00000000-0005-0000-0000-0000A10B0000}"/>
    <cellStyle name="_E Canada May-13-09 10 3" xfId="2858" xr:uid="{00000000-0005-0000-0000-0000A20B0000}"/>
    <cellStyle name="_E Canada May-13-09 10 4" xfId="2859" xr:uid="{00000000-0005-0000-0000-0000A30B0000}"/>
    <cellStyle name="_E Canada May-13-09 2" xfId="2860" xr:uid="{00000000-0005-0000-0000-0000A40B0000}"/>
    <cellStyle name="_E Canada May-13-09 2 2" xfId="2861" xr:uid="{00000000-0005-0000-0000-0000A50B0000}"/>
    <cellStyle name="_E Canada May-13-09 2 3" xfId="2862" xr:uid="{00000000-0005-0000-0000-0000A60B0000}"/>
    <cellStyle name="_E Canada May-13-09 2 4" xfId="2863" xr:uid="{00000000-0005-0000-0000-0000A70B0000}"/>
    <cellStyle name="_E Canada May-13-09 2 5" xfId="2864" xr:uid="{00000000-0005-0000-0000-0000A80B0000}"/>
    <cellStyle name="_E Canada May-13-09 2_SUBARTICO ADD-DEL" xfId="2865" xr:uid="{00000000-0005-0000-0000-0000A90B0000}"/>
    <cellStyle name="_E Canada May-13-09 2_SUBARTICO ADD-DEL 2" xfId="2866" xr:uid="{00000000-0005-0000-0000-0000AA0B0000}"/>
    <cellStyle name="_E Canada May-13-09 3" xfId="2867" xr:uid="{00000000-0005-0000-0000-0000AB0B0000}"/>
    <cellStyle name="_E Canada May-13-09 3 2" xfId="2868" xr:uid="{00000000-0005-0000-0000-0000AC0B0000}"/>
    <cellStyle name="_E Canada May-13-09 3 3" xfId="2869" xr:uid="{00000000-0005-0000-0000-0000AD0B0000}"/>
    <cellStyle name="_E Canada May-13-09 3 4" xfId="2870" xr:uid="{00000000-0005-0000-0000-0000AE0B0000}"/>
    <cellStyle name="_E Canada May-13-09 3 5" xfId="2871" xr:uid="{00000000-0005-0000-0000-0000AF0B0000}"/>
    <cellStyle name="_E Canada May-13-09 3_SUBARTICO ADD-DEL" xfId="2872" xr:uid="{00000000-0005-0000-0000-0000B00B0000}"/>
    <cellStyle name="_E Canada May-13-09 3_SUBARTICO ADD-DEL 2" xfId="2873" xr:uid="{00000000-0005-0000-0000-0000B10B0000}"/>
    <cellStyle name="_E Canada May-13-09 4" xfId="2874" xr:uid="{00000000-0005-0000-0000-0000B20B0000}"/>
    <cellStyle name="_E Canada May-13-09 4 2" xfId="2875" xr:uid="{00000000-0005-0000-0000-0000B30B0000}"/>
    <cellStyle name="_E Canada May-13-09 4 3" xfId="2876" xr:uid="{00000000-0005-0000-0000-0000B40B0000}"/>
    <cellStyle name="_E Canada May-13-09 4 4" xfId="2877" xr:uid="{00000000-0005-0000-0000-0000B50B0000}"/>
    <cellStyle name="_E Canada May-13-09 4 5" xfId="2878" xr:uid="{00000000-0005-0000-0000-0000B60B0000}"/>
    <cellStyle name="_E Canada May-13-09 4_SUBARTICO ADD-DEL" xfId="2879" xr:uid="{00000000-0005-0000-0000-0000B70B0000}"/>
    <cellStyle name="_E Canada May-13-09 4_SUBARTICO ADD-DEL 2" xfId="2880" xr:uid="{00000000-0005-0000-0000-0000B80B0000}"/>
    <cellStyle name="_E Canada May-13-09 5" xfId="2881" xr:uid="{00000000-0005-0000-0000-0000B90B0000}"/>
    <cellStyle name="_E Canada May-13-09 5 2" xfId="2882" xr:uid="{00000000-0005-0000-0000-0000BA0B0000}"/>
    <cellStyle name="_E Canada May-13-09 5 3" xfId="2883" xr:uid="{00000000-0005-0000-0000-0000BB0B0000}"/>
    <cellStyle name="_E Canada May-13-09 5 4" xfId="2884" xr:uid="{00000000-0005-0000-0000-0000BC0B0000}"/>
    <cellStyle name="_E Canada May-13-09 5 5" xfId="2885" xr:uid="{00000000-0005-0000-0000-0000BD0B0000}"/>
    <cellStyle name="_E Canada May-13-09 5_SUBARTICO ADD-DEL" xfId="2886" xr:uid="{00000000-0005-0000-0000-0000BE0B0000}"/>
    <cellStyle name="_E Canada May-13-09 5_SUBARTICO ADD-DEL 2" xfId="2887" xr:uid="{00000000-0005-0000-0000-0000BF0B0000}"/>
    <cellStyle name="_E Canada May-13-09 6" xfId="2888" xr:uid="{00000000-0005-0000-0000-0000C00B0000}"/>
    <cellStyle name="_E Canada May-13-09 6 2" xfId="2889" xr:uid="{00000000-0005-0000-0000-0000C10B0000}"/>
    <cellStyle name="_E Canada May-13-09 6 3" xfId="2890" xr:uid="{00000000-0005-0000-0000-0000C20B0000}"/>
    <cellStyle name="_E Canada May-13-09 6 4" xfId="2891" xr:uid="{00000000-0005-0000-0000-0000C30B0000}"/>
    <cellStyle name="_E Canada May-13-09 6 5" xfId="2892" xr:uid="{00000000-0005-0000-0000-0000C40B0000}"/>
    <cellStyle name="_E Canada May-13-09 6_SUBARTICO ADD-DEL" xfId="2893" xr:uid="{00000000-0005-0000-0000-0000C50B0000}"/>
    <cellStyle name="_E Canada May-13-09 6_SUBARTICO ADD-DEL 2" xfId="2894" xr:uid="{00000000-0005-0000-0000-0000C60B0000}"/>
    <cellStyle name="_E Canada May-13-09 7" xfId="2895" xr:uid="{00000000-0005-0000-0000-0000C70B0000}"/>
    <cellStyle name="_E Canada May-13-09 7 2" xfId="2896" xr:uid="{00000000-0005-0000-0000-0000C80B0000}"/>
    <cellStyle name="_E Canada May-13-09 7 3" xfId="2897" xr:uid="{00000000-0005-0000-0000-0000C90B0000}"/>
    <cellStyle name="_E Canada May-13-09 7 4" xfId="2898" xr:uid="{00000000-0005-0000-0000-0000CA0B0000}"/>
    <cellStyle name="_E Canada May-13-09 7 5" xfId="2899" xr:uid="{00000000-0005-0000-0000-0000CB0B0000}"/>
    <cellStyle name="_E Canada May-13-09 7_SUBARTICO ADD-DEL" xfId="2900" xr:uid="{00000000-0005-0000-0000-0000CC0B0000}"/>
    <cellStyle name="_E Canada May-13-09 7_SUBARTICO ADD-DEL 2" xfId="2901" xr:uid="{00000000-0005-0000-0000-0000CD0B0000}"/>
    <cellStyle name="_E Canada May-13-09 8" xfId="2902" xr:uid="{00000000-0005-0000-0000-0000CE0B0000}"/>
    <cellStyle name="_E Canada May-13-09 8 2" xfId="2903" xr:uid="{00000000-0005-0000-0000-0000CF0B0000}"/>
    <cellStyle name="_E Canada May-13-09 8 3" xfId="2904" xr:uid="{00000000-0005-0000-0000-0000D00B0000}"/>
    <cellStyle name="_E Canada May-13-09 8 4" xfId="2905" xr:uid="{00000000-0005-0000-0000-0000D10B0000}"/>
    <cellStyle name="_E Canada May-13-09 8 5" xfId="2906" xr:uid="{00000000-0005-0000-0000-0000D20B0000}"/>
    <cellStyle name="_E Canada May-13-09 8_SUBARTICO ADD-DEL" xfId="2907" xr:uid="{00000000-0005-0000-0000-0000D30B0000}"/>
    <cellStyle name="_E Canada May-13-09 8_SUBARTICO ADD-DEL 2" xfId="2908" xr:uid="{00000000-0005-0000-0000-0000D40B0000}"/>
    <cellStyle name="_E Canada May-13-09 9" xfId="2909" xr:uid="{00000000-0005-0000-0000-0000D50B0000}"/>
    <cellStyle name="_E Canada May-13-09 9 2" xfId="2910" xr:uid="{00000000-0005-0000-0000-0000D60B0000}"/>
    <cellStyle name="_E Canada May-13-09 9 3" xfId="2911" xr:uid="{00000000-0005-0000-0000-0000D70B0000}"/>
    <cellStyle name="_E Canada May-13-09 9 4" xfId="2912" xr:uid="{00000000-0005-0000-0000-0000D80B0000}"/>
    <cellStyle name="_E Canada May-13-09 9 5" xfId="2913" xr:uid="{00000000-0005-0000-0000-0000D90B0000}"/>
    <cellStyle name="_E Canada May-13-09 9_SUBARTICO ADD-DEL" xfId="2914" xr:uid="{00000000-0005-0000-0000-0000DA0B0000}"/>
    <cellStyle name="_E Canada May-13-09 9_SUBARTICO ADD-DEL 2" xfId="2915" xr:uid="{00000000-0005-0000-0000-0000DB0B0000}"/>
    <cellStyle name="_E Canada May-13-09_862-CH" xfId="2916" xr:uid="{00000000-0005-0000-0000-0000DC0B0000}"/>
    <cellStyle name="_E Canada May-13-09_Ec-2376 to 2379 Add-del 318402413 2414 2374 318394491" xfId="2917" xr:uid="{00000000-0005-0000-0000-0000DD0B0000}"/>
    <cellStyle name="_E Canada May-13-09_Ec-2376 to 2379 Add-del 318402413 2414 2374 318394491 2" xfId="2918" xr:uid="{00000000-0005-0000-0000-0000DE0B0000}"/>
    <cellStyle name="_E Canada May-13-09_Ec-2376 to 2379 Add-del 318402413 2414 2374 318394491 3" xfId="2919" xr:uid="{00000000-0005-0000-0000-0000DF0B0000}"/>
    <cellStyle name="_E Canada May-13-09_Ec-2376 to 2379 Add-del 318402413 2414 2374 318394491 4" xfId="2920" xr:uid="{00000000-0005-0000-0000-0000E00B0000}"/>
    <cellStyle name="_E Canada May-13-09_Ec-2376 to 2379 Add-del 318402413 2414 2374 318394491 5" xfId="2921" xr:uid="{00000000-0005-0000-0000-0000E10B0000}"/>
    <cellStyle name="_E Canada May-13-09_Ec-2376 to 2379 Add-del 318402413 2414 2374 318394491_SUBARTICO ADD-DEL" xfId="2922" xr:uid="{00000000-0005-0000-0000-0000E20B0000}"/>
    <cellStyle name="_E Canada May-13-09_Ec-2376 to 2379 Add-del 318402413 2414 2374 318394491_SUBARTICO ADD-DEL 2" xfId="2923" xr:uid="{00000000-0005-0000-0000-0000E30B0000}"/>
    <cellStyle name="_E Canada May-13-09_ESTIMATED ARES-10 PACKAGE 25NOV" xfId="2924" xr:uid="{00000000-0005-0000-0000-0000E40B0000}"/>
    <cellStyle name="_E Canada May-13-09_ESTIMATED ARES-10 PACKAGE 25NOV 2" xfId="2925" xr:uid="{00000000-0005-0000-0000-0000E50B0000}"/>
    <cellStyle name="_E Canada May-13-09_ESTIMATED ARES-10 PACKAGE 25NOV 3" xfId="24749" xr:uid="{00000000-0005-0000-0000-0000E60B0000}"/>
    <cellStyle name="_E Canada May-13-09_ESTIMATED ARES-10 PACKAGE 25NOV_SUBARTICO ADD-DEL" xfId="2926" xr:uid="{00000000-0005-0000-0000-0000E70B0000}"/>
    <cellStyle name="_E Canada May-13-09_ESTIMATED ARES-10 PACKAGE 25NOV_SUBARTICO ADD-DEL 2" xfId="2927" xr:uid="{00000000-0005-0000-0000-0000E80B0000}"/>
    <cellStyle name="_E Canada May-13-09_SUBARTICO ADD-DEL" xfId="2928" xr:uid="{00000000-0005-0000-0000-0000E90B0000}"/>
    <cellStyle name="_E Canada May-13-09_SUBARTICO ADD-DEL 2" xfId="2929" xr:uid="{00000000-0005-0000-0000-0000EA0B0000}"/>
    <cellStyle name="_E Canada May-13-09_W10251766 D" xfId="2930" xr:uid="{00000000-0005-0000-0000-0000EB0B0000}"/>
    <cellStyle name="_E Canada May-13-09_W10279106 y W10279107 de MR a 56i" xfId="2931" xr:uid="{00000000-0005-0000-0000-0000EC0B0000}"/>
    <cellStyle name="_E Canada May-13-09_W10315922 A" xfId="2932" xr:uid="{00000000-0005-0000-0000-0000ED0B0000}"/>
    <cellStyle name="_E Canada May-13-09_WC cleveland con spreadshet" xfId="2933" xr:uid="{00000000-0005-0000-0000-0000EE0B0000}"/>
    <cellStyle name="_E Canada May-13-09_WC cleveland con spreadshet 2" xfId="2934" xr:uid="{00000000-0005-0000-0000-0000EF0B0000}"/>
    <cellStyle name="_E Canada May-13-09_WC cleveland con spreadshet 3" xfId="24750" xr:uid="{00000000-0005-0000-0000-0000F00B0000}"/>
    <cellStyle name="_E Canada May-13-09_WC cleveland con spreadshet_SUBARTICO ADD-DEL" xfId="2935" xr:uid="{00000000-0005-0000-0000-0000F10B0000}"/>
    <cellStyle name="_E Canada May-13-09_WC cleveland con spreadshet_SUBARTICO ADD-DEL 2" xfId="2936" xr:uid="{00000000-0005-0000-0000-0000F20B0000}"/>
    <cellStyle name="_E Canada Mayo-27-09 (2) (2)" xfId="2937" xr:uid="{00000000-0005-0000-0000-0000F30B0000}"/>
    <cellStyle name="_E Canada Mayo-27-09 (2) (2) 10" xfId="2938" xr:uid="{00000000-0005-0000-0000-0000F40B0000}"/>
    <cellStyle name="_E Canada Mayo-27-09 (2) (2) 10 2" xfId="2939" xr:uid="{00000000-0005-0000-0000-0000F50B0000}"/>
    <cellStyle name="_E Canada Mayo-27-09 (2) (2) 10 3" xfId="2940" xr:uid="{00000000-0005-0000-0000-0000F60B0000}"/>
    <cellStyle name="_E Canada Mayo-27-09 (2) (2) 10 4" xfId="2941" xr:uid="{00000000-0005-0000-0000-0000F70B0000}"/>
    <cellStyle name="_E Canada Mayo-27-09 (2) (2) 2" xfId="2942" xr:uid="{00000000-0005-0000-0000-0000F80B0000}"/>
    <cellStyle name="_E Canada Mayo-27-09 (2) (2) 2 2" xfId="2943" xr:uid="{00000000-0005-0000-0000-0000F90B0000}"/>
    <cellStyle name="_E Canada Mayo-27-09 (2) (2) 2 3" xfId="2944" xr:uid="{00000000-0005-0000-0000-0000FA0B0000}"/>
    <cellStyle name="_E Canada Mayo-27-09 (2) (2) 2 4" xfId="2945" xr:uid="{00000000-0005-0000-0000-0000FB0B0000}"/>
    <cellStyle name="_E Canada Mayo-27-09 (2) (2) 2 5" xfId="2946" xr:uid="{00000000-0005-0000-0000-0000FC0B0000}"/>
    <cellStyle name="_E Canada Mayo-27-09 (2) (2) 2_SUBARTICO ADD-DEL" xfId="2947" xr:uid="{00000000-0005-0000-0000-0000FD0B0000}"/>
    <cellStyle name="_E Canada Mayo-27-09 (2) (2) 2_SUBARTICO ADD-DEL 2" xfId="2948" xr:uid="{00000000-0005-0000-0000-0000FE0B0000}"/>
    <cellStyle name="_E Canada Mayo-27-09 (2) (2) 3" xfId="2949" xr:uid="{00000000-0005-0000-0000-0000FF0B0000}"/>
    <cellStyle name="_E Canada Mayo-27-09 (2) (2) 3 2" xfId="2950" xr:uid="{00000000-0005-0000-0000-0000000C0000}"/>
    <cellStyle name="_E Canada Mayo-27-09 (2) (2) 3 3" xfId="2951" xr:uid="{00000000-0005-0000-0000-0000010C0000}"/>
    <cellStyle name="_E Canada Mayo-27-09 (2) (2) 3 4" xfId="2952" xr:uid="{00000000-0005-0000-0000-0000020C0000}"/>
    <cellStyle name="_E Canada Mayo-27-09 (2) (2) 3 5" xfId="2953" xr:uid="{00000000-0005-0000-0000-0000030C0000}"/>
    <cellStyle name="_E Canada Mayo-27-09 (2) (2) 3_SUBARTICO ADD-DEL" xfId="2954" xr:uid="{00000000-0005-0000-0000-0000040C0000}"/>
    <cellStyle name="_E Canada Mayo-27-09 (2) (2) 3_SUBARTICO ADD-DEL 2" xfId="2955" xr:uid="{00000000-0005-0000-0000-0000050C0000}"/>
    <cellStyle name="_E Canada Mayo-27-09 (2) (2) 4" xfId="2956" xr:uid="{00000000-0005-0000-0000-0000060C0000}"/>
    <cellStyle name="_E Canada Mayo-27-09 (2) (2) 4 2" xfId="2957" xr:uid="{00000000-0005-0000-0000-0000070C0000}"/>
    <cellStyle name="_E Canada Mayo-27-09 (2) (2) 4 3" xfId="2958" xr:uid="{00000000-0005-0000-0000-0000080C0000}"/>
    <cellStyle name="_E Canada Mayo-27-09 (2) (2) 4 4" xfId="2959" xr:uid="{00000000-0005-0000-0000-0000090C0000}"/>
    <cellStyle name="_E Canada Mayo-27-09 (2) (2) 4 5" xfId="2960" xr:uid="{00000000-0005-0000-0000-00000A0C0000}"/>
    <cellStyle name="_E Canada Mayo-27-09 (2) (2) 4_SUBARTICO ADD-DEL" xfId="2961" xr:uid="{00000000-0005-0000-0000-00000B0C0000}"/>
    <cellStyle name="_E Canada Mayo-27-09 (2) (2) 4_SUBARTICO ADD-DEL 2" xfId="2962" xr:uid="{00000000-0005-0000-0000-00000C0C0000}"/>
    <cellStyle name="_E Canada Mayo-27-09 (2) (2) 5" xfId="2963" xr:uid="{00000000-0005-0000-0000-00000D0C0000}"/>
    <cellStyle name="_E Canada Mayo-27-09 (2) (2) 5 2" xfId="2964" xr:uid="{00000000-0005-0000-0000-00000E0C0000}"/>
    <cellStyle name="_E Canada Mayo-27-09 (2) (2) 5 3" xfId="2965" xr:uid="{00000000-0005-0000-0000-00000F0C0000}"/>
    <cellStyle name="_E Canada Mayo-27-09 (2) (2) 5 4" xfId="2966" xr:uid="{00000000-0005-0000-0000-0000100C0000}"/>
    <cellStyle name="_E Canada Mayo-27-09 (2) (2) 5 5" xfId="2967" xr:uid="{00000000-0005-0000-0000-0000110C0000}"/>
    <cellStyle name="_E Canada Mayo-27-09 (2) (2) 5_SUBARTICO ADD-DEL" xfId="2968" xr:uid="{00000000-0005-0000-0000-0000120C0000}"/>
    <cellStyle name="_E Canada Mayo-27-09 (2) (2) 5_SUBARTICO ADD-DEL 2" xfId="2969" xr:uid="{00000000-0005-0000-0000-0000130C0000}"/>
    <cellStyle name="_E Canada Mayo-27-09 (2) (2) 6" xfId="2970" xr:uid="{00000000-0005-0000-0000-0000140C0000}"/>
    <cellStyle name="_E Canada Mayo-27-09 (2) (2) 6 2" xfId="2971" xr:uid="{00000000-0005-0000-0000-0000150C0000}"/>
    <cellStyle name="_E Canada Mayo-27-09 (2) (2) 6 3" xfId="2972" xr:uid="{00000000-0005-0000-0000-0000160C0000}"/>
    <cellStyle name="_E Canada Mayo-27-09 (2) (2) 6 4" xfId="2973" xr:uid="{00000000-0005-0000-0000-0000170C0000}"/>
    <cellStyle name="_E Canada Mayo-27-09 (2) (2) 6 5" xfId="2974" xr:uid="{00000000-0005-0000-0000-0000180C0000}"/>
    <cellStyle name="_E Canada Mayo-27-09 (2) (2) 6_SUBARTICO ADD-DEL" xfId="2975" xr:uid="{00000000-0005-0000-0000-0000190C0000}"/>
    <cellStyle name="_E Canada Mayo-27-09 (2) (2) 6_SUBARTICO ADD-DEL 2" xfId="2976" xr:uid="{00000000-0005-0000-0000-00001A0C0000}"/>
    <cellStyle name="_E Canada Mayo-27-09 (2) (2) 7" xfId="2977" xr:uid="{00000000-0005-0000-0000-00001B0C0000}"/>
    <cellStyle name="_E Canada Mayo-27-09 (2) (2) 7 2" xfId="2978" xr:uid="{00000000-0005-0000-0000-00001C0C0000}"/>
    <cellStyle name="_E Canada Mayo-27-09 (2) (2) 7 3" xfId="2979" xr:uid="{00000000-0005-0000-0000-00001D0C0000}"/>
    <cellStyle name="_E Canada Mayo-27-09 (2) (2) 7 4" xfId="2980" xr:uid="{00000000-0005-0000-0000-00001E0C0000}"/>
    <cellStyle name="_E Canada Mayo-27-09 (2) (2) 7 5" xfId="2981" xr:uid="{00000000-0005-0000-0000-00001F0C0000}"/>
    <cellStyle name="_E Canada Mayo-27-09 (2) (2) 7_SUBARTICO ADD-DEL" xfId="2982" xr:uid="{00000000-0005-0000-0000-0000200C0000}"/>
    <cellStyle name="_E Canada Mayo-27-09 (2) (2) 7_SUBARTICO ADD-DEL 2" xfId="2983" xr:uid="{00000000-0005-0000-0000-0000210C0000}"/>
    <cellStyle name="_E Canada Mayo-27-09 (2) (2) 8" xfId="2984" xr:uid="{00000000-0005-0000-0000-0000220C0000}"/>
    <cellStyle name="_E Canada Mayo-27-09 (2) (2) 8 2" xfId="2985" xr:uid="{00000000-0005-0000-0000-0000230C0000}"/>
    <cellStyle name="_E Canada Mayo-27-09 (2) (2) 8 3" xfId="2986" xr:uid="{00000000-0005-0000-0000-0000240C0000}"/>
    <cellStyle name="_E Canada Mayo-27-09 (2) (2) 8 4" xfId="2987" xr:uid="{00000000-0005-0000-0000-0000250C0000}"/>
    <cellStyle name="_E Canada Mayo-27-09 (2) (2) 8 5" xfId="2988" xr:uid="{00000000-0005-0000-0000-0000260C0000}"/>
    <cellStyle name="_E Canada Mayo-27-09 (2) (2) 8_SUBARTICO ADD-DEL" xfId="2989" xr:uid="{00000000-0005-0000-0000-0000270C0000}"/>
    <cellStyle name="_E Canada Mayo-27-09 (2) (2) 8_SUBARTICO ADD-DEL 2" xfId="2990" xr:uid="{00000000-0005-0000-0000-0000280C0000}"/>
    <cellStyle name="_E Canada Mayo-27-09 (2) (2) 9" xfId="2991" xr:uid="{00000000-0005-0000-0000-0000290C0000}"/>
    <cellStyle name="_E Canada Mayo-27-09 (2) (2) 9 2" xfId="2992" xr:uid="{00000000-0005-0000-0000-00002A0C0000}"/>
    <cellStyle name="_E Canada Mayo-27-09 (2) (2) 9 3" xfId="2993" xr:uid="{00000000-0005-0000-0000-00002B0C0000}"/>
    <cellStyle name="_E Canada Mayo-27-09 (2) (2) 9 4" xfId="2994" xr:uid="{00000000-0005-0000-0000-00002C0C0000}"/>
    <cellStyle name="_E Canada Mayo-27-09 (2) (2) 9 5" xfId="2995" xr:uid="{00000000-0005-0000-0000-00002D0C0000}"/>
    <cellStyle name="_E Canada Mayo-27-09 (2) (2) 9_SUBARTICO ADD-DEL" xfId="2996" xr:uid="{00000000-0005-0000-0000-00002E0C0000}"/>
    <cellStyle name="_E Canada Mayo-27-09 (2) (2) 9_SUBARTICO ADD-DEL 2" xfId="2997" xr:uid="{00000000-0005-0000-0000-00002F0C0000}"/>
    <cellStyle name="_E Canada Mayo-27-09 (2) (2)_862-CH" xfId="2998" xr:uid="{00000000-0005-0000-0000-0000300C0000}"/>
    <cellStyle name="_E Canada Mayo-27-09 (2) (2)_Ec-2376 to 2379 Add-del 318402413 2414 2374 318394491" xfId="2999" xr:uid="{00000000-0005-0000-0000-0000310C0000}"/>
    <cellStyle name="_E Canada Mayo-27-09 (2) (2)_Ec-2376 to 2379 Add-del 318402413 2414 2374 318394491 2" xfId="3000" xr:uid="{00000000-0005-0000-0000-0000320C0000}"/>
    <cellStyle name="_E Canada Mayo-27-09 (2) (2)_Ec-2376 to 2379 Add-del 318402413 2414 2374 318394491 3" xfId="3001" xr:uid="{00000000-0005-0000-0000-0000330C0000}"/>
    <cellStyle name="_E Canada Mayo-27-09 (2) (2)_Ec-2376 to 2379 Add-del 318402413 2414 2374 318394491 4" xfId="3002" xr:uid="{00000000-0005-0000-0000-0000340C0000}"/>
    <cellStyle name="_E Canada Mayo-27-09 (2) (2)_Ec-2376 to 2379 Add-del 318402413 2414 2374 318394491 5" xfId="3003" xr:uid="{00000000-0005-0000-0000-0000350C0000}"/>
    <cellStyle name="_E Canada Mayo-27-09 (2) (2)_Ec-2376 to 2379 Add-del 318402413 2414 2374 318394491_SUBARTICO ADD-DEL" xfId="3004" xr:uid="{00000000-0005-0000-0000-0000360C0000}"/>
    <cellStyle name="_E Canada Mayo-27-09 (2) (2)_Ec-2376 to 2379 Add-del 318402413 2414 2374 318394491_SUBARTICO ADD-DEL 2" xfId="3005" xr:uid="{00000000-0005-0000-0000-0000370C0000}"/>
    <cellStyle name="_E Canada Mayo-27-09 (2) (2)_ESTIMATED ARES-10 PACKAGE 25NOV" xfId="3006" xr:uid="{00000000-0005-0000-0000-0000380C0000}"/>
    <cellStyle name="_E Canada Mayo-27-09 (2) (2)_ESTIMATED ARES-10 PACKAGE 25NOV 2" xfId="3007" xr:uid="{00000000-0005-0000-0000-0000390C0000}"/>
    <cellStyle name="_E Canada Mayo-27-09 (2) (2)_ESTIMATED ARES-10 PACKAGE 25NOV 3" xfId="24751" xr:uid="{00000000-0005-0000-0000-00003A0C0000}"/>
    <cellStyle name="_E Canada Mayo-27-09 (2) (2)_ESTIMATED ARES-10 PACKAGE 25NOV_SUBARTICO ADD-DEL" xfId="3008" xr:uid="{00000000-0005-0000-0000-00003B0C0000}"/>
    <cellStyle name="_E Canada Mayo-27-09 (2) (2)_ESTIMATED ARES-10 PACKAGE 25NOV_SUBARTICO ADD-DEL 2" xfId="3009" xr:uid="{00000000-0005-0000-0000-00003C0C0000}"/>
    <cellStyle name="_E Canada Mayo-27-09 (2) (2)_SUBARTICO ADD-DEL" xfId="3010" xr:uid="{00000000-0005-0000-0000-00003D0C0000}"/>
    <cellStyle name="_E Canada Mayo-27-09 (2) (2)_SUBARTICO ADD-DEL 2" xfId="3011" xr:uid="{00000000-0005-0000-0000-00003E0C0000}"/>
    <cellStyle name="_E Canada Mayo-27-09 (2) (2)_W10251766 D" xfId="3012" xr:uid="{00000000-0005-0000-0000-00003F0C0000}"/>
    <cellStyle name="_E Canada Mayo-27-09 (2) (2)_W10279106 y W10279107 de MR a 56i" xfId="3013" xr:uid="{00000000-0005-0000-0000-0000400C0000}"/>
    <cellStyle name="_E Canada Mayo-27-09 (2) (2)_W10315922 A" xfId="3014" xr:uid="{00000000-0005-0000-0000-0000410C0000}"/>
    <cellStyle name="_E Canada Mayo-27-09 (2) (2)_WC cleveland con spreadshet" xfId="3015" xr:uid="{00000000-0005-0000-0000-0000420C0000}"/>
    <cellStyle name="_E Canada Mayo-27-09 (2) (2)_WC cleveland con spreadshet 2" xfId="3016" xr:uid="{00000000-0005-0000-0000-0000430C0000}"/>
    <cellStyle name="_E Canada Mayo-27-09 (2) (2)_WC cleveland con spreadshet 3" xfId="24752" xr:uid="{00000000-0005-0000-0000-0000440C0000}"/>
    <cellStyle name="_E Canada Mayo-27-09 (2) (2)_WC cleveland con spreadshet_SUBARTICO ADD-DEL" xfId="3017" xr:uid="{00000000-0005-0000-0000-0000450C0000}"/>
    <cellStyle name="_E Canada Mayo-27-09 (2) (2)_WC cleveland con spreadshet_SUBARTICO ADD-DEL 2" xfId="3018" xr:uid="{00000000-0005-0000-0000-0000460C0000}"/>
    <cellStyle name="_E Springfield Julio-14-09 (2)" xfId="3019" xr:uid="{00000000-0005-0000-0000-0000470C0000}"/>
    <cellStyle name="_E Springfield Julio-14-09 (2) 2" xfId="3020" xr:uid="{00000000-0005-0000-0000-0000480C0000}"/>
    <cellStyle name="_E Springfield Julio-14-09 (2) 3" xfId="3021" xr:uid="{00000000-0005-0000-0000-0000490C0000}"/>
    <cellStyle name="_E Springfield Julio-14-09 (2) 4" xfId="3022" xr:uid="{00000000-0005-0000-0000-00004A0C0000}"/>
    <cellStyle name="_E Springfield Julio-14-09 (2) 5" xfId="3023" xr:uid="{00000000-0005-0000-0000-00004B0C0000}"/>
    <cellStyle name="_E Springfield Julio-14-09 (2)_SUBARTICO ADD-DEL" xfId="3024" xr:uid="{00000000-0005-0000-0000-00004C0C0000}"/>
    <cellStyle name="_E Springfield Julio-14-09 (2)_SUBARTICO ADD-DEL 2" xfId="3025" xr:uid="{00000000-0005-0000-0000-00004D0C0000}"/>
    <cellStyle name="_E Springfield Julio-21-09" xfId="3026" xr:uid="{00000000-0005-0000-0000-00004E0C0000}"/>
    <cellStyle name="_E Springfield Julio-21-09 2" xfId="3027" xr:uid="{00000000-0005-0000-0000-00004F0C0000}"/>
    <cellStyle name="_E Springfield Julio-21-09 3" xfId="3028" xr:uid="{00000000-0005-0000-0000-0000500C0000}"/>
    <cellStyle name="_E Springfield Julio-21-09 4" xfId="3029" xr:uid="{00000000-0005-0000-0000-0000510C0000}"/>
    <cellStyle name="_E Springfield Julio-21-09 5" xfId="3030" xr:uid="{00000000-0005-0000-0000-0000520C0000}"/>
    <cellStyle name="_E Springfield Julio-21-09_SUBARTICO ADD-DEL" xfId="3031" xr:uid="{00000000-0005-0000-0000-0000530C0000}"/>
    <cellStyle name="_E Springfield Julio-21-09_SUBARTICO ADD-DEL 2" xfId="3032" xr:uid="{00000000-0005-0000-0000-0000540C0000}"/>
    <cellStyle name="_E Springfield Oct-20-09" xfId="3033" xr:uid="{00000000-0005-0000-0000-0000550C0000}"/>
    <cellStyle name="_EC-2338 318402375 B" xfId="3034" xr:uid="{00000000-0005-0000-0000-0000560C0000}"/>
    <cellStyle name="_EC-2338 318402375 B 2" xfId="3035" xr:uid="{00000000-0005-0000-0000-0000570C0000}"/>
    <cellStyle name="_EC-2338 318402375 B 3" xfId="3036" xr:uid="{00000000-0005-0000-0000-0000580C0000}"/>
    <cellStyle name="_EC-2338 318402375 B 4" xfId="3037" xr:uid="{00000000-0005-0000-0000-0000590C0000}"/>
    <cellStyle name="_EC-2338 318402375 B 5" xfId="3038" xr:uid="{00000000-0005-0000-0000-00005A0C0000}"/>
    <cellStyle name="_EC-2338 318402375 B_SUBARTICO ADD-DEL" xfId="3039" xr:uid="{00000000-0005-0000-0000-00005B0C0000}"/>
    <cellStyle name="_EC-2338 318402375 B_SUBARTICO ADD-DEL 2" xfId="3040" xr:uid="{00000000-0005-0000-0000-00005C0C0000}"/>
    <cellStyle name="_Elect_moldeo capex" xfId="3041" xr:uid="{00000000-0005-0000-0000-00005D0C0000}"/>
    <cellStyle name="_Elect_moldeo capex 2" xfId="3042" xr:uid="{00000000-0005-0000-0000-00005E0C0000}"/>
    <cellStyle name="_Elect_moldeo capex 3" xfId="3043" xr:uid="{00000000-0005-0000-0000-00005F0C0000}"/>
    <cellStyle name="_Elect_moldeo capex 4" xfId="3044" xr:uid="{00000000-0005-0000-0000-0000600C0000}"/>
    <cellStyle name="_Elect_moldeo capex 5" xfId="3045" xr:uid="{00000000-0005-0000-0000-0000610C0000}"/>
    <cellStyle name="_Elect_moldeo capex_SUBARTICO ADD-DEL" xfId="3046" xr:uid="{00000000-0005-0000-0000-0000620C0000}"/>
    <cellStyle name="_Elect_moldeo capex_SUBARTICO ADD-DEL 2" xfId="3047" xr:uid="{00000000-0005-0000-0000-0000630C0000}"/>
    <cellStyle name="_Electrolux Canada Enero-14-09" xfId="3048" xr:uid="{00000000-0005-0000-0000-0000640C0000}"/>
    <cellStyle name="_Electrolux Canada Enero-14-09 2" xfId="3049" xr:uid="{00000000-0005-0000-0000-0000650C0000}"/>
    <cellStyle name="_Electrolux Canada Enero-14-09 2 2" xfId="3050" xr:uid="{00000000-0005-0000-0000-0000660C0000}"/>
    <cellStyle name="_Electrolux Canada Enero-14-09 2 3" xfId="3051" xr:uid="{00000000-0005-0000-0000-0000670C0000}"/>
    <cellStyle name="_Electrolux Canada Enero-14-09 2 4" xfId="3052" xr:uid="{00000000-0005-0000-0000-0000680C0000}"/>
    <cellStyle name="_Electrolux Canada Enero-14-09 3" xfId="3053" xr:uid="{00000000-0005-0000-0000-0000690C0000}"/>
    <cellStyle name="_Electrolux Canada Enero-14-09_862-CH" xfId="3054" xr:uid="{00000000-0005-0000-0000-00006A0C0000}"/>
    <cellStyle name="_Electrolux Canada Enero-14-09_BSHNC162 (RFQ EE5409)1" xfId="3055" xr:uid="{00000000-0005-0000-0000-00006B0C0000}"/>
    <cellStyle name="_Electrolux Canada Enero-14-09_BSHNC162 (RFQ EE5409)1 2" xfId="3056" xr:uid="{00000000-0005-0000-0000-00006C0C0000}"/>
    <cellStyle name="_Electrolux Canada Enero-14-09_SUBARTICO ADD-DEL" xfId="3057" xr:uid="{00000000-0005-0000-0000-00006D0C0000}"/>
    <cellStyle name="_Electrolux Canada Enero-14-09_SUBARTICO ADD-DEL 2" xfId="3058" xr:uid="{00000000-0005-0000-0000-00006E0C0000}"/>
    <cellStyle name="_Electrolux Canada Enero-14-09_W10251766 D" xfId="3059" xr:uid="{00000000-0005-0000-0000-00006F0C0000}"/>
    <cellStyle name="_Electrolux Canada Enero-14-09_W10279106 y W10279107 de MR a 56i" xfId="3060" xr:uid="{00000000-0005-0000-0000-0000700C0000}"/>
    <cellStyle name="_Electrolux Canada Enero-14-09_W10315922 A" xfId="3061" xr:uid="{00000000-0005-0000-0000-0000710C0000}"/>
    <cellStyle name="_Electrolux Canada Enero-29-09" xfId="3062" xr:uid="{00000000-0005-0000-0000-0000720C0000}"/>
    <cellStyle name="_Electrolux Canada Enero-29-09 2" xfId="3063" xr:uid="{00000000-0005-0000-0000-0000730C0000}"/>
    <cellStyle name="_Electrolux Canada Enero-29-09 2 2" xfId="3064" xr:uid="{00000000-0005-0000-0000-0000740C0000}"/>
    <cellStyle name="_Electrolux Canada Enero-29-09 2 3" xfId="3065" xr:uid="{00000000-0005-0000-0000-0000750C0000}"/>
    <cellStyle name="_Electrolux Canada Enero-29-09 2 4" xfId="3066" xr:uid="{00000000-0005-0000-0000-0000760C0000}"/>
    <cellStyle name="_Electrolux Canada Enero-29-09 3" xfId="3067" xr:uid="{00000000-0005-0000-0000-0000770C0000}"/>
    <cellStyle name="_Electrolux Canada Enero-29-09_862-CH" xfId="3068" xr:uid="{00000000-0005-0000-0000-0000780C0000}"/>
    <cellStyle name="_Electrolux Canada Enero-29-09_SUBARTICO ADD-DEL" xfId="3069" xr:uid="{00000000-0005-0000-0000-0000790C0000}"/>
    <cellStyle name="_Electrolux Canada Enero-29-09_SUBARTICO ADD-DEL 2" xfId="3070" xr:uid="{00000000-0005-0000-0000-00007A0C0000}"/>
    <cellStyle name="_Electrolux Canada Enero-29-09_W10251766 D" xfId="3071" xr:uid="{00000000-0005-0000-0000-00007B0C0000}"/>
    <cellStyle name="_Electrolux Canada Enero-29-09_W10279106 y W10279107 de MR a 56i" xfId="3072" xr:uid="{00000000-0005-0000-0000-00007C0C0000}"/>
    <cellStyle name="_Electrolux Canada Enero-29-09_W10315922 A" xfId="3073" xr:uid="{00000000-0005-0000-0000-00007D0C0000}"/>
    <cellStyle name="_Electrolux Canada Feb-11-09 (2)" xfId="3074" xr:uid="{00000000-0005-0000-0000-00007E0C0000}"/>
    <cellStyle name="_Electrolux Canada Feb-11-09 (2) 2" xfId="3075" xr:uid="{00000000-0005-0000-0000-00007F0C0000}"/>
    <cellStyle name="_Electrolux Canada Feb-11-09 (2) 2 2" xfId="3076" xr:uid="{00000000-0005-0000-0000-0000800C0000}"/>
    <cellStyle name="_Electrolux Canada Feb-11-09 (2) 2 3" xfId="3077" xr:uid="{00000000-0005-0000-0000-0000810C0000}"/>
    <cellStyle name="_Electrolux Canada Feb-11-09 (2) 2 4" xfId="3078" xr:uid="{00000000-0005-0000-0000-0000820C0000}"/>
    <cellStyle name="_Electrolux Canada Feb-11-09 (2) 3" xfId="3079" xr:uid="{00000000-0005-0000-0000-0000830C0000}"/>
    <cellStyle name="_Electrolux Canada Feb-11-09 (2)_862-CH" xfId="3080" xr:uid="{00000000-0005-0000-0000-0000840C0000}"/>
    <cellStyle name="_Electrolux Canada Feb-11-09 (2)_SUBARTICO ADD-DEL" xfId="3081" xr:uid="{00000000-0005-0000-0000-0000850C0000}"/>
    <cellStyle name="_Electrolux Canada Feb-11-09 (2)_SUBARTICO ADD-DEL 2" xfId="3082" xr:uid="{00000000-0005-0000-0000-0000860C0000}"/>
    <cellStyle name="_Electrolux Canada Feb-11-09 (2)_W10251766 D" xfId="3083" xr:uid="{00000000-0005-0000-0000-0000870C0000}"/>
    <cellStyle name="_Electrolux Canada Feb-11-09 (2)_W10279106 y W10279107 de MR a 56i" xfId="3084" xr:uid="{00000000-0005-0000-0000-0000880C0000}"/>
    <cellStyle name="_Electrolux Canada Feb-11-09 (2)_W10315922 A" xfId="3085" xr:uid="{00000000-0005-0000-0000-0000890C0000}"/>
    <cellStyle name="_Electrolux Springfield Dic-02-08" xfId="3086" xr:uid="{00000000-0005-0000-0000-00008A0C0000}"/>
    <cellStyle name="_Electrolux Springfield Dic-02-08 2" xfId="3087" xr:uid="{00000000-0005-0000-0000-00008B0C0000}"/>
    <cellStyle name="_Electrolux Springfield Dic-02-08 3" xfId="3088" xr:uid="{00000000-0005-0000-0000-00008C0C0000}"/>
    <cellStyle name="_Electrolux Springfield Dic-02-08 4" xfId="3089" xr:uid="{00000000-0005-0000-0000-00008D0C0000}"/>
    <cellStyle name="_Electrolux Springfield Dic-02-08 5" xfId="3090" xr:uid="{00000000-0005-0000-0000-00008E0C0000}"/>
    <cellStyle name="_Electrolux Springfield Dic-02-08_SUBARTICO ADD-DEL" xfId="3091" xr:uid="{00000000-0005-0000-0000-00008F0C0000}"/>
    <cellStyle name="_Electrolux Springfield Dic-02-08_SUBARTICO ADD-DEL 2" xfId="3092" xr:uid="{00000000-0005-0000-0000-0000900C0000}"/>
    <cellStyle name="_Electrolux Springfield Enero-13-09" xfId="3093" xr:uid="{00000000-0005-0000-0000-0000910C0000}"/>
    <cellStyle name="_Electrolux Springfield Enero-13-09 (2)" xfId="3094" xr:uid="{00000000-0005-0000-0000-0000920C0000}"/>
    <cellStyle name="_Electrolux Springfield Enero-13-09 (2) 2" xfId="3095" xr:uid="{00000000-0005-0000-0000-0000930C0000}"/>
    <cellStyle name="_Electrolux Springfield Enero-13-09 (2) 2 2" xfId="3096" xr:uid="{00000000-0005-0000-0000-0000940C0000}"/>
    <cellStyle name="_Electrolux Springfield Enero-13-09 (2) 2 3" xfId="3097" xr:uid="{00000000-0005-0000-0000-0000950C0000}"/>
    <cellStyle name="_Electrolux Springfield Enero-13-09 (2) 2 4" xfId="3098" xr:uid="{00000000-0005-0000-0000-0000960C0000}"/>
    <cellStyle name="_Electrolux Springfield Enero-13-09 (2) 3" xfId="3099" xr:uid="{00000000-0005-0000-0000-0000970C0000}"/>
    <cellStyle name="_Electrolux Springfield Enero-13-09 (2)_862-CH" xfId="3100" xr:uid="{00000000-0005-0000-0000-0000980C0000}"/>
    <cellStyle name="_Electrolux Springfield Enero-13-09 (2)_BSHNC162 (RFQ EE5409)1" xfId="3101" xr:uid="{00000000-0005-0000-0000-0000990C0000}"/>
    <cellStyle name="_Electrolux Springfield Enero-13-09 (2)_BSHNC162 (RFQ EE5409)1 2" xfId="3102" xr:uid="{00000000-0005-0000-0000-00009A0C0000}"/>
    <cellStyle name="_Electrolux Springfield Enero-13-09 (2)_SUBARTICO ADD-DEL" xfId="3103" xr:uid="{00000000-0005-0000-0000-00009B0C0000}"/>
    <cellStyle name="_Electrolux Springfield Enero-13-09 (2)_SUBARTICO ADD-DEL 2" xfId="3104" xr:uid="{00000000-0005-0000-0000-00009C0C0000}"/>
    <cellStyle name="_Electrolux Springfield Enero-13-09 (2)_W10251766 D" xfId="3105" xr:uid="{00000000-0005-0000-0000-00009D0C0000}"/>
    <cellStyle name="_Electrolux Springfield Enero-13-09 (2)_W10279106 y W10279107 de MR a 56i" xfId="3106" xr:uid="{00000000-0005-0000-0000-00009E0C0000}"/>
    <cellStyle name="_Electrolux Springfield Enero-13-09 (2)_W10315922 A" xfId="3107" xr:uid="{00000000-0005-0000-0000-00009F0C0000}"/>
    <cellStyle name="_Electrolux Springfield Enero-13-09 10" xfId="24753" xr:uid="{00000000-0005-0000-0000-0000A00C0000}"/>
    <cellStyle name="_Electrolux Springfield Enero-13-09 11" xfId="24754" xr:uid="{00000000-0005-0000-0000-0000A10C0000}"/>
    <cellStyle name="_Electrolux Springfield Enero-13-09 12" xfId="24755" xr:uid="{00000000-0005-0000-0000-0000A20C0000}"/>
    <cellStyle name="_Electrolux Springfield Enero-13-09 13" xfId="24756" xr:uid="{00000000-0005-0000-0000-0000A30C0000}"/>
    <cellStyle name="_Electrolux Springfield Enero-13-09 2" xfId="3108" xr:uid="{00000000-0005-0000-0000-0000A40C0000}"/>
    <cellStyle name="_Electrolux Springfield Enero-13-09 2 2" xfId="3109" xr:uid="{00000000-0005-0000-0000-0000A50C0000}"/>
    <cellStyle name="_Electrolux Springfield Enero-13-09 2 3" xfId="3110" xr:uid="{00000000-0005-0000-0000-0000A60C0000}"/>
    <cellStyle name="_Electrolux Springfield Enero-13-09 2 4" xfId="3111" xr:uid="{00000000-0005-0000-0000-0000A70C0000}"/>
    <cellStyle name="_Electrolux Springfield Enero-13-09 3" xfId="3112" xr:uid="{00000000-0005-0000-0000-0000A80C0000}"/>
    <cellStyle name="_Electrolux Springfield Enero-13-09 3 2" xfId="3113" xr:uid="{00000000-0005-0000-0000-0000A90C0000}"/>
    <cellStyle name="_Electrolux Springfield Enero-13-09 3 3" xfId="3114" xr:uid="{00000000-0005-0000-0000-0000AA0C0000}"/>
    <cellStyle name="_Electrolux Springfield Enero-13-09 3 4" xfId="3115" xr:uid="{00000000-0005-0000-0000-0000AB0C0000}"/>
    <cellStyle name="_Electrolux Springfield Enero-13-09 4" xfId="3116" xr:uid="{00000000-0005-0000-0000-0000AC0C0000}"/>
    <cellStyle name="_Electrolux Springfield Enero-13-09 5" xfId="24757" xr:uid="{00000000-0005-0000-0000-0000AD0C0000}"/>
    <cellStyle name="_Electrolux Springfield Enero-13-09 6" xfId="24758" xr:uid="{00000000-0005-0000-0000-0000AE0C0000}"/>
    <cellStyle name="_Electrolux Springfield Enero-13-09 7" xfId="24759" xr:uid="{00000000-0005-0000-0000-0000AF0C0000}"/>
    <cellStyle name="_Electrolux Springfield Enero-13-09 8" xfId="24760" xr:uid="{00000000-0005-0000-0000-0000B00C0000}"/>
    <cellStyle name="_Electrolux Springfield Enero-13-09 9" xfId="24761" xr:uid="{00000000-0005-0000-0000-0000B10C0000}"/>
    <cellStyle name="_Electrolux Springfield Enero-13-09_862-CH" xfId="3117" xr:uid="{00000000-0005-0000-0000-0000B20C0000}"/>
    <cellStyle name="_Electrolux Springfield Enero-13-09_BSHNC162 (RFQ EE5409)1" xfId="3118" xr:uid="{00000000-0005-0000-0000-0000B30C0000}"/>
    <cellStyle name="_Electrolux Springfield Enero-13-09_BSHNC162 (RFQ EE5409)1 2" xfId="3119" xr:uid="{00000000-0005-0000-0000-0000B40C0000}"/>
    <cellStyle name="_Electrolux Springfield Enero-13-09_SUBARTICO ADD-DEL" xfId="3120" xr:uid="{00000000-0005-0000-0000-0000B50C0000}"/>
    <cellStyle name="_Electrolux Springfield Enero-13-09_SUBARTICO ADD-DEL 2" xfId="3121" xr:uid="{00000000-0005-0000-0000-0000B60C0000}"/>
    <cellStyle name="_Electrolux Springfield Enero-13-09_W10251766 D" xfId="3122" xr:uid="{00000000-0005-0000-0000-0000B70C0000}"/>
    <cellStyle name="_Electrolux Springfield Enero-13-09_W10279106 y W10279107 de MR a 56i" xfId="3123" xr:uid="{00000000-0005-0000-0000-0000B80C0000}"/>
    <cellStyle name="_Electrolux Springfield Enero-13-09_W10315922 A" xfId="3124" xr:uid="{00000000-0005-0000-0000-0000B90C0000}"/>
    <cellStyle name="_Electrolux Springfield Enero-14-09" xfId="3125" xr:uid="{00000000-0005-0000-0000-0000BA0C0000}"/>
    <cellStyle name="_Electrolux Springfield Enero-14-09 2" xfId="3126" xr:uid="{00000000-0005-0000-0000-0000BB0C0000}"/>
    <cellStyle name="_Electrolux Springfield Enero-14-09 2 2" xfId="3127" xr:uid="{00000000-0005-0000-0000-0000BC0C0000}"/>
    <cellStyle name="_Electrolux Springfield Enero-14-09 2 3" xfId="3128" xr:uid="{00000000-0005-0000-0000-0000BD0C0000}"/>
    <cellStyle name="_Electrolux Springfield Enero-14-09 2 4" xfId="3129" xr:uid="{00000000-0005-0000-0000-0000BE0C0000}"/>
    <cellStyle name="_Electrolux Springfield Enero-14-09 3" xfId="3130" xr:uid="{00000000-0005-0000-0000-0000BF0C0000}"/>
    <cellStyle name="_Electrolux Springfield Enero-14-09_862-CH" xfId="3131" xr:uid="{00000000-0005-0000-0000-0000C00C0000}"/>
    <cellStyle name="_Electrolux Springfield Enero-14-09_BSHNC162 (RFQ EE5409)1" xfId="3132" xr:uid="{00000000-0005-0000-0000-0000C10C0000}"/>
    <cellStyle name="_Electrolux Springfield Enero-14-09_BSHNC162 (RFQ EE5409)1 2" xfId="3133" xr:uid="{00000000-0005-0000-0000-0000C20C0000}"/>
    <cellStyle name="_Electrolux Springfield Enero-14-09_SUBARTICO ADD-DEL" xfId="3134" xr:uid="{00000000-0005-0000-0000-0000C30C0000}"/>
    <cellStyle name="_Electrolux Springfield Enero-14-09_SUBARTICO ADD-DEL 2" xfId="3135" xr:uid="{00000000-0005-0000-0000-0000C40C0000}"/>
    <cellStyle name="_Electrolux Springfield Enero-14-09_W10251766 D" xfId="3136" xr:uid="{00000000-0005-0000-0000-0000C50C0000}"/>
    <cellStyle name="_Electrolux Springfield Enero-14-09_W10279106 y W10279107 de MR a 56i" xfId="3137" xr:uid="{00000000-0005-0000-0000-0000C60C0000}"/>
    <cellStyle name="_Electrolux Springfield Enero-14-09_W10315922 A" xfId="3138" xr:uid="{00000000-0005-0000-0000-0000C70C0000}"/>
    <cellStyle name="_Electrolux Springfield Enero-15-09" xfId="3139" xr:uid="{00000000-0005-0000-0000-0000C80C0000}"/>
    <cellStyle name="_Electrolux Springfield Enero-15-09 2" xfId="3140" xr:uid="{00000000-0005-0000-0000-0000C90C0000}"/>
    <cellStyle name="_Electrolux Springfield Enero-15-09 2 2" xfId="3141" xr:uid="{00000000-0005-0000-0000-0000CA0C0000}"/>
    <cellStyle name="_Electrolux Springfield Enero-15-09 2 3" xfId="3142" xr:uid="{00000000-0005-0000-0000-0000CB0C0000}"/>
    <cellStyle name="_Electrolux Springfield Enero-15-09 2 4" xfId="3143" xr:uid="{00000000-0005-0000-0000-0000CC0C0000}"/>
    <cellStyle name="_Electrolux Springfield Enero-15-09 3" xfId="3144" xr:uid="{00000000-0005-0000-0000-0000CD0C0000}"/>
    <cellStyle name="_Electrolux Springfield Enero-15-09_862-CH" xfId="3145" xr:uid="{00000000-0005-0000-0000-0000CE0C0000}"/>
    <cellStyle name="_Electrolux Springfield Enero-15-09_BSHNC162 (RFQ EE5409)1" xfId="3146" xr:uid="{00000000-0005-0000-0000-0000CF0C0000}"/>
    <cellStyle name="_Electrolux Springfield Enero-15-09_BSHNC162 (RFQ EE5409)1 2" xfId="3147" xr:uid="{00000000-0005-0000-0000-0000D00C0000}"/>
    <cellStyle name="_Electrolux Springfield Enero-15-09_SUBARTICO ADD-DEL" xfId="3148" xr:uid="{00000000-0005-0000-0000-0000D10C0000}"/>
    <cellStyle name="_Electrolux Springfield Enero-15-09_SUBARTICO ADD-DEL 2" xfId="3149" xr:uid="{00000000-0005-0000-0000-0000D20C0000}"/>
    <cellStyle name="_Electrolux Springfield Enero-15-09_W10251766 D" xfId="3150" xr:uid="{00000000-0005-0000-0000-0000D30C0000}"/>
    <cellStyle name="_Electrolux Springfield Enero-15-09_W10279106 y W10279107 de MR a 56i" xfId="3151" xr:uid="{00000000-0005-0000-0000-0000D40C0000}"/>
    <cellStyle name="_Electrolux Springfield Enero-15-09_W10315922 A" xfId="3152" xr:uid="{00000000-0005-0000-0000-0000D50C0000}"/>
    <cellStyle name="_Electrolux Springfield Enero-26-09" xfId="3153" xr:uid="{00000000-0005-0000-0000-0000D60C0000}"/>
    <cellStyle name="_Electrolux Springfield Enero-26-09 2" xfId="3154" xr:uid="{00000000-0005-0000-0000-0000D70C0000}"/>
    <cellStyle name="_Electrolux Springfield Enero-26-09 2 2" xfId="3155" xr:uid="{00000000-0005-0000-0000-0000D80C0000}"/>
    <cellStyle name="_Electrolux Springfield Enero-26-09 2 3" xfId="3156" xr:uid="{00000000-0005-0000-0000-0000D90C0000}"/>
    <cellStyle name="_Electrolux Springfield Enero-26-09 2 4" xfId="3157" xr:uid="{00000000-0005-0000-0000-0000DA0C0000}"/>
    <cellStyle name="_Electrolux Springfield Enero-26-09 3" xfId="3158" xr:uid="{00000000-0005-0000-0000-0000DB0C0000}"/>
    <cellStyle name="_Electrolux Springfield Enero-26-09_862-CH" xfId="3159" xr:uid="{00000000-0005-0000-0000-0000DC0C0000}"/>
    <cellStyle name="_Electrolux Springfield Enero-26-09_BSHNC162 (RFQ EE5409)1" xfId="3160" xr:uid="{00000000-0005-0000-0000-0000DD0C0000}"/>
    <cellStyle name="_Electrolux Springfield Enero-26-09_BSHNC162 (RFQ EE5409)1 2" xfId="3161" xr:uid="{00000000-0005-0000-0000-0000DE0C0000}"/>
    <cellStyle name="_Electrolux Springfield Enero-26-09_SUBARTICO ADD-DEL" xfId="3162" xr:uid="{00000000-0005-0000-0000-0000DF0C0000}"/>
    <cellStyle name="_Electrolux Springfield Enero-26-09_SUBARTICO ADD-DEL 2" xfId="3163" xr:uid="{00000000-0005-0000-0000-0000E00C0000}"/>
    <cellStyle name="_Electrolux Springfield Enero-26-09_W10251766 D" xfId="3164" xr:uid="{00000000-0005-0000-0000-0000E10C0000}"/>
    <cellStyle name="_Electrolux Springfield Enero-26-09_W10279106 y W10279107 de MR a 56i" xfId="3165" xr:uid="{00000000-0005-0000-0000-0000E20C0000}"/>
    <cellStyle name="_Electrolux Springfield Enero-26-09_W10315922 A" xfId="3166" xr:uid="{00000000-0005-0000-0000-0000E30C0000}"/>
    <cellStyle name="_Electrolux Springfield Enero-27-09 (7 grupos)" xfId="3167" xr:uid="{00000000-0005-0000-0000-0000E40C0000}"/>
    <cellStyle name="_Electrolux Springfield Enero-27-09 (7 grupos) 2" xfId="3168" xr:uid="{00000000-0005-0000-0000-0000E50C0000}"/>
    <cellStyle name="_Electrolux Springfield Enero-27-09 (7 grupos) 3" xfId="3169" xr:uid="{00000000-0005-0000-0000-0000E60C0000}"/>
    <cellStyle name="_Electrolux Springfield Enero-27-09 (7 grupos) 4" xfId="3170" xr:uid="{00000000-0005-0000-0000-0000E70C0000}"/>
    <cellStyle name="_Electrolux Springfield Enero-27-09 (7 grupos) 5" xfId="3171" xr:uid="{00000000-0005-0000-0000-0000E80C0000}"/>
    <cellStyle name="_Electrolux Springfield Enero-27-09 (7 grupos)_SUBARTICO ADD-DEL" xfId="3172" xr:uid="{00000000-0005-0000-0000-0000E90C0000}"/>
    <cellStyle name="_Electrolux Springfield Enero-27-09 (7 grupos)_SUBARTICO ADD-DEL 2" xfId="3173" xr:uid="{00000000-0005-0000-0000-0000EA0C0000}"/>
    <cellStyle name="_Electrolux Springfield Enero-29-09" xfId="3174" xr:uid="{00000000-0005-0000-0000-0000EB0C0000}"/>
    <cellStyle name="_Electrolux Springfield Enero-29-09 2" xfId="3175" xr:uid="{00000000-0005-0000-0000-0000EC0C0000}"/>
    <cellStyle name="_Electrolux Springfield Enero-29-09 2 2" xfId="3176" xr:uid="{00000000-0005-0000-0000-0000ED0C0000}"/>
    <cellStyle name="_Electrolux Springfield Enero-29-09 2 3" xfId="3177" xr:uid="{00000000-0005-0000-0000-0000EE0C0000}"/>
    <cellStyle name="_Electrolux Springfield Enero-29-09 2 4" xfId="3178" xr:uid="{00000000-0005-0000-0000-0000EF0C0000}"/>
    <cellStyle name="_Electrolux Springfield Enero-29-09 3" xfId="3179" xr:uid="{00000000-0005-0000-0000-0000F00C0000}"/>
    <cellStyle name="_Electrolux Springfield Enero-29-09_862-CH" xfId="3180" xr:uid="{00000000-0005-0000-0000-0000F10C0000}"/>
    <cellStyle name="_Electrolux Springfield Enero-29-09_BSHNC162 (RFQ EE5409)1" xfId="3181" xr:uid="{00000000-0005-0000-0000-0000F20C0000}"/>
    <cellStyle name="_Electrolux Springfield Enero-29-09_BSHNC162 (RFQ EE5409)1 2" xfId="3182" xr:uid="{00000000-0005-0000-0000-0000F30C0000}"/>
    <cellStyle name="_Electrolux Springfield Enero-29-09_SUBARTICO ADD-DEL" xfId="3183" xr:uid="{00000000-0005-0000-0000-0000F40C0000}"/>
    <cellStyle name="_Electrolux Springfield Enero-29-09_SUBARTICO ADD-DEL 2" xfId="3184" xr:uid="{00000000-0005-0000-0000-0000F50C0000}"/>
    <cellStyle name="_Electrolux Springfield Enero-29-09_W10251766 D" xfId="3185" xr:uid="{00000000-0005-0000-0000-0000F60C0000}"/>
    <cellStyle name="_Electrolux Springfield Enero-29-09_W10279106 y W10279107 de MR a 56i" xfId="3186" xr:uid="{00000000-0005-0000-0000-0000F70C0000}"/>
    <cellStyle name="_Electrolux Springfield Enero-29-09_W10315922 A" xfId="3187" xr:uid="{00000000-0005-0000-0000-0000F80C0000}"/>
    <cellStyle name="_EN-091005  AMANA" xfId="3188" xr:uid="{00000000-0005-0000-0000-0000F90C0000}"/>
    <cellStyle name="_EN-091005  AMANA 2" xfId="3189" xr:uid="{00000000-0005-0000-0000-0000FA0C0000}"/>
    <cellStyle name="_EN-091005  AMANA 3" xfId="3190" xr:uid="{00000000-0005-0000-0000-0000FB0C0000}"/>
    <cellStyle name="_EN-091005  AMANA 4" xfId="3191" xr:uid="{00000000-0005-0000-0000-0000FC0C0000}"/>
    <cellStyle name="_EN-091005  AMANA 5" xfId="3192" xr:uid="{00000000-0005-0000-0000-0000FD0C0000}"/>
    <cellStyle name="_EUs Sales per EUs Imuris 3" xfId="3193" xr:uid="{00000000-0005-0000-0000-0000FE0C0000}"/>
    <cellStyle name="_EUs Sales per EUs Imuris 3 2" xfId="3194" xr:uid="{00000000-0005-0000-0000-0000FF0C0000}"/>
    <cellStyle name="_EUs Sales per EUs Imuris 3 3" xfId="3195" xr:uid="{00000000-0005-0000-0000-0000000D0000}"/>
    <cellStyle name="_EUs Sales per EUs Imuris 3 4" xfId="3196" xr:uid="{00000000-0005-0000-0000-0000010D0000}"/>
    <cellStyle name="_EUs Sales per EUs Imuris 3 5" xfId="3197" xr:uid="{00000000-0005-0000-0000-0000020D0000}"/>
    <cellStyle name="_Evansville" xfId="3198" xr:uid="{00000000-0005-0000-0000-0000030D0000}"/>
    <cellStyle name="_Evansville 10" xfId="3199" xr:uid="{00000000-0005-0000-0000-0000040D0000}"/>
    <cellStyle name="_Evansville 11" xfId="3200" xr:uid="{00000000-0005-0000-0000-0000050D0000}"/>
    <cellStyle name="_Evansville 11-5 07-Nov-071" xfId="3201" xr:uid="{00000000-0005-0000-0000-0000060D0000}"/>
    <cellStyle name="_Evansville 11-5 07-Nov-071 2" xfId="3202" xr:uid="{00000000-0005-0000-0000-0000070D0000}"/>
    <cellStyle name="_Evansville 11-5 07-Nov-071 3" xfId="3203" xr:uid="{00000000-0005-0000-0000-0000080D0000}"/>
    <cellStyle name="_Evansville 11-5 07-Nov-071 4" xfId="3204" xr:uid="{00000000-0005-0000-0000-0000090D0000}"/>
    <cellStyle name="_Evansville 11-5 07-Nov-071 5" xfId="3205" xr:uid="{00000000-0005-0000-0000-00000A0D0000}"/>
    <cellStyle name="_Evansville 2" xfId="3206" xr:uid="{00000000-0005-0000-0000-00000B0D0000}"/>
    <cellStyle name="_Evansville 3" xfId="3207" xr:uid="{00000000-0005-0000-0000-00000C0D0000}"/>
    <cellStyle name="_Evansville 4" xfId="3208" xr:uid="{00000000-0005-0000-0000-00000D0D0000}"/>
    <cellStyle name="_Evansville 5" xfId="3209" xr:uid="{00000000-0005-0000-0000-00000E0D0000}"/>
    <cellStyle name="_Evansville 6" xfId="3210" xr:uid="{00000000-0005-0000-0000-00000F0D0000}"/>
    <cellStyle name="_Evansville 7" xfId="3211" xr:uid="{00000000-0005-0000-0000-0000100D0000}"/>
    <cellStyle name="_Evansville 8" xfId="3212" xr:uid="{00000000-0005-0000-0000-0000110D0000}"/>
    <cellStyle name="_Evansville 9" xfId="3213" xr:uid="{00000000-0005-0000-0000-0000120D0000}"/>
    <cellStyle name="_Evansville_SUBARTICO ADD-DEL" xfId="3214" xr:uid="{00000000-0005-0000-0000-0000130D0000}"/>
    <cellStyle name="_Evansville_SUBARTICO ADD-DEL 2" xfId="3215" xr:uid="{00000000-0005-0000-0000-0000140D0000}"/>
    <cellStyle name="_FINDLAY (3385500)1" xfId="3216" xr:uid="{00000000-0005-0000-0000-0000150D0000}"/>
    <cellStyle name="_FINDLAY (3385500)1 2" xfId="3217" xr:uid="{00000000-0005-0000-0000-0000160D0000}"/>
    <cellStyle name="_FINDLAY (3385500)1 3" xfId="24762" xr:uid="{00000000-0005-0000-0000-0000170D0000}"/>
    <cellStyle name="_FINDLAY (3385500)1_825-CH PROYECTO CORONA" xfId="3218" xr:uid="{00000000-0005-0000-0000-0000180D0000}"/>
    <cellStyle name="_FINDLAY (3385500)1_825-CH PROYECTO CORONA 2" xfId="3219" xr:uid="{00000000-0005-0000-0000-0000190D0000}"/>
    <cellStyle name="_FINDLAY (3385500)1_825-CH PROYECTO CORONA 3" xfId="3220" xr:uid="{00000000-0005-0000-0000-00001A0D0000}"/>
    <cellStyle name="_FINDLAY (3385500)1_825-CH PROYECTO CORONA_862-CH" xfId="3221" xr:uid="{00000000-0005-0000-0000-00001B0D0000}"/>
    <cellStyle name="_FINDLAY (3385500)1_825-CH PROYECTO CORONA_W10251766 D" xfId="3222" xr:uid="{00000000-0005-0000-0000-00001C0D0000}"/>
    <cellStyle name="_FINDLAY (3385500)1_825-CH PROYECTO CORONA_W10279106 y W10279107 de MR a 56i" xfId="3223" xr:uid="{00000000-0005-0000-0000-00001D0D0000}"/>
    <cellStyle name="_FINDLAY (3385500)1_825-CH PROYECTO CORONA_W10315922 A" xfId="3224" xr:uid="{00000000-0005-0000-0000-00001E0D0000}"/>
    <cellStyle name="_FINDLAY (3385500)1_ama quote" xfId="3225" xr:uid="{00000000-0005-0000-0000-00001F0D0000}"/>
    <cellStyle name="_FINDLAY (3385500)1_ama quote 2" xfId="3226" xr:uid="{00000000-0005-0000-0000-0000200D0000}"/>
    <cellStyle name="_FINDLAY (3385500)1_ama quote 3" xfId="3227" xr:uid="{00000000-0005-0000-0000-0000210D0000}"/>
    <cellStyle name="_FINDLAY (3385500)1_ama quote 4" xfId="3228" xr:uid="{00000000-0005-0000-0000-0000220D0000}"/>
    <cellStyle name="_FINDLAY (3385500)1_ama quote 5" xfId="3229" xr:uid="{00000000-0005-0000-0000-0000230D0000}"/>
    <cellStyle name="_FINDLAY (3385500)1_BSHNC144(RFQ EE2909)gs" xfId="3230" xr:uid="{00000000-0005-0000-0000-0000240D0000}"/>
    <cellStyle name="_FINDLAY (3385500)1_BSHNC144(RFQ EE2909)gs_BSHTN061" xfId="3231" xr:uid="{00000000-0005-0000-0000-0000250D0000}"/>
    <cellStyle name="_FINDLAY (3385500)1_BSHNC144(RFQ EE2909)gs_BSHTN067" xfId="3232" xr:uid="{00000000-0005-0000-0000-0000260D0000}"/>
    <cellStyle name="_FINDLAY (3385500)1_BSHNC144(RFQ EE2909)gs_BSHTN071" xfId="3233" xr:uid="{00000000-0005-0000-0000-0000270D0000}"/>
    <cellStyle name="_FINDLAY (3385500)1_BSHNC145(RFQ EE2909)" xfId="3234" xr:uid="{00000000-0005-0000-0000-0000280D0000}"/>
    <cellStyle name="_FINDLAY (3385500)1_BSHNC145(RFQ EE2909)_BSHNC151 (RFQ EE4509)" xfId="3235" xr:uid="{00000000-0005-0000-0000-0000290D0000}"/>
    <cellStyle name="_FINDLAY (3385500)1_BSHNC145(RFQ EE2909)_BSHNC162 (RFQ EE5409)" xfId="3236" xr:uid="{00000000-0005-0000-0000-00002A0D0000}"/>
    <cellStyle name="_FINDLAY (3385500)1_BSHNC145(RFQ EE2909)_Quote BSHNC163" xfId="3237" xr:uid="{00000000-0005-0000-0000-00002B0D0000}"/>
    <cellStyle name="_FINDLAY (3385500)1_BSHTN061" xfId="3238" xr:uid="{00000000-0005-0000-0000-00002C0D0000}"/>
    <cellStyle name="_FINDLAY (3385500)1_W10297387 A" xfId="3239" xr:uid="{00000000-0005-0000-0000-00002D0D0000}"/>
    <cellStyle name="_FINDLAY (3385500)1_W10315911 A" xfId="3240" xr:uid="{00000000-0005-0000-0000-00002E0D0000}"/>
    <cellStyle name="_FINDLAY (3385500)1_W10315921 A" xfId="3241" xr:uid="{00000000-0005-0000-0000-00002F0D0000}"/>
    <cellStyle name="_FINDLAY (3385500)1_W10315922 A" xfId="3242" xr:uid="{00000000-0005-0000-0000-0000300D0000}"/>
    <cellStyle name="_FINDLAY (3385500)1_Xl0000052" xfId="3243" xr:uid="{00000000-0005-0000-0000-0000310D0000}"/>
    <cellStyle name="_FINDLAY (3385500)1_Xl0000052_862-CH" xfId="3244" xr:uid="{00000000-0005-0000-0000-0000320D0000}"/>
    <cellStyle name="_FINDLAY (3385500)1_Xl0000052_W10251766 D" xfId="3245" xr:uid="{00000000-0005-0000-0000-0000330D0000}"/>
    <cellStyle name="_FINDLAY (3385500)1_Xl0000052_W10279106 y W10279107 de MR a 56i" xfId="3246" xr:uid="{00000000-0005-0000-0000-0000340D0000}"/>
    <cellStyle name="_FINDLAY (3385500)1_Xl0000052_W10315922 A" xfId="3247" xr:uid="{00000000-0005-0000-0000-0000350D0000}"/>
    <cellStyle name="_FORMATO PARA CAPACIDAD LEADS MABE 12.05.08" xfId="3248" xr:uid="{00000000-0005-0000-0000-0000360D0000}"/>
    <cellStyle name="_FORMATO PARA CAPACIDAD LEADS MABE 12.05.08 2" xfId="3249" xr:uid="{00000000-0005-0000-0000-0000370D0000}"/>
    <cellStyle name="_FORMATO PARA CAPACIDAD LEADS MABE 12.05.08 2 2" xfId="3250" xr:uid="{00000000-0005-0000-0000-0000380D0000}"/>
    <cellStyle name="_FORMATO PARA CAPACIDAD LEADS MABE 12.05.08 2 3" xfId="3251" xr:uid="{00000000-0005-0000-0000-0000390D0000}"/>
    <cellStyle name="_FORMATO PARA CAPACIDAD LEADS MABE 12.05.08 2 4" xfId="3252" xr:uid="{00000000-0005-0000-0000-00003A0D0000}"/>
    <cellStyle name="_FORMATO PARA CAPACIDAD LEADS MABE 12.05.08 3" xfId="3253" xr:uid="{00000000-0005-0000-0000-00003B0D0000}"/>
    <cellStyle name="_FORMATO PARA CAPACIDAD LEADS MABE 12.05.08 3 2" xfId="3254" xr:uid="{00000000-0005-0000-0000-00003C0D0000}"/>
    <cellStyle name="_FORMATO PARA CAPACIDAD LEADS MABE 12.05.08 3 3" xfId="3255" xr:uid="{00000000-0005-0000-0000-00003D0D0000}"/>
    <cellStyle name="_FORMATO PARA CAPACIDAD LEADS MABE 12.05.08 3 4" xfId="3256" xr:uid="{00000000-0005-0000-0000-00003E0D0000}"/>
    <cellStyle name="_FORMATO PARA CAPACIDAD LEADS MABE 12.05.08 4" xfId="3257" xr:uid="{00000000-0005-0000-0000-00003F0D0000}"/>
    <cellStyle name="_FORMATO PARA CAPACIDAD LEADS MABE 12.05.08 5" xfId="3258" xr:uid="{00000000-0005-0000-0000-0000400D0000}"/>
    <cellStyle name="_FORMATO PARA CAPACIDAD LEADS MABE 12.05.08_54" xfId="3259" xr:uid="{00000000-0005-0000-0000-0000410D0000}"/>
    <cellStyle name="_FORMATO PARA CAPACIDAD LEADS MABE 12.05.08_54 2" xfId="3260" xr:uid="{00000000-0005-0000-0000-0000420D0000}"/>
    <cellStyle name="_FORMATO PARA CAPACIDAD LEADS MABE 12.05.08_54 3" xfId="3261" xr:uid="{00000000-0005-0000-0000-0000430D0000}"/>
    <cellStyle name="_FORMATO PARA CAPACIDAD LEADS MABE 12.05.08_54 4" xfId="3262" xr:uid="{00000000-0005-0000-0000-0000440D0000}"/>
    <cellStyle name="_FORMATO PARA CAPACIDAD LEADS MABE 12.05.08_54 5" xfId="3263" xr:uid="{00000000-0005-0000-0000-0000450D0000}"/>
    <cellStyle name="_FORMATO PARA CAPACIDAD LEADS MABE 12.05.08_54_SUBARTICO ADD-DEL" xfId="3264" xr:uid="{00000000-0005-0000-0000-0000460D0000}"/>
    <cellStyle name="_FORMATO PARA CAPACIDAD LEADS MABE 12.05.08_54_SUBARTICO ADD-DEL 2" xfId="3265" xr:uid="{00000000-0005-0000-0000-0000470D0000}"/>
    <cellStyle name="_FORMATO PARA CAPACIDAD LEADS MABE 12.05.08_57" xfId="3266" xr:uid="{00000000-0005-0000-0000-0000480D0000}"/>
    <cellStyle name="_FORMATO PARA CAPACIDAD LEADS MABE 12.05.08_57 2" xfId="3267" xr:uid="{00000000-0005-0000-0000-0000490D0000}"/>
    <cellStyle name="_FORMATO PARA CAPACIDAD LEADS MABE 12.05.08_57 3" xfId="3268" xr:uid="{00000000-0005-0000-0000-00004A0D0000}"/>
    <cellStyle name="_FORMATO PARA CAPACIDAD LEADS MABE 12.05.08_57 4" xfId="3269" xr:uid="{00000000-0005-0000-0000-00004B0D0000}"/>
    <cellStyle name="_FORMATO PARA CAPACIDAD LEADS MABE 12.05.08_57 5" xfId="3270" xr:uid="{00000000-0005-0000-0000-00004C0D0000}"/>
    <cellStyle name="_FORMATO PARA CAPACIDAD LEADS MABE 12.05.08_57_SUBARTICO ADD-DEL" xfId="3271" xr:uid="{00000000-0005-0000-0000-00004D0D0000}"/>
    <cellStyle name="_FORMATO PARA CAPACIDAD LEADS MABE 12.05.08_57_SUBARTICO ADD-DEL 2" xfId="3272" xr:uid="{00000000-0005-0000-0000-00004E0D0000}"/>
    <cellStyle name="_FORMATO PARA CAPACIDAD LEADS MABE 12.05.08_69" xfId="3273" xr:uid="{00000000-0005-0000-0000-00004F0D0000}"/>
    <cellStyle name="_FORMATO PARA CAPACIDAD LEADS MABE 12.05.08_69 2" xfId="3274" xr:uid="{00000000-0005-0000-0000-0000500D0000}"/>
    <cellStyle name="_FORMATO PARA CAPACIDAD LEADS MABE 12.05.08_69 3" xfId="3275" xr:uid="{00000000-0005-0000-0000-0000510D0000}"/>
    <cellStyle name="_FORMATO PARA CAPACIDAD LEADS MABE 12.05.08_69 4" xfId="3276" xr:uid="{00000000-0005-0000-0000-0000520D0000}"/>
    <cellStyle name="_FORMATO PARA CAPACIDAD LEADS MABE 12.05.08_69 5" xfId="3277" xr:uid="{00000000-0005-0000-0000-0000530D0000}"/>
    <cellStyle name="_FORMATO PARA CAPACIDAD LEADS MABE 12.05.08_69_SUBARTICO ADD-DEL" xfId="3278" xr:uid="{00000000-0005-0000-0000-0000540D0000}"/>
    <cellStyle name="_FORMATO PARA CAPACIDAD LEADS MABE 12.05.08_69_SUBARTICO ADD-DEL 2" xfId="3279" xr:uid="{00000000-0005-0000-0000-0000550D0000}"/>
    <cellStyle name="_FORMATO PARA CAPACIDAD LEADS MABE 12.05.08_79" xfId="3280" xr:uid="{00000000-0005-0000-0000-0000560D0000}"/>
    <cellStyle name="_FORMATO PARA CAPACIDAD LEADS MABE 12.05.08_79 2" xfId="3281" xr:uid="{00000000-0005-0000-0000-0000570D0000}"/>
    <cellStyle name="_FORMATO PARA CAPACIDAD LEADS MABE 12.05.08_79 3" xfId="3282" xr:uid="{00000000-0005-0000-0000-0000580D0000}"/>
    <cellStyle name="_FORMATO PARA CAPACIDAD LEADS MABE 12.05.08_79 4" xfId="3283" xr:uid="{00000000-0005-0000-0000-0000590D0000}"/>
    <cellStyle name="_FORMATO PARA CAPACIDAD LEADS MABE 12.05.08_79 5" xfId="3284" xr:uid="{00000000-0005-0000-0000-00005A0D0000}"/>
    <cellStyle name="_FORMATO PARA CAPACIDAD LEADS MABE 12.05.08_79_SUBARTICO ADD-DEL" xfId="3285" xr:uid="{00000000-0005-0000-0000-00005B0D0000}"/>
    <cellStyle name="_FORMATO PARA CAPACIDAD LEADS MABE 12.05.08_79_SUBARTICO ADD-DEL 2" xfId="3286" xr:uid="{00000000-0005-0000-0000-00005C0D0000}"/>
    <cellStyle name="_FORMATO PARA CAPACIDAD LEADS MABE 12.05.08_862-CH" xfId="3287" xr:uid="{00000000-0005-0000-0000-00005D0D0000}"/>
    <cellStyle name="_FORMATO PARA CAPACIDAD LEADS MABE 12.05.08_BSHNC151 (RFQ EE4509)" xfId="3288" xr:uid="{00000000-0005-0000-0000-00005E0D0000}"/>
    <cellStyle name="_FORMATO PARA CAPACIDAD LEADS MABE 12.05.08_BSHNC151 (RFQ EE4509) 2" xfId="3289" xr:uid="{00000000-0005-0000-0000-00005F0D0000}"/>
    <cellStyle name="_FORMATO PARA CAPACIDAD LEADS MABE 12.05.08_BSHNC162 (RFQ EE5409)1" xfId="3290" xr:uid="{00000000-0005-0000-0000-0000600D0000}"/>
    <cellStyle name="_FORMATO PARA CAPACIDAD LEADS MABE 12.05.08_BSHNC162 (RFQ EE5409)1 2" xfId="3291" xr:uid="{00000000-0005-0000-0000-0000610D0000}"/>
    <cellStyle name="_FORMATO PARA CAPACIDAD LEADS MABE 12.05.08_CAPEX - EMERSON - 19-JUL-10" xfId="3292" xr:uid="{00000000-0005-0000-0000-0000620D0000}"/>
    <cellStyle name="_FORMATO PARA CAPACIDAD LEADS MABE 12.05.08_CAPEX 10-NOV bosch" xfId="3293" xr:uid="{00000000-0005-0000-0000-0000630D0000}"/>
    <cellStyle name="_FORMATO PARA CAPACIDAD LEADS MABE 12.05.08_CAPEX 10-NOV bosch 2" xfId="3294" xr:uid="{00000000-0005-0000-0000-0000640D0000}"/>
    <cellStyle name="_FORMATO PARA CAPACIDAD LEADS MABE 12.05.08_CAPEX P-SERVICE 21001999" xfId="3295" xr:uid="{00000000-0005-0000-0000-0000650D0000}"/>
    <cellStyle name="_FORMATO PARA CAPACIDAD LEADS MABE 12.05.08_CAPEX P-SERVICE 21001999 2" xfId="3296" xr:uid="{00000000-0005-0000-0000-0000660D0000}"/>
    <cellStyle name="_FORMATO PARA CAPACIDAD LEADS MABE 12.05.08_CAPEX P-SERVICE 21001999 3" xfId="3297" xr:uid="{00000000-0005-0000-0000-0000670D0000}"/>
    <cellStyle name="_FORMATO PARA CAPACIDAD LEADS MABE 12.05.08_CAPEX P-SERVICE 21001999 4" xfId="3298" xr:uid="{00000000-0005-0000-0000-0000680D0000}"/>
    <cellStyle name="_FORMATO PARA CAPACIDAD LEADS MABE 12.05.08_CAPEX P-SERVICE 37001157 (2)" xfId="3299" xr:uid="{00000000-0005-0000-0000-0000690D0000}"/>
    <cellStyle name="_FORMATO PARA CAPACIDAD LEADS MABE 12.05.08_CAPEX P-SERVICE 37001157 (2) 2" xfId="3300" xr:uid="{00000000-0005-0000-0000-00006A0D0000}"/>
    <cellStyle name="_FORMATO PARA CAPACIDAD LEADS MABE 12.05.08_CAPEX P-SERVICE 37001157 (2) 3" xfId="3301" xr:uid="{00000000-0005-0000-0000-00006B0D0000}"/>
    <cellStyle name="_FORMATO PARA CAPACIDAD LEADS MABE 12.05.08_CAPEX P-SERVICE 37001157 (2) 4" xfId="3302" xr:uid="{00000000-0005-0000-0000-00006C0D0000}"/>
    <cellStyle name="_FORMATO PARA CAPACIDAD LEADS MABE 12.05.08_CAPEX P-SERVICE 37001157 (2) 5" xfId="3303" xr:uid="{00000000-0005-0000-0000-00006D0D0000}"/>
    <cellStyle name="_FORMATO PARA CAPACIDAD LEADS MABE 12.05.08_CAPEX P-SERVICE 3957358" xfId="3304" xr:uid="{00000000-0005-0000-0000-00006E0D0000}"/>
    <cellStyle name="_FORMATO PARA CAPACIDAD LEADS MABE 12.05.08_CAPEX P-SERVICE 3957358 (2)" xfId="3305" xr:uid="{00000000-0005-0000-0000-00006F0D0000}"/>
    <cellStyle name="_FORMATO PARA CAPACIDAD LEADS MABE 12.05.08_CAPEX P-SERVICE 3957358 (2) 2" xfId="3306" xr:uid="{00000000-0005-0000-0000-0000700D0000}"/>
    <cellStyle name="_FORMATO PARA CAPACIDAD LEADS MABE 12.05.08_CAPEX P-SERVICE 3957358 (2) 3" xfId="3307" xr:uid="{00000000-0005-0000-0000-0000710D0000}"/>
    <cellStyle name="_FORMATO PARA CAPACIDAD LEADS MABE 12.05.08_CAPEX P-SERVICE 3957358 (2) 4" xfId="3308" xr:uid="{00000000-0005-0000-0000-0000720D0000}"/>
    <cellStyle name="_FORMATO PARA CAPACIDAD LEADS MABE 12.05.08_CAPEX P-SERVICE 3957358 10" xfId="3309" xr:uid="{00000000-0005-0000-0000-0000730D0000}"/>
    <cellStyle name="_FORMATO PARA CAPACIDAD LEADS MABE 12.05.08_CAPEX P-SERVICE 3957358 11" xfId="3310" xr:uid="{00000000-0005-0000-0000-0000740D0000}"/>
    <cellStyle name="_FORMATO PARA CAPACIDAD LEADS MABE 12.05.08_CAPEX P-SERVICE 3957358 2" xfId="3311" xr:uid="{00000000-0005-0000-0000-0000750D0000}"/>
    <cellStyle name="_FORMATO PARA CAPACIDAD LEADS MABE 12.05.08_CAPEX P-SERVICE 3957358 3" xfId="3312" xr:uid="{00000000-0005-0000-0000-0000760D0000}"/>
    <cellStyle name="_FORMATO PARA CAPACIDAD LEADS MABE 12.05.08_CAPEX P-SERVICE 3957358 4" xfId="3313" xr:uid="{00000000-0005-0000-0000-0000770D0000}"/>
    <cellStyle name="_FORMATO PARA CAPACIDAD LEADS MABE 12.05.08_CAPEX P-SERVICE 3957358 5" xfId="3314" xr:uid="{00000000-0005-0000-0000-0000780D0000}"/>
    <cellStyle name="_FORMATO PARA CAPACIDAD LEADS MABE 12.05.08_CAPEX P-SERVICE 3957358 6" xfId="3315" xr:uid="{00000000-0005-0000-0000-0000790D0000}"/>
    <cellStyle name="_FORMATO PARA CAPACIDAD LEADS MABE 12.05.08_CAPEX P-SERVICE 3957358 7" xfId="3316" xr:uid="{00000000-0005-0000-0000-00007A0D0000}"/>
    <cellStyle name="_FORMATO PARA CAPACIDAD LEADS MABE 12.05.08_CAPEX P-SERVICE 3957358 8" xfId="3317" xr:uid="{00000000-0005-0000-0000-00007B0D0000}"/>
    <cellStyle name="_FORMATO PARA CAPACIDAD LEADS MABE 12.05.08_CAPEX P-SERVICE 3957358 9" xfId="3318" xr:uid="{00000000-0005-0000-0000-00007C0D0000}"/>
    <cellStyle name="_FORMATO PARA CAPACIDAD LEADS MABE 12.05.08_CAPEX P-SERVICE 3957377" xfId="3319" xr:uid="{00000000-0005-0000-0000-00007D0D0000}"/>
    <cellStyle name="_FORMATO PARA CAPACIDAD LEADS MABE 12.05.08_CAPEX P-SERVICE 3957377 2" xfId="3320" xr:uid="{00000000-0005-0000-0000-00007E0D0000}"/>
    <cellStyle name="_FORMATO PARA CAPACIDAD LEADS MABE 12.05.08_CAPEX P-SERVICE 3957377 3" xfId="3321" xr:uid="{00000000-0005-0000-0000-00007F0D0000}"/>
    <cellStyle name="_FORMATO PARA CAPACIDAD LEADS MABE 12.05.08_CAPEX P-SERVICE 3957377 4" xfId="3322" xr:uid="{00000000-0005-0000-0000-0000800D0000}"/>
    <cellStyle name="_FORMATO PARA CAPACIDAD LEADS MABE 12.05.08_CAPEX P-SERVICE 3957377 5" xfId="3323" xr:uid="{00000000-0005-0000-0000-0000810D0000}"/>
    <cellStyle name="_FORMATO PARA CAPACIDAD LEADS MABE 12.05.08_CAPEX P-SERVICE 8283175" xfId="3324" xr:uid="{00000000-0005-0000-0000-0000820D0000}"/>
    <cellStyle name="_FORMATO PARA CAPACIDAD LEADS MABE 12.05.08_CAPEX P-SERVICE 8283175 2" xfId="3325" xr:uid="{00000000-0005-0000-0000-0000830D0000}"/>
    <cellStyle name="_FORMATO PARA CAPACIDAD LEADS MABE 12.05.08_CAPEX P-SERVICE 8283175 3" xfId="3326" xr:uid="{00000000-0005-0000-0000-0000840D0000}"/>
    <cellStyle name="_FORMATO PARA CAPACIDAD LEADS MABE 12.05.08_CAPEX P-SERVICE 8283175 4" xfId="3327" xr:uid="{00000000-0005-0000-0000-0000850D0000}"/>
    <cellStyle name="_FORMATO PARA CAPACIDAD LEADS MABE 12.05.08_CAPEX P-SERVICE 8299848" xfId="3328" xr:uid="{00000000-0005-0000-0000-0000860D0000}"/>
    <cellStyle name="_FORMATO PARA CAPACIDAD LEADS MABE 12.05.08_CAPEX P-SERVICE 8299848 2" xfId="3329" xr:uid="{00000000-0005-0000-0000-0000870D0000}"/>
    <cellStyle name="_FORMATO PARA CAPACIDAD LEADS MABE 12.05.08_CAPEX P-SERVICE 8299848 3" xfId="3330" xr:uid="{00000000-0005-0000-0000-0000880D0000}"/>
    <cellStyle name="_FORMATO PARA CAPACIDAD LEADS MABE 12.05.08_CAPEX P-SERVICE 8299848 4" xfId="3331" xr:uid="{00000000-0005-0000-0000-0000890D0000}"/>
    <cellStyle name="_FORMATO PARA CAPACIDAD LEADS MABE 12.05.08_CAPEX P-SERVICE 8299949" xfId="3332" xr:uid="{00000000-0005-0000-0000-00008A0D0000}"/>
    <cellStyle name="_FORMATO PARA CAPACIDAD LEADS MABE 12.05.08_CAPEX P-SERVICE 8299949 2" xfId="3333" xr:uid="{00000000-0005-0000-0000-00008B0D0000}"/>
    <cellStyle name="_FORMATO PARA CAPACIDAD LEADS MABE 12.05.08_CAPEX P-SERVICE 8299949 3" xfId="3334" xr:uid="{00000000-0005-0000-0000-00008C0D0000}"/>
    <cellStyle name="_FORMATO PARA CAPACIDAD LEADS MABE 12.05.08_CAPEX P-SERVICE 8299949 4" xfId="3335" xr:uid="{00000000-0005-0000-0000-00008D0D0000}"/>
    <cellStyle name="_FORMATO PARA CAPACIDAD LEADS MABE 12.05.08_CAPEX P-SERVICE 8299949 5" xfId="3336" xr:uid="{00000000-0005-0000-0000-00008E0D0000}"/>
    <cellStyle name="_FORMATO PARA CAPACIDAD LEADS MABE 12.05.08_ESTIMATED ARES-10 PACKAGE 25NOV" xfId="3337" xr:uid="{00000000-0005-0000-0000-00008F0D0000}"/>
    <cellStyle name="_FORMATO PARA CAPACIDAD LEADS MABE 12.05.08_ESTIMATED ARES-10 PACKAGE 25NOV 2" xfId="3338" xr:uid="{00000000-0005-0000-0000-0000900D0000}"/>
    <cellStyle name="_FORMATO PARA CAPACIDAD LEADS MABE 12.05.08_ESTIMATED ARES-10 PACKAGE 25NOV 3" xfId="24763" xr:uid="{00000000-0005-0000-0000-0000910D0000}"/>
    <cellStyle name="_FORMATO PARA CAPACIDAD LEADS MABE 12.05.08_ESTIMATED ARES-10 PACKAGE 25NOV_SUBARTICO ADD-DEL" xfId="3339" xr:uid="{00000000-0005-0000-0000-0000920D0000}"/>
    <cellStyle name="_FORMATO PARA CAPACIDAD LEADS MABE 12.05.08_ESTIMATED ARES-10 PACKAGE 25NOV_SUBARTICO ADD-DEL 2" xfId="3340" xr:uid="{00000000-0005-0000-0000-0000930D0000}"/>
    <cellStyle name="_FORMATO PARA CAPACIDAD LEADS MABE 12.05.08_SUBARTICO ADD-DEL" xfId="3341" xr:uid="{00000000-0005-0000-0000-0000940D0000}"/>
    <cellStyle name="_FORMATO PARA CAPACIDAD LEADS MABE 12.05.08_SUBARTICO ADD-DEL 2" xfId="3342" xr:uid="{00000000-0005-0000-0000-0000950D0000}"/>
    <cellStyle name="_FORMATO PARA CAPACIDAD LEADS MABE 12.05.08_W10251766 D" xfId="3343" xr:uid="{00000000-0005-0000-0000-0000960D0000}"/>
    <cellStyle name="_FORMATO PARA CAPACIDAD LEADS MABE 12.05.08_W10279106 y W10279107 de MR a 56i" xfId="3344" xr:uid="{00000000-0005-0000-0000-0000970D0000}"/>
    <cellStyle name="_FORMATO PARA CAPACIDAD LEADS MABE 12.05.08_W10315922 A" xfId="3345" xr:uid="{00000000-0005-0000-0000-0000980D0000}"/>
    <cellStyle name="_FORMATO PARA CAPACIDAD LEADS MABE 12.05.08_WC cleveland con spreadshet" xfId="3346" xr:uid="{00000000-0005-0000-0000-0000990D0000}"/>
    <cellStyle name="_FORMATO PARA CAPACIDAD LEADS MABE 12.05.08_WC cleveland con spreadshet 2" xfId="3347" xr:uid="{00000000-0005-0000-0000-00009A0D0000}"/>
    <cellStyle name="_FORMATO PARA CAPACIDAD LEADS MABE 12.05.08_WC cleveland con spreadshet 3" xfId="24764" xr:uid="{00000000-0005-0000-0000-00009B0D0000}"/>
    <cellStyle name="_FORMATO PARA CAPACIDAD LEADS MABE 12.05.08_WC cleveland con spreadshet_SUBARTICO ADD-DEL" xfId="3348" xr:uid="{00000000-0005-0000-0000-00009C0D0000}"/>
    <cellStyle name="_FORMATO PARA CAPACIDAD LEADS MABE 12.05.08_WC cleveland con spreadshet_SUBARTICO ADD-DEL 2" xfId="3349" xr:uid="{00000000-0005-0000-0000-00009D0D0000}"/>
    <cellStyle name="_FORMATO PARA CAPACIDAD LEADS MABE 12.05.08_WPN163 8576530" xfId="3350" xr:uid="{00000000-0005-0000-0000-00009E0D0000}"/>
    <cellStyle name="_FORMATO PARA CAPACIDAD LEADS MABE 12.05.08_WPN163 8576530 2" xfId="3351" xr:uid="{00000000-0005-0000-0000-00009F0D0000}"/>
    <cellStyle name="_FORMATO PARA CAPACIDAD LEADS MABE 12.05.08_WPN163 8576530 3" xfId="3352" xr:uid="{00000000-0005-0000-0000-0000A00D0000}"/>
    <cellStyle name="_FORMATO PARA CAPACIDAD LEADS MABE 12.05.08_WPN163 8576530 4" xfId="3353" xr:uid="{00000000-0005-0000-0000-0000A10D0000}"/>
    <cellStyle name="_FR-1013 316510630 A" xfId="3354" xr:uid="{00000000-0005-0000-0000-0000A20D0000}"/>
    <cellStyle name="_FR-909 316506213 A" xfId="3355" xr:uid="{00000000-0005-0000-0000-0000A30D0000}"/>
    <cellStyle name="_FR-909 316506213 A 2" xfId="3356" xr:uid="{00000000-0005-0000-0000-0000A40D0000}"/>
    <cellStyle name="_FR-909 316506213 A 3" xfId="24765" xr:uid="{00000000-0005-0000-0000-0000A50D0000}"/>
    <cellStyle name="_FR-912 316528100" xfId="3357" xr:uid="{00000000-0005-0000-0000-0000A60D0000}"/>
    <cellStyle name="_FR-912 316528100 2" xfId="3358" xr:uid="{00000000-0005-0000-0000-0000A70D0000}"/>
    <cellStyle name="_FR-912 316528100 3" xfId="3359" xr:uid="{00000000-0005-0000-0000-0000A80D0000}"/>
    <cellStyle name="_FR-912 316528100 4" xfId="3360" xr:uid="{00000000-0005-0000-0000-0000A90D0000}"/>
    <cellStyle name="_FR-912 316528100 5" xfId="3361" xr:uid="{00000000-0005-0000-0000-0000AA0D0000}"/>
    <cellStyle name="_FR-928 316506219 A" xfId="3362" xr:uid="{00000000-0005-0000-0000-0000AB0D0000}"/>
    <cellStyle name="_FR-928 316506219 A 2" xfId="3363" xr:uid="{00000000-0005-0000-0000-0000AC0D0000}"/>
    <cellStyle name="_FR-928 316506219 A 3" xfId="24766" xr:uid="{00000000-0005-0000-0000-0000AD0D0000}"/>
    <cellStyle name="_FR-989 316528203 A" xfId="3364" xr:uid="{00000000-0005-0000-0000-0000AE0D0000}"/>
    <cellStyle name="_FR-989 316528203 A 2" xfId="3365" xr:uid="{00000000-0005-0000-0000-0000AF0D0000}"/>
    <cellStyle name="_FR-989 316528203 A 3" xfId="24767" xr:uid="{00000000-0005-0000-0000-0000B00D0000}"/>
    <cellStyle name="_FT. Smith" xfId="3366" xr:uid="{00000000-0005-0000-0000-0000B10D0000}"/>
    <cellStyle name="_FT. Smith 2" xfId="3367" xr:uid="{00000000-0005-0000-0000-0000B20D0000}"/>
    <cellStyle name="_FT. Smith 3" xfId="3368" xr:uid="{00000000-0005-0000-0000-0000B30D0000}"/>
    <cellStyle name="_FT. Smith 4" xfId="3369" xr:uid="{00000000-0005-0000-0000-0000B40D0000}"/>
    <cellStyle name="_FT. Smith 5" xfId="3370" xr:uid="{00000000-0005-0000-0000-0000B50D0000}"/>
    <cellStyle name="_FT. Smith october 25 2007 revisado4" xfId="3371" xr:uid="{00000000-0005-0000-0000-0000B60D0000}"/>
    <cellStyle name="_FT. Smith october 25 2007 revisado4 2" xfId="3372" xr:uid="{00000000-0005-0000-0000-0000B70D0000}"/>
    <cellStyle name="_FT. Smith october 25 2007 revisado4 3" xfId="3373" xr:uid="{00000000-0005-0000-0000-0000B80D0000}"/>
    <cellStyle name="_FT. Smith october 25 2007 revisado4 4" xfId="3374" xr:uid="{00000000-0005-0000-0000-0000B90D0000}"/>
    <cellStyle name="_FT. Smith october 25 2007 revisado4 5" xfId="3375" xr:uid="{00000000-0005-0000-0000-0000BA0D0000}"/>
    <cellStyle name="_FT. Smith october 25 2007 revisado4_SUBARTICO ADD-DEL" xfId="3376" xr:uid="{00000000-0005-0000-0000-0000BB0D0000}"/>
    <cellStyle name="_FT. Smith october 25 2007 revisado4_SUBARTICO ADD-DEL 2" xfId="3377" xr:uid="{00000000-0005-0000-0000-0000BC0D0000}"/>
    <cellStyle name="_FT. Smith_SUBARTICO ADD-DEL" xfId="3378" xr:uid="{00000000-0005-0000-0000-0000BD0D0000}"/>
    <cellStyle name="_FT. Smith_SUBARTICO ADD-DEL 2" xfId="3379" xr:uid="{00000000-0005-0000-0000-0000BE0D0000}"/>
    <cellStyle name="_GE 2008 - 09 Equalized Prices at $1 00 Cu 121708" xfId="3380" xr:uid="{00000000-0005-0000-0000-0000BF0D0000}"/>
    <cellStyle name="_GE 2008 - 09 Equalized Prices at $1 00 Cu 121708 2" xfId="3381" xr:uid="{00000000-0005-0000-0000-0000C00D0000}"/>
    <cellStyle name="_GE 2008 - 09 Equalized Prices at $1 00 Cu 121708 2 2" xfId="3382" xr:uid="{00000000-0005-0000-0000-0000C10D0000}"/>
    <cellStyle name="_GE 2008 - 09 Equalized Prices at $1 00 Cu 121708 2 3" xfId="3383" xr:uid="{00000000-0005-0000-0000-0000C20D0000}"/>
    <cellStyle name="_GE 2008 - 09 Equalized Prices at $1 00 Cu 121708 2 4" xfId="3384" xr:uid="{00000000-0005-0000-0000-0000C30D0000}"/>
    <cellStyle name="_GE 2008 - 09 Equalized Prices at $1 00 Cu 121708 3" xfId="24768" xr:uid="{00000000-0005-0000-0000-0000C40D0000}"/>
    <cellStyle name="_GE Alternate Parts IP" xfId="3385" xr:uid="{00000000-0005-0000-0000-0000C50D0000}"/>
    <cellStyle name="_GE Alternate Parts IP 2" xfId="3386" xr:uid="{00000000-0005-0000-0000-0000C60D0000}"/>
    <cellStyle name="_GE Alternate Parts IP 3" xfId="3387" xr:uid="{00000000-0005-0000-0000-0000C70D0000}"/>
    <cellStyle name="_GE Alternate Parts IP 4" xfId="3388" xr:uid="{00000000-0005-0000-0000-0000C80D0000}"/>
    <cellStyle name="_GE Alternate Parts IP 5" xfId="3389" xr:uid="{00000000-0005-0000-0000-0000C90D0000}"/>
    <cellStyle name="_GE Phase 1 IP1" xfId="3390" xr:uid="{00000000-0005-0000-0000-0000CA0D0000}"/>
    <cellStyle name="_GE Phase 1 IP1 2" xfId="3391" xr:uid="{00000000-0005-0000-0000-0000CB0D0000}"/>
    <cellStyle name="_GE Phase 1 IP1 2 2" xfId="24769" xr:uid="{00000000-0005-0000-0000-0000CC0D0000}"/>
    <cellStyle name="_GE Phase 1 IP1 2 2 2" xfId="24770" xr:uid="{00000000-0005-0000-0000-0000CD0D0000}"/>
    <cellStyle name="_GE Phase 1 IP1 2 2 3" xfId="24771" xr:uid="{00000000-0005-0000-0000-0000CE0D0000}"/>
    <cellStyle name="_GE Phase 1 IP1 2 3" xfId="24772" xr:uid="{00000000-0005-0000-0000-0000CF0D0000}"/>
    <cellStyle name="_GE Phase 1 IP1 2 4" xfId="24773" xr:uid="{00000000-0005-0000-0000-0000D00D0000}"/>
    <cellStyle name="_GE Phase 1 IP1 3" xfId="3392" xr:uid="{00000000-0005-0000-0000-0000D10D0000}"/>
    <cellStyle name="_GE Phase 1 IP1 3 2" xfId="24774" xr:uid="{00000000-0005-0000-0000-0000D20D0000}"/>
    <cellStyle name="_GE Phase 1 IP1 3 2 2" xfId="24775" xr:uid="{00000000-0005-0000-0000-0000D30D0000}"/>
    <cellStyle name="_GE Phase 1 IP1 3 2 3" xfId="24776" xr:uid="{00000000-0005-0000-0000-0000D40D0000}"/>
    <cellStyle name="_GE Phase 1 IP1 3 3" xfId="24777" xr:uid="{00000000-0005-0000-0000-0000D50D0000}"/>
    <cellStyle name="_GE Phase 1 IP1 3 4" xfId="24778" xr:uid="{00000000-0005-0000-0000-0000D60D0000}"/>
    <cellStyle name="_GE Phase 1 IP1 4" xfId="3393" xr:uid="{00000000-0005-0000-0000-0000D70D0000}"/>
    <cellStyle name="_GE Phase 1 IP1 4 2" xfId="24779" xr:uid="{00000000-0005-0000-0000-0000D80D0000}"/>
    <cellStyle name="_GE Phase 1 IP1 4 2 2" xfId="24780" xr:uid="{00000000-0005-0000-0000-0000D90D0000}"/>
    <cellStyle name="_GE Phase 1 IP1 4 2 3" xfId="24781" xr:uid="{00000000-0005-0000-0000-0000DA0D0000}"/>
    <cellStyle name="_GE Phase 1 IP1 4 3" xfId="24782" xr:uid="{00000000-0005-0000-0000-0000DB0D0000}"/>
    <cellStyle name="_GE Phase 1 IP1 4 4" xfId="24783" xr:uid="{00000000-0005-0000-0000-0000DC0D0000}"/>
    <cellStyle name="_GE Phase 1 IP1 5" xfId="3394" xr:uid="{00000000-0005-0000-0000-0000DD0D0000}"/>
    <cellStyle name="_GE Phase 1 IP1 5 2" xfId="24784" xr:uid="{00000000-0005-0000-0000-0000DE0D0000}"/>
    <cellStyle name="_GE Phase 1 IP1 5 2 2" xfId="24785" xr:uid="{00000000-0005-0000-0000-0000DF0D0000}"/>
    <cellStyle name="_GE Phase 1 IP1 5 2 3" xfId="24786" xr:uid="{00000000-0005-0000-0000-0000E00D0000}"/>
    <cellStyle name="_GE Phase 1 IP1 5 3" xfId="24787" xr:uid="{00000000-0005-0000-0000-0000E10D0000}"/>
    <cellStyle name="_GE Phase 1 IP1 5 4" xfId="24788" xr:uid="{00000000-0005-0000-0000-0000E20D0000}"/>
    <cellStyle name="_GE Phase 1 IP1 6" xfId="24789" xr:uid="{00000000-0005-0000-0000-0000E30D0000}"/>
    <cellStyle name="_GE Phase 1 IP1 6 2" xfId="24790" xr:uid="{00000000-0005-0000-0000-0000E40D0000}"/>
    <cellStyle name="_GE Phase 1 IP1 6 3" xfId="24791" xr:uid="{00000000-0005-0000-0000-0000E50D0000}"/>
    <cellStyle name="_GE Phase 1 IP1 7" xfId="24792" xr:uid="{00000000-0005-0000-0000-0000E60D0000}"/>
    <cellStyle name="_GE Phase 1 IP1 8" xfId="24793" xr:uid="{00000000-0005-0000-0000-0000E70D0000}"/>
    <cellStyle name="_GE Phase 1 IP1_862-CH" xfId="3395" xr:uid="{00000000-0005-0000-0000-0000E80D0000}"/>
    <cellStyle name="_GE Phase 1 IP1_SUBARTICO ADD-DEL" xfId="3396" xr:uid="{00000000-0005-0000-0000-0000E90D0000}"/>
    <cellStyle name="_GE Phase 1 IP1_SUBARTICO ADD-DEL 2" xfId="3397" xr:uid="{00000000-0005-0000-0000-0000EA0D0000}"/>
    <cellStyle name="_GE Phase 1 IP1_W10251766 D" xfId="3398" xr:uid="{00000000-0005-0000-0000-0000EB0D0000}"/>
    <cellStyle name="_GE Phase 1 IP1_W10279106 y W10279107 de MR a 56i" xfId="3399" xr:uid="{00000000-0005-0000-0000-0000EC0D0000}"/>
    <cellStyle name="_GE Phase 1 IP1_W10315922 A" xfId="3400" xr:uid="{00000000-0005-0000-0000-0000ED0D0000}"/>
    <cellStyle name="_GE PN- 206C1591P003 (2)" xfId="3401" xr:uid="{00000000-0005-0000-0000-0000EE0D0000}"/>
    <cellStyle name="_GE PN- 206C1591P003 (2) 2" xfId="3402" xr:uid="{00000000-0005-0000-0000-0000EF0D0000}"/>
    <cellStyle name="_GE PN- 206C1591P003 (2) 3" xfId="3403" xr:uid="{00000000-0005-0000-0000-0000F00D0000}"/>
    <cellStyle name="_GE PN- 206C1591P003 (2) 4" xfId="3404" xr:uid="{00000000-0005-0000-0000-0000F10D0000}"/>
    <cellStyle name="_GE PN- 206C1591P003 (2) 5" xfId="3405" xr:uid="{00000000-0005-0000-0000-0000F20D0000}"/>
    <cellStyle name="_GE PN- 206C1591P003 (2)_SUBARTICO ADD-DEL" xfId="3406" xr:uid="{00000000-0005-0000-0000-0000F30D0000}"/>
    <cellStyle name="_GE PN- 206C1591P003 (2)_SUBARTICO ADD-DEL 2" xfId="3407" xr:uid="{00000000-0005-0000-0000-0000F40D0000}"/>
    <cellStyle name="_GE quote 4 PN High Div on Nov-14" xfId="3408" xr:uid="{00000000-0005-0000-0000-0000F50D0000}"/>
    <cellStyle name="_GE quote 4 PN High Div on Nov-14 2" xfId="3409" xr:uid="{00000000-0005-0000-0000-0000F60D0000}"/>
    <cellStyle name="_GE quote 4 PN High Div on Nov-14 3" xfId="3410" xr:uid="{00000000-0005-0000-0000-0000F70D0000}"/>
    <cellStyle name="_GE quote 4 PN High Div on Nov-14 4" xfId="3411" xr:uid="{00000000-0005-0000-0000-0000F80D0000}"/>
    <cellStyle name="_GE quote 4 PN High Div on Nov-14 5" xfId="3412" xr:uid="{00000000-0005-0000-0000-0000F90D0000}"/>
    <cellStyle name="_GE Transition IP 11-20" xfId="3413" xr:uid="{00000000-0005-0000-0000-0000FA0D0000}"/>
    <cellStyle name="_GE Transition IP 11-20 2" xfId="3414" xr:uid="{00000000-0005-0000-0000-0000FB0D0000}"/>
    <cellStyle name="_GE Transition IP 11-20 2 2" xfId="24794" xr:uid="{00000000-0005-0000-0000-0000FC0D0000}"/>
    <cellStyle name="_GE Transition IP 11-20 2 2 2" xfId="24795" xr:uid="{00000000-0005-0000-0000-0000FD0D0000}"/>
    <cellStyle name="_GE Transition IP 11-20 2 2 3" xfId="24796" xr:uid="{00000000-0005-0000-0000-0000FE0D0000}"/>
    <cellStyle name="_GE Transition IP 11-20 2 3" xfId="24797" xr:uid="{00000000-0005-0000-0000-0000FF0D0000}"/>
    <cellStyle name="_GE Transition IP 11-20 2 4" xfId="24798" xr:uid="{00000000-0005-0000-0000-0000000E0000}"/>
    <cellStyle name="_GE Transition IP 11-20 3" xfId="3415" xr:uid="{00000000-0005-0000-0000-0000010E0000}"/>
    <cellStyle name="_GE Transition IP 11-20 3 2" xfId="24799" xr:uid="{00000000-0005-0000-0000-0000020E0000}"/>
    <cellStyle name="_GE Transition IP 11-20 3 2 2" xfId="24800" xr:uid="{00000000-0005-0000-0000-0000030E0000}"/>
    <cellStyle name="_GE Transition IP 11-20 3 2 3" xfId="24801" xr:uid="{00000000-0005-0000-0000-0000040E0000}"/>
    <cellStyle name="_GE Transition IP 11-20 3 3" xfId="24802" xr:uid="{00000000-0005-0000-0000-0000050E0000}"/>
    <cellStyle name="_GE Transition IP 11-20 3 4" xfId="24803" xr:uid="{00000000-0005-0000-0000-0000060E0000}"/>
    <cellStyle name="_GE Transition IP 11-20 4" xfId="3416" xr:uid="{00000000-0005-0000-0000-0000070E0000}"/>
    <cellStyle name="_GE Transition IP 11-20 4 2" xfId="24804" xr:uid="{00000000-0005-0000-0000-0000080E0000}"/>
    <cellStyle name="_GE Transition IP 11-20 4 2 2" xfId="24805" xr:uid="{00000000-0005-0000-0000-0000090E0000}"/>
    <cellStyle name="_GE Transition IP 11-20 4 2 3" xfId="24806" xr:uid="{00000000-0005-0000-0000-00000A0E0000}"/>
    <cellStyle name="_GE Transition IP 11-20 4 3" xfId="24807" xr:uid="{00000000-0005-0000-0000-00000B0E0000}"/>
    <cellStyle name="_GE Transition IP 11-20 4 4" xfId="24808" xr:uid="{00000000-0005-0000-0000-00000C0E0000}"/>
    <cellStyle name="_GE Transition IP 11-20 5" xfId="3417" xr:uid="{00000000-0005-0000-0000-00000D0E0000}"/>
    <cellStyle name="_GE Transition IP 11-20 5 2" xfId="24809" xr:uid="{00000000-0005-0000-0000-00000E0E0000}"/>
    <cellStyle name="_GE Transition IP 11-20 5 2 2" xfId="24810" xr:uid="{00000000-0005-0000-0000-00000F0E0000}"/>
    <cellStyle name="_GE Transition IP 11-20 5 2 3" xfId="24811" xr:uid="{00000000-0005-0000-0000-0000100E0000}"/>
    <cellStyle name="_GE Transition IP 11-20 5 3" xfId="24812" xr:uid="{00000000-0005-0000-0000-0000110E0000}"/>
    <cellStyle name="_GE Transition IP 11-20 5 4" xfId="24813" xr:uid="{00000000-0005-0000-0000-0000120E0000}"/>
    <cellStyle name="_GE Transition IP 11-20 6" xfId="24814" xr:uid="{00000000-0005-0000-0000-0000130E0000}"/>
    <cellStyle name="_GE Transition IP 11-20 6 2" xfId="24815" xr:uid="{00000000-0005-0000-0000-0000140E0000}"/>
    <cellStyle name="_GE Transition IP 11-20 6 3" xfId="24816" xr:uid="{00000000-0005-0000-0000-0000150E0000}"/>
    <cellStyle name="_GE Transition IP 11-20 7" xfId="24817" xr:uid="{00000000-0005-0000-0000-0000160E0000}"/>
    <cellStyle name="_GE Transition IP 11-20 8" xfId="24818" xr:uid="{00000000-0005-0000-0000-0000170E0000}"/>
    <cellStyle name="_GE Transition IP 11-20_SUBARTICO ADD-DEL" xfId="3418" xr:uid="{00000000-0005-0000-0000-0000180E0000}"/>
    <cellStyle name="_GE Transition IP 11-20_SUBARTICO ADD-DEL 2" xfId="3419" xr:uid="{00000000-0005-0000-0000-0000190E0000}"/>
    <cellStyle name="_Headcount ReductinsSavings - Slide2 rh3" xfId="3420" xr:uid="{00000000-0005-0000-0000-00001A0E0000}"/>
    <cellStyle name="_Headcount ReductinsSavings - Slide2 rh3 2" xfId="3421" xr:uid="{00000000-0005-0000-0000-00001B0E0000}"/>
    <cellStyle name="_Headcount ReductinsSavings - Slide2 rh3 3" xfId="3422" xr:uid="{00000000-0005-0000-0000-00001C0E0000}"/>
    <cellStyle name="_Headcount ReductinsSavings - Slide2 rh3 4" xfId="3423" xr:uid="{00000000-0005-0000-0000-00001D0E0000}"/>
    <cellStyle name="_Headcount ReductinsSavings - Slide2 rh3 5" xfId="3424" xr:uid="{00000000-0005-0000-0000-00001E0E0000}"/>
    <cellStyle name="_HILEC BRAND" xfId="3425" xr:uid="{00000000-0005-0000-0000-00001F0E0000}"/>
    <cellStyle name="_implementation plan (Whirlpool)" xfId="3426" xr:uid="{00000000-0005-0000-0000-0000200E0000}"/>
    <cellStyle name="_implementation plan (Whirlpool) 2" xfId="3427" xr:uid="{00000000-0005-0000-0000-0000210E0000}"/>
    <cellStyle name="_implementation plan (Whirlpool) 3" xfId="3428" xr:uid="{00000000-0005-0000-0000-0000220E0000}"/>
    <cellStyle name="_implementation plan (Whirlpool) 4" xfId="3429" xr:uid="{00000000-0005-0000-0000-0000230E0000}"/>
    <cellStyle name="_implementation plan (Whirlpool) 5" xfId="3430" xr:uid="{00000000-0005-0000-0000-0000240E0000}"/>
    <cellStyle name="_Implementation plan for Reynosa" xfId="3431" xr:uid="{00000000-0005-0000-0000-0000250E0000}"/>
    <cellStyle name="_Implementation plan for Reynosa 2" xfId="3432" xr:uid="{00000000-0005-0000-0000-0000260E0000}"/>
    <cellStyle name="_Implementation plan for Reynosa 3" xfId="3433" xr:uid="{00000000-0005-0000-0000-0000270E0000}"/>
    <cellStyle name="_Implementation plan for Reynosa 4" xfId="3434" xr:uid="{00000000-0005-0000-0000-0000280E0000}"/>
    <cellStyle name="_Implementation plan for Reynosa 5" xfId="3435" xr:uid="{00000000-0005-0000-0000-0000290E0000}"/>
    <cellStyle name="_Inventory Reduction Format Rev7-Finance" xfId="3436" xr:uid="{00000000-0005-0000-0000-00002A0E0000}"/>
    <cellStyle name="_Inventory Reduction Format Rev7-Finance 2" xfId="3437" xr:uid="{00000000-0005-0000-0000-00002B0E0000}"/>
    <cellStyle name="_Inventory Reduction Format Rev7-Finance 3" xfId="3438" xr:uid="{00000000-0005-0000-0000-00002C0E0000}"/>
    <cellStyle name="_Inventory Reduction Format Rev7-Finance 4" xfId="3439" xr:uid="{00000000-0005-0000-0000-00002D0E0000}"/>
    <cellStyle name="_Inventory Reduction Format Rev7-Finance 5" xfId="3440" xr:uid="{00000000-0005-0000-0000-00002E0E0000}"/>
    <cellStyle name="_Inventory Reduction Format Rev8 Actual" xfId="3441" xr:uid="{00000000-0005-0000-0000-00002F0E0000}"/>
    <cellStyle name="_Inventory Reduction Format Rev8 Actual 2" xfId="3442" xr:uid="{00000000-0005-0000-0000-0000300E0000}"/>
    <cellStyle name="_Inventory Reduction Format Rev8 Actual 3" xfId="3443" xr:uid="{00000000-0005-0000-0000-0000310E0000}"/>
    <cellStyle name="_Inventory Reduction Format Rev8 Actual 4" xfId="3444" xr:uid="{00000000-0005-0000-0000-0000320E0000}"/>
    <cellStyle name="_Inventory Reduction Format Rev8 Actual 5" xfId="3445" xr:uid="{00000000-0005-0000-0000-0000330E0000}"/>
    <cellStyle name="_Inventory Turns Actual 2009 - JZ1 -Jan 02-09" xfId="3446" xr:uid="{00000000-0005-0000-0000-0000340E0000}"/>
    <cellStyle name="_Inventory Turns Actual 2009 - JZ1 -Jan 02-09 2" xfId="3447" xr:uid="{00000000-0005-0000-0000-0000350E0000}"/>
    <cellStyle name="_Inventory Turns Actual 2009 - JZ1 -Jan 02-09 3" xfId="3448" xr:uid="{00000000-0005-0000-0000-0000360E0000}"/>
    <cellStyle name="_Inventory Turns Actual 2009 - JZ1 -Jan 02-09 4" xfId="3449" xr:uid="{00000000-0005-0000-0000-0000370E0000}"/>
    <cellStyle name="_Inventory Turns Actual 2009 - JZ1 -Jan 02-09 5" xfId="3450" xr:uid="{00000000-0005-0000-0000-0000380E0000}"/>
    <cellStyle name="_IP Juarez 1 Ft Smith 4-18-08" xfId="3451" xr:uid="{00000000-0005-0000-0000-0000390E0000}"/>
    <cellStyle name="_IP Juarez 1 Ft Smith 4-18-08 2" xfId="3452" xr:uid="{00000000-0005-0000-0000-00003A0E0000}"/>
    <cellStyle name="_IP Juarez 1 Ft Smith 4-18-08 3" xfId="3453" xr:uid="{00000000-0005-0000-0000-00003B0E0000}"/>
    <cellStyle name="_IP Juarez 1 Ft Smith 4-18-08 4" xfId="3454" xr:uid="{00000000-0005-0000-0000-00003C0E0000}"/>
    <cellStyle name="_IP Juarez 1 Ft Smith 4-18-08 5" xfId="3455" xr:uid="{00000000-0005-0000-0000-00003D0E0000}"/>
    <cellStyle name="_June Forecast '07 (v1)" xfId="3456" xr:uid="{00000000-0005-0000-0000-00003E0E0000}"/>
    <cellStyle name="_June Forecast '07 (v1) 2" xfId="3457" xr:uid="{00000000-0005-0000-0000-00003F0E0000}"/>
    <cellStyle name="_June Forecast '07 (v1) 3" xfId="3458" xr:uid="{00000000-0005-0000-0000-0000400E0000}"/>
    <cellStyle name="_June Forecast '07 (v1) 4" xfId="3459" xr:uid="{00000000-0005-0000-0000-0000410E0000}"/>
    <cellStyle name="_June Forecast '07 (v1) 5" xfId="3460" xr:uid="{00000000-0005-0000-0000-0000420E0000}"/>
    <cellStyle name="_key metrics" xfId="3461" xr:uid="{00000000-0005-0000-0000-0000430E0000}"/>
    <cellStyle name="_key metrics 2" xfId="3462" xr:uid="{00000000-0005-0000-0000-0000440E0000}"/>
    <cellStyle name="_key metrics 3" xfId="3463" xr:uid="{00000000-0005-0000-0000-0000450E0000}"/>
    <cellStyle name="_key metrics 4" xfId="3464" xr:uid="{00000000-0005-0000-0000-0000460E0000}"/>
    <cellStyle name="_key metrics 5" xfId="3465" xr:uid="{00000000-0005-0000-0000-0000470E0000}"/>
    <cellStyle name="_KM" xfId="3466" xr:uid="{00000000-0005-0000-0000-0000480E0000}"/>
    <cellStyle name="_KM 2" xfId="3467" xr:uid="{00000000-0005-0000-0000-0000490E0000}"/>
    <cellStyle name="_KM 3" xfId="3468" xr:uid="{00000000-0005-0000-0000-00004A0E0000}"/>
    <cellStyle name="_KM 4" xfId="3469" xr:uid="{00000000-0005-0000-0000-00004B0E0000}"/>
    <cellStyle name="_KM 5" xfId="3470" xr:uid="{00000000-0005-0000-0000-00004C0E0000}"/>
    <cellStyle name="_Lavergne" xfId="3471" xr:uid="{00000000-0005-0000-0000-00004D0E0000}"/>
    <cellStyle name="_Lavergne 10" xfId="3472" xr:uid="{00000000-0005-0000-0000-00004E0E0000}"/>
    <cellStyle name="_Lavergne 11" xfId="3473" xr:uid="{00000000-0005-0000-0000-00004F0E0000}"/>
    <cellStyle name="_Lavergne 11-5 update 07-Nov-073" xfId="3474" xr:uid="{00000000-0005-0000-0000-0000500E0000}"/>
    <cellStyle name="_Lavergne 11-5 update 07-Nov-073 2" xfId="3475" xr:uid="{00000000-0005-0000-0000-0000510E0000}"/>
    <cellStyle name="_Lavergne 11-5 update 07-Nov-073 3" xfId="3476" xr:uid="{00000000-0005-0000-0000-0000520E0000}"/>
    <cellStyle name="_Lavergne 11-5 update 07-Nov-073 4" xfId="3477" xr:uid="{00000000-0005-0000-0000-0000530E0000}"/>
    <cellStyle name="_Lavergne 11-5 update 07-Nov-073 5" xfId="3478" xr:uid="{00000000-0005-0000-0000-0000540E0000}"/>
    <cellStyle name="_Lavergne 2" xfId="3479" xr:uid="{00000000-0005-0000-0000-0000550E0000}"/>
    <cellStyle name="_Lavergne 25 de octubre" xfId="3480" xr:uid="{00000000-0005-0000-0000-0000560E0000}"/>
    <cellStyle name="_Lavergne 25 de octubre 2" xfId="3481" xr:uid="{00000000-0005-0000-0000-0000570E0000}"/>
    <cellStyle name="_Lavergne 25 de octubre 3" xfId="3482" xr:uid="{00000000-0005-0000-0000-0000580E0000}"/>
    <cellStyle name="_Lavergne 25 de octubre 4" xfId="3483" xr:uid="{00000000-0005-0000-0000-0000590E0000}"/>
    <cellStyle name="_Lavergne 25 de octubre 5" xfId="3484" xr:uid="{00000000-0005-0000-0000-00005A0E0000}"/>
    <cellStyle name="_Lavergne 25 de octubre_SUBARTICO ADD-DEL" xfId="3485" xr:uid="{00000000-0005-0000-0000-00005B0E0000}"/>
    <cellStyle name="_Lavergne 25 de octubre_SUBARTICO ADD-DEL 2" xfId="3486" xr:uid="{00000000-0005-0000-0000-00005C0E0000}"/>
    <cellStyle name="_Lavergne 3" xfId="3487" xr:uid="{00000000-0005-0000-0000-00005D0E0000}"/>
    <cellStyle name="_Lavergne 4" xfId="3488" xr:uid="{00000000-0005-0000-0000-00005E0E0000}"/>
    <cellStyle name="_Lavergne 5" xfId="3489" xr:uid="{00000000-0005-0000-0000-00005F0E0000}"/>
    <cellStyle name="_Lavergne 6" xfId="3490" xr:uid="{00000000-0005-0000-0000-0000600E0000}"/>
    <cellStyle name="_Lavergne 7" xfId="3491" xr:uid="{00000000-0005-0000-0000-0000610E0000}"/>
    <cellStyle name="_Lavergne 8" xfId="3492" xr:uid="{00000000-0005-0000-0000-0000620E0000}"/>
    <cellStyle name="_Lavergne 9" xfId="3493" xr:uid="{00000000-0005-0000-0000-0000630E0000}"/>
    <cellStyle name="_Lavergne_SUBARTICO ADD-DEL" xfId="3494" xr:uid="{00000000-0005-0000-0000-0000640E0000}"/>
    <cellStyle name="_Lavergne_SUBARTICO ADD-DEL 2" xfId="3495" xr:uid="{00000000-0005-0000-0000-0000650E0000}"/>
    <cellStyle name="_M HERRIN (31001491)" xfId="3496" xr:uid="{00000000-0005-0000-0000-0000660E0000}"/>
    <cellStyle name="_M HERRIN (31001491) 2" xfId="3497" xr:uid="{00000000-0005-0000-0000-0000670E0000}"/>
    <cellStyle name="_M HERRIN (31001491) 3" xfId="24819" xr:uid="{00000000-0005-0000-0000-0000680E0000}"/>
    <cellStyle name="_M HERRIN (31001491)_825-CH PROYECTO CORONA" xfId="3498" xr:uid="{00000000-0005-0000-0000-0000690E0000}"/>
    <cellStyle name="_M HERRIN (31001491)_825-CH PROYECTO CORONA 2" xfId="3499" xr:uid="{00000000-0005-0000-0000-00006A0E0000}"/>
    <cellStyle name="_M HERRIN (31001491)_825-CH PROYECTO CORONA 3" xfId="3500" xr:uid="{00000000-0005-0000-0000-00006B0E0000}"/>
    <cellStyle name="_M HERRIN (31001491)_825-CH PROYECTO CORONA_862-CH" xfId="3501" xr:uid="{00000000-0005-0000-0000-00006C0E0000}"/>
    <cellStyle name="_M HERRIN (31001491)_825-CH PROYECTO CORONA_W10251766 D" xfId="3502" xr:uid="{00000000-0005-0000-0000-00006D0E0000}"/>
    <cellStyle name="_M HERRIN (31001491)_825-CH PROYECTO CORONA_W10279106 y W10279107 de MR a 56i" xfId="3503" xr:uid="{00000000-0005-0000-0000-00006E0E0000}"/>
    <cellStyle name="_M HERRIN (31001491)_825-CH PROYECTO CORONA_W10315922 A" xfId="3504" xr:uid="{00000000-0005-0000-0000-00006F0E0000}"/>
    <cellStyle name="_M HERRIN (31001491)_BSHNC144(RFQ EE2909)gs" xfId="3505" xr:uid="{00000000-0005-0000-0000-0000700E0000}"/>
    <cellStyle name="_M HERRIN (31001491)_BSHNC144(RFQ EE2909)gs_BSHTN061" xfId="3506" xr:uid="{00000000-0005-0000-0000-0000710E0000}"/>
    <cellStyle name="_M HERRIN (31001491)_BSHNC144(RFQ EE2909)gs_BSHTN067" xfId="3507" xr:uid="{00000000-0005-0000-0000-0000720E0000}"/>
    <cellStyle name="_M HERRIN (31001491)_BSHNC144(RFQ EE2909)gs_BSHTN071" xfId="3508" xr:uid="{00000000-0005-0000-0000-0000730E0000}"/>
    <cellStyle name="_M HERRIN (31001491)_BSHNC145(RFQ EE2909)" xfId="3509" xr:uid="{00000000-0005-0000-0000-0000740E0000}"/>
    <cellStyle name="_M HERRIN (31001491)_BSHNC145(RFQ EE2909)_BSHNC151 (RFQ EE4509)" xfId="3510" xr:uid="{00000000-0005-0000-0000-0000750E0000}"/>
    <cellStyle name="_M HERRIN (31001491)_BSHNC145(RFQ EE2909)_BSHNC162 (RFQ EE5409)" xfId="3511" xr:uid="{00000000-0005-0000-0000-0000760E0000}"/>
    <cellStyle name="_M HERRIN (31001491)_BSHNC145(RFQ EE2909)_Quote BSHNC163" xfId="3512" xr:uid="{00000000-0005-0000-0000-0000770E0000}"/>
    <cellStyle name="_M HERRIN (31001491)_BSHTN061" xfId="3513" xr:uid="{00000000-0005-0000-0000-0000780E0000}"/>
    <cellStyle name="_M HERRIN (31001491)_W10297387 A" xfId="3514" xr:uid="{00000000-0005-0000-0000-0000790E0000}"/>
    <cellStyle name="_M HERRIN (31001491)_W10315911 A" xfId="3515" xr:uid="{00000000-0005-0000-0000-00007A0E0000}"/>
    <cellStyle name="_M HERRIN (31001491)_W10315921 A" xfId="3516" xr:uid="{00000000-0005-0000-0000-00007B0E0000}"/>
    <cellStyle name="_M HERRIN (31001491)_W10315922 A" xfId="3517" xr:uid="{00000000-0005-0000-0000-00007C0E0000}"/>
    <cellStyle name="_M HERRIN (31001491)_Xl0000052" xfId="3518" xr:uid="{00000000-0005-0000-0000-00007D0E0000}"/>
    <cellStyle name="_M HERRIN (31001491)_Xl0000052_862-CH" xfId="3519" xr:uid="{00000000-0005-0000-0000-00007E0E0000}"/>
    <cellStyle name="_M HERRIN (31001491)_Xl0000052_W10251766 D" xfId="3520" xr:uid="{00000000-0005-0000-0000-00007F0E0000}"/>
    <cellStyle name="_M HERRIN (31001491)_Xl0000052_W10279106 y W10279107 de MR a 56i" xfId="3521" xr:uid="{00000000-0005-0000-0000-0000800E0000}"/>
    <cellStyle name="_M HERRIN (31001491)_Xl0000052_W10315922 A" xfId="3522" xr:uid="{00000000-0005-0000-0000-0000810E0000}"/>
    <cellStyle name="_MABE " xfId="3523" xr:uid="{00000000-0005-0000-0000-0000820E0000}"/>
    <cellStyle name="_MABE  2" xfId="3524" xr:uid="{00000000-0005-0000-0000-0000830E0000}"/>
    <cellStyle name="_MABE  3" xfId="3525" xr:uid="{00000000-0005-0000-0000-0000840E0000}"/>
    <cellStyle name="_MABE  4" xfId="3526" xr:uid="{00000000-0005-0000-0000-0000850E0000}"/>
    <cellStyle name="_MABE  5" xfId="3527" xr:uid="{00000000-0005-0000-0000-0000860E0000}"/>
    <cellStyle name="_MABE _AP3040 Phoenix project 061709" xfId="3528" xr:uid="{00000000-0005-0000-0000-0000870E0000}"/>
    <cellStyle name="_MABE _AP3040 Phoenix project 061709 2" xfId="3529" xr:uid="{00000000-0005-0000-0000-0000880E0000}"/>
    <cellStyle name="_MABE _AP3040 Phoenix project 061709 3" xfId="3530" xr:uid="{00000000-0005-0000-0000-0000890E0000}"/>
    <cellStyle name="_MABE _AP3040 Phoenix project 061709 4" xfId="3531" xr:uid="{00000000-0005-0000-0000-00008A0E0000}"/>
    <cellStyle name="_MABE _AP3040 Phoenix project 061709 5" xfId="3532" xr:uid="{00000000-0005-0000-0000-00008B0E0000}"/>
    <cellStyle name="_MABE CANADA 1 1" xfId="3533" xr:uid="{00000000-0005-0000-0000-00008C0E0000}"/>
    <cellStyle name="_MABE CANADA 1 1 2" xfId="3534" xr:uid="{00000000-0005-0000-0000-00008D0E0000}"/>
    <cellStyle name="_MABE CANADA 1 1 3" xfId="3535" xr:uid="{00000000-0005-0000-0000-00008E0E0000}"/>
    <cellStyle name="_MABE CANADA 1 1 4" xfId="3536" xr:uid="{00000000-0005-0000-0000-00008F0E0000}"/>
    <cellStyle name="_MABE CANADA 1 1 5" xfId="3537" xr:uid="{00000000-0005-0000-0000-0000900E0000}"/>
    <cellStyle name="_MABE CANADA 1 1_AP3040 Phoenix project 061709" xfId="3538" xr:uid="{00000000-0005-0000-0000-0000910E0000}"/>
    <cellStyle name="_MABE CANADA 1 1_AP3040 Phoenix project 061709 2" xfId="3539" xr:uid="{00000000-0005-0000-0000-0000920E0000}"/>
    <cellStyle name="_MABE CANADA 1 1_AP3040 Phoenix project 061709 3" xfId="3540" xr:uid="{00000000-0005-0000-0000-0000930E0000}"/>
    <cellStyle name="_MABE CANADA 1 1_AP3040 Phoenix project 061709 4" xfId="3541" xr:uid="{00000000-0005-0000-0000-0000940E0000}"/>
    <cellStyle name="_MABE CANADA 1 1_AP3040 Phoenix project 061709 5" xfId="3542" xr:uid="{00000000-0005-0000-0000-0000950E0000}"/>
    <cellStyle name="_MABE CANADA.1" xfId="3543" xr:uid="{00000000-0005-0000-0000-0000960E0000}"/>
    <cellStyle name="_MABE CANADA.1 2" xfId="3544" xr:uid="{00000000-0005-0000-0000-0000970E0000}"/>
    <cellStyle name="_MABE CANADA.1 3" xfId="3545" xr:uid="{00000000-0005-0000-0000-0000980E0000}"/>
    <cellStyle name="_MABE CANADA.1 4" xfId="3546" xr:uid="{00000000-0005-0000-0000-0000990E0000}"/>
    <cellStyle name="_MABE CANADA.1 5" xfId="3547" xr:uid="{00000000-0005-0000-0000-00009A0E0000}"/>
    <cellStyle name="_MABE CANADA.1_AP3040 Phoenix project 061709" xfId="3548" xr:uid="{00000000-0005-0000-0000-00009B0E0000}"/>
    <cellStyle name="_MABE CANADA.1_AP3040 Phoenix project 061709 2" xfId="3549" xr:uid="{00000000-0005-0000-0000-00009C0E0000}"/>
    <cellStyle name="_MABE CANADA.1_AP3040 Phoenix project 061709 3" xfId="3550" xr:uid="{00000000-0005-0000-0000-00009D0E0000}"/>
    <cellStyle name="_MABE CANADA.1_AP3040 Phoenix project 061709 4" xfId="3551" xr:uid="{00000000-0005-0000-0000-00009E0E0000}"/>
    <cellStyle name="_MABE CANADA.1_AP3040 Phoenix project 061709 5" xfId="3552" xr:uid="{00000000-0005-0000-0000-00009F0E0000}"/>
    <cellStyle name="_MABE CANADA1" xfId="3553" xr:uid="{00000000-0005-0000-0000-0000A00E0000}"/>
    <cellStyle name="_MABE CANADA1 2" xfId="3554" xr:uid="{00000000-0005-0000-0000-0000A10E0000}"/>
    <cellStyle name="_MABE CANADA1 3" xfId="3555" xr:uid="{00000000-0005-0000-0000-0000A20E0000}"/>
    <cellStyle name="_MABE CANADA1 4" xfId="3556" xr:uid="{00000000-0005-0000-0000-0000A30E0000}"/>
    <cellStyle name="_MABE CANADA1 5" xfId="3557" xr:uid="{00000000-0005-0000-0000-0000A40E0000}"/>
    <cellStyle name="_MABE CANADA1_AP3040 Phoenix project 061709" xfId="3558" xr:uid="{00000000-0005-0000-0000-0000A50E0000}"/>
    <cellStyle name="_MABE CANADA1_AP3040 Phoenix project 061709 2" xfId="3559" xr:uid="{00000000-0005-0000-0000-0000A60E0000}"/>
    <cellStyle name="_MABE CANADA1_AP3040 Phoenix project 061709 3" xfId="3560" xr:uid="{00000000-0005-0000-0000-0000A70E0000}"/>
    <cellStyle name="_MABE CANADA1_AP3040 Phoenix project 061709 4" xfId="3561" xr:uid="{00000000-0005-0000-0000-0000A80E0000}"/>
    <cellStyle name="_MABE CANADA1_AP3040 Phoenix project 061709 5" xfId="3562" xr:uid="{00000000-0005-0000-0000-0000A90E0000}"/>
    <cellStyle name="_MABE capex 1810 (001)" xfId="3563" xr:uid="{00000000-0005-0000-0000-0000AA0E0000}"/>
    <cellStyle name="_MABE capex 1810 (001) 2" xfId="3564" xr:uid="{00000000-0005-0000-0000-0000AB0E0000}"/>
    <cellStyle name="_MABE capex 1810 (001) 3" xfId="3565" xr:uid="{00000000-0005-0000-0000-0000AC0E0000}"/>
    <cellStyle name="_MABE capex 1810 (001) 4" xfId="3566" xr:uid="{00000000-0005-0000-0000-0000AD0E0000}"/>
    <cellStyle name="_MABE capex 1810 (001) 5" xfId="3567" xr:uid="{00000000-0005-0000-0000-0000AE0E0000}"/>
    <cellStyle name="_Mabe leiser radiante" xfId="3568" xr:uid="{00000000-0005-0000-0000-0000AF0E0000}"/>
    <cellStyle name="_Mabe leiser radiante 2" xfId="3569" xr:uid="{00000000-0005-0000-0000-0000B00E0000}"/>
    <cellStyle name="_Mabe leiser radiante 2 2" xfId="3570" xr:uid="{00000000-0005-0000-0000-0000B10E0000}"/>
    <cellStyle name="_Mabe leiser radiante 2 3" xfId="3571" xr:uid="{00000000-0005-0000-0000-0000B20E0000}"/>
    <cellStyle name="_Mabe leiser radiante 2 4" xfId="3572" xr:uid="{00000000-0005-0000-0000-0000B30E0000}"/>
    <cellStyle name="_Mabe leiser radiante 3" xfId="3573" xr:uid="{00000000-0005-0000-0000-0000B40E0000}"/>
    <cellStyle name="_Mabe leiser radiante_862-CH" xfId="3574" xr:uid="{00000000-0005-0000-0000-0000B50E0000}"/>
    <cellStyle name="_Mabe leiser radiante_BSHNC151 (RFQ EE4509)" xfId="3575" xr:uid="{00000000-0005-0000-0000-0000B60E0000}"/>
    <cellStyle name="_Mabe leiser radiante_BSHNC151 (RFQ EE4509) 2" xfId="3576" xr:uid="{00000000-0005-0000-0000-0000B70E0000}"/>
    <cellStyle name="_Mabe leiser radiante_BSHNC162 (RFQ EE5409)1" xfId="3577" xr:uid="{00000000-0005-0000-0000-0000B80E0000}"/>
    <cellStyle name="_Mabe leiser radiante_BSHNC162 (RFQ EE5409)1 2" xfId="3578" xr:uid="{00000000-0005-0000-0000-0000B90E0000}"/>
    <cellStyle name="_Mabe leiser radiante_SUBARTICO ADD-DEL" xfId="3579" xr:uid="{00000000-0005-0000-0000-0000BA0E0000}"/>
    <cellStyle name="_Mabe leiser radiante_SUBARTICO ADD-DEL 2" xfId="3580" xr:uid="{00000000-0005-0000-0000-0000BB0E0000}"/>
    <cellStyle name="_Mabe leiser radiante_W10251766 D" xfId="3581" xr:uid="{00000000-0005-0000-0000-0000BC0E0000}"/>
    <cellStyle name="_Mabe leiser radiante_W10279106 y W10279107 de MR a 56i" xfId="3582" xr:uid="{00000000-0005-0000-0000-0000BD0E0000}"/>
    <cellStyle name="_Mabe leiser radiante_W10315922 A" xfId="3583" xr:uid="{00000000-0005-0000-0000-0000BE0E0000}"/>
    <cellStyle name="_MABE NAUTILIUS (2)" xfId="3584" xr:uid="{00000000-0005-0000-0000-0000BF0E0000}"/>
    <cellStyle name="_MABE NAUTILIUS (2) 2" xfId="3585" xr:uid="{00000000-0005-0000-0000-0000C00E0000}"/>
    <cellStyle name="_MABE NAUTILIUS (2) 3" xfId="3586" xr:uid="{00000000-0005-0000-0000-0000C10E0000}"/>
    <cellStyle name="_MABE NAUTILIUS (2) 4" xfId="3587" xr:uid="{00000000-0005-0000-0000-0000C20E0000}"/>
    <cellStyle name="_MABE NAUTILIUS (2) 5" xfId="3588" xr:uid="{00000000-0005-0000-0000-0000C30E0000}"/>
    <cellStyle name="_MABE RADIANTE I S.S" xfId="3589" xr:uid="{00000000-0005-0000-0000-0000C40E0000}"/>
    <cellStyle name="_MABE RADIANTE I S.S 2" xfId="3590" xr:uid="{00000000-0005-0000-0000-0000C50E0000}"/>
    <cellStyle name="_MABE RADIANTE I S.S 3" xfId="24820" xr:uid="{00000000-0005-0000-0000-0000C60E0000}"/>
    <cellStyle name="_MABE SALTILLO189D7139A003 CAPEX" xfId="3591" xr:uid="{00000000-0005-0000-0000-0000C70E0000}"/>
    <cellStyle name="_MABE SALTILLO189D7139A003 CAPEX 2" xfId="3592" xr:uid="{00000000-0005-0000-0000-0000C80E0000}"/>
    <cellStyle name="_MABE SALTILLO189D7139A003 CAPEX 3" xfId="3593" xr:uid="{00000000-0005-0000-0000-0000C90E0000}"/>
    <cellStyle name="_MABE SALTILLO189D7139A003 CAPEX 4" xfId="3594" xr:uid="{00000000-0005-0000-0000-0000CA0E0000}"/>
    <cellStyle name="_MABE SALTILLO189D7139A003 CAPEX 5" xfId="3595" xr:uid="{00000000-0005-0000-0000-0000CB0E0000}"/>
    <cellStyle name="_MARION (8299926) 12-18-08" xfId="3596" xr:uid="{00000000-0005-0000-0000-0000CC0E0000}"/>
    <cellStyle name="_MARION (8299926) 12-18-08 2" xfId="3597" xr:uid="{00000000-0005-0000-0000-0000CD0E0000}"/>
    <cellStyle name="_MARION (8299926) 12-18-08 3" xfId="3598" xr:uid="{00000000-0005-0000-0000-0000CE0E0000}"/>
    <cellStyle name="_MARION (8299926) 12-18-08 4" xfId="3599" xr:uid="{00000000-0005-0000-0000-0000CF0E0000}"/>
    <cellStyle name="_MARION (8299926) 12-18-08_862-CH" xfId="3600" xr:uid="{00000000-0005-0000-0000-0000D00E0000}"/>
    <cellStyle name="_MARION (8299926) 12-18-08_W10251766 D" xfId="3601" xr:uid="{00000000-0005-0000-0000-0000D10E0000}"/>
    <cellStyle name="_MARION (8299926) 12-18-08_W10279106 y W10279107 de MR a 56i" xfId="3602" xr:uid="{00000000-0005-0000-0000-0000D20E0000}"/>
    <cellStyle name="_MARION (8299926) 12-18-08_W10315922 A" xfId="3603" xr:uid="{00000000-0005-0000-0000-0000D30E0000}"/>
    <cellStyle name="_MARION 8576506 23-09-08" xfId="3604" xr:uid="{00000000-0005-0000-0000-0000D40E0000}"/>
    <cellStyle name="_MARION 8576506 23-09-08 2" xfId="3605" xr:uid="{00000000-0005-0000-0000-0000D50E0000}"/>
    <cellStyle name="_MARION 8576506 23-09-08 3" xfId="24821" xr:uid="{00000000-0005-0000-0000-0000D60E0000}"/>
    <cellStyle name="_MARION 8576506 23-09-08_862-CH" xfId="3606" xr:uid="{00000000-0005-0000-0000-0000D70E0000}"/>
    <cellStyle name="_MARION 8576506 23-09-08_CONCENTRATED QUOTE WLP397" xfId="3607" xr:uid="{00000000-0005-0000-0000-0000D80E0000}"/>
    <cellStyle name="_MARION 8576506 23-09-08_CONCENTRATED QUOTE WLP397 2" xfId="3608" xr:uid="{00000000-0005-0000-0000-0000D90E0000}"/>
    <cellStyle name="_MARION 8576506 23-09-08_CONCENTRATED QUOTE WLP397 2 2" xfId="24822" xr:uid="{00000000-0005-0000-0000-0000DA0E0000}"/>
    <cellStyle name="_MARION 8576506 23-09-08_CONCENTRATED QUOTE WLP397 2 3" xfId="24823" xr:uid="{00000000-0005-0000-0000-0000DB0E0000}"/>
    <cellStyle name="_MARION 8576506 23-09-08_CONCENTRATED QUOTE WLP397 3" xfId="3609" xr:uid="{00000000-0005-0000-0000-0000DC0E0000}"/>
    <cellStyle name="_MARION 8576506 23-09-08_CONCENTRATED QUOTE WLP397 4" xfId="3610" xr:uid="{00000000-0005-0000-0000-0000DD0E0000}"/>
    <cellStyle name="_MARION 8576506 23-09-08_CONCENTRATED QUOTE WLP397_862-CH" xfId="3611" xr:uid="{00000000-0005-0000-0000-0000DE0E0000}"/>
    <cellStyle name="_MARION 8576506 23-09-08_CONCENTRATED QUOTE WLP397_CONCENTRATED QUOTE WLP474" xfId="3612" xr:uid="{00000000-0005-0000-0000-0000DF0E0000}"/>
    <cellStyle name="_MARION 8576506 23-09-08_CONCENTRATED QUOTE WLP397_CONCENTRATED QUOTE WLP474 2" xfId="3613" xr:uid="{00000000-0005-0000-0000-0000E00E0000}"/>
    <cellStyle name="_MARION 8576506 23-09-08_CONCENTRATED QUOTE WLP397_CONCENTRATED QUOTE WLP474 3" xfId="3614" xr:uid="{00000000-0005-0000-0000-0000E10E0000}"/>
    <cellStyle name="_MARION 8576506 23-09-08_CONCENTRATED QUOTE WLP397_CONCENTRATED QUOTE WLP474 4" xfId="3615" xr:uid="{00000000-0005-0000-0000-0000E20E0000}"/>
    <cellStyle name="_MARION 8576506 23-09-08_CONCENTRATED QUOTE WLP397_CONCENTRATED QUOTE WLP550" xfId="3616" xr:uid="{00000000-0005-0000-0000-0000E30E0000}"/>
    <cellStyle name="_MARION 8576506 23-09-08_CONCENTRATED QUOTE WLP397_CONCENTRATED QUOTE WLP550 2" xfId="3617" xr:uid="{00000000-0005-0000-0000-0000E40E0000}"/>
    <cellStyle name="_MARION 8576506 23-09-08_CONCENTRATED QUOTE WLP397_CONCENTRATED QUOTE WLP550 3" xfId="3618" xr:uid="{00000000-0005-0000-0000-0000E50E0000}"/>
    <cellStyle name="_MARION 8576506 23-09-08_CONCENTRATED QUOTE WLP397_CONCENTRATED QUOTE WLP550 4" xfId="3619" xr:uid="{00000000-0005-0000-0000-0000E60E0000}"/>
    <cellStyle name="_MARION 8576506 23-09-08_CONCENTRATED QUOTE WLP397_CONCENTRATED QUOTE WLP550 5" xfId="3620" xr:uid="{00000000-0005-0000-0000-0000E70E0000}"/>
    <cellStyle name="_MARION 8576506 23-09-08_CONCENTRATED QUOTE WLP397_CONCENTRATED QUOTE WLP559" xfId="3621" xr:uid="{00000000-0005-0000-0000-0000E80E0000}"/>
    <cellStyle name="_MARION 8576506 23-09-08_CONCENTRATED QUOTE WLP397_CONCENTRATED QUOTE WLP568" xfId="3622" xr:uid="{00000000-0005-0000-0000-0000E90E0000}"/>
    <cellStyle name="_MARION 8576506 23-09-08_CONCENTRATED QUOTE WLP397_CONCENTRATED QUOTE WLP571" xfId="3623" xr:uid="{00000000-0005-0000-0000-0000EA0E0000}"/>
    <cellStyle name="_MARION 8576506 23-09-08_CONCENTRATED QUOTE WLP397_CONCENTRATED QUOTE WLP574  ALPHA" xfId="3624" xr:uid="{00000000-0005-0000-0000-0000EB0E0000}"/>
    <cellStyle name="_MARION 8576506 23-09-08_CONCENTRATED QUOTE WLP397_CONCENTRATED QUOTE WLP574  ALPHA 2" xfId="3625" xr:uid="{00000000-0005-0000-0000-0000EC0E0000}"/>
    <cellStyle name="_MARION 8576506 23-09-08_CONCENTRATED QUOTE WLP397_CONCENTRATED QUOTE WLP574  ALPHA 3" xfId="3626" xr:uid="{00000000-0005-0000-0000-0000ED0E0000}"/>
    <cellStyle name="_MARION 8576506 23-09-08_CONCENTRATED QUOTE WLP397_CONCENTRATED QUOTE WLP574  ALPHA 4" xfId="3627" xr:uid="{00000000-0005-0000-0000-0000EE0E0000}"/>
    <cellStyle name="_MARION 8576506 23-09-08_CONCENTRATED QUOTE WLP397_CONCENTRATED QUOTE WLP574  ALPHA 5" xfId="3628" xr:uid="{00000000-0005-0000-0000-0000EF0E0000}"/>
    <cellStyle name="_MARION 8576506 23-09-08_CONCENTRATED QUOTE WLP397_Estimated Quote 050609 039" xfId="3629" xr:uid="{00000000-0005-0000-0000-0000F00E0000}"/>
    <cellStyle name="_MARION 8576506 23-09-08_CONCENTRATED QUOTE WLP397_Estimated Quote 050609 039 2" xfId="3630" xr:uid="{00000000-0005-0000-0000-0000F10E0000}"/>
    <cellStyle name="_MARION 8576506 23-09-08_CONCENTRATED QUOTE WLP397_Estimated Quote 050609 039 3" xfId="3631" xr:uid="{00000000-0005-0000-0000-0000F20E0000}"/>
    <cellStyle name="_MARION 8576506 23-09-08_CONCENTRATED QUOTE WLP397_Estimated Quote 050609 039 4" xfId="3632" xr:uid="{00000000-0005-0000-0000-0000F30E0000}"/>
    <cellStyle name="_MARION 8576506 23-09-08_CONCENTRATED QUOTE WLP397_Estimated Quote 050609 039 5" xfId="3633" xr:uid="{00000000-0005-0000-0000-0000F40E0000}"/>
    <cellStyle name="_MARION 8576506 23-09-08_CONCENTRATED QUOTE WLP397_W10251442" xfId="3634" xr:uid="{00000000-0005-0000-0000-0000F50E0000}"/>
    <cellStyle name="_MARION 8576506 23-09-08_CONCENTRATED QUOTE WLP397_W10251443" xfId="3635" xr:uid="{00000000-0005-0000-0000-0000F60E0000}"/>
    <cellStyle name="_MARION 8576506 23-09-08_CONCENTRATED QUOTE WLP397_W10251444" xfId="3636" xr:uid="{00000000-0005-0000-0000-0000F70E0000}"/>
    <cellStyle name="_MARION 8576506 23-09-08_CONCENTRATED QUOTE WLP397_W10251766 D" xfId="3637" xr:uid="{00000000-0005-0000-0000-0000F80E0000}"/>
    <cellStyle name="_MARION 8576506 23-09-08_CONCENTRATED QUOTE WLP397_W10278758" xfId="3638" xr:uid="{00000000-0005-0000-0000-0000F90E0000}"/>
    <cellStyle name="_MARION 8576506 23-09-08_CONCENTRATED QUOTE WLP397_W10278759" xfId="3639" xr:uid="{00000000-0005-0000-0000-0000FA0E0000}"/>
    <cellStyle name="_MARION 8576506 23-09-08_CONCENTRATED QUOTE WLP397_W10279106 y W10279107 de MR a 56i" xfId="3640" xr:uid="{00000000-0005-0000-0000-0000FB0E0000}"/>
    <cellStyle name="_MARION 8576506 23-09-08_CONCENTRATED QUOTE WLP397_W10290772" xfId="3641" xr:uid="{00000000-0005-0000-0000-0000FC0E0000}"/>
    <cellStyle name="_MARION 8576506 23-09-08_CONCENTRATED QUOTE WLP397_W10290772 2" xfId="3642" xr:uid="{00000000-0005-0000-0000-0000FD0E0000}"/>
    <cellStyle name="_MARION 8576506 23-09-08_CONCENTRATED QUOTE WLP397_W10290772 3" xfId="3643" xr:uid="{00000000-0005-0000-0000-0000FE0E0000}"/>
    <cellStyle name="_MARION 8576506 23-09-08_CONCENTRATED QUOTE WLP397_W10290772 4" xfId="3644" xr:uid="{00000000-0005-0000-0000-0000FF0E0000}"/>
    <cellStyle name="_MARION 8576506 23-09-08_CONCENTRATED QUOTE WLP397_W10290772 5" xfId="3645" xr:uid="{00000000-0005-0000-0000-0000000F0000}"/>
    <cellStyle name="_MARION 8576506 23-09-08_CONCENTRATED QUOTE WLP397_W10290774" xfId="3646" xr:uid="{00000000-0005-0000-0000-0000010F0000}"/>
    <cellStyle name="_MARION 8576506 23-09-08_CONCENTRATED QUOTE WLP397_W10290774 2" xfId="3647" xr:uid="{00000000-0005-0000-0000-0000020F0000}"/>
    <cellStyle name="_MARION 8576506 23-09-08_CONCENTRATED QUOTE WLP397_W10290774 3" xfId="3648" xr:uid="{00000000-0005-0000-0000-0000030F0000}"/>
    <cellStyle name="_MARION 8576506 23-09-08_CONCENTRATED QUOTE WLP397_W10290774 4" xfId="3649" xr:uid="{00000000-0005-0000-0000-0000040F0000}"/>
    <cellStyle name="_MARION 8576506 23-09-08_CONCENTRATED QUOTE WLP397_W10290774 5" xfId="3650" xr:uid="{00000000-0005-0000-0000-0000050F0000}"/>
    <cellStyle name="_MARION 8576506 23-09-08_CONCENTRATED QUOTE WLP397_W10315922 A" xfId="3651" xr:uid="{00000000-0005-0000-0000-0000060F0000}"/>
    <cellStyle name="_MARION 8576506 23-09-08_CONCENTRATED QUOTE WLP401" xfId="3652" xr:uid="{00000000-0005-0000-0000-0000070F0000}"/>
    <cellStyle name="_MARION 8576506 23-09-08_CONCENTRATED QUOTE WLP401 2" xfId="3653" xr:uid="{00000000-0005-0000-0000-0000080F0000}"/>
    <cellStyle name="_MARION 8576506 23-09-08_CONCENTRATED QUOTE WLP401 2 2" xfId="3654" xr:uid="{00000000-0005-0000-0000-0000090F0000}"/>
    <cellStyle name="_MARION 8576506 23-09-08_CONCENTRATED QUOTE WLP401 2 3" xfId="3655" xr:uid="{00000000-0005-0000-0000-00000A0F0000}"/>
    <cellStyle name="_MARION 8576506 23-09-08_CONCENTRATED QUOTE WLP401 2 4" xfId="3656" xr:uid="{00000000-0005-0000-0000-00000B0F0000}"/>
    <cellStyle name="_MARION 8576506 23-09-08_CONCENTRATED QUOTE WLP401 3" xfId="3657" xr:uid="{00000000-0005-0000-0000-00000C0F0000}"/>
    <cellStyle name="_MARION 8576506 23-09-08_CONCENTRATED QUOTE WLP401_862-CH" xfId="3658" xr:uid="{00000000-0005-0000-0000-00000D0F0000}"/>
    <cellStyle name="_MARION 8576506 23-09-08_CONCENTRATED QUOTE WLP401_CONCENTRATED QUOTE WLP440" xfId="3659" xr:uid="{00000000-0005-0000-0000-00000E0F0000}"/>
    <cellStyle name="_MARION 8576506 23-09-08_CONCENTRATED QUOTE WLP401_CONCENTRATED QUOTE WLP440 2" xfId="3660" xr:uid="{00000000-0005-0000-0000-00000F0F0000}"/>
    <cellStyle name="_MARION 8576506 23-09-08_CONCENTRATED QUOTE WLP401_CONCENTRATED QUOTE WLP440 3" xfId="3661" xr:uid="{00000000-0005-0000-0000-0000100F0000}"/>
    <cellStyle name="_MARION 8576506 23-09-08_CONCENTRATED QUOTE WLP401_CONCENTRATED QUOTE WLP440 4" xfId="3662" xr:uid="{00000000-0005-0000-0000-0000110F0000}"/>
    <cellStyle name="_MARION 8576506 23-09-08_CONCENTRATED QUOTE WLP401_CONCENTRATED QUOTE WLP440 5" xfId="3663" xr:uid="{00000000-0005-0000-0000-0000120F0000}"/>
    <cellStyle name="_MARION 8576506 23-09-08_CONCENTRATED QUOTE WLP401_CONCENTRATED QUOTE WLP474" xfId="3664" xr:uid="{00000000-0005-0000-0000-0000130F0000}"/>
    <cellStyle name="_MARION 8576506 23-09-08_CONCENTRATED QUOTE WLP401_CONCENTRATED QUOTE WLP474 2" xfId="3665" xr:uid="{00000000-0005-0000-0000-0000140F0000}"/>
    <cellStyle name="_MARION 8576506 23-09-08_CONCENTRATED QUOTE WLP401_CONCENTRATED QUOTE WLP474 3" xfId="3666" xr:uid="{00000000-0005-0000-0000-0000150F0000}"/>
    <cellStyle name="_MARION 8576506 23-09-08_CONCENTRATED QUOTE WLP401_CONCENTRATED QUOTE WLP474 4" xfId="3667" xr:uid="{00000000-0005-0000-0000-0000160F0000}"/>
    <cellStyle name="_MARION 8576506 23-09-08_CONCENTRATED QUOTE WLP401_CONCENTRATED QUOTE WLP477" xfId="3668" xr:uid="{00000000-0005-0000-0000-0000170F0000}"/>
    <cellStyle name="_MARION 8576506 23-09-08_CONCENTRATED QUOTE WLP401_CONCENTRATED QUOTE WLP477 2" xfId="3669" xr:uid="{00000000-0005-0000-0000-0000180F0000}"/>
    <cellStyle name="_MARION 8576506 23-09-08_CONCENTRATED QUOTE WLP401_CONCENTRATED QUOTE WLP477 3" xfId="3670" xr:uid="{00000000-0005-0000-0000-0000190F0000}"/>
    <cellStyle name="_MARION 8576506 23-09-08_CONCENTRATED QUOTE WLP401_CONCENTRATED QUOTE WLP477 4" xfId="3671" xr:uid="{00000000-0005-0000-0000-00001A0F0000}"/>
    <cellStyle name="_MARION 8576506 23-09-08_CONCENTRATED QUOTE WLP401_CONCENTRATED QUOTE WLP477 5" xfId="3672" xr:uid="{00000000-0005-0000-0000-00001B0F0000}"/>
    <cellStyle name="_MARION 8576506 23-09-08_CONCENTRATED QUOTE WLP401_CONCENTRATED QUOTE WLP488" xfId="3673" xr:uid="{00000000-0005-0000-0000-00001C0F0000}"/>
    <cellStyle name="_MARION 8576506 23-09-08_CONCENTRATED QUOTE WLP401_CONCENTRATED QUOTE WLP488 2" xfId="3674" xr:uid="{00000000-0005-0000-0000-00001D0F0000}"/>
    <cellStyle name="_MARION 8576506 23-09-08_CONCENTRATED QUOTE WLP401_CONCENTRATED QUOTE WLP488 3" xfId="3675" xr:uid="{00000000-0005-0000-0000-00001E0F0000}"/>
    <cellStyle name="_MARION 8576506 23-09-08_CONCENTRATED QUOTE WLP401_CONCENTRATED QUOTE WLP488 4" xfId="3676" xr:uid="{00000000-0005-0000-0000-00001F0F0000}"/>
    <cellStyle name="_MARION 8576506 23-09-08_CONCENTRATED QUOTE WLP401_CONCENTRATED QUOTE WLP488 5" xfId="3677" xr:uid="{00000000-0005-0000-0000-0000200F0000}"/>
    <cellStyle name="_MARION 8576506 23-09-08_CONCENTRATED QUOTE WLP401_CONCENTRATED QUOTE WLP491" xfId="3678" xr:uid="{00000000-0005-0000-0000-0000210F0000}"/>
    <cellStyle name="_MARION 8576506 23-09-08_CONCENTRATED QUOTE WLP401_CONCENTRATED QUOTE WLP491 2" xfId="3679" xr:uid="{00000000-0005-0000-0000-0000220F0000}"/>
    <cellStyle name="_MARION 8576506 23-09-08_CONCENTRATED QUOTE WLP401_CONCENTRATED QUOTE WLP491 3" xfId="3680" xr:uid="{00000000-0005-0000-0000-0000230F0000}"/>
    <cellStyle name="_MARION 8576506 23-09-08_CONCENTRATED QUOTE WLP401_CONCENTRATED QUOTE WLP491 4" xfId="3681" xr:uid="{00000000-0005-0000-0000-0000240F0000}"/>
    <cellStyle name="_MARION 8576506 23-09-08_CONCENTRATED QUOTE WLP401_CONCENTRATED QUOTE WLP491 5" xfId="3682" xr:uid="{00000000-0005-0000-0000-0000250F0000}"/>
    <cellStyle name="_MARION 8576506 23-09-08_CONCENTRATED QUOTE WLP401_CONCENTRATED QUOTE WLP507A" xfId="3683" xr:uid="{00000000-0005-0000-0000-0000260F0000}"/>
    <cellStyle name="_MARION 8576506 23-09-08_CONCENTRATED QUOTE WLP401_CONCENTRATED QUOTE WLP507A 081909" xfId="3684" xr:uid="{00000000-0005-0000-0000-0000270F0000}"/>
    <cellStyle name="_MARION 8576506 23-09-08_CONCENTRATED QUOTE WLP401_CONCENTRATED QUOTE WLP507A 081909 2" xfId="3685" xr:uid="{00000000-0005-0000-0000-0000280F0000}"/>
    <cellStyle name="_MARION 8576506 23-09-08_CONCENTRATED QUOTE WLP401_CONCENTRATED QUOTE WLP507A 081909 3" xfId="3686" xr:uid="{00000000-0005-0000-0000-0000290F0000}"/>
    <cellStyle name="_MARION 8576506 23-09-08_CONCENTRATED QUOTE WLP401_CONCENTRATED QUOTE WLP507A 081909 4" xfId="3687" xr:uid="{00000000-0005-0000-0000-00002A0F0000}"/>
    <cellStyle name="_MARION 8576506 23-09-08_CONCENTRATED QUOTE WLP401_CONCENTRATED QUOTE WLP507A 081909 5" xfId="3688" xr:uid="{00000000-0005-0000-0000-00002B0F0000}"/>
    <cellStyle name="_MARION 8576506 23-09-08_CONCENTRATED QUOTE WLP401_CONCENTRATED QUOTE WLP507A 2" xfId="3689" xr:uid="{00000000-0005-0000-0000-00002C0F0000}"/>
    <cellStyle name="_MARION 8576506 23-09-08_CONCENTRATED QUOTE WLP401_CONCENTRATED QUOTE WLP507A 3" xfId="3690" xr:uid="{00000000-0005-0000-0000-00002D0F0000}"/>
    <cellStyle name="_MARION 8576506 23-09-08_CONCENTRATED QUOTE WLP401_CONCENTRATED QUOTE WLP507A 4" xfId="3691" xr:uid="{00000000-0005-0000-0000-00002E0F0000}"/>
    <cellStyle name="_MARION 8576506 23-09-08_CONCENTRATED QUOTE WLP401_CONCENTRATED QUOTE WLP515" xfId="3692" xr:uid="{00000000-0005-0000-0000-00002F0F0000}"/>
    <cellStyle name="_MARION 8576506 23-09-08_CONCENTRATED QUOTE WLP401_CONCENTRATED QUOTE WLP515 2" xfId="3693" xr:uid="{00000000-0005-0000-0000-0000300F0000}"/>
    <cellStyle name="_MARION 8576506 23-09-08_CONCENTRATED QUOTE WLP401_CONCENTRATED QUOTE WLP515 3" xfId="3694" xr:uid="{00000000-0005-0000-0000-0000310F0000}"/>
    <cellStyle name="_MARION 8576506 23-09-08_CONCENTRATED QUOTE WLP401_CONCENTRATED QUOTE WLP515 4" xfId="3695" xr:uid="{00000000-0005-0000-0000-0000320F0000}"/>
    <cellStyle name="_MARION 8576506 23-09-08_CONCENTRATED QUOTE WLP401_CONCENTRATED QUOTE WLP515 5" xfId="3696" xr:uid="{00000000-0005-0000-0000-0000330F0000}"/>
    <cellStyle name="_MARION 8576506 23-09-08_CONCENTRATED QUOTE WLP401_CONCENTRATED QUOTE WLP528" xfId="3697" xr:uid="{00000000-0005-0000-0000-0000340F0000}"/>
    <cellStyle name="_MARION 8576506 23-09-08_CONCENTRATED QUOTE WLP401_CONCENTRATED QUOTE WLP528 2" xfId="3698" xr:uid="{00000000-0005-0000-0000-0000350F0000}"/>
    <cellStyle name="_MARION 8576506 23-09-08_CONCENTRATED QUOTE WLP401_CONCENTRATED QUOTE WLP528 3" xfId="3699" xr:uid="{00000000-0005-0000-0000-0000360F0000}"/>
    <cellStyle name="_MARION 8576506 23-09-08_CONCENTRATED QUOTE WLP401_CONCENTRATED QUOTE WLP528 4" xfId="3700" xr:uid="{00000000-0005-0000-0000-0000370F0000}"/>
    <cellStyle name="_MARION 8576506 23-09-08_CONCENTRATED QUOTE WLP401_CONCENTRATED QUOTE WLP528 5" xfId="3701" xr:uid="{00000000-0005-0000-0000-0000380F0000}"/>
    <cellStyle name="_MARION 8576506 23-09-08_CONCENTRATED QUOTE WLP401_CONCENTRATED QUOTE WLP534" xfId="3702" xr:uid="{00000000-0005-0000-0000-0000390F0000}"/>
    <cellStyle name="_MARION 8576506 23-09-08_CONCENTRATED QUOTE WLP401_CONCENTRATED QUOTE WLP534 2" xfId="3703" xr:uid="{00000000-0005-0000-0000-00003A0F0000}"/>
    <cellStyle name="_MARION 8576506 23-09-08_CONCENTRATED QUOTE WLP401_CONCENTRATED QUOTE WLP534 3" xfId="3704" xr:uid="{00000000-0005-0000-0000-00003B0F0000}"/>
    <cellStyle name="_MARION 8576506 23-09-08_CONCENTRATED QUOTE WLP401_CONCENTRATED QUOTE WLP534 4" xfId="3705" xr:uid="{00000000-0005-0000-0000-00003C0F0000}"/>
    <cellStyle name="_MARION 8576506 23-09-08_CONCENTRATED QUOTE WLP401_CONCENTRATED QUOTE WLP536" xfId="3706" xr:uid="{00000000-0005-0000-0000-00003D0F0000}"/>
    <cellStyle name="_MARION 8576506 23-09-08_CONCENTRATED QUOTE WLP401_CONCENTRATED QUOTE WLP536 2" xfId="3707" xr:uid="{00000000-0005-0000-0000-00003E0F0000}"/>
    <cellStyle name="_MARION 8576506 23-09-08_CONCENTRATED QUOTE WLP401_CONCENTRATED QUOTE WLP536 3" xfId="3708" xr:uid="{00000000-0005-0000-0000-00003F0F0000}"/>
    <cellStyle name="_MARION 8576506 23-09-08_CONCENTRATED QUOTE WLP401_CONCENTRATED QUOTE WLP536 4" xfId="3709" xr:uid="{00000000-0005-0000-0000-0000400F0000}"/>
    <cellStyle name="_MARION 8576506 23-09-08_CONCENTRATED QUOTE WLP401_CONCENTRATED QUOTE WLP536 5" xfId="3710" xr:uid="{00000000-0005-0000-0000-0000410F0000}"/>
    <cellStyle name="_MARION 8576506 23-09-08_CONCENTRATED QUOTE WLP401_CONCENTRATED QUOTE WLP545" xfId="3711" xr:uid="{00000000-0005-0000-0000-0000420F0000}"/>
    <cellStyle name="_MARION 8576506 23-09-08_CONCENTRATED QUOTE WLP401_CONCENTRATED QUOTE WLP545 2" xfId="3712" xr:uid="{00000000-0005-0000-0000-0000430F0000}"/>
    <cellStyle name="_MARION 8576506 23-09-08_CONCENTRATED QUOTE WLP401_CONCENTRATED QUOTE WLP545 3" xfId="3713" xr:uid="{00000000-0005-0000-0000-0000440F0000}"/>
    <cellStyle name="_MARION 8576506 23-09-08_CONCENTRATED QUOTE WLP401_CONCENTRATED QUOTE WLP545 4" xfId="3714" xr:uid="{00000000-0005-0000-0000-0000450F0000}"/>
    <cellStyle name="_MARION 8576506 23-09-08_CONCENTRATED QUOTE WLP401_CONCENTRATED QUOTE WLP550" xfId="3715" xr:uid="{00000000-0005-0000-0000-0000460F0000}"/>
    <cellStyle name="_MARION 8576506 23-09-08_CONCENTRATED QUOTE WLP401_CONCENTRATED QUOTE WLP550 2" xfId="3716" xr:uid="{00000000-0005-0000-0000-0000470F0000}"/>
    <cellStyle name="_MARION 8576506 23-09-08_CONCENTRATED QUOTE WLP401_CONCENTRATED QUOTE WLP550 3" xfId="3717" xr:uid="{00000000-0005-0000-0000-0000480F0000}"/>
    <cellStyle name="_MARION 8576506 23-09-08_CONCENTRATED QUOTE WLP401_CONCENTRATED QUOTE WLP550 4" xfId="3718" xr:uid="{00000000-0005-0000-0000-0000490F0000}"/>
    <cellStyle name="_MARION 8576506 23-09-08_CONCENTRATED QUOTE WLP401_CONCENTRATED QUOTE WLP550 5" xfId="3719" xr:uid="{00000000-0005-0000-0000-00004A0F0000}"/>
    <cellStyle name="_MARION 8576506 23-09-08_CONCENTRATED QUOTE WLP401_CONCENTRATED QUOTE WLP552" xfId="3720" xr:uid="{00000000-0005-0000-0000-00004B0F0000}"/>
    <cellStyle name="_MARION 8576506 23-09-08_CONCENTRATED QUOTE WLP401_CONCENTRATED QUOTE WLP552 2" xfId="3721" xr:uid="{00000000-0005-0000-0000-00004C0F0000}"/>
    <cellStyle name="_MARION 8576506 23-09-08_CONCENTRATED QUOTE WLP401_CONCENTRATED QUOTE WLP552 3" xfId="3722" xr:uid="{00000000-0005-0000-0000-00004D0F0000}"/>
    <cellStyle name="_MARION 8576506 23-09-08_CONCENTRATED QUOTE WLP401_CONCENTRATED QUOTE WLP552 4" xfId="3723" xr:uid="{00000000-0005-0000-0000-00004E0F0000}"/>
    <cellStyle name="_MARION 8576506 23-09-08_CONCENTRATED QUOTE WLP401_CONCENTRATED QUOTE WLP5565" xfId="3724" xr:uid="{00000000-0005-0000-0000-00004F0F0000}"/>
    <cellStyle name="_MARION 8576506 23-09-08_CONCENTRATED QUOTE WLP401_CONCENTRATED QUOTE WLP5565 2" xfId="3725" xr:uid="{00000000-0005-0000-0000-0000500F0000}"/>
    <cellStyle name="_MARION 8576506 23-09-08_CONCENTRATED QUOTE WLP401_CONCENTRATED QUOTE WLP5565 3" xfId="3726" xr:uid="{00000000-0005-0000-0000-0000510F0000}"/>
    <cellStyle name="_MARION 8576506 23-09-08_CONCENTRATED QUOTE WLP401_CONCENTRATED QUOTE WLP5565 4" xfId="3727" xr:uid="{00000000-0005-0000-0000-0000520F0000}"/>
    <cellStyle name="_MARION 8576506 23-09-08_CONCENTRATED QUOTE WLP401_CONCENTRATED QUOTE WLP559" xfId="3728" xr:uid="{00000000-0005-0000-0000-0000530F0000}"/>
    <cellStyle name="_MARION 8576506 23-09-08_CONCENTRATED QUOTE WLP401_CONCENTRATED QUOTE WLP568" xfId="3729" xr:uid="{00000000-0005-0000-0000-0000540F0000}"/>
    <cellStyle name="_MARION 8576506 23-09-08_CONCENTRATED QUOTE WLP401_CONCENTRATED QUOTE WLP571" xfId="3730" xr:uid="{00000000-0005-0000-0000-0000550F0000}"/>
    <cellStyle name="_MARION 8576506 23-09-08_CONCENTRATED QUOTE WLP401_CONCENTRATED QUOTE WLP574  ALPHA" xfId="3731" xr:uid="{00000000-0005-0000-0000-0000560F0000}"/>
    <cellStyle name="_MARION 8576506 23-09-08_CONCENTRATED QUOTE WLP401_CONCENTRATED QUOTE WLP574  ALPHA 2" xfId="3732" xr:uid="{00000000-0005-0000-0000-0000570F0000}"/>
    <cellStyle name="_MARION 8576506 23-09-08_CONCENTRATED QUOTE WLP401_CONCENTRATED QUOTE WLP574  ALPHA 3" xfId="3733" xr:uid="{00000000-0005-0000-0000-0000580F0000}"/>
    <cellStyle name="_MARION 8576506 23-09-08_CONCENTRATED QUOTE WLP401_CONCENTRATED QUOTE WLP574  ALPHA 4" xfId="3734" xr:uid="{00000000-0005-0000-0000-0000590F0000}"/>
    <cellStyle name="_MARION 8576506 23-09-08_CONCENTRATED QUOTE WLP401_CONCENTRATED QUOTE WLP574  ALPHA 5" xfId="3735" xr:uid="{00000000-0005-0000-0000-00005A0F0000}"/>
    <cellStyle name="_MARION 8576506 23-09-08_CONCENTRATED QUOTE WLP401_CONCENTRATED QUOTE WLP610 VMW CLC" xfId="3736" xr:uid="{00000000-0005-0000-0000-00005B0F0000}"/>
    <cellStyle name="_MARION 8576506 23-09-08_CONCENTRATED QUOTE WLP401_CONCENTRATED QUOTE WLP610 VMW CLC 2" xfId="3737" xr:uid="{00000000-0005-0000-0000-00005C0F0000}"/>
    <cellStyle name="_MARION 8576506 23-09-08_CONCENTRATED QUOTE WLP401_CONCENTRATED QUOTE WLP610 VMW CLC 3" xfId="3738" xr:uid="{00000000-0005-0000-0000-00005D0F0000}"/>
    <cellStyle name="_MARION 8576506 23-09-08_CONCENTRATED QUOTE WLP401_CONCENTRATED QUOTE WLP610 VMW CLC 4" xfId="3739" xr:uid="{00000000-0005-0000-0000-00005E0F0000}"/>
    <cellStyle name="_MARION 8576506 23-09-08_CONCENTRATED QUOTE WLP401_CONCENTRATED QUOTE WLP610 VMW CLC 5" xfId="3740" xr:uid="{00000000-0005-0000-0000-00005F0F0000}"/>
    <cellStyle name="_MARION 8576506 23-09-08_CONCENTRATED QUOTE WLP401_CONCENTRATED QUOTE WLP623 071310" xfId="3741" xr:uid="{00000000-0005-0000-0000-0000600F0000}"/>
    <cellStyle name="_MARION 8576506 23-09-08_CONCENTRATED QUOTE WLP401_CONCENTRATED QUOTE WLP628" xfId="3742" xr:uid="{00000000-0005-0000-0000-0000610F0000}"/>
    <cellStyle name="_MARION 8576506 23-09-08_CONCENTRATED QUOTE WLP401_CONCENTRATED QUOTE WLP628 2" xfId="3743" xr:uid="{00000000-0005-0000-0000-0000620F0000}"/>
    <cellStyle name="_MARION 8576506 23-09-08_CONCENTRATED QUOTE WLP401_CONCENTRATED QUOTE WLP628 3" xfId="3744" xr:uid="{00000000-0005-0000-0000-0000630F0000}"/>
    <cellStyle name="_MARION 8576506 23-09-08_CONCENTRATED QUOTE WLP401_CONCENTRATED QUOTE WLP628 4" xfId="3745" xr:uid="{00000000-0005-0000-0000-0000640F0000}"/>
    <cellStyle name="_MARION 8576506 23-09-08_CONCENTRATED QUOTE WLP401_CONCENTRATED QUOTE WLP628 5" xfId="3746" xr:uid="{00000000-0005-0000-0000-0000650F0000}"/>
    <cellStyle name="_MARION 8576506 23-09-08_CONCENTRATED QUOTE WLP401_CONCENTRATED QUOTE WLP634 VMW MTAG" xfId="3747" xr:uid="{00000000-0005-0000-0000-0000660F0000}"/>
    <cellStyle name="_MARION 8576506 23-09-08_CONCENTRATED QUOTE WLP401_CONCENTRATED QUOTE WLP635" xfId="3748" xr:uid="{00000000-0005-0000-0000-0000670F0000}"/>
    <cellStyle name="_MARION 8576506 23-09-08_CONCENTRATED QUOTE WLP401_CONCENTRATED QUOTE WLP646" xfId="3749" xr:uid="{00000000-0005-0000-0000-0000680F0000}"/>
    <cellStyle name="_MARION 8576506 23-09-08_CONCENTRATED QUOTE WLP401_CONCENTRATED QUOTE WLP646 2" xfId="3750" xr:uid="{00000000-0005-0000-0000-0000690F0000}"/>
    <cellStyle name="_MARION 8576506 23-09-08_CONCENTRATED QUOTE WLP401_CONCENTRATED QUOTE WLP646 3" xfId="3751" xr:uid="{00000000-0005-0000-0000-00006A0F0000}"/>
    <cellStyle name="_MARION 8576506 23-09-08_CONCENTRATED QUOTE WLP401_CONCENTRATED QUOTE WLP646 4" xfId="3752" xr:uid="{00000000-0005-0000-0000-00006B0F0000}"/>
    <cellStyle name="_MARION 8576506 23-09-08_CONCENTRATED QUOTE WLP401_CONCENTRATED QUOTE WLP646 5" xfId="3753" xr:uid="{00000000-0005-0000-0000-00006C0F0000}"/>
    <cellStyle name="_MARION 8576506 23-09-08_CONCENTRATED QUOTE WLP401_Copy of CONCENTRATED QUOTE WLP579" xfId="3754" xr:uid="{00000000-0005-0000-0000-00006D0F0000}"/>
    <cellStyle name="_MARION 8576506 23-09-08_CONCENTRATED QUOTE WLP401_Copy of CONCENTRATED QUOTE WLP579 2" xfId="3755" xr:uid="{00000000-0005-0000-0000-00006E0F0000}"/>
    <cellStyle name="_MARION 8576506 23-09-08_CONCENTRATED QUOTE WLP401_Copy of CONCENTRATED QUOTE WLP579 3" xfId="3756" xr:uid="{00000000-0005-0000-0000-00006F0F0000}"/>
    <cellStyle name="_MARION 8576506 23-09-08_CONCENTRATED QUOTE WLP401_Copy of CONCENTRATED QUOTE WLP579 4" xfId="3757" xr:uid="{00000000-0005-0000-0000-0000700F0000}"/>
    <cellStyle name="_MARION 8576506 23-09-08_CONCENTRATED QUOTE WLP401_Dekko HE P3-Classic P1" xfId="3758" xr:uid="{00000000-0005-0000-0000-0000710F0000}"/>
    <cellStyle name="_MARION 8576506 23-09-08_CONCENTRATED QUOTE WLP401_Dekko HE P3-Classic P1 2" xfId="3759" xr:uid="{00000000-0005-0000-0000-0000720F0000}"/>
    <cellStyle name="_MARION 8576506 23-09-08_CONCENTRATED QUOTE WLP401_Dekko HE P3-Classic P1 3" xfId="3760" xr:uid="{00000000-0005-0000-0000-0000730F0000}"/>
    <cellStyle name="_MARION 8576506 23-09-08_CONCENTRATED QUOTE WLP401_Dekko HE P3-Classic P1 4" xfId="3761" xr:uid="{00000000-0005-0000-0000-0000740F0000}"/>
    <cellStyle name="_MARION 8576506 23-09-08_CONCENTRATED QUOTE WLP401_ESTC1CLY0012" xfId="3762" xr:uid="{00000000-0005-0000-0000-0000750F0000}"/>
    <cellStyle name="_MARION 8576506 23-09-08_CONCENTRATED QUOTE WLP401_ESTC1CLY0012 2" xfId="3763" xr:uid="{00000000-0005-0000-0000-0000760F0000}"/>
    <cellStyle name="_MARION 8576506 23-09-08_CONCENTRATED QUOTE WLP401_ESTC1CLY0012 3" xfId="3764" xr:uid="{00000000-0005-0000-0000-0000770F0000}"/>
    <cellStyle name="_MARION 8576506 23-09-08_CONCENTRATED QUOTE WLP401_ESTC1CLY0012 4" xfId="3765" xr:uid="{00000000-0005-0000-0000-0000780F0000}"/>
    <cellStyle name="_MARION 8576506 23-09-08_CONCENTRATED QUOTE WLP401_ESTC1CLY0013" xfId="3766" xr:uid="{00000000-0005-0000-0000-0000790F0000}"/>
    <cellStyle name="_MARION 8576506 23-09-08_CONCENTRATED QUOTE WLP401_ESTC1CLY0013 2" xfId="3767" xr:uid="{00000000-0005-0000-0000-00007A0F0000}"/>
    <cellStyle name="_MARION 8576506 23-09-08_CONCENTRATED QUOTE WLP401_ESTC1CLY0013 3" xfId="3768" xr:uid="{00000000-0005-0000-0000-00007B0F0000}"/>
    <cellStyle name="_MARION 8576506 23-09-08_CONCENTRATED QUOTE WLP401_ESTC1CLY0013 4" xfId="3769" xr:uid="{00000000-0005-0000-0000-00007C0F0000}"/>
    <cellStyle name="_MARION 8576506 23-09-08_CONCENTRATED QUOTE WLP401_ESTC1FIN018" xfId="3770" xr:uid="{00000000-0005-0000-0000-00007D0F0000}"/>
    <cellStyle name="_MARION 8576506 23-09-08_CONCENTRATED QUOTE WLP401_Estimated Quote 050609 039" xfId="3771" xr:uid="{00000000-0005-0000-0000-00007E0F0000}"/>
    <cellStyle name="_MARION 8576506 23-09-08_CONCENTRATED QUOTE WLP401_Estimated Quote 050609 039 2" xfId="3772" xr:uid="{00000000-0005-0000-0000-00007F0F0000}"/>
    <cellStyle name="_MARION 8576506 23-09-08_CONCENTRATED QUOTE WLP401_Estimated Quote 050609 039 3" xfId="3773" xr:uid="{00000000-0005-0000-0000-0000800F0000}"/>
    <cellStyle name="_MARION 8576506 23-09-08_CONCENTRATED QUOTE WLP401_Estimated Quote 050609 039 4" xfId="3774" xr:uid="{00000000-0005-0000-0000-0000810F0000}"/>
    <cellStyle name="_MARION 8576506 23-09-08_CONCENTRATED QUOTE WLP401_Estimated Quote 050609 039 5" xfId="3775" xr:uid="{00000000-0005-0000-0000-0000820F0000}"/>
    <cellStyle name="_MARION 8576506 23-09-08_CONCENTRATED QUOTE WLP401_W01278760" xfId="3776" xr:uid="{00000000-0005-0000-0000-0000830F0000}"/>
    <cellStyle name="_MARION 8576506 23-09-08_CONCENTRATED QUOTE WLP401_W01278760 2" xfId="3777" xr:uid="{00000000-0005-0000-0000-0000840F0000}"/>
    <cellStyle name="_MARION 8576506 23-09-08_CONCENTRATED QUOTE WLP401_W01278760 3" xfId="3778" xr:uid="{00000000-0005-0000-0000-0000850F0000}"/>
    <cellStyle name="_MARION 8576506 23-09-08_CONCENTRATED QUOTE WLP401_W01278760 4" xfId="3779" xr:uid="{00000000-0005-0000-0000-0000860F0000}"/>
    <cellStyle name="_MARION 8576506 23-09-08_CONCENTRATED QUOTE WLP401_W01278760 5" xfId="3780" xr:uid="{00000000-0005-0000-0000-0000870F0000}"/>
    <cellStyle name="_MARION 8576506 23-09-08_CONCENTRATED QUOTE WLP401_W10251442" xfId="3781" xr:uid="{00000000-0005-0000-0000-0000880F0000}"/>
    <cellStyle name="_MARION 8576506 23-09-08_CONCENTRATED QUOTE WLP401_W10251443" xfId="3782" xr:uid="{00000000-0005-0000-0000-0000890F0000}"/>
    <cellStyle name="_MARION 8576506 23-09-08_CONCENTRATED QUOTE WLP401_W10251444" xfId="3783" xr:uid="{00000000-0005-0000-0000-00008A0F0000}"/>
    <cellStyle name="_MARION 8576506 23-09-08_CONCENTRATED QUOTE WLP401_W10251766 D" xfId="3784" xr:uid="{00000000-0005-0000-0000-00008B0F0000}"/>
    <cellStyle name="_MARION 8576506 23-09-08_CONCENTRATED QUOTE WLP401_W10278758" xfId="3785" xr:uid="{00000000-0005-0000-0000-00008C0F0000}"/>
    <cellStyle name="_MARION 8576506 23-09-08_CONCENTRATED QUOTE WLP401_W10278758 2" xfId="3786" xr:uid="{00000000-0005-0000-0000-00008D0F0000}"/>
    <cellStyle name="_MARION 8576506 23-09-08_CONCENTRATED QUOTE WLP401_W10278758 3" xfId="3787" xr:uid="{00000000-0005-0000-0000-00008E0F0000}"/>
    <cellStyle name="_MARION 8576506 23-09-08_CONCENTRATED QUOTE WLP401_W10278758 4" xfId="3788" xr:uid="{00000000-0005-0000-0000-00008F0F0000}"/>
    <cellStyle name="_MARION 8576506 23-09-08_CONCENTRATED QUOTE WLP401_W10278758 5" xfId="3789" xr:uid="{00000000-0005-0000-0000-0000900F0000}"/>
    <cellStyle name="_MARION 8576506 23-09-08_CONCENTRATED QUOTE WLP401_W10278759" xfId="3790" xr:uid="{00000000-0005-0000-0000-0000910F0000}"/>
    <cellStyle name="_MARION 8576506 23-09-08_CONCENTRATED QUOTE WLP401_W10279106 y W10279107 de MR a 56i" xfId="3791" xr:uid="{00000000-0005-0000-0000-0000920F0000}"/>
    <cellStyle name="_MARION 8576506 23-09-08_CONCENTRATED QUOTE WLP401_W10290772" xfId="3792" xr:uid="{00000000-0005-0000-0000-0000930F0000}"/>
    <cellStyle name="_MARION 8576506 23-09-08_CONCENTRATED QUOTE WLP401_W10290772 2" xfId="3793" xr:uid="{00000000-0005-0000-0000-0000940F0000}"/>
    <cellStyle name="_MARION 8576506 23-09-08_CONCENTRATED QUOTE WLP401_W10290772 3" xfId="3794" xr:uid="{00000000-0005-0000-0000-0000950F0000}"/>
    <cellStyle name="_MARION 8576506 23-09-08_CONCENTRATED QUOTE WLP401_W10290772 4" xfId="3795" xr:uid="{00000000-0005-0000-0000-0000960F0000}"/>
    <cellStyle name="_MARION 8576506 23-09-08_CONCENTRATED QUOTE WLP401_W10290772 5" xfId="3796" xr:uid="{00000000-0005-0000-0000-0000970F0000}"/>
    <cellStyle name="_MARION 8576506 23-09-08_CONCENTRATED QUOTE WLP401_W10290774" xfId="3797" xr:uid="{00000000-0005-0000-0000-0000980F0000}"/>
    <cellStyle name="_MARION 8576506 23-09-08_CONCENTRATED QUOTE WLP401_W10290774 2" xfId="3798" xr:uid="{00000000-0005-0000-0000-0000990F0000}"/>
    <cellStyle name="_MARION 8576506 23-09-08_CONCENTRATED QUOTE WLP401_W10290774 3" xfId="3799" xr:uid="{00000000-0005-0000-0000-00009A0F0000}"/>
    <cellStyle name="_MARION 8576506 23-09-08_CONCENTRATED QUOTE WLP401_W10290774 4" xfId="3800" xr:uid="{00000000-0005-0000-0000-00009B0F0000}"/>
    <cellStyle name="_MARION 8576506 23-09-08_CONCENTRATED QUOTE WLP401_W10290774 5" xfId="3801" xr:uid="{00000000-0005-0000-0000-00009C0F0000}"/>
    <cellStyle name="_MARION 8576506 23-09-08_CONCENTRATED QUOTE WLP401_W10300883" xfId="3802" xr:uid="{00000000-0005-0000-0000-00009D0F0000}"/>
    <cellStyle name="_MARION 8576506 23-09-08_CONCENTRATED QUOTE WLP401_W10300883 2" xfId="3803" xr:uid="{00000000-0005-0000-0000-00009E0F0000}"/>
    <cellStyle name="_MARION 8576506 23-09-08_CONCENTRATED QUOTE WLP401_W10300883 3" xfId="3804" xr:uid="{00000000-0005-0000-0000-00009F0F0000}"/>
    <cellStyle name="_MARION 8576506 23-09-08_CONCENTRATED QUOTE WLP401_W10300883 4" xfId="3805" xr:uid="{00000000-0005-0000-0000-0000A00F0000}"/>
    <cellStyle name="_MARION 8576506 23-09-08_CONCENTRATED QUOTE WLP401_W10300883 5" xfId="3806" xr:uid="{00000000-0005-0000-0000-0000A10F0000}"/>
    <cellStyle name="_MARION 8576506 23-09-08_CONCENTRATED QUOTE WLP401_W10315922 A" xfId="3807" xr:uid="{00000000-0005-0000-0000-0000A20F0000}"/>
    <cellStyle name="_MARION 8576506 23-09-08_CONCENTRATED QUOTE WLP401_WPFINDLAY-0037" xfId="3808" xr:uid="{00000000-0005-0000-0000-0000A30F0000}"/>
    <cellStyle name="_MARION 8576506 23-09-08_CONCENTRATED QUOTE WLP401_WPN145 3954933" xfId="3809" xr:uid="{00000000-0005-0000-0000-0000A40F0000}"/>
    <cellStyle name="_MARION 8576506 23-09-08_CONCENTRATED QUOTE WLP401_WPN145 3954933 2" xfId="3810" xr:uid="{00000000-0005-0000-0000-0000A50F0000}"/>
    <cellStyle name="_MARION 8576506 23-09-08_CONCENTRATED QUOTE WLP401_WPN145 3954933 3" xfId="3811" xr:uid="{00000000-0005-0000-0000-0000A60F0000}"/>
    <cellStyle name="_MARION 8576506 23-09-08_CONCENTRATED QUOTE WLP401_WPN145 3954933 4" xfId="3812" xr:uid="{00000000-0005-0000-0000-0000A70F0000}"/>
    <cellStyle name="_MARION 8576506 23-09-08_CONCENTRATED QUOTE WLP401_WPN145 3954933 5" xfId="3813" xr:uid="{00000000-0005-0000-0000-0000A80F0000}"/>
    <cellStyle name="_MARION 8576506 23-09-08_CONCENTRATED QUOTE WLP401_WPN163 8576530" xfId="3814" xr:uid="{00000000-0005-0000-0000-0000A90F0000}"/>
    <cellStyle name="_MARION 8576506 23-09-08_CONCENTRATED QUOTE WLP401_WPN163 8576530 2" xfId="3815" xr:uid="{00000000-0005-0000-0000-0000AA0F0000}"/>
    <cellStyle name="_MARION 8576506 23-09-08_CONCENTRATED QUOTE WLP401_WPN163 8576530 3" xfId="3816" xr:uid="{00000000-0005-0000-0000-0000AB0F0000}"/>
    <cellStyle name="_MARION 8576506 23-09-08_CONCENTRATED QUOTE WLP401_WPN163 8576530 4" xfId="3817" xr:uid="{00000000-0005-0000-0000-0000AC0F0000}"/>
    <cellStyle name="_MARION 8576506 23-09-08_CONCENTRATED QUOTE WLP401_xCONCENTRATED QUOTE 2" xfId="3818" xr:uid="{00000000-0005-0000-0000-0000AD0F0000}"/>
    <cellStyle name="_MARION 8576506 23-09-08_CONCENTRATED QUOTE WLP401_xCONCENTRATED QUOTE 2 2" xfId="3819" xr:uid="{00000000-0005-0000-0000-0000AE0F0000}"/>
    <cellStyle name="_MARION 8576506 23-09-08_CONCENTRATED QUOTE WLP401_xCONCENTRATED QUOTE 2 3" xfId="3820" xr:uid="{00000000-0005-0000-0000-0000AF0F0000}"/>
    <cellStyle name="_MARION 8576506 23-09-08_CONCENTRATED QUOTE WLP401_xCONCENTRATED QUOTE 2 4" xfId="3821" xr:uid="{00000000-0005-0000-0000-0000B00F0000}"/>
    <cellStyle name="_MARION 8576506 23-09-08_CONCENTRATED QUOTE WLP401_xCONCENTRATED QUOTE 2 5" xfId="3822" xr:uid="{00000000-0005-0000-0000-0000B10F0000}"/>
    <cellStyle name="_MARION 8576506 23-09-08_CONCENTRATED QUOTE WLP401_xCONCENTRATED QUOTE 3" xfId="3823" xr:uid="{00000000-0005-0000-0000-0000B20F0000}"/>
    <cellStyle name="_MARION 8576506 23-09-08_CONCENTRATED QUOTE WLP401_xCONCENTRATED QUOTE 3 2" xfId="3824" xr:uid="{00000000-0005-0000-0000-0000B30F0000}"/>
    <cellStyle name="_MARION 8576506 23-09-08_CONCENTRATED QUOTE WLP401_xCONCENTRATED QUOTE 3 3" xfId="3825" xr:uid="{00000000-0005-0000-0000-0000B40F0000}"/>
    <cellStyle name="_MARION 8576506 23-09-08_CONCENTRATED QUOTE WLP401_xCONCENTRATED QUOTE 3 4" xfId="3826" xr:uid="{00000000-0005-0000-0000-0000B50F0000}"/>
    <cellStyle name="_MARION 8576506 23-09-08_CONCENTRATED QUOTE WLP401_xCONCENTRATED QUOTE 3 5" xfId="3827" xr:uid="{00000000-0005-0000-0000-0000B60F0000}"/>
    <cellStyle name="_MARION 8576506 23-09-08_CONCENTRATED QUOTE WLP401_Xl0000004" xfId="3828" xr:uid="{00000000-0005-0000-0000-0000B70F0000}"/>
    <cellStyle name="_MARION 8576506 23-09-08_CONCENTRATED QUOTE WLP401_Xl0000004 2" xfId="3829" xr:uid="{00000000-0005-0000-0000-0000B80F0000}"/>
    <cellStyle name="_MARION 8576506 23-09-08_CONCENTRATED QUOTE WLP401_Xl0000004 3" xfId="3830" xr:uid="{00000000-0005-0000-0000-0000B90F0000}"/>
    <cellStyle name="_MARION 8576506 23-09-08_CONCENTRATED QUOTE WLP401_Xl0000004 4" xfId="3831" xr:uid="{00000000-0005-0000-0000-0000BA0F0000}"/>
    <cellStyle name="_MARION 8576506 23-09-08_CONCENTRATED QUOTE WLP401_Xl0000004 5" xfId="3832" xr:uid="{00000000-0005-0000-0000-0000BB0F0000}"/>
    <cellStyle name="_MARION 8576506 23-09-08_CONCENTRATED QUOTE WLP403" xfId="3833" xr:uid="{00000000-0005-0000-0000-0000BC0F0000}"/>
    <cellStyle name="_MARION 8576506 23-09-08_CONCENTRATED QUOTE WLP403 2" xfId="3834" xr:uid="{00000000-0005-0000-0000-0000BD0F0000}"/>
    <cellStyle name="_MARION 8576506 23-09-08_CONCENTRATED QUOTE WLP403 3" xfId="3835" xr:uid="{00000000-0005-0000-0000-0000BE0F0000}"/>
    <cellStyle name="_MARION 8576506 23-09-08_CONCENTRATED QUOTE WLP403 4" xfId="3836" xr:uid="{00000000-0005-0000-0000-0000BF0F0000}"/>
    <cellStyle name="_MARION 8576506 23-09-08_CONCENTRATED QUOTE WLP403_862-CH" xfId="3837" xr:uid="{00000000-0005-0000-0000-0000C00F0000}"/>
    <cellStyle name="_MARION 8576506 23-09-08_CONCENTRATED QUOTE WLP403_CONCENTRATED QUOTE WLP417 OP 3" xfId="3838" xr:uid="{00000000-0005-0000-0000-0000C10F0000}"/>
    <cellStyle name="_MARION 8576506 23-09-08_CONCENTRATED QUOTE WLP403_CONCENTRATED QUOTE WLP417 OP 3 2" xfId="3839" xr:uid="{00000000-0005-0000-0000-0000C20F0000}"/>
    <cellStyle name="_MARION 8576506 23-09-08_CONCENTRATED QUOTE WLP403_CONCENTRATED QUOTE WLP417 OP 3 2 2" xfId="3840" xr:uid="{00000000-0005-0000-0000-0000C30F0000}"/>
    <cellStyle name="_MARION 8576506 23-09-08_CONCENTRATED QUOTE WLP403_CONCENTRATED QUOTE WLP417 OP 3 2 3" xfId="3841" xr:uid="{00000000-0005-0000-0000-0000C40F0000}"/>
    <cellStyle name="_MARION 8576506 23-09-08_CONCENTRATED QUOTE WLP403_CONCENTRATED QUOTE WLP417 OP 3 2 4" xfId="3842" xr:uid="{00000000-0005-0000-0000-0000C50F0000}"/>
    <cellStyle name="_MARION 8576506 23-09-08_CONCENTRATED QUOTE WLP403_CONCENTRATED QUOTE WLP417 OP 3 3" xfId="3843" xr:uid="{00000000-0005-0000-0000-0000C60F0000}"/>
    <cellStyle name="_MARION 8576506 23-09-08_CONCENTRATED QUOTE WLP403_CONCENTRATED QUOTE WLP417 OP 3_862-CH" xfId="3844" xr:uid="{00000000-0005-0000-0000-0000C70F0000}"/>
    <cellStyle name="_MARION 8576506 23-09-08_CONCENTRATED QUOTE WLP403_CONCENTRATED QUOTE WLP417 OP 3_W10251766 D" xfId="3845" xr:uid="{00000000-0005-0000-0000-0000C80F0000}"/>
    <cellStyle name="_MARION 8576506 23-09-08_CONCENTRATED QUOTE WLP403_CONCENTRATED QUOTE WLP417 OP 3_W10279106 y W10279107 de MR a 56i" xfId="3846" xr:uid="{00000000-0005-0000-0000-0000C90F0000}"/>
    <cellStyle name="_MARION 8576506 23-09-08_CONCENTRATED QUOTE WLP403_CONCENTRATED QUOTE WLP417 OP 3_W10315922 A" xfId="3847" xr:uid="{00000000-0005-0000-0000-0000CA0F0000}"/>
    <cellStyle name="_MARION 8576506 23-09-08_CONCENTRATED QUOTE WLP403_CONCENTRATED QUOTE WLP417 OP 4" xfId="3848" xr:uid="{00000000-0005-0000-0000-0000CB0F0000}"/>
    <cellStyle name="_MARION 8576506 23-09-08_CONCENTRATED QUOTE WLP403_CONCENTRATED QUOTE WLP417 OP 4 2" xfId="3849" xr:uid="{00000000-0005-0000-0000-0000CC0F0000}"/>
    <cellStyle name="_MARION 8576506 23-09-08_CONCENTRATED QUOTE WLP403_CONCENTRATED QUOTE WLP417 OP 4 2 2" xfId="3850" xr:uid="{00000000-0005-0000-0000-0000CD0F0000}"/>
    <cellStyle name="_MARION 8576506 23-09-08_CONCENTRATED QUOTE WLP403_CONCENTRATED QUOTE WLP417 OP 4 2 3" xfId="3851" xr:uid="{00000000-0005-0000-0000-0000CE0F0000}"/>
    <cellStyle name="_MARION 8576506 23-09-08_CONCENTRATED QUOTE WLP403_CONCENTRATED QUOTE WLP417 OP 4 2 4" xfId="3852" xr:uid="{00000000-0005-0000-0000-0000CF0F0000}"/>
    <cellStyle name="_MARION 8576506 23-09-08_CONCENTRATED QUOTE WLP403_CONCENTRATED QUOTE WLP417 OP 4 3" xfId="3853" xr:uid="{00000000-0005-0000-0000-0000D00F0000}"/>
    <cellStyle name="_MARION 8576506 23-09-08_CONCENTRATED QUOTE WLP403_CONCENTRATED QUOTE WLP417 OP 4_862-CH" xfId="3854" xr:uid="{00000000-0005-0000-0000-0000D10F0000}"/>
    <cellStyle name="_MARION 8576506 23-09-08_CONCENTRATED QUOTE WLP403_CONCENTRATED QUOTE WLP417 OP 4_W10251766 D" xfId="3855" xr:uid="{00000000-0005-0000-0000-0000D20F0000}"/>
    <cellStyle name="_MARION 8576506 23-09-08_CONCENTRATED QUOTE WLP403_CONCENTRATED QUOTE WLP417 OP 4_W10279106 y W10279107 de MR a 56i" xfId="3856" xr:uid="{00000000-0005-0000-0000-0000D30F0000}"/>
    <cellStyle name="_MARION 8576506 23-09-08_CONCENTRATED QUOTE WLP403_CONCENTRATED QUOTE WLP417 OP 4_W10315922 A" xfId="3857" xr:uid="{00000000-0005-0000-0000-0000D40F0000}"/>
    <cellStyle name="_MARION 8576506 23-09-08_CONCENTRATED QUOTE WLP403_CONCENTRATED QUOTE WLP417 OP 5" xfId="3858" xr:uid="{00000000-0005-0000-0000-0000D50F0000}"/>
    <cellStyle name="_MARION 8576506 23-09-08_CONCENTRATED QUOTE WLP403_CONCENTRATED QUOTE WLP417 OP 5 2" xfId="3859" xr:uid="{00000000-0005-0000-0000-0000D60F0000}"/>
    <cellStyle name="_MARION 8576506 23-09-08_CONCENTRATED QUOTE WLP403_CONCENTRATED QUOTE WLP417 OP 5 2 2" xfId="3860" xr:uid="{00000000-0005-0000-0000-0000D70F0000}"/>
    <cellStyle name="_MARION 8576506 23-09-08_CONCENTRATED QUOTE WLP403_CONCENTRATED QUOTE WLP417 OP 5 2 3" xfId="3861" xr:uid="{00000000-0005-0000-0000-0000D80F0000}"/>
    <cellStyle name="_MARION 8576506 23-09-08_CONCENTRATED QUOTE WLP403_CONCENTRATED QUOTE WLP417 OP 5 2 4" xfId="3862" xr:uid="{00000000-0005-0000-0000-0000D90F0000}"/>
    <cellStyle name="_MARION 8576506 23-09-08_CONCENTRATED QUOTE WLP403_CONCENTRATED QUOTE WLP417 OP 5 3" xfId="3863" xr:uid="{00000000-0005-0000-0000-0000DA0F0000}"/>
    <cellStyle name="_MARION 8576506 23-09-08_CONCENTRATED QUOTE WLP403_CONCENTRATED QUOTE WLP417 OP 5_862-CH" xfId="3864" xr:uid="{00000000-0005-0000-0000-0000DB0F0000}"/>
    <cellStyle name="_MARION 8576506 23-09-08_CONCENTRATED QUOTE WLP403_CONCENTRATED QUOTE WLP417 OP 5_W10251766 D" xfId="3865" xr:uid="{00000000-0005-0000-0000-0000DC0F0000}"/>
    <cellStyle name="_MARION 8576506 23-09-08_CONCENTRATED QUOTE WLP403_CONCENTRATED QUOTE WLP417 OP 5_W10279106 y W10279107 de MR a 56i" xfId="3866" xr:uid="{00000000-0005-0000-0000-0000DD0F0000}"/>
    <cellStyle name="_MARION 8576506 23-09-08_CONCENTRATED QUOTE WLP403_CONCENTRATED QUOTE WLP417 OP 5_W10315922 A" xfId="3867" xr:uid="{00000000-0005-0000-0000-0000DE0F0000}"/>
    <cellStyle name="_MARION 8576506 23-09-08_CONCENTRATED QUOTE WLP403_CONCENTRATED QUOTE WLP417 OP 6" xfId="3868" xr:uid="{00000000-0005-0000-0000-0000DF0F0000}"/>
    <cellStyle name="_MARION 8576506 23-09-08_CONCENTRATED QUOTE WLP403_CONCENTRATED QUOTE WLP417 OP 6 2" xfId="3869" xr:uid="{00000000-0005-0000-0000-0000E00F0000}"/>
    <cellStyle name="_MARION 8576506 23-09-08_CONCENTRATED QUOTE WLP403_CONCENTRATED QUOTE WLP417 OP 6 2 2" xfId="3870" xr:uid="{00000000-0005-0000-0000-0000E10F0000}"/>
    <cellStyle name="_MARION 8576506 23-09-08_CONCENTRATED QUOTE WLP403_CONCENTRATED QUOTE WLP417 OP 6 2 3" xfId="3871" xr:uid="{00000000-0005-0000-0000-0000E20F0000}"/>
    <cellStyle name="_MARION 8576506 23-09-08_CONCENTRATED QUOTE WLP403_CONCENTRATED QUOTE WLP417 OP 6 2 4" xfId="3872" xr:uid="{00000000-0005-0000-0000-0000E30F0000}"/>
    <cellStyle name="_MARION 8576506 23-09-08_CONCENTRATED QUOTE WLP403_CONCENTRATED QUOTE WLP417 OP 6 3" xfId="3873" xr:uid="{00000000-0005-0000-0000-0000E40F0000}"/>
    <cellStyle name="_MARION 8576506 23-09-08_CONCENTRATED QUOTE WLP403_CONCENTRATED QUOTE WLP417 OP 6_862-CH" xfId="3874" xr:uid="{00000000-0005-0000-0000-0000E50F0000}"/>
    <cellStyle name="_MARION 8576506 23-09-08_CONCENTRATED QUOTE WLP403_CONCENTRATED QUOTE WLP417 OP 6_W10251766 D" xfId="3875" xr:uid="{00000000-0005-0000-0000-0000E60F0000}"/>
    <cellStyle name="_MARION 8576506 23-09-08_CONCENTRATED QUOTE WLP403_CONCENTRATED QUOTE WLP417 OP 6_W10279106 y W10279107 de MR a 56i" xfId="3876" xr:uid="{00000000-0005-0000-0000-0000E70F0000}"/>
    <cellStyle name="_MARION 8576506 23-09-08_CONCENTRATED QUOTE WLP403_CONCENTRATED QUOTE WLP417 OP 6_W10315922 A" xfId="3877" xr:uid="{00000000-0005-0000-0000-0000E80F0000}"/>
    <cellStyle name="_MARION 8576506 23-09-08_CONCENTRATED QUOTE WLP403_Op 1 VMW Base Line Molex" xfId="3878" xr:uid="{00000000-0005-0000-0000-0000E90F0000}"/>
    <cellStyle name="_MARION 8576506 23-09-08_CONCENTRATED QUOTE WLP403_Op 1 VMW Base Line Molex 2" xfId="3879" xr:uid="{00000000-0005-0000-0000-0000EA0F0000}"/>
    <cellStyle name="_MARION 8576506 23-09-08_CONCENTRATED QUOTE WLP403_Op 1 VMW Base Line Molex 2 2" xfId="3880" xr:uid="{00000000-0005-0000-0000-0000EB0F0000}"/>
    <cellStyle name="_MARION 8576506 23-09-08_CONCENTRATED QUOTE WLP403_Op 1 VMW Base Line Molex 2 3" xfId="3881" xr:uid="{00000000-0005-0000-0000-0000EC0F0000}"/>
    <cellStyle name="_MARION 8576506 23-09-08_CONCENTRATED QUOTE WLP403_Op 1 VMW Base Line Molex 2 4" xfId="3882" xr:uid="{00000000-0005-0000-0000-0000ED0F0000}"/>
    <cellStyle name="_MARION 8576506 23-09-08_CONCENTRATED QUOTE WLP403_Op 1 VMW Base Line Molex 3" xfId="3883" xr:uid="{00000000-0005-0000-0000-0000EE0F0000}"/>
    <cellStyle name="_MARION 8576506 23-09-08_CONCENTRATED QUOTE WLP403_Op 1 VMW Base Line Molex_862-CH" xfId="3884" xr:uid="{00000000-0005-0000-0000-0000EF0F0000}"/>
    <cellStyle name="_MARION 8576506 23-09-08_CONCENTRATED QUOTE WLP403_Op 1 VMW Base Line Molex_W10251766 D" xfId="3885" xr:uid="{00000000-0005-0000-0000-0000F00F0000}"/>
    <cellStyle name="_MARION 8576506 23-09-08_CONCENTRATED QUOTE WLP403_Op 1 VMW Base Line Molex_W10279106 y W10279107 de MR a 56i" xfId="3886" xr:uid="{00000000-0005-0000-0000-0000F10F0000}"/>
    <cellStyle name="_MARION 8576506 23-09-08_CONCENTRATED QUOTE WLP403_Op 1 VMW Base Line Molex_W10315922 A" xfId="3887" xr:uid="{00000000-0005-0000-0000-0000F20F0000}"/>
    <cellStyle name="_MARION 8576506 23-09-08_CONCENTRATED QUOTE WLP403_Op 8 VMW TYCO Splice Option" xfId="3888" xr:uid="{00000000-0005-0000-0000-0000F30F0000}"/>
    <cellStyle name="_MARION 8576506 23-09-08_CONCENTRATED QUOTE WLP403_Op 8 VMW TYCO Splice Option - Per Conference 3-27-2009" xfId="3889" xr:uid="{00000000-0005-0000-0000-0000F40F0000}"/>
    <cellStyle name="_MARION 8576506 23-09-08_CONCENTRATED QUOTE WLP403_Op 8 VMW TYCO Splice Option - Per Conference 3-27-2009 2" xfId="3890" xr:uid="{00000000-0005-0000-0000-0000F50F0000}"/>
    <cellStyle name="_MARION 8576506 23-09-08_CONCENTRATED QUOTE WLP403_Op 8 VMW TYCO Splice Option - Per Conference 3-27-2009 2 2" xfId="3891" xr:uid="{00000000-0005-0000-0000-0000F60F0000}"/>
    <cellStyle name="_MARION 8576506 23-09-08_CONCENTRATED QUOTE WLP403_Op 8 VMW TYCO Splice Option - Per Conference 3-27-2009 2 3" xfId="3892" xr:uid="{00000000-0005-0000-0000-0000F70F0000}"/>
    <cellStyle name="_MARION 8576506 23-09-08_CONCENTRATED QUOTE WLP403_Op 8 VMW TYCO Splice Option - Per Conference 3-27-2009 2 4" xfId="3893" xr:uid="{00000000-0005-0000-0000-0000F80F0000}"/>
    <cellStyle name="_MARION 8576506 23-09-08_CONCENTRATED QUOTE WLP403_Op 8 VMW TYCO Splice Option - Per Conference 3-27-2009 3" xfId="3894" xr:uid="{00000000-0005-0000-0000-0000F90F0000}"/>
    <cellStyle name="_MARION 8576506 23-09-08_CONCENTRATED QUOTE WLP403_Op 8 VMW TYCO Splice Option - Per Conference 3-27-2009_862-CH" xfId="3895" xr:uid="{00000000-0005-0000-0000-0000FA0F0000}"/>
    <cellStyle name="_MARION 8576506 23-09-08_CONCENTRATED QUOTE WLP403_Op 8 VMW TYCO Splice Option - Per Conference 3-27-2009_W10251766 D" xfId="3896" xr:uid="{00000000-0005-0000-0000-0000FB0F0000}"/>
    <cellStyle name="_MARION 8576506 23-09-08_CONCENTRATED QUOTE WLP403_Op 8 VMW TYCO Splice Option - Per Conference 3-27-2009_W10279106 y W10279107 de MR a 56i" xfId="3897" xr:uid="{00000000-0005-0000-0000-0000FC0F0000}"/>
    <cellStyle name="_MARION 8576506 23-09-08_CONCENTRATED QUOTE WLP403_Op 8 VMW TYCO Splice Option - Per Conference 3-27-2009_W10315922 A" xfId="3898" xr:uid="{00000000-0005-0000-0000-0000FD0F0000}"/>
    <cellStyle name="_MARION 8576506 23-09-08_CONCENTRATED QUOTE WLP403_Op 8 VMW TYCO Splice Option 10" xfId="3899" xr:uid="{00000000-0005-0000-0000-0000FE0F0000}"/>
    <cellStyle name="_MARION 8576506 23-09-08_CONCENTRATED QUOTE WLP403_Op 8 VMW TYCO Splice Option 11" xfId="3900" xr:uid="{00000000-0005-0000-0000-0000FF0F0000}"/>
    <cellStyle name="_MARION 8576506 23-09-08_CONCENTRATED QUOTE WLP403_Op 8 VMW TYCO Splice Option 12" xfId="3901" xr:uid="{00000000-0005-0000-0000-000000100000}"/>
    <cellStyle name="_MARION 8576506 23-09-08_CONCENTRATED QUOTE WLP403_Op 8 VMW TYCO Splice Option 13" xfId="3902" xr:uid="{00000000-0005-0000-0000-000001100000}"/>
    <cellStyle name="_MARION 8576506 23-09-08_CONCENTRATED QUOTE WLP403_Op 8 VMW TYCO Splice Option 2" xfId="3903" xr:uid="{00000000-0005-0000-0000-000002100000}"/>
    <cellStyle name="_MARION 8576506 23-09-08_CONCENTRATED QUOTE WLP403_Op 8 VMW TYCO Splice Option 2 2" xfId="3904" xr:uid="{00000000-0005-0000-0000-000003100000}"/>
    <cellStyle name="_MARION 8576506 23-09-08_CONCENTRATED QUOTE WLP403_Op 8 VMW TYCO Splice Option 2 3" xfId="3905" xr:uid="{00000000-0005-0000-0000-000004100000}"/>
    <cellStyle name="_MARION 8576506 23-09-08_CONCENTRATED QUOTE WLP403_Op 8 VMW TYCO Splice Option 2 4" xfId="3906" xr:uid="{00000000-0005-0000-0000-000005100000}"/>
    <cellStyle name="_MARION 8576506 23-09-08_CONCENTRATED QUOTE WLP403_Op 8 VMW TYCO Splice Option 3" xfId="3907" xr:uid="{00000000-0005-0000-0000-000006100000}"/>
    <cellStyle name="_MARION 8576506 23-09-08_CONCENTRATED QUOTE WLP403_Op 8 VMW TYCO Splice Option 4" xfId="3908" xr:uid="{00000000-0005-0000-0000-000007100000}"/>
    <cellStyle name="_MARION 8576506 23-09-08_CONCENTRATED QUOTE WLP403_Op 8 VMW TYCO Splice Option 5" xfId="3909" xr:uid="{00000000-0005-0000-0000-000008100000}"/>
    <cellStyle name="_MARION 8576506 23-09-08_CONCENTRATED QUOTE WLP403_Op 8 VMW TYCO Splice Option 6" xfId="3910" xr:uid="{00000000-0005-0000-0000-000009100000}"/>
    <cellStyle name="_MARION 8576506 23-09-08_CONCENTRATED QUOTE WLP403_Op 8 VMW TYCO Splice Option 7" xfId="3911" xr:uid="{00000000-0005-0000-0000-00000A100000}"/>
    <cellStyle name="_MARION 8576506 23-09-08_CONCENTRATED QUOTE WLP403_Op 8 VMW TYCO Splice Option 8" xfId="3912" xr:uid="{00000000-0005-0000-0000-00000B100000}"/>
    <cellStyle name="_MARION 8576506 23-09-08_CONCENTRATED QUOTE WLP403_Op 8 VMW TYCO Splice Option 9" xfId="3913" xr:uid="{00000000-0005-0000-0000-00000C100000}"/>
    <cellStyle name="_MARION 8576506 23-09-08_CONCENTRATED QUOTE WLP403_Op 8 VMW TYCO Splice Option_862-CH" xfId="3914" xr:uid="{00000000-0005-0000-0000-00000D100000}"/>
    <cellStyle name="_MARION 8576506 23-09-08_CONCENTRATED QUOTE WLP403_Op 8 VMW TYCO Splice Option_W10251766 D" xfId="3915" xr:uid="{00000000-0005-0000-0000-00000E100000}"/>
    <cellStyle name="_MARION 8576506 23-09-08_CONCENTRATED QUOTE WLP403_Op 8 VMW TYCO Splice Option_W10279106 y W10279107 de MR a 56i" xfId="3916" xr:uid="{00000000-0005-0000-0000-00000F100000}"/>
    <cellStyle name="_MARION 8576506 23-09-08_CONCENTRATED QUOTE WLP403_Op 8 VMW TYCO Splice Option_W10315922 A" xfId="3917" xr:uid="{00000000-0005-0000-0000-000010100000}"/>
    <cellStyle name="_MARION 8576506 23-09-08_CONCENTRATED QUOTE WLP403_W10251766 D" xfId="3918" xr:uid="{00000000-0005-0000-0000-000011100000}"/>
    <cellStyle name="_MARION 8576506 23-09-08_CONCENTRATED QUOTE WLP403_W10279106 y W10279107 de MR a 56i" xfId="3919" xr:uid="{00000000-0005-0000-0000-000012100000}"/>
    <cellStyle name="_MARION 8576506 23-09-08_CONCENTRATED QUOTE WLP403_W10315922 A" xfId="3920" xr:uid="{00000000-0005-0000-0000-000013100000}"/>
    <cellStyle name="_MARION 8576506 23-09-08_FP10111066" xfId="3921" xr:uid="{00000000-0005-0000-0000-000014100000}"/>
    <cellStyle name="_MARION 8576506 23-09-08_FP10111066 2" xfId="3922" xr:uid="{00000000-0005-0000-0000-000015100000}"/>
    <cellStyle name="_MARION 8576506 23-09-08_FP10111066 2 2" xfId="3923" xr:uid="{00000000-0005-0000-0000-000016100000}"/>
    <cellStyle name="_MARION 8576506 23-09-08_FP10111066 2 3" xfId="3924" xr:uid="{00000000-0005-0000-0000-000017100000}"/>
    <cellStyle name="_MARION 8576506 23-09-08_FP10111066 2 4" xfId="3925" xr:uid="{00000000-0005-0000-0000-000018100000}"/>
    <cellStyle name="_MARION 8576506 23-09-08_FP10111066 3" xfId="3926" xr:uid="{00000000-0005-0000-0000-000019100000}"/>
    <cellStyle name="_MARION 8576506 23-09-08_FP10111066_862-CH" xfId="3927" xr:uid="{00000000-0005-0000-0000-00001A100000}"/>
    <cellStyle name="_MARION 8576506 23-09-08_FP10111066_CONCENTRATED QUOTE WLP440" xfId="3928" xr:uid="{00000000-0005-0000-0000-00001B100000}"/>
    <cellStyle name="_MARION 8576506 23-09-08_FP10111066_CONCENTRATED QUOTE WLP440 2" xfId="3929" xr:uid="{00000000-0005-0000-0000-00001C100000}"/>
    <cellStyle name="_MARION 8576506 23-09-08_FP10111066_CONCENTRATED QUOTE WLP440 3" xfId="3930" xr:uid="{00000000-0005-0000-0000-00001D100000}"/>
    <cellStyle name="_MARION 8576506 23-09-08_FP10111066_CONCENTRATED QUOTE WLP440 4" xfId="3931" xr:uid="{00000000-0005-0000-0000-00001E100000}"/>
    <cellStyle name="_MARION 8576506 23-09-08_FP10111066_CONCENTRATED QUOTE WLP440 5" xfId="3932" xr:uid="{00000000-0005-0000-0000-00001F100000}"/>
    <cellStyle name="_MARION 8576506 23-09-08_FP10111066_CONCENTRATED QUOTE WLP474" xfId="3933" xr:uid="{00000000-0005-0000-0000-000020100000}"/>
    <cellStyle name="_MARION 8576506 23-09-08_FP10111066_CONCENTRATED QUOTE WLP474 2" xfId="3934" xr:uid="{00000000-0005-0000-0000-000021100000}"/>
    <cellStyle name="_MARION 8576506 23-09-08_FP10111066_CONCENTRATED QUOTE WLP474 3" xfId="3935" xr:uid="{00000000-0005-0000-0000-000022100000}"/>
    <cellStyle name="_MARION 8576506 23-09-08_FP10111066_CONCENTRATED QUOTE WLP474 4" xfId="3936" xr:uid="{00000000-0005-0000-0000-000023100000}"/>
    <cellStyle name="_MARION 8576506 23-09-08_FP10111066_CONCENTRATED QUOTE WLP477" xfId="3937" xr:uid="{00000000-0005-0000-0000-000024100000}"/>
    <cellStyle name="_MARION 8576506 23-09-08_FP10111066_CONCENTRATED QUOTE WLP477 2" xfId="3938" xr:uid="{00000000-0005-0000-0000-000025100000}"/>
    <cellStyle name="_MARION 8576506 23-09-08_FP10111066_CONCENTRATED QUOTE WLP477 3" xfId="3939" xr:uid="{00000000-0005-0000-0000-000026100000}"/>
    <cellStyle name="_MARION 8576506 23-09-08_FP10111066_CONCENTRATED QUOTE WLP477 4" xfId="3940" xr:uid="{00000000-0005-0000-0000-000027100000}"/>
    <cellStyle name="_MARION 8576506 23-09-08_FP10111066_CONCENTRATED QUOTE WLP477 5" xfId="3941" xr:uid="{00000000-0005-0000-0000-000028100000}"/>
    <cellStyle name="_MARION 8576506 23-09-08_FP10111066_CONCENTRATED QUOTE WLP488" xfId="3942" xr:uid="{00000000-0005-0000-0000-000029100000}"/>
    <cellStyle name="_MARION 8576506 23-09-08_FP10111066_CONCENTRATED QUOTE WLP488 2" xfId="3943" xr:uid="{00000000-0005-0000-0000-00002A100000}"/>
    <cellStyle name="_MARION 8576506 23-09-08_FP10111066_CONCENTRATED QUOTE WLP488 3" xfId="3944" xr:uid="{00000000-0005-0000-0000-00002B100000}"/>
    <cellStyle name="_MARION 8576506 23-09-08_FP10111066_CONCENTRATED QUOTE WLP488 4" xfId="3945" xr:uid="{00000000-0005-0000-0000-00002C100000}"/>
    <cellStyle name="_MARION 8576506 23-09-08_FP10111066_CONCENTRATED QUOTE WLP488 5" xfId="3946" xr:uid="{00000000-0005-0000-0000-00002D100000}"/>
    <cellStyle name="_MARION 8576506 23-09-08_FP10111066_CONCENTRATED QUOTE WLP491" xfId="3947" xr:uid="{00000000-0005-0000-0000-00002E100000}"/>
    <cellStyle name="_MARION 8576506 23-09-08_FP10111066_CONCENTRATED QUOTE WLP491 2" xfId="3948" xr:uid="{00000000-0005-0000-0000-00002F100000}"/>
    <cellStyle name="_MARION 8576506 23-09-08_FP10111066_CONCENTRATED QUOTE WLP491 3" xfId="3949" xr:uid="{00000000-0005-0000-0000-000030100000}"/>
    <cellStyle name="_MARION 8576506 23-09-08_FP10111066_CONCENTRATED QUOTE WLP491 4" xfId="3950" xr:uid="{00000000-0005-0000-0000-000031100000}"/>
    <cellStyle name="_MARION 8576506 23-09-08_FP10111066_CONCENTRATED QUOTE WLP491 5" xfId="3951" xr:uid="{00000000-0005-0000-0000-000032100000}"/>
    <cellStyle name="_MARION 8576506 23-09-08_FP10111066_CONCENTRATED QUOTE WLP507A" xfId="3952" xr:uid="{00000000-0005-0000-0000-000033100000}"/>
    <cellStyle name="_MARION 8576506 23-09-08_FP10111066_CONCENTRATED QUOTE WLP507A 081909" xfId="3953" xr:uid="{00000000-0005-0000-0000-000034100000}"/>
    <cellStyle name="_MARION 8576506 23-09-08_FP10111066_CONCENTRATED QUOTE WLP507A 081909 2" xfId="3954" xr:uid="{00000000-0005-0000-0000-000035100000}"/>
    <cellStyle name="_MARION 8576506 23-09-08_FP10111066_CONCENTRATED QUOTE WLP507A 081909 3" xfId="3955" xr:uid="{00000000-0005-0000-0000-000036100000}"/>
    <cellStyle name="_MARION 8576506 23-09-08_FP10111066_CONCENTRATED QUOTE WLP507A 081909 4" xfId="3956" xr:uid="{00000000-0005-0000-0000-000037100000}"/>
    <cellStyle name="_MARION 8576506 23-09-08_FP10111066_CONCENTRATED QUOTE WLP507A 081909 5" xfId="3957" xr:uid="{00000000-0005-0000-0000-000038100000}"/>
    <cellStyle name="_MARION 8576506 23-09-08_FP10111066_CONCENTRATED QUOTE WLP507A 2" xfId="3958" xr:uid="{00000000-0005-0000-0000-000039100000}"/>
    <cellStyle name="_MARION 8576506 23-09-08_FP10111066_CONCENTRATED QUOTE WLP507A 3" xfId="3959" xr:uid="{00000000-0005-0000-0000-00003A100000}"/>
    <cellStyle name="_MARION 8576506 23-09-08_FP10111066_CONCENTRATED QUOTE WLP507A 4" xfId="3960" xr:uid="{00000000-0005-0000-0000-00003B100000}"/>
    <cellStyle name="_MARION 8576506 23-09-08_FP10111066_CONCENTRATED QUOTE WLP515" xfId="3961" xr:uid="{00000000-0005-0000-0000-00003C100000}"/>
    <cellStyle name="_MARION 8576506 23-09-08_FP10111066_CONCENTRATED QUOTE WLP515 2" xfId="3962" xr:uid="{00000000-0005-0000-0000-00003D100000}"/>
    <cellStyle name="_MARION 8576506 23-09-08_FP10111066_CONCENTRATED QUOTE WLP515 3" xfId="3963" xr:uid="{00000000-0005-0000-0000-00003E100000}"/>
    <cellStyle name="_MARION 8576506 23-09-08_FP10111066_CONCENTRATED QUOTE WLP515 4" xfId="3964" xr:uid="{00000000-0005-0000-0000-00003F100000}"/>
    <cellStyle name="_MARION 8576506 23-09-08_FP10111066_CONCENTRATED QUOTE WLP515 5" xfId="3965" xr:uid="{00000000-0005-0000-0000-000040100000}"/>
    <cellStyle name="_MARION 8576506 23-09-08_FP10111066_CONCENTRATED QUOTE WLP528" xfId="3966" xr:uid="{00000000-0005-0000-0000-000041100000}"/>
    <cellStyle name="_MARION 8576506 23-09-08_FP10111066_CONCENTRATED QUOTE WLP528 2" xfId="3967" xr:uid="{00000000-0005-0000-0000-000042100000}"/>
    <cellStyle name="_MARION 8576506 23-09-08_FP10111066_CONCENTRATED QUOTE WLP528 3" xfId="3968" xr:uid="{00000000-0005-0000-0000-000043100000}"/>
    <cellStyle name="_MARION 8576506 23-09-08_FP10111066_CONCENTRATED QUOTE WLP528 4" xfId="3969" xr:uid="{00000000-0005-0000-0000-000044100000}"/>
    <cellStyle name="_MARION 8576506 23-09-08_FP10111066_CONCENTRATED QUOTE WLP528 5" xfId="3970" xr:uid="{00000000-0005-0000-0000-000045100000}"/>
    <cellStyle name="_MARION 8576506 23-09-08_FP10111066_CONCENTRATED QUOTE WLP534" xfId="3971" xr:uid="{00000000-0005-0000-0000-000046100000}"/>
    <cellStyle name="_MARION 8576506 23-09-08_FP10111066_CONCENTRATED QUOTE WLP534 2" xfId="3972" xr:uid="{00000000-0005-0000-0000-000047100000}"/>
    <cellStyle name="_MARION 8576506 23-09-08_FP10111066_CONCENTRATED QUOTE WLP534 3" xfId="3973" xr:uid="{00000000-0005-0000-0000-000048100000}"/>
    <cellStyle name="_MARION 8576506 23-09-08_FP10111066_CONCENTRATED QUOTE WLP534 4" xfId="3974" xr:uid="{00000000-0005-0000-0000-000049100000}"/>
    <cellStyle name="_MARION 8576506 23-09-08_FP10111066_CONCENTRATED QUOTE WLP536" xfId="3975" xr:uid="{00000000-0005-0000-0000-00004A100000}"/>
    <cellStyle name="_MARION 8576506 23-09-08_FP10111066_CONCENTRATED QUOTE WLP536 2" xfId="3976" xr:uid="{00000000-0005-0000-0000-00004B100000}"/>
    <cellStyle name="_MARION 8576506 23-09-08_FP10111066_CONCENTRATED QUOTE WLP536 3" xfId="3977" xr:uid="{00000000-0005-0000-0000-00004C100000}"/>
    <cellStyle name="_MARION 8576506 23-09-08_FP10111066_CONCENTRATED QUOTE WLP536 4" xfId="3978" xr:uid="{00000000-0005-0000-0000-00004D100000}"/>
    <cellStyle name="_MARION 8576506 23-09-08_FP10111066_CONCENTRATED QUOTE WLP536 5" xfId="3979" xr:uid="{00000000-0005-0000-0000-00004E100000}"/>
    <cellStyle name="_MARION 8576506 23-09-08_FP10111066_CONCENTRATED QUOTE WLP545" xfId="3980" xr:uid="{00000000-0005-0000-0000-00004F100000}"/>
    <cellStyle name="_MARION 8576506 23-09-08_FP10111066_CONCENTRATED QUOTE WLP545 2" xfId="3981" xr:uid="{00000000-0005-0000-0000-000050100000}"/>
    <cellStyle name="_MARION 8576506 23-09-08_FP10111066_CONCENTRATED QUOTE WLP545 3" xfId="3982" xr:uid="{00000000-0005-0000-0000-000051100000}"/>
    <cellStyle name="_MARION 8576506 23-09-08_FP10111066_CONCENTRATED QUOTE WLP545 4" xfId="3983" xr:uid="{00000000-0005-0000-0000-000052100000}"/>
    <cellStyle name="_MARION 8576506 23-09-08_FP10111066_CONCENTRATED QUOTE WLP550" xfId="3984" xr:uid="{00000000-0005-0000-0000-000053100000}"/>
    <cellStyle name="_MARION 8576506 23-09-08_FP10111066_CONCENTRATED QUOTE WLP550 2" xfId="3985" xr:uid="{00000000-0005-0000-0000-000054100000}"/>
    <cellStyle name="_MARION 8576506 23-09-08_FP10111066_CONCENTRATED QUOTE WLP550 3" xfId="3986" xr:uid="{00000000-0005-0000-0000-000055100000}"/>
    <cellStyle name="_MARION 8576506 23-09-08_FP10111066_CONCENTRATED QUOTE WLP550 4" xfId="3987" xr:uid="{00000000-0005-0000-0000-000056100000}"/>
    <cellStyle name="_MARION 8576506 23-09-08_FP10111066_CONCENTRATED QUOTE WLP550 5" xfId="3988" xr:uid="{00000000-0005-0000-0000-000057100000}"/>
    <cellStyle name="_MARION 8576506 23-09-08_FP10111066_CONCENTRATED QUOTE WLP552" xfId="3989" xr:uid="{00000000-0005-0000-0000-000058100000}"/>
    <cellStyle name="_MARION 8576506 23-09-08_FP10111066_CONCENTRATED QUOTE WLP552 2" xfId="3990" xr:uid="{00000000-0005-0000-0000-000059100000}"/>
    <cellStyle name="_MARION 8576506 23-09-08_FP10111066_CONCENTRATED QUOTE WLP552 3" xfId="3991" xr:uid="{00000000-0005-0000-0000-00005A100000}"/>
    <cellStyle name="_MARION 8576506 23-09-08_FP10111066_CONCENTRATED QUOTE WLP552 4" xfId="3992" xr:uid="{00000000-0005-0000-0000-00005B100000}"/>
    <cellStyle name="_MARION 8576506 23-09-08_FP10111066_CONCENTRATED QUOTE WLP5565" xfId="3993" xr:uid="{00000000-0005-0000-0000-00005C100000}"/>
    <cellStyle name="_MARION 8576506 23-09-08_FP10111066_CONCENTRATED QUOTE WLP5565 2" xfId="3994" xr:uid="{00000000-0005-0000-0000-00005D100000}"/>
    <cellStyle name="_MARION 8576506 23-09-08_FP10111066_CONCENTRATED QUOTE WLP5565 3" xfId="3995" xr:uid="{00000000-0005-0000-0000-00005E100000}"/>
    <cellStyle name="_MARION 8576506 23-09-08_FP10111066_CONCENTRATED QUOTE WLP5565 4" xfId="3996" xr:uid="{00000000-0005-0000-0000-00005F100000}"/>
    <cellStyle name="_MARION 8576506 23-09-08_FP10111066_CONCENTRATED QUOTE WLP559" xfId="3997" xr:uid="{00000000-0005-0000-0000-000060100000}"/>
    <cellStyle name="_MARION 8576506 23-09-08_FP10111066_CONCENTRATED QUOTE WLP568" xfId="3998" xr:uid="{00000000-0005-0000-0000-000061100000}"/>
    <cellStyle name="_MARION 8576506 23-09-08_FP10111066_CONCENTRATED QUOTE WLP571" xfId="3999" xr:uid="{00000000-0005-0000-0000-000062100000}"/>
    <cellStyle name="_MARION 8576506 23-09-08_FP10111066_CONCENTRATED QUOTE WLP574  ALPHA" xfId="4000" xr:uid="{00000000-0005-0000-0000-000063100000}"/>
    <cellStyle name="_MARION 8576506 23-09-08_FP10111066_CONCENTRATED QUOTE WLP574  ALPHA 2" xfId="4001" xr:uid="{00000000-0005-0000-0000-000064100000}"/>
    <cellStyle name="_MARION 8576506 23-09-08_FP10111066_CONCENTRATED QUOTE WLP574  ALPHA 3" xfId="4002" xr:uid="{00000000-0005-0000-0000-000065100000}"/>
    <cellStyle name="_MARION 8576506 23-09-08_FP10111066_CONCENTRATED QUOTE WLP574  ALPHA 4" xfId="4003" xr:uid="{00000000-0005-0000-0000-000066100000}"/>
    <cellStyle name="_MARION 8576506 23-09-08_FP10111066_CONCENTRATED QUOTE WLP574  ALPHA 5" xfId="4004" xr:uid="{00000000-0005-0000-0000-000067100000}"/>
    <cellStyle name="_MARION 8576506 23-09-08_FP10111066_CONCENTRATED QUOTE WLP610 VMW CLC" xfId="4005" xr:uid="{00000000-0005-0000-0000-000068100000}"/>
    <cellStyle name="_MARION 8576506 23-09-08_FP10111066_CONCENTRATED QUOTE WLP610 VMW CLC 2" xfId="4006" xr:uid="{00000000-0005-0000-0000-000069100000}"/>
    <cellStyle name="_MARION 8576506 23-09-08_FP10111066_CONCENTRATED QUOTE WLP610 VMW CLC 3" xfId="4007" xr:uid="{00000000-0005-0000-0000-00006A100000}"/>
    <cellStyle name="_MARION 8576506 23-09-08_FP10111066_CONCENTRATED QUOTE WLP610 VMW CLC 4" xfId="4008" xr:uid="{00000000-0005-0000-0000-00006B100000}"/>
    <cellStyle name="_MARION 8576506 23-09-08_FP10111066_CONCENTRATED QUOTE WLP610 VMW CLC 5" xfId="4009" xr:uid="{00000000-0005-0000-0000-00006C100000}"/>
    <cellStyle name="_MARION 8576506 23-09-08_FP10111066_CONCENTRATED QUOTE WLP623 071310" xfId="4010" xr:uid="{00000000-0005-0000-0000-00006D100000}"/>
    <cellStyle name="_MARION 8576506 23-09-08_FP10111066_CONCENTRATED QUOTE WLP628" xfId="4011" xr:uid="{00000000-0005-0000-0000-00006E100000}"/>
    <cellStyle name="_MARION 8576506 23-09-08_FP10111066_CONCENTRATED QUOTE WLP628 2" xfId="4012" xr:uid="{00000000-0005-0000-0000-00006F100000}"/>
    <cellStyle name="_MARION 8576506 23-09-08_FP10111066_CONCENTRATED QUOTE WLP628 3" xfId="4013" xr:uid="{00000000-0005-0000-0000-000070100000}"/>
    <cellStyle name="_MARION 8576506 23-09-08_FP10111066_CONCENTRATED QUOTE WLP628 4" xfId="4014" xr:uid="{00000000-0005-0000-0000-000071100000}"/>
    <cellStyle name="_MARION 8576506 23-09-08_FP10111066_CONCENTRATED QUOTE WLP628 5" xfId="4015" xr:uid="{00000000-0005-0000-0000-000072100000}"/>
    <cellStyle name="_MARION 8576506 23-09-08_FP10111066_CONCENTRATED QUOTE WLP634 VMW MTAG" xfId="4016" xr:uid="{00000000-0005-0000-0000-000073100000}"/>
    <cellStyle name="_MARION 8576506 23-09-08_FP10111066_CONCENTRATED QUOTE WLP635" xfId="4017" xr:uid="{00000000-0005-0000-0000-000074100000}"/>
    <cellStyle name="_MARION 8576506 23-09-08_FP10111066_CONCENTRATED QUOTE WLP646" xfId="4018" xr:uid="{00000000-0005-0000-0000-000075100000}"/>
    <cellStyle name="_MARION 8576506 23-09-08_FP10111066_CONCENTRATED QUOTE WLP646 2" xfId="4019" xr:uid="{00000000-0005-0000-0000-000076100000}"/>
    <cellStyle name="_MARION 8576506 23-09-08_FP10111066_CONCENTRATED QUOTE WLP646 3" xfId="4020" xr:uid="{00000000-0005-0000-0000-000077100000}"/>
    <cellStyle name="_MARION 8576506 23-09-08_FP10111066_CONCENTRATED QUOTE WLP646 4" xfId="4021" xr:uid="{00000000-0005-0000-0000-000078100000}"/>
    <cellStyle name="_MARION 8576506 23-09-08_FP10111066_CONCENTRATED QUOTE WLP646 5" xfId="4022" xr:uid="{00000000-0005-0000-0000-000079100000}"/>
    <cellStyle name="_MARION 8576506 23-09-08_FP10111066_Copy of CONCENTRATED QUOTE WLP579" xfId="4023" xr:uid="{00000000-0005-0000-0000-00007A100000}"/>
    <cellStyle name="_MARION 8576506 23-09-08_FP10111066_Copy of CONCENTRATED QUOTE WLP579 2" xfId="4024" xr:uid="{00000000-0005-0000-0000-00007B100000}"/>
    <cellStyle name="_MARION 8576506 23-09-08_FP10111066_Copy of CONCENTRATED QUOTE WLP579 3" xfId="4025" xr:uid="{00000000-0005-0000-0000-00007C100000}"/>
    <cellStyle name="_MARION 8576506 23-09-08_FP10111066_Copy of CONCENTRATED QUOTE WLP579 4" xfId="4026" xr:uid="{00000000-0005-0000-0000-00007D100000}"/>
    <cellStyle name="_MARION 8576506 23-09-08_FP10111066_Dekko HE P3-Classic P1" xfId="4027" xr:uid="{00000000-0005-0000-0000-00007E100000}"/>
    <cellStyle name="_MARION 8576506 23-09-08_FP10111066_Dekko HE P3-Classic P1 2" xfId="4028" xr:uid="{00000000-0005-0000-0000-00007F100000}"/>
    <cellStyle name="_MARION 8576506 23-09-08_FP10111066_Dekko HE P3-Classic P1 3" xfId="4029" xr:uid="{00000000-0005-0000-0000-000080100000}"/>
    <cellStyle name="_MARION 8576506 23-09-08_FP10111066_Dekko HE P3-Classic P1 4" xfId="4030" xr:uid="{00000000-0005-0000-0000-000081100000}"/>
    <cellStyle name="_MARION 8576506 23-09-08_FP10111066_ESTC1CLY0012" xfId="4031" xr:uid="{00000000-0005-0000-0000-000082100000}"/>
    <cellStyle name="_MARION 8576506 23-09-08_FP10111066_ESTC1CLY0012 2" xfId="4032" xr:uid="{00000000-0005-0000-0000-000083100000}"/>
    <cellStyle name="_MARION 8576506 23-09-08_FP10111066_ESTC1CLY0012 3" xfId="4033" xr:uid="{00000000-0005-0000-0000-000084100000}"/>
    <cellStyle name="_MARION 8576506 23-09-08_FP10111066_ESTC1CLY0012 4" xfId="4034" xr:uid="{00000000-0005-0000-0000-000085100000}"/>
    <cellStyle name="_MARION 8576506 23-09-08_FP10111066_ESTC1CLY0013" xfId="4035" xr:uid="{00000000-0005-0000-0000-000086100000}"/>
    <cellStyle name="_MARION 8576506 23-09-08_FP10111066_ESTC1CLY0013 2" xfId="4036" xr:uid="{00000000-0005-0000-0000-000087100000}"/>
    <cellStyle name="_MARION 8576506 23-09-08_FP10111066_ESTC1CLY0013 3" xfId="4037" xr:uid="{00000000-0005-0000-0000-000088100000}"/>
    <cellStyle name="_MARION 8576506 23-09-08_FP10111066_ESTC1CLY0013 4" xfId="4038" xr:uid="{00000000-0005-0000-0000-000089100000}"/>
    <cellStyle name="_MARION 8576506 23-09-08_FP10111066_ESTC1FIN018" xfId="4039" xr:uid="{00000000-0005-0000-0000-00008A100000}"/>
    <cellStyle name="_MARION 8576506 23-09-08_FP10111066_Estimated Quote 050609 039" xfId="4040" xr:uid="{00000000-0005-0000-0000-00008B100000}"/>
    <cellStyle name="_MARION 8576506 23-09-08_FP10111066_Estimated Quote 050609 039 2" xfId="4041" xr:uid="{00000000-0005-0000-0000-00008C100000}"/>
    <cellStyle name="_MARION 8576506 23-09-08_FP10111066_Estimated Quote 050609 039 3" xfId="4042" xr:uid="{00000000-0005-0000-0000-00008D100000}"/>
    <cellStyle name="_MARION 8576506 23-09-08_FP10111066_Estimated Quote 050609 039 4" xfId="4043" xr:uid="{00000000-0005-0000-0000-00008E100000}"/>
    <cellStyle name="_MARION 8576506 23-09-08_FP10111066_Estimated Quote 050609 039 5" xfId="4044" xr:uid="{00000000-0005-0000-0000-00008F100000}"/>
    <cellStyle name="_MARION 8576506 23-09-08_FP10111066_W01278760" xfId="4045" xr:uid="{00000000-0005-0000-0000-000090100000}"/>
    <cellStyle name="_MARION 8576506 23-09-08_FP10111066_W01278760 2" xfId="4046" xr:uid="{00000000-0005-0000-0000-000091100000}"/>
    <cellStyle name="_MARION 8576506 23-09-08_FP10111066_W01278760 3" xfId="4047" xr:uid="{00000000-0005-0000-0000-000092100000}"/>
    <cellStyle name="_MARION 8576506 23-09-08_FP10111066_W01278760 4" xfId="4048" xr:uid="{00000000-0005-0000-0000-000093100000}"/>
    <cellStyle name="_MARION 8576506 23-09-08_FP10111066_W01278760 5" xfId="4049" xr:uid="{00000000-0005-0000-0000-000094100000}"/>
    <cellStyle name="_MARION 8576506 23-09-08_FP10111066_W10251442" xfId="4050" xr:uid="{00000000-0005-0000-0000-000095100000}"/>
    <cellStyle name="_MARION 8576506 23-09-08_FP10111066_W10251443" xfId="4051" xr:uid="{00000000-0005-0000-0000-000096100000}"/>
    <cellStyle name="_MARION 8576506 23-09-08_FP10111066_W10251444" xfId="4052" xr:uid="{00000000-0005-0000-0000-000097100000}"/>
    <cellStyle name="_MARION 8576506 23-09-08_FP10111066_W10251766 D" xfId="4053" xr:uid="{00000000-0005-0000-0000-000098100000}"/>
    <cellStyle name="_MARION 8576506 23-09-08_FP10111066_W10278758" xfId="4054" xr:uid="{00000000-0005-0000-0000-000099100000}"/>
    <cellStyle name="_MARION 8576506 23-09-08_FP10111066_W10278758 2" xfId="4055" xr:uid="{00000000-0005-0000-0000-00009A100000}"/>
    <cellStyle name="_MARION 8576506 23-09-08_FP10111066_W10278758 3" xfId="4056" xr:uid="{00000000-0005-0000-0000-00009B100000}"/>
    <cellStyle name="_MARION 8576506 23-09-08_FP10111066_W10278758 4" xfId="4057" xr:uid="{00000000-0005-0000-0000-00009C100000}"/>
    <cellStyle name="_MARION 8576506 23-09-08_FP10111066_W10278758 5" xfId="4058" xr:uid="{00000000-0005-0000-0000-00009D100000}"/>
    <cellStyle name="_MARION 8576506 23-09-08_FP10111066_W10278759" xfId="4059" xr:uid="{00000000-0005-0000-0000-00009E100000}"/>
    <cellStyle name="_MARION 8576506 23-09-08_FP10111066_W10279106 y W10279107 de MR a 56i" xfId="4060" xr:uid="{00000000-0005-0000-0000-00009F100000}"/>
    <cellStyle name="_MARION 8576506 23-09-08_FP10111066_W10290772" xfId="4061" xr:uid="{00000000-0005-0000-0000-0000A0100000}"/>
    <cellStyle name="_MARION 8576506 23-09-08_FP10111066_W10290772 2" xfId="4062" xr:uid="{00000000-0005-0000-0000-0000A1100000}"/>
    <cellStyle name="_MARION 8576506 23-09-08_FP10111066_W10290772 3" xfId="4063" xr:uid="{00000000-0005-0000-0000-0000A2100000}"/>
    <cellStyle name="_MARION 8576506 23-09-08_FP10111066_W10290772 4" xfId="4064" xr:uid="{00000000-0005-0000-0000-0000A3100000}"/>
    <cellStyle name="_MARION 8576506 23-09-08_FP10111066_W10290772 5" xfId="4065" xr:uid="{00000000-0005-0000-0000-0000A4100000}"/>
    <cellStyle name="_MARION 8576506 23-09-08_FP10111066_W10290774" xfId="4066" xr:uid="{00000000-0005-0000-0000-0000A5100000}"/>
    <cellStyle name="_MARION 8576506 23-09-08_FP10111066_W10290774 2" xfId="4067" xr:uid="{00000000-0005-0000-0000-0000A6100000}"/>
    <cellStyle name="_MARION 8576506 23-09-08_FP10111066_W10290774 3" xfId="4068" xr:uid="{00000000-0005-0000-0000-0000A7100000}"/>
    <cellStyle name="_MARION 8576506 23-09-08_FP10111066_W10290774 4" xfId="4069" xr:uid="{00000000-0005-0000-0000-0000A8100000}"/>
    <cellStyle name="_MARION 8576506 23-09-08_FP10111066_W10290774 5" xfId="4070" xr:uid="{00000000-0005-0000-0000-0000A9100000}"/>
    <cellStyle name="_MARION 8576506 23-09-08_FP10111066_W10300883" xfId="4071" xr:uid="{00000000-0005-0000-0000-0000AA100000}"/>
    <cellStyle name="_MARION 8576506 23-09-08_FP10111066_W10300883 2" xfId="4072" xr:uid="{00000000-0005-0000-0000-0000AB100000}"/>
    <cellStyle name="_MARION 8576506 23-09-08_FP10111066_W10300883 3" xfId="4073" xr:uid="{00000000-0005-0000-0000-0000AC100000}"/>
    <cellStyle name="_MARION 8576506 23-09-08_FP10111066_W10300883 4" xfId="4074" xr:uid="{00000000-0005-0000-0000-0000AD100000}"/>
    <cellStyle name="_MARION 8576506 23-09-08_FP10111066_W10300883 5" xfId="4075" xr:uid="{00000000-0005-0000-0000-0000AE100000}"/>
    <cellStyle name="_MARION 8576506 23-09-08_FP10111066_W10315922 A" xfId="4076" xr:uid="{00000000-0005-0000-0000-0000AF100000}"/>
    <cellStyle name="_MARION 8576506 23-09-08_FP10111066_WPFINDLAY-0037" xfId="4077" xr:uid="{00000000-0005-0000-0000-0000B0100000}"/>
    <cellStyle name="_MARION 8576506 23-09-08_FP10111066_WPN145 3954933" xfId="4078" xr:uid="{00000000-0005-0000-0000-0000B1100000}"/>
    <cellStyle name="_MARION 8576506 23-09-08_FP10111066_WPN145 3954933 2" xfId="4079" xr:uid="{00000000-0005-0000-0000-0000B2100000}"/>
    <cellStyle name="_MARION 8576506 23-09-08_FP10111066_WPN145 3954933 3" xfId="4080" xr:uid="{00000000-0005-0000-0000-0000B3100000}"/>
    <cellStyle name="_MARION 8576506 23-09-08_FP10111066_WPN145 3954933 4" xfId="4081" xr:uid="{00000000-0005-0000-0000-0000B4100000}"/>
    <cellStyle name="_MARION 8576506 23-09-08_FP10111066_WPN145 3954933 5" xfId="4082" xr:uid="{00000000-0005-0000-0000-0000B5100000}"/>
    <cellStyle name="_MARION 8576506 23-09-08_FP10111066_WPN163 8576530" xfId="4083" xr:uid="{00000000-0005-0000-0000-0000B6100000}"/>
    <cellStyle name="_MARION 8576506 23-09-08_FP10111066_WPN163 8576530 2" xfId="4084" xr:uid="{00000000-0005-0000-0000-0000B7100000}"/>
    <cellStyle name="_MARION 8576506 23-09-08_FP10111066_WPN163 8576530 3" xfId="4085" xr:uid="{00000000-0005-0000-0000-0000B8100000}"/>
    <cellStyle name="_MARION 8576506 23-09-08_FP10111066_WPN163 8576530 4" xfId="4086" xr:uid="{00000000-0005-0000-0000-0000B9100000}"/>
    <cellStyle name="_MARION 8576506 23-09-08_FP10111066_xCONCENTRATED QUOTE 2" xfId="4087" xr:uid="{00000000-0005-0000-0000-0000BA100000}"/>
    <cellStyle name="_MARION 8576506 23-09-08_FP10111066_xCONCENTRATED QUOTE 2 2" xfId="4088" xr:uid="{00000000-0005-0000-0000-0000BB100000}"/>
    <cellStyle name="_MARION 8576506 23-09-08_FP10111066_xCONCENTRATED QUOTE 2 3" xfId="4089" xr:uid="{00000000-0005-0000-0000-0000BC100000}"/>
    <cellStyle name="_MARION 8576506 23-09-08_FP10111066_xCONCENTRATED QUOTE 2 4" xfId="4090" xr:uid="{00000000-0005-0000-0000-0000BD100000}"/>
    <cellStyle name="_MARION 8576506 23-09-08_FP10111066_xCONCENTRATED QUOTE 2 5" xfId="4091" xr:uid="{00000000-0005-0000-0000-0000BE100000}"/>
    <cellStyle name="_MARION 8576506 23-09-08_FP10111066_xCONCENTRATED QUOTE 3" xfId="4092" xr:uid="{00000000-0005-0000-0000-0000BF100000}"/>
    <cellStyle name="_MARION 8576506 23-09-08_FP10111066_xCONCENTRATED QUOTE 3 2" xfId="4093" xr:uid="{00000000-0005-0000-0000-0000C0100000}"/>
    <cellStyle name="_MARION 8576506 23-09-08_FP10111066_xCONCENTRATED QUOTE 3 3" xfId="4094" xr:uid="{00000000-0005-0000-0000-0000C1100000}"/>
    <cellStyle name="_MARION 8576506 23-09-08_FP10111066_xCONCENTRATED QUOTE 3 4" xfId="4095" xr:uid="{00000000-0005-0000-0000-0000C2100000}"/>
    <cellStyle name="_MARION 8576506 23-09-08_FP10111066_xCONCENTRATED QUOTE 3 5" xfId="4096" xr:uid="{00000000-0005-0000-0000-0000C3100000}"/>
    <cellStyle name="_MARION 8576506 23-09-08_FP10111066_Xl0000004" xfId="4097" xr:uid="{00000000-0005-0000-0000-0000C4100000}"/>
    <cellStyle name="_MARION 8576506 23-09-08_FP10111066_Xl0000004 2" xfId="4098" xr:uid="{00000000-0005-0000-0000-0000C5100000}"/>
    <cellStyle name="_MARION 8576506 23-09-08_FP10111066_Xl0000004 3" xfId="4099" xr:uid="{00000000-0005-0000-0000-0000C6100000}"/>
    <cellStyle name="_MARION 8576506 23-09-08_FP10111066_Xl0000004 4" xfId="4100" xr:uid="{00000000-0005-0000-0000-0000C7100000}"/>
    <cellStyle name="_MARION 8576506 23-09-08_FP10111066_Xl0000004 5" xfId="4101" xr:uid="{00000000-0005-0000-0000-0000C8100000}"/>
    <cellStyle name="_MARION 8576506 23-09-08_L1568 137097800 0986 A" xfId="4102" xr:uid="{00000000-0005-0000-0000-0000C9100000}"/>
    <cellStyle name="_MARION 8576506 23-09-08_L1568 137097800 0986 A 2" xfId="4103" xr:uid="{00000000-0005-0000-0000-0000CA100000}"/>
    <cellStyle name="_MARION 8576506 23-09-08_L1568 137097800 0986 A 3" xfId="4104" xr:uid="{00000000-0005-0000-0000-0000CB100000}"/>
    <cellStyle name="_MARION 8576506 23-09-08_L1568 137097800 0986 A 4" xfId="4105" xr:uid="{00000000-0005-0000-0000-0000CC100000}"/>
    <cellStyle name="_MARION 8576506 23-09-08_L1568 137097800 0986 A 5" xfId="4106" xr:uid="{00000000-0005-0000-0000-0000CD100000}"/>
    <cellStyle name="_MARION 8576506 23-09-08_Sheet1" xfId="4107" xr:uid="{00000000-0005-0000-0000-0000CE100000}"/>
    <cellStyle name="_MARION 8576506 23-09-08_Sheet1 2" xfId="4108" xr:uid="{00000000-0005-0000-0000-0000CF100000}"/>
    <cellStyle name="_MARION 8576506 23-09-08_Sheet1 3" xfId="24824" xr:uid="{00000000-0005-0000-0000-0000D0100000}"/>
    <cellStyle name="_MARION 8576506 23-09-08_Sheet1_862-CH" xfId="4109" xr:uid="{00000000-0005-0000-0000-0000D1100000}"/>
    <cellStyle name="_MARION 8576506 23-09-08_Sheet1_W10251766 D" xfId="4110" xr:uid="{00000000-0005-0000-0000-0000D2100000}"/>
    <cellStyle name="_MARION 8576506 23-09-08_Sheet1_W10279106 y W10279107 de MR a 56i" xfId="4111" xr:uid="{00000000-0005-0000-0000-0000D3100000}"/>
    <cellStyle name="_MARION 8576506 23-09-08_Sheet1_W10315922 A" xfId="4112" xr:uid="{00000000-0005-0000-0000-0000D4100000}"/>
    <cellStyle name="_MARION 8576506 23-09-08_Sheet1_WPN145 3954933" xfId="4113" xr:uid="{00000000-0005-0000-0000-0000D5100000}"/>
    <cellStyle name="_MARION 8576506 23-09-08_Sheet1_WPN145 3954933 2" xfId="4114" xr:uid="{00000000-0005-0000-0000-0000D6100000}"/>
    <cellStyle name="_MARION 8576506 23-09-08_Sheet1_WPN145 3954933 3" xfId="4115" xr:uid="{00000000-0005-0000-0000-0000D7100000}"/>
    <cellStyle name="_MARION 8576506 23-09-08_Sheet1_WPN145 3954933 4" xfId="4116" xr:uid="{00000000-0005-0000-0000-0000D8100000}"/>
    <cellStyle name="_MARION 8576506 23-09-08_Sheet1_WPN145 3954933 5" xfId="4117" xr:uid="{00000000-0005-0000-0000-0000D9100000}"/>
    <cellStyle name="_MARION 8576506 23-09-08_W10251442" xfId="4118" xr:uid="{00000000-0005-0000-0000-0000DA100000}"/>
    <cellStyle name="_MARION 8576506 23-09-08_W10251443" xfId="4119" xr:uid="{00000000-0005-0000-0000-0000DB100000}"/>
    <cellStyle name="_MARION 8576506 23-09-08_W10251444" xfId="4120" xr:uid="{00000000-0005-0000-0000-0000DC100000}"/>
    <cellStyle name="_MARION 8576506 23-09-08_W10251766 D" xfId="4121" xr:uid="{00000000-0005-0000-0000-0000DD100000}"/>
    <cellStyle name="_MARION 8576506 23-09-08_W10278758" xfId="4122" xr:uid="{00000000-0005-0000-0000-0000DE100000}"/>
    <cellStyle name="_MARION 8576506 23-09-08_W10278759" xfId="4123" xr:uid="{00000000-0005-0000-0000-0000DF100000}"/>
    <cellStyle name="_MARION 8576506 23-09-08_W10279106 y W10279107 de MR a 56i" xfId="4124" xr:uid="{00000000-0005-0000-0000-0000E0100000}"/>
    <cellStyle name="_MARION 8576506 23-09-08_W10315922 A" xfId="4125" xr:uid="{00000000-0005-0000-0000-0000E1100000}"/>
    <cellStyle name="_MARION 8576506 23-09-08_WLP FP Format1" xfId="4126" xr:uid="{00000000-0005-0000-0000-0000E2100000}"/>
    <cellStyle name="_MARION 8576506 23-09-08_WLP FP Format1 2" xfId="4127" xr:uid="{00000000-0005-0000-0000-0000E3100000}"/>
    <cellStyle name="_MARION 8576506 23-09-08_WLP FP Format1 3" xfId="24825" xr:uid="{00000000-0005-0000-0000-0000E4100000}"/>
    <cellStyle name="_MARION 8576506 23-09-08_WLP FP Format1_862-CH" xfId="4128" xr:uid="{00000000-0005-0000-0000-0000E5100000}"/>
    <cellStyle name="_MARION 8576506 23-09-08_WLP FP Format1_CONCENTRATED QUOTE WLP417 Dave approval2" xfId="4129" xr:uid="{00000000-0005-0000-0000-0000E6100000}"/>
    <cellStyle name="_MARION 8576506 23-09-08_WLP FP Format1_CONCENTRATED QUOTE WLP417 Dave approval2 2" xfId="4130" xr:uid="{00000000-0005-0000-0000-0000E7100000}"/>
    <cellStyle name="_MARION 8576506 23-09-08_WLP FP Format1_CONCENTRATED QUOTE WLP417 Dave approval2 3" xfId="4131" xr:uid="{00000000-0005-0000-0000-0000E8100000}"/>
    <cellStyle name="_MARION 8576506 23-09-08_WLP FP Format1_CONCENTRATED QUOTE WLP417 Dave approval2 4" xfId="4132" xr:uid="{00000000-0005-0000-0000-0000E9100000}"/>
    <cellStyle name="_MARION 8576506 23-09-08_WLP FP Format1_CONCENTRATED QUOTE WLP417 Dave approval2_862-CH" xfId="4133" xr:uid="{00000000-0005-0000-0000-0000EA100000}"/>
    <cellStyle name="_MARION 8576506 23-09-08_WLP FP Format1_CONCENTRATED QUOTE WLP417 Dave approval2_W10251766 D" xfId="4134" xr:uid="{00000000-0005-0000-0000-0000EB100000}"/>
    <cellStyle name="_MARION 8576506 23-09-08_WLP FP Format1_CONCENTRATED QUOTE WLP417 Dave approval2_W10279106 y W10279107 de MR a 56i" xfId="4135" xr:uid="{00000000-0005-0000-0000-0000EC100000}"/>
    <cellStyle name="_MARION 8576506 23-09-08_WLP FP Format1_CONCENTRATED QUOTE WLP417 Dave approval2_W10315922 A" xfId="4136" xr:uid="{00000000-0005-0000-0000-0000ED100000}"/>
    <cellStyle name="_MARION 8576506 23-09-08_WLP FP Format1_CONCENTRATED QUOTE WLP417 OP 3" xfId="4137" xr:uid="{00000000-0005-0000-0000-0000EE100000}"/>
    <cellStyle name="_MARION 8576506 23-09-08_WLP FP Format1_CONCENTRATED QUOTE WLP417 OP 3 2" xfId="4138" xr:uid="{00000000-0005-0000-0000-0000EF100000}"/>
    <cellStyle name="_MARION 8576506 23-09-08_WLP FP Format1_CONCENTRATED QUOTE WLP417 OP 3 2 2" xfId="4139" xr:uid="{00000000-0005-0000-0000-0000F0100000}"/>
    <cellStyle name="_MARION 8576506 23-09-08_WLP FP Format1_CONCENTRATED QUOTE WLP417 OP 3 2 3" xfId="4140" xr:uid="{00000000-0005-0000-0000-0000F1100000}"/>
    <cellStyle name="_MARION 8576506 23-09-08_WLP FP Format1_CONCENTRATED QUOTE WLP417 OP 3 2 4" xfId="4141" xr:uid="{00000000-0005-0000-0000-0000F2100000}"/>
    <cellStyle name="_MARION 8576506 23-09-08_WLP FP Format1_CONCENTRATED QUOTE WLP417 OP 3 3" xfId="4142" xr:uid="{00000000-0005-0000-0000-0000F3100000}"/>
    <cellStyle name="_MARION 8576506 23-09-08_WLP FP Format1_CONCENTRATED QUOTE WLP417 OP 3_862-CH" xfId="4143" xr:uid="{00000000-0005-0000-0000-0000F4100000}"/>
    <cellStyle name="_MARION 8576506 23-09-08_WLP FP Format1_CONCENTRATED QUOTE WLP417 OP 3_W10251766 D" xfId="4144" xr:uid="{00000000-0005-0000-0000-0000F5100000}"/>
    <cellStyle name="_MARION 8576506 23-09-08_WLP FP Format1_CONCENTRATED QUOTE WLP417 OP 3_W10279106 y W10279107 de MR a 56i" xfId="4145" xr:uid="{00000000-0005-0000-0000-0000F6100000}"/>
    <cellStyle name="_MARION 8576506 23-09-08_WLP FP Format1_CONCENTRATED QUOTE WLP417 OP 3_W10315922 A" xfId="4146" xr:uid="{00000000-0005-0000-0000-0000F7100000}"/>
    <cellStyle name="_MARION 8576506 23-09-08_WLP FP Format1_CONCENTRATED QUOTE WLP417 OP 4" xfId="4147" xr:uid="{00000000-0005-0000-0000-0000F8100000}"/>
    <cellStyle name="_MARION 8576506 23-09-08_WLP FP Format1_CONCENTRATED QUOTE WLP417 OP 4 2" xfId="4148" xr:uid="{00000000-0005-0000-0000-0000F9100000}"/>
    <cellStyle name="_MARION 8576506 23-09-08_WLP FP Format1_CONCENTRATED QUOTE WLP417 OP 4 2 2" xfId="4149" xr:uid="{00000000-0005-0000-0000-0000FA100000}"/>
    <cellStyle name="_MARION 8576506 23-09-08_WLP FP Format1_CONCENTRATED QUOTE WLP417 OP 4 2 3" xfId="4150" xr:uid="{00000000-0005-0000-0000-0000FB100000}"/>
    <cellStyle name="_MARION 8576506 23-09-08_WLP FP Format1_CONCENTRATED QUOTE WLP417 OP 4 2 4" xfId="4151" xr:uid="{00000000-0005-0000-0000-0000FC100000}"/>
    <cellStyle name="_MARION 8576506 23-09-08_WLP FP Format1_CONCENTRATED QUOTE WLP417 OP 4 3" xfId="4152" xr:uid="{00000000-0005-0000-0000-0000FD100000}"/>
    <cellStyle name="_MARION 8576506 23-09-08_WLP FP Format1_CONCENTRATED QUOTE WLP417 OP 4_862-CH" xfId="4153" xr:uid="{00000000-0005-0000-0000-0000FE100000}"/>
    <cellStyle name="_MARION 8576506 23-09-08_WLP FP Format1_CONCENTRATED QUOTE WLP417 OP 4_W10251766 D" xfId="4154" xr:uid="{00000000-0005-0000-0000-0000FF100000}"/>
    <cellStyle name="_MARION 8576506 23-09-08_WLP FP Format1_CONCENTRATED QUOTE WLP417 OP 4_W10279106 y W10279107 de MR a 56i" xfId="4155" xr:uid="{00000000-0005-0000-0000-000000110000}"/>
    <cellStyle name="_MARION 8576506 23-09-08_WLP FP Format1_CONCENTRATED QUOTE WLP417 OP 4_W10315922 A" xfId="4156" xr:uid="{00000000-0005-0000-0000-000001110000}"/>
    <cellStyle name="_MARION 8576506 23-09-08_WLP FP Format1_CONCENTRATED QUOTE WLP417 OP 5" xfId="4157" xr:uid="{00000000-0005-0000-0000-000002110000}"/>
    <cellStyle name="_MARION 8576506 23-09-08_WLP FP Format1_CONCENTRATED QUOTE WLP417 OP 5 2" xfId="4158" xr:uid="{00000000-0005-0000-0000-000003110000}"/>
    <cellStyle name="_MARION 8576506 23-09-08_WLP FP Format1_CONCENTRATED QUOTE WLP417 OP 5 2 2" xfId="4159" xr:uid="{00000000-0005-0000-0000-000004110000}"/>
    <cellStyle name="_MARION 8576506 23-09-08_WLP FP Format1_CONCENTRATED QUOTE WLP417 OP 5 2 3" xfId="4160" xr:uid="{00000000-0005-0000-0000-000005110000}"/>
    <cellStyle name="_MARION 8576506 23-09-08_WLP FP Format1_CONCENTRATED QUOTE WLP417 OP 5 2 4" xfId="4161" xr:uid="{00000000-0005-0000-0000-000006110000}"/>
    <cellStyle name="_MARION 8576506 23-09-08_WLP FP Format1_CONCENTRATED QUOTE WLP417 OP 5 3" xfId="4162" xr:uid="{00000000-0005-0000-0000-000007110000}"/>
    <cellStyle name="_MARION 8576506 23-09-08_WLP FP Format1_CONCENTRATED QUOTE WLP417 OP 5_862-CH" xfId="4163" xr:uid="{00000000-0005-0000-0000-000008110000}"/>
    <cellStyle name="_MARION 8576506 23-09-08_WLP FP Format1_CONCENTRATED QUOTE WLP417 OP 5_W10251766 D" xfId="4164" xr:uid="{00000000-0005-0000-0000-000009110000}"/>
    <cellStyle name="_MARION 8576506 23-09-08_WLP FP Format1_CONCENTRATED QUOTE WLP417 OP 5_W10279106 y W10279107 de MR a 56i" xfId="4165" xr:uid="{00000000-0005-0000-0000-00000A110000}"/>
    <cellStyle name="_MARION 8576506 23-09-08_WLP FP Format1_CONCENTRATED QUOTE WLP417 OP 5_W10315922 A" xfId="4166" xr:uid="{00000000-0005-0000-0000-00000B110000}"/>
    <cellStyle name="_MARION 8576506 23-09-08_WLP FP Format1_CONCENTRATED QUOTE WLP417 OP 6" xfId="4167" xr:uid="{00000000-0005-0000-0000-00000C110000}"/>
    <cellStyle name="_MARION 8576506 23-09-08_WLP FP Format1_CONCENTRATED QUOTE WLP417 OP 6 2" xfId="4168" xr:uid="{00000000-0005-0000-0000-00000D110000}"/>
    <cellStyle name="_MARION 8576506 23-09-08_WLP FP Format1_CONCENTRATED QUOTE WLP417 OP 6 2 2" xfId="4169" xr:uid="{00000000-0005-0000-0000-00000E110000}"/>
    <cellStyle name="_MARION 8576506 23-09-08_WLP FP Format1_CONCENTRATED QUOTE WLP417 OP 6 2 3" xfId="4170" xr:uid="{00000000-0005-0000-0000-00000F110000}"/>
    <cellStyle name="_MARION 8576506 23-09-08_WLP FP Format1_CONCENTRATED QUOTE WLP417 OP 6 2 4" xfId="4171" xr:uid="{00000000-0005-0000-0000-000010110000}"/>
    <cellStyle name="_MARION 8576506 23-09-08_WLP FP Format1_CONCENTRATED QUOTE WLP417 OP 6 3" xfId="4172" xr:uid="{00000000-0005-0000-0000-000011110000}"/>
    <cellStyle name="_MARION 8576506 23-09-08_WLP FP Format1_CONCENTRATED QUOTE WLP417 OP 6_862-CH" xfId="4173" xr:uid="{00000000-0005-0000-0000-000012110000}"/>
    <cellStyle name="_MARION 8576506 23-09-08_WLP FP Format1_CONCENTRATED QUOTE WLP417 OP 6_W10251766 D" xfId="4174" xr:uid="{00000000-0005-0000-0000-000013110000}"/>
    <cellStyle name="_MARION 8576506 23-09-08_WLP FP Format1_CONCENTRATED QUOTE WLP417 OP 6_W10279106 y W10279107 de MR a 56i" xfId="4175" xr:uid="{00000000-0005-0000-0000-000014110000}"/>
    <cellStyle name="_MARION 8576506 23-09-08_WLP FP Format1_CONCENTRATED QUOTE WLP417 OP 6_W10315922 A" xfId="4176" xr:uid="{00000000-0005-0000-0000-000015110000}"/>
    <cellStyle name="_MARION 8576506 23-09-08_WLP FP Format1_CONCENTRATED QUOTE WLP425 031309" xfId="4177" xr:uid="{00000000-0005-0000-0000-000016110000}"/>
    <cellStyle name="_MARION 8576506 23-09-08_WLP FP Format1_CONCENTRATED QUOTE WLP425 031309 2" xfId="4178" xr:uid="{00000000-0005-0000-0000-000017110000}"/>
    <cellStyle name="_MARION 8576506 23-09-08_WLP FP Format1_CONCENTRATED QUOTE WLP425 031309 3" xfId="4179" xr:uid="{00000000-0005-0000-0000-000018110000}"/>
    <cellStyle name="_MARION 8576506 23-09-08_WLP FP Format1_CONCENTRATED QUOTE WLP425 031309 4" xfId="4180" xr:uid="{00000000-0005-0000-0000-000019110000}"/>
    <cellStyle name="_MARION 8576506 23-09-08_WLP FP Format1_CONCENTRATED QUOTE WLP425 031309_862-CH" xfId="4181" xr:uid="{00000000-0005-0000-0000-00001A110000}"/>
    <cellStyle name="_MARION 8576506 23-09-08_WLP FP Format1_CONCENTRATED QUOTE WLP425 031309_W10251766 D" xfId="4182" xr:uid="{00000000-0005-0000-0000-00001B110000}"/>
    <cellStyle name="_MARION 8576506 23-09-08_WLP FP Format1_CONCENTRATED QUOTE WLP425 031309_W10279106 y W10279107 de MR a 56i" xfId="4183" xr:uid="{00000000-0005-0000-0000-00001C110000}"/>
    <cellStyle name="_MARION 8576506 23-09-08_WLP FP Format1_CONCENTRATED QUOTE WLP425 031309_W10315922 A" xfId="4184" xr:uid="{00000000-0005-0000-0000-00001D110000}"/>
    <cellStyle name="_MARION 8576506 23-09-08_WLP FP Format1_CONCENTRATED QUOTE WLP459" xfId="4185" xr:uid="{00000000-0005-0000-0000-00001E110000}"/>
    <cellStyle name="_MARION 8576506 23-09-08_WLP FP Format1_CONCENTRATED QUOTE WLP459 042209" xfId="4186" xr:uid="{00000000-0005-0000-0000-00001F110000}"/>
    <cellStyle name="_MARION 8576506 23-09-08_WLP FP Format1_CONCENTRATED QUOTE WLP459 042209 2" xfId="4187" xr:uid="{00000000-0005-0000-0000-000020110000}"/>
    <cellStyle name="_MARION 8576506 23-09-08_WLP FP Format1_CONCENTRATED QUOTE WLP459 042209 3" xfId="4188" xr:uid="{00000000-0005-0000-0000-000021110000}"/>
    <cellStyle name="_MARION 8576506 23-09-08_WLP FP Format1_CONCENTRATED QUOTE WLP459 042209 4" xfId="4189" xr:uid="{00000000-0005-0000-0000-000022110000}"/>
    <cellStyle name="_MARION 8576506 23-09-08_WLP FP Format1_CONCENTRATED QUOTE WLP459 042209_862-CH" xfId="4190" xr:uid="{00000000-0005-0000-0000-000023110000}"/>
    <cellStyle name="_MARION 8576506 23-09-08_WLP FP Format1_CONCENTRATED QUOTE WLP459 042209_W10251766 D" xfId="4191" xr:uid="{00000000-0005-0000-0000-000024110000}"/>
    <cellStyle name="_MARION 8576506 23-09-08_WLP FP Format1_CONCENTRATED QUOTE WLP459 042209_W10279106 y W10279107 de MR a 56i" xfId="4192" xr:uid="{00000000-0005-0000-0000-000025110000}"/>
    <cellStyle name="_MARION 8576506 23-09-08_WLP FP Format1_CONCENTRATED QUOTE WLP459 042209_W10315922 A" xfId="4193" xr:uid="{00000000-0005-0000-0000-000026110000}"/>
    <cellStyle name="_MARION 8576506 23-09-08_WLP FP Format1_CONCENTRATED QUOTE WLP459 2" xfId="4194" xr:uid="{00000000-0005-0000-0000-000027110000}"/>
    <cellStyle name="_MARION 8576506 23-09-08_WLP FP Format1_CONCENTRATED QUOTE WLP459 3" xfId="4195" xr:uid="{00000000-0005-0000-0000-000028110000}"/>
    <cellStyle name="_MARION 8576506 23-09-08_WLP FP Format1_CONCENTRATED QUOTE WLP459 4" xfId="4196" xr:uid="{00000000-0005-0000-0000-000029110000}"/>
    <cellStyle name="_MARION 8576506 23-09-08_WLP FP Format1_CONCENTRATED QUOTE WLP459_862-CH" xfId="4197" xr:uid="{00000000-0005-0000-0000-00002A110000}"/>
    <cellStyle name="_MARION 8576506 23-09-08_WLP FP Format1_CONCENTRATED QUOTE WLP459_W10251766 D" xfId="4198" xr:uid="{00000000-0005-0000-0000-00002B110000}"/>
    <cellStyle name="_MARION 8576506 23-09-08_WLP FP Format1_CONCENTRATED QUOTE WLP459_W10279106 y W10279107 de MR a 56i" xfId="4199" xr:uid="{00000000-0005-0000-0000-00002C110000}"/>
    <cellStyle name="_MARION 8576506 23-09-08_WLP FP Format1_CONCENTRATED QUOTE WLP459_W10315922 A" xfId="4200" xr:uid="{00000000-0005-0000-0000-00002D110000}"/>
    <cellStyle name="_MARION 8576506 23-09-08_WLP FP Format1_CONCENTRATED QUOTE WLP463" xfId="4201" xr:uid="{00000000-0005-0000-0000-00002E110000}"/>
    <cellStyle name="_MARION 8576506 23-09-08_WLP FP Format1_CONCENTRATED QUOTE WLP463 2" xfId="4202" xr:uid="{00000000-0005-0000-0000-00002F110000}"/>
    <cellStyle name="_MARION 8576506 23-09-08_WLP FP Format1_CONCENTRATED QUOTE WLP463 3" xfId="4203" xr:uid="{00000000-0005-0000-0000-000030110000}"/>
    <cellStyle name="_MARION 8576506 23-09-08_WLP FP Format1_CONCENTRATED QUOTE WLP463 4" xfId="4204" xr:uid="{00000000-0005-0000-0000-000031110000}"/>
    <cellStyle name="_MARION 8576506 23-09-08_WLP FP Format1_CONCENTRATED QUOTE WLP463 MOLEX" xfId="4205" xr:uid="{00000000-0005-0000-0000-000032110000}"/>
    <cellStyle name="_MARION 8576506 23-09-08_WLP FP Format1_CONCENTRATED QUOTE WLP463 MOLEX 2" xfId="4206" xr:uid="{00000000-0005-0000-0000-000033110000}"/>
    <cellStyle name="_MARION 8576506 23-09-08_WLP FP Format1_CONCENTRATED QUOTE WLP463 MOLEX 3" xfId="4207" xr:uid="{00000000-0005-0000-0000-000034110000}"/>
    <cellStyle name="_MARION 8576506 23-09-08_WLP FP Format1_CONCENTRATED QUOTE WLP463 MOLEX 4" xfId="4208" xr:uid="{00000000-0005-0000-0000-000035110000}"/>
    <cellStyle name="_MARION 8576506 23-09-08_WLP FP Format1_CONCENTRATED QUOTE WLP463 MOLEX 4-28" xfId="4209" xr:uid="{00000000-0005-0000-0000-000036110000}"/>
    <cellStyle name="_MARION 8576506 23-09-08_WLP FP Format1_CONCENTRATED QUOTE WLP463 MOLEX 4-28 (2)" xfId="4210" xr:uid="{00000000-0005-0000-0000-000037110000}"/>
    <cellStyle name="_MARION 8576506 23-09-08_WLP FP Format1_CONCENTRATED QUOTE WLP463 MOLEX 4-28 (2) 2" xfId="4211" xr:uid="{00000000-0005-0000-0000-000038110000}"/>
    <cellStyle name="_MARION 8576506 23-09-08_WLP FP Format1_CONCENTRATED QUOTE WLP463 MOLEX 4-28 (2) 2 2" xfId="4212" xr:uid="{00000000-0005-0000-0000-000039110000}"/>
    <cellStyle name="_MARION 8576506 23-09-08_WLP FP Format1_CONCENTRATED QUOTE WLP463 MOLEX 4-28 (2) 2 3" xfId="4213" xr:uid="{00000000-0005-0000-0000-00003A110000}"/>
    <cellStyle name="_MARION 8576506 23-09-08_WLP FP Format1_CONCENTRATED QUOTE WLP463 MOLEX 4-28 (2) 2 4" xfId="4214" xr:uid="{00000000-0005-0000-0000-00003B110000}"/>
    <cellStyle name="_MARION 8576506 23-09-08_WLP FP Format1_CONCENTRATED QUOTE WLP463 MOLEX 4-28 (2) 3" xfId="4215" xr:uid="{00000000-0005-0000-0000-00003C110000}"/>
    <cellStyle name="_MARION 8576506 23-09-08_WLP FP Format1_CONCENTRATED QUOTE WLP463 MOLEX 4-28 (2)_862-CH" xfId="4216" xr:uid="{00000000-0005-0000-0000-00003D110000}"/>
    <cellStyle name="_MARION 8576506 23-09-08_WLP FP Format1_CONCENTRATED QUOTE WLP463 MOLEX 4-28 (2)_W10251766 D" xfId="4217" xr:uid="{00000000-0005-0000-0000-00003E110000}"/>
    <cellStyle name="_MARION 8576506 23-09-08_WLP FP Format1_CONCENTRATED QUOTE WLP463 MOLEX 4-28 (2)_W10279106 y W10279107 de MR a 56i" xfId="4218" xr:uid="{00000000-0005-0000-0000-00003F110000}"/>
    <cellStyle name="_MARION 8576506 23-09-08_WLP FP Format1_CONCENTRATED QUOTE WLP463 MOLEX 4-28 (2)_W10315922 A" xfId="4219" xr:uid="{00000000-0005-0000-0000-000040110000}"/>
    <cellStyle name="_MARION 8576506 23-09-08_WLP FP Format1_CONCENTRATED QUOTE WLP463 MOLEX 4-28 10" xfId="4220" xr:uid="{00000000-0005-0000-0000-000041110000}"/>
    <cellStyle name="_MARION 8576506 23-09-08_WLP FP Format1_CONCENTRATED QUOTE WLP463 MOLEX 4-28 11" xfId="4221" xr:uid="{00000000-0005-0000-0000-000042110000}"/>
    <cellStyle name="_MARION 8576506 23-09-08_WLP FP Format1_CONCENTRATED QUOTE WLP463 MOLEX 4-28 12" xfId="4222" xr:uid="{00000000-0005-0000-0000-000043110000}"/>
    <cellStyle name="_MARION 8576506 23-09-08_WLP FP Format1_CONCENTRATED QUOTE WLP463 MOLEX 4-28 13" xfId="4223" xr:uid="{00000000-0005-0000-0000-000044110000}"/>
    <cellStyle name="_MARION 8576506 23-09-08_WLP FP Format1_CONCENTRATED QUOTE WLP463 MOLEX 4-28 2" xfId="4224" xr:uid="{00000000-0005-0000-0000-000045110000}"/>
    <cellStyle name="_MARION 8576506 23-09-08_WLP FP Format1_CONCENTRATED QUOTE WLP463 MOLEX 4-28 2 2" xfId="4225" xr:uid="{00000000-0005-0000-0000-000046110000}"/>
    <cellStyle name="_MARION 8576506 23-09-08_WLP FP Format1_CONCENTRATED QUOTE WLP463 MOLEX 4-28 2 3" xfId="4226" xr:uid="{00000000-0005-0000-0000-000047110000}"/>
    <cellStyle name="_MARION 8576506 23-09-08_WLP FP Format1_CONCENTRATED QUOTE WLP463 MOLEX 4-28 2 4" xfId="4227" xr:uid="{00000000-0005-0000-0000-000048110000}"/>
    <cellStyle name="_MARION 8576506 23-09-08_WLP FP Format1_CONCENTRATED QUOTE WLP463 MOLEX 4-28 3" xfId="4228" xr:uid="{00000000-0005-0000-0000-000049110000}"/>
    <cellStyle name="_MARION 8576506 23-09-08_WLP FP Format1_CONCENTRATED QUOTE WLP463 MOLEX 4-28 4" xfId="4229" xr:uid="{00000000-0005-0000-0000-00004A110000}"/>
    <cellStyle name="_MARION 8576506 23-09-08_WLP FP Format1_CONCENTRATED QUOTE WLP463 MOLEX 4-28 5" xfId="4230" xr:uid="{00000000-0005-0000-0000-00004B110000}"/>
    <cellStyle name="_MARION 8576506 23-09-08_WLP FP Format1_CONCENTRATED QUOTE WLP463 MOLEX 4-28 6" xfId="4231" xr:uid="{00000000-0005-0000-0000-00004C110000}"/>
    <cellStyle name="_MARION 8576506 23-09-08_WLP FP Format1_CONCENTRATED QUOTE WLP463 MOLEX 4-28 7" xfId="4232" xr:uid="{00000000-0005-0000-0000-00004D110000}"/>
    <cellStyle name="_MARION 8576506 23-09-08_WLP FP Format1_CONCENTRATED QUOTE WLP463 MOLEX 4-28 8" xfId="4233" xr:uid="{00000000-0005-0000-0000-00004E110000}"/>
    <cellStyle name="_MARION 8576506 23-09-08_WLP FP Format1_CONCENTRATED QUOTE WLP463 MOLEX 4-28 9" xfId="4234" xr:uid="{00000000-0005-0000-0000-00004F110000}"/>
    <cellStyle name="_MARION 8576506 23-09-08_WLP FP Format1_CONCENTRATED QUOTE WLP463 MOLEX 4-28_862-CH" xfId="4235" xr:uid="{00000000-0005-0000-0000-000050110000}"/>
    <cellStyle name="_MARION 8576506 23-09-08_WLP FP Format1_CONCENTRATED QUOTE WLP463 MOLEX 4-28_W10251766 D" xfId="4236" xr:uid="{00000000-0005-0000-0000-000051110000}"/>
    <cellStyle name="_MARION 8576506 23-09-08_WLP FP Format1_CONCENTRATED QUOTE WLP463 MOLEX 4-28_W10279106 y W10279107 de MR a 56i" xfId="4237" xr:uid="{00000000-0005-0000-0000-000052110000}"/>
    <cellStyle name="_MARION 8576506 23-09-08_WLP FP Format1_CONCENTRATED QUOTE WLP463 MOLEX 4-28_W10315922 A" xfId="4238" xr:uid="{00000000-0005-0000-0000-000053110000}"/>
    <cellStyle name="_MARION 8576506 23-09-08_WLP FP Format1_CONCENTRATED QUOTE WLP463 MOLEX_862-CH" xfId="4239" xr:uid="{00000000-0005-0000-0000-000054110000}"/>
    <cellStyle name="_MARION 8576506 23-09-08_WLP FP Format1_CONCENTRATED QUOTE WLP463 MOLEX_W10251766 D" xfId="4240" xr:uid="{00000000-0005-0000-0000-000055110000}"/>
    <cellStyle name="_MARION 8576506 23-09-08_WLP FP Format1_CONCENTRATED QUOTE WLP463 MOLEX_W10279106 y W10279107 de MR a 56i" xfId="4241" xr:uid="{00000000-0005-0000-0000-000056110000}"/>
    <cellStyle name="_MARION 8576506 23-09-08_WLP FP Format1_CONCENTRATED QUOTE WLP463 MOLEX_W10315922 A" xfId="4242" xr:uid="{00000000-0005-0000-0000-000057110000}"/>
    <cellStyle name="_MARION 8576506 23-09-08_WLP FP Format1_CONCENTRATED QUOTE WLP463 TYCO1" xfId="4243" xr:uid="{00000000-0005-0000-0000-000058110000}"/>
    <cellStyle name="_MARION 8576506 23-09-08_WLP FP Format1_CONCENTRATED QUOTE WLP463 TYCO1 2" xfId="4244" xr:uid="{00000000-0005-0000-0000-000059110000}"/>
    <cellStyle name="_MARION 8576506 23-09-08_WLP FP Format1_CONCENTRATED QUOTE WLP463 TYCO1 3" xfId="4245" xr:uid="{00000000-0005-0000-0000-00005A110000}"/>
    <cellStyle name="_MARION 8576506 23-09-08_WLP FP Format1_CONCENTRATED QUOTE WLP463 TYCO1 4" xfId="4246" xr:uid="{00000000-0005-0000-0000-00005B110000}"/>
    <cellStyle name="_MARION 8576506 23-09-08_WLP FP Format1_CONCENTRATED QUOTE WLP463 TYCO1_862-CH" xfId="4247" xr:uid="{00000000-0005-0000-0000-00005C110000}"/>
    <cellStyle name="_MARION 8576506 23-09-08_WLP FP Format1_CONCENTRATED QUOTE WLP463 TYCO1_W10251766 D" xfId="4248" xr:uid="{00000000-0005-0000-0000-00005D110000}"/>
    <cellStyle name="_MARION 8576506 23-09-08_WLP FP Format1_CONCENTRATED QUOTE WLP463 TYCO1_W10279106 y W10279107 de MR a 56i" xfId="4249" xr:uid="{00000000-0005-0000-0000-00005E110000}"/>
    <cellStyle name="_MARION 8576506 23-09-08_WLP FP Format1_CONCENTRATED QUOTE WLP463 TYCO1_W10315922 A" xfId="4250" xr:uid="{00000000-0005-0000-0000-00005F110000}"/>
    <cellStyle name="_MARION 8576506 23-09-08_WLP FP Format1_CONCENTRATED QUOTE WLP463 TYCO3" xfId="4251" xr:uid="{00000000-0005-0000-0000-000060110000}"/>
    <cellStyle name="_MARION 8576506 23-09-08_WLP FP Format1_CONCENTRATED QUOTE WLP463 TYCO3 2" xfId="4252" xr:uid="{00000000-0005-0000-0000-000061110000}"/>
    <cellStyle name="_MARION 8576506 23-09-08_WLP FP Format1_CONCENTRATED QUOTE WLP463 TYCO3 3" xfId="4253" xr:uid="{00000000-0005-0000-0000-000062110000}"/>
    <cellStyle name="_MARION 8576506 23-09-08_WLP FP Format1_CONCENTRATED QUOTE WLP463 TYCO3 4" xfId="4254" xr:uid="{00000000-0005-0000-0000-000063110000}"/>
    <cellStyle name="_MARION 8576506 23-09-08_WLP FP Format1_CONCENTRATED QUOTE WLP463 TYCO3_862-CH" xfId="4255" xr:uid="{00000000-0005-0000-0000-000064110000}"/>
    <cellStyle name="_MARION 8576506 23-09-08_WLP FP Format1_CONCENTRATED QUOTE WLP463 TYCO3_W10251766 D" xfId="4256" xr:uid="{00000000-0005-0000-0000-000065110000}"/>
    <cellStyle name="_MARION 8576506 23-09-08_WLP FP Format1_CONCENTRATED QUOTE WLP463 TYCO3_W10279106 y W10279107 de MR a 56i" xfId="4257" xr:uid="{00000000-0005-0000-0000-000066110000}"/>
    <cellStyle name="_MARION 8576506 23-09-08_WLP FP Format1_CONCENTRATED QUOTE WLP463 TYCO3_W10315922 A" xfId="4258" xr:uid="{00000000-0005-0000-0000-000067110000}"/>
    <cellStyle name="_MARION 8576506 23-09-08_WLP FP Format1_CONCENTRATED QUOTE WLP463_862-CH" xfId="4259" xr:uid="{00000000-0005-0000-0000-000068110000}"/>
    <cellStyle name="_MARION 8576506 23-09-08_WLP FP Format1_CONCENTRATED QUOTE WLP463_W10251766 D" xfId="4260" xr:uid="{00000000-0005-0000-0000-000069110000}"/>
    <cellStyle name="_MARION 8576506 23-09-08_WLP FP Format1_CONCENTRATED QUOTE WLP463_W10279106 y W10279107 de MR a 56i" xfId="4261" xr:uid="{00000000-0005-0000-0000-00006A110000}"/>
    <cellStyle name="_MARION 8576506 23-09-08_WLP FP Format1_CONCENTRATED QUOTE WLP463_W10315922 A" xfId="4262" xr:uid="{00000000-0005-0000-0000-00006B110000}"/>
    <cellStyle name="_MARION 8576506 23-09-08_WLP FP Format1_CONCENTRATED QUOTE WLP470 050709" xfId="4263" xr:uid="{00000000-0005-0000-0000-00006C110000}"/>
    <cellStyle name="_MARION 8576506 23-09-08_WLP FP Format1_CONCENTRATED QUOTE WLP470 050709 2" xfId="4264" xr:uid="{00000000-0005-0000-0000-00006D110000}"/>
    <cellStyle name="_MARION 8576506 23-09-08_WLP FP Format1_CONCENTRATED QUOTE WLP470 050709 3" xfId="4265" xr:uid="{00000000-0005-0000-0000-00006E110000}"/>
    <cellStyle name="_MARION 8576506 23-09-08_WLP FP Format1_CONCENTRATED QUOTE WLP470 050709 4" xfId="4266" xr:uid="{00000000-0005-0000-0000-00006F110000}"/>
    <cellStyle name="_MARION 8576506 23-09-08_WLP FP Format1_CONCENTRATED QUOTE WLP481" xfId="4267" xr:uid="{00000000-0005-0000-0000-000070110000}"/>
    <cellStyle name="_MARION 8576506 23-09-08_WLP FP Format1_CONCENTRATED QUOTE WLP481 2" xfId="4268" xr:uid="{00000000-0005-0000-0000-000071110000}"/>
    <cellStyle name="_MARION 8576506 23-09-08_WLP FP Format1_CONCENTRATED QUOTE WLP481 3" xfId="4269" xr:uid="{00000000-0005-0000-0000-000072110000}"/>
    <cellStyle name="_MARION 8576506 23-09-08_WLP FP Format1_CONCENTRATED QUOTE WLP481 4" xfId="4270" xr:uid="{00000000-0005-0000-0000-000073110000}"/>
    <cellStyle name="_MARION 8576506 23-09-08_WLP FP Format1_CONCENTRATED QUOTE WLP481_862-CH" xfId="4271" xr:uid="{00000000-0005-0000-0000-000074110000}"/>
    <cellStyle name="_MARION 8576506 23-09-08_WLP FP Format1_CONCENTRATED QUOTE WLP481_W10251766 D" xfId="4272" xr:uid="{00000000-0005-0000-0000-000075110000}"/>
    <cellStyle name="_MARION 8576506 23-09-08_WLP FP Format1_CONCENTRATED QUOTE WLP481_W10279106 y W10279107 de MR a 56i" xfId="4273" xr:uid="{00000000-0005-0000-0000-000076110000}"/>
    <cellStyle name="_MARION 8576506 23-09-08_WLP FP Format1_CONCENTRATED QUOTE WLP481_W10315922 A" xfId="4274" xr:uid="{00000000-0005-0000-0000-000077110000}"/>
    <cellStyle name="_MARION 8576506 23-09-08_WLP FP Format1_CONCENTRATED QUOTE WLP485" xfId="4275" xr:uid="{00000000-0005-0000-0000-000078110000}"/>
    <cellStyle name="_MARION 8576506 23-09-08_WLP FP Format1_CONCENTRATED QUOTE WLP485 2" xfId="4276" xr:uid="{00000000-0005-0000-0000-000079110000}"/>
    <cellStyle name="_MARION 8576506 23-09-08_WLP FP Format1_CONCENTRATED QUOTE WLP485 3" xfId="4277" xr:uid="{00000000-0005-0000-0000-00007A110000}"/>
    <cellStyle name="_MARION 8576506 23-09-08_WLP FP Format1_CONCENTRATED QUOTE WLP485 4" xfId="4278" xr:uid="{00000000-0005-0000-0000-00007B110000}"/>
    <cellStyle name="_MARION 8576506 23-09-08_WLP FP Format1_CONCENTRATED QUOTE WLP487" xfId="4279" xr:uid="{00000000-0005-0000-0000-00007C110000}"/>
    <cellStyle name="_MARION 8576506 23-09-08_WLP FP Format1_CONCENTRATED QUOTE WLP487 060209" xfId="4280" xr:uid="{00000000-0005-0000-0000-00007D110000}"/>
    <cellStyle name="_MARION 8576506 23-09-08_WLP FP Format1_CONCENTRATED QUOTE WLP487 060209 2" xfId="4281" xr:uid="{00000000-0005-0000-0000-00007E110000}"/>
    <cellStyle name="_MARION 8576506 23-09-08_WLP FP Format1_CONCENTRATED QUOTE WLP487 060209 3" xfId="4282" xr:uid="{00000000-0005-0000-0000-00007F110000}"/>
    <cellStyle name="_MARION 8576506 23-09-08_WLP FP Format1_CONCENTRATED QUOTE WLP487 060209 4" xfId="4283" xr:uid="{00000000-0005-0000-0000-000080110000}"/>
    <cellStyle name="_MARION 8576506 23-09-08_WLP FP Format1_CONCENTRATED QUOTE WLP487 2" xfId="4284" xr:uid="{00000000-0005-0000-0000-000081110000}"/>
    <cellStyle name="_MARION 8576506 23-09-08_WLP FP Format1_CONCENTRATED QUOTE WLP487 3" xfId="4285" xr:uid="{00000000-0005-0000-0000-000082110000}"/>
    <cellStyle name="_MARION 8576506 23-09-08_WLP FP Format1_CONCENTRATED QUOTE WLP487 4" xfId="4286" xr:uid="{00000000-0005-0000-0000-000083110000}"/>
    <cellStyle name="_MARION 8576506 23-09-08_WLP FP Format1_CONCENTRATED QUOTE WLP495" xfId="4287" xr:uid="{00000000-0005-0000-0000-000084110000}"/>
    <cellStyle name="_MARION 8576506 23-09-08_WLP FP Format1_CONCENTRATED QUOTE WLP495 2" xfId="4288" xr:uid="{00000000-0005-0000-0000-000085110000}"/>
    <cellStyle name="_MARION 8576506 23-09-08_WLP FP Format1_CONCENTRATED QUOTE WLP495 3" xfId="4289" xr:uid="{00000000-0005-0000-0000-000086110000}"/>
    <cellStyle name="_MARION 8576506 23-09-08_WLP FP Format1_CONCENTRATED QUOTE WLP495 4" xfId="4290" xr:uid="{00000000-0005-0000-0000-000087110000}"/>
    <cellStyle name="_MARION 8576506 23-09-08_WLP FP Format1_CONCENTRATED QUOTE WLP552" xfId="4291" xr:uid="{00000000-0005-0000-0000-000088110000}"/>
    <cellStyle name="_MARION 8576506 23-09-08_WLP FP Format1_CONCENTRATED QUOTE WLP552 2" xfId="4292" xr:uid="{00000000-0005-0000-0000-000089110000}"/>
    <cellStyle name="_MARION 8576506 23-09-08_WLP FP Format1_CONCENTRATED QUOTE WLP552 3" xfId="4293" xr:uid="{00000000-0005-0000-0000-00008A110000}"/>
    <cellStyle name="_MARION 8576506 23-09-08_WLP FP Format1_CONCENTRATED QUOTE WLP552 4" xfId="4294" xr:uid="{00000000-0005-0000-0000-00008B110000}"/>
    <cellStyle name="_MARION 8576506 23-09-08_WLP FP Format1_COST BKDN FOR REVIEW_W10252578_submitted 4_30_09 to Hector" xfId="4295" xr:uid="{00000000-0005-0000-0000-00008C110000}"/>
    <cellStyle name="_MARION 8576506 23-09-08_WLP FP Format1_COST BKDN FOR REVIEW_W10252578_submitted 4_30_09 to Hector 2" xfId="4296" xr:uid="{00000000-0005-0000-0000-00008D110000}"/>
    <cellStyle name="_MARION 8576506 23-09-08_WLP FP Format1_COST BKDN FOR REVIEW_W10252578_submitted 4_30_09 to Hector 2 2" xfId="4297" xr:uid="{00000000-0005-0000-0000-00008E110000}"/>
    <cellStyle name="_MARION 8576506 23-09-08_WLP FP Format1_COST BKDN FOR REVIEW_W10252578_submitted 4_30_09 to Hector 2 3" xfId="4298" xr:uid="{00000000-0005-0000-0000-00008F110000}"/>
    <cellStyle name="_MARION 8576506 23-09-08_WLP FP Format1_COST BKDN FOR REVIEW_W10252578_submitted 4_30_09 to Hector 2 4" xfId="4299" xr:uid="{00000000-0005-0000-0000-000090110000}"/>
    <cellStyle name="_MARION 8576506 23-09-08_WLP FP Format1_COST BKDN FOR REVIEW_W10252578_submitted 4_30_09 to Hector 3" xfId="4300" xr:uid="{00000000-0005-0000-0000-000091110000}"/>
    <cellStyle name="_MARION 8576506 23-09-08_WLP FP Format1_COST BKDN FOR REVIEW_W10252578_submitted 4_30_09 to Hector_862-CH" xfId="4301" xr:uid="{00000000-0005-0000-0000-000092110000}"/>
    <cellStyle name="_MARION 8576506 23-09-08_WLP FP Format1_COST BKDN FOR REVIEW_W10252578_submitted 4_30_09 to Hector_W10251766 D" xfId="4302" xr:uid="{00000000-0005-0000-0000-000093110000}"/>
    <cellStyle name="_MARION 8576506 23-09-08_WLP FP Format1_COST BKDN FOR REVIEW_W10252578_submitted 4_30_09 to Hector_W10279106 y W10279107 de MR a 56i" xfId="4303" xr:uid="{00000000-0005-0000-0000-000094110000}"/>
    <cellStyle name="_MARION 8576506 23-09-08_WLP FP Format1_COST BKDN FOR REVIEW_W10252578_submitted 4_30_09 to Hector_W10315922 A" xfId="4304" xr:uid="{00000000-0005-0000-0000-000095110000}"/>
    <cellStyle name="_MARION 8576506 23-09-08_WLP FP Format1_DEPRECIATION_OH RAST" xfId="4305" xr:uid="{00000000-0005-0000-0000-000096110000}"/>
    <cellStyle name="_MARION 8576506 23-09-08_WLP FP Format1_DEPRECIATION_OH RAST 2" xfId="4306" xr:uid="{00000000-0005-0000-0000-000097110000}"/>
    <cellStyle name="_MARION 8576506 23-09-08_WLP FP Format1_DEPRECIATION_OH RAST 2 2" xfId="4307" xr:uid="{00000000-0005-0000-0000-000098110000}"/>
    <cellStyle name="_MARION 8576506 23-09-08_WLP FP Format1_DEPRECIATION_OH RAST 2 3" xfId="4308" xr:uid="{00000000-0005-0000-0000-000099110000}"/>
    <cellStyle name="_MARION 8576506 23-09-08_WLP FP Format1_DEPRECIATION_OH RAST 2 4" xfId="4309" xr:uid="{00000000-0005-0000-0000-00009A110000}"/>
    <cellStyle name="_MARION 8576506 23-09-08_WLP FP Format1_DEPRECIATION_OH RAST 3" xfId="4310" xr:uid="{00000000-0005-0000-0000-00009B110000}"/>
    <cellStyle name="_MARION 8576506 23-09-08_WLP FP Format1_DEPRECIATION_OH RAST_862-CH" xfId="4311" xr:uid="{00000000-0005-0000-0000-00009C110000}"/>
    <cellStyle name="_MARION 8576506 23-09-08_WLP FP Format1_DEPRECIATION_OH RAST_W10251766 D" xfId="4312" xr:uid="{00000000-0005-0000-0000-00009D110000}"/>
    <cellStyle name="_MARION 8576506 23-09-08_WLP FP Format1_DEPRECIATION_OH RAST_W10279106 y W10279107 de MR a 56i" xfId="4313" xr:uid="{00000000-0005-0000-0000-00009E110000}"/>
    <cellStyle name="_MARION 8576506 23-09-08_WLP FP Format1_DEPRECIATION_OH RAST_W10315922 A" xfId="4314" xr:uid="{00000000-0005-0000-0000-00009F110000}"/>
    <cellStyle name="_MARION 8576506 23-09-08_WLP FP Format1_Op 1 VMW Base Line Molex" xfId="4315" xr:uid="{00000000-0005-0000-0000-0000A0110000}"/>
    <cellStyle name="_MARION 8576506 23-09-08_WLP FP Format1_Op 1 VMW Base Line Molex 2" xfId="4316" xr:uid="{00000000-0005-0000-0000-0000A1110000}"/>
    <cellStyle name="_MARION 8576506 23-09-08_WLP FP Format1_Op 1 VMW Base Line Molex 2 2" xfId="4317" xr:uid="{00000000-0005-0000-0000-0000A2110000}"/>
    <cellStyle name="_MARION 8576506 23-09-08_WLP FP Format1_Op 1 VMW Base Line Molex 2 3" xfId="4318" xr:uid="{00000000-0005-0000-0000-0000A3110000}"/>
    <cellStyle name="_MARION 8576506 23-09-08_WLP FP Format1_Op 1 VMW Base Line Molex 2 4" xfId="4319" xr:uid="{00000000-0005-0000-0000-0000A4110000}"/>
    <cellStyle name="_MARION 8576506 23-09-08_WLP FP Format1_Op 1 VMW Base Line Molex 3" xfId="4320" xr:uid="{00000000-0005-0000-0000-0000A5110000}"/>
    <cellStyle name="_MARION 8576506 23-09-08_WLP FP Format1_Op 1 VMW Base Line Molex_862-CH" xfId="4321" xr:uid="{00000000-0005-0000-0000-0000A6110000}"/>
    <cellStyle name="_MARION 8576506 23-09-08_WLP FP Format1_Op 1 VMW Base Line Molex_W10251766 D" xfId="4322" xr:uid="{00000000-0005-0000-0000-0000A7110000}"/>
    <cellStyle name="_MARION 8576506 23-09-08_WLP FP Format1_Op 1 VMW Base Line Molex_W10279106 y W10279107 de MR a 56i" xfId="4323" xr:uid="{00000000-0005-0000-0000-0000A8110000}"/>
    <cellStyle name="_MARION 8576506 23-09-08_WLP FP Format1_Op 1 VMW Base Line Molex_W10315922 A" xfId="4324" xr:uid="{00000000-0005-0000-0000-0000A9110000}"/>
    <cellStyle name="_MARION 8576506 23-09-08_WLP FP Format1_Op 8 VMW TYCO Splice Option" xfId="4325" xr:uid="{00000000-0005-0000-0000-0000AA110000}"/>
    <cellStyle name="_MARION 8576506 23-09-08_WLP FP Format1_Op 8 VMW TYCO Splice Option - Per Conference 3-27-2009" xfId="4326" xr:uid="{00000000-0005-0000-0000-0000AB110000}"/>
    <cellStyle name="_MARION 8576506 23-09-08_WLP FP Format1_Op 8 VMW TYCO Splice Option - Per Conference 3-27-2009 2" xfId="4327" xr:uid="{00000000-0005-0000-0000-0000AC110000}"/>
    <cellStyle name="_MARION 8576506 23-09-08_WLP FP Format1_Op 8 VMW TYCO Splice Option - Per Conference 3-27-2009 2 2" xfId="4328" xr:uid="{00000000-0005-0000-0000-0000AD110000}"/>
    <cellStyle name="_MARION 8576506 23-09-08_WLP FP Format1_Op 8 VMW TYCO Splice Option - Per Conference 3-27-2009 2 3" xfId="4329" xr:uid="{00000000-0005-0000-0000-0000AE110000}"/>
    <cellStyle name="_MARION 8576506 23-09-08_WLP FP Format1_Op 8 VMW TYCO Splice Option - Per Conference 3-27-2009 2 4" xfId="4330" xr:uid="{00000000-0005-0000-0000-0000AF110000}"/>
    <cellStyle name="_MARION 8576506 23-09-08_WLP FP Format1_Op 8 VMW TYCO Splice Option - Per Conference 3-27-2009 3" xfId="4331" xr:uid="{00000000-0005-0000-0000-0000B0110000}"/>
    <cellStyle name="_MARION 8576506 23-09-08_WLP FP Format1_Op 8 VMW TYCO Splice Option - Per Conference 3-27-2009_862-CH" xfId="4332" xr:uid="{00000000-0005-0000-0000-0000B1110000}"/>
    <cellStyle name="_MARION 8576506 23-09-08_WLP FP Format1_Op 8 VMW TYCO Splice Option - Per Conference 3-27-2009_W10251766 D" xfId="4333" xr:uid="{00000000-0005-0000-0000-0000B2110000}"/>
    <cellStyle name="_MARION 8576506 23-09-08_WLP FP Format1_Op 8 VMW TYCO Splice Option - Per Conference 3-27-2009_W10279106 y W10279107 de MR a 56i" xfId="4334" xr:uid="{00000000-0005-0000-0000-0000B3110000}"/>
    <cellStyle name="_MARION 8576506 23-09-08_WLP FP Format1_Op 8 VMW TYCO Splice Option - Per Conference 3-27-2009_W10315922 A" xfId="4335" xr:uid="{00000000-0005-0000-0000-0000B4110000}"/>
    <cellStyle name="_MARION 8576506 23-09-08_WLP FP Format1_Op 8 VMW TYCO Splice Option 10" xfId="4336" xr:uid="{00000000-0005-0000-0000-0000B5110000}"/>
    <cellStyle name="_MARION 8576506 23-09-08_WLP FP Format1_Op 8 VMW TYCO Splice Option 11" xfId="4337" xr:uid="{00000000-0005-0000-0000-0000B6110000}"/>
    <cellStyle name="_MARION 8576506 23-09-08_WLP FP Format1_Op 8 VMW TYCO Splice Option 12" xfId="4338" xr:uid="{00000000-0005-0000-0000-0000B7110000}"/>
    <cellStyle name="_MARION 8576506 23-09-08_WLP FP Format1_Op 8 VMW TYCO Splice Option 13" xfId="4339" xr:uid="{00000000-0005-0000-0000-0000B8110000}"/>
    <cellStyle name="_MARION 8576506 23-09-08_WLP FP Format1_Op 8 VMW TYCO Splice Option 2" xfId="4340" xr:uid="{00000000-0005-0000-0000-0000B9110000}"/>
    <cellStyle name="_MARION 8576506 23-09-08_WLP FP Format1_Op 8 VMW TYCO Splice Option 2 2" xfId="4341" xr:uid="{00000000-0005-0000-0000-0000BA110000}"/>
    <cellStyle name="_MARION 8576506 23-09-08_WLP FP Format1_Op 8 VMW TYCO Splice Option 2 3" xfId="4342" xr:uid="{00000000-0005-0000-0000-0000BB110000}"/>
    <cellStyle name="_MARION 8576506 23-09-08_WLP FP Format1_Op 8 VMW TYCO Splice Option 2 4" xfId="4343" xr:uid="{00000000-0005-0000-0000-0000BC110000}"/>
    <cellStyle name="_MARION 8576506 23-09-08_WLP FP Format1_Op 8 VMW TYCO Splice Option 3" xfId="4344" xr:uid="{00000000-0005-0000-0000-0000BD110000}"/>
    <cellStyle name="_MARION 8576506 23-09-08_WLP FP Format1_Op 8 VMW TYCO Splice Option 4" xfId="4345" xr:uid="{00000000-0005-0000-0000-0000BE110000}"/>
    <cellStyle name="_MARION 8576506 23-09-08_WLP FP Format1_Op 8 VMW TYCO Splice Option 5" xfId="4346" xr:uid="{00000000-0005-0000-0000-0000BF110000}"/>
    <cellStyle name="_MARION 8576506 23-09-08_WLP FP Format1_Op 8 VMW TYCO Splice Option 6" xfId="4347" xr:uid="{00000000-0005-0000-0000-0000C0110000}"/>
    <cellStyle name="_MARION 8576506 23-09-08_WLP FP Format1_Op 8 VMW TYCO Splice Option 7" xfId="4348" xr:uid="{00000000-0005-0000-0000-0000C1110000}"/>
    <cellStyle name="_MARION 8576506 23-09-08_WLP FP Format1_Op 8 VMW TYCO Splice Option 8" xfId="4349" xr:uid="{00000000-0005-0000-0000-0000C2110000}"/>
    <cellStyle name="_MARION 8576506 23-09-08_WLP FP Format1_Op 8 VMW TYCO Splice Option 9" xfId="4350" xr:uid="{00000000-0005-0000-0000-0000C3110000}"/>
    <cellStyle name="_MARION 8576506 23-09-08_WLP FP Format1_Op 8 VMW TYCO Splice Option_862-CH" xfId="4351" xr:uid="{00000000-0005-0000-0000-0000C4110000}"/>
    <cellStyle name="_MARION 8576506 23-09-08_WLP FP Format1_Op 8 VMW TYCO Splice Option_W10251766 D" xfId="4352" xr:uid="{00000000-0005-0000-0000-0000C5110000}"/>
    <cellStyle name="_MARION 8576506 23-09-08_WLP FP Format1_Op 8 VMW TYCO Splice Option_W10279106 y W10279107 de MR a 56i" xfId="4353" xr:uid="{00000000-0005-0000-0000-0000C6110000}"/>
    <cellStyle name="_MARION 8576506 23-09-08_WLP FP Format1_Op 8 VMW TYCO Splice Option_W10315922 A" xfId="4354" xr:uid="{00000000-0005-0000-0000-0000C7110000}"/>
    <cellStyle name="_MARION 8576506 23-09-08_WLP FP Format1_VMW Latest version MOLEX 4-28" xfId="4355" xr:uid="{00000000-0005-0000-0000-0000C8110000}"/>
    <cellStyle name="_MARION 8576506 23-09-08_WLP FP Format1_VMW Latest version MOLEX 4-28 2" xfId="4356" xr:uid="{00000000-0005-0000-0000-0000C9110000}"/>
    <cellStyle name="_MARION 8576506 23-09-08_WLP FP Format1_VMW Latest version MOLEX 4-28 2 2" xfId="4357" xr:uid="{00000000-0005-0000-0000-0000CA110000}"/>
    <cellStyle name="_MARION 8576506 23-09-08_WLP FP Format1_VMW Latest version MOLEX 4-28 2 3" xfId="4358" xr:uid="{00000000-0005-0000-0000-0000CB110000}"/>
    <cellStyle name="_MARION 8576506 23-09-08_WLP FP Format1_VMW Latest version MOLEX 4-28 2 4" xfId="4359" xr:uid="{00000000-0005-0000-0000-0000CC110000}"/>
    <cellStyle name="_MARION 8576506 23-09-08_WLP FP Format1_VMW Latest version MOLEX 4-28 3" xfId="4360" xr:uid="{00000000-0005-0000-0000-0000CD110000}"/>
    <cellStyle name="_MARION 8576506 23-09-08_WLP FP Format1_VMW Latest version MOLEX 4-28 per conference" xfId="4361" xr:uid="{00000000-0005-0000-0000-0000CE110000}"/>
    <cellStyle name="_MARION 8576506 23-09-08_WLP FP Format1_VMW Latest version MOLEX 4-28 per conference 2" xfId="4362" xr:uid="{00000000-0005-0000-0000-0000CF110000}"/>
    <cellStyle name="_MARION 8576506 23-09-08_WLP FP Format1_VMW Latest version MOLEX 4-28 per conference 2 2" xfId="4363" xr:uid="{00000000-0005-0000-0000-0000D0110000}"/>
    <cellStyle name="_MARION 8576506 23-09-08_WLP FP Format1_VMW Latest version MOLEX 4-28 per conference 2 3" xfId="4364" xr:uid="{00000000-0005-0000-0000-0000D1110000}"/>
    <cellStyle name="_MARION 8576506 23-09-08_WLP FP Format1_VMW Latest version MOLEX 4-28 per conference 2 4" xfId="4365" xr:uid="{00000000-0005-0000-0000-0000D2110000}"/>
    <cellStyle name="_MARION 8576506 23-09-08_WLP FP Format1_VMW Latest version MOLEX 4-28 per conference 3" xfId="4366" xr:uid="{00000000-0005-0000-0000-0000D3110000}"/>
    <cellStyle name="_MARION 8576506 23-09-08_WLP FP Format1_VMW Latest version MOLEX 4-28 per conference revised" xfId="4367" xr:uid="{00000000-0005-0000-0000-0000D4110000}"/>
    <cellStyle name="_MARION 8576506 23-09-08_WLP FP Format1_VMW Latest version MOLEX 4-28 per conference revised 2" xfId="4368" xr:uid="{00000000-0005-0000-0000-0000D5110000}"/>
    <cellStyle name="_MARION 8576506 23-09-08_WLP FP Format1_VMW Latest version MOLEX 4-28 per conference revised 2 2" xfId="4369" xr:uid="{00000000-0005-0000-0000-0000D6110000}"/>
    <cellStyle name="_MARION 8576506 23-09-08_WLP FP Format1_VMW Latest version MOLEX 4-28 per conference revised 2 3" xfId="4370" xr:uid="{00000000-0005-0000-0000-0000D7110000}"/>
    <cellStyle name="_MARION 8576506 23-09-08_WLP FP Format1_VMW Latest version MOLEX 4-28 per conference revised 2 4" xfId="4371" xr:uid="{00000000-0005-0000-0000-0000D8110000}"/>
    <cellStyle name="_MARION 8576506 23-09-08_WLP FP Format1_VMW Latest version MOLEX 4-28 per conference revised 3" xfId="4372" xr:uid="{00000000-0005-0000-0000-0000D9110000}"/>
    <cellStyle name="_MARION 8576506 23-09-08_WLP FP Format1_VMW Latest version MOLEX 4-28 per conference revised_862-CH" xfId="4373" xr:uid="{00000000-0005-0000-0000-0000DA110000}"/>
    <cellStyle name="_MARION 8576506 23-09-08_WLP FP Format1_VMW Latest version MOLEX 4-28 per conference revised_W10251766 D" xfId="4374" xr:uid="{00000000-0005-0000-0000-0000DB110000}"/>
    <cellStyle name="_MARION 8576506 23-09-08_WLP FP Format1_VMW Latest version MOLEX 4-28 per conference revised_W10279106 y W10279107 de MR a 56i" xfId="4375" xr:uid="{00000000-0005-0000-0000-0000DC110000}"/>
    <cellStyle name="_MARION 8576506 23-09-08_WLP FP Format1_VMW Latest version MOLEX 4-28 per conference revised_W10315922 A" xfId="4376" xr:uid="{00000000-0005-0000-0000-0000DD110000}"/>
    <cellStyle name="_MARION 8576506 23-09-08_WLP FP Format1_VMW Latest version MOLEX 4-28 per conference_862-CH" xfId="4377" xr:uid="{00000000-0005-0000-0000-0000DE110000}"/>
    <cellStyle name="_MARION 8576506 23-09-08_WLP FP Format1_VMW Latest version MOLEX 4-28 per conference_W10251766 D" xfId="4378" xr:uid="{00000000-0005-0000-0000-0000DF110000}"/>
    <cellStyle name="_MARION 8576506 23-09-08_WLP FP Format1_VMW Latest version MOLEX 4-28 per conference_W10279106 y W10279107 de MR a 56i" xfId="4379" xr:uid="{00000000-0005-0000-0000-0000E0110000}"/>
    <cellStyle name="_MARION 8576506 23-09-08_WLP FP Format1_VMW Latest version MOLEX 4-28 per conference_W10315922 A" xfId="4380" xr:uid="{00000000-0005-0000-0000-0000E1110000}"/>
    <cellStyle name="_MARION 8576506 23-09-08_WLP FP Format1_VMW Latest version MOLEX 4-28_862-CH" xfId="4381" xr:uid="{00000000-0005-0000-0000-0000E2110000}"/>
    <cellStyle name="_MARION 8576506 23-09-08_WLP FP Format1_VMW Latest version MOLEX 4-28_W10251766 D" xfId="4382" xr:uid="{00000000-0005-0000-0000-0000E3110000}"/>
    <cellStyle name="_MARION 8576506 23-09-08_WLP FP Format1_VMW Latest version MOLEX 4-28_W10279106 y W10279107 de MR a 56i" xfId="4383" xr:uid="{00000000-0005-0000-0000-0000E4110000}"/>
    <cellStyle name="_MARION 8576506 23-09-08_WLP FP Format1_VMW Latest version MOLEX 4-28_W10315922 A" xfId="4384" xr:uid="{00000000-0005-0000-0000-0000E5110000}"/>
    <cellStyle name="_MARION 8576506 23-09-08_WLP FP Format1_VMW MOLEX BASELINE OPTION COST BREAKDOWN - 4_16_09_Detail_" xfId="4385" xr:uid="{00000000-0005-0000-0000-0000E6110000}"/>
    <cellStyle name="_MARION 8576506 23-09-08_WLP FP Format1_VMW MOLEX BASELINE OPTION COST BREAKDOWN - 4_16_09_Detail_ 2" xfId="4386" xr:uid="{00000000-0005-0000-0000-0000E7110000}"/>
    <cellStyle name="_MARION 8576506 23-09-08_WLP FP Format1_VMW MOLEX BASELINE OPTION COST BREAKDOWN - 4_16_09_Detail_ 2 2" xfId="4387" xr:uid="{00000000-0005-0000-0000-0000E8110000}"/>
    <cellStyle name="_MARION 8576506 23-09-08_WLP FP Format1_VMW MOLEX BASELINE OPTION COST BREAKDOWN - 4_16_09_Detail_ 2 3" xfId="4388" xr:uid="{00000000-0005-0000-0000-0000E9110000}"/>
    <cellStyle name="_MARION 8576506 23-09-08_WLP FP Format1_VMW MOLEX BASELINE OPTION COST BREAKDOWN - 4_16_09_Detail_ 2 4" xfId="4389" xr:uid="{00000000-0005-0000-0000-0000EA110000}"/>
    <cellStyle name="_MARION 8576506 23-09-08_WLP FP Format1_VMW MOLEX BASELINE OPTION COST BREAKDOWN - 4_16_09_Detail_ 3" xfId="4390" xr:uid="{00000000-0005-0000-0000-0000EB110000}"/>
    <cellStyle name="_MARION 8576506 23-09-08_WLP FP Format1_VMW MOLEX BASELINE OPTION COST BREAKDOWN - 4_16_09_Detail__862-CH" xfId="4391" xr:uid="{00000000-0005-0000-0000-0000EC110000}"/>
    <cellStyle name="_MARION 8576506 23-09-08_WLP FP Format1_VMW MOLEX BASELINE OPTION COST BREAKDOWN - 4_16_09_Detail__W10251766 D" xfId="4392" xr:uid="{00000000-0005-0000-0000-0000ED110000}"/>
    <cellStyle name="_MARION 8576506 23-09-08_WLP FP Format1_VMW MOLEX BASELINE OPTION COST BREAKDOWN - 4_16_09_Detail__W10279106 y W10279107 de MR a 56i" xfId="4393" xr:uid="{00000000-0005-0000-0000-0000EE110000}"/>
    <cellStyle name="_MARION 8576506 23-09-08_WLP FP Format1_VMW MOLEX BASELINE OPTION COST BREAKDOWN - 4_16_09_Detail__W10315922 A" xfId="4394" xr:uid="{00000000-0005-0000-0000-0000EF110000}"/>
    <cellStyle name="_MARION 8576506 23-09-08_WLP FP Format1_VMW SPLIT CONN" xfId="4395" xr:uid="{00000000-0005-0000-0000-0000F0110000}"/>
    <cellStyle name="_MARION 8576506 23-09-08_WLP FP Format1_VMW SPLIT CONN 2" xfId="4396" xr:uid="{00000000-0005-0000-0000-0000F1110000}"/>
    <cellStyle name="_MARION 8576506 23-09-08_WLP FP Format1_VMW SPLIT CONN 2 2" xfId="4397" xr:uid="{00000000-0005-0000-0000-0000F2110000}"/>
    <cellStyle name="_MARION 8576506 23-09-08_WLP FP Format1_VMW SPLIT CONN 2 3" xfId="4398" xr:uid="{00000000-0005-0000-0000-0000F3110000}"/>
    <cellStyle name="_MARION 8576506 23-09-08_WLP FP Format1_VMW SPLIT CONN 2 4" xfId="4399" xr:uid="{00000000-0005-0000-0000-0000F4110000}"/>
    <cellStyle name="_MARION 8576506 23-09-08_WLP FP Format1_VMW SPLIT CONN 3" xfId="4400" xr:uid="{00000000-0005-0000-0000-0000F5110000}"/>
    <cellStyle name="_MARION 8576506 23-09-08_WLP FP Format1_VMW SPLIT CONN_862-CH" xfId="4401" xr:uid="{00000000-0005-0000-0000-0000F6110000}"/>
    <cellStyle name="_MARION 8576506 23-09-08_WLP FP Format1_VMW SPLIT CONN_W10251766 D" xfId="4402" xr:uid="{00000000-0005-0000-0000-0000F7110000}"/>
    <cellStyle name="_MARION 8576506 23-09-08_WLP FP Format1_VMW SPLIT CONN_W10279106 y W10279107 de MR a 56i" xfId="4403" xr:uid="{00000000-0005-0000-0000-0000F8110000}"/>
    <cellStyle name="_MARION 8576506 23-09-08_WLP FP Format1_VMW SPLIT CONN_W10315922 A" xfId="4404" xr:uid="{00000000-0005-0000-0000-0000F9110000}"/>
    <cellStyle name="_MARION 8576506 23-09-08_WLP FP Format1_VMW Tyco CONCENTRATED QUOTE WLP480 (AS IS) Gary (2)" xfId="4405" xr:uid="{00000000-0005-0000-0000-0000FA110000}"/>
    <cellStyle name="_MARION 8576506 23-09-08_WLP FP Format1_VMW Tyco CONCENTRATED QUOTE WLP480 (AS IS) Gary (2) 2" xfId="4406" xr:uid="{00000000-0005-0000-0000-0000FB110000}"/>
    <cellStyle name="_MARION 8576506 23-09-08_WLP FP Format1_VMW Tyco CONCENTRATED QUOTE WLP480 (AS IS) Gary (2) 2 2" xfId="4407" xr:uid="{00000000-0005-0000-0000-0000FC110000}"/>
    <cellStyle name="_MARION 8576506 23-09-08_WLP FP Format1_VMW Tyco CONCENTRATED QUOTE WLP480 (AS IS) Gary (2) 2 3" xfId="4408" xr:uid="{00000000-0005-0000-0000-0000FD110000}"/>
    <cellStyle name="_MARION 8576506 23-09-08_WLP FP Format1_VMW Tyco CONCENTRATED QUOTE WLP480 (AS IS) Gary (2) 2 4" xfId="4409" xr:uid="{00000000-0005-0000-0000-0000FE110000}"/>
    <cellStyle name="_MARION 8576506 23-09-08_WLP FP Format1_VMW Tyco CONCENTRATED QUOTE WLP480 (AS IS) Gary (2) 3" xfId="4410" xr:uid="{00000000-0005-0000-0000-0000FF110000}"/>
    <cellStyle name="_MARION 8576506 23-09-08_WLP FP Format1_VMW Tyco CONCENTRATED QUOTE WLP480 (AS IS) Gary (2)_862-CH" xfId="4411" xr:uid="{00000000-0005-0000-0000-000000120000}"/>
    <cellStyle name="_MARION 8576506 23-09-08_WLP FP Format1_VMW Tyco CONCENTRATED QUOTE WLP480 (AS IS) Gary (2)_W10251766 D" xfId="4412" xr:uid="{00000000-0005-0000-0000-000001120000}"/>
    <cellStyle name="_MARION 8576506 23-09-08_WLP FP Format1_VMW Tyco CONCENTRATED QUOTE WLP480 (AS IS) Gary (2)_W10279106 y W10279107 de MR a 56i" xfId="4413" xr:uid="{00000000-0005-0000-0000-000002120000}"/>
    <cellStyle name="_MARION 8576506 23-09-08_WLP FP Format1_VMW Tyco CONCENTRATED QUOTE WLP480 (AS IS) Gary (2)_W10315922 A" xfId="4414" xr:uid="{00000000-0005-0000-0000-000003120000}"/>
    <cellStyle name="_MARION 8576506 23-09-08_WLP FP Format1_VMW Tyco CONCENTRATED QUOTE WLP480 (AS IS) Gary wo tooling (2)" xfId="4415" xr:uid="{00000000-0005-0000-0000-000004120000}"/>
    <cellStyle name="_MARION 8576506 23-09-08_WLP FP Format1_VMW Tyco CONCENTRATED QUOTE WLP480 (AS IS) Gary wo tooling (2) 2" xfId="4416" xr:uid="{00000000-0005-0000-0000-000005120000}"/>
    <cellStyle name="_MARION 8576506 23-09-08_WLP FP Format1_VMW Tyco CONCENTRATED QUOTE WLP480 (AS IS) Gary wo tooling (2) 2 2" xfId="4417" xr:uid="{00000000-0005-0000-0000-000006120000}"/>
    <cellStyle name="_MARION 8576506 23-09-08_WLP FP Format1_VMW Tyco CONCENTRATED QUOTE WLP480 (AS IS) Gary wo tooling (2) 2 3" xfId="4418" xr:uid="{00000000-0005-0000-0000-000007120000}"/>
    <cellStyle name="_MARION 8576506 23-09-08_WLP FP Format1_VMW Tyco CONCENTRATED QUOTE WLP480 (AS IS) Gary wo tooling (2) 2 4" xfId="4419" xr:uid="{00000000-0005-0000-0000-000008120000}"/>
    <cellStyle name="_MARION 8576506 23-09-08_WLP FP Format1_VMW Tyco CONCENTRATED QUOTE WLP480 (AS IS) Gary wo tooling (2) 3" xfId="4420" xr:uid="{00000000-0005-0000-0000-000009120000}"/>
    <cellStyle name="_MARION 8576506 23-09-08_WLP FP Format1_VMW Tyco CONCENTRATED QUOTE WLP480 (AS IS) Gary wo tooling (2)_862-CH" xfId="4421" xr:uid="{00000000-0005-0000-0000-00000A120000}"/>
    <cellStyle name="_MARION 8576506 23-09-08_WLP FP Format1_VMW Tyco CONCENTRATED QUOTE WLP480 (AS IS) Gary wo tooling (2)_W10251766 D" xfId="4422" xr:uid="{00000000-0005-0000-0000-00000B120000}"/>
    <cellStyle name="_MARION 8576506 23-09-08_WLP FP Format1_VMW Tyco CONCENTRATED QUOTE WLP480 (AS IS) Gary wo tooling (2)_W10279106 y W10279107 de MR a 56i" xfId="4423" xr:uid="{00000000-0005-0000-0000-00000C120000}"/>
    <cellStyle name="_MARION 8576506 23-09-08_WLP FP Format1_VMW Tyco CONCENTRATED QUOTE WLP480 (AS IS) Gary wo tooling (2)_W10315922 A" xfId="4424" xr:uid="{00000000-0005-0000-0000-00000D120000}"/>
    <cellStyle name="_MARION 8576506 23-09-08_WLP FP Format1_VMW Tyco CONCENTRATED QUOTE WLP480 (proposal) additional machine Gary" xfId="4425" xr:uid="{00000000-0005-0000-0000-00000E120000}"/>
    <cellStyle name="_MARION 8576506 23-09-08_WLP FP Format1_VMW Tyco CONCENTRATED QUOTE WLP480 (proposal) additional machine Gary 2" xfId="4426" xr:uid="{00000000-0005-0000-0000-00000F120000}"/>
    <cellStyle name="_MARION 8576506 23-09-08_WLP FP Format1_VMW Tyco CONCENTRATED QUOTE WLP480 (proposal) additional machine Gary 2 2" xfId="4427" xr:uid="{00000000-0005-0000-0000-000010120000}"/>
    <cellStyle name="_MARION 8576506 23-09-08_WLP FP Format1_VMW Tyco CONCENTRATED QUOTE WLP480 (proposal) additional machine Gary 2 3" xfId="4428" xr:uid="{00000000-0005-0000-0000-000011120000}"/>
    <cellStyle name="_MARION 8576506 23-09-08_WLP FP Format1_VMW Tyco CONCENTRATED QUOTE WLP480 (proposal) additional machine Gary 2 4" xfId="4429" xr:uid="{00000000-0005-0000-0000-000012120000}"/>
    <cellStyle name="_MARION 8576506 23-09-08_WLP FP Format1_VMW Tyco CONCENTRATED QUOTE WLP480 (proposal) additional machine Gary 3" xfId="4430" xr:uid="{00000000-0005-0000-0000-000013120000}"/>
    <cellStyle name="_MARION 8576506 23-09-08_WLP FP Format1_VMW Tyco CONCENTRATED QUOTE WLP480 (proposal) additional machine Gary wo tooling" xfId="4431" xr:uid="{00000000-0005-0000-0000-000014120000}"/>
    <cellStyle name="_MARION 8576506 23-09-08_WLP FP Format1_VMW Tyco CONCENTRATED QUOTE WLP480 (proposal) additional machine Gary wo tooling 2" xfId="4432" xr:uid="{00000000-0005-0000-0000-000015120000}"/>
    <cellStyle name="_MARION 8576506 23-09-08_WLP FP Format1_VMW Tyco CONCENTRATED QUOTE WLP480 (proposal) additional machine Gary wo tooling 2 2" xfId="4433" xr:uid="{00000000-0005-0000-0000-000016120000}"/>
    <cellStyle name="_MARION 8576506 23-09-08_WLP FP Format1_VMW Tyco CONCENTRATED QUOTE WLP480 (proposal) additional machine Gary wo tooling 2 3" xfId="4434" xr:uid="{00000000-0005-0000-0000-000017120000}"/>
    <cellStyle name="_MARION 8576506 23-09-08_WLP FP Format1_VMW Tyco CONCENTRATED QUOTE WLP480 (proposal) additional machine Gary wo tooling 2 4" xfId="4435" xr:uid="{00000000-0005-0000-0000-000018120000}"/>
    <cellStyle name="_MARION 8576506 23-09-08_WLP FP Format1_VMW Tyco CONCENTRATED QUOTE WLP480 (proposal) additional machine Gary wo tooling 3" xfId="4436" xr:uid="{00000000-0005-0000-0000-000019120000}"/>
    <cellStyle name="_MARION 8576506 23-09-08_WLP FP Format1_VMW Tyco CONCENTRATED QUOTE WLP480 (proposal) additional machine Gary wo tooling_862-CH" xfId="4437" xr:uid="{00000000-0005-0000-0000-00001A120000}"/>
    <cellStyle name="_MARION 8576506 23-09-08_WLP FP Format1_VMW Tyco CONCENTRATED QUOTE WLP480 (proposal) additional machine Gary wo tooling_W10251766 D" xfId="4438" xr:uid="{00000000-0005-0000-0000-00001B120000}"/>
    <cellStyle name="_MARION 8576506 23-09-08_WLP FP Format1_VMW Tyco CONCENTRATED QUOTE WLP480 (proposal) additional machine Gary wo tooling_W10279106 y W10279107 de MR a 56i" xfId="4439" xr:uid="{00000000-0005-0000-0000-00001C120000}"/>
    <cellStyle name="_MARION 8576506 23-09-08_WLP FP Format1_VMW Tyco CONCENTRATED QUOTE WLP480 (proposal) additional machine Gary wo tooling_W10315922 A" xfId="4440" xr:uid="{00000000-0005-0000-0000-00001D120000}"/>
    <cellStyle name="_MARION 8576506 23-09-08_WLP FP Format1_VMW Tyco CONCENTRATED QUOTE WLP480 (proposal) additional machine Gary_862-CH" xfId="4441" xr:uid="{00000000-0005-0000-0000-00001E120000}"/>
    <cellStyle name="_MARION 8576506 23-09-08_WLP FP Format1_VMW Tyco CONCENTRATED QUOTE WLP480 (proposal) additional machine Gary_W10251766 D" xfId="4442" xr:uid="{00000000-0005-0000-0000-00001F120000}"/>
    <cellStyle name="_MARION 8576506 23-09-08_WLP FP Format1_VMW Tyco CONCENTRATED QUOTE WLP480 (proposal) additional machine Gary_W10279106 y W10279107 de MR a 56i" xfId="4443" xr:uid="{00000000-0005-0000-0000-000020120000}"/>
    <cellStyle name="_MARION 8576506 23-09-08_WLP FP Format1_VMW Tyco CONCENTRATED QUOTE WLP480 (proposal) additional machine Gary_W10315922 A" xfId="4444" xr:uid="{00000000-0005-0000-0000-000021120000}"/>
    <cellStyle name="_MARION 8576506 23-09-08_WLP FP Format1_W10251766 D" xfId="4445" xr:uid="{00000000-0005-0000-0000-000022120000}"/>
    <cellStyle name="_MARION 8576506 23-09-08_WLP FP Format1_W10279106 y W10279107 de MR a 56i" xfId="4446" xr:uid="{00000000-0005-0000-0000-000023120000}"/>
    <cellStyle name="_MARION 8576506 23-09-08_WLP FP Format1_W10315922 A" xfId="4447" xr:uid="{00000000-0005-0000-0000-000024120000}"/>
    <cellStyle name="_MARION 8576506 23-09-08_WLP FP Format1_WPN145 3954933" xfId="4448" xr:uid="{00000000-0005-0000-0000-000025120000}"/>
    <cellStyle name="_MARION 8576506 23-09-08_WLP FP Format1_WPN145 3954933 2" xfId="4449" xr:uid="{00000000-0005-0000-0000-000026120000}"/>
    <cellStyle name="_MARION 8576506 23-09-08_WLP FP Format1_WPN145 3954933 3" xfId="4450" xr:uid="{00000000-0005-0000-0000-000027120000}"/>
    <cellStyle name="_MARION 8576506 23-09-08_WLP FP Format1_WPN145 3954933 4" xfId="4451" xr:uid="{00000000-0005-0000-0000-000028120000}"/>
    <cellStyle name="_MARION 8576506 23-09-08_WLP FP Format1_WPN145 3954933 5" xfId="4452" xr:uid="{00000000-0005-0000-0000-000029120000}"/>
    <cellStyle name="_MARION 8576506 23-09-08_WPN145 3954933" xfId="4453" xr:uid="{00000000-0005-0000-0000-00002A120000}"/>
    <cellStyle name="_MARION 8576506 23-09-08_WPN145 3954933 2" xfId="4454" xr:uid="{00000000-0005-0000-0000-00002B120000}"/>
    <cellStyle name="_MARION 8576506 23-09-08_WPN145 3954933 3" xfId="4455" xr:uid="{00000000-0005-0000-0000-00002C120000}"/>
    <cellStyle name="_MARION 8576506 23-09-08_WPN145 3954933 4" xfId="4456" xr:uid="{00000000-0005-0000-0000-00002D120000}"/>
    <cellStyle name="_MARION 8576506 23-09-08_WPN145 3954933 5" xfId="4457" xr:uid="{00000000-0005-0000-0000-00002E120000}"/>
    <cellStyle name="_MARION W10167649 23-09-08" xfId="4458" xr:uid="{00000000-0005-0000-0000-00002F120000}"/>
    <cellStyle name="_MARION W10167649 23-09-08 2" xfId="4459" xr:uid="{00000000-0005-0000-0000-000030120000}"/>
    <cellStyle name="_MARION W10167649 23-09-08 3" xfId="24826" xr:uid="{00000000-0005-0000-0000-000031120000}"/>
    <cellStyle name="_MARION W10167649 23-09-08_862-CH" xfId="4460" xr:uid="{00000000-0005-0000-0000-000032120000}"/>
    <cellStyle name="_MARION W10167649 23-09-08_CONCENTRATED QUOTE WLP397" xfId="4461" xr:uid="{00000000-0005-0000-0000-000033120000}"/>
    <cellStyle name="_MARION W10167649 23-09-08_CONCENTRATED QUOTE WLP397 2" xfId="4462" xr:uid="{00000000-0005-0000-0000-000034120000}"/>
    <cellStyle name="_MARION W10167649 23-09-08_CONCENTRATED QUOTE WLP397 2 2" xfId="24827" xr:uid="{00000000-0005-0000-0000-000035120000}"/>
    <cellStyle name="_MARION W10167649 23-09-08_CONCENTRATED QUOTE WLP397 2 3" xfId="24828" xr:uid="{00000000-0005-0000-0000-000036120000}"/>
    <cellStyle name="_MARION W10167649 23-09-08_CONCENTRATED QUOTE WLP397 3" xfId="4463" xr:uid="{00000000-0005-0000-0000-000037120000}"/>
    <cellStyle name="_MARION W10167649 23-09-08_CONCENTRATED QUOTE WLP397 4" xfId="4464" xr:uid="{00000000-0005-0000-0000-000038120000}"/>
    <cellStyle name="_MARION W10167649 23-09-08_CONCENTRATED QUOTE WLP397_862-CH" xfId="4465" xr:uid="{00000000-0005-0000-0000-000039120000}"/>
    <cellStyle name="_MARION W10167649 23-09-08_CONCENTRATED QUOTE WLP397_CONCENTRATED QUOTE WLP474" xfId="4466" xr:uid="{00000000-0005-0000-0000-00003A120000}"/>
    <cellStyle name="_MARION W10167649 23-09-08_CONCENTRATED QUOTE WLP397_CONCENTRATED QUOTE WLP474 2" xfId="4467" xr:uid="{00000000-0005-0000-0000-00003B120000}"/>
    <cellStyle name="_MARION W10167649 23-09-08_CONCENTRATED QUOTE WLP397_CONCENTRATED QUOTE WLP474 3" xfId="4468" xr:uid="{00000000-0005-0000-0000-00003C120000}"/>
    <cellStyle name="_MARION W10167649 23-09-08_CONCENTRATED QUOTE WLP397_CONCENTRATED QUOTE WLP474 4" xfId="4469" xr:uid="{00000000-0005-0000-0000-00003D120000}"/>
    <cellStyle name="_MARION W10167649 23-09-08_CONCENTRATED QUOTE WLP397_CONCENTRATED QUOTE WLP550" xfId="4470" xr:uid="{00000000-0005-0000-0000-00003E120000}"/>
    <cellStyle name="_MARION W10167649 23-09-08_CONCENTRATED QUOTE WLP397_CONCENTRATED QUOTE WLP550 2" xfId="4471" xr:uid="{00000000-0005-0000-0000-00003F120000}"/>
    <cellStyle name="_MARION W10167649 23-09-08_CONCENTRATED QUOTE WLP397_CONCENTRATED QUOTE WLP550 3" xfId="4472" xr:uid="{00000000-0005-0000-0000-000040120000}"/>
    <cellStyle name="_MARION W10167649 23-09-08_CONCENTRATED QUOTE WLP397_CONCENTRATED QUOTE WLP550 4" xfId="4473" xr:uid="{00000000-0005-0000-0000-000041120000}"/>
    <cellStyle name="_MARION W10167649 23-09-08_CONCENTRATED QUOTE WLP397_CONCENTRATED QUOTE WLP550 5" xfId="4474" xr:uid="{00000000-0005-0000-0000-000042120000}"/>
    <cellStyle name="_MARION W10167649 23-09-08_CONCENTRATED QUOTE WLP397_CONCENTRATED QUOTE WLP559" xfId="4475" xr:uid="{00000000-0005-0000-0000-000043120000}"/>
    <cellStyle name="_MARION W10167649 23-09-08_CONCENTRATED QUOTE WLP397_CONCENTRATED QUOTE WLP568" xfId="4476" xr:uid="{00000000-0005-0000-0000-000044120000}"/>
    <cellStyle name="_MARION W10167649 23-09-08_CONCENTRATED QUOTE WLP397_CONCENTRATED QUOTE WLP571" xfId="4477" xr:uid="{00000000-0005-0000-0000-000045120000}"/>
    <cellStyle name="_MARION W10167649 23-09-08_CONCENTRATED QUOTE WLP397_CONCENTRATED QUOTE WLP574  ALPHA" xfId="4478" xr:uid="{00000000-0005-0000-0000-000046120000}"/>
    <cellStyle name="_MARION W10167649 23-09-08_CONCENTRATED QUOTE WLP397_CONCENTRATED QUOTE WLP574  ALPHA 2" xfId="4479" xr:uid="{00000000-0005-0000-0000-000047120000}"/>
    <cellStyle name="_MARION W10167649 23-09-08_CONCENTRATED QUOTE WLP397_CONCENTRATED QUOTE WLP574  ALPHA 3" xfId="4480" xr:uid="{00000000-0005-0000-0000-000048120000}"/>
    <cellStyle name="_MARION W10167649 23-09-08_CONCENTRATED QUOTE WLP397_CONCENTRATED QUOTE WLP574  ALPHA 4" xfId="4481" xr:uid="{00000000-0005-0000-0000-000049120000}"/>
    <cellStyle name="_MARION W10167649 23-09-08_CONCENTRATED QUOTE WLP397_CONCENTRATED QUOTE WLP574  ALPHA 5" xfId="4482" xr:uid="{00000000-0005-0000-0000-00004A120000}"/>
    <cellStyle name="_MARION W10167649 23-09-08_CONCENTRATED QUOTE WLP397_Estimated Quote 050609 039" xfId="4483" xr:uid="{00000000-0005-0000-0000-00004B120000}"/>
    <cellStyle name="_MARION W10167649 23-09-08_CONCENTRATED QUOTE WLP397_Estimated Quote 050609 039 2" xfId="4484" xr:uid="{00000000-0005-0000-0000-00004C120000}"/>
    <cellStyle name="_MARION W10167649 23-09-08_CONCENTRATED QUOTE WLP397_Estimated Quote 050609 039 3" xfId="4485" xr:uid="{00000000-0005-0000-0000-00004D120000}"/>
    <cellStyle name="_MARION W10167649 23-09-08_CONCENTRATED QUOTE WLP397_Estimated Quote 050609 039 4" xfId="4486" xr:uid="{00000000-0005-0000-0000-00004E120000}"/>
    <cellStyle name="_MARION W10167649 23-09-08_CONCENTRATED QUOTE WLP397_Estimated Quote 050609 039 5" xfId="4487" xr:uid="{00000000-0005-0000-0000-00004F120000}"/>
    <cellStyle name="_MARION W10167649 23-09-08_CONCENTRATED QUOTE WLP397_W10251442" xfId="4488" xr:uid="{00000000-0005-0000-0000-000050120000}"/>
    <cellStyle name="_MARION W10167649 23-09-08_CONCENTRATED QUOTE WLP397_W10251443" xfId="4489" xr:uid="{00000000-0005-0000-0000-000051120000}"/>
    <cellStyle name="_MARION W10167649 23-09-08_CONCENTRATED QUOTE WLP397_W10251444" xfId="4490" xr:uid="{00000000-0005-0000-0000-000052120000}"/>
    <cellStyle name="_MARION W10167649 23-09-08_CONCENTRATED QUOTE WLP397_W10251766 D" xfId="4491" xr:uid="{00000000-0005-0000-0000-000053120000}"/>
    <cellStyle name="_MARION W10167649 23-09-08_CONCENTRATED QUOTE WLP397_W10278758" xfId="4492" xr:uid="{00000000-0005-0000-0000-000054120000}"/>
    <cellStyle name="_MARION W10167649 23-09-08_CONCENTRATED QUOTE WLP397_W10278759" xfId="4493" xr:uid="{00000000-0005-0000-0000-000055120000}"/>
    <cellStyle name="_MARION W10167649 23-09-08_CONCENTRATED QUOTE WLP397_W10279106 y W10279107 de MR a 56i" xfId="4494" xr:uid="{00000000-0005-0000-0000-000056120000}"/>
    <cellStyle name="_MARION W10167649 23-09-08_CONCENTRATED QUOTE WLP397_W10290772" xfId="4495" xr:uid="{00000000-0005-0000-0000-000057120000}"/>
    <cellStyle name="_MARION W10167649 23-09-08_CONCENTRATED QUOTE WLP397_W10290772 2" xfId="4496" xr:uid="{00000000-0005-0000-0000-000058120000}"/>
    <cellStyle name="_MARION W10167649 23-09-08_CONCENTRATED QUOTE WLP397_W10290772 3" xfId="4497" xr:uid="{00000000-0005-0000-0000-000059120000}"/>
    <cellStyle name="_MARION W10167649 23-09-08_CONCENTRATED QUOTE WLP397_W10290772 4" xfId="4498" xr:uid="{00000000-0005-0000-0000-00005A120000}"/>
    <cellStyle name="_MARION W10167649 23-09-08_CONCENTRATED QUOTE WLP397_W10290772 5" xfId="4499" xr:uid="{00000000-0005-0000-0000-00005B120000}"/>
    <cellStyle name="_MARION W10167649 23-09-08_CONCENTRATED QUOTE WLP397_W10290774" xfId="4500" xr:uid="{00000000-0005-0000-0000-00005C120000}"/>
    <cellStyle name="_MARION W10167649 23-09-08_CONCENTRATED QUOTE WLP397_W10290774 2" xfId="4501" xr:uid="{00000000-0005-0000-0000-00005D120000}"/>
    <cellStyle name="_MARION W10167649 23-09-08_CONCENTRATED QUOTE WLP397_W10290774 3" xfId="4502" xr:uid="{00000000-0005-0000-0000-00005E120000}"/>
    <cellStyle name="_MARION W10167649 23-09-08_CONCENTRATED QUOTE WLP397_W10290774 4" xfId="4503" xr:uid="{00000000-0005-0000-0000-00005F120000}"/>
    <cellStyle name="_MARION W10167649 23-09-08_CONCENTRATED QUOTE WLP397_W10290774 5" xfId="4504" xr:uid="{00000000-0005-0000-0000-000060120000}"/>
    <cellStyle name="_MARION W10167649 23-09-08_CONCENTRATED QUOTE WLP397_W10315922 A" xfId="4505" xr:uid="{00000000-0005-0000-0000-000061120000}"/>
    <cellStyle name="_MARION W10167649 23-09-08_CONCENTRATED QUOTE WLP401" xfId="4506" xr:uid="{00000000-0005-0000-0000-000062120000}"/>
    <cellStyle name="_MARION W10167649 23-09-08_CONCENTRATED QUOTE WLP401 2" xfId="4507" xr:uid="{00000000-0005-0000-0000-000063120000}"/>
    <cellStyle name="_MARION W10167649 23-09-08_CONCENTRATED QUOTE WLP401 2 2" xfId="4508" xr:uid="{00000000-0005-0000-0000-000064120000}"/>
    <cellStyle name="_MARION W10167649 23-09-08_CONCENTRATED QUOTE WLP401 2 3" xfId="4509" xr:uid="{00000000-0005-0000-0000-000065120000}"/>
    <cellStyle name="_MARION W10167649 23-09-08_CONCENTRATED QUOTE WLP401 2 4" xfId="4510" xr:uid="{00000000-0005-0000-0000-000066120000}"/>
    <cellStyle name="_MARION W10167649 23-09-08_CONCENTRATED QUOTE WLP401 3" xfId="4511" xr:uid="{00000000-0005-0000-0000-000067120000}"/>
    <cellStyle name="_MARION W10167649 23-09-08_CONCENTRATED QUOTE WLP401_862-CH" xfId="4512" xr:uid="{00000000-0005-0000-0000-000068120000}"/>
    <cellStyle name="_MARION W10167649 23-09-08_CONCENTRATED QUOTE WLP401_CONCENTRATED QUOTE WLP440" xfId="4513" xr:uid="{00000000-0005-0000-0000-000069120000}"/>
    <cellStyle name="_MARION W10167649 23-09-08_CONCENTRATED QUOTE WLP401_CONCENTRATED QUOTE WLP440 2" xfId="4514" xr:uid="{00000000-0005-0000-0000-00006A120000}"/>
    <cellStyle name="_MARION W10167649 23-09-08_CONCENTRATED QUOTE WLP401_CONCENTRATED QUOTE WLP440 3" xfId="4515" xr:uid="{00000000-0005-0000-0000-00006B120000}"/>
    <cellStyle name="_MARION W10167649 23-09-08_CONCENTRATED QUOTE WLP401_CONCENTRATED QUOTE WLP440 4" xfId="4516" xr:uid="{00000000-0005-0000-0000-00006C120000}"/>
    <cellStyle name="_MARION W10167649 23-09-08_CONCENTRATED QUOTE WLP401_CONCENTRATED QUOTE WLP440 5" xfId="4517" xr:uid="{00000000-0005-0000-0000-00006D120000}"/>
    <cellStyle name="_MARION W10167649 23-09-08_CONCENTRATED QUOTE WLP401_CONCENTRATED QUOTE WLP474" xfId="4518" xr:uid="{00000000-0005-0000-0000-00006E120000}"/>
    <cellStyle name="_MARION W10167649 23-09-08_CONCENTRATED QUOTE WLP401_CONCENTRATED QUOTE WLP474 2" xfId="4519" xr:uid="{00000000-0005-0000-0000-00006F120000}"/>
    <cellStyle name="_MARION W10167649 23-09-08_CONCENTRATED QUOTE WLP401_CONCENTRATED QUOTE WLP474 3" xfId="4520" xr:uid="{00000000-0005-0000-0000-000070120000}"/>
    <cellStyle name="_MARION W10167649 23-09-08_CONCENTRATED QUOTE WLP401_CONCENTRATED QUOTE WLP474 4" xfId="4521" xr:uid="{00000000-0005-0000-0000-000071120000}"/>
    <cellStyle name="_MARION W10167649 23-09-08_CONCENTRATED QUOTE WLP401_CONCENTRATED QUOTE WLP477" xfId="4522" xr:uid="{00000000-0005-0000-0000-000072120000}"/>
    <cellStyle name="_MARION W10167649 23-09-08_CONCENTRATED QUOTE WLP401_CONCENTRATED QUOTE WLP477 2" xfId="4523" xr:uid="{00000000-0005-0000-0000-000073120000}"/>
    <cellStyle name="_MARION W10167649 23-09-08_CONCENTRATED QUOTE WLP401_CONCENTRATED QUOTE WLP477 3" xfId="4524" xr:uid="{00000000-0005-0000-0000-000074120000}"/>
    <cellStyle name="_MARION W10167649 23-09-08_CONCENTRATED QUOTE WLP401_CONCENTRATED QUOTE WLP477 4" xfId="4525" xr:uid="{00000000-0005-0000-0000-000075120000}"/>
    <cellStyle name="_MARION W10167649 23-09-08_CONCENTRATED QUOTE WLP401_CONCENTRATED QUOTE WLP477 5" xfId="4526" xr:uid="{00000000-0005-0000-0000-000076120000}"/>
    <cellStyle name="_MARION W10167649 23-09-08_CONCENTRATED QUOTE WLP401_CONCENTRATED QUOTE WLP488" xfId="4527" xr:uid="{00000000-0005-0000-0000-000077120000}"/>
    <cellStyle name="_MARION W10167649 23-09-08_CONCENTRATED QUOTE WLP401_CONCENTRATED QUOTE WLP488 2" xfId="4528" xr:uid="{00000000-0005-0000-0000-000078120000}"/>
    <cellStyle name="_MARION W10167649 23-09-08_CONCENTRATED QUOTE WLP401_CONCENTRATED QUOTE WLP488 3" xfId="4529" xr:uid="{00000000-0005-0000-0000-000079120000}"/>
    <cellStyle name="_MARION W10167649 23-09-08_CONCENTRATED QUOTE WLP401_CONCENTRATED QUOTE WLP488 4" xfId="4530" xr:uid="{00000000-0005-0000-0000-00007A120000}"/>
    <cellStyle name="_MARION W10167649 23-09-08_CONCENTRATED QUOTE WLP401_CONCENTRATED QUOTE WLP488 5" xfId="4531" xr:uid="{00000000-0005-0000-0000-00007B120000}"/>
    <cellStyle name="_MARION W10167649 23-09-08_CONCENTRATED QUOTE WLP401_CONCENTRATED QUOTE WLP491" xfId="4532" xr:uid="{00000000-0005-0000-0000-00007C120000}"/>
    <cellStyle name="_MARION W10167649 23-09-08_CONCENTRATED QUOTE WLP401_CONCENTRATED QUOTE WLP491 2" xfId="4533" xr:uid="{00000000-0005-0000-0000-00007D120000}"/>
    <cellStyle name="_MARION W10167649 23-09-08_CONCENTRATED QUOTE WLP401_CONCENTRATED QUOTE WLP491 3" xfId="4534" xr:uid="{00000000-0005-0000-0000-00007E120000}"/>
    <cellStyle name="_MARION W10167649 23-09-08_CONCENTRATED QUOTE WLP401_CONCENTRATED QUOTE WLP491 4" xfId="4535" xr:uid="{00000000-0005-0000-0000-00007F120000}"/>
    <cellStyle name="_MARION W10167649 23-09-08_CONCENTRATED QUOTE WLP401_CONCENTRATED QUOTE WLP491 5" xfId="4536" xr:uid="{00000000-0005-0000-0000-000080120000}"/>
    <cellStyle name="_MARION W10167649 23-09-08_CONCENTRATED QUOTE WLP401_CONCENTRATED QUOTE WLP507A" xfId="4537" xr:uid="{00000000-0005-0000-0000-000081120000}"/>
    <cellStyle name="_MARION W10167649 23-09-08_CONCENTRATED QUOTE WLP401_CONCENTRATED QUOTE WLP507A 081909" xfId="4538" xr:uid="{00000000-0005-0000-0000-000082120000}"/>
    <cellStyle name="_MARION W10167649 23-09-08_CONCENTRATED QUOTE WLP401_CONCENTRATED QUOTE WLP507A 081909 2" xfId="4539" xr:uid="{00000000-0005-0000-0000-000083120000}"/>
    <cellStyle name="_MARION W10167649 23-09-08_CONCENTRATED QUOTE WLP401_CONCENTRATED QUOTE WLP507A 081909 3" xfId="4540" xr:uid="{00000000-0005-0000-0000-000084120000}"/>
    <cellStyle name="_MARION W10167649 23-09-08_CONCENTRATED QUOTE WLP401_CONCENTRATED QUOTE WLP507A 081909 4" xfId="4541" xr:uid="{00000000-0005-0000-0000-000085120000}"/>
    <cellStyle name="_MARION W10167649 23-09-08_CONCENTRATED QUOTE WLP401_CONCENTRATED QUOTE WLP507A 081909 5" xfId="4542" xr:uid="{00000000-0005-0000-0000-000086120000}"/>
    <cellStyle name="_MARION W10167649 23-09-08_CONCENTRATED QUOTE WLP401_CONCENTRATED QUOTE WLP507A 2" xfId="4543" xr:uid="{00000000-0005-0000-0000-000087120000}"/>
    <cellStyle name="_MARION W10167649 23-09-08_CONCENTRATED QUOTE WLP401_CONCENTRATED QUOTE WLP507A 3" xfId="4544" xr:uid="{00000000-0005-0000-0000-000088120000}"/>
    <cellStyle name="_MARION W10167649 23-09-08_CONCENTRATED QUOTE WLP401_CONCENTRATED QUOTE WLP507A 4" xfId="4545" xr:uid="{00000000-0005-0000-0000-000089120000}"/>
    <cellStyle name="_MARION W10167649 23-09-08_CONCENTRATED QUOTE WLP401_CONCENTRATED QUOTE WLP515" xfId="4546" xr:uid="{00000000-0005-0000-0000-00008A120000}"/>
    <cellStyle name="_MARION W10167649 23-09-08_CONCENTRATED QUOTE WLP401_CONCENTRATED QUOTE WLP515 2" xfId="4547" xr:uid="{00000000-0005-0000-0000-00008B120000}"/>
    <cellStyle name="_MARION W10167649 23-09-08_CONCENTRATED QUOTE WLP401_CONCENTRATED QUOTE WLP515 3" xfId="4548" xr:uid="{00000000-0005-0000-0000-00008C120000}"/>
    <cellStyle name="_MARION W10167649 23-09-08_CONCENTRATED QUOTE WLP401_CONCENTRATED QUOTE WLP515 4" xfId="4549" xr:uid="{00000000-0005-0000-0000-00008D120000}"/>
    <cellStyle name="_MARION W10167649 23-09-08_CONCENTRATED QUOTE WLP401_CONCENTRATED QUOTE WLP515 5" xfId="4550" xr:uid="{00000000-0005-0000-0000-00008E120000}"/>
    <cellStyle name="_MARION W10167649 23-09-08_CONCENTRATED QUOTE WLP401_CONCENTRATED QUOTE WLP528" xfId="4551" xr:uid="{00000000-0005-0000-0000-00008F120000}"/>
    <cellStyle name="_MARION W10167649 23-09-08_CONCENTRATED QUOTE WLP401_CONCENTRATED QUOTE WLP528 2" xfId="4552" xr:uid="{00000000-0005-0000-0000-000090120000}"/>
    <cellStyle name="_MARION W10167649 23-09-08_CONCENTRATED QUOTE WLP401_CONCENTRATED QUOTE WLP528 3" xfId="4553" xr:uid="{00000000-0005-0000-0000-000091120000}"/>
    <cellStyle name="_MARION W10167649 23-09-08_CONCENTRATED QUOTE WLP401_CONCENTRATED QUOTE WLP528 4" xfId="4554" xr:uid="{00000000-0005-0000-0000-000092120000}"/>
    <cellStyle name="_MARION W10167649 23-09-08_CONCENTRATED QUOTE WLP401_CONCENTRATED QUOTE WLP528 5" xfId="4555" xr:uid="{00000000-0005-0000-0000-000093120000}"/>
    <cellStyle name="_MARION W10167649 23-09-08_CONCENTRATED QUOTE WLP401_CONCENTRATED QUOTE WLP534" xfId="4556" xr:uid="{00000000-0005-0000-0000-000094120000}"/>
    <cellStyle name="_MARION W10167649 23-09-08_CONCENTRATED QUOTE WLP401_CONCENTRATED QUOTE WLP534 2" xfId="4557" xr:uid="{00000000-0005-0000-0000-000095120000}"/>
    <cellStyle name="_MARION W10167649 23-09-08_CONCENTRATED QUOTE WLP401_CONCENTRATED QUOTE WLP534 3" xfId="4558" xr:uid="{00000000-0005-0000-0000-000096120000}"/>
    <cellStyle name="_MARION W10167649 23-09-08_CONCENTRATED QUOTE WLP401_CONCENTRATED QUOTE WLP534 4" xfId="4559" xr:uid="{00000000-0005-0000-0000-000097120000}"/>
    <cellStyle name="_MARION W10167649 23-09-08_CONCENTRATED QUOTE WLP401_CONCENTRATED QUOTE WLP536" xfId="4560" xr:uid="{00000000-0005-0000-0000-000098120000}"/>
    <cellStyle name="_MARION W10167649 23-09-08_CONCENTRATED QUOTE WLP401_CONCENTRATED QUOTE WLP536 2" xfId="4561" xr:uid="{00000000-0005-0000-0000-000099120000}"/>
    <cellStyle name="_MARION W10167649 23-09-08_CONCENTRATED QUOTE WLP401_CONCENTRATED QUOTE WLP536 3" xfId="4562" xr:uid="{00000000-0005-0000-0000-00009A120000}"/>
    <cellStyle name="_MARION W10167649 23-09-08_CONCENTRATED QUOTE WLP401_CONCENTRATED QUOTE WLP536 4" xfId="4563" xr:uid="{00000000-0005-0000-0000-00009B120000}"/>
    <cellStyle name="_MARION W10167649 23-09-08_CONCENTRATED QUOTE WLP401_CONCENTRATED QUOTE WLP536 5" xfId="4564" xr:uid="{00000000-0005-0000-0000-00009C120000}"/>
    <cellStyle name="_MARION W10167649 23-09-08_CONCENTRATED QUOTE WLP401_CONCENTRATED QUOTE WLP545" xfId="4565" xr:uid="{00000000-0005-0000-0000-00009D120000}"/>
    <cellStyle name="_MARION W10167649 23-09-08_CONCENTRATED QUOTE WLP401_CONCENTRATED QUOTE WLP545 2" xfId="4566" xr:uid="{00000000-0005-0000-0000-00009E120000}"/>
    <cellStyle name="_MARION W10167649 23-09-08_CONCENTRATED QUOTE WLP401_CONCENTRATED QUOTE WLP545 3" xfId="4567" xr:uid="{00000000-0005-0000-0000-00009F120000}"/>
    <cellStyle name="_MARION W10167649 23-09-08_CONCENTRATED QUOTE WLP401_CONCENTRATED QUOTE WLP545 4" xfId="4568" xr:uid="{00000000-0005-0000-0000-0000A0120000}"/>
    <cellStyle name="_MARION W10167649 23-09-08_CONCENTRATED QUOTE WLP401_CONCENTRATED QUOTE WLP550" xfId="4569" xr:uid="{00000000-0005-0000-0000-0000A1120000}"/>
    <cellStyle name="_MARION W10167649 23-09-08_CONCENTRATED QUOTE WLP401_CONCENTRATED QUOTE WLP550 2" xfId="4570" xr:uid="{00000000-0005-0000-0000-0000A2120000}"/>
    <cellStyle name="_MARION W10167649 23-09-08_CONCENTRATED QUOTE WLP401_CONCENTRATED QUOTE WLP550 3" xfId="4571" xr:uid="{00000000-0005-0000-0000-0000A3120000}"/>
    <cellStyle name="_MARION W10167649 23-09-08_CONCENTRATED QUOTE WLP401_CONCENTRATED QUOTE WLP550 4" xfId="4572" xr:uid="{00000000-0005-0000-0000-0000A4120000}"/>
    <cellStyle name="_MARION W10167649 23-09-08_CONCENTRATED QUOTE WLP401_CONCENTRATED QUOTE WLP550 5" xfId="4573" xr:uid="{00000000-0005-0000-0000-0000A5120000}"/>
    <cellStyle name="_MARION W10167649 23-09-08_CONCENTRATED QUOTE WLP401_CONCENTRATED QUOTE WLP552" xfId="4574" xr:uid="{00000000-0005-0000-0000-0000A6120000}"/>
    <cellStyle name="_MARION W10167649 23-09-08_CONCENTRATED QUOTE WLP401_CONCENTRATED QUOTE WLP552 2" xfId="4575" xr:uid="{00000000-0005-0000-0000-0000A7120000}"/>
    <cellStyle name="_MARION W10167649 23-09-08_CONCENTRATED QUOTE WLP401_CONCENTRATED QUOTE WLP552 3" xfId="4576" xr:uid="{00000000-0005-0000-0000-0000A8120000}"/>
    <cellStyle name="_MARION W10167649 23-09-08_CONCENTRATED QUOTE WLP401_CONCENTRATED QUOTE WLP552 4" xfId="4577" xr:uid="{00000000-0005-0000-0000-0000A9120000}"/>
    <cellStyle name="_MARION W10167649 23-09-08_CONCENTRATED QUOTE WLP401_CONCENTRATED QUOTE WLP5565" xfId="4578" xr:uid="{00000000-0005-0000-0000-0000AA120000}"/>
    <cellStyle name="_MARION W10167649 23-09-08_CONCENTRATED QUOTE WLP401_CONCENTRATED QUOTE WLP5565 2" xfId="4579" xr:uid="{00000000-0005-0000-0000-0000AB120000}"/>
    <cellStyle name="_MARION W10167649 23-09-08_CONCENTRATED QUOTE WLP401_CONCENTRATED QUOTE WLP5565 3" xfId="4580" xr:uid="{00000000-0005-0000-0000-0000AC120000}"/>
    <cellStyle name="_MARION W10167649 23-09-08_CONCENTRATED QUOTE WLP401_CONCENTRATED QUOTE WLP5565 4" xfId="4581" xr:uid="{00000000-0005-0000-0000-0000AD120000}"/>
    <cellStyle name="_MARION W10167649 23-09-08_CONCENTRATED QUOTE WLP401_CONCENTRATED QUOTE WLP559" xfId="4582" xr:uid="{00000000-0005-0000-0000-0000AE120000}"/>
    <cellStyle name="_MARION W10167649 23-09-08_CONCENTRATED QUOTE WLP401_CONCENTRATED QUOTE WLP568" xfId="4583" xr:uid="{00000000-0005-0000-0000-0000AF120000}"/>
    <cellStyle name="_MARION W10167649 23-09-08_CONCENTRATED QUOTE WLP401_CONCENTRATED QUOTE WLP571" xfId="4584" xr:uid="{00000000-0005-0000-0000-0000B0120000}"/>
    <cellStyle name="_MARION W10167649 23-09-08_CONCENTRATED QUOTE WLP401_CONCENTRATED QUOTE WLP574  ALPHA" xfId="4585" xr:uid="{00000000-0005-0000-0000-0000B1120000}"/>
    <cellStyle name="_MARION W10167649 23-09-08_CONCENTRATED QUOTE WLP401_CONCENTRATED QUOTE WLP574  ALPHA 2" xfId="4586" xr:uid="{00000000-0005-0000-0000-0000B2120000}"/>
    <cellStyle name="_MARION W10167649 23-09-08_CONCENTRATED QUOTE WLP401_CONCENTRATED QUOTE WLP574  ALPHA 3" xfId="4587" xr:uid="{00000000-0005-0000-0000-0000B3120000}"/>
    <cellStyle name="_MARION W10167649 23-09-08_CONCENTRATED QUOTE WLP401_CONCENTRATED QUOTE WLP574  ALPHA 4" xfId="4588" xr:uid="{00000000-0005-0000-0000-0000B4120000}"/>
    <cellStyle name="_MARION W10167649 23-09-08_CONCENTRATED QUOTE WLP401_CONCENTRATED QUOTE WLP574  ALPHA 5" xfId="4589" xr:uid="{00000000-0005-0000-0000-0000B5120000}"/>
    <cellStyle name="_MARION W10167649 23-09-08_CONCENTRATED QUOTE WLP401_CONCENTRATED QUOTE WLP610 VMW CLC" xfId="4590" xr:uid="{00000000-0005-0000-0000-0000B6120000}"/>
    <cellStyle name="_MARION W10167649 23-09-08_CONCENTRATED QUOTE WLP401_CONCENTRATED QUOTE WLP610 VMW CLC 2" xfId="4591" xr:uid="{00000000-0005-0000-0000-0000B7120000}"/>
    <cellStyle name="_MARION W10167649 23-09-08_CONCENTRATED QUOTE WLP401_CONCENTRATED QUOTE WLP610 VMW CLC 3" xfId="4592" xr:uid="{00000000-0005-0000-0000-0000B8120000}"/>
    <cellStyle name="_MARION W10167649 23-09-08_CONCENTRATED QUOTE WLP401_CONCENTRATED QUOTE WLP610 VMW CLC 4" xfId="4593" xr:uid="{00000000-0005-0000-0000-0000B9120000}"/>
    <cellStyle name="_MARION W10167649 23-09-08_CONCENTRATED QUOTE WLP401_CONCENTRATED QUOTE WLP610 VMW CLC 5" xfId="4594" xr:uid="{00000000-0005-0000-0000-0000BA120000}"/>
    <cellStyle name="_MARION W10167649 23-09-08_CONCENTRATED QUOTE WLP401_CONCENTRATED QUOTE WLP623 071310" xfId="4595" xr:uid="{00000000-0005-0000-0000-0000BB120000}"/>
    <cellStyle name="_MARION W10167649 23-09-08_CONCENTRATED QUOTE WLP401_CONCENTRATED QUOTE WLP628" xfId="4596" xr:uid="{00000000-0005-0000-0000-0000BC120000}"/>
    <cellStyle name="_MARION W10167649 23-09-08_CONCENTRATED QUOTE WLP401_CONCENTRATED QUOTE WLP628 2" xfId="4597" xr:uid="{00000000-0005-0000-0000-0000BD120000}"/>
    <cellStyle name="_MARION W10167649 23-09-08_CONCENTRATED QUOTE WLP401_CONCENTRATED QUOTE WLP628 3" xfId="4598" xr:uid="{00000000-0005-0000-0000-0000BE120000}"/>
    <cellStyle name="_MARION W10167649 23-09-08_CONCENTRATED QUOTE WLP401_CONCENTRATED QUOTE WLP628 4" xfId="4599" xr:uid="{00000000-0005-0000-0000-0000BF120000}"/>
    <cellStyle name="_MARION W10167649 23-09-08_CONCENTRATED QUOTE WLP401_CONCENTRATED QUOTE WLP628 5" xfId="4600" xr:uid="{00000000-0005-0000-0000-0000C0120000}"/>
    <cellStyle name="_MARION W10167649 23-09-08_CONCENTRATED QUOTE WLP401_CONCENTRATED QUOTE WLP634 VMW MTAG" xfId="4601" xr:uid="{00000000-0005-0000-0000-0000C1120000}"/>
    <cellStyle name="_MARION W10167649 23-09-08_CONCENTRATED QUOTE WLP401_CONCENTRATED QUOTE WLP635" xfId="4602" xr:uid="{00000000-0005-0000-0000-0000C2120000}"/>
    <cellStyle name="_MARION W10167649 23-09-08_CONCENTRATED QUOTE WLP401_CONCENTRATED QUOTE WLP646" xfId="4603" xr:uid="{00000000-0005-0000-0000-0000C3120000}"/>
    <cellStyle name="_MARION W10167649 23-09-08_CONCENTRATED QUOTE WLP401_CONCENTRATED QUOTE WLP646 2" xfId="4604" xr:uid="{00000000-0005-0000-0000-0000C4120000}"/>
    <cellStyle name="_MARION W10167649 23-09-08_CONCENTRATED QUOTE WLP401_CONCENTRATED QUOTE WLP646 3" xfId="4605" xr:uid="{00000000-0005-0000-0000-0000C5120000}"/>
    <cellStyle name="_MARION W10167649 23-09-08_CONCENTRATED QUOTE WLP401_CONCENTRATED QUOTE WLP646 4" xfId="4606" xr:uid="{00000000-0005-0000-0000-0000C6120000}"/>
    <cellStyle name="_MARION W10167649 23-09-08_CONCENTRATED QUOTE WLP401_CONCENTRATED QUOTE WLP646 5" xfId="4607" xr:uid="{00000000-0005-0000-0000-0000C7120000}"/>
    <cellStyle name="_MARION W10167649 23-09-08_CONCENTRATED QUOTE WLP401_Copy of CONCENTRATED QUOTE WLP579" xfId="4608" xr:uid="{00000000-0005-0000-0000-0000C8120000}"/>
    <cellStyle name="_MARION W10167649 23-09-08_CONCENTRATED QUOTE WLP401_Copy of CONCENTRATED QUOTE WLP579 2" xfId="4609" xr:uid="{00000000-0005-0000-0000-0000C9120000}"/>
    <cellStyle name="_MARION W10167649 23-09-08_CONCENTRATED QUOTE WLP401_Copy of CONCENTRATED QUOTE WLP579 3" xfId="4610" xr:uid="{00000000-0005-0000-0000-0000CA120000}"/>
    <cellStyle name="_MARION W10167649 23-09-08_CONCENTRATED QUOTE WLP401_Copy of CONCENTRATED QUOTE WLP579 4" xfId="4611" xr:uid="{00000000-0005-0000-0000-0000CB120000}"/>
    <cellStyle name="_MARION W10167649 23-09-08_CONCENTRATED QUOTE WLP401_Dekko HE P3-Classic P1" xfId="4612" xr:uid="{00000000-0005-0000-0000-0000CC120000}"/>
    <cellStyle name="_MARION W10167649 23-09-08_CONCENTRATED QUOTE WLP401_Dekko HE P3-Classic P1 2" xfId="4613" xr:uid="{00000000-0005-0000-0000-0000CD120000}"/>
    <cellStyle name="_MARION W10167649 23-09-08_CONCENTRATED QUOTE WLP401_Dekko HE P3-Classic P1 3" xfId="4614" xr:uid="{00000000-0005-0000-0000-0000CE120000}"/>
    <cellStyle name="_MARION W10167649 23-09-08_CONCENTRATED QUOTE WLP401_Dekko HE P3-Classic P1 4" xfId="4615" xr:uid="{00000000-0005-0000-0000-0000CF120000}"/>
    <cellStyle name="_MARION W10167649 23-09-08_CONCENTRATED QUOTE WLP401_ESTC1CLY0012" xfId="4616" xr:uid="{00000000-0005-0000-0000-0000D0120000}"/>
    <cellStyle name="_MARION W10167649 23-09-08_CONCENTRATED QUOTE WLP401_ESTC1CLY0012 2" xfId="4617" xr:uid="{00000000-0005-0000-0000-0000D1120000}"/>
    <cellStyle name="_MARION W10167649 23-09-08_CONCENTRATED QUOTE WLP401_ESTC1CLY0012 3" xfId="4618" xr:uid="{00000000-0005-0000-0000-0000D2120000}"/>
    <cellStyle name="_MARION W10167649 23-09-08_CONCENTRATED QUOTE WLP401_ESTC1CLY0012 4" xfId="4619" xr:uid="{00000000-0005-0000-0000-0000D3120000}"/>
    <cellStyle name="_MARION W10167649 23-09-08_CONCENTRATED QUOTE WLP401_ESTC1CLY0013" xfId="4620" xr:uid="{00000000-0005-0000-0000-0000D4120000}"/>
    <cellStyle name="_MARION W10167649 23-09-08_CONCENTRATED QUOTE WLP401_ESTC1CLY0013 2" xfId="4621" xr:uid="{00000000-0005-0000-0000-0000D5120000}"/>
    <cellStyle name="_MARION W10167649 23-09-08_CONCENTRATED QUOTE WLP401_ESTC1CLY0013 3" xfId="4622" xr:uid="{00000000-0005-0000-0000-0000D6120000}"/>
    <cellStyle name="_MARION W10167649 23-09-08_CONCENTRATED QUOTE WLP401_ESTC1CLY0013 4" xfId="4623" xr:uid="{00000000-0005-0000-0000-0000D7120000}"/>
    <cellStyle name="_MARION W10167649 23-09-08_CONCENTRATED QUOTE WLP401_ESTC1FIN018" xfId="4624" xr:uid="{00000000-0005-0000-0000-0000D8120000}"/>
    <cellStyle name="_MARION W10167649 23-09-08_CONCENTRATED QUOTE WLP401_Estimated Quote 050609 039" xfId="4625" xr:uid="{00000000-0005-0000-0000-0000D9120000}"/>
    <cellStyle name="_MARION W10167649 23-09-08_CONCENTRATED QUOTE WLP401_Estimated Quote 050609 039 2" xfId="4626" xr:uid="{00000000-0005-0000-0000-0000DA120000}"/>
    <cellStyle name="_MARION W10167649 23-09-08_CONCENTRATED QUOTE WLP401_Estimated Quote 050609 039 3" xfId="4627" xr:uid="{00000000-0005-0000-0000-0000DB120000}"/>
    <cellStyle name="_MARION W10167649 23-09-08_CONCENTRATED QUOTE WLP401_Estimated Quote 050609 039 4" xfId="4628" xr:uid="{00000000-0005-0000-0000-0000DC120000}"/>
    <cellStyle name="_MARION W10167649 23-09-08_CONCENTRATED QUOTE WLP401_Estimated Quote 050609 039 5" xfId="4629" xr:uid="{00000000-0005-0000-0000-0000DD120000}"/>
    <cellStyle name="_MARION W10167649 23-09-08_CONCENTRATED QUOTE WLP401_W01278760" xfId="4630" xr:uid="{00000000-0005-0000-0000-0000DE120000}"/>
    <cellStyle name="_MARION W10167649 23-09-08_CONCENTRATED QUOTE WLP401_W01278760 2" xfId="4631" xr:uid="{00000000-0005-0000-0000-0000DF120000}"/>
    <cellStyle name="_MARION W10167649 23-09-08_CONCENTRATED QUOTE WLP401_W01278760 3" xfId="4632" xr:uid="{00000000-0005-0000-0000-0000E0120000}"/>
    <cellStyle name="_MARION W10167649 23-09-08_CONCENTRATED QUOTE WLP401_W01278760 4" xfId="4633" xr:uid="{00000000-0005-0000-0000-0000E1120000}"/>
    <cellStyle name="_MARION W10167649 23-09-08_CONCENTRATED QUOTE WLP401_W01278760 5" xfId="4634" xr:uid="{00000000-0005-0000-0000-0000E2120000}"/>
    <cellStyle name="_MARION W10167649 23-09-08_CONCENTRATED QUOTE WLP401_W10251442" xfId="4635" xr:uid="{00000000-0005-0000-0000-0000E3120000}"/>
    <cellStyle name="_MARION W10167649 23-09-08_CONCENTRATED QUOTE WLP401_W10251443" xfId="4636" xr:uid="{00000000-0005-0000-0000-0000E4120000}"/>
    <cellStyle name="_MARION W10167649 23-09-08_CONCENTRATED QUOTE WLP401_W10251444" xfId="4637" xr:uid="{00000000-0005-0000-0000-0000E5120000}"/>
    <cellStyle name="_MARION W10167649 23-09-08_CONCENTRATED QUOTE WLP401_W10251766 D" xfId="4638" xr:uid="{00000000-0005-0000-0000-0000E6120000}"/>
    <cellStyle name="_MARION W10167649 23-09-08_CONCENTRATED QUOTE WLP401_W10278758" xfId="4639" xr:uid="{00000000-0005-0000-0000-0000E7120000}"/>
    <cellStyle name="_MARION W10167649 23-09-08_CONCENTRATED QUOTE WLP401_W10278758 2" xfId="4640" xr:uid="{00000000-0005-0000-0000-0000E8120000}"/>
    <cellStyle name="_MARION W10167649 23-09-08_CONCENTRATED QUOTE WLP401_W10278758 3" xfId="4641" xr:uid="{00000000-0005-0000-0000-0000E9120000}"/>
    <cellStyle name="_MARION W10167649 23-09-08_CONCENTRATED QUOTE WLP401_W10278758 4" xfId="4642" xr:uid="{00000000-0005-0000-0000-0000EA120000}"/>
    <cellStyle name="_MARION W10167649 23-09-08_CONCENTRATED QUOTE WLP401_W10278758 5" xfId="4643" xr:uid="{00000000-0005-0000-0000-0000EB120000}"/>
    <cellStyle name="_MARION W10167649 23-09-08_CONCENTRATED QUOTE WLP401_W10278759" xfId="4644" xr:uid="{00000000-0005-0000-0000-0000EC120000}"/>
    <cellStyle name="_MARION W10167649 23-09-08_CONCENTRATED QUOTE WLP401_W10279106 y W10279107 de MR a 56i" xfId="4645" xr:uid="{00000000-0005-0000-0000-0000ED120000}"/>
    <cellStyle name="_MARION W10167649 23-09-08_CONCENTRATED QUOTE WLP401_W10290772" xfId="4646" xr:uid="{00000000-0005-0000-0000-0000EE120000}"/>
    <cellStyle name="_MARION W10167649 23-09-08_CONCENTRATED QUOTE WLP401_W10290772 2" xfId="4647" xr:uid="{00000000-0005-0000-0000-0000EF120000}"/>
    <cellStyle name="_MARION W10167649 23-09-08_CONCENTRATED QUOTE WLP401_W10290772 3" xfId="4648" xr:uid="{00000000-0005-0000-0000-0000F0120000}"/>
    <cellStyle name="_MARION W10167649 23-09-08_CONCENTRATED QUOTE WLP401_W10290772 4" xfId="4649" xr:uid="{00000000-0005-0000-0000-0000F1120000}"/>
    <cellStyle name="_MARION W10167649 23-09-08_CONCENTRATED QUOTE WLP401_W10290772 5" xfId="4650" xr:uid="{00000000-0005-0000-0000-0000F2120000}"/>
    <cellStyle name="_MARION W10167649 23-09-08_CONCENTRATED QUOTE WLP401_W10290774" xfId="4651" xr:uid="{00000000-0005-0000-0000-0000F3120000}"/>
    <cellStyle name="_MARION W10167649 23-09-08_CONCENTRATED QUOTE WLP401_W10290774 2" xfId="4652" xr:uid="{00000000-0005-0000-0000-0000F4120000}"/>
    <cellStyle name="_MARION W10167649 23-09-08_CONCENTRATED QUOTE WLP401_W10290774 3" xfId="4653" xr:uid="{00000000-0005-0000-0000-0000F5120000}"/>
    <cellStyle name="_MARION W10167649 23-09-08_CONCENTRATED QUOTE WLP401_W10290774 4" xfId="4654" xr:uid="{00000000-0005-0000-0000-0000F6120000}"/>
    <cellStyle name="_MARION W10167649 23-09-08_CONCENTRATED QUOTE WLP401_W10290774 5" xfId="4655" xr:uid="{00000000-0005-0000-0000-0000F7120000}"/>
    <cellStyle name="_MARION W10167649 23-09-08_CONCENTRATED QUOTE WLP401_W10300883" xfId="4656" xr:uid="{00000000-0005-0000-0000-0000F8120000}"/>
    <cellStyle name="_MARION W10167649 23-09-08_CONCENTRATED QUOTE WLP401_W10300883 2" xfId="4657" xr:uid="{00000000-0005-0000-0000-0000F9120000}"/>
    <cellStyle name="_MARION W10167649 23-09-08_CONCENTRATED QUOTE WLP401_W10300883 3" xfId="4658" xr:uid="{00000000-0005-0000-0000-0000FA120000}"/>
    <cellStyle name="_MARION W10167649 23-09-08_CONCENTRATED QUOTE WLP401_W10300883 4" xfId="4659" xr:uid="{00000000-0005-0000-0000-0000FB120000}"/>
    <cellStyle name="_MARION W10167649 23-09-08_CONCENTRATED QUOTE WLP401_W10300883 5" xfId="4660" xr:uid="{00000000-0005-0000-0000-0000FC120000}"/>
    <cellStyle name="_MARION W10167649 23-09-08_CONCENTRATED QUOTE WLP401_W10315922 A" xfId="4661" xr:uid="{00000000-0005-0000-0000-0000FD120000}"/>
    <cellStyle name="_MARION W10167649 23-09-08_CONCENTRATED QUOTE WLP401_WPFINDLAY-0037" xfId="4662" xr:uid="{00000000-0005-0000-0000-0000FE120000}"/>
    <cellStyle name="_MARION W10167649 23-09-08_CONCENTRATED QUOTE WLP401_WPN145 3954933" xfId="4663" xr:uid="{00000000-0005-0000-0000-0000FF120000}"/>
    <cellStyle name="_MARION W10167649 23-09-08_CONCENTRATED QUOTE WLP401_WPN145 3954933 2" xfId="4664" xr:uid="{00000000-0005-0000-0000-000000130000}"/>
    <cellStyle name="_MARION W10167649 23-09-08_CONCENTRATED QUOTE WLP401_WPN145 3954933 3" xfId="4665" xr:uid="{00000000-0005-0000-0000-000001130000}"/>
    <cellStyle name="_MARION W10167649 23-09-08_CONCENTRATED QUOTE WLP401_WPN145 3954933 4" xfId="4666" xr:uid="{00000000-0005-0000-0000-000002130000}"/>
    <cellStyle name="_MARION W10167649 23-09-08_CONCENTRATED QUOTE WLP401_WPN145 3954933 5" xfId="4667" xr:uid="{00000000-0005-0000-0000-000003130000}"/>
    <cellStyle name="_MARION W10167649 23-09-08_CONCENTRATED QUOTE WLP401_WPN163 8576530" xfId="4668" xr:uid="{00000000-0005-0000-0000-000004130000}"/>
    <cellStyle name="_MARION W10167649 23-09-08_CONCENTRATED QUOTE WLP401_WPN163 8576530 2" xfId="4669" xr:uid="{00000000-0005-0000-0000-000005130000}"/>
    <cellStyle name="_MARION W10167649 23-09-08_CONCENTRATED QUOTE WLP401_WPN163 8576530 3" xfId="4670" xr:uid="{00000000-0005-0000-0000-000006130000}"/>
    <cellStyle name="_MARION W10167649 23-09-08_CONCENTRATED QUOTE WLP401_WPN163 8576530 4" xfId="4671" xr:uid="{00000000-0005-0000-0000-000007130000}"/>
    <cellStyle name="_MARION W10167649 23-09-08_CONCENTRATED QUOTE WLP401_xCONCENTRATED QUOTE 2" xfId="4672" xr:uid="{00000000-0005-0000-0000-000008130000}"/>
    <cellStyle name="_MARION W10167649 23-09-08_CONCENTRATED QUOTE WLP401_xCONCENTRATED QUOTE 2 2" xfId="4673" xr:uid="{00000000-0005-0000-0000-000009130000}"/>
    <cellStyle name="_MARION W10167649 23-09-08_CONCENTRATED QUOTE WLP401_xCONCENTRATED QUOTE 2 3" xfId="4674" xr:uid="{00000000-0005-0000-0000-00000A130000}"/>
    <cellStyle name="_MARION W10167649 23-09-08_CONCENTRATED QUOTE WLP401_xCONCENTRATED QUOTE 2 4" xfId="4675" xr:uid="{00000000-0005-0000-0000-00000B130000}"/>
    <cellStyle name="_MARION W10167649 23-09-08_CONCENTRATED QUOTE WLP401_xCONCENTRATED QUOTE 2 5" xfId="4676" xr:uid="{00000000-0005-0000-0000-00000C130000}"/>
    <cellStyle name="_MARION W10167649 23-09-08_CONCENTRATED QUOTE WLP401_xCONCENTRATED QUOTE 3" xfId="4677" xr:uid="{00000000-0005-0000-0000-00000D130000}"/>
    <cellStyle name="_MARION W10167649 23-09-08_CONCENTRATED QUOTE WLP401_xCONCENTRATED QUOTE 3 2" xfId="4678" xr:uid="{00000000-0005-0000-0000-00000E130000}"/>
    <cellStyle name="_MARION W10167649 23-09-08_CONCENTRATED QUOTE WLP401_xCONCENTRATED QUOTE 3 3" xfId="4679" xr:uid="{00000000-0005-0000-0000-00000F130000}"/>
    <cellStyle name="_MARION W10167649 23-09-08_CONCENTRATED QUOTE WLP401_xCONCENTRATED QUOTE 3 4" xfId="4680" xr:uid="{00000000-0005-0000-0000-000010130000}"/>
    <cellStyle name="_MARION W10167649 23-09-08_CONCENTRATED QUOTE WLP401_xCONCENTRATED QUOTE 3 5" xfId="4681" xr:uid="{00000000-0005-0000-0000-000011130000}"/>
    <cellStyle name="_MARION W10167649 23-09-08_CONCENTRATED QUOTE WLP401_Xl0000004" xfId="4682" xr:uid="{00000000-0005-0000-0000-000012130000}"/>
    <cellStyle name="_MARION W10167649 23-09-08_CONCENTRATED QUOTE WLP401_Xl0000004 2" xfId="4683" xr:uid="{00000000-0005-0000-0000-000013130000}"/>
    <cellStyle name="_MARION W10167649 23-09-08_CONCENTRATED QUOTE WLP401_Xl0000004 3" xfId="4684" xr:uid="{00000000-0005-0000-0000-000014130000}"/>
    <cellStyle name="_MARION W10167649 23-09-08_CONCENTRATED QUOTE WLP401_Xl0000004 4" xfId="4685" xr:uid="{00000000-0005-0000-0000-000015130000}"/>
    <cellStyle name="_MARION W10167649 23-09-08_CONCENTRATED QUOTE WLP401_Xl0000004 5" xfId="4686" xr:uid="{00000000-0005-0000-0000-000016130000}"/>
    <cellStyle name="_MARION W10167649 23-09-08_CONCENTRATED QUOTE WLP403" xfId="4687" xr:uid="{00000000-0005-0000-0000-000017130000}"/>
    <cellStyle name="_MARION W10167649 23-09-08_CONCENTRATED QUOTE WLP403 2" xfId="4688" xr:uid="{00000000-0005-0000-0000-000018130000}"/>
    <cellStyle name="_MARION W10167649 23-09-08_CONCENTRATED QUOTE WLP403 3" xfId="4689" xr:uid="{00000000-0005-0000-0000-000019130000}"/>
    <cellStyle name="_MARION W10167649 23-09-08_CONCENTRATED QUOTE WLP403 4" xfId="4690" xr:uid="{00000000-0005-0000-0000-00001A130000}"/>
    <cellStyle name="_MARION W10167649 23-09-08_CONCENTRATED QUOTE WLP403_862-CH" xfId="4691" xr:uid="{00000000-0005-0000-0000-00001B130000}"/>
    <cellStyle name="_MARION W10167649 23-09-08_CONCENTRATED QUOTE WLP403_CONCENTRATED QUOTE WLP417 OP 3" xfId="4692" xr:uid="{00000000-0005-0000-0000-00001C130000}"/>
    <cellStyle name="_MARION W10167649 23-09-08_CONCENTRATED QUOTE WLP403_CONCENTRATED QUOTE WLP417 OP 3 2" xfId="4693" xr:uid="{00000000-0005-0000-0000-00001D130000}"/>
    <cellStyle name="_MARION W10167649 23-09-08_CONCENTRATED QUOTE WLP403_CONCENTRATED QUOTE WLP417 OP 3 2 2" xfId="4694" xr:uid="{00000000-0005-0000-0000-00001E130000}"/>
    <cellStyle name="_MARION W10167649 23-09-08_CONCENTRATED QUOTE WLP403_CONCENTRATED QUOTE WLP417 OP 3 2 3" xfId="4695" xr:uid="{00000000-0005-0000-0000-00001F130000}"/>
    <cellStyle name="_MARION W10167649 23-09-08_CONCENTRATED QUOTE WLP403_CONCENTRATED QUOTE WLP417 OP 3 2 4" xfId="4696" xr:uid="{00000000-0005-0000-0000-000020130000}"/>
    <cellStyle name="_MARION W10167649 23-09-08_CONCENTRATED QUOTE WLP403_CONCENTRATED QUOTE WLP417 OP 3 3" xfId="4697" xr:uid="{00000000-0005-0000-0000-000021130000}"/>
    <cellStyle name="_MARION W10167649 23-09-08_CONCENTRATED QUOTE WLP403_CONCENTRATED QUOTE WLP417 OP 3_862-CH" xfId="4698" xr:uid="{00000000-0005-0000-0000-000022130000}"/>
    <cellStyle name="_MARION W10167649 23-09-08_CONCENTRATED QUOTE WLP403_CONCENTRATED QUOTE WLP417 OP 3_W10251766 D" xfId="4699" xr:uid="{00000000-0005-0000-0000-000023130000}"/>
    <cellStyle name="_MARION W10167649 23-09-08_CONCENTRATED QUOTE WLP403_CONCENTRATED QUOTE WLP417 OP 3_W10279106 y W10279107 de MR a 56i" xfId="4700" xr:uid="{00000000-0005-0000-0000-000024130000}"/>
    <cellStyle name="_MARION W10167649 23-09-08_CONCENTRATED QUOTE WLP403_CONCENTRATED QUOTE WLP417 OP 3_W10315922 A" xfId="4701" xr:uid="{00000000-0005-0000-0000-000025130000}"/>
    <cellStyle name="_MARION W10167649 23-09-08_CONCENTRATED QUOTE WLP403_CONCENTRATED QUOTE WLP417 OP 4" xfId="4702" xr:uid="{00000000-0005-0000-0000-000026130000}"/>
    <cellStyle name="_MARION W10167649 23-09-08_CONCENTRATED QUOTE WLP403_CONCENTRATED QUOTE WLP417 OP 4 2" xfId="4703" xr:uid="{00000000-0005-0000-0000-000027130000}"/>
    <cellStyle name="_MARION W10167649 23-09-08_CONCENTRATED QUOTE WLP403_CONCENTRATED QUOTE WLP417 OP 4 2 2" xfId="4704" xr:uid="{00000000-0005-0000-0000-000028130000}"/>
    <cellStyle name="_MARION W10167649 23-09-08_CONCENTRATED QUOTE WLP403_CONCENTRATED QUOTE WLP417 OP 4 2 3" xfId="4705" xr:uid="{00000000-0005-0000-0000-000029130000}"/>
    <cellStyle name="_MARION W10167649 23-09-08_CONCENTRATED QUOTE WLP403_CONCENTRATED QUOTE WLP417 OP 4 2 4" xfId="4706" xr:uid="{00000000-0005-0000-0000-00002A130000}"/>
    <cellStyle name="_MARION W10167649 23-09-08_CONCENTRATED QUOTE WLP403_CONCENTRATED QUOTE WLP417 OP 4 3" xfId="4707" xr:uid="{00000000-0005-0000-0000-00002B130000}"/>
    <cellStyle name="_MARION W10167649 23-09-08_CONCENTRATED QUOTE WLP403_CONCENTRATED QUOTE WLP417 OP 4_862-CH" xfId="4708" xr:uid="{00000000-0005-0000-0000-00002C130000}"/>
    <cellStyle name="_MARION W10167649 23-09-08_CONCENTRATED QUOTE WLP403_CONCENTRATED QUOTE WLP417 OP 4_W10251766 D" xfId="4709" xr:uid="{00000000-0005-0000-0000-00002D130000}"/>
    <cellStyle name="_MARION W10167649 23-09-08_CONCENTRATED QUOTE WLP403_CONCENTRATED QUOTE WLP417 OP 4_W10279106 y W10279107 de MR a 56i" xfId="4710" xr:uid="{00000000-0005-0000-0000-00002E130000}"/>
    <cellStyle name="_MARION W10167649 23-09-08_CONCENTRATED QUOTE WLP403_CONCENTRATED QUOTE WLP417 OP 4_W10315922 A" xfId="4711" xr:uid="{00000000-0005-0000-0000-00002F130000}"/>
    <cellStyle name="_MARION W10167649 23-09-08_CONCENTRATED QUOTE WLP403_CONCENTRATED QUOTE WLP417 OP 5" xfId="4712" xr:uid="{00000000-0005-0000-0000-000030130000}"/>
    <cellStyle name="_MARION W10167649 23-09-08_CONCENTRATED QUOTE WLP403_CONCENTRATED QUOTE WLP417 OP 5 2" xfId="4713" xr:uid="{00000000-0005-0000-0000-000031130000}"/>
    <cellStyle name="_MARION W10167649 23-09-08_CONCENTRATED QUOTE WLP403_CONCENTRATED QUOTE WLP417 OP 5 2 2" xfId="4714" xr:uid="{00000000-0005-0000-0000-000032130000}"/>
    <cellStyle name="_MARION W10167649 23-09-08_CONCENTRATED QUOTE WLP403_CONCENTRATED QUOTE WLP417 OP 5 2 3" xfId="4715" xr:uid="{00000000-0005-0000-0000-000033130000}"/>
    <cellStyle name="_MARION W10167649 23-09-08_CONCENTRATED QUOTE WLP403_CONCENTRATED QUOTE WLP417 OP 5 2 4" xfId="4716" xr:uid="{00000000-0005-0000-0000-000034130000}"/>
    <cellStyle name="_MARION W10167649 23-09-08_CONCENTRATED QUOTE WLP403_CONCENTRATED QUOTE WLP417 OP 5 3" xfId="4717" xr:uid="{00000000-0005-0000-0000-000035130000}"/>
    <cellStyle name="_MARION W10167649 23-09-08_CONCENTRATED QUOTE WLP403_CONCENTRATED QUOTE WLP417 OP 5_862-CH" xfId="4718" xr:uid="{00000000-0005-0000-0000-000036130000}"/>
    <cellStyle name="_MARION W10167649 23-09-08_CONCENTRATED QUOTE WLP403_CONCENTRATED QUOTE WLP417 OP 5_W10251766 D" xfId="4719" xr:uid="{00000000-0005-0000-0000-000037130000}"/>
    <cellStyle name="_MARION W10167649 23-09-08_CONCENTRATED QUOTE WLP403_CONCENTRATED QUOTE WLP417 OP 5_W10279106 y W10279107 de MR a 56i" xfId="4720" xr:uid="{00000000-0005-0000-0000-000038130000}"/>
    <cellStyle name="_MARION W10167649 23-09-08_CONCENTRATED QUOTE WLP403_CONCENTRATED QUOTE WLP417 OP 5_W10315922 A" xfId="4721" xr:uid="{00000000-0005-0000-0000-000039130000}"/>
    <cellStyle name="_MARION W10167649 23-09-08_CONCENTRATED QUOTE WLP403_CONCENTRATED QUOTE WLP417 OP 6" xfId="4722" xr:uid="{00000000-0005-0000-0000-00003A130000}"/>
    <cellStyle name="_MARION W10167649 23-09-08_CONCENTRATED QUOTE WLP403_CONCENTRATED QUOTE WLP417 OP 6 2" xfId="4723" xr:uid="{00000000-0005-0000-0000-00003B130000}"/>
    <cellStyle name="_MARION W10167649 23-09-08_CONCENTRATED QUOTE WLP403_CONCENTRATED QUOTE WLP417 OP 6 2 2" xfId="4724" xr:uid="{00000000-0005-0000-0000-00003C130000}"/>
    <cellStyle name="_MARION W10167649 23-09-08_CONCENTRATED QUOTE WLP403_CONCENTRATED QUOTE WLP417 OP 6 2 3" xfId="4725" xr:uid="{00000000-0005-0000-0000-00003D130000}"/>
    <cellStyle name="_MARION W10167649 23-09-08_CONCENTRATED QUOTE WLP403_CONCENTRATED QUOTE WLP417 OP 6 2 4" xfId="4726" xr:uid="{00000000-0005-0000-0000-00003E130000}"/>
    <cellStyle name="_MARION W10167649 23-09-08_CONCENTRATED QUOTE WLP403_CONCENTRATED QUOTE WLP417 OP 6 3" xfId="4727" xr:uid="{00000000-0005-0000-0000-00003F130000}"/>
    <cellStyle name="_MARION W10167649 23-09-08_CONCENTRATED QUOTE WLP403_CONCENTRATED QUOTE WLP417 OP 6_862-CH" xfId="4728" xr:uid="{00000000-0005-0000-0000-000040130000}"/>
    <cellStyle name="_MARION W10167649 23-09-08_CONCENTRATED QUOTE WLP403_CONCENTRATED QUOTE WLP417 OP 6_W10251766 D" xfId="4729" xr:uid="{00000000-0005-0000-0000-000041130000}"/>
    <cellStyle name="_MARION W10167649 23-09-08_CONCENTRATED QUOTE WLP403_CONCENTRATED QUOTE WLP417 OP 6_W10279106 y W10279107 de MR a 56i" xfId="4730" xr:uid="{00000000-0005-0000-0000-000042130000}"/>
    <cellStyle name="_MARION W10167649 23-09-08_CONCENTRATED QUOTE WLP403_CONCENTRATED QUOTE WLP417 OP 6_W10315922 A" xfId="4731" xr:uid="{00000000-0005-0000-0000-000043130000}"/>
    <cellStyle name="_MARION W10167649 23-09-08_CONCENTRATED QUOTE WLP403_Op 1 VMW Base Line Molex" xfId="4732" xr:uid="{00000000-0005-0000-0000-000044130000}"/>
    <cellStyle name="_MARION W10167649 23-09-08_CONCENTRATED QUOTE WLP403_Op 1 VMW Base Line Molex 2" xfId="4733" xr:uid="{00000000-0005-0000-0000-000045130000}"/>
    <cellStyle name="_MARION W10167649 23-09-08_CONCENTRATED QUOTE WLP403_Op 1 VMW Base Line Molex 2 2" xfId="4734" xr:uid="{00000000-0005-0000-0000-000046130000}"/>
    <cellStyle name="_MARION W10167649 23-09-08_CONCENTRATED QUOTE WLP403_Op 1 VMW Base Line Molex 2 3" xfId="4735" xr:uid="{00000000-0005-0000-0000-000047130000}"/>
    <cellStyle name="_MARION W10167649 23-09-08_CONCENTRATED QUOTE WLP403_Op 1 VMW Base Line Molex 2 4" xfId="4736" xr:uid="{00000000-0005-0000-0000-000048130000}"/>
    <cellStyle name="_MARION W10167649 23-09-08_CONCENTRATED QUOTE WLP403_Op 1 VMW Base Line Molex 3" xfId="4737" xr:uid="{00000000-0005-0000-0000-000049130000}"/>
    <cellStyle name="_MARION W10167649 23-09-08_CONCENTRATED QUOTE WLP403_Op 1 VMW Base Line Molex_862-CH" xfId="4738" xr:uid="{00000000-0005-0000-0000-00004A130000}"/>
    <cellStyle name="_MARION W10167649 23-09-08_CONCENTRATED QUOTE WLP403_Op 1 VMW Base Line Molex_W10251766 D" xfId="4739" xr:uid="{00000000-0005-0000-0000-00004B130000}"/>
    <cellStyle name="_MARION W10167649 23-09-08_CONCENTRATED QUOTE WLP403_Op 1 VMW Base Line Molex_W10279106 y W10279107 de MR a 56i" xfId="4740" xr:uid="{00000000-0005-0000-0000-00004C130000}"/>
    <cellStyle name="_MARION W10167649 23-09-08_CONCENTRATED QUOTE WLP403_Op 1 VMW Base Line Molex_W10315922 A" xfId="4741" xr:uid="{00000000-0005-0000-0000-00004D130000}"/>
    <cellStyle name="_MARION W10167649 23-09-08_CONCENTRATED QUOTE WLP403_Op 8 VMW TYCO Splice Option" xfId="4742" xr:uid="{00000000-0005-0000-0000-00004E130000}"/>
    <cellStyle name="_MARION W10167649 23-09-08_CONCENTRATED QUOTE WLP403_Op 8 VMW TYCO Splice Option - Per Conference 3-27-2009" xfId="4743" xr:uid="{00000000-0005-0000-0000-00004F130000}"/>
    <cellStyle name="_MARION W10167649 23-09-08_CONCENTRATED QUOTE WLP403_Op 8 VMW TYCO Splice Option - Per Conference 3-27-2009 2" xfId="4744" xr:uid="{00000000-0005-0000-0000-000050130000}"/>
    <cellStyle name="_MARION W10167649 23-09-08_CONCENTRATED QUOTE WLP403_Op 8 VMW TYCO Splice Option - Per Conference 3-27-2009 2 2" xfId="4745" xr:uid="{00000000-0005-0000-0000-000051130000}"/>
    <cellStyle name="_MARION W10167649 23-09-08_CONCENTRATED QUOTE WLP403_Op 8 VMW TYCO Splice Option - Per Conference 3-27-2009 2 3" xfId="4746" xr:uid="{00000000-0005-0000-0000-000052130000}"/>
    <cellStyle name="_MARION W10167649 23-09-08_CONCENTRATED QUOTE WLP403_Op 8 VMW TYCO Splice Option - Per Conference 3-27-2009 2 4" xfId="4747" xr:uid="{00000000-0005-0000-0000-000053130000}"/>
    <cellStyle name="_MARION W10167649 23-09-08_CONCENTRATED QUOTE WLP403_Op 8 VMW TYCO Splice Option - Per Conference 3-27-2009 3" xfId="4748" xr:uid="{00000000-0005-0000-0000-000054130000}"/>
    <cellStyle name="_MARION W10167649 23-09-08_CONCENTRATED QUOTE WLP403_Op 8 VMW TYCO Splice Option - Per Conference 3-27-2009_862-CH" xfId="4749" xr:uid="{00000000-0005-0000-0000-000055130000}"/>
    <cellStyle name="_MARION W10167649 23-09-08_CONCENTRATED QUOTE WLP403_Op 8 VMW TYCO Splice Option - Per Conference 3-27-2009_W10251766 D" xfId="4750" xr:uid="{00000000-0005-0000-0000-000056130000}"/>
    <cellStyle name="_MARION W10167649 23-09-08_CONCENTRATED QUOTE WLP403_Op 8 VMW TYCO Splice Option - Per Conference 3-27-2009_W10279106 y W10279107 de MR a 56i" xfId="4751" xr:uid="{00000000-0005-0000-0000-000057130000}"/>
    <cellStyle name="_MARION W10167649 23-09-08_CONCENTRATED QUOTE WLP403_Op 8 VMW TYCO Splice Option - Per Conference 3-27-2009_W10315922 A" xfId="4752" xr:uid="{00000000-0005-0000-0000-000058130000}"/>
    <cellStyle name="_MARION W10167649 23-09-08_CONCENTRATED QUOTE WLP403_Op 8 VMW TYCO Splice Option 10" xfId="4753" xr:uid="{00000000-0005-0000-0000-000059130000}"/>
    <cellStyle name="_MARION W10167649 23-09-08_CONCENTRATED QUOTE WLP403_Op 8 VMW TYCO Splice Option 11" xfId="4754" xr:uid="{00000000-0005-0000-0000-00005A130000}"/>
    <cellStyle name="_MARION W10167649 23-09-08_CONCENTRATED QUOTE WLP403_Op 8 VMW TYCO Splice Option 12" xfId="4755" xr:uid="{00000000-0005-0000-0000-00005B130000}"/>
    <cellStyle name="_MARION W10167649 23-09-08_CONCENTRATED QUOTE WLP403_Op 8 VMW TYCO Splice Option 13" xfId="4756" xr:uid="{00000000-0005-0000-0000-00005C130000}"/>
    <cellStyle name="_MARION W10167649 23-09-08_CONCENTRATED QUOTE WLP403_Op 8 VMW TYCO Splice Option 2" xfId="4757" xr:uid="{00000000-0005-0000-0000-00005D130000}"/>
    <cellStyle name="_MARION W10167649 23-09-08_CONCENTRATED QUOTE WLP403_Op 8 VMW TYCO Splice Option 2 2" xfId="4758" xr:uid="{00000000-0005-0000-0000-00005E130000}"/>
    <cellStyle name="_MARION W10167649 23-09-08_CONCENTRATED QUOTE WLP403_Op 8 VMW TYCO Splice Option 2 3" xfId="4759" xr:uid="{00000000-0005-0000-0000-00005F130000}"/>
    <cellStyle name="_MARION W10167649 23-09-08_CONCENTRATED QUOTE WLP403_Op 8 VMW TYCO Splice Option 2 4" xfId="4760" xr:uid="{00000000-0005-0000-0000-000060130000}"/>
    <cellStyle name="_MARION W10167649 23-09-08_CONCENTRATED QUOTE WLP403_Op 8 VMW TYCO Splice Option 3" xfId="4761" xr:uid="{00000000-0005-0000-0000-000061130000}"/>
    <cellStyle name="_MARION W10167649 23-09-08_CONCENTRATED QUOTE WLP403_Op 8 VMW TYCO Splice Option 4" xfId="4762" xr:uid="{00000000-0005-0000-0000-000062130000}"/>
    <cellStyle name="_MARION W10167649 23-09-08_CONCENTRATED QUOTE WLP403_Op 8 VMW TYCO Splice Option 5" xfId="4763" xr:uid="{00000000-0005-0000-0000-000063130000}"/>
    <cellStyle name="_MARION W10167649 23-09-08_CONCENTRATED QUOTE WLP403_Op 8 VMW TYCO Splice Option 6" xfId="4764" xr:uid="{00000000-0005-0000-0000-000064130000}"/>
    <cellStyle name="_MARION W10167649 23-09-08_CONCENTRATED QUOTE WLP403_Op 8 VMW TYCO Splice Option 7" xfId="4765" xr:uid="{00000000-0005-0000-0000-000065130000}"/>
    <cellStyle name="_MARION W10167649 23-09-08_CONCENTRATED QUOTE WLP403_Op 8 VMW TYCO Splice Option 8" xfId="4766" xr:uid="{00000000-0005-0000-0000-000066130000}"/>
    <cellStyle name="_MARION W10167649 23-09-08_CONCENTRATED QUOTE WLP403_Op 8 VMW TYCO Splice Option 9" xfId="4767" xr:uid="{00000000-0005-0000-0000-000067130000}"/>
    <cellStyle name="_MARION W10167649 23-09-08_CONCENTRATED QUOTE WLP403_Op 8 VMW TYCO Splice Option_862-CH" xfId="4768" xr:uid="{00000000-0005-0000-0000-000068130000}"/>
    <cellStyle name="_MARION W10167649 23-09-08_CONCENTRATED QUOTE WLP403_Op 8 VMW TYCO Splice Option_W10251766 D" xfId="4769" xr:uid="{00000000-0005-0000-0000-000069130000}"/>
    <cellStyle name="_MARION W10167649 23-09-08_CONCENTRATED QUOTE WLP403_Op 8 VMW TYCO Splice Option_W10279106 y W10279107 de MR a 56i" xfId="4770" xr:uid="{00000000-0005-0000-0000-00006A130000}"/>
    <cellStyle name="_MARION W10167649 23-09-08_CONCENTRATED QUOTE WLP403_Op 8 VMW TYCO Splice Option_W10315922 A" xfId="4771" xr:uid="{00000000-0005-0000-0000-00006B130000}"/>
    <cellStyle name="_MARION W10167649 23-09-08_CONCENTRATED QUOTE WLP403_W10251766 D" xfId="4772" xr:uid="{00000000-0005-0000-0000-00006C130000}"/>
    <cellStyle name="_MARION W10167649 23-09-08_CONCENTRATED QUOTE WLP403_W10279106 y W10279107 de MR a 56i" xfId="4773" xr:uid="{00000000-0005-0000-0000-00006D130000}"/>
    <cellStyle name="_MARION W10167649 23-09-08_CONCENTRATED QUOTE WLP403_W10315922 A" xfId="4774" xr:uid="{00000000-0005-0000-0000-00006E130000}"/>
    <cellStyle name="_MARION W10167649 23-09-08_FP10111066" xfId="4775" xr:uid="{00000000-0005-0000-0000-00006F130000}"/>
    <cellStyle name="_MARION W10167649 23-09-08_FP10111066 2" xfId="4776" xr:uid="{00000000-0005-0000-0000-000070130000}"/>
    <cellStyle name="_MARION W10167649 23-09-08_FP10111066 2 2" xfId="4777" xr:uid="{00000000-0005-0000-0000-000071130000}"/>
    <cellStyle name="_MARION W10167649 23-09-08_FP10111066 2 3" xfId="4778" xr:uid="{00000000-0005-0000-0000-000072130000}"/>
    <cellStyle name="_MARION W10167649 23-09-08_FP10111066 2 4" xfId="4779" xr:uid="{00000000-0005-0000-0000-000073130000}"/>
    <cellStyle name="_MARION W10167649 23-09-08_FP10111066 3" xfId="4780" xr:uid="{00000000-0005-0000-0000-000074130000}"/>
    <cellStyle name="_MARION W10167649 23-09-08_FP10111066_862-CH" xfId="4781" xr:uid="{00000000-0005-0000-0000-000075130000}"/>
    <cellStyle name="_MARION W10167649 23-09-08_FP10111066_CONCENTRATED QUOTE WLP440" xfId="4782" xr:uid="{00000000-0005-0000-0000-000076130000}"/>
    <cellStyle name="_MARION W10167649 23-09-08_FP10111066_CONCENTRATED QUOTE WLP440 2" xfId="4783" xr:uid="{00000000-0005-0000-0000-000077130000}"/>
    <cellStyle name="_MARION W10167649 23-09-08_FP10111066_CONCENTRATED QUOTE WLP440 3" xfId="4784" xr:uid="{00000000-0005-0000-0000-000078130000}"/>
    <cellStyle name="_MARION W10167649 23-09-08_FP10111066_CONCENTRATED QUOTE WLP440 4" xfId="4785" xr:uid="{00000000-0005-0000-0000-000079130000}"/>
    <cellStyle name="_MARION W10167649 23-09-08_FP10111066_CONCENTRATED QUOTE WLP440 5" xfId="4786" xr:uid="{00000000-0005-0000-0000-00007A130000}"/>
    <cellStyle name="_MARION W10167649 23-09-08_FP10111066_CONCENTRATED QUOTE WLP474" xfId="4787" xr:uid="{00000000-0005-0000-0000-00007B130000}"/>
    <cellStyle name="_MARION W10167649 23-09-08_FP10111066_CONCENTRATED QUOTE WLP474 2" xfId="4788" xr:uid="{00000000-0005-0000-0000-00007C130000}"/>
    <cellStyle name="_MARION W10167649 23-09-08_FP10111066_CONCENTRATED QUOTE WLP474 3" xfId="4789" xr:uid="{00000000-0005-0000-0000-00007D130000}"/>
    <cellStyle name="_MARION W10167649 23-09-08_FP10111066_CONCENTRATED QUOTE WLP474 4" xfId="4790" xr:uid="{00000000-0005-0000-0000-00007E130000}"/>
    <cellStyle name="_MARION W10167649 23-09-08_FP10111066_CONCENTRATED QUOTE WLP477" xfId="4791" xr:uid="{00000000-0005-0000-0000-00007F130000}"/>
    <cellStyle name="_MARION W10167649 23-09-08_FP10111066_CONCENTRATED QUOTE WLP477 2" xfId="4792" xr:uid="{00000000-0005-0000-0000-000080130000}"/>
    <cellStyle name="_MARION W10167649 23-09-08_FP10111066_CONCENTRATED QUOTE WLP477 3" xfId="4793" xr:uid="{00000000-0005-0000-0000-000081130000}"/>
    <cellStyle name="_MARION W10167649 23-09-08_FP10111066_CONCENTRATED QUOTE WLP477 4" xfId="4794" xr:uid="{00000000-0005-0000-0000-000082130000}"/>
    <cellStyle name="_MARION W10167649 23-09-08_FP10111066_CONCENTRATED QUOTE WLP477 5" xfId="4795" xr:uid="{00000000-0005-0000-0000-000083130000}"/>
    <cellStyle name="_MARION W10167649 23-09-08_FP10111066_CONCENTRATED QUOTE WLP488" xfId="4796" xr:uid="{00000000-0005-0000-0000-000084130000}"/>
    <cellStyle name="_MARION W10167649 23-09-08_FP10111066_CONCENTRATED QUOTE WLP488 2" xfId="4797" xr:uid="{00000000-0005-0000-0000-000085130000}"/>
    <cellStyle name="_MARION W10167649 23-09-08_FP10111066_CONCENTRATED QUOTE WLP488 3" xfId="4798" xr:uid="{00000000-0005-0000-0000-000086130000}"/>
    <cellStyle name="_MARION W10167649 23-09-08_FP10111066_CONCENTRATED QUOTE WLP488 4" xfId="4799" xr:uid="{00000000-0005-0000-0000-000087130000}"/>
    <cellStyle name="_MARION W10167649 23-09-08_FP10111066_CONCENTRATED QUOTE WLP488 5" xfId="4800" xr:uid="{00000000-0005-0000-0000-000088130000}"/>
    <cellStyle name="_MARION W10167649 23-09-08_FP10111066_CONCENTRATED QUOTE WLP491" xfId="4801" xr:uid="{00000000-0005-0000-0000-000089130000}"/>
    <cellStyle name="_MARION W10167649 23-09-08_FP10111066_CONCENTRATED QUOTE WLP491 2" xfId="4802" xr:uid="{00000000-0005-0000-0000-00008A130000}"/>
    <cellStyle name="_MARION W10167649 23-09-08_FP10111066_CONCENTRATED QUOTE WLP491 3" xfId="4803" xr:uid="{00000000-0005-0000-0000-00008B130000}"/>
    <cellStyle name="_MARION W10167649 23-09-08_FP10111066_CONCENTRATED QUOTE WLP491 4" xfId="4804" xr:uid="{00000000-0005-0000-0000-00008C130000}"/>
    <cellStyle name="_MARION W10167649 23-09-08_FP10111066_CONCENTRATED QUOTE WLP491 5" xfId="4805" xr:uid="{00000000-0005-0000-0000-00008D130000}"/>
    <cellStyle name="_MARION W10167649 23-09-08_FP10111066_CONCENTRATED QUOTE WLP507A" xfId="4806" xr:uid="{00000000-0005-0000-0000-00008E130000}"/>
    <cellStyle name="_MARION W10167649 23-09-08_FP10111066_CONCENTRATED QUOTE WLP507A 081909" xfId="4807" xr:uid="{00000000-0005-0000-0000-00008F130000}"/>
    <cellStyle name="_MARION W10167649 23-09-08_FP10111066_CONCENTRATED QUOTE WLP507A 081909 2" xfId="4808" xr:uid="{00000000-0005-0000-0000-000090130000}"/>
    <cellStyle name="_MARION W10167649 23-09-08_FP10111066_CONCENTRATED QUOTE WLP507A 081909 3" xfId="4809" xr:uid="{00000000-0005-0000-0000-000091130000}"/>
    <cellStyle name="_MARION W10167649 23-09-08_FP10111066_CONCENTRATED QUOTE WLP507A 081909 4" xfId="4810" xr:uid="{00000000-0005-0000-0000-000092130000}"/>
    <cellStyle name="_MARION W10167649 23-09-08_FP10111066_CONCENTRATED QUOTE WLP507A 081909 5" xfId="4811" xr:uid="{00000000-0005-0000-0000-000093130000}"/>
    <cellStyle name="_MARION W10167649 23-09-08_FP10111066_CONCENTRATED QUOTE WLP507A 2" xfId="4812" xr:uid="{00000000-0005-0000-0000-000094130000}"/>
    <cellStyle name="_MARION W10167649 23-09-08_FP10111066_CONCENTRATED QUOTE WLP507A 3" xfId="4813" xr:uid="{00000000-0005-0000-0000-000095130000}"/>
    <cellStyle name="_MARION W10167649 23-09-08_FP10111066_CONCENTRATED QUOTE WLP507A 4" xfId="4814" xr:uid="{00000000-0005-0000-0000-000096130000}"/>
    <cellStyle name="_MARION W10167649 23-09-08_FP10111066_CONCENTRATED QUOTE WLP515" xfId="4815" xr:uid="{00000000-0005-0000-0000-000097130000}"/>
    <cellStyle name="_MARION W10167649 23-09-08_FP10111066_CONCENTRATED QUOTE WLP515 2" xfId="4816" xr:uid="{00000000-0005-0000-0000-000098130000}"/>
    <cellStyle name="_MARION W10167649 23-09-08_FP10111066_CONCENTRATED QUOTE WLP515 3" xfId="4817" xr:uid="{00000000-0005-0000-0000-000099130000}"/>
    <cellStyle name="_MARION W10167649 23-09-08_FP10111066_CONCENTRATED QUOTE WLP515 4" xfId="4818" xr:uid="{00000000-0005-0000-0000-00009A130000}"/>
    <cellStyle name="_MARION W10167649 23-09-08_FP10111066_CONCENTRATED QUOTE WLP515 5" xfId="4819" xr:uid="{00000000-0005-0000-0000-00009B130000}"/>
    <cellStyle name="_MARION W10167649 23-09-08_FP10111066_CONCENTRATED QUOTE WLP528" xfId="4820" xr:uid="{00000000-0005-0000-0000-00009C130000}"/>
    <cellStyle name="_MARION W10167649 23-09-08_FP10111066_CONCENTRATED QUOTE WLP528 2" xfId="4821" xr:uid="{00000000-0005-0000-0000-00009D130000}"/>
    <cellStyle name="_MARION W10167649 23-09-08_FP10111066_CONCENTRATED QUOTE WLP528 3" xfId="4822" xr:uid="{00000000-0005-0000-0000-00009E130000}"/>
    <cellStyle name="_MARION W10167649 23-09-08_FP10111066_CONCENTRATED QUOTE WLP528 4" xfId="4823" xr:uid="{00000000-0005-0000-0000-00009F130000}"/>
    <cellStyle name="_MARION W10167649 23-09-08_FP10111066_CONCENTRATED QUOTE WLP528 5" xfId="4824" xr:uid="{00000000-0005-0000-0000-0000A0130000}"/>
    <cellStyle name="_MARION W10167649 23-09-08_FP10111066_CONCENTRATED QUOTE WLP534" xfId="4825" xr:uid="{00000000-0005-0000-0000-0000A1130000}"/>
    <cellStyle name="_MARION W10167649 23-09-08_FP10111066_CONCENTRATED QUOTE WLP534 2" xfId="4826" xr:uid="{00000000-0005-0000-0000-0000A2130000}"/>
    <cellStyle name="_MARION W10167649 23-09-08_FP10111066_CONCENTRATED QUOTE WLP534 3" xfId="4827" xr:uid="{00000000-0005-0000-0000-0000A3130000}"/>
    <cellStyle name="_MARION W10167649 23-09-08_FP10111066_CONCENTRATED QUOTE WLP534 4" xfId="4828" xr:uid="{00000000-0005-0000-0000-0000A4130000}"/>
    <cellStyle name="_MARION W10167649 23-09-08_FP10111066_CONCENTRATED QUOTE WLP536" xfId="4829" xr:uid="{00000000-0005-0000-0000-0000A5130000}"/>
    <cellStyle name="_MARION W10167649 23-09-08_FP10111066_CONCENTRATED QUOTE WLP536 2" xfId="4830" xr:uid="{00000000-0005-0000-0000-0000A6130000}"/>
    <cellStyle name="_MARION W10167649 23-09-08_FP10111066_CONCENTRATED QUOTE WLP536 3" xfId="4831" xr:uid="{00000000-0005-0000-0000-0000A7130000}"/>
    <cellStyle name="_MARION W10167649 23-09-08_FP10111066_CONCENTRATED QUOTE WLP536 4" xfId="4832" xr:uid="{00000000-0005-0000-0000-0000A8130000}"/>
    <cellStyle name="_MARION W10167649 23-09-08_FP10111066_CONCENTRATED QUOTE WLP536 5" xfId="4833" xr:uid="{00000000-0005-0000-0000-0000A9130000}"/>
    <cellStyle name="_MARION W10167649 23-09-08_FP10111066_CONCENTRATED QUOTE WLP545" xfId="4834" xr:uid="{00000000-0005-0000-0000-0000AA130000}"/>
    <cellStyle name="_MARION W10167649 23-09-08_FP10111066_CONCENTRATED QUOTE WLP545 2" xfId="4835" xr:uid="{00000000-0005-0000-0000-0000AB130000}"/>
    <cellStyle name="_MARION W10167649 23-09-08_FP10111066_CONCENTRATED QUOTE WLP545 3" xfId="4836" xr:uid="{00000000-0005-0000-0000-0000AC130000}"/>
    <cellStyle name="_MARION W10167649 23-09-08_FP10111066_CONCENTRATED QUOTE WLP545 4" xfId="4837" xr:uid="{00000000-0005-0000-0000-0000AD130000}"/>
    <cellStyle name="_MARION W10167649 23-09-08_FP10111066_CONCENTRATED QUOTE WLP550" xfId="4838" xr:uid="{00000000-0005-0000-0000-0000AE130000}"/>
    <cellStyle name="_MARION W10167649 23-09-08_FP10111066_CONCENTRATED QUOTE WLP550 2" xfId="4839" xr:uid="{00000000-0005-0000-0000-0000AF130000}"/>
    <cellStyle name="_MARION W10167649 23-09-08_FP10111066_CONCENTRATED QUOTE WLP550 3" xfId="4840" xr:uid="{00000000-0005-0000-0000-0000B0130000}"/>
    <cellStyle name="_MARION W10167649 23-09-08_FP10111066_CONCENTRATED QUOTE WLP550 4" xfId="4841" xr:uid="{00000000-0005-0000-0000-0000B1130000}"/>
    <cellStyle name="_MARION W10167649 23-09-08_FP10111066_CONCENTRATED QUOTE WLP550 5" xfId="4842" xr:uid="{00000000-0005-0000-0000-0000B2130000}"/>
    <cellStyle name="_MARION W10167649 23-09-08_FP10111066_CONCENTRATED QUOTE WLP552" xfId="4843" xr:uid="{00000000-0005-0000-0000-0000B3130000}"/>
    <cellStyle name="_MARION W10167649 23-09-08_FP10111066_CONCENTRATED QUOTE WLP552 2" xfId="4844" xr:uid="{00000000-0005-0000-0000-0000B4130000}"/>
    <cellStyle name="_MARION W10167649 23-09-08_FP10111066_CONCENTRATED QUOTE WLP552 3" xfId="4845" xr:uid="{00000000-0005-0000-0000-0000B5130000}"/>
    <cellStyle name="_MARION W10167649 23-09-08_FP10111066_CONCENTRATED QUOTE WLP552 4" xfId="4846" xr:uid="{00000000-0005-0000-0000-0000B6130000}"/>
    <cellStyle name="_MARION W10167649 23-09-08_FP10111066_CONCENTRATED QUOTE WLP5565" xfId="4847" xr:uid="{00000000-0005-0000-0000-0000B7130000}"/>
    <cellStyle name="_MARION W10167649 23-09-08_FP10111066_CONCENTRATED QUOTE WLP5565 2" xfId="4848" xr:uid="{00000000-0005-0000-0000-0000B8130000}"/>
    <cellStyle name="_MARION W10167649 23-09-08_FP10111066_CONCENTRATED QUOTE WLP5565 3" xfId="4849" xr:uid="{00000000-0005-0000-0000-0000B9130000}"/>
    <cellStyle name="_MARION W10167649 23-09-08_FP10111066_CONCENTRATED QUOTE WLP5565 4" xfId="4850" xr:uid="{00000000-0005-0000-0000-0000BA130000}"/>
    <cellStyle name="_MARION W10167649 23-09-08_FP10111066_CONCENTRATED QUOTE WLP559" xfId="4851" xr:uid="{00000000-0005-0000-0000-0000BB130000}"/>
    <cellStyle name="_MARION W10167649 23-09-08_FP10111066_CONCENTRATED QUOTE WLP568" xfId="4852" xr:uid="{00000000-0005-0000-0000-0000BC130000}"/>
    <cellStyle name="_MARION W10167649 23-09-08_FP10111066_CONCENTRATED QUOTE WLP571" xfId="4853" xr:uid="{00000000-0005-0000-0000-0000BD130000}"/>
    <cellStyle name="_MARION W10167649 23-09-08_FP10111066_CONCENTRATED QUOTE WLP574  ALPHA" xfId="4854" xr:uid="{00000000-0005-0000-0000-0000BE130000}"/>
    <cellStyle name="_MARION W10167649 23-09-08_FP10111066_CONCENTRATED QUOTE WLP574  ALPHA 2" xfId="4855" xr:uid="{00000000-0005-0000-0000-0000BF130000}"/>
    <cellStyle name="_MARION W10167649 23-09-08_FP10111066_CONCENTRATED QUOTE WLP574  ALPHA 3" xfId="4856" xr:uid="{00000000-0005-0000-0000-0000C0130000}"/>
    <cellStyle name="_MARION W10167649 23-09-08_FP10111066_CONCENTRATED QUOTE WLP574  ALPHA 4" xfId="4857" xr:uid="{00000000-0005-0000-0000-0000C1130000}"/>
    <cellStyle name="_MARION W10167649 23-09-08_FP10111066_CONCENTRATED QUOTE WLP574  ALPHA 5" xfId="4858" xr:uid="{00000000-0005-0000-0000-0000C2130000}"/>
    <cellStyle name="_MARION W10167649 23-09-08_FP10111066_CONCENTRATED QUOTE WLP610 VMW CLC" xfId="4859" xr:uid="{00000000-0005-0000-0000-0000C3130000}"/>
    <cellStyle name="_MARION W10167649 23-09-08_FP10111066_CONCENTRATED QUOTE WLP610 VMW CLC 2" xfId="4860" xr:uid="{00000000-0005-0000-0000-0000C4130000}"/>
    <cellStyle name="_MARION W10167649 23-09-08_FP10111066_CONCENTRATED QUOTE WLP610 VMW CLC 3" xfId="4861" xr:uid="{00000000-0005-0000-0000-0000C5130000}"/>
    <cellStyle name="_MARION W10167649 23-09-08_FP10111066_CONCENTRATED QUOTE WLP610 VMW CLC 4" xfId="4862" xr:uid="{00000000-0005-0000-0000-0000C6130000}"/>
    <cellStyle name="_MARION W10167649 23-09-08_FP10111066_CONCENTRATED QUOTE WLP610 VMW CLC 5" xfId="4863" xr:uid="{00000000-0005-0000-0000-0000C7130000}"/>
    <cellStyle name="_MARION W10167649 23-09-08_FP10111066_CONCENTRATED QUOTE WLP623 071310" xfId="4864" xr:uid="{00000000-0005-0000-0000-0000C8130000}"/>
    <cellStyle name="_MARION W10167649 23-09-08_FP10111066_CONCENTRATED QUOTE WLP628" xfId="4865" xr:uid="{00000000-0005-0000-0000-0000C9130000}"/>
    <cellStyle name="_MARION W10167649 23-09-08_FP10111066_CONCENTRATED QUOTE WLP628 2" xfId="4866" xr:uid="{00000000-0005-0000-0000-0000CA130000}"/>
    <cellStyle name="_MARION W10167649 23-09-08_FP10111066_CONCENTRATED QUOTE WLP628 3" xfId="4867" xr:uid="{00000000-0005-0000-0000-0000CB130000}"/>
    <cellStyle name="_MARION W10167649 23-09-08_FP10111066_CONCENTRATED QUOTE WLP628 4" xfId="4868" xr:uid="{00000000-0005-0000-0000-0000CC130000}"/>
    <cellStyle name="_MARION W10167649 23-09-08_FP10111066_CONCENTRATED QUOTE WLP628 5" xfId="4869" xr:uid="{00000000-0005-0000-0000-0000CD130000}"/>
    <cellStyle name="_MARION W10167649 23-09-08_FP10111066_CONCENTRATED QUOTE WLP634 VMW MTAG" xfId="4870" xr:uid="{00000000-0005-0000-0000-0000CE130000}"/>
    <cellStyle name="_MARION W10167649 23-09-08_FP10111066_CONCENTRATED QUOTE WLP635" xfId="4871" xr:uid="{00000000-0005-0000-0000-0000CF130000}"/>
    <cellStyle name="_MARION W10167649 23-09-08_FP10111066_CONCENTRATED QUOTE WLP646" xfId="4872" xr:uid="{00000000-0005-0000-0000-0000D0130000}"/>
    <cellStyle name="_MARION W10167649 23-09-08_FP10111066_CONCENTRATED QUOTE WLP646 2" xfId="4873" xr:uid="{00000000-0005-0000-0000-0000D1130000}"/>
    <cellStyle name="_MARION W10167649 23-09-08_FP10111066_CONCENTRATED QUOTE WLP646 3" xfId="4874" xr:uid="{00000000-0005-0000-0000-0000D2130000}"/>
    <cellStyle name="_MARION W10167649 23-09-08_FP10111066_CONCENTRATED QUOTE WLP646 4" xfId="4875" xr:uid="{00000000-0005-0000-0000-0000D3130000}"/>
    <cellStyle name="_MARION W10167649 23-09-08_FP10111066_CONCENTRATED QUOTE WLP646 5" xfId="4876" xr:uid="{00000000-0005-0000-0000-0000D4130000}"/>
    <cellStyle name="_MARION W10167649 23-09-08_FP10111066_Copy of CONCENTRATED QUOTE WLP579" xfId="4877" xr:uid="{00000000-0005-0000-0000-0000D5130000}"/>
    <cellStyle name="_MARION W10167649 23-09-08_FP10111066_Copy of CONCENTRATED QUOTE WLP579 2" xfId="4878" xr:uid="{00000000-0005-0000-0000-0000D6130000}"/>
    <cellStyle name="_MARION W10167649 23-09-08_FP10111066_Copy of CONCENTRATED QUOTE WLP579 3" xfId="4879" xr:uid="{00000000-0005-0000-0000-0000D7130000}"/>
    <cellStyle name="_MARION W10167649 23-09-08_FP10111066_Copy of CONCENTRATED QUOTE WLP579 4" xfId="4880" xr:uid="{00000000-0005-0000-0000-0000D8130000}"/>
    <cellStyle name="_MARION W10167649 23-09-08_FP10111066_Dekko HE P3-Classic P1" xfId="4881" xr:uid="{00000000-0005-0000-0000-0000D9130000}"/>
    <cellStyle name="_MARION W10167649 23-09-08_FP10111066_Dekko HE P3-Classic P1 2" xfId="4882" xr:uid="{00000000-0005-0000-0000-0000DA130000}"/>
    <cellStyle name="_MARION W10167649 23-09-08_FP10111066_Dekko HE P3-Classic P1 3" xfId="4883" xr:uid="{00000000-0005-0000-0000-0000DB130000}"/>
    <cellStyle name="_MARION W10167649 23-09-08_FP10111066_Dekko HE P3-Classic P1 4" xfId="4884" xr:uid="{00000000-0005-0000-0000-0000DC130000}"/>
    <cellStyle name="_MARION W10167649 23-09-08_FP10111066_ESTC1CLY0012" xfId="4885" xr:uid="{00000000-0005-0000-0000-0000DD130000}"/>
    <cellStyle name="_MARION W10167649 23-09-08_FP10111066_ESTC1CLY0012 2" xfId="4886" xr:uid="{00000000-0005-0000-0000-0000DE130000}"/>
    <cellStyle name="_MARION W10167649 23-09-08_FP10111066_ESTC1CLY0012 3" xfId="4887" xr:uid="{00000000-0005-0000-0000-0000DF130000}"/>
    <cellStyle name="_MARION W10167649 23-09-08_FP10111066_ESTC1CLY0012 4" xfId="4888" xr:uid="{00000000-0005-0000-0000-0000E0130000}"/>
    <cellStyle name="_MARION W10167649 23-09-08_FP10111066_ESTC1CLY0013" xfId="4889" xr:uid="{00000000-0005-0000-0000-0000E1130000}"/>
    <cellStyle name="_MARION W10167649 23-09-08_FP10111066_ESTC1CLY0013 2" xfId="4890" xr:uid="{00000000-0005-0000-0000-0000E2130000}"/>
    <cellStyle name="_MARION W10167649 23-09-08_FP10111066_ESTC1CLY0013 3" xfId="4891" xr:uid="{00000000-0005-0000-0000-0000E3130000}"/>
    <cellStyle name="_MARION W10167649 23-09-08_FP10111066_ESTC1CLY0013 4" xfId="4892" xr:uid="{00000000-0005-0000-0000-0000E4130000}"/>
    <cellStyle name="_MARION W10167649 23-09-08_FP10111066_ESTC1FIN018" xfId="4893" xr:uid="{00000000-0005-0000-0000-0000E5130000}"/>
    <cellStyle name="_MARION W10167649 23-09-08_FP10111066_Estimated Quote 050609 039" xfId="4894" xr:uid="{00000000-0005-0000-0000-0000E6130000}"/>
    <cellStyle name="_MARION W10167649 23-09-08_FP10111066_Estimated Quote 050609 039 2" xfId="4895" xr:uid="{00000000-0005-0000-0000-0000E7130000}"/>
    <cellStyle name="_MARION W10167649 23-09-08_FP10111066_Estimated Quote 050609 039 3" xfId="4896" xr:uid="{00000000-0005-0000-0000-0000E8130000}"/>
    <cellStyle name="_MARION W10167649 23-09-08_FP10111066_Estimated Quote 050609 039 4" xfId="4897" xr:uid="{00000000-0005-0000-0000-0000E9130000}"/>
    <cellStyle name="_MARION W10167649 23-09-08_FP10111066_Estimated Quote 050609 039 5" xfId="4898" xr:uid="{00000000-0005-0000-0000-0000EA130000}"/>
    <cellStyle name="_MARION W10167649 23-09-08_FP10111066_W01278760" xfId="4899" xr:uid="{00000000-0005-0000-0000-0000EB130000}"/>
    <cellStyle name="_MARION W10167649 23-09-08_FP10111066_W01278760 2" xfId="4900" xr:uid="{00000000-0005-0000-0000-0000EC130000}"/>
    <cellStyle name="_MARION W10167649 23-09-08_FP10111066_W01278760 3" xfId="4901" xr:uid="{00000000-0005-0000-0000-0000ED130000}"/>
    <cellStyle name="_MARION W10167649 23-09-08_FP10111066_W01278760 4" xfId="4902" xr:uid="{00000000-0005-0000-0000-0000EE130000}"/>
    <cellStyle name="_MARION W10167649 23-09-08_FP10111066_W01278760 5" xfId="4903" xr:uid="{00000000-0005-0000-0000-0000EF130000}"/>
    <cellStyle name="_MARION W10167649 23-09-08_FP10111066_W10251442" xfId="4904" xr:uid="{00000000-0005-0000-0000-0000F0130000}"/>
    <cellStyle name="_MARION W10167649 23-09-08_FP10111066_W10251443" xfId="4905" xr:uid="{00000000-0005-0000-0000-0000F1130000}"/>
    <cellStyle name="_MARION W10167649 23-09-08_FP10111066_W10251444" xfId="4906" xr:uid="{00000000-0005-0000-0000-0000F2130000}"/>
    <cellStyle name="_MARION W10167649 23-09-08_FP10111066_W10251766 D" xfId="4907" xr:uid="{00000000-0005-0000-0000-0000F3130000}"/>
    <cellStyle name="_MARION W10167649 23-09-08_FP10111066_W10278758" xfId="4908" xr:uid="{00000000-0005-0000-0000-0000F4130000}"/>
    <cellStyle name="_MARION W10167649 23-09-08_FP10111066_W10278758 2" xfId="4909" xr:uid="{00000000-0005-0000-0000-0000F5130000}"/>
    <cellStyle name="_MARION W10167649 23-09-08_FP10111066_W10278758 3" xfId="4910" xr:uid="{00000000-0005-0000-0000-0000F6130000}"/>
    <cellStyle name="_MARION W10167649 23-09-08_FP10111066_W10278758 4" xfId="4911" xr:uid="{00000000-0005-0000-0000-0000F7130000}"/>
    <cellStyle name="_MARION W10167649 23-09-08_FP10111066_W10278758 5" xfId="4912" xr:uid="{00000000-0005-0000-0000-0000F8130000}"/>
    <cellStyle name="_MARION W10167649 23-09-08_FP10111066_W10278759" xfId="4913" xr:uid="{00000000-0005-0000-0000-0000F9130000}"/>
    <cellStyle name="_MARION W10167649 23-09-08_FP10111066_W10279106 y W10279107 de MR a 56i" xfId="4914" xr:uid="{00000000-0005-0000-0000-0000FA130000}"/>
    <cellStyle name="_MARION W10167649 23-09-08_FP10111066_W10290772" xfId="4915" xr:uid="{00000000-0005-0000-0000-0000FB130000}"/>
    <cellStyle name="_MARION W10167649 23-09-08_FP10111066_W10290772 2" xfId="4916" xr:uid="{00000000-0005-0000-0000-0000FC130000}"/>
    <cellStyle name="_MARION W10167649 23-09-08_FP10111066_W10290772 3" xfId="4917" xr:uid="{00000000-0005-0000-0000-0000FD130000}"/>
    <cellStyle name="_MARION W10167649 23-09-08_FP10111066_W10290772 4" xfId="4918" xr:uid="{00000000-0005-0000-0000-0000FE130000}"/>
    <cellStyle name="_MARION W10167649 23-09-08_FP10111066_W10290772 5" xfId="4919" xr:uid="{00000000-0005-0000-0000-0000FF130000}"/>
    <cellStyle name="_MARION W10167649 23-09-08_FP10111066_W10290774" xfId="4920" xr:uid="{00000000-0005-0000-0000-000000140000}"/>
    <cellStyle name="_MARION W10167649 23-09-08_FP10111066_W10290774 2" xfId="4921" xr:uid="{00000000-0005-0000-0000-000001140000}"/>
    <cellStyle name="_MARION W10167649 23-09-08_FP10111066_W10290774 3" xfId="4922" xr:uid="{00000000-0005-0000-0000-000002140000}"/>
    <cellStyle name="_MARION W10167649 23-09-08_FP10111066_W10290774 4" xfId="4923" xr:uid="{00000000-0005-0000-0000-000003140000}"/>
    <cellStyle name="_MARION W10167649 23-09-08_FP10111066_W10290774 5" xfId="4924" xr:uid="{00000000-0005-0000-0000-000004140000}"/>
    <cellStyle name="_MARION W10167649 23-09-08_FP10111066_W10300883" xfId="4925" xr:uid="{00000000-0005-0000-0000-000005140000}"/>
    <cellStyle name="_MARION W10167649 23-09-08_FP10111066_W10300883 2" xfId="4926" xr:uid="{00000000-0005-0000-0000-000006140000}"/>
    <cellStyle name="_MARION W10167649 23-09-08_FP10111066_W10300883 3" xfId="4927" xr:uid="{00000000-0005-0000-0000-000007140000}"/>
    <cellStyle name="_MARION W10167649 23-09-08_FP10111066_W10300883 4" xfId="4928" xr:uid="{00000000-0005-0000-0000-000008140000}"/>
    <cellStyle name="_MARION W10167649 23-09-08_FP10111066_W10300883 5" xfId="4929" xr:uid="{00000000-0005-0000-0000-000009140000}"/>
    <cellStyle name="_MARION W10167649 23-09-08_FP10111066_W10315922 A" xfId="4930" xr:uid="{00000000-0005-0000-0000-00000A140000}"/>
    <cellStyle name="_MARION W10167649 23-09-08_FP10111066_WPFINDLAY-0037" xfId="4931" xr:uid="{00000000-0005-0000-0000-00000B140000}"/>
    <cellStyle name="_MARION W10167649 23-09-08_FP10111066_WPN145 3954933" xfId="4932" xr:uid="{00000000-0005-0000-0000-00000C140000}"/>
    <cellStyle name="_MARION W10167649 23-09-08_FP10111066_WPN145 3954933 2" xfId="4933" xr:uid="{00000000-0005-0000-0000-00000D140000}"/>
    <cellStyle name="_MARION W10167649 23-09-08_FP10111066_WPN145 3954933 3" xfId="4934" xr:uid="{00000000-0005-0000-0000-00000E140000}"/>
    <cellStyle name="_MARION W10167649 23-09-08_FP10111066_WPN145 3954933 4" xfId="4935" xr:uid="{00000000-0005-0000-0000-00000F140000}"/>
    <cellStyle name="_MARION W10167649 23-09-08_FP10111066_WPN145 3954933 5" xfId="4936" xr:uid="{00000000-0005-0000-0000-000010140000}"/>
    <cellStyle name="_MARION W10167649 23-09-08_FP10111066_WPN163 8576530" xfId="4937" xr:uid="{00000000-0005-0000-0000-000011140000}"/>
    <cellStyle name="_MARION W10167649 23-09-08_FP10111066_WPN163 8576530 2" xfId="4938" xr:uid="{00000000-0005-0000-0000-000012140000}"/>
    <cellStyle name="_MARION W10167649 23-09-08_FP10111066_WPN163 8576530 3" xfId="4939" xr:uid="{00000000-0005-0000-0000-000013140000}"/>
    <cellStyle name="_MARION W10167649 23-09-08_FP10111066_WPN163 8576530 4" xfId="4940" xr:uid="{00000000-0005-0000-0000-000014140000}"/>
    <cellStyle name="_MARION W10167649 23-09-08_FP10111066_xCONCENTRATED QUOTE 2" xfId="4941" xr:uid="{00000000-0005-0000-0000-000015140000}"/>
    <cellStyle name="_MARION W10167649 23-09-08_FP10111066_xCONCENTRATED QUOTE 2 2" xfId="4942" xr:uid="{00000000-0005-0000-0000-000016140000}"/>
    <cellStyle name="_MARION W10167649 23-09-08_FP10111066_xCONCENTRATED QUOTE 2 3" xfId="4943" xr:uid="{00000000-0005-0000-0000-000017140000}"/>
    <cellStyle name="_MARION W10167649 23-09-08_FP10111066_xCONCENTRATED QUOTE 2 4" xfId="4944" xr:uid="{00000000-0005-0000-0000-000018140000}"/>
    <cellStyle name="_MARION W10167649 23-09-08_FP10111066_xCONCENTRATED QUOTE 2 5" xfId="4945" xr:uid="{00000000-0005-0000-0000-000019140000}"/>
    <cellStyle name="_MARION W10167649 23-09-08_FP10111066_xCONCENTRATED QUOTE 3" xfId="4946" xr:uid="{00000000-0005-0000-0000-00001A140000}"/>
    <cellStyle name="_MARION W10167649 23-09-08_FP10111066_xCONCENTRATED QUOTE 3 2" xfId="4947" xr:uid="{00000000-0005-0000-0000-00001B140000}"/>
    <cellStyle name="_MARION W10167649 23-09-08_FP10111066_xCONCENTRATED QUOTE 3 3" xfId="4948" xr:uid="{00000000-0005-0000-0000-00001C140000}"/>
    <cellStyle name="_MARION W10167649 23-09-08_FP10111066_xCONCENTRATED QUOTE 3 4" xfId="4949" xr:uid="{00000000-0005-0000-0000-00001D140000}"/>
    <cellStyle name="_MARION W10167649 23-09-08_FP10111066_xCONCENTRATED QUOTE 3 5" xfId="4950" xr:uid="{00000000-0005-0000-0000-00001E140000}"/>
    <cellStyle name="_MARION W10167649 23-09-08_FP10111066_Xl0000004" xfId="4951" xr:uid="{00000000-0005-0000-0000-00001F140000}"/>
    <cellStyle name="_MARION W10167649 23-09-08_FP10111066_Xl0000004 2" xfId="4952" xr:uid="{00000000-0005-0000-0000-000020140000}"/>
    <cellStyle name="_MARION W10167649 23-09-08_FP10111066_Xl0000004 3" xfId="4953" xr:uid="{00000000-0005-0000-0000-000021140000}"/>
    <cellStyle name="_MARION W10167649 23-09-08_FP10111066_Xl0000004 4" xfId="4954" xr:uid="{00000000-0005-0000-0000-000022140000}"/>
    <cellStyle name="_MARION W10167649 23-09-08_FP10111066_Xl0000004 5" xfId="4955" xr:uid="{00000000-0005-0000-0000-000023140000}"/>
    <cellStyle name="_MARION W10167649 23-09-08_L1568 137097800 0986 A" xfId="4956" xr:uid="{00000000-0005-0000-0000-000024140000}"/>
    <cellStyle name="_MARION W10167649 23-09-08_L1568 137097800 0986 A 2" xfId="4957" xr:uid="{00000000-0005-0000-0000-000025140000}"/>
    <cellStyle name="_MARION W10167649 23-09-08_L1568 137097800 0986 A 3" xfId="4958" xr:uid="{00000000-0005-0000-0000-000026140000}"/>
    <cellStyle name="_MARION W10167649 23-09-08_L1568 137097800 0986 A 4" xfId="4959" xr:uid="{00000000-0005-0000-0000-000027140000}"/>
    <cellStyle name="_MARION W10167649 23-09-08_L1568 137097800 0986 A 5" xfId="4960" xr:uid="{00000000-0005-0000-0000-000028140000}"/>
    <cellStyle name="_MARION W10167649 23-09-08_Sheet1" xfId="4961" xr:uid="{00000000-0005-0000-0000-000029140000}"/>
    <cellStyle name="_MARION W10167649 23-09-08_Sheet1 2" xfId="4962" xr:uid="{00000000-0005-0000-0000-00002A140000}"/>
    <cellStyle name="_MARION W10167649 23-09-08_Sheet1 3" xfId="24829" xr:uid="{00000000-0005-0000-0000-00002B140000}"/>
    <cellStyle name="_MARION W10167649 23-09-08_Sheet1_862-CH" xfId="4963" xr:uid="{00000000-0005-0000-0000-00002C140000}"/>
    <cellStyle name="_MARION W10167649 23-09-08_Sheet1_W10251766 D" xfId="4964" xr:uid="{00000000-0005-0000-0000-00002D140000}"/>
    <cellStyle name="_MARION W10167649 23-09-08_Sheet1_W10279106 y W10279107 de MR a 56i" xfId="4965" xr:uid="{00000000-0005-0000-0000-00002E140000}"/>
    <cellStyle name="_MARION W10167649 23-09-08_Sheet1_W10315922 A" xfId="4966" xr:uid="{00000000-0005-0000-0000-00002F140000}"/>
    <cellStyle name="_MARION W10167649 23-09-08_Sheet1_WPN145 3954933" xfId="4967" xr:uid="{00000000-0005-0000-0000-000030140000}"/>
    <cellStyle name="_MARION W10167649 23-09-08_Sheet1_WPN145 3954933 2" xfId="4968" xr:uid="{00000000-0005-0000-0000-000031140000}"/>
    <cellStyle name="_MARION W10167649 23-09-08_Sheet1_WPN145 3954933 3" xfId="4969" xr:uid="{00000000-0005-0000-0000-000032140000}"/>
    <cellStyle name="_MARION W10167649 23-09-08_Sheet1_WPN145 3954933 4" xfId="4970" xr:uid="{00000000-0005-0000-0000-000033140000}"/>
    <cellStyle name="_MARION W10167649 23-09-08_Sheet1_WPN145 3954933 5" xfId="4971" xr:uid="{00000000-0005-0000-0000-000034140000}"/>
    <cellStyle name="_MARION W10167649 23-09-08_W10251442" xfId="4972" xr:uid="{00000000-0005-0000-0000-000035140000}"/>
    <cellStyle name="_MARION W10167649 23-09-08_W10251443" xfId="4973" xr:uid="{00000000-0005-0000-0000-000036140000}"/>
    <cellStyle name="_MARION W10167649 23-09-08_W10251444" xfId="4974" xr:uid="{00000000-0005-0000-0000-000037140000}"/>
    <cellStyle name="_MARION W10167649 23-09-08_W10251766 D" xfId="4975" xr:uid="{00000000-0005-0000-0000-000038140000}"/>
    <cellStyle name="_MARION W10167649 23-09-08_W10278758" xfId="4976" xr:uid="{00000000-0005-0000-0000-000039140000}"/>
    <cellStyle name="_MARION W10167649 23-09-08_W10278759" xfId="4977" xr:uid="{00000000-0005-0000-0000-00003A140000}"/>
    <cellStyle name="_MARION W10167649 23-09-08_W10279106 y W10279107 de MR a 56i" xfId="4978" xr:uid="{00000000-0005-0000-0000-00003B140000}"/>
    <cellStyle name="_MARION W10167649 23-09-08_W10315922 A" xfId="4979" xr:uid="{00000000-0005-0000-0000-00003C140000}"/>
    <cellStyle name="_MARION W10167649 23-09-08_WLP FP Format1" xfId="4980" xr:uid="{00000000-0005-0000-0000-00003D140000}"/>
    <cellStyle name="_MARION W10167649 23-09-08_WLP FP Format1 2" xfId="4981" xr:uid="{00000000-0005-0000-0000-00003E140000}"/>
    <cellStyle name="_MARION W10167649 23-09-08_WLP FP Format1 3" xfId="24830" xr:uid="{00000000-0005-0000-0000-00003F140000}"/>
    <cellStyle name="_MARION W10167649 23-09-08_WLP FP Format1_862-CH" xfId="4982" xr:uid="{00000000-0005-0000-0000-000040140000}"/>
    <cellStyle name="_MARION W10167649 23-09-08_WLP FP Format1_CONCENTRATED QUOTE WLP417 Dave approval2" xfId="4983" xr:uid="{00000000-0005-0000-0000-000041140000}"/>
    <cellStyle name="_MARION W10167649 23-09-08_WLP FP Format1_CONCENTRATED QUOTE WLP417 Dave approval2 2" xfId="4984" xr:uid="{00000000-0005-0000-0000-000042140000}"/>
    <cellStyle name="_MARION W10167649 23-09-08_WLP FP Format1_CONCENTRATED QUOTE WLP417 Dave approval2 3" xfId="4985" xr:uid="{00000000-0005-0000-0000-000043140000}"/>
    <cellStyle name="_MARION W10167649 23-09-08_WLP FP Format1_CONCENTRATED QUOTE WLP417 Dave approval2 4" xfId="4986" xr:uid="{00000000-0005-0000-0000-000044140000}"/>
    <cellStyle name="_MARION W10167649 23-09-08_WLP FP Format1_CONCENTRATED QUOTE WLP417 Dave approval2_862-CH" xfId="4987" xr:uid="{00000000-0005-0000-0000-000045140000}"/>
    <cellStyle name="_MARION W10167649 23-09-08_WLP FP Format1_CONCENTRATED QUOTE WLP417 Dave approval2_W10251766 D" xfId="4988" xr:uid="{00000000-0005-0000-0000-000046140000}"/>
    <cellStyle name="_MARION W10167649 23-09-08_WLP FP Format1_CONCENTRATED QUOTE WLP417 Dave approval2_W10279106 y W10279107 de MR a 56i" xfId="4989" xr:uid="{00000000-0005-0000-0000-000047140000}"/>
    <cellStyle name="_MARION W10167649 23-09-08_WLP FP Format1_CONCENTRATED QUOTE WLP417 Dave approval2_W10315922 A" xfId="4990" xr:uid="{00000000-0005-0000-0000-000048140000}"/>
    <cellStyle name="_MARION W10167649 23-09-08_WLP FP Format1_CONCENTRATED QUOTE WLP417 OP 3" xfId="4991" xr:uid="{00000000-0005-0000-0000-000049140000}"/>
    <cellStyle name="_MARION W10167649 23-09-08_WLP FP Format1_CONCENTRATED QUOTE WLP417 OP 3 2" xfId="4992" xr:uid="{00000000-0005-0000-0000-00004A140000}"/>
    <cellStyle name="_MARION W10167649 23-09-08_WLP FP Format1_CONCENTRATED QUOTE WLP417 OP 3 2 2" xfId="4993" xr:uid="{00000000-0005-0000-0000-00004B140000}"/>
    <cellStyle name="_MARION W10167649 23-09-08_WLP FP Format1_CONCENTRATED QUOTE WLP417 OP 3 2 3" xfId="4994" xr:uid="{00000000-0005-0000-0000-00004C140000}"/>
    <cellStyle name="_MARION W10167649 23-09-08_WLP FP Format1_CONCENTRATED QUOTE WLP417 OP 3 2 4" xfId="4995" xr:uid="{00000000-0005-0000-0000-00004D140000}"/>
    <cellStyle name="_MARION W10167649 23-09-08_WLP FP Format1_CONCENTRATED QUOTE WLP417 OP 3 3" xfId="4996" xr:uid="{00000000-0005-0000-0000-00004E140000}"/>
    <cellStyle name="_MARION W10167649 23-09-08_WLP FP Format1_CONCENTRATED QUOTE WLP417 OP 3_862-CH" xfId="4997" xr:uid="{00000000-0005-0000-0000-00004F140000}"/>
    <cellStyle name="_MARION W10167649 23-09-08_WLP FP Format1_CONCENTRATED QUOTE WLP417 OP 3_W10251766 D" xfId="4998" xr:uid="{00000000-0005-0000-0000-000050140000}"/>
    <cellStyle name="_MARION W10167649 23-09-08_WLP FP Format1_CONCENTRATED QUOTE WLP417 OP 3_W10279106 y W10279107 de MR a 56i" xfId="4999" xr:uid="{00000000-0005-0000-0000-000051140000}"/>
    <cellStyle name="_MARION W10167649 23-09-08_WLP FP Format1_CONCENTRATED QUOTE WLP417 OP 3_W10315922 A" xfId="5000" xr:uid="{00000000-0005-0000-0000-000052140000}"/>
    <cellStyle name="_MARION W10167649 23-09-08_WLP FP Format1_CONCENTRATED QUOTE WLP417 OP 4" xfId="5001" xr:uid="{00000000-0005-0000-0000-000053140000}"/>
    <cellStyle name="_MARION W10167649 23-09-08_WLP FP Format1_CONCENTRATED QUOTE WLP417 OP 4 2" xfId="5002" xr:uid="{00000000-0005-0000-0000-000054140000}"/>
    <cellStyle name="_MARION W10167649 23-09-08_WLP FP Format1_CONCENTRATED QUOTE WLP417 OP 4 2 2" xfId="5003" xr:uid="{00000000-0005-0000-0000-000055140000}"/>
    <cellStyle name="_MARION W10167649 23-09-08_WLP FP Format1_CONCENTRATED QUOTE WLP417 OP 4 2 3" xfId="5004" xr:uid="{00000000-0005-0000-0000-000056140000}"/>
    <cellStyle name="_MARION W10167649 23-09-08_WLP FP Format1_CONCENTRATED QUOTE WLP417 OP 4 2 4" xfId="5005" xr:uid="{00000000-0005-0000-0000-000057140000}"/>
    <cellStyle name="_MARION W10167649 23-09-08_WLP FP Format1_CONCENTRATED QUOTE WLP417 OP 4 3" xfId="5006" xr:uid="{00000000-0005-0000-0000-000058140000}"/>
    <cellStyle name="_MARION W10167649 23-09-08_WLP FP Format1_CONCENTRATED QUOTE WLP417 OP 4_862-CH" xfId="5007" xr:uid="{00000000-0005-0000-0000-000059140000}"/>
    <cellStyle name="_MARION W10167649 23-09-08_WLP FP Format1_CONCENTRATED QUOTE WLP417 OP 4_W10251766 D" xfId="5008" xr:uid="{00000000-0005-0000-0000-00005A140000}"/>
    <cellStyle name="_MARION W10167649 23-09-08_WLP FP Format1_CONCENTRATED QUOTE WLP417 OP 4_W10279106 y W10279107 de MR a 56i" xfId="5009" xr:uid="{00000000-0005-0000-0000-00005B140000}"/>
    <cellStyle name="_MARION W10167649 23-09-08_WLP FP Format1_CONCENTRATED QUOTE WLP417 OP 4_W10315922 A" xfId="5010" xr:uid="{00000000-0005-0000-0000-00005C140000}"/>
    <cellStyle name="_MARION W10167649 23-09-08_WLP FP Format1_CONCENTRATED QUOTE WLP417 OP 5" xfId="5011" xr:uid="{00000000-0005-0000-0000-00005D140000}"/>
    <cellStyle name="_MARION W10167649 23-09-08_WLP FP Format1_CONCENTRATED QUOTE WLP417 OP 5 2" xfId="5012" xr:uid="{00000000-0005-0000-0000-00005E140000}"/>
    <cellStyle name="_MARION W10167649 23-09-08_WLP FP Format1_CONCENTRATED QUOTE WLP417 OP 5 2 2" xfId="5013" xr:uid="{00000000-0005-0000-0000-00005F140000}"/>
    <cellStyle name="_MARION W10167649 23-09-08_WLP FP Format1_CONCENTRATED QUOTE WLP417 OP 5 2 3" xfId="5014" xr:uid="{00000000-0005-0000-0000-000060140000}"/>
    <cellStyle name="_MARION W10167649 23-09-08_WLP FP Format1_CONCENTRATED QUOTE WLP417 OP 5 2 4" xfId="5015" xr:uid="{00000000-0005-0000-0000-000061140000}"/>
    <cellStyle name="_MARION W10167649 23-09-08_WLP FP Format1_CONCENTRATED QUOTE WLP417 OP 5 3" xfId="5016" xr:uid="{00000000-0005-0000-0000-000062140000}"/>
    <cellStyle name="_MARION W10167649 23-09-08_WLP FP Format1_CONCENTRATED QUOTE WLP417 OP 5_862-CH" xfId="5017" xr:uid="{00000000-0005-0000-0000-000063140000}"/>
    <cellStyle name="_MARION W10167649 23-09-08_WLP FP Format1_CONCENTRATED QUOTE WLP417 OP 5_W10251766 D" xfId="5018" xr:uid="{00000000-0005-0000-0000-000064140000}"/>
    <cellStyle name="_MARION W10167649 23-09-08_WLP FP Format1_CONCENTRATED QUOTE WLP417 OP 5_W10279106 y W10279107 de MR a 56i" xfId="5019" xr:uid="{00000000-0005-0000-0000-000065140000}"/>
    <cellStyle name="_MARION W10167649 23-09-08_WLP FP Format1_CONCENTRATED QUOTE WLP417 OP 5_W10315922 A" xfId="5020" xr:uid="{00000000-0005-0000-0000-000066140000}"/>
    <cellStyle name="_MARION W10167649 23-09-08_WLP FP Format1_CONCENTRATED QUOTE WLP417 OP 6" xfId="5021" xr:uid="{00000000-0005-0000-0000-000067140000}"/>
    <cellStyle name="_MARION W10167649 23-09-08_WLP FP Format1_CONCENTRATED QUOTE WLP417 OP 6 2" xfId="5022" xr:uid="{00000000-0005-0000-0000-000068140000}"/>
    <cellStyle name="_MARION W10167649 23-09-08_WLP FP Format1_CONCENTRATED QUOTE WLP417 OP 6 2 2" xfId="5023" xr:uid="{00000000-0005-0000-0000-000069140000}"/>
    <cellStyle name="_MARION W10167649 23-09-08_WLP FP Format1_CONCENTRATED QUOTE WLP417 OP 6 2 3" xfId="5024" xr:uid="{00000000-0005-0000-0000-00006A140000}"/>
    <cellStyle name="_MARION W10167649 23-09-08_WLP FP Format1_CONCENTRATED QUOTE WLP417 OP 6 2 4" xfId="5025" xr:uid="{00000000-0005-0000-0000-00006B140000}"/>
    <cellStyle name="_MARION W10167649 23-09-08_WLP FP Format1_CONCENTRATED QUOTE WLP417 OP 6 3" xfId="5026" xr:uid="{00000000-0005-0000-0000-00006C140000}"/>
    <cellStyle name="_MARION W10167649 23-09-08_WLP FP Format1_CONCENTRATED QUOTE WLP417 OP 6_862-CH" xfId="5027" xr:uid="{00000000-0005-0000-0000-00006D140000}"/>
    <cellStyle name="_MARION W10167649 23-09-08_WLP FP Format1_CONCENTRATED QUOTE WLP417 OP 6_W10251766 D" xfId="5028" xr:uid="{00000000-0005-0000-0000-00006E140000}"/>
    <cellStyle name="_MARION W10167649 23-09-08_WLP FP Format1_CONCENTRATED QUOTE WLP417 OP 6_W10279106 y W10279107 de MR a 56i" xfId="5029" xr:uid="{00000000-0005-0000-0000-00006F140000}"/>
    <cellStyle name="_MARION W10167649 23-09-08_WLP FP Format1_CONCENTRATED QUOTE WLP417 OP 6_W10315922 A" xfId="5030" xr:uid="{00000000-0005-0000-0000-000070140000}"/>
    <cellStyle name="_MARION W10167649 23-09-08_WLP FP Format1_CONCENTRATED QUOTE WLP425 031309" xfId="5031" xr:uid="{00000000-0005-0000-0000-000071140000}"/>
    <cellStyle name="_MARION W10167649 23-09-08_WLP FP Format1_CONCENTRATED QUOTE WLP425 031309 2" xfId="5032" xr:uid="{00000000-0005-0000-0000-000072140000}"/>
    <cellStyle name="_MARION W10167649 23-09-08_WLP FP Format1_CONCENTRATED QUOTE WLP425 031309 3" xfId="5033" xr:uid="{00000000-0005-0000-0000-000073140000}"/>
    <cellStyle name="_MARION W10167649 23-09-08_WLP FP Format1_CONCENTRATED QUOTE WLP425 031309 4" xfId="5034" xr:uid="{00000000-0005-0000-0000-000074140000}"/>
    <cellStyle name="_MARION W10167649 23-09-08_WLP FP Format1_CONCENTRATED QUOTE WLP425 031309_862-CH" xfId="5035" xr:uid="{00000000-0005-0000-0000-000075140000}"/>
    <cellStyle name="_MARION W10167649 23-09-08_WLP FP Format1_CONCENTRATED QUOTE WLP425 031309_W10251766 D" xfId="5036" xr:uid="{00000000-0005-0000-0000-000076140000}"/>
    <cellStyle name="_MARION W10167649 23-09-08_WLP FP Format1_CONCENTRATED QUOTE WLP425 031309_W10279106 y W10279107 de MR a 56i" xfId="5037" xr:uid="{00000000-0005-0000-0000-000077140000}"/>
    <cellStyle name="_MARION W10167649 23-09-08_WLP FP Format1_CONCENTRATED QUOTE WLP425 031309_W10315922 A" xfId="5038" xr:uid="{00000000-0005-0000-0000-000078140000}"/>
    <cellStyle name="_MARION W10167649 23-09-08_WLP FP Format1_CONCENTRATED QUOTE WLP459" xfId="5039" xr:uid="{00000000-0005-0000-0000-000079140000}"/>
    <cellStyle name="_MARION W10167649 23-09-08_WLP FP Format1_CONCENTRATED QUOTE WLP459 042209" xfId="5040" xr:uid="{00000000-0005-0000-0000-00007A140000}"/>
    <cellStyle name="_MARION W10167649 23-09-08_WLP FP Format1_CONCENTRATED QUOTE WLP459 042209 2" xfId="5041" xr:uid="{00000000-0005-0000-0000-00007B140000}"/>
    <cellStyle name="_MARION W10167649 23-09-08_WLP FP Format1_CONCENTRATED QUOTE WLP459 042209 3" xfId="5042" xr:uid="{00000000-0005-0000-0000-00007C140000}"/>
    <cellStyle name="_MARION W10167649 23-09-08_WLP FP Format1_CONCENTRATED QUOTE WLP459 042209 4" xfId="5043" xr:uid="{00000000-0005-0000-0000-00007D140000}"/>
    <cellStyle name="_MARION W10167649 23-09-08_WLP FP Format1_CONCENTRATED QUOTE WLP459 042209_862-CH" xfId="5044" xr:uid="{00000000-0005-0000-0000-00007E140000}"/>
    <cellStyle name="_MARION W10167649 23-09-08_WLP FP Format1_CONCENTRATED QUOTE WLP459 042209_W10251766 D" xfId="5045" xr:uid="{00000000-0005-0000-0000-00007F140000}"/>
    <cellStyle name="_MARION W10167649 23-09-08_WLP FP Format1_CONCENTRATED QUOTE WLP459 042209_W10279106 y W10279107 de MR a 56i" xfId="5046" xr:uid="{00000000-0005-0000-0000-000080140000}"/>
    <cellStyle name="_MARION W10167649 23-09-08_WLP FP Format1_CONCENTRATED QUOTE WLP459 042209_W10315922 A" xfId="5047" xr:uid="{00000000-0005-0000-0000-000081140000}"/>
    <cellStyle name="_MARION W10167649 23-09-08_WLP FP Format1_CONCENTRATED QUOTE WLP459 2" xfId="5048" xr:uid="{00000000-0005-0000-0000-000082140000}"/>
    <cellStyle name="_MARION W10167649 23-09-08_WLP FP Format1_CONCENTRATED QUOTE WLP459 3" xfId="5049" xr:uid="{00000000-0005-0000-0000-000083140000}"/>
    <cellStyle name="_MARION W10167649 23-09-08_WLP FP Format1_CONCENTRATED QUOTE WLP459 4" xfId="5050" xr:uid="{00000000-0005-0000-0000-000084140000}"/>
    <cellStyle name="_MARION W10167649 23-09-08_WLP FP Format1_CONCENTRATED QUOTE WLP459_862-CH" xfId="5051" xr:uid="{00000000-0005-0000-0000-000085140000}"/>
    <cellStyle name="_MARION W10167649 23-09-08_WLP FP Format1_CONCENTRATED QUOTE WLP459_W10251766 D" xfId="5052" xr:uid="{00000000-0005-0000-0000-000086140000}"/>
    <cellStyle name="_MARION W10167649 23-09-08_WLP FP Format1_CONCENTRATED QUOTE WLP459_W10279106 y W10279107 de MR a 56i" xfId="5053" xr:uid="{00000000-0005-0000-0000-000087140000}"/>
    <cellStyle name="_MARION W10167649 23-09-08_WLP FP Format1_CONCENTRATED QUOTE WLP459_W10315922 A" xfId="5054" xr:uid="{00000000-0005-0000-0000-000088140000}"/>
    <cellStyle name="_MARION W10167649 23-09-08_WLP FP Format1_CONCENTRATED QUOTE WLP463" xfId="5055" xr:uid="{00000000-0005-0000-0000-000089140000}"/>
    <cellStyle name="_MARION W10167649 23-09-08_WLP FP Format1_CONCENTRATED QUOTE WLP463 2" xfId="5056" xr:uid="{00000000-0005-0000-0000-00008A140000}"/>
    <cellStyle name="_MARION W10167649 23-09-08_WLP FP Format1_CONCENTRATED QUOTE WLP463 3" xfId="5057" xr:uid="{00000000-0005-0000-0000-00008B140000}"/>
    <cellStyle name="_MARION W10167649 23-09-08_WLP FP Format1_CONCENTRATED QUOTE WLP463 4" xfId="5058" xr:uid="{00000000-0005-0000-0000-00008C140000}"/>
    <cellStyle name="_MARION W10167649 23-09-08_WLP FP Format1_CONCENTRATED QUOTE WLP463 MOLEX" xfId="5059" xr:uid="{00000000-0005-0000-0000-00008D140000}"/>
    <cellStyle name="_MARION W10167649 23-09-08_WLP FP Format1_CONCENTRATED QUOTE WLP463 MOLEX 2" xfId="5060" xr:uid="{00000000-0005-0000-0000-00008E140000}"/>
    <cellStyle name="_MARION W10167649 23-09-08_WLP FP Format1_CONCENTRATED QUOTE WLP463 MOLEX 3" xfId="5061" xr:uid="{00000000-0005-0000-0000-00008F140000}"/>
    <cellStyle name="_MARION W10167649 23-09-08_WLP FP Format1_CONCENTRATED QUOTE WLP463 MOLEX 4" xfId="5062" xr:uid="{00000000-0005-0000-0000-000090140000}"/>
    <cellStyle name="_MARION W10167649 23-09-08_WLP FP Format1_CONCENTRATED QUOTE WLP463 MOLEX 4-28" xfId="5063" xr:uid="{00000000-0005-0000-0000-000091140000}"/>
    <cellStyle name="_MARION W10167649 23-09-08_WLP FP Format1_CONCENTRATED QUOTE WLP463 MOLEX 4-28 (2)" xfId="5064" xr:uid="{00000000-0005-0000-0000-000092140000}"/>
    <cellStyle name="_MARION W10167649 23-09-08_WLP FP Format1_CONCENTRATED QUOTE WLP463 MOLEX 4-28 (2) 2" xfId="5065" xr:uid="{00000000-0005-0000-0000-000093140000}"/>
    <cellStyle name="_MARION W10167649 23-09-08_WLP FP Format1_CONCENTRATED QUOTE WLP463 MOLEX 4-28 (2) 2 2" xfId="5066" xr:uid="{00000000-0005-0000-0000-000094140000}"/>
    <cellStyle name="_MARION W10167649 23-09-08_WLP FP Format1_CONCENTRATED QUOTE WLP463 MOLEX 4-28 (2) 2 3" xfId="5067" xr:uid="{00000000-0005-0000-0000-000095140000}"/>
    <cellStyle name="_MARION W10167649 23-09-08_WLP FP Format1_CONCENTRATED QUOTE WLP463 MOLEX 4-28 (2) 2 4" xfId="5068" xr:uid="{00000000-0005-0000-0000-000096140000}"/>
    <cellStyle name="_MARION W10167649 23-09-08_WLP FP Format1_CONCENTRATED QUOTE WLP463 MOLEX 4-28 (2) 3" xfId="5069" xr:uid="{00000000-0005-0000-0000-000097140000}"/>
    <cellStyle name="_MARION W10167649 23-09-08_WLP FP Format1_CONCENTRATED QUOTE WLP463 MOLEX 4-28 (2)_862-CH" xfId="5070" xr:uid="{00000000-0005-0000-0000-000098140000}"/>
    <cellStyle name="_MARION W10167649 23-09-08_WLP FP Format1_CONCENTRATED QUOTE WLP463 MOLEX 4-28 (2)_W10251766 D" xfId="5071" xr:uid="{00000000-0005-0000-0000-000099140000}"/>
    <cellStyle name="_MARION W10167649 23-09-08_WLP FP Format1_CONCENTRATED QUOTE WLP463 MOLEX 4-28 (2)_W10279106 y W10279107 de MR a 56i" xfId="5072" xr:uid="{00000000-0005-0000-0000-00009A140000}"/>
    <cellStyle name="_MARION W10167649 23-09-08_WLP FP Format1_CONCENTRATED QUOTE WLP463 MOLEX 4-28 (2)_W10315922 A" xfId="5073" xr:uid="{00000000-0005-0000-0000-00009B140000}"/>
    <cellStyle name="_MARION W10167649 23-09-08_WLP FP Format1_CONCENTRATED QUOTE WLP463 MOLEX 4-28 10" xfId="5074" xr:uid="{00000000-0005-0000-0000-00009C140000}"/>
    <cellStyle name="_MARION W10167649 23-09-08_WLP FP Format1_CONCENTRATED QUOTE WLP463 MOLEX 4-28 11" xfId="5075" xr:uid="{00000000-0005-0000-0000-00009D140000}"/>
    <cellStyle name="_MARION W10167649 23-09-08_WLP FP Format1_CONCENTRATED QUOTE WLP463 MOLEX 4-28 12" xfId="5076" xr:uid="{00000000-0005-0000-0000-00009E140000}"/>
    <cellStyle name="_MARION W10167649 23-09-08_WLP FP Format1_CONCENTRATED QUOTE WLP463 MOLEX 4-28 13" xfId="5077" xr:uid="{00000000-0005-0000-0000-00009F140000}"/>
    <cellStyle name="_MARION W10167649 23-09-08_WLP FP Format1_CONCENTRATED QUOTE WLP463 MOLEX 4-28 2" xfId="5078" xr:uid="{00000000-0005-0000-0000-0000A0140000}"/>
    <cellStyle name="_MARION W10167649 23-09-08_WLP FP Format1_CONCENTRATED QUOTE WLP463 MOLEX 4-28 2 2" xfId="5079" xr:uid="{00000000-0005-0000-0000-0000A1140000}"/>
    <cellStyle name="_MARION W10167649 23-09-08_WLP FP Format1_CONCENTRATED QUOTE WLP463 MOLEX 4-28 2 3" xfId="5080" xr:uid="{00000000-0005-0000-0000-0000A2140000}"/>
    <cellStyle name="_MARION W10167649 23-09-08_WLP FP Format1_CONCENTRATED QUOTE WLP463 MOLEX 4-28 2 4" xfId="5081" xr:uid="{00000000-0005-0000-0000-0000A3140000}"/>
    <cellStyle name="_MARION W10167649 23-09-08_WLP FP Format1_CONCENTRATED QUOTE WLP463 MOLEX 4-28 3" xfId="5082" xr:uid="{00000000-0005-0000-0000-0000A4140000}"/>
    <cellStyle name="_MARION W10167649 23-09-08_WLP FP Format1_CONCENTRATED QUOTE WLP463 MOLEX 4-28 4" xfId="5083" xr:uid="{00000000-0005-0000-0000-0000A5140000}"/>
    <cellStyle name="_MARION W10167649 23-09-08_WLP FP Format1_CONCENTRATED QUOTE WLP463 MOLEX 4-28 5" xfId="5084" xr:uid="{00000000-0005-0000-0000-0000A6140000}"/>
    <cellStyle name="_MARION W10167649 23-09-08_WLP FP Format1_CONCENTRATED QUOTE WLP463 MOLEX 4-28 6" xfId="5085" xr:uid="{00000000-0005-0000-0000-0000A7140000}"/>
    <cellStyle name="_MARION W10167649 23-09-08_WLP FP Format1_CONCENTRATED QUOTE WLP463 MOLEX 4-28 7" xfId="5086" xr:uid="{00000000-0005-0000-0000-0000A8140000}"/>
    <cellStyle name="_MARION W10167649 23-09-08_WLP FP Format1_CONCENTRATED QUOTE WLP463 MOLEX 4-28 8" xfId="5087" xr:uid="{00000000-0005-0000-0000-0000A9140000}"/>
    <cellStyle name="_MARION W10167649 23-09-08_WLP FP Format1_CONCENTRATED QUOTE WLP463 MOLEX 4-28 9" xfId="5088" xr:uid="{00000000-0005-0000-0000-0000AA140000}"/>
    <cellStyle name="_MARION W10167649 23-09-08_WLP FP Format1_CONCENTRATED QUOTE WLP463 MOLEX 4-28_862-CH" xfId="5089" xr:uid="{00000000-0005-0000-0000-0000AB140000}"/>
    <cellStyle name="_MARION W10167649 23-09-08_WLP FP Format1_CONCENTRATED QUOTE WLP463 MOLEX 4-28_W10251766 D" xfId="5090" xr:uid="{00000000-0005-0000-0000-0000AC140000}"/>
    <cellStyle name="_MARION W10167649 23-09-08_WLP FP Format1_CONCENTRATED QUOTE WLP463 MOLEX 4-28_W10279106 y W10279107 de MR a 56i" xfId="5091" xr:uid="{00000000-0005-0000-0000-0000AD140000}"/>
    <cellStyle name="_MARION W10167649 23-09-08_WLP FP Format1_CONCENTRATED QUOTE WLP463 MOLEX 4-28_W10315922 A" xfId="5092" xr:uid="{00000000-0005-0000-0000-0000AE140000}"/>
    <cellStyle name="_MARION W10167649 23-09-08_WLP FP Format1_CONCENTRATED QUOTE WLP463 MOLEX_862-CH" xfId="5093" xr:uid="{00000000-0005-0000-0000-0000AF140000}"/>
    <cellStyle name="_MARION W10167649 23-09-08_WLP FP Format1_CONCENTRATED QUOTE WLP463 MOLEX_W10251766 D" xfId="5094" xr:uid="{00000000-0005-0000-0000-0000B0140000}"/>
    <cellStyle name="_MARION W10167649 23-09-08_WLP FP Format1_CONCENTRATED QUOTE WLP463 MOLEX_W10279106 y W10279107 de MR a 56i" xfId="5095" xr:uid="{00000000-0005-0000-0000-0000B1140000}"/>
    <cellStyle name="_MARION W10167649 23-09-08_WLP FP Format1_CONCENTRATED QUOTE WLP463 MOLEX_W10315922 A" xfId="5096" xr:uid="{00000000-0005-0000-0000-0000B2140000}"/>
    <cellStyle name="_MARION W10167649 23-09-08_WLP FP Format1_CONCENTRATED QUOTE WLP463 TYCO1" xfId="5097" xr:uid="{00000000-0005-0000-0000-0000B3140000}"/>
    <cellStyle name="_MARION W10167649 23-09-08_WLP FP Format1_CONCENTRATED QUOTE WLP463 TYCO1 2" xfId="5098" xr:uid="{00000000-0005-0000-0000-0000B4140000}"/>
    <cellStyle name="_MARION W10167649 23-09-08_WLP FP Format1_CONCENTRATED QUOTE WLP463 TYCO1 3" xfId="5099" xr:uid="{00000000-0005-0000-0000-0000B5140000}"/>
    <cellStyle name="_MARION W10167649 23-09-08_WLP FP Format1_CONCENTRATED QUOTE WLP463 TYCO1 4" xfId="5100" xr:uid="{00000000-0005-0000-0000-0000B6140000}"/>
    <cellStyle name="_MARION W10167649 23-09-08_WLP FP Format1_CONCENTRATED QUOTE WLP463 TYCO1_862-CH" xfId="5101" xr:uid="{00000000-0005-0000-0000-0000B7140000}"/>
    <cellStyle name="_MARION W10167649 23-09-08_WLP FP Format1_CONCENTRATED QUOTE WLP463 TYCO1_W10251766 D" xfId="5102" xr:uid="{00000000-0005-0000-0000-0000B8140000}"/>
    <cellStyle name="_MARION W10167649 23-09-08_WLP FP Format1_CONCENTRATED QUOTE WLP463 TYCO1_W10279106 y W10279107 de MR a 56i" xfId="5103" xr:uid="{00000000-0005-0000-0000-0000B9140000}"/>
    <cellStyle name="_MARION W10167649 23-09-08_WLP FP Format1_CONCENTRATED QUOTE WLP463 TYCO1_W10315922 A" xfId="5104" xr:uid="{00000000-0005-0000-0000-0000BA140000}"/>
    <cellStyle name="_MARION W10167649 23-09-08_WLP FP Format1_CONCENTRATED QUOTE WLP463 TYCO3" xfId="5105" xr:uid="{00000000-0005-0000-0000-0000BB140000}"/>
    <cellStyle name="_MARION W10167649 23-09-08_WLP FP Format1_CONCENTRATED QUOTE WLP463 TYCO3 2" xfId="5106" xr:uid="{00000000-0005-0000-0000-0000BC140000}"/>
    <cellStyle name="_MARION W10167649 23-09-08_WLP FP Format1_CONCENTRATED QUOTE WLP463 TYCO3 3" xfId="5107" xr:uid="{00000000-0005-0000-0000-0000BD140000}"/>
    <cellStyle name="_MARION W10167649 23-09-08_WLP FP Format1_CONCENTRATED QUOTE WLP463 TYCO3 4" xfId="5108" xr:uid="{00000000-0005-0000-0000-0000BE140000}"/>
    <cellStyle name="_MARION W10167649 23-09-08_WLP FP Format1_CONCENTRATED QUOTE WLP463 TYCO3_862-CH" xfId="5109" xr:uid="{00000000-0005-0000-0000-0000BF140000}"/>
    <cellStyle name="_MARION W10167649 23-09-08_WLP FP Format1_CONCENTRATED QUOTE WLP463 TYCO3_W10251766 D" xfId="5110" xr:uid="{00000000-0005-0000-0000-0000C0140000}"/>
    <cellStyle name="_MARION W10167649 23-09-08_WLP FP Format1_CONCENTRATED QUOTE WLP463 TYCO3_W10279106 y W10279107 de MR a 56i" xfId="5111" xr:uid="{00000000-0005-0000-0000-0000C1140000}"/>
    <cellStyle name="_MARION W10167649 23-09-08_WLP FP Format1_CONCENTRATED QUOTE WLP463 TYCO3_W10315922 A" xfId="5112" xr:uid="{00000000-0005-0000-0000-0000C2140000}"/>
    <cellStyle name="_MARION W10167649 23-09-08_WLP FP Format1_CONCENTRATED QUOTE WLP463_862-CH" xfId="5113" xr:uid="{00000000-0005-0000-0000-0000C3140000}"/>
    <cellStyle name="_MARION W10167649 23-09-08_WLP FP Format1_CONCENTRATED QUOTE WLP463_W10251766 D" xfId="5114" xr:uid="{00000000-0005-0000-0000-0000C4140000}"/>
    <cellStyle name="_MARION W10167649 23-09-08_WLP FP Format1_CONCENTRATED QUOTE WLP463_W10279106 y W10279107 de MR a 56i" xfId="5115" xr:uid="{00000000-0005-0000-0000-0000C5140000}"/>
    <cellStyle name="_MARION W10167649 23-09-08_WLP FP Format1_CONCENTRATED QUOTE WLP463_W10315922 A" xfId="5116" xr:uid="{00000000-0005-0000-0000-0000C6140000}"/>
    <cellStyle name="_MARION W10167649 23-09-08_WLP FP Format1_CONCENTRATED QUOTE WLP470 050709" xfId="5117" xr:uid="{00000000-0005-0000-0000-0000C7140000}"/>
    <cellStyle name="_MARION W10167649 23-09-08_WLP FP Format1_CONCENTRATED QUOTE WLP470 050709 2" xfId="5118" xr:uid="{00000000-0005-0000-0000-0000C8140000}"/>
    <cellStyle name="_MARION W10167649 23-09-08_WLP FP Format1_CONCENTRATED QUOTE WLP470 050709 3" xfId="5119" xr:uid="{00000000-0005-0000-0000-0000C9140000}"/>
    <cellStyle name="_MARION W10167649 23-09-08_WLP FP Format1_CONCENTRATED QUOTE WLP470 050709 4" xfId="5120" xr:uid="{00000000-0005-0000-0000-0000CA140000}"/>
    <cellStyle name="_MARION W10167649 23-09-08_WLP FP Format1_CONCENTRATED QUOTE WLP481" xfId="5121" xr:uid="{00000000-0005-0000-0000-0000CB140000}"/>
    <cellStyle name="_MARION W10167649 23-09-08_WLP FP Format1_CONCENTRATED QUOTE WLP481 2" xfId="5122" xr:uid="{00000000-0005-0000-0000-0000CC140000}"/>
    <cellStyle name="_MARION W10167649 23-09-08_WLP FP Format1_CONCENTRATED QUOTE WLP481 3" xfId="5123" xr:uid="{00000000-0005-0000-0000-0000CD140000}"/>
    <cellStyle name="_MARION W10167649 23-09-08_WLP FP Format1_CONCENTRATED QUOTE WLP481 4" xfId="5124" xr:uid="{00000000-0005-0000-0000-0000CE140000}"/>
    <cellStyle name="_MARION W10167649 23-09-08_WLP FP Format1_CONCENTRATED QUOTE WLP481_862-CH" xfId="5125" xr:uid="{00000000-0005-0000-0000-0000CF140000}"/>
    <cellStyle name="_MARION W10167649 23-09-08_WLP FP Format1_CONCENTRATED QUOTE WLP481_W10251766 D" xfId="5126" xr:uid="{00000000-0005-0000-0000-0000D0140000}"/>
    <cellStyle name="_MARION W10167649 23-09-08_WLP FP Format1_CONCENTRATED QUOTE WLP481_W10279106 y W10279107 de MR a 56i" xfId="5127" xr:uid="{00000000-0005-0000-0000-0000D1140000}"/>
    <cellStyle name="_MARION W10167649 23-09-08_WLP FP Format1_CONCENTRATED QUOTE WLP481_W10315922 A" xfId="5128" xr:uid="{00000000-0005-0000-0000-0000D2140000}"/>
    <cellStyle name="_MARION W10167649 23-09-08_WLP FP Format1_CONCENTRATED QUOTE WLP485" xfId="5129" xr:uid="{00000000-0005-0000-0000-0000D3140000}"/>
    <cellStyle name="_MARION W10167649 23-09-08_WLP FP Format1_CONCENTRATED QUOTE WLP485 2" xfId="5130" xr:uid="{00000000-0005-0000-0000-0000D4140000}"/>
    <cellStyle name="_MARION W10167649 23-09-08_WLP FP Format1_CONCENTRATED QUOTE WLP485 3" xfId="5131" xr:uid="{00000000-0005-0000-0000-0000D5140000}"/>
    <cellStyle name="_MARION W10167649 23-09-08_WLP FP Format1_CONCENTRATED QUOTE WLP485 4" xfId="5132" xr:uid="{00000000-0005-0000-0000-0000D6140000}"/>
    <cellStyle name="_MARION W10167649 23-09-08_WLP FP Format1_CONCENTRATED QUOTE WLP487" xfId="5133" xr:uid="{00000000-0005-0000-0000-0000D7140000}"/>
    <cellStyle name="_MARION W10167649 23-09-08_WLP FP Format1_CONCENTRATED QUOTE WLP487 060209" xfId="5134" xr:uid="{00000000-0005-0000-0000-0000D8140000}"/>
    <cellStyle name="_MARION W10167649 23-09-08_WLP FP Format1_CONCENTRATED QUOTE WLP487 060209 2" xfId="5135" xr:uid="{00000000-0005-0000-0000-0000D9140000}"/>
    <cellStyle name="_MARION W10167649 23-09-08_WLP FP Format1_CONCENTRATED QUOTE WLP487 060209 3" xfId="5136" xr:uid="{00000000-0005-0000-0000-0000DA140000}"/>
    <cellStyle name="_MARION W10167649 23-09-08_WLP FP Format1_CONCENTRATED QUOTE WLP487 060209 4" xfId="5137" xr:uid="{00000000-0005-0000-0000-0000DB140000}"/>
    <cellStyle name="_MARION W10167649 23-09-08_WLP FP Format1_CONCENTRATED QUOTE WLP487 2" xfId="5138" xr:uid="{00000000-0005-0000-0000-0000DC140000}"/>
    <cellStyle name="_MARION W10167649 23-09-08_WLP FP Format1_CONCENTRATED QUOTE WLP487 3" xfId="5139" xr:uid="{00000000-0005-0000-0000-0000DD140000}"/>
    <cellStyle name="_MARION W10167649 23-09-08_WLP FP Format1_CONCENTRATED QUOTE WLP487 4" xfId="5140" xr:uid="{00000000-0005-0000-0000-0000DE140000}"/>
    <cellStyle name="_MARION W10167649 23-09-08_WLP FP Format1_CONCENTRATED QUOTE WLP495" xfId="5141" xr:uid="{00000000-0005-0000-0000-0000DF140000}"/>
    <cellStyle name="_MARION W10167649 23-09-08_WLP FP Format1_CONCENTRATED QUOTE WLP495 2" xfId="5142" xr:uid="{00000000-0005-0000-0000-0000E0140000}"/>
    <cellStyle name="_MARION W10167649 23-09-08_WLP FP Format1_CONCENTRATED QUOTE WLP495 3" xfId="5143" xr:uid="{00000000-0005-0000-0000-0000E1140000}"/>
    <cellStyle name="_MARION W10167649 23-09-08_WLP FP Format1_CONCENTRATED QUOTE WLP495 4" xfId="5144" xr:uid="{00000000-0005-0000-0000-0000E2140000}"/>
    <cellStyle name="_MARION W10167649 23-09-08_WLP FP Format1_CONCENTRATED QUOTE WLP552" xfId="5145" xr:uid="{00000000-0005-0000-0000-0000E3140000}"/>
    <cellStyle name="_MARION W10167649 23-09-08_WLP FP Format1_CONCENTRATED QUOTE WLP552 2" xfId="5146" xr:uid="{00000000-0005-0000-0000-0000E4140000}"/>
    <cellStyle name="_MARION W10167649 23-09-08_WLP FP Format1_CONCENTRATED QUOTE WLP552 3" xfId="5147" xr:uid="{00000000-0005-0000-0000-0000E5140000}"/>
    <cellStyle name="_MARION W10167649 23-09-08_WLP FP Format1_CONCENTRATED QUOTE WLP552 4" xfId="5148" xr:uid="{00000000-0005-0000-0000-0000E6140000}"/>
    <cellStyle name="_MARION W10167649 23-09-08_WLP FP Format1_COST BKDN FOR REVIEW_W10252578_submitted 4_30_09 to Hector" xfId="5149" xr:uid="{00000000-0005-0000-0000-0000E7140000}"/>
    <cellStyle name="_MARION W10167649 23-09-08_WLP FP Format1_COST BKDN FOR REVIEW_W10252578_submitted 4_30_09 to Hector 2" xfId="5150" xr:uid="{00000000-0005-0000-0000-0000E8140000}"/>
    <cellStyle name="_MARION W10167649 23-09-08_WLP FP Format1_COST BKDN FOR REVIEW_W10252578_submitted 4_30_09 to Hector 2 2" xfId="5151" xr:uid="{00000000-0005-0000-0000-0000E9140000}"/>
    <cellStyle name="_MARION W10167649 23-09-08_WLP FP Format1_COST BKDN FOR REVIEW_W10252578_submitted 4_30_09 to Hector 2 3" xfId="5152" xr:uid="{00000000-0005-0000-0000-0000EA140000}"/>
    <cellStyle name="_MARION W10167649 23-09-08_WLP FP Format1_COST BKDN FOR REVIEW_W10252578_submitted 4_30_09 to Hector 2 4" xfId="5153" xr:uid="{00000000-0005-0000-0000-0000EB140000}"/>
    <cellStyle name="_MARION W10167649 23-09-08_WLP FP Format1_COST BKDN FOR REVIEW_W10252578_submitted 4_30_09 to Hector 3" xfId="5154" xr:uid="{00000000-0005-0000-0000-0000EC140000}"/>
    <cellStyle name="_MARION W10167649 23-09-08_WLP FP Format1_COST BKDN FOR REVIEW_W10252578_submitted 4_30_09 to Hector_862-CH" xfId="5155" xr:uid="{00000000-0005-0000-0000-0000ED140000}"/>
    <cellStyle name="_MARION W10167649 23-09-08_WLP FP Format1_COST BKDN FOR REVIEW_W10252578_submitted 4_30_09 to Hector_W10251766 D" xfId="5156" xr:uid="{00000000-0005-0000-0000-0000EE140000}"/>
    <cellStyle name="_MARION W10167649 23-09-08_WLP FP Format1_COST BKDN FOR REVIEW_W10252578_submitted 4_30_09 to Hector_W10279106 y W10279107 de MR a 56i" xfId="5157" xr:uid="{00000000-0005-0000-0000-0000EF140000}"/>
    <cellStyle name="_MARION W10167649 23-09-08_WLP FP Format1_COST BKDN FOR REVIEW_W10252578_submitted 4_30_09 to Hector_W10315922 A" xfId="5158" xr:uid="{00000000-0005-0000-0000-0000F0140000}"/>
    <cellStyle name="_MARION W10167649 23-09-08_WLP FP Format1_DEPRECIATION_OH RAST" xfId="5159" xr:uid="{00000000-0005-0000-0000-0000F1140000}"/>
    <cellStyle name="_MARION W10167649 23-09-08_WLP FP Format1_DEPRECIATION_OH RAST 2" xfId="5160" xr:uid="{00000000-0005-0000-0000-0000F2140000}"/>
    <cellStyle name="_MARION W10167649 23-09-08_WLP FP Format1_DEPRECIATION_OH RAST 2 2" xfId="5161" xr:uid="{00000000-0005-0000-0000-0000F3140000}"/>
    <cellStyle name="_MARION W10167649 23-09-08_WLP FP Format1_DEPRECIATION_OH RAST 2 3" xfId="5162" xr:uid="{00000000-0005-0000-0000-0000F4140000}"/>
    <cellStyle name="_MARION W10167649 23-09-08_WLP FP Format1_DEPRECIATION_OH RAST 2 4" xfId="5163" xr:uid="{00000000-0005-0000-0000-0000F5140000}"/>
    <cellStyle name="_MARION W10167649 23-09-08_WLP FP Format1_DEPRECIATION_OH RAST 3" xfId="5164" xr:uid="{00000000-0005-0000-0000-0000F6140000}"/>
    <cellStyle name="_MARION W10167649 23-09-08_WLP FP Format1_DEPRECIATION_OH RAST_862-CH" xfId="5165" xr:uid="{00000000-0005-0000-0000-0000F7140000}"/>
    <cellStyle name="_MARION W10167649 23-09-08_WLP FP Format1_DEPRECIATION_OH RAST_W10251766 D" xfId="5166" xr:uid="{00000000-0005-0000-0000-0000F8140000}"/>
    <cellStyle name="_MARION W10167649 23-09-08_WLP FP Format1_DEPRECIATION_OH RAST_W10279106 y W10279107 de MR a 56i" xfId="5167" xr:uid="{00000000-0005-0000-0000-0000F9140000}"/>
    <cellStyle name="_MARION W10167649 23-09-08_WLP FP Format1_DEPRECIATION_OH RAST_W10315922 A" xfId="5168" xr:uid="{00000000-0005-0000-0000-0000FA140000}"/>
    <cellStyle name="_MARION W10167649 23-09-08_WLP FP Format1_Op 1 VMW Base Line Molex" xfId="5169" xr:uid="{00000000-0005-0000-0000-0000FB140000}"/>
    <cellStyle name="_MARION W10167649 23-09-08_WLP FP Format1_Op 1 VMW Base Line Molex 2" xfId="5170" xr:uid="{00000000-0005-0000-0000-0000FC140000}"/>
    <cellStyle name="_MARION W10167649 23-09-08_WLP FP Format1_Op 1 VMW Base Line Molex 2 2" xfId="5171" xr:uid="{00000000-0005-0000-0000-0000FD140000}"/>
    <cellStyle name="_MARION W10167649 23-09-08_WLP FP Format1_Op 1 VMW Base Line Molex 2 3" xfId="5172" xr:uid="{00000000-0005-0000-0000-0000FE140000}"/>
    <cellStyle name="_MARION W10167649 23-09-08_WLP FP Format1_Op 1 VMW Base Line Molex 2 4" xfId="5173" xr:uid="{00000000-0005-0000-0000-0000FF140000}"/>
    <cellStyle name="_MARION W10167649 23-09-08_WLP FP Format1_Op 1 VMW Base Line Molex 3" xfId="5174" xr:uid="{00000000-0005-0000-0000-000000150000}"/>
    <cellStyle name="_MARION W10167649 23-09-08_WLP FP Format1_Op 1 VMW Base Line Molex_862-CH" xfId="5175" xr:uid="{00000000-0005-0000-0000-000001150000}"/>
    <cellStyle name="_MARION W10167649 23-09-08_WLP FP Format1_Op 1 VMW Base Line Molex_W10251766 D" xfId="5176" xr:uid="{00000000-0005-0000-0000-000002150000}"/>
    <cellStyle name="_MARION W10167649 23-09-08_WLP FP Format1_Op 1 VMW Base Line Molex_W10279106 y W10279107 de MR a 56i" xfId="5177" xr:uid="{00000000-0005-0000-0000-000003150000}"/>
    <cellStyle name="_MARION W10167649 23-09-08_WLP FP Format1_Op 1 VMW Base Line Molex_W10315922 A" xfId="5178" xr:uid="{00000000-0005-0000-0000-000004150000}"/>
    <cellStyle name="_MARION W10167649 23-09-08_WLP FP Format1_Op 8 VMW TYCO Splice Option" xfId="5179" xr:uid="{00000000-0005-0000-0000-000005150000}"/>
    <cellStyle name="_MARION W10167649 23-09-08_WLP FP Format1_Op 8 VMW TYCO Splice Option - Per Conference 3-27-2009" xfId="5180" xr:uid="{00000000-0005-0000-0000-000006150000}"/>
    <cellStyle name="_MARION W10167649 23-09-08_WLP FP Format1_Op 8 VMW TYCO Splice Option - Per Conference 3-27-2009 2" xfId="5181" xr:uid="{00000000-0005-0000-0000-000007150000}"/>
    <cellStyle name="_MARION W10167649 23-09-08_WLP FP Format1_Op 8 VMW TYCO Splice Option - Per Conference 3-27-2009 2 2" xfId="5182" xr:uid="{00000000-0005-0000-0000-000008150000}"/>
    <cellStyle name="_MARION W10167649 23-09-08_WLP FP Format1_Op 8 VMW TYCO Splice Option - Per Conference 3-27-2009 2 3" xfId="5183" xr:uid="{00000000-0005-0000-0000-000009150000}"/>
    <cellStyle name="_MARION W10167649 23-09-08_WLP FP Format1_Op 8 VMW TYCO Splice Option - Per Conference 3-27-2009 2 4" xfId="5184" xr:uid="{00000000-0005-0000-0000-00000A150000}"/>
    <cellStyle name="_MARION W10167649 23-09-08_WLP FP Format1_Op 8 VMW TYCO Splice Option - Per Conference 3-27-2009 3" xfId="5185" xr:uid="{00000000-0005-0000-0000-00000B150000}"/>
    <cellStyle name="_MARION W10167649 23-09-08_WLP FP Format1_Op 8 VMW TYCO Splice Option - Per Conference 3-27-2009_862-CH" xfId="5186" xr:uid="{00000000-0005-0000-0000-00000C150000}"/>
    <cellStyle name="_MARION W10167649 23-09-08_WLP FP Format1_Op 8 VMW TYCO Splice Option - Per Conference 3-27-2009_W10251766 D" xfId="5187" xr:uid="{00000000-0005-0000-0000-00000D150000}"/>
    <cellStyle name="_MARION W10167649 23-09-08_WLP FP Format1_Op 8 VMW TYCO Splice Option - Per Conference 3-27-2009_W10279106 y W10279107 de MR a 56i" xfId="5188" xr:uid="{00000000-0005-0000-0000-00000E150000}"/>
    <cellStyle name="_MARION W10167649 23-09-08_WLP FP Format1_Op 8 VMW TYCO Splice Option - Per Conference 3-27-2009_W10315922 A" xfId="5189" xr:uid="{00000000-0005-0000-0000-00000F150000}"/>
    <cellStyle name="_MARION W10167649 23-09-08_WLP FP Format1_Op 8 VMW TYCO Splice Option 10" xfId="5190" xr:uid="{00000000-0005-0000-0000-000010150000}"/>
    <cellStyle name="_MARION W10167649 23-09-08_WLP FP Format1_Op 8 VMW TYCO Splice Option 11" xfId="5191" xr:uid="{00000000-0005-0000-0000-000011150000}"/>
    <cellStyle name="_MARION W10167649 23-09-08_WLP FP Format1_Op 8 VMW TYCO Splice Option 12" xfId="5192" xr:uid="{00000000-0005-0000-0000-000012150000}"/>
    <cellStyle name="_MARION W10167649 23-09-08_WLP FP Format1_Op 8 VMW TYCO Splice Option 13" xfId="5193" xr:uid="{00000000-0005-0000-0000-000013150000}"/>
    <cellStyle name="_MARION W10167649 23-09-08_WLP FP Format1_Op 8 VMW TYCO Splice Option 2" xfId="5194" xr:uid="{00000000-0005-0000-0000-000014150000}"/>
    <cellStyle name="_MARION W10167649 23-09-08_WLP FP Format1_Op 8 VMW TYCO Splice Option 2 2" xfId="5195" xr:uid="{00000000-0005-0000-0000-000015150000}"/>
    <cellStyle name="_MARION W10167649 23-09-08_WLP FP Format1_Op 8 VMW TYCO Splice Option 2 3" xfId="5196" xr:uid="{00000000-0005-0000-0000-000016150000}"/>
    <cellStyle name="_MARION W10167649 23-09-08_WLP FP Format1_Op 8 VMW TYCO Splice Option 2 4" xfId="5197" xr:uid="{00000000-0005-0000-0000-000017150000}"/>
    <cellStyle name="_MARION W10167649 23-09-08_WLP FP Format1_Op 8 VMW TYCO Splice Option 3" xfId="5198" xr:uid="{00000000-0005-0000-0000-000018150000}"/>
    <cellStyle name="_MARION W10167649 23-09-08_WLP FP Format1_Op 8 VMW TYCO Splice Option 4" xfId="5199" xr:uid="{00000000-0005-0000-0000-000019150000}"/>
    <cellStyle name="_MARION W10167649 23-09-08_WLP FP Format1_Op 8 VMW TYCO Splice Option 5" xfId="5200" xr:uid="{00000000-0005-0000-0000-00001A150000}"/>
    <cellStyle name="_MARION W10167649 23-09-08_WLP FP Format1_Op 8 VMW TYCO Splice Option 6" xfId="5201" xr:uid="{00000000-0005-0000-0000-00001B150000}"/>
    <cellStyle name="_MARION W10167649 23-09-08_WLP FP Format1_Op 8 VMW TYCO Splice Option 7" xfId="5202" xr:uid="{00000000-0005-0000-0000-00001C150000}"/>
    <cellStyle name="_MARION W10167649 23-09-08_WLP FP Format1_Op 8 VMW TYCO Splice Option 8" xfId="5203" xr:uid="{00000000-0005-0000-0000-00001D150000}"/>
    <cellStyle name="_MARION W10167649 23-09-08_WLP FP Format1_Op 8 VMW TYCO Splice Option 9" xfId="5204" xr:uid="{00000000-0005-0000-0000-00001E150000}"/>
    <cellStyle name="_MARION W10167649 23-09-08_WLP FP Format1_Op 8 VMW TYCO Splice Option_862-CH" xfId="5205" xr:uid="{00000000-0005-0000-0000-00001F150000}"/>
    <cellStyle name="_MARION W10167649 23-09-08_WLP FP Format1_Op 8 VMW TYCO Splice Option_W10251766 D" xfId="5206" xr:uid="{00000000-0005-0000-0000-000020150000}"/>
    <cellStyle name="_MARION W10167649 23-09-08_WLP FP Format1_Op 8 VMW TYCO Splice Option_W10279106 y W10279107 de MR a 56i" xfId="5207" xr:uid="{00000000-0005-0000-0000-000021150000}"/>
    <cellStyle name="_MARION W10167649 23-09-08_WLP FP Format1_Op 8 VMW TYCO Splice Option_W10315922 A" xfId="5208" xr:uid="{00000000-0005-0000-0000-000022150000}"/>
    <cellStyle name="_MARION W10167649 23-09-08_WLP FP Format1_VMW Latest version MOLEX 4-28" xfId="5209" xr:uid="{00000000-0005-0000-0000-000023150000}"/>
    <cellStyle name="_MARION W10167649 23-09-08_WLP FP Format1_VMW Latest version MOLEX 4-28 2" xfId="5210" xr:uid="{00000000-0005-0000-0000-000024150000}"/>
    <cellStyle name="_MARION W10167649 23-09-08_WLP FP Format1_VMW Latest version MOLEX 4-28 2 2" xfId="5211" xr:uid="{00000000-0005-0000-0000-000025150000}"/>
    <cellStyle name="_MARION W10167649 23-09-08_WLP FP Format1_VMW Latest version MOLEX 4-28 2 3" xfId="5212" xr:uid="{00000000-0005-0000-0000-000026150000}"/>
    <cellStyle name="_MARION W10167649 23-09-08_WLP FP Format1_VMW Latest version MOLEX 4-28 2 4" xfId="5213" xr:uid="{00000000-0005-0000-0000-000027150000}"/>
    <cellStyle name="_MARION W10167649 23-09-08_WLP FP Format1_VMW Latest version MOLEX 4-28 3" xfId="5214" xr:uid="{00000000-0005-0000-0000-000028150000}"/>
    <cellStyle name="_MARION W10167649 23-09-08_WLP FP Format1_VMW Latest version MOLEX 4-28 per conference" xfId="5215" xr:uid="{00000000-0005-0000-0000-000029150000}"/>
    <cellStyle name="_MARION W10167649 23-09-08_WLP FP Format1_VMW Latest version MOLEX 4-28 per conference 2" xfId="5216" xr:uid="{00000000-0005-0000-0000-00002A150000}"/>
    <cellStyle name="_MARION W10167649 23-09-08_WLP FP Format1_VMW Latest version MOLEX 4-28 per conference 2 2" xfId="5217" xr:uid="{00000000-0005-0000-0000-00002B150000}"/>
    <cellStyle name="_MARION W10167649 23-09-08_WLP FP Format1_VMW Latest version MOLEX 4-28 per conference 2 3" xfId="5218" xr:uid="{00000000-0005-0000-0000-00002C150000}"/>
    <cellStyle name="_MARION W10167649 23-09-08_WLP FP Format1_VMW Latest version MOLEX 4-28 per conference 2 4" xfId="5219" xr:uid="{00000000-0005-0000-0000-00002D150000}"/>
    <cellStyle name="_MARION W10167649 23-09-08_WLP FP Format1_VMW Latest version MOLEX 4-28 per conference 3" xfId="5220" xr:uid="{00000000-0005-0000-0000-00002E150000}"/>
    <cellStyle name="_MARION W10167649 23-09-08_WLP FP Format1_VMW Latest version MOLEX 4-28 per conference revised" xfId="5221" xr:uid="{00000000-0005-0000-0000-00002F150000}"/>
    <cellStyle name="_MARION W10167649 23-09-08_WLP FP Format1_VMW Latest version MOLEX 4-28 per conference revised 2" xfId="5222" xr:uid="{00000000-0005-0000-0000-000030150000}"/>
    <cellStyle name="_MARION W10167649 23-09-08_WLP FP Format1_VMW Latest version MOLEX 4-28 per conference revised 2 2" xfId="5223" xr:uid="{00000000-0005-0000-0000-000031150000}"/>
    <cellStyle name="_MARION W10167649 23-09-08_WLP FP Format1_VMW Latest version MOLEX 4-28 per conference revised 2 3" xfId="5224" xr:uid="{00000000-0005-0000-0000-000032150000}"/>
    <cellStyle name="_MARION W10167649 23-09-08_WLP FP Format1_VMW Latest version MOLEX 4-28 per conference revised 2 4" xfId="5225" xr:uid="{00000000-0005-0000-0000-000033150000}"/>
    <cellStyle name="_MARION W10167649 23-09-08_WLP FP Format1_VMW Latest version MOLEX 4-28 per conference revised 3" xfId="5226" xr:uid="{00000000-0005-0000-0000-000034150000}"/>
    <cellStyle name="_MARION W10167649 23-09-08_WLP FP Format1_VMW Latest version MOLEX 4-28 per conference revised_862-CH" xfId="5227" xr:uid="{00000000-0005-0000-0000-000035150000}"/>
    <cellStyle name="_MARION W10167649 23-09-08_WLP FP Format1_VMW Latest version MOLEX 4-28 per conference revised_W10251766 D" xfId="5228" xr:uid="{00000000-0005-0000-0000-000036150000}"/>
    <cellStyle name="_MARION W10167649 23-09-08_WLP FP Format1_VMW Latest version MOLEX 4-28 per conference revised_W10279106 y W10279107 de MR a 56i" xfId="5229" xr:uid="{00000000-0005-0000-0000-000037150000}"/>
    <cellStyle name="_MARION W10167649 23-09-08_WLP FP Format1_VMW Latest version MOLEX 4-28 per conference revised_W10315922 A" xfId="5230" xr:uid="{00000000-0005-0000-0000-000038150000}"/>
    <cellStyle name="_MARION W10167649 23-09-08_WLP FP Format1_VMW Latest version MOLEX 4-28 per conference_862-CH" xfId="5231" xr:uid="{00000000-0005-0000-0000-000039150000}"/>
    <cellStyle name="_MARION W10167649 23-09-08_WLP FP Format1_VMW Latest version MOLEX 4-28 per conference_W10251766 D" xfId="5232" xr:uid="{00000000-0005-0000-0000-00003A150000}"/>
    <cellStyle name="_MARION W10167649 23-09-08_WLP FP Format1_VMW Latest version MOLEX 4-28 per conference_W10279106 y W10279107 de MR a 56i" xfId="5233" xr:uid="{00000000-0005-0000-0000-00003B150000}"/>
    <cellStyle name="_MARION W10167649 23-09-08_WLP FP Format1_VMW Latest version MOLEX 4-28 per conference_W10315922 A" xfId="5234" xr:uid="{00000000-0005-0000-0000-00003C150000}"/>
    <cellStyle name="_MARION W10167649 23-09-08_WLP FP Format1_VMW Latest version MOLEX 4-28_862-CH" xfId="5235" xr:uid="{00000000-0005-0000-0000-00003D150000}"/>
    <cellStyle name="_MARION W10167649 23-09-08_WLP FP Format1_VMW Latest version MOLEX 4-28_W10251766 D" xfId="5236" xr:uid="{00000000-0005-0000-0000-00003E150000}"/>
    <cellStyle name="_MARION W10167649 23-09-08_WLP FP Format1_VMW Latest version MOLEX 4-28_W10279106 y W10279107 de MR a 56i" xfId="5237" xr:uid="{00000000-0005-0000-0000-00003F150000}"/>
    <cellStyle name="_MARION W10167649 23-09-08_WLP FP Format1_VMW Latest version MOLEX 4-28_W10315922 A" xfId="5238" xr:uid="{00000000-0005-0000-0000-000040150000}"/>
    <cellStyle name="_MARION W10167649 23-09-08_WLP FP Format1_VMW MOLEX BASELINE OPTION COST BREAKDOWN - 4_16_09_Detail_" xfId="5239" xr:uid="{00000000-0005-0000-0000-000041150000}"/>
    <cellStyle name="_MARION W10167649 23-09-08_WLP FP Format1_VMW MOLEX BASELINE OPTION COST BREAKDOWN - 4_16_09_Detail_ 2" xfId="5240" xr:uid="{00000000-0005-0000-0000-000042150000}"/>
    <cellStyle name="_MARION W10167649 23-09-08_WLP FP Format1_VMW MOLEX BASELINE OPTION COST BREAKDOWN - 4_16_09_Detail_ 2 2" xfId="5241" xr:uid="{00000000-0005-0000-0000-000043150000}"/>
    <cellStyle name="_MARION W10167649 23-09-08_WLP FP Format1_VMW MOLEX BASELINE OPTION COST BREAKDOWN - 4_16_09_Detail_ 2 3" xfId="5242" xr:uid="{00000000-0005-0000-0000-000044150000}"/>
    <cellStyle name="_MARION W10167649 23-09-08_WLP FP Format1_VMW MOLEX BASELINE OPTION COST BREAKDOWN - 4_16_09_Detail_ 2 4" xfId="5243" xr:uid="{00000000-0005-0000-0000-000045150000}"/>
    <cellStyle name="_MARION W10167649 23-09-08_WLP FP Format1_VMW MOLEX BASELINE OPTION COST BREAKDOWN - 4_16_09_Detail_ 3" xfId="5244" xr:uid="{00000000-0005-0000-0000-000046150000}"/>
    <cellStyle name="_MARION W10167649 23-09-08_WLP FP Format1_VMW MOLEX BASELINE OPTION COST BREAKDOWN - 4_16_09_Detail__862-CH" xfId="5245" xr:uid="{00000000-0005-0000-0000-000047150000}"/>
    <cellStyle name="_MARION W10167649 23-09-08_WLP FP Format1_VMW MOLEX BASELINE OPTION COST BREAKDOWN - 4_16_09_Detail__W10251766 D" xfId="5246" xr:uid="{00000000-0005-0000-0000-000048150000}"/>
    <cellStyle name="_MARION W10167649 23-09-08_WLP FP Format1_VMW MOLEX BASELINE OPTION COST BREAKDOWN - 4_16_09_Detail__W10279106 y W10279107 de MR a 56i" xfId="5247" xr:uid="{00000000-0005-0000-0000-000049150000}"/>
    <cellStyle name="_MARION W10167649 23-09-08_WLP FP Format1_VMW MOLEX BASELINE OPTION COST BREAKDOWN - 4_16_09_Detail__W10315922 A" xfId="5248" xr:uid="{00000000-0005-0000-0000-00004A150000}"/>
    <cellStyle name="_MARION W10167649 23-09-08_WLP FP Format1_VMW SPLIT CONN" xfId="5249" xr:uid="{00000000-0005-0000-0000-00004B150000}"/>
    <cellStyle name="_MARION W10167649 23-09-08_WLP FP Format1_VMW SPLIT CONN 2" xfId="5250" xr:uid="{00000000-0005-0000-0000-00004C150000}"/>
    <cellStyle name="_MARION W10167649 23-09-08_WLP FP Format1_VMW SPLIT CONN 2 2" xfId="5251" xr:uid="{00000000-0005-0000-0000-00004D150000}"/>
    <cellStyle name="_MARION W10167649 23-09-08_WLP FP Format1_VMW SPLIT CONN 2 3" xfId="5252" xr:uid="{00000000-0005-0000-0000-00004E150000}"/>
    <cellStyle name="_MARION W10167649 23-09-08_WLP FP Format1_VMW SPLIT CONN 2 4" xfId="5253" xr:uid="{00000000-0005-0000-0000-00004F150000}"/>
    <cellStyle name="_MARION W10167649 23-09-08_WLP FP Format1_VMW SPLIT CONN 3" xfId="5254" xr:uid="{00000000-0005-0000-0000-000050150000}"/>
    <cellStyle name="_MARION W10167649 23-09-08_WLP FP Format1_VMW SPLIT CONN_862-CH" xfId="5255" xr:uid="{00000000-0005-0000-0000-000051150000}"/>
    <cellStyle name="_MARION W10167649 23-09-08_WLP FP Format1_VMW SPLIT CONN_W10251766 D" xfId="5256" xr:uid="{00000000-0005-0000-0000-000052150000}"/>
    <cellStyle name="_MARION W10167649 23-09-08_WLP FP Format1_VMW SPLIT CONN_W10279106 y W10279107 de MR a 56i" xfId="5257" xr:uid="{00000000-0005-0000-0000-000053150000}"/>
    <cellStyle name="_MARION W10167649 23-09-08_WLP FP Format1_VMW SPLIT CONN_W10315922 A" xfId="5258" xr:uid="{00000000-0005-0000-0000-000054150000}"/>
    <cellStyle name="_MARION W10167649 23-09-08_WLP FP Format1_VMW Tyco CONCENTRATED QUOTE WLP480 (AS IS) Gary (2)" xfId="5259" xr:uid="{00000000-0005-0000-0000-000055150000}"/>
    <cellStyle name="_MARION W10167649 23-09-08_WLP FP Format1_VMW Tyco CONCENTRATED QUOTE WLP480 (AS IS) Gary (2) 2" xfId="5260" xr:uid="{00000000-0005-0000-0000-000056150000}"/>
    <cellStyle name="_MARION W10167649 23-09-08_WLP FP Format1_VMW Tyco CONCENTRATED QUOTE WLP480 (AS IS) Gary (2) 2 2" xfId="5261" xr:uid="{00000000-0005-0000-0000-000057150000}"/>
    <cellStyle name="_MARION W10167649 23-09-08_WLP FP Format1_VMW Tyco CONCENTRATED QUOTE WLP480 (AS IS) Gary (2) 2 3" xfId="5262" xr:uid="{00000000-0005-0000-0000-000058150000}"/>
    <cellStyle name="_MARION W10167649 23-09-08_WLP FP Format1_VMW Tyco CONCENTRATED QUOTE WLP480 (AS IS) Gary (2) 2 4" xfId="5263" xr:uid="{00000000-0005-0000-0000-000059150000}"/>
    <cellStyle name="_MARION W10167649 23-09-08_WLP FP Format1_VMW Tyco CONCENTRATED QUOTE WLP480 (AS IS) Gary (2) 3" xfId="5264" xr:uid="{00000000-0005-0000-0000-00005A150000}"/>
    <cellStyle name="_MARION W10167649 23-09-08_WLP FP Format1_VMW Tyco CONCENTRATED QUOTE WLP480 (AS IS) Gary (2)_862-CH" xfId="5265" xr:uid="{00000000-0005-0000-0000-00005B150000}"/>
    <cellStyle name="_MARION W10167649 23-09-08_WLP FP Format1_VMW Tyco CONCENTRATED QUOTE WLP480 (AS IS) Gary (2)_W10251766 D" xfId="5266" xr:uid="{00000000-0005-0000-0000-00005C150000}"/>
    <cellStyle name="_MARION W10167649 23-09-08_WLP FP Format1_VMW Tyco CONCENTRATED QUOTE WLP480 (AS IS) Gary (2)_W10279106 y W10279107 de MR a 56i" xfId="5267" xr:uid="{00000000-0005-0000-0000-00005D150000}"/>
    <cellStyle name="_MARION W10167649 23-09-08_WLP FP Format1_VMW Tyco CONCENTRATED QUOTE WLP480 (AS IS) Gary (2)_W10315922 A" xfId="5268" xr:uid="{00000000-0005-0000-0000-00005E150000}"/>
    <cellStyle name="_MARION W10167649 23-09-08_WLP FP Format1_VMW Tyco CONCENTRATED QUOTE WLP480 (AS IS) Gary wo tooling (2)" xfId="5269" xr:uid="{00000000-0005-0000-0000-00005F150000}"/>
    <cellStyle name="_MARION W10167649 23-09-08_WLP FP Format1_VMW Tyco CONCENTRATED QUOTE WLP480 (AS IS) Gary wo tooling (2) 2" xfId="5270" xr:uid="{00000000-0005-0000-0000-000060150000}"/>
    <cellStyle name="_MARION W10167649 23-09-08_WLP FP Format1_VMW Tyco CONCENTRATED QUOTE WLP480 (AS IS) Gary wo tooling (2) 2 2" xfId="5271" xr:uid="{00000000-0005-0000-0000-000061150000}"/>
    <cellStyle name="_MARION W10167649 23-09-08_WLP FP Format1_VMW Tyco CONCENTRATED QUOTE WLP480 (AS IS) Gary wo tooling (2) 2 3" xfId="5272" xr:uid="{00000000-0005-0000-0000-000062150000}"/>
    <cellStyle name="_MARION W10167649 23-09-08_WLP FP Format1_VMW Tyco CONCENTRATED QUOTE WLP480 (AS IS) Gary wo tooling (2) 2 4" xfId="5273" xr:uid="{00000000-0005-0000-0000-000063150000}"/>
    <cellStyle name="_MARION W10167649 23-09-08_WLP FP Format1_VMW Tyco CONCENTRATED QUOTE WLP480 (AS IS) Gary wo tooling (2) 3" xfId="5274" xr:uid="{00000000-0005-0000-0000-000064150000}"/>
    <cellStyle name="_MARION W10167649 23-09-08_WLP FP Format1_VMW Tyco CONCENTRATED QUOTE WLP480 (AS IS) Gary wo tooling (2)_862-CH" xfId="5275" xr:uid="{00000000-0005-0000-0000-000065150000}"/>
    <cellStyle name="_MARION W10167649 23-09-08_WLP FP Format1_VMW Tyco CONCENTRATED QUOTE WLP480 (AS IS) Gary wo tooling (2)_W10251766 D" xfId="5276" xr:uid="{00000000-0005-0000-0000-000066150000}"/>
    <cellStyle name="_MARION W10167649 23-09-08_WLP FP Format1_VMW Tyco CONCENTRATED QUOTE WLP480 (AS IS) Gary wo tooling (2)_W10279106 y W10279107 de MR a 56i" xfId="5277" xr:uid="{00000000-0005-0000-0000-000067150000}"/>
    <cellStyle name="_MARION W10167649 23-09-08_WLP FP Format1_VMW Tyco CONCENTRATED QUOTE WLP480 (AS IS) Gary wo tooling (2)_W10315922 A" xfId="5278" xr:uid="{00000000-0005-0000-0000-000068150000}"/>
    <cellStyle name="_MARION W10167649 23-09-08_WLP FP Format1_VMW Tyco CONCENTRATED QUOTE WLP480 (proposal) additional machine Gary" xfId="5279" xr:uid="{00000000-0005-0000-0000-000069150000}"/>
    <cellStyle name="_MARION W10167649 23-09-08_WLP FP Format1_VMW Tyco CONCENTRATED QUOTE WLP480 (proposal) additional machine Gary 2" xfId="5280" xr:uid="{00000000-0005-0000-0000-00006A150000}"/>
    <cellStyle name="_MARION W10167649 23-09-08_WLP FP Format1_VMW Tyco CONCENTRATED QUOTE WLP480 (proposal) additional machine Gary 2 2" xfId="5281" xr:uid="{00000000-0005-0000-0000-00006B150000}"/>
    <cellStyle name="_MARION W10167649 23-09-08_WLP FP Format1_VMW Tyco CONCENTRATED QUOTE WLP480 (proposal) additional machine Gary 2 3" xfId="5282" xr:uid="{00000000-0005-0000-0000-00006C150000}"/>
    <cellStyle name="_MARION W10167649 23-09-08_WLP FP Format1_VMW Tyco CONCENTRATED QUOTE WLP480 (proposal) additional machine Gary 2 4" xfId="5283" xr:uid="{00000000-0005-0000-0000-00006D150000}"/>
    <cellStyle name="_MARION W10167649 23-09-08_WLP FP Format1_VMW Tyco CONCENTRATED QUOTE WLP480 (proposal) additional machine Gary 3" xfId="5284" xr:uid="{00000000-0005-0000-0000-00006E150000}"/>
    <cellStyle name="_MARION W10167649 23-09-08_WLP FP Format1_VMW Tyco CONCENTRATED QUOTE WLP480 (proposal) additional machine Gary wo tooling" xfId="5285" xr:uid="{00000000-0005-0000-0000-00006F150000}"/>
    <cellStyle name="_MARION W10167649 23-09-08_WLP FP Format1_VMW Tyco CONCENTRATED QUOTE WLP480 (proposal) additional machine Gary wo tooling 2" xfId="5286" xr:uid="{00000000-0005-0000-0000-000070150000}"/>
    <cellStyle name="_MARION W10167649 23-09-08_WLP FP Format1_VMW Tyco CONCENTRATED QUOTE WLP480 (proposal) additional machine Gary wo tooling 2 2" xfId="5287" xr:uid="{00000000-0005-0000-0000-000071150000}"/>
    <cellStyle name="_MARION W10167649 23-09-08_WLP FP Format1_VMW Tyco CONCENTRATED QUOTE WLP480 (proposal) additional machine Gary wo tooling 2 3" xfId="5288" xr:uid="{00000000-0005-0000-0000-000072150000}"/>
    <cellStyle name="_MARION W10167649 23-09-08_WLP FP Format1_VMW Tyco CONCENTRATED QUOTE WLP480 (proposal) additional machine Gary wo tooling 2 4" xfId="5289" xr:uid="{00000000-0005-0000-0000-000073150000}"/>
    <cellStyle name="_MARION W10167649 23-09-08_WLP FP Format1_VMW Tyco CONCENTRATED QUOTE WLP480 (proposal) additional machine Gary wo tooling 3" xfId="5290" xr:uid="{00000000-0005-0000-0000-000074150000}"/>
    <cellStyle name="_MARION W10167649 23-09-08_WLP FP Format1_VMW Tyco CONCENTRATED QUOTE WLP480 (proposal) additional machine Gary wo tooling_862-CH" xfId="5291" xr:uid="{00000000-0005-0000-0000-000075150000}"/>
    <cellStyle name="_MARION W10167649 23-09-08_WLP FP Format1_VMW Tyco CONCENTRATED QUOTE WLP480 (proposal) additional machine Gary wo tooling_W10251766 D" xfId="5292" xr:uid="{00000000-0005-0000-0000-000076150000}"/>
    <cellStyle name="_MARION W10167649 23-09-08_WLP FP Format1_VMW Tyco CONCENTRATED QUOTE WLP480 (proposal) additional machine Gary wo tooling_W10279106 y W10279107 de MR a 56i" xfId="5293" xr:uid="{00000000-0005-0000-0000-000077150000}"/>
    <cellStyle name="_MARION W10167649 23-09-08_WLP FP Format1_VMW Tyco CONCENTRATED QUOTE WLP480 (proposal) additional machine Gary wo tooling_W10315922 A" xfId="5294" xr:uid="{00000000-0005-0000-0000-000078150000}"/>
    <cellStyle name="_MARION W10167649 23-09-08_WLP FP Format1_VMW Tyco CONCENTRATED QUOTE WLP480 (proposal) additional machine Gary_862-CH" xfId="5295" xr:uid="{00000000-0005-0000-0000-000079150000}"/>
    <cellStyle name="_MARION W10167649 23-09-08_WLP FP Format1_VMW Tyco CONCENTRATED QUOTE WLP480 (proposal) additional machine Gary_W10251766 D" xfId="5296" xr:uid="{00000000-0005-0000-0000-00007A150000}"/>
    <cellStyle name="_MARION W10167649 23-09-08_WLP FP Format1_VMW Tyco CONCENTRATED QUOTE WLP480 (proposal) additional machine Gary_W10279106 y W10279107 de MR a 56i" xfId="5297" xr:uid="{00000000-0005-0000-0000-00007B150000}"/>
    <cellStyle name="_MARION W10167649 23-09-08_WLP FP Format1_VMW Tyco CONCENTRATED QUOTE WLP480 (proposal) additional machine Gary_W10315922 A" xfId="5298" xr:uid="{00000000-0005-0000-0000-00007C150000}"/>
    <cellStyle name="_MARION W10167649 23-09-08_WLP FP Format1_W10251766 D" xfId="5299" xr:uid="{00000000-0005-0000-0000-00007D150000}"/>
    <cellStyle name="_MARION W10167649 23-09-08_WLP FP Format1_W10279106 y W10279107 de MR a 56i" xfId="5300" xr:uid="{00000000-0005-0000-0000-00007E150000}"/>
    <cellStyle name="_MARION W10167649 23-09-08_WLP FP Format1_W10315922 A" xfId="5301" xr:uid="{00000000-0005-0000-0000-00007F150000}"/>
    <cellStyle name="_MARION W10167649 23-09-08_WLP FP Format1_WPN145 3954933" xfId="5302" xr:uid="{00000000-0005-0000-0000-000080150000}"/>
    <cellStyle name="_MARION W10167649 23-09-08_WLP FP Format1_WPN145 3954933 2" xfId="5303" xr:uid="{00000000-0005-0000-0000-000081150000}"/>
    <cellStyle name="_MARION W10167649 23-09-08_WLP FP Format1_WPN145 3954933 3" xfId="5304" xr:uid="{00000000-0005-0000-0000-000082150000}"/>
    <cellStyle name="_MARION W10167649 23-09-08_WLP FP Format1_WPN145 3954933 4" xfId="5305" xr:uid="{00000000-0005-0000-0000-000083150000}"/>
    <cellStyle name="_MARION W10167649 23-09-08_WLP FP Format1_WPN145 3954933 5" xfId="5306" xr:uid="{00000000-0005-0000-0000-000084150000}"/>
    <cellStyle name="_MARION W10167649 23-09-08_WPN145 3954933" xfId="5307" xr:uid="{00000000-0005-0000-0000-000085150000}"/>
    <cellStyle name="_MARION W10167649 23-09-08_WPN145 3954933 2" xfId="5308" xr:uid="{00000000-0005-0000-0000-000086150000}"/>
    <cellStyle name="_MARION W10167649 23-09-08_WPN145 3954933 3" xfId="5309" xr:uid="{00000000-0005-0000-0000-000087150000}"/>
    <cellStyle name="_MARION W10167649 23-09-08_WPN145 3954933 4" xfId="5310" xr:uid="{00000000-0005-0000-0000-000088150000}"/>
    <cellStyle name="_MARION W10167649 23-09-08_WPN145 3954933 5" xfId="5311" xr:uid="{00000000-0005-0000-0000-000089150000}"/>
    <cellStyle name="_MARION W10186119 04-12-08" xfId="5312" xr:uid="{00000000-0005-0000-0000-00008A150000}"/>
    <cellStyle name="_MARION W10186119 04-12-08 2" xfId="5313" xr:uid="{00000000-0005-0000-0000-00008B150000}"/>
    <cellStyle name="_MARION W10186119 04-12-08 3" xfId="24831" xr:uid="{00000000-0005-0000-0000-00008C150000}"/>
    <cellStyle name="_MARION W10186119 04-12-08_862-CH" xfId="5314" xr:uid="{00000000-0005-0000-0000-00008D150000}"/>
    <cellStyle name="_MARION W10186119 04-12-08_CONCENTRATED QUOTE WLP417 Dave approval2" xfId="5315" xr:uid="{00000000-0005-0000-0000-00008E150000}"/>
    <cellStyle name="_MARION W10186119 04-12-08_CONCENTRATED QUOTE WLP417 Dave approval2 2" xfId="5316" xr:uid="{00000000-0005-0000-0000-00008F150000}"/>
    <cellStyle name="_MARION W10186119 04-12-08_CONCENTRATED QUOTE WLP417 Dave approval2 3" xfId="5317" xr:uid="{00000000-0005-0000-0000-000090150000}"/>
    <cellStyle name="_MARION W10186119 04-12-08_CONCENTRATED QUOTE WLP417 Dave approval2 4" xfId="5318" xr:uid="{00000000-0005-0000-0000-000091150000}"/>
    <cellStyle name="_MARION W10186119 04-12-08_CONCENTRATED QUOTE WLP417 Dave approval2_862-CH" xfId="5319" xr:uid="{00000000-0005-0000-0000-000092150000}"/>
    <cellStyle name="_MARION W10186119 04-12-08_CONCENTRATED QUOTE WLP417 Dave approval2_W10251766 D" xfId="5320" xr:uid="{00000000-0005-0000-0000-000093150000}"/>
    <cellStyle name="_MARION W10186119 04-12-08_CONCENTRATED QUOTE WLP417 Dave approval2_W10279106 y W10279107 de MR a 56i" xfId="5321" xr:uid="{00000000-0005-0000-0000-000094150000}"/>
    <cellStyle name="_MARION W10186119 04-12-08_CONCENTRATED QUOTE WLP417 Dave approval2_W10315922 A" xfId="5322" xr:uid="{00000000-0005-0000-0000-000095150000}"/>
    <cellStyle name="_MARION W10186119 04-12-08_CONCENTRATED QUOTE WLP417 OP 3" xfId="5323" xr:uid="{00000000-0005-0000-0000-000096150000}"/>
    <cellStyle name="_MARION W10186119 04-12-08_CONCENTRATED QUOTE WLP417 OP 3 2" xfId="5324" xr:uid="{00000000-0005-0000-0000-000097150000}"/>
    <cellStyle name="_MARION W10186119 04-12-08_CONCENTRATED QUOTE WLP417 OP 3 2 2" xfId="5325" xr:uid="{00000000-0005-0000-0000-000098150000}"/>
    <cellStyle name="_MARION W10186119 04-12-08_CONCENTRATED QUOTE WLP417 OP 3 2 3" xfId="5326" xr:uid="{00000000-0005-0000-0000-000099150000}"/>
    <cellStyle name="_MARION W10186119 04-12-08_CONCENTRATED QUOTE WLP417 OP 3 2 4" xfId="5327" xr:uid="{00000000-0005-0000-0000-00009A150000}"/>
    <cellStyle name="_MARION W10186119 04-12-08_CONCENTRATED QUOTE WLP417 OP 3 3" xfId="5328" xr:uid="{00000000-0005-0000-0000-00009B150000}"/>
    <cellStyle name="_MARION W10186119 04-12-08_CONCENTRATED QUOTE WLP417 OP 3_862-CH" xfId="5329" xr:uid="{00000000-0005-0000-0000-00009C150000}"/>
    <cellStyle name="_MARION W10186119 04-12-08_CONCENTRATED QUOTE WLP417 OP 3_W10251766 D" xfId="5330" xr:uid="{00000000-0005-0000-0000-00009D150000}"/>
    <cellStyle name="_MARION W10186119 04-12-08_CONCENTRATED QUOTE WLP417 OP 3_W10279106 y W10279107 de MR a 56i" xfId="5331" xr:uid="{00000000-0005-0000-0000-00009E150000}"/>
    <cellStyle name="_MARION W10186119 04-12-08_CONCENTRATED QUOTE WLP417 OP 3_W10315922 A" xfId="5332" xr:uid="{00000000-0005-0000-0000-00009F150000}"/>
    <cellStyle name="_MARION W10186119 04-12-08_CONCENTRATED QUOTE WLP417 OP 4" xfId="5333" xr:uid="{00000000-0005-0000-0000-0000A0150000}"/>
    <cellStyle name="_MARION W10186119 04-12-08_CONCENTRATED QUOTE WLP417 OP 4 2" xfId="5334" xr:uid="{00000000-0005-0000-0000-0000A1150000}"/>
    <cellStyle name="_MARION W10186119 04-12-08_CONCENTRATED QUOTE WLP417 OP 4 2 2" xfId="5335" xr:uid="{00000000-0005-0000-0000-0000A2150000}"/>
    <cellStyle name="_MARION W10186119 04-12-08_CONCENTRATED QUOTE WLP417 OP 4 2 3" xfId="5336" xr:uid="{00000000-0005-0000-0000-0000A3150000}"/>
    <cellStyle name="_MARION W10186119 04-12-08_CONCENTRATED QUOTE WLP417 OP 4 2 4" xfId="5337" xr:uid="{00000000-0005-0000-0000-0000A4150000}"/>
    <cellStyle name="_MARION W10186119 04-12-08_CONCENTRATED QUOTE WLP417 OP 4 3" xfId="5338" xr:uid="{00000000-0005-0000-0000-0000A5150000}"/>
    <cellStyle name="_MARION W10186119 04-12-08_CONCENTRATED QUOTE WLP417 OP 4_862-CH" xfId="5339" xr:uid="{00000000-0005-0000-0000-0000A6150000}"/>
    <cellStyle name="_MARION W10186119 04-12-08_CONCENTRATED QUOTE WLP417 OP 4_W10251766 D" xfId="5340" xr:uid="{00000000-0005-0000-0000-0000A7150000}"/>
    <cellStyle name="_MARION W10186119 04-12-08_CONCENTRATED QUOTE WLP417 OP 4_W10279106 y W10279107 de MR a 56i" xfId="5341" xr:uid="{00000000-0005-0000-0000-0000A8150000}"/>
    <cellStyle name="_MARION W10186119 04-12-08_CONCENTRATED QUOTE WLP417 OP 4_W10315922 A" xfId="5342" xr:uid="{00000000-0005-0000-0000-0000A9150000}"/>
    <cellStyle name="_MARION W10186119 04-12-08_CONCENTRATED QUOTE WLP417 OP 5" xfId="5343" xr:uid="{00000000-0005-0000-0000-0000AA150000}"/>
    <cellStyle name="_MARION W10186119 04-12-08_CONCENTRATED QUOTE WLP417 OP 5 2" xfId="5344" xr:uid="{00000000-0005-0000-0000-0000AB150000}"/>
    <cellStyle name="_MARION W10186119 04-12-08_CONCENTRATED QUOTE WLP417 OP 5 2 2" xfId="5345" xr:uid="{00000000-0005-0000-0000-0000AC150000}"/>
    <cellStyle name="_MARION W10186119 04-12-08_CONCENTRATED QUOTE WLP417 OP 5 2 3" xfId="5346" xr:uid="{00000000-0005-0000-0000-0000AD150000}"/>
    <cellStyle name="_MARION W10186119 04-12-08_CONCENTRATED QUOTE WLP417 OP 5 2 4" xfId="5347" xr:uid="{00000000-0005-0000-0000-0000AE150000}"/>
    <cellStyle name="_MARION W10186119 04-12-08_CONCENTRATED QUOTE WLP417 OP 5 3" xfId="5348" xr:uid="{00000000-0005-0000-0000-0000AF150000}"/>
    <cellStyle name="_MARION W10186119 04-12-08_CONCENTRATED QUOTE WLP417 OP 5_862-CH" xfId="5349" xr:uid="{00000000-0005-0000-0000-0000B0150000}"/>
    <cellStyle name="_MARION W10186119 04-12-08_CONCENTRATED QUOTE WLP417 OP 5_W10251766 D" xfId="5350" xr:uid="{00000000-0005-0000-0000-0000B1150000}"/>
    <cellStyle name="_MARION W10186119 04-12-08_CONCENTRATED QUOTE WLP417 OP 5_W10279106 y W10279107 de MR a 56i" xfId="5351" xr:uid="{00000000-0005-0000-0000-0000B2150000}"/>
    <cellStyle name="_MARION W10186119 04-12-08_CONCENTRATED QUOTE WLP417 OP 5_W10315922 A" xfId="5352" xr:uid="{00000000-0005-0000-0000-0000B3150000}"/>
    <cellStyle name="_MARION W10186119 04-12-08_CONCENTRATED QUOTE WLP417 OP 6" xfId="5353" xr:uid="{00000000-0005-0000-0000-0000B4150000}"/>
    <cellStyle name="_MARION W10186119 04-12-08_CONCENTRATED QUOTE WLP417 OP 6 2" xfId="5354" xr:uid="{00000000-0005-0000-0000-0000B5150000}"/>
    <cellStyle name="_MARION W10186119 04-12-08_CONCENTRATED QUOTE WLP417 OP 6 2 2" xfId="5355" xr:uid="{00000000-0005-0000-0000-0000B6150000}"/>
    <cellStyle name="_MARION W10186119 04-12-08_CONCENTRATED QUOTE WLP417 OP 6 2 3" xfId="5356" xr:uid="{00000000-0005-0000-0000-0000B7150000}"/>
    <cellStyle name="_MARION W10186119 04-12-08_CONCENTRATED QUOTE WLP417 OP 6 2 4" xfId="5357" xr:uid="{00000000-0005-0000-0000-0000B8150000}"/>
    <cellStyle name="_MARION W10186119 04-12-08_CONCENTRATED QUOTE WLP417 OP 6 3" xfId="5358" xr:uid="{00000000-0005-0000-0000-0000B9150000}"/>
    <cellStyle name="_MARION W10186119 04-12-08_CONCENTRATED QUOTE WLP417 OP 6_862-CH" xfId="5359" xr:uid="{00000000-0005-0000-0000-0000BA150000}"/>
    <cellStyle name="_MARION W10186119 04-12-08_CONCENTRATED QUOTE WLP417 OP 6_W10251766 D" xfId="5360" xr:uid="{00000000-0005-0000-0000-0000BB150000}"/>
    <cellStyle name="_MARION W10186119 04-12-08_CONCENTRATED QUOTE WLP417 OP 6_W10279106 y W10279107 de MR a 56i" xfId="5361" xr:uid="{00000000-0005-0000-0000-0000BC150000}"/>
    <cellStyle name="_MARION W10186119 04-12-08_CONCENTRATED QUOTE WLP417 OP 6_W10315922 A" xfId="5362" xr:uid="{00000000-0005-0000-0000-0000BD150000}"/>
    <cellStyle name="_MARION W10186119 04-12-08_CONCENTRATED QUOTE WLP425 031309" xfId="5363" xr:uid="{00000000-0005-0000-0000-0000BE150000}"/>
    <cellStyle name="_MARION W10186119 04-12-08_CONCENTRATED QUOTE WLP425 031309 2" xfId="5364" xr:uid="{00000000-0005-0000-0000-0000BF150000}"/>
    <cellStyle name="_MARION W10186119 04-12-08_CONCENTRATED QUOTE WLP425 031309 3" xfId="5365" xr:uid="{00000000-0005-0000-0000-0000C0150000}"/>
    <cellStyle name="_MARION W10186119 04-12-08_CONCENTRATED QUOTE WLP425 031309 4" xfId="5366" xr:uid="{00000000-0005-0000-0000-0000C1150000}"/>
    <cellStyle name="_MARION W10186119 04-12-08_CONCENTRATED QUOTE WLP425 031309_862-CH" xfId="5367" xr:uid="{00000000-0005-0000-0000-0000C2150000}"/>
    <cellStyle name="_MARION W10186119 04-12-08_CONCENTRATED QUOTE WLP425 031309_W10251766 D" xfId="5368" xr:uid="{00000000-0005-0000-0000-0000C3150000}"/>
    <cellStyle name="_MARION W10186119 04-12-08_CONCENTRATED QUOTE WLP425 031309_W10279106 y W10279107 de MR a 56i" xfId="5369" xr:uid="{00000000-0005-0000-0000-0000C4150000}"/>
    <cellStyle name="_MARION W10186119 04-12-08_CONCENTRATED QUOTE WLP425 031309_W10315922 A" xfId="5370" xr:uid="{00000000-0005-0000-0000-0000C5150000}"/>
    <cellStyle name="_MARION W10186119 04-12-08_CONCENTRATED QUOTE WLP459" xfId="5371" xr:uid="{00000000-0005-0000-0000-0000C6150000}"/>
    <cellStyle name="_MARION W10186119 04-12-08_CONCENTRATED QUOTE WLP459 042209" xfId="5372" xr:uid="{00000000-0005-0000-0000-0000C7150000}"/>
    <cellStyle name="_MARION W10186119 04-12-08_CONCENTRATED QUOTE WLP459 042209 2" xfId="5373" xr:uid="{00000000-0005-0000-0000-0000C8150000}"/>
    <cellStyle name="_MARION W10186119 04-12-08_CONCENTRATED QUOTE WLP459 042209 3" xfId="5374" xr:uid="{00000000-0005-0000-0000-0000C9150000}"/>
    <cellStyle name="_MARION W10186119 04-12-08_CONCENTRATED QUOTE WLP459 042209 4" xfId="5375" xr:uid="{00000000-0005-0000-0000-0000CA150000}"/>
    <cellStyle name="_MARION W10186119 04-12-08_CONCENTRATED QUOTE WLP459 042209_862-CH" xfId="5376" xr:uid="{00000000-0005-0000-0000-0000CB150000}"/>
    <cellStyle name="_MARION W10186119 04-12-08_CONCENTRATED QUOTE WLP459 042209_W10251766 D" xfId="5377" xr:uid="{00000000-0005-0000-0000-0000CC150000}"/>
    <cellStyle name="_MARION W10186119 04-12-08_CONCENTRATED QUOTE WLP459 042209_W10279106 y W10279107 de MR a 56i" xfId="5378" xr:uid="{00000000-0005-0000-0000-0000CD150000}"/>
    <cellStyle name="_MARION W10186119 04-12-08_CONCENTRATED QUOTE WLP459 042209_W10315922 A" xfId="5379" xr:uid="{00000000-0005-0000-0000-0000CE150000}"/>
    <cellStyle name="_MARION W10186119 04-12-08_CONCENTRATED QUOTE WLP459 2" xfId="5380" xr:uid="{00000000-0005-0000-0000-0000CF150000}"/>
    <cellStyle name="_MARION W10186119 04-12-08_CONCENTRATED QUOTE WLP459 3" xfId="5381" xr:uid="{00000000-0005-0000-0000-0000D0150000}"/>
    <cellStyle name="_MARION W10186119 04-12-08_CONCENTRATED QUOTE WLP459 4" xfId="5382" xr:uid="{00000000-0005-0000-0000-0000D1150000}"/>
    <cellStyle name="_MARION W10186119 04-12-08_CONCENTRATED QUOTE WLP459_862-CH" xfId="5383" xr:uid="{00000000-0005-0000-0000-0000D2150000}"/>
    <cellStyle name="_MARION W10186119 04-12-08_CONCENTRATED QUOTE WLP459_W10251766 D" xfId="5384" xr:uid="{00000000-0005-0000-0000-0000D3150000}"/>
    <cellStyle name="_MARION W10186119 04-12-08_CONCENTRATED QUOTE WLP459_W10279106 y W10279107 de MR a 56i" xfId="5385" xr:uid="{00000000-0005-0000-0000-0000D4150000}"/>
    <cellStyle name="_MARION W10186119 04-12-08_CONCENTRATED QUOTE WLP459_W10315922 A" xfId="5386" xr:uid="{00000000-0005-0000-0000-0000D5150000}"/>
    <cellStyle name="_MARION W10186119 04-12-08_CONCENTRATED QUOTE WLP463" xfId="5387" xr:uid="{00000000-0005-0000-0000-0000D6150000}"/>
    <cellStyle name="_MARION W10186119 04-12-08_CONCENTRATED QUOTE WLP463 2" xfId="5388" xr:uid="{00000000-0005-0000-0000-0000D7150000}"/>
    <cellStyle name="_MARION W10186119 04-12-08_CONCENTRATED QUOTE WLP463 3" xfId="5389" xr:uid="{00000000-0005-0000-0000-0000D8150000}"/>
    <cellStyle name="_MARION W10186119 04-12-08_CONCENTRATED QUOTE WLP463 4" xfId="5390" xr:uid="{00000000-0005-0000-0000-0000D9150000}"/>
    <cellStyle name="_MARION W10186119 04-12-08_CONCENTRATED QUOTE WLP463 MOLEX" xfId="5391" xr:uid="{00000000-0005-0000-0000-0000DA150000}"/>
    <cellStyle name="_MARION W10186119 04-12-08_CONCENTRATED QUOTE WLP463 MOLEX 2" xfId="5392" xr:uid="{00000000-0005-0000-0000-0000DB150000}"/>
    <cellStyle name="_MARION W10186119 04-12-08_CONCENTRATED QUOTE WLP463 MOLEX 3" xfId="5393" xr:uid="{00000000-0005-0000-0000-0000DC150000}"/>
    <cellStyle name="_MARION W10186119 04-12-08_CONCENTRATED QUOTE WLP463 MOLEX 4" xfId="5394" xr:uid="{00000000-0005-0000-0000-0000DD150000}"/>
    <cellStyle name="_MARION W10186119 04-12-08_CONCENTRATED QUOTE WLP463 MOLEX 4-28" xfId="5395" xr:uid="{00000000-0005-0000-0000-0000DE150000}"/>
    <cellStyle name="_MARION W10186119 04-12-08_CONCENTRATED QUOTE WLP463 MOLEX 4-28 (2)" xfId="5396" xr:uid="{00000000-0005-0000-0000-0000DF150000}"/>
    <cellStyle name="_MARION W10186119 04-12-08_CONCENTRATED QUOTE WLP463 MOLEX 4-28 (2) 2" xfId="5397" xr:uid="{00000000-0005-0000-0000-0000E0150000}"/>
    <cellStyle name="_MARION W10186119 04-12-08_CONCENTRATED QUOTE WLP463 MOLEX 4-28 (2) 2 2" xfId="5398" xr:uid="{00000000-0005-0000-0000-0000E1150000}"/>
    <cellStyle name="_MARION W10186119 04-12-08_CONCENTRATED QUOTE WLP463 MOLEX 4-28 (2) 2 3" xfId="5399" xr:uid="{00000000-0005-0000-0000-0000E2150000}"/>
    <cellStyle name="_MARION W10186119 04-12-08_CONCENTRATED QUOTE WLP463 MOLEX 4-28 (2) 2 4" xfId="5400" xr:uid="{00000000-0005-0000-0000-0000E3150000}"/>
    <cellStyle name="_MARION W10186119 04-12-08_CONCENTRATED QUOTE WLP463 MOLEX 4-28 (2) 3" xfId="5401" xr:uid="{00000000-0005-0000-0000-0000E4150000}"/>
    <cellStyle name="_MARION W10186119 04-12-08_CONCENTRATED QUOTE WLP463 MOLEX 4-28 (2)_862-CH" xfId="5402" xr:uid="{00000000-0005-0000-0000-0000E5150000}"/>
    <cellStyle name="_MARION W10186119 04-12-08_CONCENTRATED QUOTE WLP463 MOLEX 4-28 (2)_W10251766 D" xfId="5403" xr:uid="{00000000-0005-0000-0000-0000E6150000}"/>
    <cellStyle name="_MARION W10186119 04-12-08_CONCENTRATED QUOTE WLP463 MOLEX 4-28 (2)_W10279106 y W10279107 de MR a 56i" xfId="5404" xr:uid="{00000000-0005-0000-0000-0000E7150000}"/>
    <cellStyle name="_MARION W10186119 04-12-08_CONCENTRATED QUOTE WLP463 MOLEX 4-28 (2)_W10315922 A" xfId="5405" xr:uid="{00000000-0005-0000-0000-0000E8150000}"/>
    <cellStyle name="_MARION W10186119 04-12-08_CONCENTRATED QUOTE WLP463 MOLEX 4-28 10" xfId="5406" xr:uid="{00000000-0005-0000-0000-0000E9150000}"/>
    <cellStyle name="_MARION W10186119 04-12-08_CONCENTRATED QUOTE WLP463 MOLEX 4-28 11" xfId="5407" xr:uid="{00000000-0005-0000-0000-0000EA150000}"/>
    <cellStyle name="_MARION W10186119 04-12-08_CONCENTRATED QUOTE WLP463 MOLEX 4-28 12" xfId="5408" xr:uid="{00000000-0005-0000-0000-0000EB150000}"/>
    <cellStyle name="_MARION W10186119 04-12-08_CONCENTRATED QUOTE WLP463 MOLEX 4-28 13" xfId="5409" xr:uid="{00000000-0005-0000-0000-0000EC150000}"/>
    <cellStyle name="_MARION W10186119 04-12-08_CONCENTRATED QUOTE WLP463 MOLEX 4-28 2" xfId="5410" xr:uid="{00000000-0005-0000-0000-0000ED150000}"/>
    <cellStyle name="_MARION W10186119 04-12-08_CONCENTRATED QUOTE WLP463 MOLEX 4-28 2 2" xfId="5411" xr:uid="{00000000-0005-0000-0000-0000EE150000}"/>
    <cellStyle name="_MARION W10186119 04-12-08_CONCENTRATED QUOTE WLP463 MOLEX 4-28 2 3" xfId="5412" xr:uid="{00000000-0005-0000-0000-0000EF150000}"/>
    <cellStyle name="_MARION W10186119 04-12-08_CONCENTRATED QUOTE WLP463 MOLEX 4-28 2 4" xfId="5413" xr:uid="{00000000-0005-0000-0000-0000F0150000}"/>
    <cellStyle name="_MARION W10186119 04-12-08_CONCENTRATED QUOTE WLP463 MOLEX 4-28 3" xfId="5414" xr:uid="{00000000-0005-0000-0000-0000F1150000}"/>
    <cellStyle name="_MARION W10186119 04-12-08_CONCENTRATED QUOTE WLP463 MOLEX 4-28 4" xfId="5415" xr:uid="{00000000-0005-0000-0000-0000F2150000}"/>
    <cellStyle name="_MARION W10186119 04-12-08_CONCENTRATED QUOTE WLP463 MOLEX 4-28 5" xfId="5416" xr:uid="{00000000-0005-0000-0000-0000F3150000}"/>
    <cellStyle name="_MARION W10186119 04-12-08_CONCENTRATED QUOTE WLP463 MOLEX 4-28 6" xfId="5417" xr:uid="{00000000-0005-0000-0000-0000F4150000}"/>
    <cellStyle name="_MARION W10186119 04-12-08_CONCENTRATED QUOTE WLP463 MOLEX 4-28 7" xfId="5418" xr:uid="{00000000-0005-0000-0000-0000F5150000}"/>
    <cellStyle name="_MARION W10186119 04-12-08_CONCENTRATED QUOTE WLP463 MOLEX 4-28 8" xfId="5419" xr:uid="{00000000-0005-0000-0000-0000F6150000}"/>
    <cellStyle name="_MARION W10186119 04-12-08_CONCENTRATED QUOTE WLP463 MOLEX 4-28 9" xfId="5420" xr:uid="{00000000-0005-0000-0000-0000F7150000}"/>
    <cellStyle name="_MARION W10186119 04-12-08_CONCENTRATED QUOTE WLP463 MOLEX 4-28_862-CH" xfId="5421" xr:uid="{00000000-0005-0000-0000-0000F8150000}"/>
    <cellStyle name="_MARION W10186119 04-12-08_CONCENTRATED QUOTE WLP463 MOLEX 4-28_W10251766 D" xfId="5422" xr:uid="{00000000-0005-0000-0000-0000F9150000}"/>
    <cellStyle name="_MARION W10186119 04-12-08_CONCENTRATED QUOTE WLP463 MOLEX 4-28_W10279106 y W10279107 de MR a 56i" xfId="5423" xr:uid="{00000000-0005-0000-0000-0000FA150000}"/>
    <cellStyle name="_MARION W10186119 04-12-08_CONCENTRATED QUOTE WLP463 MOLEX 4-28_W10315922 A" xfId="5424" xr:uid="{00000000-0005-0000-0000-0000FB150000}"/>
    <cellStyle name="_MARION W10186119 04-12-08_CONCENTRATED QUOTE WLP463 MOLEX_862-CH" xfId="5425" xr:uid="{00000000-0005-0000-0000-0000FC150000}"/>
    <cellStyle name="_MARION W10186119 04-12-08_CONCENTRATED QUOTE WLP463 MOLEX_W10251766 D" xfId="5426" xr:uid="{00000000-0005-0000-0000-0000FD150000}"/>
    <cellStyle name="_MARION W10186119 04-12-08_CONCENTRATED QUOTE WLP463 MOLEX_W10279106 y W10279107 de MR a 56i" xfId="5427" xr:uid="{00000000-0005-0000-0000-0000FE150000}"/>
    <cellStyle name="_MARION W10186119 04-12-08_CONCENTRATED QUOTE WLP463 MOLEX_W10315922 A" xfId="5428" xr:uid="{00000000-0005-0000-0000-0000FF150000}"/>
    <cellStyle name="_MARION W10186119 04-12-08_CONCENTRATED QUOTE WLP463 TYCO1" xfId="5429" xr:uid="{00000000-0005-0000-0000-000000160000}"/>
    <cellStyle name="_MARION W10186119 04-12-08_CONCENTRATED QUOTE WLP463 TYCO1 2" xfId="5430" xr:uid="{00000000-0005-0000-0000-000001160000}"/>
    <cellStyle name="_MARION W10186119 04-12-08_CONCENTRATED QUOTE WLP463 TYCO1 3" xfId="5431" xr:uid="{00000000-0005-0000-0000-000002160000}"/>
    <cellStyle name="_MARION W10186119 04-12-08_CONCENTRATED QUOTE WLP463 TYCO1 4" xfId="5432" xr:uid="{00000000-0005-0000-0000-000003160000}"/>
    <cellStyle name="_MARION W10186119 04-12-08_CONCENTRATED QUOTE WLP463 TYCO1_862-CH" xfId="5433" xr:uid="{00000000-0005-0000-0000-000004160000}"/>
    <cellStyle name="_MARION W10186119 04-12-08_CONCENTRATED QUOTE WLP463 TYCO1_W10251766 D" xfId="5434" xr:uid="{00000000-0005-0000-0000-000005160000}"/>
    <cellStyle name="_MARION W10186119 04-12-08_CONCENTRATED QUOTE WLP463 TYCO1_W10279106 y W10279107 de MR a 56i" xfId="5435" xr:uid="{00000000-0005-0000-0000-000006160000}"/>
    <cellStyle name="_MARION W10186119 04-12-08_CONCENTRATED QUOTE WLP463 TYCO1_W10315922 A" xfId="5436" xr:uid="{00000000-0005-0000-0000-000007160000}"/>
    <cellStyle name="_MARION W10186119 04-12-08_CONCENTRATED QUOTE WLP463 TYCO3" xfId="5437" xr:uid="{00000000-0005-0000-0000-000008160000}"/>
    <cellStyle name="_MARION W10186119 04-12-08_CONCENTRATED QUOTE WLP463 TYCO3 2" xfId="5438" xr:uid="{00000000-0005-0000-0000-000009160000}"/>
    <cellStyle name="_MARION W10186119 04-12-08_CONCENTRATED QUOTE WLP463 TYCO3 3" xfId="5439" xr:uid="{00000000-0005-0000-0000-00000A160000}"/>
    <cellStyle name="_MARION W10186119 04-12-08_CONCENTRATED QUOTE WLP463 TYCO3 4" xfId="5440" xr:uid="{00000000-0005-0000-0000-00000B160000}"/>
    <cellStyle name="_MARION W10186119 04-12-08_CONCENTRATED QUOTE WLP463 TYCO3_862-CH" xfId="5441" xr:uid="{00000000-0005-0000-0000-00000C160000}"/>
    <cellStyle name="_MARION W10186119 04-12-08_CONCENTRATED QUOTE WLP463 TYCO3_W10251766 D" xfId="5442" xr:uid="{00000000-0005-0000-0000-00000D160000}"/>
    <cellStyle name="_MARION W10186119 04-12-08_CONCENTRATED QUOTE WLP463 TYCO3_W10279106 y W10279107 de MR a 56i" xfId="5443" xr:uid="{00000000-0005-0000-0000-00000E160000}"/>
    <cellStyle name="_MARION W10186119 04-12-08_CONCENTRATED QUOTE WLP463 TYCO3_W10315922 A" xfId="5444" xr:uid="{00000000-0005-0000-0000-00000F160000}"/>
    <cellStyle name="_MARION W10186119 04-12-08_CONCENTRATED QUOTE WLP463_862-CH" xfId="5445" xr:uid="{00000000-0005-0000-0000-000010160000}"/>
    <cellStyle name="_MARION W10186119 04-12-08_CONCENTRATED QUOTE WLP463_W10251766 D" xfId="5446" xr:uid="{00000000-0005-0000-0000-000011160000}"/>
    <cellStyle name="_MARION W10186119 04-12-08_CONCENTRATED QUOTE WLP463_W10279106 y W10279107 de MR a 56i" xfId="5447" xr:uid="{00000000-0005-0000-0000-000012160000}"/>
    <cellStyle name="_MARION W10186119 04-12-08_CONCENTRATED QUOTE WLP463_W10315922 A" xfId="5448" xr:uid="{00000000-0005-0000-0000-000013160000}"/>
    <cellStyle name="_MARION W10186119 04-12-08_CONCENTRATED QUOTE WLP470 050709" xfId="5449" xr:uid="{00000000-0005-0000-0000-000014160000}"/>
    <cellStyle name="_MARION W10186119 04-12-08_CONCENTRATED QUOTE WLP470 050709 2" xfId="5450" xr:uid="{00000000-0005-0000-0000-000015160000}"/>
    <cellStyle name="_MARION W10186119 04-12-08_CONCENTRATED QUOTE WLP470 050709 3" xfId="5451" xr:uid="{00000000-0005-0000-0000-000016160000}"/>
    <cellStyle name="_MARION W10186119 04-12-08_CONCENTRATED QUOTE WLP470 050709 4" xfId="5452" xr:uid="{00000000-0005-0000-0000-000017160000}"/>
    <cellStyle name="_MARION W10186119 04-12-08_CONCENTRATED QUOTE WLP481" xfId="5453" xr:uid="{00000000-0005-0000-0000-000018160000}"/>
    <cellStyle name="_MARION W10186119 04-12-08_CONCENTRATED QUOTE WLP481 2" xfId="5454" xr:uid="{00000000-0005-0000-0000-000019160000}"/>
    <cellStyle name="_MARION W10186119 04-12-08_CONCENTRATED QUOTE WLP481 3" xfId="5455" xr:uid="{00000000-0005-0000-0000-00001A160000}"/>
    <cellStyle name="_MARION W10186119 04-12-08_CONCENTRATED QUOTE WLP481 4" xfId="5456" xr:uid="{00000000-0005-0000-0000-00001B160000}"/>
    <cellStyle name="_MARION W10186119 04-12-08_CONCENTRATED QUOTE WLP481_862-CH" xfId="5457" xr:uid="{00000000-0005-0000-0000-00001C160000}"/>
    <cellStyle name="_MARION W10186119 04-12-08_CONCENTRATED QUOTE WLP481_W10251766 D" xfId="5458" xr:uid="{00000000-0005-0000-0000-00001D160000}"/>
    <cellStyle name="_MARION W10186119 04-12-08_CONCENTRATED QUOTE WLP481_W10279106 y W10279107 de MR a 56i" xfId="5459" xr:uid="{00000000-0005-0000-0000-00001E160000}"/>
    <cellStyle name="_MARION W10186119 04-12-08_CONCENTRATED QUOTE WLP481_W10315922 A" xfId="5460" xr:uid="{00000000-0005-0000-0000-00001F160000}"/>
    <cellStyle name="_MARION W10186119 04-12-08_CONCENTRATED QUOTE WLP485" xfId="5461" xr:uid="{00000000-0005-0000-0000-000020160000}"/>
    <cellStyle name="_MARION W10186119 04-12-08_CONCENTRATED QUOTE WLP485 2" xfId="5462" xr:uid="{00000000-0005-0000-0000-000021160000}"/>
    <cellStyle name="_MARION W10186119 04-12-08_CONCENTRATED QUOTE WLP485 3" xfId="5463" xr:uid="{00000000-0005-0000-0000-000022160000}"/>
    <cellStyle name="_MARION W10186119 04-12-08_CONCENTRATED QUOTE WLP485 4" xfId="5464" xr:uid="{00000000-0005-0000-0000-000023160000}"/>
    <cellStyle name="_MARION W10186119 04-12-08_CONCENTRATED QUOTE WLP487" xfId="5465" xr:uid="{00000000-0005-0000-0000-000024160000}"/>
    <cellStyle name="_MARION W10186119 04-12-08_CONCENTRATED QUOTE WLP487 060209" xfId="5466" xr:uid="{00000000-0005-0000-0000-000025160000}"/>
    <cellStyle name="_MARION W10186119 04-12-08_CONCENTRATED QUOTE WLP487 060209 2" xfId="5467" xr:uid="{00000000-0005-0000-0000-000026160000}"/>
    <cellStyle name="_MARION W10186119 04-12-08_CONCENTRATED QUOTE WLP487 060209 3" xfId="5468" xr:uid="{00000000-0005-0000-0000-000027160000}"/>
    <cellStyle name="_MARION W10186119 04-12-08_CONCENTRATED QUOTE WLP487 060209 4" xfId="5469" xr:uid="{00000000-0005-0000-0000-000028160000}"/>
    <cellStyle name="_MARION W10186119 04-12-08_CONCENTRATED QUOTE WLP487 2" xfId="5470" xr:uid="{00000000-0005-0000-0000-000029160000}"/>
    <cellStyle name="_MARION W10186119 04-12-08_CONCENTRATED QUOTE WLP487 3" xfId="5471" xr:uid="{00000000-0005-0000-0000-00002A160000}"/>
    <cellStyle name="_MARION W10186119 04-12-08_CONCENTRATED QUOTE WLP487 4" xfId="5472" xr:uid="{00000000-0005-0000-0000-00002B160000}"/>
    <cellStyle name="_MARION W10186119 04-12-08_CONCENTRATED QUOTE WLP495" xfId="5473" xr:uid="{00000000-0005-0000-0000-00002C160000}"/>
    <cellStyle name="_MARION W10186119 04-12-08_CONCENTRATED QUOTE WLP495 2" xfId="5474" xr:uid="{00000000-0005-0000-0000-00002D160000}"/>
    <cellStyle name="_MARION W10186119 04-12-08_CONCENTRATED QUOTE WLP495 3" xfId="5475" xr:uid="{00000000-0005-0000-0000-00002E160000}"/>
    <cellStyle name="_MARION W10186119 04-12-08_CONCENTRATED QUOTE WLP495 4" xfId="5476" xr:uid="{00000000-0005-0000-0000-00002F160000}"/>
    <cellStyle name="_MARION W10186119 04-12-08_CONCENTRATED QUOTE WLP552" xfId="5477" xr:uid="{00000000-0005-0000-0000-000030160000}"/>
    <cellStyle name="_MARION W10186119 04-12-08_CONCENTRATED QUOTE WLP552 2" xfId="5478" xr:uid="{00000000-0005-0000-0000-000031160000}"/>
    <cellStyle name="_MARION W10186119 04-12-08_CONCENTRATED QUOTE WLP552 3" xfId="5479" xr:uid="{00000000-0005-0000-0000-000032160000}"/>
    <cellStyle name="_MARION W10186119 04-12-08_CONCENTRATED QUOTE WLP552 4" xfId="5480" xr:uid="{00000000-0005-0000-0000-000033160000}"/>
    <cellStyle name="_MARION W10186119 04-12-08_COST BKDN FOR REVIEW_W10252578_submitted 4_30_09 to Hector" xfId="5481" xr:uid="{00000000-0005-0000-0000-000034160000}"/>
    <cellStyle name="_MARION W10186119 04-12-08_COST BKDN FOR REVIEW_W10252578_submitted 4_30_09 to Hector 2" xfId="5482" xr:uid="{00000000-0005-0000-0000-000035160000}"/>
    <cellStyle name="_MARION W10186119 04-12-08_COST BKDN FOR REVIEW_W10252578_submitted 4_30_09 to Hector 2 2" xfId="5483" xr:uid="{00000000-0005-0000-0000-000036160000}"/>
    <cellStyle name="_MARION W10186119 04-12-08_COST BKDN FOR REVIEW_W10252578_submitted 4_30_09 to Hector 2 3" xfId="5484" xr:uid="{00000000-0005-0000-0000-000037160000}"/>
    <cellStyle name="_MARION W10186119 04-12-08_COST BKDN FOR REVIEW_W10252578_submitted 4_30_09 to Hector 2 4" xfId="5485" xr:uid="{00000000-0005-0000-0000-000038160000}"/>
    <cellStyle name="_MARION W10186119 04-12-08_COST BKDN FOR REVIEW_W10252578_submitted 4_30_09 to Hector 3" xfId="5486" xr:uid="{00000000-0005-0000-0000-000039160000}"/>
    <cellStyle name="_MARION W10186119 04-12-08_COST BKDN FOR REVIEW_W10252578_submitted 4_30_09 to Hector_862-CH" xfId="5487" xr:uid="{00000000-0005-0000-0000-00003A160000}"/>
    <cellStyle name="_MARION W10186119 04-12-08_COST BKDN FOR REVIEW_W10252578_submitted 4_30_09 to Hector_W10251766 D" xfId="5488" xr:uid="{00000000-0005-0000-0000-00003B160000}"/>
    <cellStyle name="_MARION W10186119 04-12-08_COST BKDN FOR REVIEW_W10252578_submitted 4_30_09 to Hector_W10279106 y W10279107 de MR a 56i" xfId="5489" xr:uid="{00000000-0005-0000-0000-00003C160000}"/>
    <cellStyle name="_MARION W10186119 04-12-08_COST BKDN FOR REVIEW_W10252578_submitted 4_30_09 to Hector_W10315922 A" xfId="5490" xr:uid="{00000000-0005-0000-0000-00003D160000}"/>
    <cellStyle name="_MARION W10186119 04-12-08_DEPRECIATION_OH RAST" xfId="5491" xr:uid="{00000000-0005-0000-0000-00003E160000}"/>
    <cellStyle name="_MARION W10186119 04-12-08_DEPRECIATION_OH RAST 2" xfId="5492" xr:uid="{00000000-0005-0000-0000-00003F160000}"/>
    <cellStyle name="_MARION W10186119 04-12-08_DEPRECIATION_OH RAST 2 2" xfId="5493" xr:uid="{00000000-0005-0000-0000-000040160000}"/>
    <cellStyle name="_MARION W10186119 04-12-08_DEPRECIATION_OH RAST 2 3" xfId="5494" xr:uid="{00000000-0005-0000-0000-000041160000}"/>
    <cellStyle name="_MARION W10186119 04-12-08_DEPRECIATION_OH RAST 2 4" xfId="5495" xr:uid="{00000000-0005-0000-0000-000042160000}"/>
    <cellStyle name="_MARION W10186119 04-12-08_DEPRECIATION_OH RAST 3" xfId="5496" xr:uid="{00000000-0005-0000-0000-000043160000}"/>
    <cellStyle name="_MARION W10186119 04-12-08_DEPRECIATION_OH RAST_862-CH" xfId="5497" xr:uid="{00000000-0005-0000-0000-000044160000}"/>
    <cellStyle name="_MARION W10186119 04-12-08_DEPRECIATION_OH RAST_W10251766 D" xfId="5498" xr:uid="{00000000-0005-0000-0000-000045160000}"/>
    <cellStyle name="_MARION W10186119 04-12-08_DEPRECIATION_OH RAST_W10279106 y W10279107 de MR a 56i" xfId="5499" xr:uid="{00000000-0005-0000-0000-000046160000}"/>
    <cellStyle name="_MARION W10186119 04-12-08_DEPRECIATION_OH RAST_W10315922 A" xfId="5500" xr:uid="{00000000-0005-0000-0000-000047160000}"/>
    <cellStyle name="_MARION W10186119 04-12-08_Op 1 VMW Base Line Molex" xfId="5501" xr:uid="{00000000-0005-0000-0000-000048160000}"/>
    <cellStyle name="_MARION W10186119 04-12-08_Op 1 VMW Base Line Molex 2" xfId="5502" xr:uid="{00000000-0005-0000-0000-000049160000}"/>
    <cellStyle name="_MARION W10186119 04-12-08_Op 1 VMW Base Line Molex 2 2" xfId="5503" xr:uid="{00000000-0005-0000-0000-00004A160000}"/>
    <cellStyle name="_MARION W10186119 04-12-08_Op 1 VMW Base Line Molex 2 3" xfId="5504" xr:uid="{00000000-0005-0000-0000-00004B160000}"/>
    <cellStyle name="_MARION W10186119 04-12-08_Op 1 VMW Base Line Molex 2 4" xfId="5505" xr:uid="{00000000-0005-0000-0000-00004C160000}"/>
    <cellStyle name="_MARION W10186119 04-12-08_Op 1 VMW Base Line Molex 3" xfId="5506" xr:uid="{00000000-0005-0000-0000-00004D160000}"/>
    <cellStyle name="_MARION W10186119 04-12-08_Op 1 VMW Base Line Molex_862-CH" xfId="5507" xr:uid="{00000000-0005-0000-0000-00004E160000}"/>
    <cellStyle name="_MARION W10186119 04-12-08_Op 1 VMW Base Line Molex_W10251766 D" xfId="5508" xr:uid="{00000000-0005-0000-0000-00004F160000}"/>
    <cellStyle name="_MARION W10186119 04-12-08_Op 1 VMW Base Line Molex_W10279106 y W10279107 de MR a 56i" xfId="5509" xr:uid="{00000000-0005-0000-0000-000050160000}"/>
    <cellStyle name="_MARION W10186119 04-12-08_Op 1 VMW Base Line Molex_W10315922 A" xfId="5510" xr:uid="{00000000-0005-0000-0000-000051160000}"/>
    <cellStyle name="_MARION W10186119 04-12-08_Op 8 VMW TYCO Splice Option" xfId="5511" xr:uid="{00000000-0005-0000-0000-000052160000}"/>
    <cellStyle name="_MARION W10186119 04-12-08_Op 8 VMW TYCO Splice Option - Per Conference 3-27-2009" xfId="5512" xr:uid="{00000000-0005-0000-0000-000053160000}"/>
    <cellStyle name="_MARION W10186119 04-12-08_Op 8 VMW TYCO Splice Option - Per Conference 3-27-2009 2" xfId="5513" xr:uid="{00000000-0005-0000-0000-000054160000}"/>
    <cellStyle name="_MARION W10186119 04-12-08_Op 8 VMW TYCO Splice Option - Per Conference 3-27-2009 2 2" xfId="5514" xr:uid="{00000000-0005-0000-0000-000055160000}"/>
    <cellStyle name="_MARION W10186119 04-12-08_Op 8 VMW TYCO Splice Option - Per Conference 3-27-2009 2 3" xfId="5515" xr:uid="{00000000-0005-0000-0000-000056160000}"/>
    <cellStyle name="_MARION W10186119 04-12-08_Op 8 VMW TYCO Splice Option - Per Conference 3-27-2009 2 4" xfId="5516" xr:uid="{00000000-0005-0000-0000-000057160000}"/>
    <cellStyle name="_MARION W10186119 04-12-08_Op 8 VMW TYCO Splice Option - Per Conference 3-27-2009 3" xfId="5517" xr:uid="{00000000-0005-0000-0000-000058160000}"/>
    <cellStyle name="_MARION W10186119 04-12-08_Op 8 VMW TYCO Splice Option - Per Conference 3-27-2009_862-CH" xfId="5518" xr:uid="{00000000-0005-0000-0000-000059160000}"/>
    <cellStyle name="_MARION W10186119 04-12-08_Op 8 VMW TYCO Splice Option - Per Conference 3-27-2009_W10251766 D" xfId="5519" xr:uid="{00000000-0005-0000-0000-00005A160000}"/>
    <cellStyle name="_MARION W10186119 04-12-08_Op 8 VMW TYCO Splice Option - Per Conference 3-27-2009_W10279106 y W10279107 de MR a 56i" xfId="5520" xr:uid="{00000000-0005-0000-0000-00005B160000}"/>
    <cellStyle name="_MARION W10186119 04-12-08_Op 8 VMW TYCO Splice Option - Per Conference 3-27-2009_W10315922 A" xfId="5521" xr:uid="{00000000-0005-0000-0000-00005C160000}"/>
    <cellStyle name="_MARION W10186119 04-12-08_Op 8 VMW TYCO Splice Option 10" xfId="5522" xr:uid="{00000000-0005-0000-0000-00005D160000}"/>
    <cellStyle name="_MARION W10186119 04-12-08_Op 8 VMW TYCO Splice Option 11" xfId="5523" xr:uid="{00000000-0005-0000-0000-00005E160000}"/>
    <cellStyle name="_MARION W10186119 04-12-08_Op 8 VMW TYCO Splice Option 12" xfId="5524" xr:uid="{00000000-0005-0000-0000-00005F160000}"/>
    <cellStyle name="_MARION W10186119 04-12-08_Op 8 VMW TYCO Splice Option 13" xfId="5525" xr:uid="{00000000-0005-0000-0000-000060160000}"/>
    <cellStyle name="_MARION W10186119 04-12-08_Op 8 VMW TYCO Splice Option 2" xfId="5526" xr:uid="{00000000-0005-0000-0000-000061160000}"/>
    <cellStyle name="_MARION W10186119 04-12-08_Op 8 VMW TYCO Splice Option 2 2" xfId="5527" xr:uid="{00000000-0005-0000-0000-000062160000}"/>
    <cellStyle name="_MARION W10186119 04-12-08_Op 8 VMW TYCO Splice Option 2 3" xfId="5528" xr:uid="{00000000-0005-0000-0000-000063160000}"/>
    <cellStyle name="_MARION W10186119 04-12-08_Op 8 VMW TYCO Splice Option 2 4" xfId="5529" xr:uid="{00000000-0005-0000-0000-000064160000}"/>
    <cellStyle name="_MARION W10186119 04-12-08_Op 8 VMW TYCO Splice Option 3" xfId="5530" xr:uid="{00000000-0005-0000-0000-000065160000}"/>
    <cellStyle name="_MARION W10186119 04-12-08_Op 8 VMW TYCO Splice Option 4" xfId="5531" xr:uid="{00000000-0005-0000-0000-000066160000}"/>
    <cellStyle name="_MARION W10186119 04-12-08_Op 8 VMW TYCO Splice Option 5" xfId="5532" xr:uid="{00000000-0005-0000-0000-000067160000}"/>
    <cellStyle name="_MARION W10186119 04-12-08_Op 8 VMW TYCO Splice Option 6" xfId="5533" xr:uid="{00000000-0005-0000-0000-000068160000}"/>
    <cellStyle name="_MARION W10186119 04-12-08_Op 8 VMW TYCO Splice Option 7" xfId="5534" xr:uid="{00000000-0005-0000-0000-000069160000}"/>
    <cellStyle name="_MARION W10186119 04-12-08_Op 8 VMW TYCO Splice Option 8" xfId="5535" xr:uid="{00000000-0005-0000-0000-00006A160000}"/>
    <cellStyle name="_MARION W10186119 04-12-08_Op 8 VMW TYCO Splice Option 9" xfId="5536" xr:uid="{00000000-0005-0000-0000-00006B160000}"/>
    <cellStyle name="_MARION W10186119 04-12-08_Op 8 VMW TYCO Splice Option_862-CH" xfId="5537" xr:uid="{00000000-0005-0000-0000-00006C160000}"/>
    <cellStyle name="_MARION W10186119 04-12-08_Op 8 VMW TYCO Splice Option_W10251766 D" xfId="5538" xr:uid="{00000000-0005-0000-0000-00006D160000}"/>
    <cellStyle name="_MARION W10186119 04-12-08_Op 8 VMW TYCO Splice Option_W10279106 y W10279107 de MR a 56i" xfId="5539" xr:uid="{00000000-0005-0000-0000-00006E160000}"/>
    <cellStyle name="_MARION W10186119 04-12-08_Op 8 VMW TYCO Splice Option_W10315922 A" xfId="5540" xr:uid="{00000000-0005-0000-0000-00006F160000}"/>
    <cellStyle name="_MARION W10186119 04-12-08_VMW Latest version MOLEX 4-28" xfId="5541" xr:uid="{00000000-0005-0000-0000-000070160000}"/>
    <cellStyle name="_MARION W10186119 04-12-08_VMW Latest version MOLEX 4-28 2" xfId="5542" xr:uid="{00000000-0005-0000-0000-000071160000}"/>
    <cellStyle name="_MARION W10186119 04-12-08_VMW Latest version MOLEX 4-28 2 2" xfId="5543" xr:uid="{00000000-0005-0000-0000-000072160000}"/>
    <cellStyle name="_MARION W10186119 04-12-08_VMW Latest version MOLEX 4-28 2 3" xfId="5544" xr:uid="{00000000-0005-0000-0000-000073160000}"/>
    <cellStyle name="_MARION W10186119 04-12-08_VMW Latest version MOLEX 4-28 2 4" xfId="5545" xr:uid="{00000000-0005-0000-0000-000074160000}"/>
    <cellStyle name="_MARION W10186119 04-12-08_VMW Latest version MOLEX 4-28 3" xfId="5546" xr:uid="{00000000-0005-0000-0000-000075160000}"/>
    <cellStyle name="_MARION W10186119 04-12-08_VMW Latest version MOLEX 4-28 per conference" xfId="5547" xr:uid="{00000000-0005-0000-0000-000076160000}"/>
    <cellStyle name="_MARION W10186119 04-12-08_VMW Latest version MOLEX 4-28 per conference 2" xfId="5548" xr:uid="{00000000-0005-0000-0000-000077160000}"/>
    <cellStyle name="_MARION W10186119 04-12-08_VMW Latest version MOLEX 4-28 per conference 2 2" xfId="5549" xr:uid="{00000000-0005-0000-0000-000078160000}"/>
    <cellStyle name="_MARION W10186119 04-12-08_VMW Latest version MOLEX 4-28 per conference 2 3" xfId="5550" xr:uid="{00000000-0005-0000-0000-000079160000}"/>
    <cellStyle name="_MARION W10186119 04-12-08_VMW Latest version MOLEX 4-28 per conference 2 4" xfId="5551" xr:uid="{00000000-0005-0000-0000-00007A160000}"/>
    <cellStyle name="_MARION W10186119 04-12-08_VMW Latest version MOLEX 4-28 per conference 3" xfId="5552" xr:uid="{00000000-0005-0000-0000-00007B160000}"/>
    <cellStyle name="_MARION W10186119 04-12-08_VMW Latest version MOLEX 4-28 per conference revised" xfId="5553" xr:uid="{00000000-0005-0000-0000-00007C160000}"/>
    <cellStyle name="_MARION W10186119 04-12-08_VMW Latest version MOLEX 4-28 per conference revised 2" xfId="5554" xr:uid="{00000000-0005-0000-0000-00007D160000}"/>
    <cellStyle name="_MARION W10186119 04-12-08_VMW Latest version MOLEX 4-28 per conference revised 2 2" xfId="5555" xr:uid="{00000000-0005-0000-0000-00007E160000}"/>
    <cellStyle name="_MARION W10186119 04-12-08_VMW Latest version MOLEX 4-28 per conference revised 2 3" xfId="5556" xr:uid="{00000000-0005-0000-0000-00007F160000}"/>
    <cellStyle name="_MARION W10186119 04-12-08_VMW Latest version MOLEX 4-28 per conference revised 2 4" xfId="5557" xr:uid="{00000000-0005-0000-0000-000080160000}"/>
    <cellStyle name="_MARION W10186119 04-12-08_VMW Latest version MOLEX 4-28 per conference revised 3" xfId="5558" xr:uid="{00000000-0005-0000-0000-000081160000}"/>
    <cellStyle name="_MARION W10186119 04-12-08_VMW Latest version MOLEX 4-28 per conference revised_862-CH" xfId="5559" xr:uid="{00000000-0005-0000-0000-000082160000}"/>
    <cellStyle name="_MARION W10186119 04-12-08_VMW Latest version MOLEX 4-28 per conference revised_W10251766 D" xfId="5560" xr:uid="{00000000-0005-0000-0000-000083160000}"/>
    <cellStyle name="_MARION W10186119 04-12-08_VMW Latest version MOLEX 4-28 per conference revised_W10279106 y W10279107 de MR a 56i" xfId="5561" xr:uid="{00000000-0005-0000-0000-000084160000}"/>
    <cellStyle name="_MARION W10186119 04-12-08_VMW Latest version MOLEX 4-28 per conference revised_W10315922 A" xfId="5562" xr:uid="{00000000-0005-0000-0000-000085160000}"/>
    <cellStyle name="_MARION W10186119 04-12-08_VMW Latest version MOLEX 4-28 per conference_862-CH" xfId="5563" xr:uid="{00000000-0005-0000-0000-000086160000}"/>
    <cellStyle name="_MARION W10186119 04-12-08_VMW Latest version MOLEX 4-28 per conference_W10251766 D" xfId="5564" xr:uid="{00000000-0005-0000-0000-000087160000}"/>
    <cellStyle name="_MARION W10186119 04-12-08_VMW Latest version MOLEX 4-28 per conference_W10279106 y W10279107 de MR a 56i" xfId="5565" xr:uid="{00000000-0005-0000-0000-000088160000}"/>
    <cellStyle name="_MARION W10186119 04-12-08_VMW Latest version MOLEX 4-28 per conference_W10315922 A" xfId="5566" xr:uid="{00000000-0005-0000-0000-000089160000}"/>
    <cellStyle name="_MARION W10186119 04-12-08_VMW Latest version MOLEX 4-28_862-CH" xfId="5567" xr:uid="{00000000-0005-0000-0000-00008A160000}"/>
    <cellStyle name="_MARION W10186119 04-12-08_VMW Latest version MOLEX 4-28_W10251766 D" xfId="5568" xr:uid="{00000000-0005-0000-0000-00008B160000}"/>
    <cellStyle name="_MARION W10186119 04-12-08_VMW Latest version MOLEX 4-28_W10279106 y W10279107 de MR a 56i" xfId="5569" xr:uid="{00000000-0005-0000-0000-00008C160000}"/>
    <cellStyle name="_MARION W10186119 04-12-08_VMW Latest version MOLEX 4-28_W10315922 A" xfId="5570" xr:uid="{00000000-0005-0000-0000-00008D160000}"/>
    <cellStyle name="_MARION W10186119 04-12-08_VMW MOLEX BASELINE OPTION COST BREAKDOWN - 4_16_09_Detail_" xfId="5571" xr:uid="{00000000-0005-0000-0000-00008E160000}"/>
    <cellStyle name="_MARION W10186119 04-12-08_VMW MOLEX BASELINE OPTION COST BREAKDOWN - 4_16_09_Detail_ 2" xfId="5572" xr:uid="{00000000-0005-0000-0000-00008F160000}"/>
    <cellStyle name="_MARION W10186119 04-12-08_VMW MOLEX BASELINE OPTION COST BREAKDOWN - 4_16_09_Detail_ 2 2" xfId="5573" xr:uid="{00000000-0005-0000-0000-000090160000}"/>
    <cellStyle name="_MARION W10186119 04-12-08_VMW MOLEX BASELINE OPTION COST BREAKDOWN - 4_16_09_Detail_ 2 3" xfId="5574" xr:uid="{00000000-0005-0000-0000-000091160000}"/>
    <cellStyle name="_MARION W10186119 04-12-08_VMW MOLEX BASELINE OPTION COST BREAKDOWN - 4_16_09_Detail_ 2 4" xfId="5575" xr:uid="{00000000-0005-0000-0000-000092160000}"/>
    <cellStyle name="_MARION W10186119 04-12-08_VMW MOLEX BASELINE OPTION COST BREAKDOWN - 4_16_09_Detail_ 3" xfId="5576" xr:uid="{00000000-0005-0000-0000-000093160000}"/>
    <cellStyle name="_MARION W10186119 04-12-08_VMW MOLEX BASELINE OPTION COST BREAKDOWN - 4_16_09_Detail__862-CH" xfId="5577" xr:uid="{00000000-0005-0000-0000-000094160000}"/>
    <cellStyle name="_MARION W10186119 04-12-08_VMW MOLEX BASELINE OPTION COST BREAKDOWN - 4_16_09_Detail__W10251766 D" xfId="5578" xr:uid="{00000000-0005-0000-0000-000095160000}"/>
    <cellStyle name="_MARION W10186119 04-12-08_VMW MOLEX BASELINE OPTION COST BREAKDOWN - 4_16_09_Detail__W10279106 y W10279107 de MR a 56i" xfId="5579" xr:uid="{00000000-0005-0000-0000-000096160000}"/>
    <cellStyle name="_MARION W10186119 04-12-08_VMW MOLEX BASELINE OPTION COST BREAKDOWN - 4_16_09_Detail__W10315922 A" xfId="5580" xr:uid="{00000000-0005-0000-0000-000097160000}"/>
    <cellStyle name="_MARION W10186119 04-12-08_VMW SPLIT CONN" xfId="5581" xr:uid="{00000000-0005-0000-0000-000098160000}"/>
    <cellStyle name="_MARION W10186119 04-12-08_VMW SPLIT CONN 2" xfId="5582" xr:uid="{00000000-0005-0000-0000-000099160000}"/>
    <cellStyle name="_MARION W10186119 04-12-08_VMW SPLIT CONN 2 2" xfId="5583" xr:uid="{00000000-0005-0000-0000-00009A160000}"/>
    <cellStyle name="_MARION W10186119 04-12-08_VMW SPLIT CONN 2 3" xfId="5584" xr:uid="{00000000-0005-0000-0000-00009B160000}"/>
    <cellStyle name="_MARION W10186119 04-12-08_VMW SPLIT CONN 2 4" xfId="5585" xr:uid="{00000000-0005-0000-0000-00009C160000}"/>
    <cellStyle name="_MARION W10186119 04-12-08_VMW SPLIT CONN 3" xfId="5586" xr:uid="{00000000-0005-0000-0000-00009D160000}"/>
    <cellStyle name="_MARION W10186119 04-12-08_VMW SPLIT CONN_862-CH" xfId="5587" xr:uid="{00000000-0005-0000-0000-00009E160000}"/>
    <cellStyle name="_MARION W10186119 04-12-08_VMW SPLIT CONN_W10251766 D" xfId="5588" xr:uid="{00000000-0005-0000-0000-00009F160000}"/>
    <cellStyle name="_MARION W10186119 04-12-08_VMW SPLIT CONN_W10279106 y W10279107 de MR a 56i" xfId="5589" xr:uid="{00000000-0005-0000-0000-0000A0160000}"/>
    <cellStyle name="_MARION W10186119 04-12-08_VMW SPLIT CONN_W10315922 A" xfId="5590" xr:uid="{00000000-0005-0000-0000-0000A1160000}"/>
    <cellStyle name="_MARION W10186119 04-12-08_VMW Tyco CONCENTRATED QUOTE WLP480 (AS IS) Gary (2)" xfId="5591" xr:uid="{00000000-0005-0000-0000-0000A2160000}"/>
    <cellStyle name="_MARION W10186119 04-12-08_VMW Tyco CONCENTRATED QUOTE WLP480 (AS IS) Gary (2) 2" xfId="5592" xr:uid="{00000000-0005-0000-0000-0000A3160000}"/>
    <cellStyle name="_MARION W10186119 04-12-08_VMW Tyco CONCENTRATED QUOTE WLP480 (AS IS) Gary (2) 2 2" xfId="5593" xr:uid="{00000000-0005-0000-0000-0000A4160000}"/>
    <cellStyle name="_MARION W10186119 04-12-08_VMW Tyco CONCENTRATED QUOTE WLP480 (AS IS) Gary (2) 2 3" xfId="5594" xr:uid="{00000000-0005-0000-0000-0000A5160000}"/>
    <cellStyle name="_MARION W10186119 04-12-08_VMW Tyco CONCENTRATED QUOTE WLP480 (AS IS) Gary (2) 2 4" xfId="5595" xr:uid="{00000000-0005-0000-0000-0000A6160000}"/>
    <cellStyle name="_MARION W10186119 04-12-08_VMW Tyco CONCENTRATED QUOTE WLP480 (AS IS) Gary (2) 3" xfId="5596" xr:uid="{00000000-0005-0000-0000-0000A7160000}"/>
    <cellStyle name="_MARION W10186119 04-12-08_VMW Tyco CONCENTRATED QUOTE WLP480 (AS IS) Gary (2)_862-CH" xfId="5597" xr:uid="{00000000-0005-0000-0000-0000A8160000}"/>
    <cellStyle name="_MARION W10186119 04-12-08_VMW Tyco CONCENTRATED QUOTE WLP480 (AS IS) Gary (2)_W10251766 D" xfId="5598" xr:uid="{00000000-0005-0000-0000-0000A9160000}"/>
    <cellStyle name="_MARION W10186119 04-12-08_VMW Tyco CONCENTRATED QUOTE WLP480 (AS IS) Gary (2)_W10279106 y W10279107 de MR a 56i" xfId="5599" xr:uid="{00000000-0005-0000-0000-0000AA160000}"/>
    <cellStyle name="_MARION W10186119 04-12-08_VMW Tyco CONCENTRATED QUOTE WLP480 (AS IS) Gary (2)_W10315922 A" xfId="5600" xr:uid="{00000000-0005-0000-0000-0000AB160000}"/>
    <cellStyle name="_MARION W10186119 04-12-08_VMW Tyco CONCENTRATED QUOTE WLP480 (AS IS) Gary wo tooling (2)" xfId="5601" xr:uid="{00000000-0005-0000-0000-0000AC160000}"/>
    <cellStyle name="_MARION W10186119 04-12-08_VMW Tyco CONCENTRATED QUOTE WLP480 (AS IS) Gary wo tooling (2) 2" xfId="5602" xr:uid="{00000000-0005-0000-0000-0000AD160000}"/>
    <cellStyle name="_MARION W10186119 04-12-08_VMW Tyco CONCENTRATED QUOTE WLP480 (AS IS) Gary wo tooling (2) 2 2" xfId="5603" xr:uid="{00000000-0005-0000-0000-0000AE160000}"/>
    <cellStyle name="_MARION W10186119 04-12-08_VMW Tyco CONCENTRATED QUOTE WLP480 (AS IS) Gary wo tooling (2) 2 3" xfId="5604" xr:uid="{00000000-0005-0000-0000-0000AF160000}"/>
    <cellStyle name="_MARION W10186119 04-12-08_VMW Tyco CONCENTRATED QUOTE WLP480 (AS IS) Gary wo tooling (2) 2 4" xfId="5605" xr:uid="{00000000-0005-0000-0000-0000B0160000}"/>
    <cellStyle name="_MARION W10186119 04-12-08_VMW Tyco CONCENTRATED QUOTE WLP480 (AS IS) Gary wo tooling (2) 3" xfId="5606" xr:uid="{00000000-0005-0000-0000-0000B1160000}"/>
    <cellStyle name="_MARION W10186119 04-12-08_VMW Tyco CONCENTRATED QUOTE WLP480 (AS IS) Gary wo tooling (2)_862-CH" xfId="5607" xr:uid="{00000000-0005-0000-0000-0000B2160000}"/>
    <cellStyle name="_MARION W10186119 04-12-08_VMW Tyco CONCENTRATED QUOTE WLP480 (AS IS) Gary wo tooling (2)_W10251766 D" xfId="5608" xr:uid="{00000000-0005-0000-0000-0000B3160000}"/>
    <cellStyle name="_MARION W10186119 04-12-08_VMW Tyco CONCENTRATED QUOTE WLP480 (AS IS) Gary wo tooling (2)_W10279106 y W10279107 de MR a 56i" xfId="5609" xr:uid="{00000000-0005-0000-0000-0000B4160000}"/>
    <cellStyle name="_MARION W10186119 04-12-08_VMW Tyco CONCENTRATED QUOTE WLP480 (AS IS) Gary wo tooling (2)_W10315922 A" xfId="5610" xr:uid="{00000000-0005-0000-0000-0000B5160000}"/>
    <cellStyle name="_MARION W10186119 04-12-08_VMW Tyco CONCENTRATED QUOTE WLP480 (proposal) additional machine Gary" xfId="5611" xr:uid="{00000000-0005-0000-0000-0000B6160000}"/>
    <cellStyle name="_MARION W10186119 04-12-08_VMW Tyco CONCENTRATED QUOTE WLP480 (proposal) additional machine Gary 2" xfId="5612" xr:uid="{00000000-0005-0000-0000-0000B7160000}"/>
    <cellStyle name="_MARION W10186119 04-12-08_VMW Tyco CONCENTRATED QUOTE WLP480 (proposal) additional machine Gary 2 2" xfId="5613" xr:uid="{00000000-0005-0000-0000-0000B8160000}"/>
    <cellStyle name="_MARION W10186119 04-12-08_VMW Tyco CONCENTRATED QUOTE WLP480 (proposal) additional machine Gary 2 3" xfId="5614" xr:uid="{00000000-0005-0000-0000-0000B9160000}"/>
    <cellStyle name="_MARION W10186119 04-12-08_VMW Tyco CONCENTRATED QUOTE WLP480 (proposal) additional machine Gary 2 4" xfId="5615" xr:uid="{00000000-0005-0000-0000-0000BA160000}"/>
    <cellStyle name="_MARION W10186119 04-12-08_VMW Tyco CONCENTRATED QUOTE WLP480 (proposal) additional machine Gary 3" xfId="5616" xr:uid="{00000000-0005-0000-0000-0000BB160000}"/>
    <cellStyle name="_MARION W10186119 04-12-08_VMW Tyco CONCENTRATED QUOTE WLP480 (proposal) additional machine Gary wo tooling" xfId="5617" xr:uid="{00000000-0005-0000-0000-0000BC160000}"/>
    <cellStyle name="_MARION W10186119 04-12-08_VMW Tyco CONCENTRATED QUOTE WLP480 (proposal) additional machine Gary wo tooling 2" xfId="5618" xr:uid="{00000000-0005-0000-0000-0000BD160000}"/>
    <cellStyle name="_MARION W10186119 04-12-08_VMW Tyco CONCENTRATED QUOTE WLP480 (proposal) additional machine Gary wo tooling 2 2" xfId="5619" xr:uid="{00000000-0005-0000-0000-0000BE160000}"/>
    <cellStyle name="_MARION W10186119 04-12-08_VMW Tyco CONCENTRATED QUOTE WLP480 (proposal) additional machine Gary wo tooling 2 3" xfId="5620" xr:uid="{00000000-0005-0000-0000-0000BF160000}"/>
    <cellStyle name="_MARION W10186119 04-12-08_VMW Tyco CONCENTRATED QUOTE WLP480 (proposal) additional machine Gary wo tooling 2 4" xfId="5621" xr:uid="{00000000-0005-0000-0000-0000C0160000}"/>
    <cellStyle name="_MARION W10186119 04-12-08_VMW Tyco CONCENTRATED QUOTE WLP480 (proposal) additional machine Gary wo tooling 3" xfId="5622" xr:uid="{00000000-0005-0000-0000-0000C1160000}"/>
    <cellStyle name="_MARION W10186119 04-12-08_VMW Tyco CONCENTRATED QUOTE WLP480 (proposal) additional machine Gary wo tooling_862-CH" xfId="5623" xr:uid="{00000000-0005-0000-0000-0000C2160000}"/>
    <cellStyle name="_MARION W10186119 04-12-08_VMW Tyco CONCENTRATED QUOTE WLP480 (proposal) additional machine Gary wo tooling_W10251766 D" xfId="5624" xr:uid="{00000000-0005-0000-0000-0000C3160000}"/>
    <cellStyle name="_MARION W10186119 04-12-08_VMW Tyco CONCENTRATED QUOTE WLP480 (proposal) additional machine Gary wo tooling_W10279106 y W10279107 de MR a 56i" xfId="5625" xr:uid="{00000000-0005-0000-0000-0000C4160000}"/>
    <cellStyle name="_MARION W10186119 04-12-08_VMW Tyco CONCENTRATED QUOTE WLP480 (proposal) additional machine Gary wo tooling_W10315922 A" xfId="5626" xr:uid="{00000000-0005-0000-0000-0000C5160000}"/>
    <cellStyle name="_MARION W10186119 04-12-08_VMW Tyco CONCENTRATED QUOTE WLP480 (proposal) additional machine Gary_862-CH" xfId="5627" xr:uid="{00000000-0005-0000-0000-0000C6160000}"/>
    <cellStyle name="_MARION W10186119 04-12-08_VMW Tyco CONCENTRATED QUOTE WLP480 (proposal) additional machine Gary_W10251766 D" xfId="5628" xr:uid="{00000000-0005-0000-0000-0000C7160000}"/>
    <cellStyle name="_MARION W10186119 04-12-08_VMW Tyco CONCENTRATED QUOTE WLP480 (proposal) additional machine Gary_W10279106 y W10279107 de MR a 56i" xfId="5629" xr:uid="{00000000-0005-0000-0000-0000C8160000}"/>
    <cellStyle name="_MARION W10186119 04-12-08_VMW Tyco CONCENTRATED QUOTE WLP480 (proposal) additional machine Gary_W10315922 A" xfId="5630" xr:uid="{00000000-0005-0000-0000-0000C9160000}"/>
    <cellStyle name="_MARION W10186119 04-12-08_W10251766 D" xfId="5631" xr:uid="{00000000-0005-0000-0000-0000CA160000}"/>
    <cellStyle name="_MARION W10186119 04-12-08_W10279106 y W10279107 de MR a 56i" xfId="5632" xr:uid="{00000000-0005-0000-0000-0000CB160000}"/>
    <cellStyle name="_MARION W10186119 04-12-08_W10315922 A" xfId="5633" xr:uid="{00000000-0005-0000-0000-0000CC160000}"/>
    <cellStyle name="_MARION W10186119 04-12-08_WPN145 3954933" xfId="5634" xr:uid="{00000000-0005-0000-0000-0000CD160000}"/>
    <cellStyle name="_MARION W10186119 04-12-08_WPN145 3954933 2" xfId="5635" xr:uid="{00000000-0005-0000-0000-0000CE160000}"/>
    <cellStyle name="_MARION W10186119 04-12-08_WPN145 3954933 3" xfId="5636" xr:uid="{00000000-0005-0000-0000-0000CF160000}"/>
    <cellStyle name="_MARION W10186119 04-12-08_WPN145 3954933 4" xfId="5637" xr:uid="{00000000-0005-0000-0000-0000D0160000}"/>
    <cellStyle name="_MARION W10186119 04-12-08_WPN145 3954933 5" xfId="5638" xr:uid="{00000000-0005-0000-0000-0000D1160000}"/>
    <cellStyle name="_MARION W10186165 66 23-02-2009" xfId="5639" xr:uid="{00000000-0005-0000-0000-0000D2160000}"/>
    <cellStyle name="_MARION W10186165 66 23-02-2009 2" xfId="5640" xr:uid="{00000000-0005-0000-0000-0000D3160000}"/>
    <cellStyle name="_MARION W10186165 66 23-02-2009 2 2" xfId="5641" xr:uid="{00000000-0005-0000-0000-0000D4160000}"/>
    <cellStyle name="_MARION W10186165 66 23-02-2009 2 3" xfId="5642" xr:uid="{00000000-0005-0000-0000-0000D5160000}"/>
    <cellStyle name="_MARION W10186165 66 23-02-2009 2 4" xfId="5643" xr:uid="{00000000-0005-0000-0000-0000D6160000}"/>
    <cellStyle name="_MARION W10186165 66 23-02-2009 3" xfId="5644" xr:uid="{00000000-0005-0000-0000-0000D7160000}"/>
    <cellStyle name="_MARION W10186165 66 23-02-2009_862-CH" xfId="5645" xr:uid="{00000000-0005-0000-0000-0000D8160000}"/>
    <cellStyle name="_MARION W10186165 66 23-02-2009_CONCENTRATED QUOTE WLP440" xfId="5646" xr:uid="{00000000-0005-0000-0000-0000D9160000}"/>
    <cellStyle name="_MARION W10186165 66 23-02-2009_CONCENTRATED QUOTE WLP440 2" xfId="5647" xr:uid="{00000000-0005-0000-0000-0000DA160000}"/>
    <cellStyle name="_MARION W10186165 66 23-02-2009_CONCENTRATED QUOTE WLP440 3" xfId="5648" xr:uid="{00000000-0005-0000-0000-0000DB160000}"/>
    <cellStyle name="_MARION W10186165 66 23-02-2009_CONCENTRATED QUOTE WLP440 4" xfId="5649" xr:uid="{00000000-0005-0000-0000-0000DC160000}"/>
    <cellStyle name="_MARION W10186165 66 23-02-2009_CONCENTRATED QUOTE WLP440 5" xfId="5650" xr:uid="{00000000-0005-0000-0000-0000DD160000}"/>
    <cellStyle name="_MARION W10186165 66 23-02-2009_CONCENTRATED QUOTE WLP474" xfId="5651" xr:uid="{00000000-0005-0000-0000-0000DE160000}"/>
    <cellStyle name="_MARION W10186165 66 23-02-2009_CONCENTRATED QUOTE WLP474 2" xfId="5652" xr:uid="{00000000-0005-0000-0000-0000DF160000}"/>
    <cellStyle name="_MARION W10186165 66 23-02-2009_CONCENTRATED QUOTE WLP474 3" xfId="5653" xr:uid="{00000000-0005-0000-0000-0000E0160000}"/>
    <cellStyle name="_MARION W10186165 66 23-02-2009_CONCENTRATED QUOTE WLP474 4" xfId="5654" xr:uid="{00000000-0005-0000-0000-0000E1160000}"/>
    <cellStyle name="_MARION W10186165 66 23-02-2009_CONCENTRATED QUOTE WLP477" xfId="5655" xr:uid="{00000000-0005-0000-0000-0000E2160000}"/>
    <cellStyle name="_MARION W10186165 66 23-02-2009_CONCENTRATED QUOTE WLP477 2" xfId="5656" xr:uid="{00000000-0005-0000-0000-0000E3160000}"/>
    <cellStyle name="_MARION W10186165 66 23-02-2009_CONCENTRATED QUOTE WLP477 3" xfId="5657" xr:uid="{00000000-0005-0000-0000-0000E4160000}"/>
    <cellStyle name="_MARION W10186165 66 23-02-2009_CONCENTRATED QUOTE WLP477 4" xfId="5658" xr:uid="{00000000-0005-0000-0000-0000E5160000}"/>
    <cellStyle name="_MARION W10186165 66 23-02-2009_CONCENTRATED QUOTE WLP477 5" xfId="5659" xr:uid="{00000000-0005-0000-0000-0000E6160000}"/>
    <cellStyle name="_MARION W10186165 66 23-02-2009_CONCENTRATED QUOTE WLP488" xfId="5660" xr:uid="{00000000-0005-0000-0000-0000E7160000}"/>
    <cellStyle name="_MARION W10186165 66 23-02-2009_CONCENTRATED QUOTE WLP488 2" xfId="5661" xr:uid="{00000000-0005-0000-0000-0000E8160000}"/>
    <cellStyle name="_MARION W10186165 66 23-02-2009_CONCENTRATED QUOTE WLP488 3" xfId="5662" xr:uid="{00000000-0005-0000-0000-0000E9160000}"/>
    <cellStyle name="_MARION W10186165 66 23-02-2009_CONCENTRATED QUOTE WLP488 4" xfId="5663" xr:uid="{00000000-0005-0000-0000-0000EA160000}"/>
    <cellStyle name="_MARION W10186165 66 23-02-2009_CONCENTRATED QUOTE WLP488 5" xfId="5664" xr:uid="{00000000-0005-0000-0000-0000EB160000}"/>
    <cellStyle name="_MARION W10186165 66 23-02-2009_CONCENTRATED QUOTE WLP491" xfId="5665" xr:uid="{00000000-0005-0000-0000-0000EC160000}"/>
    <cellStyle name="_MARION W10186165 66 23-02-2009_CONCENTRATED QUOTE WLP491 2" xfId="5666" xr:uid="{00000000-0005-0000-0000-0000ED160000}"/>
    <cellStyle name="_MARION W10186165 66 23-02-2009_CONCENTRATED QUOTE WLP491 3" xfId="5667" xr:uid="{00000000-0005-0000-0000-0000EE160000}"/>
    <cellStyle name="_MARION W10186165 66 23-02-2009_CONCENTRATED QUOTE WLP491 4" xfId="5668" xr:uid="{00000000-0005-0000-0000-0000EF160000}"/>
    <cellStyle name="_MARION W10186165 66 23-02-2009_CONCENTRATED QUOTE WLP491 5" xfId="5669" xr:uid="{00000000-0005-0000-0000-0000F0160000}"/>
    <cellStyle name="_MARION W10186165 66 23-02-2009_CONCENTRATED QUOTE WLP507A" xfId="5670" xr:uid="{00000000-0005-0000-0000-0000F1160000}"/>
    <cellStyle name="_MARION W10186165 66 23-02-2009_CONCENTRATED QUOTE WLP507A 081909" xfId="5671" xr:uid="{00000000-0005-0000-0000-0000F2160000}"/>
    <cellStyle name="_MARION W10186165 66 23-02-2009_CONCENTRATED QUOTE WLP507A 081909 2" xfId="5672" xr:uid="{00000000-0005-0000-0000-0000F3160000}"/>
    <cellStyle name="_MARION W10186165 66 23-02-2009_CONCENTRATED QUOTE WLP507A 081909 3" xfId="5673" xr:uid="{00000000-0005-0000-0000-0000F4160000}"/>
    <cellStyle name="_MARION W10186165 66 23-02-2009_CONCENTRATED QUOTE WLP507A 081909 4" xfId="5674" xr:uid="{00000000-0005-0000-0000-0000F5160000}"/>
    <cellStyle name="_MARION W10186165 66 23-02-2009_CONCENTRATED QUOTE WLP507A 081909 5" xfId="5675" xr:uid="{00000000-0005-0000-0000-0000F6160000}"/>
    <cellStyle name="_MARION W10186165 66 23-02-2009_CONCENTRATED QUOTE WLP507A 2" xfId="5676" xr:uid="{00000000-0005-0000-0000-0000F7160000}"/>
    <cellStyle name="_MARION W10186165 66 23-02-2009_CONCENTRATED QUOTE WLP507A 3" xfId="5677" xr:uid="{00000000-0005-0000-0000-0000F8160000}"/>
    <cellStyle name="_MARION W10186165 66 23-02-2009_CONCENTRATED QUOTE WLP507A 4" xfId="5678" xr:uid="{00000000-0005-0000-0000-0000F9160000}"/>
    <cellStyle name="_MARION W10186165 66 23-02-2009_CONCENTRATED QUOTE WLP515" xfId="5679" xr:uid="{00000000-0005-0000-0000-0000FA160000}"/>
    <cellStyle name="_MARION W10186165 66 23-02-2009_CONCENTRATED QUOTE WLP515 2" xfId="5680" xr:uid="{00000000-0005-0000-0000-0000FB160000}"/>
    <cellStyle name="_MARION W10186165 66 23-02-2009_CONCENTRATED QUOTE WLP515 3" xfId="5681" xr:uid="{00000000-0005-0000-0000-0000FC160000}"/>
    <cellStyle name="_MARION W10186165 66 23-02-2009_CONCENTRATED QUOTE WLP515 4" xfId="5682" xr:uid="{00000000-0005-0000-0000-0000FD160000}"/>
    <cellStyle name="_MARION W10186165 66 23-02-2009_CONCENTRATED QUOTE WLP515 5" xfId="5683" xr:uid="{00000000-0005-0000-0000-0000FE160000}"/>
    <cellStyle name="_MARION W10186165 66 23-02-2009_CONCENTRATED QUOTE WLP528" xfId="5684" xr:uid="{00000000-0005-0000-0000-0000FF160000}"/>
    <cellStyle name="_MARION W10186165 66 23-02-2009_CONCENTRATED QUOTE WLP528 2" xfId="5685" xr:uid="{00000000-0005-0000-0000-000000170000}"/>
    <cellStyle name="_MARION W10186165 66 23-02-2009_CONCENTRATED QUOTE WLP528 3" xfId="5686" xr:uid="{00000000-0005-0000-0000-000001170000}"/>
    <cellStyle name="_MARION W10186165 66 23-02-2009_CONCENTRATED QUOTE WLP528 4" xfId="5687" xr:uid="{00000000-0005-0000-0000-000002170000}"/>
    <cellStyle name="_MARION W10186165 66 23-02-2009_CONCENTRATED QUOTE WLP528 5" xfId="5688" xr:uid="{00000000-0005-0000-0000-000003170000}"/>
    <cellStyle name="_MARION W10186165 66 23-02-2009_CONCENTRATED QUOTE WLP534" xfId="5689" xr:uid="{00000000-0005-0000-0000-000004170000}"/>
    <cellStyle name="_MARION W10186165 66 23-02-2009_CONCENTRATED QUOTE WLP534 2" xfId="5690" xr:uid="{00000000-0005-0000-0000-000005170000}"/>
    <cellStyle name="_MARION W10186165 66 23-02-2009_CONCENTRATED QUOTE WLP534 3" xfId="5691" xr:uid="{00000000-0005-0000-0000-000006170000}"/>
    <cellStyle name="_MARION W10186165 66 23-02-2009_CONCENTRATED QUOTE WLP534 4" xfId="5692" xr:uid="{00000000-0005-0000-0000-000007170000}"/>
    <cellStyle name="_MARION W10186165 66 23-02-2009_CONCENTRATED QUOTE WLP536" xfId="5693" xr:uid="{00000000-0005-0000-0000-000008170000}"/>
    <cellStyle name="_MARION W10186165 66 23-02-2009_CONCENTRATED QUOTE WLP536 2" xfId="5694" xr:uid="{00000000-0005-0000-0000-000009170000}"/>
    <cellStyle name="_MARION W10186165 66 23-02-2009_CONCENTRATED QUOTE WLP536 3" xfId="5695" xr:uid="{00000000-0005-0000-0000-00000A170000}"/>
    <cellStyle name="_MARION W10186165 66 23-02-2009_CONCENTRATED QUOTE WLP536 4" xfId="5696" xr:uid="{00000000-0005-0000-0000-00000B170000}"/>
    <cellStyle name="_MARION W10186165 66 23-02-2009_CONCENTRATED QUOTE WLP536 5" xfId="5697" xr:uid="{00000000-0005-0000-0000-00000C170000}"/>
    <cellStyle name="_MARION W10186165 66 23-02-2009_CONCENTRATED QUOTE WLP545" xfId="5698" xr:uid="{00000000-0005-0000-0000-00000D170000}"/>
    <cellStyle name="_MARION W10186165 66 23-02-2009_CONCENTRATED QUOTE WLP545 2" xfId="5699" xr:uid="{00000000-0005-0000-0000-00000E170000}"/>
    <cellStyle name="_MARION W10186165 66 23-02-2009_CONCENTRATED QUOTE WLP545 3" xfId="5700" xr:uid="{00000000-0005-0000-0000-00000F170000}"/>
    <cellStyle name="_MARION W10186165 66 23-02-2009_CONCENTRATED QUOTE WLP545 4" xfId="5701" xr:uid="{00000000-0005-0000-0000-000010170000}"/>
    <cellStyle name="_MARION W10186165 66 23-02-2009_CONCENTRATED QUOTE WLP550" xfId="5702" xr:uid="{00000000-0005-0000-0000-000011170000}"/>
    <cellStyle name="_MARION W10186165 66 23-02-2009_CONCENTRATED QUOTE WLP550 2" xfId="5703" xr:uid="{00000000-0005-0000-0000-000012170000}"/>
    <cellStyle name="_MARION W10186165 66 23-02-2009_CONCENTRATED QUOTE WLP550 3" xfId="5704" xr:uid="{00000000-0005-0000-0000-000013170000}"/>
    <cellStyle name="_MARION W10186165 66 23-02-2009_CONCENTRATED QUOTE WLP550 4" xfId="5705" xr:uid="{00000000-0005-0000-0000-000014170000}"/>
    <cellStyle name="_MARION W10186165 66 23-02-2009_CONCENTRATED QUOTE WLP550 5" xfId="5706" xr:uid="{00000000-0005-0000-0000-000015170000}"/>
    <cellStyle name="_MARION W10186165 66 23-02-2009_CONCENTRATED QUOTE WLP552" xfId="5707" xr:uid="{00000000-0005-0000-0000-000016170000}"/>
    <cellStyle name="_MARION W10186165 66 23-02-2009_CONCENTRATED QUOTE WLP552 2" xfId="5708" xr:uid="{00000000-0005-0000-0000-000017170000}"/>
    <cellStyle name="_MARION W10186165 66 23-02-2009_CONCENTRATED QUOTE WLP552 3" xfId="5709" xr:uid="{00000000-0005-0000-0000-000018170000}"/>
    <cellStyle name="_MARION W10186165 66 23-02-2009_CONCENTRATED QUOTE WLP552 4" xfId="5710" xr:uid="{00000000-0005-0000-0000-000019170000}"/>
    <cellStyle name="_MARION W10186165 66 23-02-2009_CONCENTRATED QUOTE WLP5565" xfId="5711" xr:uid="{00000000-0005-0000-0000-00001A170000}"/>
    <cellStyle name="_MARION W10186165 66 23-02-2009_CONCENTRATED QUOTE WLP5565 2" xfId="5712" xr:uid="{00000000-0005-0000-0000-00001B170000}"/>
    <cellStyle name="_MARION W10186165 66 23-02-2009_CONCENTRATED QUOTE WLP5565 3" xfId="5713" xr:uid="{00000000-0005-0000-0000-00001C170000}"/>
    <cellStyle name="_MARION W10186165 66 23-02-2009_CONCENTRATED QUOTE WLP5565 4" xfId="5714" xr:uid="{00000000-0005-0000-0000-00001D170000}"/>
    <cellStyle name="_MARION W10186165 66 23-02-2009_CONCENTRATED QUOTE WLP559" xfId="5715" xr:uid="{00000000-0005-0000-0000-00001E170000}"/>
    <cellStyle name="_MARION W10186165 66 23-02-2009_CONCENTRATED QUOTE WLP568" xfId="5716" xr:uid="{00000000-0005-0000-0000-00001F170000}"/>
    <cellStyle name="_MARION W10186165 66 23-02-2009_CONCENTRATED QUOTE WLP571" xfId="5717" xr:uid="{00000000-0005-0000-0000-000020170000}"/>
    <cellStyle name="_MARION W10186165 66 23-02-2009_CONCENTRATED QUOTE WLP574  ALPHA" xfId="5718" xr:uid="{00000000-0005-0000-0000-000021170000}"/>
    <cellStyle name="_MARION W10186165 66 23-02-2009_CONCENTRATED QUOTE WLP574  ALPHA 2" xfId="5719" xr:uid="{00000000-0005-0000-0000-000022170000}"/>
    <cellStyle name="_MARION W10186165 66 23-02-2009_CONCENTRATED QUOTE WLP574  ALPHA 3" xfId="5720" xr:uid="{00000000-0005-0000-0000-000023170000}"/>
    <cellStyle name="_MARION W10186165 66 23-02-2009_CONCENTRATED QUOTE WLP574  ALPHA 4" xfId="5721" xr:uid="{00000000-0005-0000-0000-000024170000}"/>
    <cellStyle name="_MARION W10186165 66 23-02-2009_CONCENTRATED QUOTE WLP574  ALPHA 5" xfId="5722" xr:uid="{00000000-0005-0000-0000-000025170000}"/>
    <cellStyle name="_MARION W10186165 66 23-02-2009_CONCENTRATED QUOTE WLP610 VMW CLC" xfId="5723" xr:uid="{00000000-0005-0000-0000-000026170000}"/>
    <cellStyle name="_MARION W10186165 66 23-02-2009_CONCENTRATED QUOTE WLP610 VMW CLC 2" xfId="5724" xr:uid="{00000000-0005-0000-0000-000027170000}"/>
    <cellStyle name="_MARION W10186165 66 23-02-2009_CONCENTRATED QUOTE WLP610 VMW CLC 3" xfId="5725" xr:uid="{00000000-0005-0000-0000-000028170000}"/>
    <cellStyle name="_MARION W10186165 66 23-02-2009_CONCENTRATED QUOTE WLP610 VMW CLC 4" xfId="5726" xr:uid="{00000000-0005-0000-0000-000029170000}"/>
    <cellStyle name="_MARION W10186165 66 23-02-2009_CONCENTRATED QUOTE WLP610 VMW CLC 5" xfId="5727" xr:uid="{00000000-0005-0000-0000-00002A170000}"/>
    <cellStyle name="_MARION W10186165 66 23-02-2009_CONCENTRATED QUOTE WLP623 071310" xfId="5728" xr:uid="{00000000-0005-0000-0000-00002B170000}"/>
    <cellStyle name="_MARION W10186165 66 23-02-2009_CONCENTRATED QUOTE WLP628" xfId="5729" xr:uid="{00000000-0005-0000-0000-00002C170000}"/>
    <cellStyle name="_MARION W10186165 66 23-02-2009_CONCENTRATED QUOTE WLP628 2" xfId="5730" xr:uid="{00000000-0005-0000-0000-00002D170000}"/>
    <cellStyle name="_MARION W10186165 66 23-02-2009_CONCENTRATED QUOTE WLP628 3" xfId="5731" xr:uid="{00000000-0005-0000-0000-00002E170000}"/>
    <cellStyle name="_MARION W10186165 66 23-02-2009_CONCENTRATED QUOTE WLP628 4" xfId="5732" xr:uid="{00000000-0005-0000-0000-00002F170000}"/>
    <cellStyle name="_MARION W10186165 66 23-02-2009_CONCENTRATED QUOTE WLP628 5" xfId="5733" xr:uid="{00000000-0005-0000-0000-000030170000}"/>
    <cellStyle name="_MARION W10186165 66 23-02-2009_CONCENTRATED QUOTE WLP634 VMW MTAG" xfId="5734" xr:uid="{00000000-0005-0000-0000-000031170000}"/>
    <cellStyle name="_MARION W10186165 66 23-02-2009_CONCENTRATED QUOTE WLP635" xfId="5735" xr:uid="{00000000-0005-0000-0000-000032170000}"/>
    <cellStyle name="_MARION W10186165 66 23-02-2009_CONCENTRATED QUOTE WLP646" xfId="5736" xr:uid="{00000000-0005-0000-0000-000033170000}"/>
    <cellStyle name="_MARION W10186165 66 23-02-2009_CONCENTRATED QUOTE WLP646 2" xfId="5737" xr:uid="{00000000-0005-0000-0000-000034170000}"/>
    <cellStyle name="_MARION W10186165 66 23-02-2009_CONCENTRATED QUOTE WLP646 3" xfId="5738" xr:uid="{00000000-0005-0000-0000-000035170000}"/>
    <cellStyle name="_MARION W10186165 66 23-02-2009_CONCENTRATED QUOTE WLP646 4" xfId="5739" xr:uid="{00000000-0005-0000-0000-000036170000}"/>
    <cellStyle name="_MARION W10186165 66 23-02-2009_CONCENTRATED QUOTE WLP646 5" xfId="5740" xr:uid="{00000000-0005-0000-0000-000037170000}"/>
    <cellStyle name="_MARION W10186165 66 23-02-2009_Copy of CONCENTRATED QUOTE WLP579" xfId="5741" xr:uid="{00000000-0005-0000-0000-000038170000}"/>
    <cellStyle name="_MARION W10186165 66 23-02-2009_Copy of CONCENTRATED QUOTE WLP579 2" xfId="5742" xr:uid="{00000000-0005-0000-0000-000039170000}"/>
    <cellStyle name="_MARION W10186165 66 23-02-2009_Copy of CONCENTRATED QUOTE WLP579 3" xfId="5743" xr:uid="{00000000-0005-0000-0000-00003A170000}"/>
    <cellStyle name="_MARION W10186165 66 23-02-2009_Copy of CONCENTRATED QUOTE WLP579 4" xfId="5744" xr:uid="{00000000-0005-0000-0000-00003B170000}"/>
    <cellStyle name="_MARION W10186165 66 23-02-2009_Dekko HE P3-Classic P1" xfId="5745" xr:uid="{00000000-0005-0000-0000-00003C170000}"/>
    <cellStyle name="_MARION W10186165 66 23-02-2009_Dekko HE P3-Classic P1 2" xfId="5746" xr:uid="{00000000-0005-0000-0000-00003D170000}"/>
    <cellStyle name="_MARION W10186165 66 23-02-2009_Dekko HE P3-Classic P1 3" xfId="5747" xr:uid="{00000000-0005-0000-0000-00003E170000}"/>
    <cellStyle name="_MARION W10186165 66 23-02-2009_Dekko HE P3-Classic P1 4" xfId="5748" xr:uid="{00000000-0005-0000-0000-00003F170000}"/>
    <cellStyle name="_MARION W10186165 66 23-02-2009_ESTC1CLY0012" xfId="5749" xr:uid="{00000000-0005-0000-0000-000040170000}"/>
    <cellStyle name="_MARION W10186165 66 23-02-2009_ESTC1CLY0012 2" xfId="5750" xr:uid="{00000000-0005-0000-0000-000041170000}"/>
    <cellStyle name="_MARION W10186165 66 23-02-2009_ESTC1CLY0012 3" xfId="5751" xr:uid="{00000000-0005-0000-0000-000042170000}"/>
    <cellStyle name="_MARION W10186165 66 23-02-2009_ESTC1CLY0012 4" xfId="5752" xr:uid="{00000000-0005-0000-0000-000043170000}"/>
    <cellStyle name="_MARION W10186165 66 23-02-2009_ESTC1CLY0013" xfId="5753" xr:uid="{00000000-0005-0000-0000-000044170000}"/>
    <cellStyle name="_MARION W10186165 66 23-02-2009_ESTC1CLY0013 2" xfId="5754" xr:uid="{00000000-0005-0000-0000-000045170000}"/>
    <cellStyle name="_MARION W10186165 66 23-02-2009_ESTC1CLY0013 3" xfId="5755" xr:uid="{00000000-0005-0000-0000-000046170000}"/>
    <cellStyle name="_MARION W10186165 66 23-02-2009_ESTC1CLY0013 4" xfId="5756" xr:uid="{00000000-0005-0000-0000-000047170000}"/>
    <cellStyle name="_MARION W10186165 66 23-02-2009_ESTC1FIN018" xfId="5757" xr:uid="{00000000-0005-0000-0000-000048170000}"/>
    <cellStyle name="_MARION W10186165 66 23-02-2009_Estimated Quote 050609 039" xfId="5758" xr:uid="{00000000-0005-0000-0000-000049170000}"/>
    <cellStyle name="_MARION W10186165 66 23-02-2009_Estimated Quote 050609 039 2" xfId="5759" xr:uid="{00000000-0005-0000-0000-00004A170000}"/>
    <cellStyle name="_MARION W10186165 66 23-02-2009_Estimated Quote 050609 039 3" xfId="5760" xr:uid="{00000000-0005-0000-0000-00004B170000}"/>
    <cellStyle name="_MARION W10186165 66 23-02-2009_Estimated Quote 050609 039 4" xfId="5761" xr:uid="{00000000-0005-0000-0000-00004C170000}"/>
    <cellStyle name="_MARION W10186165 66 23-02-2009_Estimated Quote 050609 039 5" xfId="5762" xr:uid="{00000000-0005-0000-0000-00004D170000}"/>
    <cellStyle name="_MARION W10186165 66 23-02-2009_W01278760" xfId="5763" xr:uid="{00000000-0005-0000-0000-00004E170000}"/>
    <cellStyle name="_MARION W10186165 66 23-02-2009_W01278760 2" xfId="5764" xr:uid="{00000000-0005-0000-0000-00004F170000}"/>
    <cellStyle name="_MARION W10186165 66 23-02-2009_W01278760 3" xfId="5765" xr:uid="{00000000-0005-0000-0000-000050170000}"/>
    <cellStyle name="_MARION W10186165 66 23-02-2009_W01278760 4" xfId="5766" xr:uid="{00000000-0005-0000-0000-000051170000}"/>
    <cellStyle name="_MARION W10186165 66 23-02-2009_W01278760 5" xfId="5767" xr:uid="{00000000-0005-0000-0000-000052170000}"/>
    <cellStyle name="_MARION W10186165 66 23-02-2009_W10251442" xfId="5768" xr:uid="{00000000-0005-0000-0000-000053170000}"/>
    <cellStyle name="_MARION W10186165 66 23-02-2009_W10251443" xfId="5769" xr:uid="{00000000-0005-0000-0000-000054170000}"/>
    <cellStyle name="_MARION W10186165 66 23-02-2009_W10251444" xfId="5770" xr:uid="{00000000-0005-0000-0000-000055170000}"/>
    <cellStyle name="_MARION W10186165 66 23-02-2009_W10251766 D" xfId="5771" xr:uid="{00000000-0005-0000-0000-000056170000}"/>
    <cellStyle name="_MARION W10186165 66 23-02-2009_W10278758" xfId="5772" xr:uid="{00000000-0005-0000-0000-000057170000}"/>
    <cellStyle name="_MARION W10186165 66 23-02-2009_W10278758 2" xfId="5773" xr:uid="{00000000-0005-0000-0000-000058170000}"/>
    <cellStyle name="_MARION W10186165 66 23-02-2009_W10278758 3" xfId="5774" xr:uid="{00000000-0005-0000-0000-000059170000}"/>
    <cellStyle name="_MARION W10186165 66 23-02-2009_W10278758 4" xfId="5775" xr:uid="{00000000-0005-0000-0000-00005A170000}"/>
    <cellStyle name="_MARION W10186165 66 23-02-2009_W10278758 5" xfId="5776" xr:uid="{00000000-0005-0000-0000-00005B170000}"/>
    <cellStyle name="_MARION W10186165 66 23-02-2009_W10278759" xfId="5777" xr:uid="{00000000-0005-0000-0000-00005C170000}"/>
    <cellStyle name="_MARION W10186165 66 23-02-2009_W10279106 y W10279107 de MR a 56i" xfId="5778" xr:uid="{00000000-0005-0000-0000-00005D170000}"/>
    <cellStyle name="_MARION W10186165 66 23-02-2009_W10290772" xfId="5779" xr:uid="{00000000-0005-0000-0000-00005E170000}"/>
    <cellStyle name="_MARION W10186165 66 23-02-2009_W10290772 2" xfId="5780" xr:uid="{00000000-0005-0000-0000-00005F170000}"/>
    <cellStyle name="_MARION W10186165 66 23-02-2009_W10290772 3" xfId="5781" xr:uid="{00000000-0005-0000-0000-000060170000}"/>
    <cellStyle name="_MARION W10186165 66 23-02-2009_W10290772 4" xfId="5782" xr:uid="{00000000-0005-0000-0000-000061170000}"/>
    <cellStyle name="_MARION W10186165 66 23-02-2009_W10290772 5" xfId="5783" xr:uid="{00000000-0005-0000-0000-000062170000}"/>
    <cellStyle name="_MARION W10186165 66 23-02-2009_W10290774" xfId="5784" xr:uid="{00000000-0005-0000-0000-000063170000}"/>
    <cellStyle name="_MARION W10186165 66 23-02-2009_W10290774 2" xfId="5785" xr:uid="{00000000-0005-0000-0000-000064170000}"/>
    <cellStyle name="_MARION W10186165 66 23-02-2009_W10290774 3" xfId="5786" xr:uid="{00000000-0005-0000-0000-000065170000}"/>
    <cellStyle name="_MARION W10186165 66 23-02-2009_W10290774 4" xfId="5787" xr:uid="{00000000-0005-0000-0000-000066170000}"/>
    <cellStyle name="_MARION W10186165 66 23-02-2009_W10290774 5" xfId="5788" xr:uid="{00000000-0005-0000-0000-000067170000}"/>
    <cellStyle name="_MARION W10186165 66 23-02-2009_W10300883" xfId="5789" xr:uid="{00000000-0005-0000-0000-000068170000}"/>
    <cellStyle name="_MARION W10186165 66 23-02-2009_W10300883 2" xfId="5790" xr:uid="{00000000-0005-0000-0000-000069170000}"/>
    <cellStyle name="_MARION W10186165 66 23-02-2009_W10300883 3" xfId="5791" xr:uid="{00000000-0005-0000-0000-00006A170000}"/>
    <cellStyle name="_MARION W10186165 66 23-02-2009_W10300883 4" xfId="5792" xr:uid="{00000000-0005-0000-0000-00006B170000}"/>
    <cellStyle name="_MARION W10186165 66 23-02-2009_W10300883 5" xfId="5793" xr:uid="{00000000-0005-0000-0000-00006C170000}"/>
    <cellStyle name="_MARION W10186165 66 23-02-2009_W10315922 A" xfId="5794" xr:uid="{00000000-0005-0000-0000-00006D170000}"/>
    <cellStyle name="_MARION W10186165 66 23-02-2009_WPFINDLAY-0037" xfId="5795" xr:uid="{00000000-0005-0000-0000-00006E170000}"/>
    <cellStyle name="_MARION W10186165 66 23-02-2009_WPN145 3954933" xfId="5796" xr:uid="{00000000-0005-0000-0000-00006F170000}"/>
    <cellStyle name="_MARION W10186165 66 23-02-2009_WPN145 3954933 2" xfId="5797" xr:uid="{00000000-0005-0000-0000-000070170000}"/>
    <cellStyle name="_MARION W10186165 66 23-02-2009_WPN145 3954933 3" xfId="5798" xr:uid="{00000000-0005-0000-0000-000071170000}"/>
    <cellStyle name="_MARION W10186165 66 23-02-2009_WPN145 3954933 4" xfId="5799" xr:uid="{00000000-0005-0000-0000-000072170000}"/>
    <cellStyle name="_MARION W10186165 66 23-02-2009_WPN145 3954933 5" xfId="5800" xr:uid="{00000000-0005-0000-0000-000073170000}"/>
    <cellStyle name="_MARION W10186165 66 23-02-2009_WPN163 8576530" xfId="5801" xr:uid="{00000000-0005-0000-0000-000074170000}"/>
    <cellStyle name="_MARION W10186165 66 23-02-2009_WPN163 8576530 2" xfId="5802" xr:uid="{00000000-0005-0000-0000-000075170000}"/>
    <cellStyle name="_MARION W10186165 66 23-02-2009_WPN163 8576530 3" xfId="5803" xr:uid="{00000000-0005-0000-0000-000076170000}"/>
    <cellStyle name="_MARION W10186165 66 23-02-2009_WPN163 8576530 4" xfId="5804" xr:uid="{00000000-0005-0000-0000-000077170000}"/>
    <cellStyle name="_MARION W10186165 66 23-02-2009_xCONCENTRATED QUOTE 2" xfId="5805" xr:uid="{00000000-0005-0000-0000-000078170000}"/>
    <cellStyle name="_MARION W10186165 66 23-02-2009_xCONCENTRATED QUOTE 2 2" xfId="5806" xr:uid="{00000000-0005-0000-0000-000079170000}"/>
    <cellStyle name="_MARION W10186165 66 23-02-2009_xCONCENTRATED QUOTE 2 3" xfId="5807" xr:uid="{00000000-0005-0000-0000-00007A170000}"/>
    <cellStyle name="_MARION W10186165 66 23-02-2009_xCONCENTRATED QUOTE 2 4" xfId="5808" xr:uid="{00000000-0005-0000-0000-00007B170000}"/>
    <cellStyle name="_MARION W10186165 66 23-02-2009_xCONCENTRATED QUOTE 2 5" xfId="5809" xr:uid="{00000000-0005-0000-0000-00007C170000}"/>
    <cellStyle name="_MARION W10186165 66 23-02-2009_xCONCENTRATED QUOTE 3" xfId="5810" xr:uid="{00000000-0005-0000-0000-00007D170000}"/>
    <cellStyle name="_MARION W10186165 66 23-02-2009_xCONCENTRATED QUOTE 3 2" xfId="5811" xr:uid="{00000000-0005-0000-0000-00007E170000}"/>
    <cellStyle name="_MARION W10186165 66 23-02-2009_xCONCENTRATED QUOTE 3 3" xfId="5812" xr:uid="{00000000-0005-0000-0000-00007F170000}"/>
    <cellStyle name="_MARION W10186165 66 23-02-2009_xCONCENTRATED QUOTE 3 4" xfId="5813" xr:uid="{00000000-0005-0000-0000-000080170000}"/>
    <cellStyle name="_MARION W10186165 66 23-02-2009_xCONCENTRATED QUOTE 3 5" xfId="5814" xr:uid="{00000000-0005-0000-0000-000081170000}"/>
    <cellStyle name="_MARION W10186165 66 23-02-2009_Xl0000004" xfId="5815" xr:uid="{00000000-0005-0000-0000-000082170000}"/>
    <cellStyle name="_MARION W10186165 66 23-02-2009_Xl0000004 2" xfId="5816" xr:uid="{00000000-0005-0000-0000-000083170000}"/>
    <cellStyle name="_MARION W10186165 66 23-02-2009_Xl0000004 3" xfId="5817" xr:uid="{00000000-0005-0000-0000-000084170000}"/>
    <cellStyle name="_MARION W10186165 66 23-02-2009_Xl0000004 4" xfId="5818" xr:uid="{00000000-0005-0000-0000-000085170000}"/>
    <cellStyle name="_MARION W10186165 66 23-02-2009_Xl0000004 5" xfId="5819" xr:uid="{00000000-0005-0000-0000-000086170000}"/>
    <cellStyle name="_MARION W10234702 21-11-08 (2)" xfId="5820" xr:uid="{00000000-0005-0000-0000-000087170000}"/>
    <cellStyle name="_MARION W10234702 21-11-08 (2) 2" xfId="5821" xr:uid="{00000000-0005-0000-0000-000088170000}"/>
    <cellStyle name="_MARION W10234702 21-11-08 (2) 3" xfId="24832" xr:uid="{00000000-0005-0000-0000-000089170000}"/>
    <cellStyle name="_MARION W10234702 21-11-08 (2)_862-CH" xfId="5822" xr:uid="{00000000-0005-0000-0000-00008A170000}"/>
    <cellStyle name="_MARION W10234702 21-11-08 (2)_CONCENTRATED QUOTE WLP397" xfId="5823" xr:uid="{00000000-0005-0000-0000-00008B170000}"/>
    <cellStyle name="_MARION W10234702 21-11-08 (2)_CONCENTRATED QUOTE WLP397 2" xfId="5824" xr:uid="{00000000-0005-0000-0000-00008C170000}"/>
    <cellStyle name="_MARION W10234702 21-11-08 (2)_CONCENTRATED QUOTE WLP397 2 2" xfId="24833" xr:uid="{00000000-0005-0000-0000-00008D170000}"/>
    <cellStyle name="_MARION W10234702 21-11-08 (2)_CONCENTRATED QUOTE WLP397 2 3" xfId="24834" xr:uid="{00000000-0005-0000-0000-00008E170000}"/>
    <cellStyle name="_MARION W10234702 21-11-08 (2)_CONCENTRATED QUOTE WLP397 3" xfId="5825" xr:uid="{00000000-0005-0000-0000-00008F170000}"/>
    <cellStyle name="_MARION W10234702 21-11-08 (2)_CONCENTRATED QUOTE WLP397 4" xfId="5826" xr:uid="{00000000-0005-0000-0000-000090170000}"/>
    <cellStyle name="_MARION W10234702 21-11-08 (2)_CONCENTRATED QUOTE WLP397_862-CH" xfId="5827" xr:uid="{00000000-0005-0000-0000-000091170000}"/>
    <cellStyle name="_MARION W10234702 21-11-08 (2)_CONCENTRATED QUOTE WLP397_CONCENTRATED QUOTE WLP474" xfId="5828" xr:uid="{00000000-0005-0000-0000-000092170000}"/>
    <cellStyle name="_MARION W10234702 21-11-08 (2)_CONCENTRATED QUOTE WLP397_CONCENTRATED QUOTE WLP474 2" xfId="5829" xr:uid="{00000000-0005-0000-0000-000093170000}"/>
    <cellStyle name="_MARION W10234702 21-11-08 (2)_CONCENTRATED QUOTE WLP397_CONCENTRATED QUOTE WLP474 3" xfId="5830" xr:uid="{00000000-0005-0000-0000-000094170000}"/>
    <cellStyle name="_MARION W10234702 21-11-08 (2)_CONCENTRATED QUOTE WLP397_CONCENTRATED QUOTE WLP474 4" xfId="5831" xr:uid="{00000000-0005-0000-0000-000095170000}"/>
    <cellStyle name="_MARION W10234702 21-11-08 (2)_CONCENTRATED QUOTE WLP397_CONCENTRATED QUOTE WLP550" xfId="5832" xr:uid="{00000000-0005-0000-0000-000096170000}"/>
    <cellStyle name="_MARION W10234702 21-11-08 (2)_CONCENTRATED QUOTE WLP397_CONCENTRATED QUOTE WLP550 2" xfId="5833" xr:uid="{00000000-0005-0000-0000-000097170000}"/>
    <cellStyle name="_MARION W10234702 21-11-08 (2)_CONCENTRATED QUOTE WLP397_CONCENTRATED QUOTE WLP550 3" xfId="5834" xr:uid="{00000000-0005-0000-0000-000098170000}"/>
    <cellStyle name="_MARION W10234702 21-11-08 (2)_CONCENTRATED QUOTE WLP397_CONCENTRATED QUOTE WLP550 4" xfId="5835" xr:uid="{00000000-0005-0000-0000-000099170000}"/>
    <cellStyle name="_MARION W10234702 21-11-08 (2)_CONCENTRATED QUOTE WLP397_CONCENTRATED QUOTE WLP550 5" xfId="5836" xr:uid="{00000000-0005-0000-0000-00009A170000}"/>
    <cellStyle name="_MARION W10234702 21-11-08 (2)_CONCENTRATED QUOTE WLP397_CONCENTRATED QUOTE WLP559" xfId="5837" xr:uid="{00000000-0005-0000-0000-00009B170000}"/>
    <cellStyle name="_MARION W10234702 21-11-08 (2)_CONCENTRATED QUOTE WLP397_CONCENTRATED QUOTE WLP568" xfId="5838" xr:uid="{00000000-0005-0000-0000-00009C170000}"/>
    <cellStyle name="_MARION W10234702 21-11-08 (2)_CONCENTRATED QUOTE WLP397_CONCENTRATED QUOTE WLP571" xfId="5839" xr:uid="{00000000-0005-0000-0000-00009D170000}"/>
    <cellStyle name="_MARION W10234702 21-11-08 (2)_CONCENTRATED QUOTE WLP397_CONCENTRATED QUOTE WLP574  ALPHA" xfId="5840" xr:uid="{00000000-0005-0000-0000-00009E170000}"/>
    <cellStyle name="_MARION W10234702 21-11-08 (2)_CONCENTRATED QUOTE WLP397_CONCENTRATED QUOTE WLP574  ALPHA 2" xfId="5841" xr:uid="{00000000-0005-0000-0000-00009F170000}"/>
    <cellStyle name="_MARION W10234702 21-11-08 (2)_CONCENTRATED QUOTE WLP397_CONCENTRATED QUOTE WLP574  ALPHA 3" xfId="5842" xr:uid="{00000000-0005-0000-0000-0000A0170000}"/>
    <cellStyle name="_MARION W10234702 21-11-08 (2)_CONCENTRATED QUOTE WLP397_CONCENTRATED QUOTE WLP574  ALPHA 4" xfId="5843" xr:uid="{00000000-0005-0000-0000-0000A1170000}"/>
    <cellStyle name="_MARION W10234702 21-11-08 (2)_CONCENTRATED QUOTE WLP397_CONCENTRATED QUOTE WLP574  ALPHA 5" xfId="5844" xr:uid="{00000000-0005-0000-0000-0000A2170000}"/>
    <cellStyle name="_MARION W10234702 21-11-08 (2)_CONCENTRATED QUOTE WLP397_Estimated Quote 050609 039" xfId="5845" xr:uid="{00000000-0005-0000-0000-0000A3170000}"/>
    <cellStyle name="_MARION W10234702 21-11-08 (2)_CONCENTRATED QUOTE WLP397_Estimated Quote 050609 039 2" xfId="5846" xr:uid="{00000000-0005-0000-0000-0000A4170000}"/>
    <cellStyle name="_MARION W10234702 21-11-08 (2)_CONCENTRATED QUOTE WLP397_Estimated Quote 050609 039 3" xfId="5847" xr:uid="{00000000-0005-0000-0000-0000A5170000}"/>
    <cellStyle name="_MARION W10234702 21-11-08 (2)_CONCENTRATED QUOTE WLP397_Estimated Quote 050609 039 4" xfId="5848" xr:uid="{00000000-0005-0000-0000-0000A6170000}"/>
    <cellStyle name="_MARION W10234702 21-11-08 (2)_CONCENTRATED QUOTE WLP397_Estimated Quote 050609 039 5" xfId="5849" xr:uid="{00000000-0005-0000-0000-0000A7170000}"/>
    <cellStyle name="_MARION W10234702 21-11-08 (2)_CONCENTRATED QUOTE WLP397_W10251442" xfId="5850" xr:uid="{00000000-0005-0000-0000-0000A8170000}"/>
    <cellStyle name="_MARION W10234702 21-11-08 (2)_CONCENTRATED QUOTE WLP397_W10251443" xfId="5851" xr:uid="{00000000-0005-0000-0000-0000A9170000}"/>
    <cellStyle name="_MARION W10234702 21-11-08 (2)_CONCENTRATED QUOTE WLP397_W10251444" xfId="5852" xr:uid="{00000000-0005-0000-0000-0000AA170000}"/>
    <cellStyle name="_MARION W10234702 21-11-08 (2)_CONCENTRATED QUOTE WLP397_W10251766 D" xfId="5853" xr:uid="{00000000-0005-0000-0000-0000AB170000}"/>
    <cellStyle name="_MARION W10234702 21-11-08 (2)_CONCENTRATED QUOTE WLP397_W10278758" xfId="5854" xr:uid="{00000000-0005-0000-0000-0000AC170000}"/>
    <cellStyle name="_MARION W10234702 21-11-08 (2)_CONCENTRATED QUOTE WLP397_W10278759" xfId="5855" xr:uid="{00000000-0005-0000-0000-0000AD170000}"/>
    <cellStyle name="_MARION W10234702 21-11-08 (2)_CONCENTRATED QUOTE WLP397_W10279106 y W10279107 de MR a 56i" xfId="5856" xr:uid="{00000000-0005-0000-0000-0000AE170000}"/>
    <cellStyle name="_MARION W10234702 21-11-08 (2)_CONCENTRATED QUOTE WLP397_W10290772" xfId="5857" xr:uid="{00000000-0005-0000-0000-0000AF170000}"/>
    <cellStyle name="_MARION W10234702 21-11-08 (2)_CONCENTRATED QUOTE WLP397_W10290772 2" xfId="5858" xr:uid="{00000000-0005-0000-0000-0000B0170000}"/>
    <cellStyle name="_MARION W10234702 21-11-08 (2)_CONCENTRATED QUOTE WLP397_W10290772 3" xfId="5859" xr:uid="{00000000-0005-0000-0000-0000B1170000}"/>
    <cellStyle name="_MARION W10234702 21-11-08 (2)_CONCENTRATED QUOTE WLP397_W10290772 4" xfId="5860" xr:uid="{00000000-0005-0000-0000-0000B2170000}"/>
    <cellStyle name="_MARION W10234702 21-11-08 (2)_CONCENTRATED QUOTE WLP397_W10290772 5" xfId="5861" xr:uid="{00000000-0005-0000-0000-0000B3170000}"/>
    <cellStyle name="_MARION W10234702 21-11-08 (2)_CONCENTRATED QUOTE WLP397_W10290774" xfId="5862" xr:uid="{00000000-0005-0000-0000-0000B4170000}"/>
    <cellStyle name="_MARION W10234702 21-11-08 (2)_CONCENTRATED QUOTE WLP397_W10290774 2" xfId="5863" xr:uid="{00000000-0005-0000-0000-0000B5170000}"/>
    <cellStyle name="_MARION W10234702 21-11-08 (2)_CONCENTRATED QUOTE WLP397_W10290774 3" xfId="5864" xr:uid="{00000000-0005-0000-0000-0000B6170000}"/>
    <cellStyle name="_MARION W10234702 21-11-08 (2)_CONCENTRATED QUOTE WLP397_W10290774 4" xfId="5865" xr:uid="{00000000-0005-0000-0000-0000B7170000}"/>
    <cellStyle name="_MARION W10234702 21-11-08 (2)_CONCENTRATED QUOTE WLP397_W10290774 5" xfId="5866" xr:uid="{00000000-0005-0000-0000-0000B8170000}"/>
    <cellStyle name="_MARION W10234702 21-11-08 (2)_CONCENTRATED QUOTE WLP397_W10315922 A" xfId="5867" xr:uid="{00000000-0005-0000-0000-0000B9170000}"/>
    <cellStyle name="_MARION W10234702 21-11-08 (2)_CONCENTRATED QUOTE WLP401" xfId="5868" xr:uid="{00000000-0005-0000-0000-0000BA170000}"/>
    <cellStyle name="_MARION W10234702 21-11-08 (2)_CONCENTRATED QUOTE WLP401 2" xfId="5869" xr:uid="{00000000-0005-0000-0000-0000BB170000}"/>
    <cellStyle name="_MARION W10234702 21-11-08 (2)_CONCENTRATED QUOTE WLP401 2 2" xfId="5870" xr:uid="{00000000-0005-0000-0000-0000BC170000}"/>
    <cellStyle name="_MARION W10234702 21-11-08 (2)_CONCENTRATED QUOTE WLP401 2 3" xfId="5871" xr:uid="{00000000-0005-0000-0000-0000BD170000}"/>
    <cellStyle name="_MARION W10234702 21-11-08 (2)_CONCENTRATED QUOTE WLP401 2 4" xfId="5872" xr:uid="{00000000-0005-0000-0000-0000BE170000}"/>
    <cellStyle name="_MARION W10234702 21-11-08 (2)_CONCENTRATED QUOTE WLP401 3" xfId="5873" xr:uid="{00000000-0005-0000-0000-0000BF170000}"/>
    <cellStyle name="_MARION W10234702 21-11-08 (2)_CONCENTRATED QUOTE WLP401_862-CH" xfId="5874" xr:uid="{00000000-0005-0000-0000-0000C0170000}"/>
    <cellStyle name="_MARION W10234702 21-11-08 (2)_CONCENTRATED QUOTE WLP401_CONCENTRATED QUOTE WLP440" xfId="5875" xr:uid="{00000000-0005-0000-0000-0000C1170000}"/>
    <cellStyle name="_MARION W10234702 21-11-08 (2)_CONCENTRATED QUOTE WLP401_CONCENTRATED QUOTE WLP440 2" xfId="5876" xr:uid="{00000000-0005-0000-0000-0000C2170000}"/>
    <cellStyle name="_MARION W10234702 21-11-08 (2)_CONCENTRATED QUOTE WLP401_CONCENTRATED QUOTE WLP440 3" xfId="5877" xr:uid="{00000000-0005-0000-0000-0000C3170000}"/>
    <cellStyle name="_MARION W10234702 21-11-08 (2)_CONCENTRATED QUOTE WLP401_CONCENTRATED QUOTE WLP440 4" xfId="5878" xr:uid="{00000000-0005-0000-0000-0000C4170000}"/>
    <cellStyle name="_MARION W10234702 21-11-08 (2)_CONCENTRATED QUOTE WLP401_CONCENTRATED QUOTE WLP440 5" xfId="5879" xr:uid="{00000000-0005-0000-0000-0000C5170000}"/>
    <cellStyle name="_MARION W10234702 21-11-08 (2)_CONCENTRATED QUOTE WLP401_CONCENTRATED QUOTE WLP474" xfId="5880" xr:uid="{00000000-0005-0000-0000-0000C6170000}"/>
    <cellStyle name="_MARION W10234702 21-11-08 (2)_CONCENTRATED QUOTE WLP401_CONCENTRATED QUOTE WLP474 2" xfId="5881" xr:uid="{00000000-0005-0000-0000-0000C7170000}"/>
    <cellStyle name="_MARION W10234702 21-11-08 (2)_CONCENTRATED QUOTE WLP401_CONCENTRATED QUOTE WLP474 3" xfId="5882" xr:uid="{00000000-0005-0000-0000-0000C8170000}"/>
    <cellStyle name="_MARION W10234702 21-11-08 (2)_CONCENTRATED QUOTE WLP401_CONCENTRATED QUOTE WLP474 4" xfId="5883" xr:uid="{00000000-0005-0000-0000-0000C9170000}"/>
    <cellStyle name="_MARION W10234702 21-11-08 (2)_CONCENTRATED QUOTE WLP401_CONCENTRATED QUOTE WLP477" xfId="5884" xr:uid="{00000000-0005-0000-0000-0000CA170000}"/>
    <cellStyle name="_MARION W10234702 21-11-08 (2)_CONCENTRATED QUOTE WLP401_CONCENTRATED QUOTE WLP477 2" xfId="5885" xr:uid="{00000000-0005-0000-0000-0000CB170000}"/>
    <cellStyle name="_MARION W10234702 21-11-08 (2)_CONCENTRATED QUOTE WLP401_CONCENTRATED QUOTE WLP477 3" xfId="5886" xr:uid="{00000000-0005-0000-0000-0000CC170000}"/>
    <cellStyle name="_MARION W10234702 21-11-08 (2)_CONCENTRATED QUOTE WLP401_CONCENTRATED QUOTE WLP477 4" xfId="5887" xr:uid="{00000000-0005-0000-0000-0000CD170000}"/>
    <cellStyle name="_MARION W10234702 21-11-08 (2)_CONCENTRATED QUOTE WLP401_CONCENTRATED QUOTE WLP477 5" xfId="5888" xr:uid="{00000000-0005-0000-0000-0000CE170000}"/>
    <cellStyle name="_MARION W10234702 21-11-08 (2)_CONCENTRATED QUOTE WLP401_CONCENTRATED QUOTE WLP488" xfId="5889" xr:uid="{00000000-0005-0000-0000-0000CF170000}"/>
    <cellStyle name="_MARION W10234702 21-11-08 (2)_CONCENTRATED QUOTE WLP401_CONCENTRATED QUOTE WLP488 2" xfId="5890" xr:uid="{00000000-0005-0000-0000-0000D0170000}"/>
    <cellStyle name="_MARION W10234702 21-11-08 (2)_CONCENTRATED QUOTE WLP401_CONCENTRATED QUOTE WLP488 3" xfId="5891" xr:uid="{00000000-0005-0000-0000-0000D1170000}"/>
    <cellStyle name="_MARION W10234702 21-11-08 (2)_CONCENTRATED QUOTE WLP401_CONCENTRATED QUOTE WLP488 4" xfId="5892" xr:uid="{00000000-0005-0000-0000-0000D2170000}"/>
    <cellStyle name="_MARION W10234702 21-11-08 (2)_CONCENTRATED QUOTE WLP401_CONCENTRATED QUOTE WLP488 5" xfId="5893" xr:uid="{00000000-0005-0000-0000-0000D3170000}"/>
    <cellStyle name="_MARION W10234702 21-11-08 (2)_CONCENTRATED QUOTE WLP401_CONCENTRATED QUOTE WLP491" xfId="5894" xr:uid="{00000000-0005-0000-0000-0000D4170000}"/>
    <cellStyle name="_MARION W10234702 21-11-08 (2)_CONCENTRATED QUOTE WLP401_CONCENTRATED QUOTE WLP491 2" xfId="5895" xr:uid="{00000000-0005-0000-0000-0000D5170000}"/>
    <cellStyle name="_MARION W10234702 21-11-08 (2)_CONCENTRATED QUOTE WLP401_CONCENTRATED QUOTE WLP491 3" xfId="5896" xr:uid="{00000000-0005-0000-0000-0000D6170000}"/>
    <cellStyle name="_MARION W10234702 21-11-08 (2)_CONCENTRATED QUOTE WLP401_CONCENTRATED QUOTE WLP491 4" xfId="5897" xr:uid="{00000000-0005-0000-0000-0000D7170000}"/>
    <cellStyle name="_MARION W10234702 21-11-08 (2)_CONCENTRATED QUOTE WLP401_CONCENTRATED QUOTE WLP491 5" xfId="5898" xr:uid="{00000000-0005-0000-0000-0000D8170000}"/>
    <cellStyle name="_MARION W10234702 21-11-08 (2)_CONCENTRATED QUOTE WLP401_CONCENTRATED QUOTE WLP507A" xfId="5899" xr:uid="{00000000-0005-0000-0000-0000D9170000}"/>
    <cellStyle name="_MARION W10234702 21-11-08 (2)_CONCENTRATED QUOTE WLP401_CONCENTRATED QUOTE WLP507A 081909" xfId="5900" xr:uid="{00000000-0005-0000-0000-0000DA170000}"/>
    <cellStyle name="_MARION W10234702 21-11-08 (2)_CONCENTRATED QUOTE WLP401_CONCENTRATED QUOTE WLP507A 081909 2" xfId="5901" xr:uid="{00000000-0005-0000-0000-0000DB170000}"/>
    <cellStyle name="_MARION W10234702 21-11-08 (2)_CONCENTRATED QUOTE WLP401_CONCENTRATED QUOTE WLP507A 081909 3" xfId="5902" xr:uid="{00000000-0005-0000-0000-0000DC170000}"/>
    <cellStyle name="_MARION W10234702 21-11-08 (2)_CONCENTRATED QUOTE WLP401_CONCENTRATED QUOTE WLP507A 081909 4" xfId="5903" xr:uid="{00000000-0005-0000-0000-0000DD170000}"/>
    <cellStyle name="_MARION W10234702 21-11-08 (2)_CONCENTRATED QUOTE WLP401_CONCENTRATED QUOTE WLP507A 081909 5" xfId="5904" xr:uid="{00000000-0005-0000-0000-0000DE170000}"/>
    <cellStyle name="_MARION W10234702 21-11-08 (2)_CONCENTRATED QUOTE WLP401_CONCENTRATED QUOTE WLP507A 2" xfId="5905" xr:uid="{00000000-0005-0000-0000-0000DF170000}"/>
    <cellStyle name="_MARION W10234702 21-11-08 (2)_CONCENTRATED QUOTE WLP401_CONCENTRATED QUOTE WLP507A 3" xfId="5906" xr:uid="{00000000-0005-0000-0000-0000E0170000}"/>
    <cellStyle name="_MARION W10234702 21-11-08 (2)_CONCENTRATED QUOTE WLP401_CONCENTRATED QUOTE WLP507A 4" xfId="5907" xr:uid="{00000000-0005-0000-0000-0000E1170000}"/>
    <cellStyle name="_MARION W10234702 21-11-08 (2)_CONCENTRATED QUOTE WLP401_CONCENTRATED QUOTE WLP515" xfId="5908" xr:uid="{00000000-0005-0000-0000-0000E2170000}"/>
    <cellStyle name="_MARION W10234702 21-11-08 (2)_CONCENTRATED QUOTE WLP401_CONCENTRATED QUOTE WLP515 2" xfId="5909" xr:uid="{00000000-0005-0000-0000-0000E3170000}"/>
    <cellStyle name="_MARION W10234702 21-11-08 (2)_CONCENTRATED QUOTE WLP401_CONCENTRATED QUOTE WLP515 3" xfId="5910" xr:uid="{00000000-0005-0000-0000-0000E4170000}"/>
    <cellStyle name="_MARION W10234702 21-11-08 (2)_CONCENTRATED QUOTE WLP401_CONCENTRATED QUOTE WLP515 4" xfId="5911" xr:uid="{00000000-0005-0000-0000-0000E5170000}"/>
    <cellStyle name="_MARION W10234702 21-11-08 (2)_CONCENTRATED QUOTE WLP401_CONCENTRATED QUOTE WLP515 5" xfId="5912" xr:uid="{00000000-0005-0000-0000-0000E6170000}"/>
    <cellStyle name="_MARION W10234702 21-11-08 (2)_CONCENTRATED QUOTE WLP401_CONCENTRATED QUOTE WLP528" xfId="5913" xr:uid="{00000000-0005-0000-0000-0000E7170000}"/>
    <cellStyle name="_MARION W10234702 21-11-08 (2)_CONCENTRATED QUOTE WLP401_CONCENTRATED QUOTE WLP528 2" xfId="5914" xr:uid="{00000000-0005-0000-0000-0000E8170000}"/>
    <cellStyle name="_MARION W10234702 21-11-08 (2)_CONCENTRATED QUOTE WLP401_CONCENTRATED QUOTE WLP528 3" xfId="5915" xr:uid="{00000000-0005-0000-0000-0000E9170000}"/>
    <cellStyle name="_MARION W10234702 21-11-08 (2)_CONCENTRATED QUOTE WLP401_CONCENTRATED QUOTE WLP528 4" xfId="5916" xr:uid="{00000000-0005-0000-0000-0000EA170000}"/>
    <cellStyle name="_MARION W10234702 21-11-08 (2)_CONCENTRATED QUOTE WLP401_CONCENTRATED QUOTE WLP528 5" xfId="5917" xr:uid="{00000000-0005-0000-0000-0000EB170000}"/>
    <cellStyle name="_MARION W10234702 21-11-08 (2)_CONCENTRATED QUOTE WLP401_CONCENTRATED QUOTE WLP534" xfId="5918" xr:uid="{00000000-0005-0000-0000-0000EC170000}"/>
    <cellStyle name="_MARION W10234702 21-11-08 (2)_CONCENTRATED QUOTE WLP401_CONCENTRATED QUOTE WLP534 2" xfId="5919" xr:uid="{00000000-0005-0000-0000-0000ED170000}"/>
    <cellStyle name="_MARION W10234702 21-11-08 (2)_CONCENTRATED QUOTE WLP401_CONCENTRATED QUOTE WLP534 3" xfId="5920" xr:uid="{00000000-0005-0000-0000-0000EE170000}"/>
    <cellStyle name="_MARION W10234702 21-11-08 (2)_CONCENTRATED QUOTE WLP401_CONCENTRATED QUOTE WLP534 4" xfId="5921" xr:uid="{00000000-0005-0000-0000-0000EF170000}"/>
    <cellStyle name="_MARION W10234702 21-11-08 (2)_CONCENTRATED QUOTE WLP401_CONCENTRATED QUOTE WLP536" xfId="5922" xr:uid="{00000000-0005-0000-0000-0000F0170000}"/>
    <cellStyle name="_MARION W10234702 21-11-08 (2)_CONCENTRATED QUOTE WLP401_CONCENTRATED QUOTE WLP536 2" xfId="5923" xr:uid="{00000000-0005-0000-0000-0000F1170000}"/>
    <cellStyle name="_MARION W10234702 21-11-08 (2)_CONCENTRATED QUOTE WLP401_CONCENTRATED QUOTE WLP536 3" xfId="5924" xr:uid="{00000000-0005-0000-0000-0000F2170000}"/>
    <cellStyle name="_MARION W10234702 21-11-08 (2)_CONCENTRATED QUOTE WLP401_CONCENTRATED QUOTE WLP536 4" xfId="5925" xr:uid="{00000000-0005-0000-0000-0000F3170000}"/>
    <cellStyle name="_MARION W10234702 21-11-08 (2)_CONCENTRATED QUOTE WLP401_CONCENTRATED QUOTE WLP536 5" xfId="5926" xr:uid="{00000000-0005-0000-0000-0000F4170000}"/>
    <cellStyle name="_MARION W10234702 21-11-08 (2)_CONCENTRATED QUOTE WLP401_CONCENTRATED QUOTE WLP545" xfId="5927" xr:uid="{00000000-0005-0000-0000-0000F5170000}"/>
    <cellStyle name="_MARION W10234702 21-11-08 (2)_CONCENTRATED QUOTE WLP401_CONCENTRATED QUOTE WLP545 2" xfId="5928" xr:uid="{00000000-0005-0000-0000-0000F6170000}"/>
    <cellStyle name="_MARION W10234702 21-11-08 (2)_CONCENTRATED QUOTE WLP401_CONCENTRATED QUOTE WLP545 3" xfId="5929" xr:uid="{00000000-0005-0000-0000-0000F7170000}"/>
    <cellStyle name="_MARION W10234702 21-11-08 (2)_CONCENTRATED QUOTE WLP401_CONCENTRATED QUOTE WLP545 4" xfId="5930" xr:uid="{00000000-0005-0000-0000-0000F8170000}"/>
    <cellStyle name="_MARION W10234702 21-11-08 (2)_CONCENTRATED QUOTE WLP401_CONCENTRATED QUOTE WLP550" xfId="5931" xr:uid="{00000000-0005-0000-0000-0000F9170000}"/>
    <cellStyle name="_MARION W10234702 21-11-08 (2)_CONCENTRATED QUOTE WLP401_CONCENTRATED QUOTE WLP550 2" xfId="5932" xr:uid="{00000000-0005-0000-0000-0000FA170000}"/>
    <cellStyle name="_MARION W10234702 21-11-08 (2)_CONCENTRATED QUOTE WLP401_CONCENTRATED QUOTE WLP550 3" xfId="5933" xr:uid="{00000000-0005-0000-0000-0000FB170000}"/>
    <cellStyle name="_MARION W10234702 21-11-08 (2)_CONCENTRATED QUOTE WLP401_CONCENTRATED QUOTE WLP550 4" xfId="5934" xr:uid="{00000000-0005-0000-0000-0000FC170000}"/>
    <cellStyle name="_MARION W10234702 21-11-08 (2)_CONCENTRATED QUOTE WLP401_CONCENTRATED QUOTE WLP550 5" xfId="5935" xr:uid="{00000000-0005-0000-0000-0000FD170000}"/>
    <cellStyle name="_MARION W10234702 21-11-08 (2)_CONCENTRATED QUOTE WLP401_CONCENTRATED QUOTE WLP552" xfId="5936" xr:uid="{00000000-0005-0000-0000-0000FE170000}"/>
    <cellStyle name="_MARION W10234702 21-11-08 (2)_CONCENTRATED QUOTE WLP401_CONCENTRATED QUOTE WLP552 2" xfId="5937" xr:uid="{00000000-0005-0000-0000-0000FF170000}"/>
    <cellStyle name="_MARION W10234702 21-11-08 (2)_CONCENTRATED QUOTE WLP401_CONCENTRATED QUOTE WLP552 3" xfId="5938" xr:uid="{00000000-0005-0000-0000-000000180000}"/>
    <cellStyle name="_MARION W10234702 21-11-08 (2)_CONCENTRATED QUOTE WLP401_CONCENTRATED QUOTE WLP552 4" xfId="5939" xr:uid="{00000000-0005-0000-0000-000001180000}"/>
    <cellStyle name="_MARION W10234702 21-11-08 (2)_CONCENTRATED QUOTE WLP401_CONCENTRATED QUOTE WLP5565" xfId="5940" xr:uid="{00000000-0005-0000-0000-000002180000}"/>
    <cellStyle name="_MARION W10234702 21-11-08 (2)_CONCENTRATED QUOTE WLP401_CONCENTRATED QUOTE WLP5565 2" xfId="5941" xr:uid="{00000000-0005-0000-0000-000003180000}"/>
    <cellStyle name="_MARION W10234702 21-11-08 (2)_CONCENTRATED QUOTE WLP401_CONCENTRATED QUOTE WLP5565 3" xfId="5942" xr:uid="{00000000-0005-0000-0000-000004180000}"/>
    <cellStyle name="_MARION W10234702 21-11-08 (2)_CONCENTRATED QUOTE WLP401_CONCENTRATED QUOTE WLP5565 4" xfId="5943" xr:uid="{00000000-0005-0000-0000-000005180000}"/>
    <cellStyle name="_MARION W10234702 21-11-08 (2)_CONCENTRATED QUOTE WLP401_CONCENTRATED QUOTE WLP559" xfId="5944" xr:uid="{00000000-0005-0000-0000-000006180000}"/>
    <cellStyle name="_MARION W10234702 21-11-08 (2)_CONCENTRATED QUOTE WLP401_CONCENTRATED QUOTE WLP568" xfId="5945" xr:uid="{00000000-0005-0000-0000-000007180000}"/>
    <cellStyle name="_MARION W10234702 21-11-08 (2)_CONCENTRATED QUOTE WLP401_CONCENTRATED QUOTE WLP571" xfId="5946" xr:uid="{00000000-0005-0000-0000-000008180000}"/>
    <cellStyle name="_MARION W10234702 21-11-08 (2)_CONCENTRATED QUOTE WLP401_CONCENTRATED QUOTE WLP574  ALPHA" xfId="5947" xr:uid="{00000000-0005-0000-0000-000009180000}"/>
    <cellStyle name="_MARION W10234702 21-11-08 (2)_CONCENTRATED QUOTE WLP401_CONCENTRATED QUOTE WLP574  ALPHA 2" xfId="5948" xr:uid="{00000000-0005-0000-0000-00000A180000}"/>
    <cellStyle name="_MARION W10234702 21-11-08 (2)_CONCENTRATED QUOTE WLP401_CONCENTRATED QUOTE WLP574  ALPHA 3" xfId="5949" xr:uid="{00000000-0005-0000-0000-00000B180000}"/>
    <cellStyle name="_MARION W10234702 21-11-08 (2)_CONCENTRATED QUOTE WLP401_CONCENTRATED QUOTE WLP574  ALPHA 4" xfId="5950" xr:uid="{00000000-0005-0000-0000-00000C180000}"/>
    <cellStyle name="_MARION W10234702 21-11-08 (2)_CONCENTRATED QUOTE WLP401_CONCENTRATED QUOTE WLP574  ALPHA 5" xfId="5951" xr:uid="{00000000-0005-0000-0000-00000D180000}"/>
    <cellStyle name="_MARION W10234702 21-11-08 (2)_CONCENTRATED QUOTE WLP401_CONCENTRATED QUOTE WLP610 VMW CLC" xfId="5952" xr:uid="{00000000-0005-0000-0000-00000E180000}"/>
    <cellStyle name="_MARION W10234702 21-11-08 (2)_CONCENTRATED QUOTE WLP401_CONCENTRATED QUOTE WLP610 VMW CLC 2" xfId="5953" xr:uid="{00000000-0005-0000-0000-00000F180000}"/>
    <cellStyle name="_MARION W10234702 21-11-08 (2)_CONCENTRATED QUOTE WLP401_CONCENTRATED QUOTE WLP610 VMW CLC 3" xfId="5954" xr:uid="{00000000-0005-0000-0000-000010180000}"/>
    <cellStyle name="_MARION W10234702 21-11-08 (2)_CONCENTRATED QUOTE WLP401_CONCENTRATED QUOTE WLP610 VMW CLC 4" xfId="5955" xr:uid="{00000000-0005-0000-0000-000011180000}"/>
    <cellStyle name="_MARION W10234702 21-11-08 (2)_CONCENTRATED QUOTE WLP401_CONCENTRATED QUOTE WLP610 VMW CLC 5" xfId="5956" xr:uid="{00000000-0005-0000-0000-000012180000}"/>
    <cellStyle name="_MARION W10234702 21-11-08 (2)_CONCENTRATED QUOTE WLP401_CONCENTRATED QUOTE WLP623 071310" xfId="5957" xr:uid="{00000000-0005-0000-0000-000013180000}"/>
    <cellStyle name="_MARION W10234702 21-11-08 (2)_CONCENTRATED QUOTE WLP401_CONCENTRATED QUOTE WLP628" xfId="5958" xr:uid="{00000000-0005-0000-0000-000014180000}"/>
    <cellStyle name="_MARION W10234702 21-11-08 (2)_CONCENTRATED QUOTE WLP401_CONCENTRATED QUOTE WLP628 2" xfId="5959" xr:uid="{00000000-0005-0000-0000-000015180000}"/>
    <cellStyle name="_MARION W10234702 21-11-08 (2)_CONCENTRATED QUOTE WLP401_CONCENTRATED QUOTE WLP628 3" xfId="5960" xr:uid="{00000000-0005-0000-0000-000016180000}"/>
    <cellStyle name="_MARION W10234702 21-11-08 (2)_CONCENTRATED QUOTE WLP401_CONCENTRATED QUOTE WLP628 4" xfId="5961" xr:uid="{00000000-0005-0000-0000-000017180000}"/>
    <cellStyle name="_MARION W10234702 21-11-08 (2)_CONCENTRATED QUOTE WLP401_CONCENTRATED QUOTE WLP628 5" xfId="5962" xr:uid="{00000000-0005-0000-0000-000018180000}"/>
    <cellStyle name="_MARION W10234702 21-11-08 (2)_CONCENTRATED QUOTE WLP401_CONCENTRATED QUOTE WLP634 VMW MTAG" xfId="5963" xr:uid="{00000000-0005-0000-0000-000019180000}"/>
    <cellStyle name="_MARION W10234702 21-11-08 (2)_CONCENTRATED QUOTE WLP401_CONCENTRATED QUOTE WLP635" xfId="5964" xr:uid="{00000000-0005-0000-0000-00001A180000}"/>
    <cellStyle name="_MARION W10234702 21-11-08 (2)_CONCENTRATED QUOTE WLP401_CONCENTRATED QUOTE WLP646" xfId="5965" xr:uid="{00000000-0005-0000-0000-00001B180000}"/>
    <cellStyle name="_MARION W10234702 21-11-08 (2)_CONCENTRATED QUOTE WLP401_CONCENTRATED QUOTE WLP646 2" xfId="5966" xr:uid="{00000000-0005-0000-0000-00001C180000}"/>
    <cellStyle name="_MARION W10234702 21-11-08 (2)_CONCENTRATED QUOTE WLP401_CONCENTRATED QUOTE WLP646 3" xfId="5967" xr:uid="{00000000-0005-0000-0000-00001D180000}"/>
    <cellStyle name="_MARION W10234702 21-11-08 (2)_CONCENTRATED QUOTE WLP401_CONCENTRATED QUOTE WLP646 4" xfId="5968" xr:uid="{00000000-0005-0000-0000-00001E180000}"/>
    <cellStyle name="_MARION W10234702 21-11-08 (2)_CONCENTRATED QUOTE WLP401_CONCENTRATED QUOTE WLP646 5" xfId="5969" xr:uid="{00000000-0005-0000-0000-00001F180000}"/>
    <cellStyle name="_MARION W10234702 21-11-08 (2)_CONCENTRATED QUOTE WLP401_Copy of CONCENTRATED QUOTE WLP579" xfId="5970" xr:uid="{00000000-0005-0000-0000-000020180000}"/>
    <cellStyle name="_MARION W10234702 21-11-08 (2)_CONCENTRATED QUOTE WLP401_Copy of CONCENTRATED QUOTE WLP579 2" xfId="5971" xr:uid="{00000000-0005-0000-0000-000021180000}"/>
    <cellStyle name="_MARION W10234702 21-11-08 (2)_CONCENTRATED QUOTE WLP401_Copy of CONCENTRATED QUOTE WLP579 3" xfId="5972" xr:uid="{00000000-0005-0000-0000-000022180000}"/>
    <cellStyle name="_MARION W10234702 21-11-08 (2)_CONCENTRATED QUOTE WLP401_Copy of CONCENTRATED QUOTE WLP579 4" xfId="5973" xr:uid="{00000000-0005-0000-0000-000023180000}"/>
    <cellStyle name="_MARION W10234702 21-11-08 (2)_CONCENTRATED QUOTE WLP401_Dekko HE P3-Classic P1" xfId="5974" xr:uid="{00000000-0005-0000-0000-000024180000}"/>
    <cellStyle name="_MARION W10234702 21-11-08 (2)_CONCENTRATED QUOTE WLP401_Dekko HE P3-Classic P1 2" xfId="5975" xr:uid="{00000000-0005-0000-0000-000025180000}"/>
    <cellStyle name="_MARION W10234702 21-11-08 (2)_CONCENTRATED QUOTE WLP401_Dekko HE P3-Classic P1 3" xfId="5976" xr:uid="{00000000-0005-0000-0000-000026180000}"/>
    <cellStyle name="_MARION W10234702 21-11-08 (2)_CONCENTRATED QUOTE WLP401_Dekko HE P3-Classic P1 4" xfId="5977" xr:uid="{00000000-0005-0000-0000-000027180000}"/>
    <cellStyle name="_MARION W10234702 21-11-08 (2)_CONCENTRATED QUOTE WLP401_ESTC1CLY0012" xfId="5978" xr:uid="{00000000-0005-0000-0000-000028180000}"/>
    <cellStyle name="_MARION W10234702 21-11-08 (2)_CONCENTRATED QUOTE WLP401_ESTC1CLY0012 2" xfId="5979" xr:uid="{00000000-0005-0000-0000-000029180000}"/>
    <cellStyle name="_MARION W10234702 21-11-08 (2)_CONCENTRATED QUOTE WLP401_ESTC1CLY0012 3" xfId="5980" xr:uid="{00000000-0005-0000-0000-00002A180000}"/>
    <cellStyle name="_MARION W10234702 21-11-08 (2)_CONCENTRATED QUOTE WLP401_ESTC1CLY0012 4" xfId="5981" xr:uid="{00000000-0005-0000-0000-00002B180000}"/>
    <cellStyle name="_MARION W10234702 21-11-08 (2)_CONCENTRATED QUOTE WLP401_ESTC1CLY0013" xfId="5982" xr:uid="{00000000-0005-0000-0000-00002C180000}"/>
    <cellStyle name="_MARION W10234702 21-11-08 (2)_CONCENTRATED QUOTE WLP401_ESTC1CLY0013 2" xfId="5983" xr:uid="{00000000-0005-0000-0000-00002D180000}"/>
    <cellStyle name="_MARION W10234702 21-11-08 (2)_CONCENTRATED QUOTE WLP401_ESTC1CLY0013 3" xfId="5984" xr:uid="{00000000-0005-0000-0000-00002E180000}"/>
    <cellStyle name="_MARION W10234702 21-11-08 (2)_CONCENTRATED QUOTE WLP401_ESTC1CLY0013 4" xfId="5985" xr:uid="{00000000-0005-0000-0000-00002F180000}"/>
    <cellStyle name="_MARION W10234702 21-11-08 (2)_CONCENTRATED QUOTE WLP401_ESTC1FIN018" xfId="5986" xr:uid="{00000000-0005-0000-0000-000030180000}"/>
    <cellStyle name="_MARION W10234702 21-11-08 (2)_CONCENTRATED QUOTE WLP401_Estimated Quote 050609 039" xfId="5987" xr:uid="{00000000-0005-0000-0000-000031180000}"/>
    <cellStyle name="_MARION W10234702 21-11-08 (2)_CONCENTRATED QUOTE WLP401_Estimated Quote 050609 039 2" xfId="5988" xr:uid="{00000000-0005-0000-0000-000032180000}"/>
    <cellStyle name="_MARION W10234702 21-11-08 (2)_CONCENTRATED QUOTE WLP401_Estimated Quote 050609 039 3" xfId="5989" xr:uid="{00000000-0005-0000-0000-000033180000}"/>
    <cellStyle name="_MARION W10234702 21-11-08 (2)_CONCENTRATED QUOTE WLP401_Estimated Quote 050609 039 4" xfId="5990" xr:uid="{00000000-0005-0000-0000-000034180000}"/>
    <cellStyle name="_MARION W10234702 21-11-08 (2)_CONCENTRATED QUOTE WLP401_Estimated Quote 050609 039 5" xfId="5991" xr:uid="{00000000-0005-0000-0000-000035180000}"/>
    <cellStyle name="_MARION W10234702 21-11-08 (2)_CONCENTRATED QUOTE WLP401_W01278760" xfId="5992" xr:uid="{00000000-0005-0000-0000-000036180000}"/>
    <cellStyle name="_MARION W10234702 21-11-08 (2)_CONCENTRATED QUOTE WLP401_W01278760 2" xfId="5993" xr:uid="{00000000-0005-0000-0000-000037180000}"/>
    <cellStyle name="_MARION W10234702 21-11-08 (2)_CONCENTRATED QUOTE WLP401_W01278760 3" xfId="5994" xr:uid="{00000000-0005-0000-0000-000038180000}"/>
    <cellStyle name="_MARION W10234702 21-11-08 (2)_CONCENTRATED QUOTE WLP401_W01278760 4" xfId="5995" xr:uid="{00000000-0005-0000-0000-000039180000}"/>
    <cellStyle name="_MARION W10234702 21-11-08 (2)_CONCENTRATED QUOTE WLP401_W01278760 5" xfId="5996" xr:uid="{00000000-0005-0000-0000-00003A180000}"/>
    <cellStyle name="_MARION W10234702 21-11-08 (2)_CONCENTRATED QUOTE WLP401_W10251442" xfId="5997" xr:uid="{00000000-0005-0000-0000-00003B180000}"/>
    <cellStyle name="_MARION W10234702 21-11-08 (2)_CONCENTRATED QUOTE WLP401_W10251443" xfId="5998" xr:uid="{00000000-0005-0000-0000-00003C180000}"/>
    <cellStyle name="_MARION W10234702 21-11-08 (2)_CONCENTRATED QUOTE WLP401_W10251444" xfId="5999" xr:uid="{00000000-0005-0000-0000-00003D180000}"/>
    <cellStyle name="_MARION W10234702 21-11-08 (2)_CONCENTRATED QUOTE WLP401_W10251766 D" xfId="6000" xr:uid="{00000000-0005-0000-0000-00003E180000}"/>
    <cellStyle name="_MARION W10234702 21-11-08 (2)_CONCENTRATED QUOTE WLP401_W10278758" xfId="6001" xr:uid="{00000000-0005-0000-0000-00003F180000}"/>
    <cellStyle name="_MARION W10234702 21-11-08 (2)_CONCENTRATED QUOTE WLP401_W10278758 2" xfId="6002" xr:uid="{00000000-0005-0000-0000-000040180000}"/>
    <cellStyle name="_MARION W10234702 21-11-08 (2)_CONCENTRATED QUOTE WLP401_W10278758 3" xfId="6003" xr:uid="{00000000-0005-0000-0000-000041180000}"/>
    <cellStyle name="_MARION W10234702 21-11-08 (2)_CONCENTRATED QUOTE WLP401_W10278758 4" xfId="6004" xr:uid="{00000000-0005-0000-0000-000042180000}"/>
    <cellStyle name="_MARION W10234702 21-11-08 (2)_CONCENTRATED QUOTE WLP401_W10278758 5" xfId="6005" xr:uid="{00000000-0005-0000-0000-000043180000}"/>
    <cellStyle name="_MARION W10234702 21-11-08 (2)_CONCENTRATED QUOTE WLP401_W10278759" xfId="6006" xr:uid="{00000000-0005-0000-0000-000044180000}"/>
    <cellStyle name="_MARION W10234702 21-11-08 (2)_CONCENTRATED QUOTE WLP401_W10279106 y W10279107 de MR a 56i" xfId="6007" xr:uid="{00000000-0005-0000-0000-000045180000}"/>
    <cellStyle name="_MARION W10234702 21-11-08 (2)_CONCENTRATED QUOTE WLP401_W10290772" xfId="6008" xr:uid="{00000000-0005-0000-0000-000046180000}"/>
    <cellStyle name="_MARION W10234702 21-11-08 (2)_CONCENTRATED QUOTE WLP401_W10290772 2" xfId="6009" xr:uid="{00000000-0005-0000-0000-000047180000}"/>
    <cellStyle name="_MARION W10234702 21-11-08 (2)_CONCENTRATED QUOTE WLP401_W10290772 3" xfId="6010" xr:uid="{00000000-0005-0000-0000-000048180000}"/>
    <cellStyle name="_MARION W10234702 21-11-08 (2)_CONCENTRATED QUOTE WLP401_W10290772 4" xfId="6011" xr:uid="{00000000-0005-0000-0000-000049180000}"/>
    <cellStyle name="_MARION W10234702 21-11-08 (2)_CONCENTRATED QUOTE WLP401_W10290772 5" xfId="6012" xr:uid="{00000000-0005-0000-0000-00004A180000}"/>
    <cellStyle name="_MARION W10234702 21-11-08 (2)_CONCENTRATED QUOTE WLP401_W10290774" xfId="6013" xr:uid="{00000000-0005-0000-0000-00004B180000}"/>
    <cellStyle name="_MARION W10234702 21-11-08 (2)_CONCENTRATED QUOTE WLP401_W10290774 2" xfId="6014" xr:uid="{00000000-0005-0000-0000-00004C180000}"/>
    <cellStyle name="_MARION W10234702 21-11-08 (2)_CONCENTRATED QUOTE WLP401_W10290774 3" xfId="6015" xr:uid="{00000000-0005-0000-0000-00004D180000}"/>
    <cellStyle name="_MARION W10234702 21-11-08 (2)_CONCENTRATED QUOTE WLP401_W10290774 4" xfId="6016" xr:uid="{00000000-0005-0000-0000-00004E180000}"/>
    <cellStyle name="_MARION W10234702 21-11-08 (2)_CONCENTRATED QUOTE WLP401_W10290774 5" xfId="6017" xr:uid="{00000000-0005-0000-0000-00004F180000}"/>
    <cellStyle name="_MARION W10234702 21-11-08 (2)_CONCENTRATED QUOTE WLP401_W10300883" xfId="6018" xr:uid="{00000000-0005-0000-0000-000050180000}"/>
    <cellStyle name="_MARION W10234702 21-11-08 (2)_CONCENTRATED QUOTE WLP401_W10300883 2" xfId="6019" xr:uid="{00000000-0005-0000-0000-000051180000}"/>
    <cellStyle name="_MARION W10234702 21-11-08 (2)_CONCENTRATED QUOTE WLP401_W10300883 3" xfId="6020" xr:uid="{00000000-0005-0000-0000-000052180000}"/>
    <cellStyle name="_MARION W10234702 21-11-08 (2)_CONCENTRATED QUOTE WLP401_W10300883 4" xfId="6021" xr:uid="{00000000-0005-0000-0000-000053180000}"/>
    <cellStyle name="_MARION W10234702 21-11-08 (2)_CONCENTRATED QUOTE WLP401_W10300883 5" xfId="6022" xr:uid="{00000000-0005-0000-0000-000054180000}"/>
    <cellStyle name="_MARION W10234702 21-11-08 (2)_CONCENTRATED QUOTE WLP401_W10315922 A" xfId="6023" xr:uid="{00000000-0005-0000-0000-000055180000}"/>
    <cellStyle name="_MARION W10234702 21-11-08 (2)_CONCENTRATED QUOTE WLP401_WPFINDLAY-0037" xfId="6024" xr:uid="{00000000-0005-0000-0000-000056180000}"/>
    <cellStyle name="_MARION W10234702 21-11-08 (2)_CONCENTRATED QUOTE WLP401_WPN145 3954933" xfId="6025" xr:uid="{00000000-0005-0000-0000-000057180000}"/>
    <cellStyle name="_MARION W10234702 21-11-08 (2)_CONCENTRATED QUOTE WLP401_WPN145 3954933 2" xfId="6026" xr:uid="{00000000-0005-0000-0000-000058180000}"/>
    <cellStyle name="_MARION W10234702 21-11-08 (2)_CONCENTRATED QUOTE WLP401_WPN145 3954933 3" xfId="6027" xr:uid="{00000000-0005-0000-0000-000059180000}"/>
    <cellStyle name="_MARION W10234702 21-11-08 (2)_CONCENTRATED QUOTE WLP401_WPN145 3954933 4" xfId="6028" xr:uid="{00000000-0005-0000-0000-00005A180000}"/>
    <cellStyle name="_MARION W10234702 21-11-08 (2)_CONCENTRATED QUOTE WLP401_WPN145 3954933 5" xfId="6029" xr:uid="{00000000-0005-0000-0000-00005B180000}"/>
    <cellStyle name="_MARION W10234702 21-11-08 (2)_CONCENTRATED QUOTE WLP401_WPN163 8576530" xfId="6030" xr:uid="{00000000-0005-0000-0000-00005C180000}"/>
    <cellStyle name="_MARION W10234702 21-11-08 (2)_CONCENTRATED QUOTE WLP401_WPN163 8576530 2" xfId="6031" xr:uid="{00000000-0005-0000-0000-00005D180000}"/>
    <cellStyle name="_MARION W10234702 21-11-08 (2)_CONCENTRATED QUOTE WLP401_WPN163 8576530 3" xfId="6032" xr:uid="{00000000-0005-0000-0000-00005E180000}"/>
    <cellStyle name="_MARION W10234702 21-11-08 (2)_CONCENTRATED QUOTE WLP401_WPN163 8576530 4" xfId="6033" xr:uid="{00000000-0005-0000-0000-00005F180000}"/>
    <cellStyle name="_MARION W10234702 21-11-08 (2)_CONCENTRATED QUOTE WLP401_xCONCENTRATED QUOTE 2" xfId="6034" xr:uid="{00000000-0005-0000-0000-000060180000}"/>
    <cellStyle name="_MARION W10234702 21-11-08 (2)_CONCENTRATED QUOTE WLP401_xCONCENTRATED QUOTE 2 2" xfId="6035" xr:uid="{00000000-0005-0000-0000-000061180000}"/>
    <cellStyle name="_MARION W10234702 21-11-08 (2)_CONCENTRATED QUOTE WLP401_xCONCENTRATED QUOTE 2 3" xfId="6036" xr:uid="{00000000-0005-0000-0000-000062180000}"/>
    <cellStyle name="_MARION W10234702 21-11-08 (2)_CONCENTRATED QUOTE WLP401_xCONCENTRATED QUOTE 2 4" xfId="6037" xr:uid="{00000000-0005-0000-0000-000063180000}"/>
    <cellStyle name="_MARION W10234702 21-11-08 (2)_CONCENTRATED QUOTE WLP401_xCONCENTRATED QUOTE 2 5" xfId="6038" xr:uid="{00000000-0005-0000-0000-000064180000}"/>
    <cellStyle name="_MARION W10234702 21-11-08 (2)_CONCENTRATED QUOTE WLP401_xCONCENTRATED QUOTE 3" xfId="6039" xr:uid="{00000000-0005-0000-0000-000065180000}"/>
    <cellStyle name="_MARION W10234702 21-11-08 (2)_CONCENTRATED QUOTE WLP401_xCONCENTRATED QUOTE 3 2" xfId="6040" xr:uid="{00000000-0005-0000-0000-000066180000}"/>
    <cellStyle name="_MARION W10234702 21-11-08 (2)_CONCENTRATED QUOTE WLP401_xCONCENTRATED QUOTE 3 3" xfId="6041" xr:uid="{00000000-0005-0000-0000-000067180000}"/>
    <cellStyle name="_MARION W10234702 21-11-08 (2)_CONCENTRATED QUOTE WLP401_xCONCENTRATED QUOTE 3 4" xfId="6042" xr:uid="{00000000-0005-0000-0000-000068180000}"/>
    <cellStyle name="_MARION W10234702 21-11-08 (2)_CONCENTRATED QUOTE WLP401_xCONCENTRATED QUOTE 3 5" xfId="6043" xr:uid="{00000000-0005-0000-0000-000069180000}"/>
    <cellStyle name="_MARION W10234702 21-11-08 (2)_CONCENTRATED QUOTE WLP401_Xl0000004" xfId="6044" xr:uid="{00000000-0005-0000-0000-00006A180000}"/>
    <cellStyle name="_MARION W10234702 21-11-08 (2)_CONCENTRATED QUOTE WLP401_Xl0000004 2" xfId="6045" xr:uid="{00000000-0005-0000-0000-00006B180000}"/>
    <cellStyle name="_MARION W10234702 21-11-08 (2)_CONCENTRATED QUOTE WLP401_Xl0000004 3" xfId="6046" xr:uid="{00000000-0005-0000-0000-00006C180000}"/>
    <cellStyle name="_MARION W10234702 21-11-08 (2)_CONCENTRATED QUOTE WLP401_Xl0000004 4" xfId="6047" xr:uid="{00000000-0005-0000-0000-00006D180000}"/>
    <cellStyle name="_MARION W10234702 21-11-08 (2)_CONCENTRATED QUOTE WLP401_Xl0000004 5" xfId="6048" xr:uid="{00000000-0005-0000-0000-00006E180000}"/>
    <cellStyle name="_MARION W10234702 21-11-08 (2)_CONCENTRATED QUOTE WLP403" xfId="6049" xr:uid="{00000000-0005-0000-0000-00006F180000}"/>
    <cellStyle name="_MARION W10234702 21-11-08 (2)_CONCENTRATED QUOTE WLP403 2" xfId="6050" xr:uid="{00000000-0005-0000-0000-000070180000}"/>
    <cellStyle name="_MARION W10234702 21-11-08 (2)_CONCENTRATED QUOTE WLP403 3" xfId="6051" xr:uid="{00000000-0005-0000-0000-000071180000}"/>
    <cellStyle name="_MARION W10234702 21-11-08 (2)_CONCENTRATED QUOTE WLP403 4" xfId="6052" xr:uid="{00000000-0005-0000-0000-000072180000}"/>
    <cellStyle name="_MARION W10234702 21-11-08 (2)_CONCENTRATED QUOTE WLP403_862-CH" xfId="6053" xr:uid="{00000000-0005-0000-0000-000073180000}"/>
    <cellStyle name="_MARION W10234702 21-11-08 (2)_CONCENTRATED QUOTE WLP403_CONCENTRATED QUOTE WLP417 OP 3" xfId="6054" xr:uid="{00000000-0005-0000-0000-000074180000}"/>
    <cellStyle name="_MARION W10234702 21-11-08 (2)_CONCENTRATED QUOTE WLP403_CONCENTRATED QUOTE WLP417 OP 3 2" xfId="6055" xr:uid="{00000000-0005-0000-0000-000075180000}"/>
    <cellStyle name="_MARION W10234702 21-11-08 (2)_CONCENTRATED QUOTE WLP403_CONCENTRATED QUOTE WLP417 OP 3 2 2" xfId="6056" xr:uid="{00000000-0005-0000-0000-000076180000}"/>
    <cellStyle name="_MARION W10234702 21-11-08 (2)_CONCENTRATED QUOTE WLP403_CONCENTRATED QUOTE WLP417 OP 3 2 3" xfId="6057" xr:uid="{00000000-0005-0000-0000-000077180000}"/>
    <cellStyle name="_MARION W10234702 21-11-08 (2)_CONCENTRATED QUOTE WLP403_CONCENTRATED QUOTE WLP417 OP 3 2 4" xfId="6058" xr:uid="{00000000-0005-0000-0000-000078180000}"/>
    <cellStyle name="_MARION W10234702 21-11-08 (2)_CONCENTRATED QUOTE WLP403_CONCENTRATED QUOTE WLP417 OP 3 3" xfId="6059" xr:uid="{00000000-0005-0000-0000-000079180000}"/>
    <cellStyle name="_MARION W10234702 21-11-08 (2)_CONCENTRATED QUOTE WLP403_CONCENTRATED QUOTE WLP417 OP 3_862-CH" xfId="6060" xr:uid="{00000000-0005-0000-0000-00007A180000}"/>
    <cellStyle name="_MARION W10234702 21-11-08 (2)_CONCENTRATED QUOTE WLP403_CONCENTRATED QUOTE WLP417 OP 3_W10251766 D" xfId="6061" xr:uid="{00000000-0005-0000-0000-00007B180000}"/>
    <cellStyle name="_MARION W10234702 21-11-08 (2)_CONCENTRATED QUOTE WLP403_CONCENTRATED QUOTE WLP417 OP 3_W10279106 y W10279107 de MR a 56i" xfId="6062" xr:uid="{00000000-0005-0000-0000-00007C180000}"/>
    <cellStyle name="_MARION W10234702 21-11-08 (2)_CONCENTRATED QUOTE WLP403_CONCENTRATED QUOTE WLP417 OP 3_W10315922 A" xfId="6063" xr:uid="{00000000-0005-0000-0000-00007D180000}"/>
    <cellStyle name="_MARION W10234702 21-11-08 (2)_CONCENTRATED QUOTE WLP403_CONCENTRATED QUOTE WLP417 OP 4" xfId="6064" xr:uid="{00000000-0005-0000-0000-00007E180000}"/>
    <cellStyle name="_MARION W10234702 21-11-08 (2)_CONCENTRATED QUOTE WLP403_CONCENTRATED QUOTE WLP417 OP 4 2" xfId="6065" xr:uid="{00000000-0005-0000-0000-00007F180000}"/>
    <cellStyle name="_MARION W10234702 21-11-08 (2)_CONCENTRATED QUOTE WLP403_CONCENTRATED QUOTE WLP417 OP 4 2 2" xfId="6066" xr:uid="{00000000-0005-0000-0000-000080180000}"/>
    <cellStyle name="_MARION W10234702 21-11-08 (2)_CONCENTRATED QUOTE WLP403_CONCENTRATED QUOTE WLP417 OP 4 2 3" xfId="6067" xr:uid="{00000000-0005-0000-0000-000081180000}"/>
    <cellStyle name="_MARION W10234702 21-11-08 (2)_CONCENTRATED QUOTE WLP403_CONCENTRATED QUOTE WLP417 OP 4 2 4" xfId="6068" xr:uid="{00000000-0005-0000-0000-000082180000}"/>
    <cellStyle name="_MARION W10234702 21-11-08 (2)_CONCENTRATED QUOTE WLP403_CONCENTRATED QUOTE WLP417 OP 4 3" xfId="6069" xr:uid="{00000000-0005-0000-0000-000083180000}"/>
    <cellStyle name="_MARION W10234702 21-11-08 (2)_CONCENTRATED QUOTE WLP403_CONCENTRATED QUOTE WLP417 OP 4_862-CH" xfId="6070" xr:uid="{00000000-0005-0000-0000-000084180000}"/>
    <cellStyle name="_MARION W10234702 21-11-08 (2)_CONCENTRATED QUOTE WLP403_CONCENTRATED QUOTE WLP417 OP 4_W10251766 D" xfId="6071" xr:uid="{00000000-0005-0000-0000-000085180000}"/>
    <cellStyle name="_MARION W10234702 21-11-08 (2)_CONCENTRATED QUOTE WLP403_CONCENTRATED QUOTE WLP417 OP 4_W10279106 y W10279107 de MR a 56i" xfId="6072" xr:uid="{00000000-0005-0000-0000-000086180000}"/>
    <cellStyle name="_MARION W10234702 21-11-08 (2)_CONCENTRATED QUOTE WLP403_CONCENTRATED QUOTE WLP417 OP 4_W10315922 A" xfId="6073" xr:uid="{00000000-0005-0000-0000-000087180000}"/>
    <cellStyle name="_MARION W10234702 21-11-08 (2)_CONCENTRATED QUOTE WLP403_CONCENTRATED QUOTE WLP417 OP 5" xfId="6074" xr:uid="{00000000-0005-0000-0000-000088180000}"/>
    <cellStyle name="_MARION W10234702 21-11-08 (2)_CONCENTRATED QUOTE WLP403_CONCENTRATED QUOTE WLP417 OP 5 2" xfId="6075" xr:uid="{00000000-0005-0000-0000-000089180000}"/>
    <cellStyle name="_MARION W10234702 21-11-08 (2)_CONCENTRATED QUOTE WLP403_CONCENTRATED QUOTE WLP417 OP 5 2 2" xfId="6076" xr:uid="{00000000-0005-0000-0000-00008A180000}"/>
    <cellStyle name="_MARION W10234702 21-11-08 (2)_CONCENTRATED QUOTE WLP403_CONCENTRATED QUOTE WLP417 OP 5 2 3" xfId="6077" xr:uid="{00000000-0005-0000-0000-00008B180000}"/>
    <cellStyle name="_MARION W10234702 21-11-08 (2)_CONCENTRATED QUOTE WLP403_CONCENTRATED QUOTE WLP417 OP 5 2 4" xfId="6078" xr:uid="{00000000-0005-0000-0000-00008C180000}"/>
    <cellStyle name="_MARION W10234702 21-11-08 (2)_CONCENTRATED QUOTE WLP403_CONCENTRATED QUOTE WLP417 OP 5 3" xfId="6079" xr:uid="{00000000-0005-0000-0000-00008D180000}"/>
    <cellStyle name="_MARION W10234702 21-11-08 (2)_CONCENTRATED QUOTE WLP403_CONCENTRATED QUOTE WLP417 OP 5_862-CH" xfId="6080" xr:uid="{00000000-0005-0000-0000-00008E180000}"/>
    <cellStyle name="_MARION W10234702 21-11-08 (2)_CONCENTRATED QUOTE WLP403_CONCENTRATED QUOTE WLP417 OP 5_W10251766 D" xfId="6081" xr:uid="{00000000-0005-0000-0000-00008F180000}"/>
    <cellStyle name="_MARION W10234702 21-11-08 (2)_CONCENTRATED QUOTE WLP403_CONCENTRATED QUOTE WLP417 OP 5_W10279106 y W10279107 de MR a 56i" xfId="6082" xr:uid="{00000000-0005-0000-0000-000090180000}"/>
    <cellStyle name="_MARION W10234702 21-11-08 (2)_CONCENTRATED QUOTE WLP403_CONCENTRATED QUOTE WLP417 OP 5_W10315922 A" xfId="6083" xr:uid="{00000000-0005-0000-0000-000091180000}"/>
    <cellStyle name="_MARION W10234702 21-11-08 (2)_CONCENTRATED QUOTE WLP403_CONCENTRATED QUOTE WLP417 OP 6" xfId="6084" xr:uid="{00000000-0005-0000-0000-000092180000}"/>
    <cellStyle name="_MARION W10234702 21-11-08 (2)_CONCENTRATED QUOTE WLP403_CONCENTRATED QUOTE WLP417 OP 6 2" xfId="6085" xr:uid="{00000000-0005-0000-0000-000093180000}"/>
    <cellStyle name="_MARION W10234702 21-11-08 (2)_CONCENTRATED QUOTE WLP403_CONCENTRATED QUOTE WLP417 OP 6 2 2" xfId="6086" xr:uid="{00000000-0005-0000-0000-000094180000}"/>
    <cellStyle name="_MARION W10234702 21-11-08 (2)_CONCENTRATED QUOTE WLP403_CONCENTRATED QUOTE WLP417 OP 6 2 3" xfId="6087" xr:uid="{00000000-0005-0000-0000-000095180000}"/>
    <cellStyle name="_MARION W10234702 21-11-08 (2)_CONCENTRATED QUOTE WLP403_CONCENTRATED QUOTE WLP417 OP 6 2 4" xfId="6088" xr:uid="{00000000-0005-0000-0000-000096180000}"/>
    <cellStyle name="_MARION W10234702 21-11-08 (2)_CONCENTRATED QUOTE WLP403_CONCENTRATED QUOTE WLP417 OP 6 3" xfId="6089" xr:uid="{00000000-0005-0000-0000-000097180000}"/>
    <cellStyle name="_MARION W10234702 21-11-08 (2)_CONCENTRATED QUOTE WLP403_CONCENTRATED QUOTE WLP417 OP 6_862-CH" xfId="6090" xr:uid="{00000000-0005-0000-0000-000098180000}"/>
    <cellStyle name="_MARION W10234702 21-11-08 (2)_CONCENTRATED QUOTE WLP403_CONCENTRATED QUOTE WLP417 OP 6_W10251766 D" xfId="6091" xr:uid="{00000000-0005-0000-0000-000099180000}"/>
    <cellStyle name="_MARION W10234702 21-11-08 (2)_CONCENTRATED QUOTE WLP403_CONCENTRATED QUOTE WLP417 OP 6_W10279106 y W10279107 de MR a 56i" xfId="6092" xr:uid="{00000000-0005-0000-0000-00009A180000}"/>
    <cellStyle name="_MARION W10234702 21-11-08 (2)_CONCENTRATED QUOTE WLP403_CONCENTRATED QUOTE WLP417 OP 6_W10315922 A" xfId="6093" xr:uid="{00000000-0005-0000-0000-00009B180000}"/>
    <cellStyle name="_MARION W10234702 21-11-08 (2)_CONCENTRATED QUOTE WLP403_Op 1 VMW Base Line Molex" xfId="6094" xr:uid="{00000000-0005-0000-0000-00009C180000}"/>
    <cellStyle name="_MARION W10234702 21-11-08 (2)_CONCENTRATED QUOTE WLP403_Op 1 VMW Base Line Molex 2" xfId="6095" xr:uid="{00000000-0005-0000-0000-00009D180000}"/>
    <cellStyle name="_MARION W10234702 21-11-08 (2)_CONCENTRATED QUOTE WLP403_Op 1 VMW Base Line Molex 2 2" xfId="6096" xr:uid="{00000000-0005-0000-0000-00009E180000}"/>
    <cellStyle name="_MARION W10234702 21-11-08 (2)_CONCENTRATED QUOTE WLP403_Op 1 VMW Base Line Molex 2 3" xfId="6097" xr:uid="{00000000-0005-0000-0000-00009F180000}"/>
    <cellStyle name="_MARION W10234702 21-11-08 (2)_CONCENTRATED QUOTE WLP403_Op 1 VMW Base Line Molex 2 4" xfId="6098" xr:uid="{00000000-0005-0000-0000-0000A0180000}"/>
    <cellStyle name="_MARION W10234702 21-11-08 (2)_CONCENTRATED QUOTE WLP403_Op 1 VMW Base Line Molex 3" xfId="6099" xr:uid="{00000000-0005-0000-0000-0000A1180000}"/>
    <cellStyle name="_MARION W10234702 21-11-08 (2)_CONCENTRATED QUOTE WLP403_Op 1 VMW Base Line Molex_862-CH" xfId="6100" xr:uid="{00000000-0005-0000-0000-0000A2180000}"/>
    <cellStyle name="_MARION W10234702 21-11-08 (2)_CONCENTRATED QUOTE WLP403_Op 1 VMW Base Line Molex_W10251766 D" xfId="6101" xr:uid="{00000000-0005-0000-0000-0000A3180000}"/>
    <cellStyle name="_MARION W10234702 21-11-08 (2)_CONCENTRATED QUOTE WLP403_Op 1 VMW Base Line Molex_W10279106 y W10279107 de MR a 56i" xfId="6102" xr:uid="{00000000-0005-0000-0000-0000A4180000}"/>
    <cellStyle name="_MARION W10234702 21-11-08 (2)_CONCENTRATED QUOTE WLP403_Op 1 VMW Base Line Molex_W10315922 A" xfId="6103" xr:uid="{00000000-0005-0000-0000-0000A5180000}"/>
    <cellStyle name="_MARION W10234702 21-11-08 (2)_CONCENTRATED QUOTE WLP403_Op 8 VMW TYCO Splice Option" xfId="6104" xr:uid="{00000000-0005-0000-0000-0000A6180000}"/>
    <cellStyle name="_MARION W10234702 21-11-08 (2)_CONCENTRATED QUOTE WLP403_Op 8 VMW TYCO Splice Option - Per Conference 3-27-2009" xfId="6105" xr:uid="{00000000-0005-0000-0000-0000A7180000}"/>
    <cellStyle name="_MARION W10234702 21-11-08 (2)_CONCENTRATED QUOTE WLP403_Op 8 VMW TYCO Splice Option - Per Conference 3-27-2009 2" xfId="6106" xr:uid="{00000000-0005-0000-0000-0000A8180000}"/>
    <cellStyle name="_MARION W10234702 21-11-08 (2)_CONCENTRATED QUOTE WLP403_Op 8 VMW TYCO Splice Option - Per Conference 3-27-2009 2 2" xfId="6107" xr:uid="{00000000-0005-0000-0000-0000A9180000}"/>
    <cellStyle name="_MARION W10234702 21-11-08 (2)_CONCENTRATED QUOTE WLP403_Op 8 VMW TYCO Splice Option - Per Conference 3-27-2009 2 3" xfId="6108" xr:uid="{00000000-0005-0000-0000-0000AA180000}"/>
    <cellStyle name="_MARION W10234702 21-11-08 (2)_CONCENTRATED QUOTE WLP403_Op 8 VMW TYCO Splice Option - Per Conference 3-27-2009 2 4" xfId="6109" xr:uid="{00000000-0005-0000-0000-0000AB180000}"/>
    <cellStyle name="_MARION W10234702 21-11-08 (2)_CONCENTRATED QUOTE WLP403_Op 8 VMW TYCO Splice Option - Per Conference 3-27-2009 3" xfId="6110" xr:uid="{00000000-0005-0000-0000-0000AC180000}"/>
    <cellStyle name="_MARION W10234702 21-11-08 (2)_CONCENTRATED QUOTE WLP403_Op 8 VMW TYCO Splice Option - Per Conference 3-27-2009_862-CH" xfId="6111" xr:uid="{00000000-0005-0000-0000-0000AD180000}"/>
    <cellStyle name="_MARION W10234702 21-11-08 (2)_CONCENTRATED QUOTE WLP403_Op 8 VMW TYCO Splice Option - Per Conference 3-27-2009_W10251766 D" xfId="6112" xr:uid="{00000000-0005-0000-0000-0000AE180000}"/>
    <cellStyle name="_MARION W10234702 21-11-08 (2)_CONCENTRATED QUOTE WLP403_Op 8 VMW TYCO Splice Option - Per Conference 3-27-2009_W10279106 y W10279107 de MR a 56i" xfId="6113" xr:uid="{00000000-0005-0000-0000-0000AF180000}"/>
    <cellStyle name="_MARION W10234702 21-11-08 (2)_CONCENTRATED QUOTE WLP403_Op 8 VMW TYCO Splice Option - Per Conference 3-27-2009_W10315922 A" xfId="6114" xr:uid="{00000000-0005-0000-0000-0000B0180000}"/>
    <cellStyle name="_MARION W10234702 21-11-08 (2)_CONCENTRATED QUOTE WLP403_Op 8 VMW TYCO Splice Option 10" xfId="6115" xr:uid="{00000000-0005-0000-0000-0000B1180000}"/>
    <cellStyle name="_MARION W10234702 21-11-08 (2)_CONCENTRATED QUOTE WLP403_Op 8 VMW TYCO Splice Option 11" xfId="6116" xr:uid="{00000000-0005-0000-0000-0000B2180000}"/>
    <cellStyle name="_MARION W10234702 21-11-08 (2)_CONCENTRATED QUOTE WLP403_Op 8 VMW TYCO Splice Option 12" xfId="6117" xr:uid="{00000000-0005-0000-0000-0000B3180000}"/>
    <cellStyle name="_MARION W10234702 21-11-08 (2)_CONCENTRATED QUOTE WLP403_Op 8 VMW TYCO Splice Option 13" xfId="6118" xr:uid="{00000000-0005-0000-0000-0000B4180000}"/>
    <cellStyle name="_MARION W10234702 21-11-08 (2)_CONCENTRATED QUOTE WLP403_Op 8 VMW TYCO Splice Option 2" xfId="6119" xr:uid="{00000000-0005-0000-0000-0000B5180000}"/>
    <cellStyle name="_MARION W10234702 21-11-08 (2)_CONCENTRATED QUOTE WLP403_Op 8 VMW TYCO Splice Option 2 2" xfId="6120" xr:uid="{00000000-0005-0000-0000-0000B6180000}"/>
    <cellStyle name="_MARION W10234702 21-11-08 (2)_CONCENTRATED QUOTE WLP403_Op 8 VMW TYCO Splice Option 2 3" xfId="6121" xr:uid="{00000000-0005-0000-0000-0000B7180000}"/>
    <cellStyle name="_MARION W10234702 21-11-08 (2)_CONCENTRATED QUOTE WLP403_Op 8 VMW TYCO Splice Option 2 4" xfId="6122" xr:uid="{00000000-0005-0000-0000-0000B8180000}"/>
    <cellStyle name="_MARION W10234702 21-11-08 (2)_CONCENTRATED QUOTE WLP403_Op 8 VMW TYCO Splice Option 3" xfId="6123" xr:uid="{00000000-0005-0000-0000-0000B9180000}"/>
    <cellStyle name="_MARION W10234702 21-11-08 (2)_CONCENTRATED QUOTE WLP403_Op 8 VMW TYCO Splice Option 4" xfId="6124" xr:uid="{00000000-0005-0000-0000-0000BA180000}"/>
    <cellStyle name="_MARION W10234702 21-11-08 (2)_CONCENTRATED QUOTE WLP403_Op 8 VMW TYCO Splice Option 5" xfId="6125" xr:uid="{00000000-0005-0000-0000-0000BB180000}"/>
    <cellStyle name="_MARION W10234702 21-11-08 (2)_CONCENTRATED QUOTE WLP403_Op 8 VMW TYCO Splice Option 6" xfId="6126" xr:uid="{00000000-0005-0000-0000-0000BC180000}"/>
    <cellStyle name="_MARION W10234702 21-11-08 (2)_CONCENTRATED QUOTE WLP403_Op 8 VMW TYCO Splice Option 7" xfId="6127" xr:uid="{00000000-0005-0000-0000-0000BD180000}"/>
    <cellStyle name="_MARION W10234702 21-11-08 (2)_CONCENTRATED QUOTE WLP403_Op 8 VMW TYCO Splice Option 8" xfId="6128" xr:uid="{00000000-0005-0000-0000-0000BE180000}"/>
    <cellStyle name="_MARION W10234702 21-11-08 (2)_CONCENTRATED QUOTE WLP403_Op 8 VMW TYCO Splice Option 9" xfId="6129" xr:uid="{00000000-0005-0000-0000-0000BF180000}"/>
    <cellStyle name="_MARION W10234702 21-11-08 (2)_CONCENTRATED QUOTE WLP403_Op 8 VMW TYCO Splice Option_862-CH" xfId="6130" xr:uid="{00000000-0005-0000-0000-0000C0180000}"/>
    <cellStyle name="_MARION W10234702 21-11-08 (2)_CONCENTRATED QUOTE WLP403_Op 8 VMW TYCO Splice Option_W10251766 D" xfId="6131" xr:uid="{00000000-0005-0000-0000-0000C1180000}"/>
    <cellStyle name="_MARION W10234702 21-11-08 (2)_CONCENTRATED QUOTE WLP403_Op 8 VMW TYCO Splice Option_W10279106 y W10279107 de MR a 56i" xfId="6132" xr:uid="{00000000-0005-0000-0000-0000C2180000}"/>
    <cellStyle name="_MARION W10234702 21-11-08 (2)_CONCENTRATED QUOTE WLP403_Op 8 VMW TYCO Splice Option_W10315922 A" xfId="6133" xr:uid="{00000000-0005-0000-0000-0000C3180000}"/>
    <cellStyle name="_MARION W10234702 21-11-08 (2)_CONCENTRATED QUOTE WLP403_W10251766 D" xfId="6134" xr:uid="{00000000-0005-0000-0000-0000C4180000}"/>
    <cellStyle name="_MARION W10234702 21-11-08 (2)_CONCENTRATED QUOTE WLP403_W10279106 y W10279107 de MR a 56i" xfId="6135" xr:uid="{00000000-0005-0000-0000-0000C5180000}"/>
    <cellStyle name="_MARION W10234702 21-11-08 (2)_CONCENTRATED QUOTE WLP403_W10315922 A" xfId="6136" xr:uid="{00000000-0005-0000-0000-0000C6180000}"/>
    <cellStyle name="_MARION W10234702 21-11-08 (2)_L1568 137097800 0986 A" xfId="6137" xr:uid="{00000000-0005-0000-0000-0000C7180000}"/>
    <cellStyle name="_MARION W10234702 21-11-08 (2)_L1568 137097800 0986 A 2" xfId="6138" xr:uid="{00000000-0005-0000-0000-0000C8180000}"/>
    <cellStyle name="_MARION W10234702 21-11-08 (2)_L1568 137097800 0986 A 3" xfId="6139" xr:uid="{00000000-0005-0000-0000-0000C9180000}"/>
    <cellStyle name="_MARION W10234702 21-11-08 (2)_L1568 137097800 0986 A 4" xfId="6140" xr:uid="{00000000-0005-0000-0000-0000CA180000}"/>
    <cellStyle name="_MARION W10234702 21-11-08 (2)_L1568 137097800 0986 A 5" xfId="6141" xr:uid="{00000000-0005-0000-0000-0000CB180000}"/>
    <cellStyle name="_MARION W10234702 21-11-08 (2)_W10251766 D" xfId="6142" xr:uid="{00000000-0005-0000-0000-0000CC180000}"/>
    <cellStyle name="_MARION W10234702 21-11-08 (2)_W10279106 y W10279107 de MR a 56i" xfId="6143" xr:uid="{00000000-0005-0000-0000-0000CD180000}"/>
    <cellStyle name="_MARION W10234702 21-11-08 (2)_W10315922 A" xfId="6144" xr:uid="{00000000-0005-0000-0000-0000CE180000}"/>
    <cellStyle name="_MARION W10234702 21-11-08 (2)_WLP FP Format1" xfId="6145" xr:uid="{00000000-0005-0000-0000-0000CF180000}"/>
    <cellStyle name="_MARION W10234702 21-11-08 (2)_WLP FP Format1 2" xfId="6146" xr:uid="{00000000-0005-0000-0000-0000D0180000}"/>
    <cellStyle name="_MARION W10234702 21-11-08 (2)_WLP FP Format1 3" xfId="24835" xr:uid="{00000000-0005-0000-0000-0000D1180000}"/>
    <cellStyle name="_MARION W10234702 21-11-08 (2)_WLP FP Format1_862-CH" xfId="6147" xr:uid="{00000000-0005-0000-0000-0000D2180000}"/>
    <cellStyle name="_MARION W10234702 21-11-08 (2)_WLP FP Format1_CONCENTRATED QUOTE WLP417 Dave approval2" xfId="6148" xr:uid="{00000000-0005-0000-0000-0000D3180000}"/>
    <cellStyle name="_MARION W10234702 21-11-08 (2)_WLP FP Format1_CONCENTRATED QUOTE WLP417 Dave approval2 2" xfId="6149" xr:uid="{00000000-0005-0000-0000-0000D4180000}"/>
    <cellStyle name="_MARION W10234702 21-11-08 (2)_WLP FP Format1_CONCENTRATED QUOTE WLP417 Dave approval2 3" xfId="6150" xr:uid="{00000000-0005-0000-0000-0000D5180000}"/>
    <cellStyle name="_MARION W10234702 21-11-08 (2)_WLP FP Format1_CONCENTRATED QUOTE WLP417 Dave approval2 4" xfId="6151" xr:uid="{00000000-0005-0000-0000-0000D6180000}"/>
    <cellStyle name="_MARION W10234702 21-11-08 (2)_WLP FP Format1_CONCENTRATED QUOTE WLP417 Dave approval2_862-CH" xfId="6152" xr:uid="{00000000-0005-0000-0000-0000D7180000}"/>
    <cellStyle name="_MARION W10234702 21-11-08 (2)_WLP FP Format1_CONCENTRATED QUOTE WLP417 Dave approval2_W10251766 D" xfId="6153" xr:uid="{00000000-0005-0000-0000-0000D8180000}"/>
    <cellStyle name="_MARION W10234702 21-11-08 (2)_WLP FP Format1_CONCENTRATED QUOTE WLP417 Dave approval2_W10279106 y W10279107 de MR a 56i" xfId="6154" xr:uid="{00000000-0005-0000-0000-0000D9180000}"/>
    <cellStyle name="_MARION W10234702 21-11-08 (2)_WLP FP Format1_CONCENTRATED QUOTE WLP417 Dave approval2_W10315922 A" xfId="6155" xr:uid="{00000000-0005-0000-0000-0000DA180000}"/>
    <cellStyle name="_MARION W10234702 21-11-08 (2)_WLP FP Format1_CONCENTRATED QUOTE WLP417 OP 3" xfId="6156" xr:uid="{00000000-0005-0000-0000-0000DB180000}"/>
    <cellStyle name="_MARION W10234702 21-11-08 (2)_WLP FP Format1_CONCENTRATED QUOTE WLP417 OP 3 2" xfId="6157" xr:uid="{00000000-0005-0000-0000-0000DC180000}"/>
    <cellStyle name="_MARION W10234702 21-11-08 (2)_WLP FP Format1_CONCENTRATED QUOTE WLP417 OP 3 2 2" xfId="6158" xr:uid="{00000000-0005-0000-0000-0000DD180000}"/>
    <cellStyle name="_MARION W10234702 21-11-08 (2)_WLP FP Format1_CONCENTRATED QUOTE WLP417 OP 3 2 3" xfId="6159" xr:uid="{00000000-0005-0000-0000-0000DE180000}"/>
    <cellStyle name="_MARION W10234702 21-11-08 (2)_WLP FP Format1_CONCENTRATED QUOTE WLP417 OP 3 2 4" xfId="6160" xr:uid="{00000000-0005-0000-0000-0000DF180000}"/>
    <cellStyle name="_MARION W10234702 21-11-08 (2)_WLP FP Format1_CONCENTRATED QUOTE WLP417 OP 3 3" xfId="6161" xr:uid="{00000000-0005-0000-0000-0000E0180000}"/>
    <cellStyle name="_MARION W10234702 21-11-08 (2)_WLP FP Format1_CONCENTRATED QUOTE WLP417 OP 3_862-CH" xfId="6162" xr:uid="{00000000-0005-0000-0000-0000E1180000}"/>
    <cellStyle name="_MARION W10234702 21-11-08 (2)_WLP FP Format1_CONCENTRATED QUOTE WLP417 OP 3_W10251766 D" xfId="6163" xr:uid="{00000000-0005-0000-0000-0000E2180000}"/>
    <cellStyle name="_MARION W10234702 21-11-08 (2)_WLP FP Format1_CONCENTRATED QUOTE WLP417 OP 3_W10279106 y W10279107 de MR a 56i" xfId="6164" xr:uid="{00000000-0005-0000-0000-0000E3180000}"/>
    <cellStyle name="_MARION W10234702 21-11-08 (2)_WLP FP Format1_CONCENTRATED QUOTE WLP417 OP 3_W10315922 A" xfId="6165" xr:uid="{00000000-0005-0000-0000-0000E4180000}"/>
    <cellStyle name="_MARION W10234702 21-11-08 (2)_WLP FP Format1_CONCENTRATED QUOTE WLP417 OP 4" xfId="6166" xr:uid="{00000000-0005-0000-0000-0000E5180000}"/>
    <cellStyle name="_MARION W10234702 21-11-08 (2)_WLP FP Format1_CONCENTRATED QUOTE WLP417 OP 4 2" xfId="6167" xr:uid="{00000000-0005-0000-0000-0000E6180000}"/>
    <cellStyle name="_MARION W10234702 21-11-08 (2)_WLP FP Format1_CONCENTRATED QUOTE WLP417 OP 4 2 2" xfId="6168" xr:uid="{00000000-0005-0000-0000-0000E7180000}"/>
    <cellStyle name="_MARION W10234702 21-11-08 (2)_WLP FP Format1_CONCENTRATED QUOTE WLP417 OP 4 2 3" xfId="6169" xr:uid="{00000000-0005-0000-0000-0000E8180000}"/>
    <cellStyle name="_MARION W10234702 21-11-08 (2)_WLP FP Format1_CONCENTRATED QUOTE WLP417 OP 4 2 4" xfId="6170" xr:uid="{00000000-0005-0000-0000-0000E9180000}"/>
    <cellStyle name="_MARION W10234702 21-11-08 (2)_WLP FP Format1_CONCENTRATED QUOTE WLP417 OP 4 3" xfId="6171" xr:uid="{00000000-0005-0000-0000-0000EA180000}"/>
    <cellStyle name="_MARION W10234702 21-11-08 (2)_WLP FP Format1_CONCENTRATED QUOTE WLP417 OP 4_862-CH" xfId="6172" xr:uid="{00000000-0005-0000-0000-0000EB180000}"/>
    <cellStyle name="_MARION W10234702 21-11-08 (2)_WLP FP Format1_CONCENTRATED QUOTE WLP417 OP 4_W10251766 D" xfId="6173" xr:uid="{00000000-0005-0000-0000-0000EC180000}"/>
    <cellStyle name="_MARION W10234702 21-11-08 (2)_WLP FP Format1_CONCENTRATED QUOTE WLP417 OP 4_W10279106 y W10279107 de MR a 56i" xfId="6174" xr:uid="{00000000-0005-0000-0000-0000ED180000}"/>
    <cellStyle name="_MARION W10234702 21-11-08 (2)_WLP FP Format1_CONCENTRATED QUOTE WLP417 OP 4_W10315922 A" xfId="6175" xr:uid="{00000000-0005-0000-0000-0000EE180000}"/>
    <cellStyle name="_MARION W10234702 21-11-08 (2)_WLP FP Format1_CONCENTRATED QUOTE WLP417 OP 5" xfId="6176" xr:uid="{00000000-0005-0000-0000-0000EF180000}"/>
    <cellStyle name="_MARION W10234702 21-11-08 (2)_WLP FP Format1_CONCENTRATED QUOTE WLP417 OP 5 2" xfId="6177" xr:uid="{00000000-0005-0000-0000-0000F0180000}"/>
    <cellStyle name="_MARION W10234702 21-11-08 (2)_WLP FP Format1_CONCENTRATED QUOTE WLP417 OP 5 2 2" xfId="6178" xr:uid="{00000000-0005-0000-0000-0000F1180000}"/>
    <cellStyle name="_MARION W10234702 21-11-08 (2)_WLP FP Format1_CONCENTRATED QUOTE WLP417 OP 5 2 3" xfId="6179" xr:uid="{00000000-0005-0000-0000-0000F2180000}"/>
    <cellStyle name="_MARION W10234702 21-11-08 (2)_WLP FP Format1_CONCENTRATED QUOTE WLP417 OP 5 2 4" xfId="6180" xr:uid="{00000000-0005-0000-0000-0000F3180000}"/>
    <cellStyle name="_MARION W10234702 21-11-08 (2)_WLP FP Format1_CONCENTRATED QUOTE WLP417 OP 5 3" xfId="6181" xr:uid="{00000000-0005-0000-0000-0000F4180000}"/>
    <cellStyle name="_MARION W10234702 21-11-08 (2)_WLP FP Format1_CONCENTRATED QUOTE WLP417 OP 5_862-CH" xfId="6182" xr:uid="{00000000-0005-0000-0000-0000F5180000}"/>
    <cellStyle name="_MARION W10234702 21-11-08 (2)_WLP FP Format1_CONCENTRATED QUOTE WLP417 OP 5_W10251766 D" xfId="6183" xr:uid="{00000000-0005-0000-0000-0000F6180000}"/>
    <cellStyle name="_MARION W10234702 21-11-08 (2)_WLP FP Format1_CONCENTRATED QUOTE WLP417 OP 5_W10279106 y W10279107 de MR a 56i" xfId="6184" xr:uid="{00000000-0005-0000-0000-0000F7180000}"/>
    <cellStyle name="_MARION W10234702 21-11-08 (2)_WLP FP Format1_CONCENTRATED QUOTE WLP417 OP 5_W10315922 A" xfId="6185" xr:uid="{00000000-0005-0000-0000-0000F8180000}"/>
    <cellStyle name="_MARION W10234702 21-11-08 (2)_WLP FP Format1_CONCENTRATED QUOTE WLP417 OP 6" xfId="6186" xr:uid="{00000000-0005-0000-0000-0000F9180000}"/>
    <cellStyle name="_MARION W10234702 21-11-08 (2)_WLP FP Format1_CONCENTRATED QUOTE WLP417 OP 6 2" xfId="6187" xr:uid="{00000000-0005-0000-0000-0000FA180000}"/>
    <cellStyle name="_MARION W10234702 21-11-08 (2)_WLP FP Format1_CONCENTRATED QUOTE WLP417 OP 6 2 2" xfId="6188" xr:uid="{00000000-0005-0000-0000-0000FB180000}"/>
    <cellStyle name="_MARION W10234702 21-11-08 (2)_WLP FP Format1_CONCENTRATED QUOTE WLP417 OP 6 2 3" xfId="6189" xr:uid="{00000000-0005-0000-0000-0000FC180000}"/>
    <cellStyle name="_MARION W10234702 21-11-08 (2)_WLP FP Format1_CONCENTRATED QUOTE WLP417 OP 6 2 4" xfId="6190" xr:uid="{00000000-0005-0000-0000-0000FD180000}"/>
    <cellStyle name="_MARION W10234702 21-11-08 (2)_WLP FP Format1_CONCENTRATED QUOTE WLP417 OP 6 3" xfId="6191" xr:uid="{00000000-0005-0000-0000-0000FE180000}"/>
    <cellStyle name="_MARION W10234702 21-11-08 (2)_WLP FP Format1_CONCENTRATED QUOTE WLP417 OP 6_862-CH" xfId="6192" xr:uid="{00000000-0005-0000-0000-0000FF180000}"/>
    <cellStyle name="_MARION W10234702 21-11-08 (2)_WLP FP Format1_CONCENTRATED QUOTE WLP417 OP 6_W10251766 D" xfId="6193" xr:uid="{00000000-0005-0000-0000-000000190000}"/>
    <cellStyle name="_MARION W10234702 21-11-08 (2)_WLP FP Format1_CONCENTRATED QUOTE WLP417 OP 6_W10279106 y W10279107 de MR a 56i" xfId="6194" xr:uid="{00000000-0005-0000-0000-000001190000}"/>
    <cellStyle name="_MARION W10234702 21-11-08 (2)_WLP FP Format1_CONCENTRATED QUOTE WLP417 OP 6_W10315922 A" xfId="6195" xr:uid="{00000000-0005-0000-0000-000002190000}"/>
    <cellStyle name="_MARION W10234702 21-11-08 (2)_WLP FP Format1_CONCENTRATED QUOTE WLP425 031309" xfId="6196" xr:uid="{00000000-0005-0000-0000-000003190000}"/>
    <cellStyle name="_MARION W10234702 21-11-08 (2)_WLP FP Format1_CONCENTRATED QUOTE WLP425 031309 2" xfId="6197" xr:uid="{00000000-0005-0000-0000-000004190000}"/>
    <cellStyle name="_MARION W10234702 21-11-08 (2)_WLP FP Format1_CONCENTRATED QUOTE WLP425 031309 3" xfId="6198" xr:uid="{00000000-0005-0000-0000-000005190000}"/>
    <cellStyle name="_MARION W10234702 21-11-08 (2)_WLP FP Format1_CONCENTRATED QUOTE WLP425 031309 4" xfId="6199" xr:uid="{00000000-0005-0000-0000-000006190000}"/>
    <cellStyle name="_MARION W10234702 21-11-08 (2)_WLP FP Format1_CONCENTRATED QUOTE WLP425 031309_862-CH" xfId="6200" xr:uid="{00000000-0005-0000-0000-000007190000}"/>
    <cellStyle name="_MARION W10234702 21-11-08 (2)_WLP FP Format1_CONCENTRATED QUOTE WLP425 031309_W10251766 D" xfId="6201" xr:uid="{00000000-0005-0000-0000-000008190000}"/>
    <cellStyle name="_MARION W10234702 21-11-08 (2)_WLP FP Format1_CONCENTRATED QUOTE WLP425 031309_W10279106 y W10279107 de MR a 56i" xfId="6202" xr:uid="{00000000-0005-0000-0000-000009190000}"/>
    <cellStyle name="_MARION W10234702 21-11-08 (2)_WLP FP Format1_CONCENTRATED QUOTE WLP425 031309_W10315922 A" xfId="6203" xr:uid="{00000000-0005-0000-0000-00000A190000}"/>
    <cellStyle name="_MARION W10234702 21-11-08 (2)_WLP FP Format1_CONCENTRATED QUOTE WLP459" xfId="6204" xr:uid="{00000000-0005-0000-0000-00000B190000}"/>
    <cellStyle name="_MARION W10234702 21-11-08 (2)_WLP FP Format1_CONCENTRATED QUOTE WLP459 042209" xfId="6205" xr:uid="{00000000-0005-0000-0000-00000C190000}"/>
    <cellStyle name="_MARION W10234702 21-11-08 (2)_WLP FP Format1_CONCENTRATED QUOTE WLP459 042209 2" xfId="6206" xr:uid="{00000000-0005-0000-0000-00000D190000}"/>
    <cellStyle name="_MARION W10234702 21-11-08 (2)_WLP FP Format1_CONCENTRATED QUOTE WLP459 042209 3" xfId="6207" xr:uid="{00000000-0005-0000-0000-00000E190000}"/>
    <cellStyle name="_MARION W10234702 21-11-08 (2)_WLP FP Format1_CONCENTRATED QUOTE WLP459 042209 4" xfId="6208" xr:uid="{00000000-0005-0000-0000-00000F190000}"/>
    <cellStyle name="_MARION W10234702 21-11-08 (2)_WLP FP Format1_CONCENTRATED QUOTE WLP459 042209_862-CH" xfId="6209" xr:uid="{00000000-0005-0000-0000-000010190000}"/>
    <cellStyle name="_MARION W10234702 21-11-08 (2)_WLP FP Format1_CONCENTRATED QUOTE WLP459 042209_W10251766 D" xfId="6210" xr:uid="{00000000-0005-0000-0000-000011190000}"/>
    <cellStyle name="_MARION W10234702 21-11-08 (2)_WLP FP Format1_CONCENTRATED QUOTE WLP459 042209_W10279106 y W10279107 de MR a 56i" xfId="6211" xr:uid="{00000000-0005-0000-0000-000012190000}"/>
    <cellStyle name="_MARION W10234702 21-11-08 (2)_WLP FP Format1_CONCENTRATED QUOTE WLP459 042209_W10315922 A" xfId="6212" xr:uid="{00000000-0005-0000-0000-000013190000}"/>
    <cellStyle name="_MARION W10234702 21-11-08 (2)_WLP FP Format1_CONCENTRATED QUOTE WLP459 2" xfId="6213" xr:uid="{00000000-0005-0000-0000-000014190000}"/>
    <cellStyle name="_MARION W10234702 21-11-08 (2)_WLP FP Format1_CONCENTRATED QUOTE WLP459 3" xfId="6214" xr:uid="{00000000-0005-0000-0000-000015190000}"/>
    <cellStyle name="_MARION W10234702 21-11-08 (2)_WLP FP Format1_CONCENTRATED QUOTE WLP459 4" xfId="6215" xr:uid="{00000000-0005-0000-0000-000016190000}"/>
    <cellStyle name="_MARION W10234702 21-11-08 (2)_WLP FP Format1_CONCENTRATED QUOTE WLP459_862-CH" xfId="6216" xr:uid="{00000000-0005-0000-0000-000017190000}"/>
    <cellStyle name="_MARION W10234702 21-11-08 (2)_WLP FP Format1_CONCENTRATED QUOTE WLP459_W10251766 D" xfId="6217" xr:uid="{00000000-0005-0000-0000-000018190000}"/>
    <cellStyle name="_MARION W10234702 21-11-08 (2)_WLP FP Format1_CONCENTRATED QUOTE WLP459_W10279106 y W10279107 de MR a 56i" xfId="6218" xr:uid="{00000000-0005-0000-0000-000019190000}"/>
    <cellStyle name="_MARION W10234702 21-11-08 (2)_WLP FP Format1_CONCENTRATED QUOTE WLP459_W10315922 A" xfId="6219" xr:uid="{00000000-0005-0000-0000-00001A190000}"/>
    <cellStyle name="_MARION W10234702 21-11-08 (2)_WLP FP Format1_CONCENTRATED QUOTE WLP463" xfId="6220" xr:uid="{00000000-0005-0000-0000-00001B190000}"/>
    <cellStyle name="_MARION W10234702 21-11-08 (2)_WLP FP Format1_CONCENTRATED QUOTE WLP463 2" xfId="6221" xr:uid="{00000000-0005-0000-0000-00001C190000}"/>
    <cellStyle name="_MARION W10234702 21-11-08 (2)_WLP FP Format1_CONCENTRATED QUOTE WLP463 3" xfId="6222" xr:uid="{00000000-0005-0000-0000-00001D190000}"/>
    <cellStyle name="_MARION W10234702 21-11-08 (2)_WLP FP Format1_CONCENTRATED QUOTE WLP463 4" xfId="6223" xr:uid="{00000000-0005-0000-0000-00001E190000}"/>
    <cellStyle name="_MARION W10234702 21-11-08 (2)_WLP FP Format1_CONCENTRATED QUOTE WLP463 MOLEX" xfId="6224" xr:uid="{00000000-0005-0000-0000-00001F190000}"/>
    <cellStyle name="_MARION W10234702 21-11-08 (2)_WLP FP Format1_CONCENTRATED QUOTE WLP463 MOLEX 2" xfId="6225" xr:uid="{00000000-0005-0000-0000-000020190000}"/>
    <cellStyle name="_MARION W10234702 21-11-08 (2)_WLP FP Format1_CONCENTRATED QUOTE WLP463 MOLEX 3" xfId="6226" xr:uid="{00000000-0005-0000-0000-000021190000}"/>
    <cellStyle name="_MARION W10234702 21-11-08 (2)_WLP FP Format1_CONCENTRATED QUOTE WLP463 MOLEX 4" xfId="6227" xr:uid="{00000000-0005-0000-0000-000022190000}"/>
    <cellStyle name="_MARION W10234702 21-11-08 (2)_WLP FP Format1_CONCENTRATED QUOTE WLP463 MOLEX 4-28" xfId="6228" xr:uid="{00000000-0005-0000-0000-000023190000}"/>
    <cellStyle name="_MARION W10234702 21-11-08 (2)_WLP FP Format1_CONCENTRATED QUOTE WLP463 MOLEX 4-28 (2)" xfId="6229" xr:uid="{00000000-0005-0000-0000-000024190000}"/>
    <cellStyle name="_MARION W10234702 21-11-08 (2)_WLP FP Format1_CONCENTRATED QUOTE WLP463 MOLEX 4-28 (2) 2" xfId="6230" xr:uid="{00000000-0005-0000-0000-000025190000}"/>
    <cellStyle name="_MARION W10234702 21-11-08 (2)_WLP FP Format1_CONCENTRATED QUOTE WLP463 MOLEX 4-28 (2) 2 2" xfId="6231" xr:uid="{00000000-0005-0000-0000-000026190000}"/>
    <cellStyle name="_MARION W10234702 21-11-08 (2)_WLP FP Format1_CONCENTRATED QUOTE WLP463 MOLEX 4-28 (2) 2 3" xfId="6232" xr:uid="{00000000-0005-0000-0000-000027190000}"/>
    <cellStyle name="_MARION W10234702 21-11-08 (2)_WLP FP Format1_CONCENTRATED QUOTE WLP463 MOLEX 4-28 (2) 2 4" xfId="6233" xr:uid="{00000000-0005-0000-0000-000028190000}"/>
    <cellStyle name="_MARION W10234702 21-11-08 (2)_WLP FP Format1_CONCENTRATED QUOTE WLP463 MOLEX 4-28 (2) 3" xfId="6234" xr:uid="{00000000-0005-0000-0000-000029190000}"/>
    <cellStyle name="_MARION W10234702 21-11-08 (2)_WLP FP Format1_CONCENTRATED QUOTE WLP463 MOLEX 4-28 (2)_862-CH" xfId="6235" xr:uid="{00000000-0005-0000-0000-00002A190000}"/>
    <cellStyle name="_MARION W10234702 21-11-08 (2)_WLP FP Format1_CONCENTRATED QUOTE WLP463 MOLEX 4-28 (2)_W10251766 D" xfId="6236" xr:uid="{00000000-0005-0000-0000-00002B190000}"/>
    <cellStyle name="_MARION W10234702 21-11-08 (2)_WLP FP Format1_CONCENTRATED QUOTE WLP463 MOLEX 4-28 (2)_W10279106 y W10279107 de MR a 56i" xfId="6237" xr:uid="{00000000-0005-0000-0000-00002C190000}"/>
    <cellStyle name="_MARION W10234702 21-11-08 (2)_WLP FP Format1_CONCENTRATED QUOTE WLP463 MOLEX 4-28 (2)_W10315922 A" xfId="6238" xr:uid="{00000000-0005-0000-0000-00002D190000}"/>
    <cellStyle name="_MARION W10234702 21-11-08 (2)_WLP FP Format1_CONCENTRATED QUOTE WLP463 MOLEX 4-28 10" xfId="6239" xr:uid="{00000000-0005-0000-0000-00002E190000}"/>
    <cellStyle name="_MARION W10234702 21-11-08 (2)_WLP FP Format1_CONCENTRATED QUOTE WLP463 MOLEX 4-28 11" xfId="6240" xr:uid="{00000000-0005-0000-0000-00002F190000}"/>
    <cellStyle name="_MARION W10234702 21-11-08 (2)_WLP FP Format1_CONCENTRATED QUOTE WLP463 MOLEX 4-28 12" xfId="6241" xr:uid="{00000000-0005-0000-0000-000030190000}"/>
    <cellStyle name="_MARION W10234702 21-11-08 (2)_WLP FP Format1_CONCENTRATED QUOTE WLP463 MOLEX 4-28 13" xfId="6242" xr:uid="{00000000-0005-0000-0000-000031190000}"/>
    <cellStyle name="_MARION W10234702 21-11-08 (2)_WLP FP Format1_CONCENTRATED QUOTE WLP463 MOLEX 4-28 2" xfId="6243" xr:uid="{00000000-0005-0000-0000-000032190000}"/>
    <cellStyle name="_MARION W10234702 21-11-08 (2)_WLP FP Format1_CONCENTRATED QUOTE WLP463 MOLEX 4-28 2 2" xfId="6244" xr:uid="{00000000-0005-0000-0000-000033190000}"/>
    <cellStyle name="_MARION W10234702 21-11-08 (2)_WLP FP Format1_CONCENTRATED QUOTE WLP463 MOLEX 4-28 2 3" xfId="6245" xr:uid="{00000000-0005-0000-0000-000034190000}"/>
    <cellStyle name="_MARION W10234702 21-11-08 (2)_WLP FP Format1_CONCENTRATED QUOTE WLP463 MOLEX 4-28 2 4" xfId="6246" xr:uid="{00000000-0005-0000-0000-000035190000}"/>
    <cellStyle name="_MARION W10234702 21-11-08 (2)_WLP FP Format1_CONCENTRATED QUOTE WLP463 MOLEX 4-28 3" xfId="6247" xr:uid="{00000000-0005-0000-0000-000036190000}"/>
    <cellStyle name="_MARION W10234702 21-11-08 (2)_WLP FP Format1_CONCENTRATED QUOTE WLP463 MOLEX 4-28 4" xfId="6248" xr:uid="{00000000-0005-0000-0000-000037190000}"/>
    <cellStyle name="_MARION W10234702 21-11-08 (2)_WLP FP Format1_CONCENTRATED QUOTE WLP463 MOLEX 4-28 5" xfId="6249" xr:uid="{00000000-0005-0000-0000-000038190000}"/>
    <cellStyle name="_MARION W10234702 21-11-08 (2)_WLP FP Format1_CONCENTRATED QUOTE WLP463 MOLEX 4-28 6" xfId="6250" xr:uid="{00000000-0005-0000-0000-000039190000}"/>
    <cellStyle name="_MARION W10234702 21-11-08 (2)_WLP FP Format1_CONCENTRATED QUOTE WLP463 MOLEX 4-28 7" xfId="6251" xr:uid="{00000000-0005-0000-0000-00003A190000}"/>
    <cellStyle name="_MARION W10234702 21-11-08 (2)_WLP FP Format1_CONCENTRATED QUOTE WLP463 MOLEX 4-28 8" xfId="6252" xr:uid="{00000000-0005-0000-0000-00003B190000}"/>
    <cellStyle name="_MARION W10234702 21-11-08 (2)_WLP FP Format1_CONCENTRATED QUOTE WLP463 MOLEX 4-28 9" xfId="6253" xr:uid="{00000000-0005-0000-0000-00003C190000}"/>
    <cellStyle name="_MARION W10234702 21-11-08 (2)_WLP FP Format1_CONCENTRATED QUOTE WLP463 MOLEX 4-28_862-CH" xfId="6254" xr:uid="{00000000-0005-0000-0000-00003D190000}"/>
    <cellStyle name="_MARION W10234702 21-11-08 (2)_WLP FP Format1_CONCENTRATED QUOTE WLP463 MOLEX 4-28_W10251766 D" xfId="6255" xr:uid="{00000000-0005-0000-0000-00003E190000}"/>
    <cellStyle name="_MARION W10234702 21-11-08 (2)_WLP FP Format1_CONCENTRATED QUOTE WLP463 MOLEX 4-28_W10279106 y W10279107 de MR a 56i" xfId="6256" xr:uid="{00000000-0005-0000-0000-00003F190000}"/>
    <cellStyle name="_MARION W10234702 21-11-08 (2)_WLP FP Format1_CONCENTRATED QUOTE WLP463 MOLEX 4-28_W10315922 A" xfId="6257" xr:uid="{00000000-0005-0000-0000-000040190000}"/>
    <cellStyle name="_MARION W10234702 21-11-08 (2)_WLP FP Format1_CONCENTRATED QUOTE WLP463 MOLEX_862-CH" xfId="6258" xr:uid="{00000000-0005-0000-0000-000041190000}"/>
    <cellStyle name="_MARION W10234702 21-11-08 (2)_WLP FP Format1_CONCENTRATED QUOTE WLP463 MOLEX_W10251766 D" xfId="6259" xr:uid="{00000000-0005-0000-0000-000042190000}"/>
    <cellStyle name="_MARION W10234702 21-11-08 (2)_WLP FP Format1_CONCENTRATED QUOTE WLP463 MOLEX_W10279106 y W10279107 de MR a 56i" xfId="6260" xr:uid="{00000000-0005-0000-0000-000043190000}"/>
    <cellStyle name="_MARION W10234702 21-11-08 (2)_WLP FP Format1_CONCENTRATED QUOTE WLP463 MOLEX_W10315922 A" xfId="6261" xr:uid="{00000000-0005-0000-0000-000044190000}"/>
    <cellStyle name="_MARION W10234702 21-11-08 (2)_WLP FP Format1_CONCENTRATED QUOTE WLP463 TYCO1" xfId="6262" xr:uid="{00000000-0005-0000-0000-000045190000}"/>
    <cellStyle name="_MARION W10234702 21-11-08 (2)_WLP FP Format1_CONCENTRATED QUOTE WLP463 TYCO1 2" xfId="6263" xr:uid="{00000000-0005-0000-0000-000046190000}"/>
    <cellStyle name="_MARION W10234702 21-11-08 (2)_WLP FP Format1_CONCENTRATED QUOTE WLP463 TYCO1 3" xfId="6264" xr:uid="{00000000-0005-0000-0000-000047190000}"/>
    <cellStyle name="_MARION W10234702 21-11-08 (2)_WLP FP Format1_CONCENTRATED QUOTE WLP463 TYCO1 4" xfId="6265" xr:uid="{00000000-0005-0000-0000-000048190000}"/>
    <cellStyle name="_MARION W10234702 21-11-08 (2)_WLP FP Format1_CONCENTRATED QUOTE WLP463 TYCO1_862-CH" xfId="6266" xr:uid="{00000000-0005-0000-0000-000049190000}"/>
    <cellStyle name="_MARION W10234702 21-11-08 (2)_WLP FP Format1_CONCENTRATED QUOTE WLP463 TYCO1_W10251766 D" xfId="6267" xr:uid="{00000000-0005-0000-0000-00004A190000}"/>
    <cellStyle name="_MARION W10234702 21-11-08 (2)_WLP FP Format1_CONCENTRATED QUOTE WLP463 TYCO1_W10279106 y W10279107 de MR a 56i" xfId="6268" xr:uid="{00000000-0005-0000-0000-00004B190000}"/>
    <cellStyle name="_MARION W10234702 21-11-08 (2)_WLP FP Format1_CONCENTRATED QUOTE WLP463 TYCO1_W10315922 A" xfId="6269" xr:uid="{00000000-0005-0000-0000-00004C190000}"/>
    <cellStyle name="_MARION W10234702 21-11-08 (2)_WLP FP Format1_CONCENTRATED QUOTE WLP463 TYCO3" xfId="6270" xr:uid="{00000000-0005-0000-0000-00004D190000}"/>
    <cellStyle name="_MARION W10234702 21-11-08 (2)_WLP FP Format1_CONCENTRATED QUOTE WLP463 TYCO3 2" xfId="6271" xr:uid="{00000000-0005-0000-0000-00004E190000}"/>
    <cellStyle name="_MARION W10234702 21-11-08 (2)_WLP FP Format1_CONCENTRATED QUOTE WLP463 TYCO3 3" xfId="6272" xr:uid="{00000000-0005-0000-0000-00004F190000}"/>
    <cellStyle name="_MARION W10234702 21-11-08 (2)_WLP FP Format1_CONCENTRATED QUOTE WLP463 TYCO3 4" xfId="6273" xr:uid="{00000000-0005-0000-0000-000050190000}"/>
    <cellStyle name="_MARION W10234702 21-11-08 (2)_WLP FP Format1_CONCENTRATED QUOTE WLP463 TYCO3_862-CH" xfId="6274" xr:uid="{00000000-0005-0000-0000-000051190000}"/>
    <cellStyle name="_MARION W10234702 21-11-08 (2)_WLP FP Format1_CONCENTRATED QUOTE WLP463 TYCO3_W10251766 D" xfId="6275" xr:uid="{00000000-0005-0000-0000-000052190000}"/>
    <cellStyle name="_MARION W10234702 21-11-08 (2)_WLP FP Format1_CONCENTRATED QUOTE WLP463 TYCO3_W10279106 y W10279107 de MR a 56i" xfId="6276" xr:uid="{00000000-0005-0000-0000-000053190000}"/>
    <cellStyle name="_MARION W10234702 21-11-08 (2)_WLP FP Format1_CONCENTRATED QUOTE WLP463 TYCO3_W10315922 A" xfId="6277" xr:uid="{00000000-0005-0000-0000-000054190000}"/>
    <cellStyle name="_MARION W10234702 21-11-08 (2)_WLP FP Format1_CONCENTRATED QUOTE WLP463_862-CH" xfId="6278" xr:uid="{00000000-0005-0000-0000-000055190000}"/>
    <cellStyle name="_MARION W10234702 21-11-08 (2)_WLP FP Format1_CONCENTRATED QUOTE WLP463_W10251766 D" xfId="6279" xr:uid="{00000000-0005-0000-0000-000056190000}"/>
    <cellStyle name="_MARION W10234702 21-11-08 (2)_WLP FP Format1_CONCENTRATED QUOTE WLP463_W10279106 y W10279107 de MR a 56i" xfId="6280" xr:uid="{00000000-0005-0000-0000-000057190000}"/>
    <cellStyle name="_MARION W10234702 21-11-08 (2)_WLP FP Format1_CONCENTRATED QUOTE WLP463_W10315922 A" xfId="6281" xr:uid="{00000000-0005-0000-0000-000058190000}"/>
    <cellStyle name="_MARION W10234702 21-11-08 (2)_WLP FP Format1_CONCENTRATED QUOTE WLP470 050709" xfId="6282" xr:uid="{00000000-0005-0000-0000-000059190000}"/>
    <cellStyle name="_MARION W10234702 21-11-08 (2)_WLP FP Format1_CONCENTRATED QUOTE WLP470 050709 2" xfId="6283" xr:uid="{00000000-0005-0000-0000-00005A190000}"/>
    <cellStyle name="_MARION W10234702 21-11-08 (2)_WLP FP Format1_CONCENTRATED QUOTE WLP470 050709 3" xfId="6284" xr:uid="{00000000-0005-0000-0000-00005B190000}"/>
    <cellStyle name="_MARION W10234702 21-11-08 (2)_WLP FP Format1_CONCENTRATED QUOTE WLP470 050709 4" xfId="6285" xr:uid="{00000000-0005-0000-0000-00005C190000}"/>
    <cellStyle name="_MARION W10234702 21-11-08 (2)_WLP FP Format1_CONCENTRATED QUOTE WLP481" xfId="6286" xr:uid="{00000000-0005-0000-0000-00005D190000}"/>
    <cellStyle name="_MARION W10234702 21-11-08 (2)_WLP FP Format1_CONCENTRATED QUOTE WLP481 2" xfId="6287" xr:uid="{00000000-0005-0000-0000-00005E190000}"/>
    <cellStyle name="_MARION W10234702 21-11-08 (2)_WLP FP Format1_CONCENTRATED QUOTE WLP481 3" xfId="6288" xr:uid="{00000000-0005-0000-0000-00005F190000}"/>
    <cellStyle name="_MARION W10234702 21-11-08 (2)_WLP FP Format1_CONCENTRATED QUOTE WLP481 4" xfId="6289" xr:uid="{00000000-0005-0000-0000-000060190000}"/>
    <cellStyle name="_MARION W10234702 21-11-08 (2)_WLP FP Format1_CONCENTRATED QUOTE WLP481_862-CH" xfId="6290" xr:uid="{00000000-0005-0000-0000-000061190000}"/>
    <cellStyle name="_MARION W10234702 21-11-08 (2)_WLP FP Format1_CONCENTRATED QUOTE WLP481_W10251766 D" xfId="6291" xr:uid="{00000000-0005-0000-0000-000062190000}"/>
    <cellStyle name="_MARION W10234702 21-11-08 (2)_WLP FP Format1_CONCENTRATED QUOTE WLP481_W10279106 y W10279107 de MR a 56i" xfId="6292" xr:uid="{00000000-0005-0000-0000-000063190000}"/>
    <cellStyle name="_MARION W10234702 21-11-08 (2)_WLP FP Format1_CONCENTRATED QUOTE WLP481_W10315922 A" xfId="6293" xr:uid="{00000000-0005-0000-0000-000064190000}"/>
    <cellStyle name="_MARION W10234702 21-11-08 (2)_WLP FP Format1_CONCENTRATED QUOTE WLP485" xfId="6294" xr:uid="{00000000-0005-0000-0000-000065190000}"/>
    <cellStyle name="_MARION W10234702 21-11-08 (2)_WLP FP Format1_CONCENTRATED QUOTE WLP485 2" xfId="6295" xr:uid="{00000000-0005-0000-0000-000066190000}"/>
    <cellStyle name="_MARION W10234702 21-11-08 (2)_WLP FP Format1_CONCENTRATED QUOTE WLP485 3" xfId="6296" xr:uid="{00000000-0005-0000-0000-000067190000}"/>
    <cellStyle name="_MARION W10234702 21-11-08 (2)_WLP FP Format1_CONCENTRATED QUOTE WLP485 4" xfId="6297" xr:uid="{00000000-0005-0000-0000-000068190000}"/>
    <cellStyle name="_MARION W10234702 21-11-08 (2)_WLP FP Format1_CONCENTRATED QUOTE WLP487" xfId="6298" xr:uid="{00000000-0005-0000-0000-000069190000}"/>
    <cellStyle name="_MARION W10234702 21-11-08 (2)_WLP FP Format1_CONCENTRATED QUOTE WLP487 060209" xfId="6299" xr:uid="{00000000-0005-0000-0000-00006A190000}"/>
    <cellStyle name="_MARION W10234702 21-11-08 (2)_WLP FP Format1_CONCENTRATED QUOTE WLP487 060209 2" xfId="6300" xr:uid="{00000000-0005-0000-0000-00006B190000}"/>
    <cellStyle name="_MARION W10234702 21-11-08 (2)_WLP FP Format1_CONCENTRATED QUOTE WLP487 060209 3" xfId="6301" xr:uid="{00000000-0005-0000-0000-00006C190000}"/>
    <cellStyle name="_MARION W10234702 21-11-08 (2)_WLP FP Format1_CONCENTRATED QUOTE WLP487 060209 4" xfId="6302" xr:uid="{00000000-0005-0000-0000-00006D190000}"/>
    <cellStyle name="_MARION W10234702 21-11-08 (2)_WLP FP Format1_CONCENTRATED QUOTE WLP487 2" xfId="6303" xr:uid="{00000000-0005-0000-0000-00006E190000}"/>
    <cellStyle name="_MARION W10234702 21-11-08 (2)_WLP FP Format1_CONCENTRATED QUOTE WLP487 3" xfId="6304" xr:uid="{00000000-0005-0000-0000-00006F190000}"/>
    <cellStyle name="_MARION W10234702 21-11-08 (2)_WLP FP Format1_CONCENTRATED QUOTE WLP487 4" xfId="6305" xr:uid="{00000000-0005-0000-0000-000070190000}"/>
    <cellStyle name="_MARION W10234702 21-11-08 (2)_WLP FP Format1_CONCENTRATED QUOTE WLP495" xfId="6306" xr:uid="{00000000-0005-0000-0000-000071190000}"/>
    <cellStyle name="_MARION W10234702 21-11-08 (2)_WLP FP Format1_CONCENTRATED QUOTE WLP495 2" xfId="6307" xr:uid="{00000000-0005-0000-0000-000072190000}"/>
    <cellStyle name="_MARION W10234702 21-11-08 (2)_WLP FP Format1_CONCENTRATED QUOTE WLP495 3" xfId="6308" xr:uid="{00000000-0005-0000-0000-000073190000}"/>
    <cellStyle name="_MARION W10234702 21-11-08 (2)_WLP FP Format1_CONCENTRATED QUOTE WLP495 4" xfId="6309" xr:uid="{00000000-0005-0000-0000-000074190000}"/>
    <cellStyle name="_MARION W10234702 21-11-08 (2)_WLP FP Format1_CONCENTRATED QUOTE WLP552" xfId="6310" xr:uid="{00000000-0005-0000-0000-000075190000}"/>
    <cellStyle name="_MARION W10234702 21-11-08 (2)_WLP FP Format1_CONCENTRATED QUOTE WLP552 2" xfId="6311" xr:uid="{00000000-0005-0000-0000-000076190000}"/>
    <cellStyle name="_MARION W10234702 21-11-08 (2)_WLP FP Format1_CONCENTRATED QUOTE WLP552 3" xfId="6312" xr:uid="{00000000-0005-0000-0000-000077190000}"/>
    <cellStyle name="_MARION W10234702 21-11-08 (2)_WLP FP Format1_CONCENTRATED QUOTE WLP552 4" xfId="6313" xr:uid="{00000000-0005-0000-0000-000078190000}"/>
    <cellStyle name="_MARION W10234702 21-11-08 (2)_WLP FP Format1_COST BKDN FOR REVIEW_W10252578_submitted 4_30_09 to Hector" xfId="6314" xr:uid="{00000000-0005-0000-0000-000079190000}"/>
    <cellStyle name="_MARION W10234702 21-11-08 (2)_WLP FP Format1_COST BKDN FOR REVIEW_W10252578_submitted 4_30_09 to Hector 2" xfId="6315" xr:uid="{00000000-0005-0000-0000-00007A190000}"/>
    <cellStyle name="_MARION W10234702 21-11-08 (2)_WLP FP Format1_COST BKDN FOR REVIEW_W10252578_submitted 4_30_09 to Hector 2 2" xfId="6316" xr:uid="{00000000-0005-0000-0000-00007B190000}"/>
    <cellStyle name="_MARION W10234702 21-11-08 (2)_WLP FP Format1_COST BKDN FOR REVIEW_W10252578_submitted 4_30_09 to Hector 2 3" xfId="6317" xr:uid="{00000000-0005-0000-0000-00007C190000}"/>
    <cellStyle name="_MARION W10234702 21-11-08 (2)_WLP FP Format1_COST BKDN FOR REVIEW_W10252578_submitted 4_30_09 to Hector 2 4" xfId="6318" xr:uid="{00000000-0005-0000-0000-00007D190000}"/>
    <cellStyle name="_MARION W10234702 21-11-08 (2)_WLP FP Format1_COST BKDN FOR REVIEW_W10252578_submitted 4_30_09 to Hector 3" xfId="6319" xr:uid="{00000000-0005-0000-0000-00007E190000}"/>
    <cellStyle name="_MARION W10234702 21-11-08 (2)_WLP FP Format1_COST BKDN FOR REVIEW_W10252578_submitted 4_30_09 to Hector_862-CH" xfId="6320" xr:uid="{00000000-0005-0000-0000-00007F190000}"/>
    <cellStyle name="_MARION W10234702 21-11-08 (2)_WLP FP Format1_COST BKDN FOR REVIEW_W10252578_submitted 4_30_09 to Hector_W10251766 D" xfId="6321" xr:uid="{00000000-0005-0000-0000-000080190000}"/>
    <cellStyle name="_MARION W10234702 21-11-08 (2)_WLP FP Format1_COST BKDN FOR REVIEW_W10252578_submitted 4_30_09 to Hector_W10279106 y W10279107 de MR a 56i" xfId="6322" xr:uid="{00000000-0005-0000-0000-000081190000}"/>
    <cellStyle name="_MARION W10234702 21-11-08 (2)_WLP FP Format1_COST BKDN FOR REVIEW_W10252578_submitted 4_30_09 to Hector_W10315922 A" xfId="6323" xr:uid="{00000000-0005-0000-0000-000082190000}"/>
    <cellStyle name="_MARION W10234702 21-11-08 (2)_WLP FP Format1_DEPRECIATION_OH RAST" xfId="6324" xr:uid="{00000000-0005-0000-0000-000083190000}"/>
    <cellStyle name="_MARION W10234702 21-11-08 (2)_WLP FP Format1_DEPRECIATION_OH RAST 2" xfId="6325" xr:uid="{00000000-0005-0000-0000-000084190000}"/>
    <cellStyle name="_MARION W10234702 21-11-08 (2)_WLP FP Format1_DEPRECIATION_OH RAST 2 2" xfId="6326" xr:uid="{00000000-0005-0000-0000-000085190000}"/>
    <cellStyle name="_MARION W10234702 21-11-08 (2)_WLP FP Format1_DEPRECIATION_OH RAST 2 3" xfId="6327" xr:uid="{00000000-0005-0000-0000-000086190000}"/>
    <cellStyle name="_MARION W10234702 21-11-08 (2)_WLP FP Format1_DEPRECIATION_OH RAST 2 4" xfId="6328" xr:uid="{00000000-0005-0000-0000-000087190000}"/>
    <cellStyle name="_MARION W10234702 21-11-08 (2)_WLP FP Format1_DEPRECIATION_OH RAST 3" xfId="6329" xr:uid="{00000000-0005-0000-0000-000088190000}"/>
    <cellStyle name="_MARION W10234702 21-11-08 (2)_WLP FP Format1_DEPRECIATION_OH RAST_862-CH" xfId="6330" xr:uid="{00000000-0005-0000-0000-000089190000}"/>
    <cellStyle name="_MARION W10234702 21-11-08 (2)_WLP FP Format1_DEPRECIATION_OH RAST_W10251766 D" xfId="6331" xr:uid="{00000000-0005-0000-0000-00008A190000}"/>
    <cellStyle name="_MARION W10234702 21-11-08 (2)_WLP FP Format1_DEPRECIATION_OH RAST_W10279106 y W10279107 de MR a 56i" xfId="6332" xr:uid="{00000000-0005-0000-0000-00008B190000}"/>
    <cellStyle name="_MARION W10234702 21-11-08 (2)_WLP FP Format1_DEPRECIATION_OH RAST_W10315922 A" xfId="6333" xr:uid="{00000000-0005-0000-0000-00008C190000}"/>
    <cellStyle name="_MARION W10234702 21-11-08 (2)_WLP FP Format1_Op 1 VMW Base Line Molex" xfId="6334" xr:uid="{00000000-0005-0000-0000-00008D190000}"/>
    <cellStyle name="_MARION W10234702 21-11-08 (2)_WLP FP Format1_Op 1 VMW Base Line Molex 2" xfId="6335" xr:uid="{00000000-0005-0000-0000-00008E190000}"/>
    <cellStyle name="_MARION W10234702 21-11-08 (2)_WLP FP Format1_Op 1 VMW Base Line Molex 2 2" xfId="6336" xr:uid="{00000000-0005-0000-0000-00008F190000}"/>
    <cellStyle name="_MARION W10234702 21-11-08 (2)_WLP FP Format1_Op 1 VMW Base Line Molex 2 3" xfId="6337" xr:uid="{00000000-0005-0000-0000-000090190000}"/>
    <cellStyle name="_MARION W10234702 21-11-08 (2)_WLP FP Format1_Op 1 VMW Base Line Molex 2 4" xfId="6338" xr:uid="{00000000-0005-0000-0000-000091190000}"/>
    <cellStyle name="_MARION W10234702 21-11-08 (2)_WLP FP Format1_Op 1 VMW Base Line Molex 3" xfId="6339" xr:uid="{00000000-0005-0000-0000-000092190000}"/>
    <cellStyle name="_MARION W10234702 21-11-08 (2)_WLP FP Format1_Op 1 VMW Base Line Molex_862-CH" xfId="6340" xr:uid="{00000000-0005-0000-0000-000093190000}"/>
    <cellStyle name="_MARION W10234702 21-11-08 (2)_WLP FP Format1_Op 1 VMW Base Line Molex_W10251766 D" xfId="6341" xr:uid="{00000000-0005-0000-0000-000094190000}"/>
    <cellStyle name="_MARION W10234702 21-11-08 (2)_WLP FP Format1_Op 1 VMW Base Line Molex_W10279106 y W10279107 de MR a 56i" xfId="6342" xr:uid="{00000000-0005-0000-0000-000095190000}"/>
    <cellStyle name="_MARION W10234702 21-11-08 (2)_WLP FP Format1_Op 1 VMW Base Line Molex_W10315922 A" xfId="6343" xr:uid="{00000000-0005-0000-0000-000096190000}"/>
    <cellStyle name="_MARION W10234702 21-11-08 (2)_WLP FP Format1_Op 8 VMW TYCO Splice Option" xfId="6344" xr:uid="{00000000-0005-0000-0000-000097190000}"/>
    <cellStyle name="_MARION W10234702 21-11-08 (2)_WLP FP Format1_Op 8 VMW TYCO Splice Option - Per Conference 3-27-2009" xfId="6345" xr:uid="{00000000-0005-0000-0000-000098190000}"/>
    <cellStyle name="_MARION W10234702 21-11-08 (2)_WLP FP Format1_Op 8 VMW TYCO Splice Option - Per Conference 3-27-2009 2" xfId="6346" xr:uid="{00000000-0005-0000-0000-000099190000}"/>
    <cellStyle name="_MARION W10234702 21-11-08 (2)_WLP FP Format1_Op 8 VMW TYCO Splice Option - Per Conference 3-27-2009 2 2" xfId="6347" xr:uid="{00000000-0005-0000-0000-00009A190000}"/>
    <cellStyle name="_MARION W10234702 21-11-08 (2)_WLP FP Format1_Op 8 VMW TYCO Splice Option - Per Conference 3-27-2009 2 3" xfId="6348" xr:uid="{00000000-0005-0000-0000-00009B190000}"/>
    <cellStyle name="_MARION W10234702 21-11-08 (2)_WLP FP Format1_Op 8 VMW TYCO Splice Option - Per Conference 3-27-2009 2 4" xfId="6349" xr:uid="{00000000-0005-0000-0000-00009C190000}"/>
    <cellStyle name="_MARION W10234702 21-11-08 (2)_WLP FP Format1_Op 8 VMW TYCO Splice Option - Per Conference 3-27-2009 3" xfId="6350" xr:uid="{00000000-0005-0000-0000-00009D190000}"/>
    <cellStyle name="_MARION W10234702 21-11-08 (2)_WLP FP Format1_Op 8 VMW TYCO Splice Option - Per Conference 3-27-2009_862-CH" xfId="6351" xr:uid="{00000000-0005-0000-0000-00009E190000}"/>
    <cellStyle name="_MARION W10234702 21-11-08 (2)_WLP FP Format1_Op 8 VMW TYCO Splice Option - Per Conference 3-27-2009_W10251766 D" xfId="6352" xr:uid="{00000000-0005-0000-0000-00009F190000}"/>
    <cellStyle name="_MARION W10234702 21-11-08 (2)_WLP FP Format1_Op 8 VMW TYCO Splice Option - Per Conference 3-27-2009_W10279106 y W10279107 de MR a 56i" xfId="6353" xr:uid="{00000000-0005-0000-0000-0000A0190000}"/>
    <cellStyle name="_MARION W10234702 21-11-08 (2)_WLP FP Format1_Op 8 VMW TYCO Splice Option - Per Conference 3-27-2009_W10315922 A" xfId="6354" xr:uid="{00000000-0005-0000-0000-0000A1190000}"/>
    <cellStyle name="_MARION W10234702 21-11-08 (2)_WLP FP Format1_Op 8 VMW TYCO Splice Option 10" xfId="6355" xr:uid="{00000000-0005-0000-0000-0000A2190000}"/>
    <cellStyle name="_MARION W10234702 21-11-08 (2)_WLP FP Format1_Op 8 VMW TYCO Splice Option 11" xfId="6356" xr:uid="{00000000-0005-0000-0000-0000A3190000}"/>
    <cellStyle name="_MARION W10234702 21-11-08 (2)_WLP FP Format1_Op 8 VMW TYCO Splice Option 12" xfId="6357" xr:uid="{00000000-0005-0000-0000-0000A4190000}"/>
    <cellStyle name="_MARION W10234702 21-11-08 (2)_WLP FP Format1_Op 8 VMW TYCO Splice Option 13" xfId="6358" xr:uid="{00000000-0005-0000-0000-0000A5190000}"/>
    <cellStyle name="_MARION W10234702 21-11-08 (2)_WLP FP Format1_Op 8 VMW TYCO Splice Option 2" xfId="6359" xr:uid="{00000000-0005-0000-0000-0000A6190000}"/>
    <cellStyle name="_MARION W10234702 21-11-08 (2)_WLP FP Format1_Op 8 VMW TYCO Splice Option 2 2" xfId="6360" xr:uid="{00000000-0005-0000-0000-0000A7190000}"/>
    <cellStyle name="_MARION W10234702 21-11-08 (2)_WLP FP Format1_Op 8 VMW TYCO Splice Option 2 3" xfId="6361" xr:uid="{00000000-0005-0000-0000-0000A8190000}"/>
    <cellStyle name="_MARION W10234702 21-11-08 (2)_WLP FP Format1_Op 8 VMW TYCO Splice Option 2 4" xfId="6362" xr:uid="{00000000-0005-0000-0000-0000A9190000}"/>
    <cellStyle name="_MARION W10234702 21-11-08 (2)_WLP FP Format1_Op 8 VMW TYCO Splice Option 3" xfId="6363" xr:uid="{00000000-0005-0000-0000-0000AA190000}"/>
    <cellStyle name="_MARION W10234702 21-11-08 (2)_WLP FP Format1_Op 8 VMW TYCO Splice Option 4" xfId="6364" xr:uid="{00000000-0005-0000-0000-0000AB190000}"/>
    <cellStyle name="_MARION W10234702 21-11-08 (2)_WLP FP Format1_Op 8 VMW TYCO Splice Option 5" xfId="6365" xr:uid="{00000000-0005-0000-0000-0000AC190000}"/>
    <cellStyle name="_MARION W10234702 21-11-08 (2)_WLP FP Format1_Op 8 VMW TYCO Splice Option 6" xfId="6366" xr:uid="{00000000-0005-0000-0000-0000AD190000}"/>
    <cellStyle name="_MARION W10234702 21-11-08 (2)_WLP FP Format1_Op 8 VMW TYCO Splice Option 7" xfId="6367" xr:uid="{00000000-0005-0000-0000-0000AE190000}"/>
    <cellStyle name="_MARION W10234702 21-11-08 (2)_WLP FP Format1_Op 8 VMW TYCO Splice Option 8" xfId="6368" xr:uid="{00000000-0005-0000-0000-0000AF190000}"/>
    <cellStyle name="_MARION W10234702 21-11-08 (2)_WLP FP Format1_Op 8 VMW TYCO Splice Option 9" xfId="6369" xr:uid="{00000000-0005-0000-0000-0000B0190000}"/>
    <cellStyle name="_MARION W10234702 21-11-08 (2)_WLP FP Format1_Op 8 VMW TYCO Splice Option_862-CH" xfId="6370" xr:uid="{00000000-0005-0000-0000-0000B1190000}"/>
    <cellStyle name="_MARION W10234702 21-11-08 (2)_WLP FP Format1_Op 8 VMW TYCO Splice Option_W10251766 D" xfId="6371" xr:uid="{00000000-0005-0000-0000-0000B2190000}"/>
    <cellStyle name="_MARION W10234702 21-11-08 (2)_WLP FP Format1_Op 8 VMW TYCO Splice Option_W10279106 y W10279107 de MR a 56i" xfId="6372" xr:uid="{00000000-0005-0000-0000-0000B3190000}"/>
    <cellStyle name="_MARION W10234702 21-11-08 (2)_WLP FP Format1_Op 8 VMW TYCO Splice Option_W10315922 A" xfId="6373" xr:uid="{00000000-0005-0000-0000-0000B4190000}"/>
    <cellStyle name="_MARION W10234702 21-11-08 (2)_WLP FP Format1_VMW Latest version MOLEX 4-28" xfId="6374" xr:uid="{00000000-0005-0000-0000-0000B5190000}"/>
    <cellStyle name="_MARION W10234702 21-11-08 (2)_WLP FP Format1_VMW Latest version MOLEX 4-28 2" xfId="6375" xr:uid="{00000000-0005-0000-0000-0000B6190000}"/>
    <cellStyle name="_MARION W10234702 21-11-08 (2)_WLP FP Format1_VMW Latest version MOLEX 4-28 2 2" xfId="6376" xr:uid="{00000000-0005-0000-0000-0000B7190000}"/>
    <cellStyle name="_MARION W10234702 21-11-08 (2)_WLP FP Format1_VMW Latest version MOLEX 4-28 2 3" xfId="6377" xr:uid="{00000000-0005-0000-0000-0000B8190000}"/>
    <cellStyle name="_MARION W10234702 21-11-08 (2)_WLP FP Format1_VMW Latest version MOLEX 4-28 2 4" xfId="6378" xr:uid="{00000000-0005-0000-0000-0000B9190000}"/>
    <cellStyle name="_MARION W10234702 21-11-08 (2)_WLP FP Format1_VMW Latest version MOLEX 4-28 3" xfId="6379" xr:uid="{00000000-0005-0000-0000-0000BA190000}"/>
    <cellStyle name="_MARION W10234702 21-11-08 (2)_WLP FP Format1_VMW Latest version MOLEX 4-28 per conference" xfId="6380" xr:uid="{00000000-0005-0000-0000-0000BB190000}"/>
    <cellStyle name="_MARION W10234702 21-11-08 (2)_WLP FP Format1_VMW Latest version MOLEX 4-28 per conference 2" xfId="6381" xr:uid="{00000000-0005-0000-0000-0000BC190000}"/>
    <cellStyle name="_MARION W10234702 21-11-08 (2)_WLP FP Format1_VMW Latest version MOLEX 4-28 per conference 2 2" xfId="6382" xr:uid="{00000000-0005-0000-0000-0000BD190000}"/>
    <cellStyle name="_MARION W10234702 21-11-08 (2)_WLP FP Format1_VMW Latest version MOLEX 4-28 per conference 2 3" xfId="6383" xr:uid="{00000000-0005-0000-0000-0000BE190000}"/>
    <cellStyle name="_MARION W10234702 21-11-08 (2)_WLP FP Format1_VMW Latest version MOLEX 4-28 per conference 2 4" xfId="6384" xr:uid="{00000000-0005-0000-0000-0000BF190000}"/>
    <cellStyle name="_MARION W10234702 21-11-08 (2)_WLP FP Format1_VMW Latest version MOLEX 4-28 per conference 3" xfId="6385" xr:uid="{00000000-0005-0000-0000-0000C0190000}"/>
    <cellStyle name="_MARION W10234702 21-11-08 (2)_WLP FP Format1_VMW Latest version MOLEX 4-28 per conference revised" xfId="6386" xr:uid="{00000000-0005-0000-0000-0000C1190000}"/>
    <cellStyle name="_MARION W10234702 21-11-08 (2)_WLP FP Format1_VMW Latest version MOLEX 4-28 per conference revised 2" xfId="6387" xr:uid="{00000000-0005-0000-0000-0000C2190000}"/>
    <cellStyle name="_MARION W10234702 21-11-08 (2)_WLP FP Format1_VMW Latest version MOLEX 4-28 per conference revised 2 2" xfId="6388" xr:uid="{00000000-0005-0000-0000-0000C3190000}"/>
    <cellStyle name="_MARION W10234702 21-11-08 (2)_WLP FP Format1_VMW Latest version MOLEX 4-28 per conference revised 2 3" xfId="6389" xr:uid="{00000000-0005-0000-0000-0000C4190000}"/>
    <cellStyle name="_MARION W10234702 21-11-08 (2)_WLP FP Format1_VMW Latest version MOLEX 4-28 per conference revised 2 4" xfId="6390" xr:uid="{00000000-0005-0000-0000-0000C5190000}"/>
    <cellStyle name="_MARION W10234702 21-11-08 (2)_WLP FP Format1_VMW Latest version MOLEX 4-28 per conference revised 3" xfId="6391" xr:uid="{00000000-0005-0000-0000-0000C6190000}"/>
    <cellStyle name="_MARION W10234702 21-11-08 (2)_WLP FP Format1_VMW Latest version MOLEX 4-28 per conference revised_862-CH" xfId="6392" xr:uid="{00000000-0005-0000-0000-0000C7190000}"/>
    <cellStyle name="_MARION W10234702 21-11-08 (2)_WLP FP Format1_VMW Latest version MOLEX 4-28 per conference revised_W10251766 D" xfId="6393" xr:uid="{00000000-0005-0000-0000-0000C8190000}"/>
    <cellStyle name="_MARION W10234702 21-11-08 (2)_WLP FP Format1_VMW Latest version MOLEX 4-28 per conference revised_W10279106 y W10279107 de MR a 56i" xfId="6394" xr:uid="{00000000-0005-0000-0000-0000C9190000}"/>
    <cellStyle name="_MARION W10234702 21-11-08 (2)_WLP FP Format1_VMW Latest version MOLEX 4-28 per conference revised_W10315922 A" xfId="6395" xr:uid="{00000000-0005-0000-0000-0000CA190000}"/>
    <cellStyle name="_MARION W10234702 21-11-08 (2)_WLP FP Format1_VMW Latest version MOLEX 4-28 per conference_862-CH" xfId="6396" xr:uid="{00000000-0005-0000-0000-0000CB190000}"/>
    <cellStyle name="_MARION W10234702 21-11-08 (2)_WLP FP Format1_VMW Latest version MOLEX 4-28 per conference_W10251766 D" xfId="6397" xr:uid="{00000000-0005-0000-0000-0000CC190000}"/>
    <cellStyle name="_MARION W10234702 21-11-08 (2)_WLP FP Format1_VMW Latest version MOLEX 4-28 per conference_W10279106 y W10279107 de MR a 56i" xfId="6398" xr:uid="{00000000-0005-0000-0000-0000CD190000}"/>
    <cellStyle name="_MARION W10234702 21-11-08 (2)_WLP FP Format1_VMW Latest version MOLEX 4-28 per conference_W10315922 A" xfId="6399" xr:uid="{00000000-0005-0000-0000-0000CE190000}"/>
    <cellStyle name="_MARION W10234702 21-11-08 (2)_WLP FP Format1_VMW Latest version MOLEX 4-28_862-CH" xfId="6400" xr:uid="{00000000-0005-0000-0000-0000CF190000}"/>
    <cellStyle name="_MARION W10234702 21-11-08 (2)_WLP FP Format1_VMW Latest version MOLEX 4-28_W10251766 D" xfId="6401" xr:uid="{00000000-0005-0000-0000-0000D0190000}"/>
    <cellStyle name="_MARION W10234702 21-11-08 (2)_WLP FP Format1_VMW Latest version MOLEX 4-28_W10279106 y W10279107 de MR a 56i" xfId="6402" xr:uid="{00000000-0005-0000-0000-0000D1190000}"/>
    <cellStyle name="_MARION W10234702 21-11-08 (2)_WLP FP Format1_VMW Latest version MOLEX 4-28_W10315922 A" xfId="6403" xr:uid="{00000000-0005-0000-0000-0000D2190000}"/>
    <cellStyle name="_MARION W10234702 21-11-08 (2)_WLP FP Format1_VMW MOLEX BASELINE OPTION COST BREAKDOWN - 4_16_09_Detail_" xfId="6404" xr:uid="{00000000-0005-0000-0000-0000D3190000}"/>
    <cellStyle name="_MARION W10234702 21-11-08 (2)_WLP FP Format1_VMW MOLEX BASELINE OPTION COST BREAKDOWN - 4_16_09_Detail_ 2" xfId="6405" xr:uid="{00000000-0005-0000-0000-0000D4190000}"/>
    <cellStyle name="_MARION W10234702 21-11-08 (2)_WLP FP Format1_VMW MOLEX BASELINE OPTION COST BREAKDOWN - 4_16_09_Detail_ 2 2" xfId="6406" xr:uid="{00000000-0005-0000-0000-0000D5190000}"/>
    <cellStyle name="_MARION W10234702 21-11-08 (2)_WLP FP Format1_VMW MOLEX BASELINE OPTION COST BREAKDOWN - 4_16_09_Detail_ 2 3" xfId="6407" xr:uid="{00000000-0005-0000-0000-0000D6190000}"/>
    <cellStyle name="_MARION W10234702 21-11-08 (2)_WLP FP Format1_VMW MOLEX BASELINE OPTION COST BREAKDOWN - 4_16_09_Detail_ 2 4" xfId="6408" xr:uid="{00000000-0005-0000-0000-0000D7190000}"/>
    <cellStyle name="_MARION W10234702 21-11-08 (2)_WLP FP Format1_VMW MOLEX BASELINE OPTION COST BREAKDOWN - 4_16_09_Detail_ 3" xfId="6409" xr:uid="{00000000-0005-0000-0000-0000D8190000}"/>
    <cellStyle name="_MARION W10234702 21-11-08 (2)_WLP FP Format1_VMW MOLEX BASELINE OPTION COST BREAKDOWN - 4_16_09_Detail__862-CH" xfId="6410" xr:uid="{00000000-0005-0000-0000-0000D9190000}"/>
    <cellStyle name="_MARION W10234702 21-11-08 (2)_WLP FP Format1_VMW MOLEX BASELINE OPTION COST BREAKDOWN - 4_16_09_Detail__W10251766 D" xfId="6411" xr:uid="{00000000-0005-0000-0000-0000DA190000}"/>
    <cellStyle name="_MARION W10234702 21-11-08 (2)_WLP FP Format1_VMW MOLEX BASELINE OPTION COST BREAKDOWN - 4_16_09_Detail__W10279106 y W10279107 de MR a 56i" xfId="6412" xr:uid="{00000000-0005-0000-0000-0000DB190000}"/>
    <cellStyle name="_MARION W10234702 21-11-08 (2)_WLP FP Format1_VMW MOLEX BASELINE OPTION COST BREAKDOWN - 4_16_09_Detail__W10315922 A" xfId="6413" xr:uid="{00000000-0005-0000-0000-0000DC190000}"/>
    <cellStyle name="_MARION W10234702 21-11-08 (2)_WLP FP Format1_VMW SPLIT CONN" xfId="6414" xr:uid="{00000000-0005-0000-0000-0000DD190000}"/>
    <cellStyle name="_MARION W10234702 21-11-08 (2)_WLP FP Format1_VMW SPLIT CONN 2" xfId="6415" xr:uid="{00000000-0005-0000-0000-0000DE190000}"/>
    <cellStyle name="_MARION W10234702 21-11-08 (2)_WLP FP Format1_VMW SPLIT CONN 2 2" xfId="6416" xr:uid="{00000000-0005-0000-0000-0000DF190000}"/>
    <cellStyle name="_MARION W10234702 21-11-08 (2)_WLP FP Format1_VMW SPLIT CONN 2 3" xfId="6417" xr:uid="{00000000-0005-0000-0000-0000E0190000}"/>
    <cellStyle name="_MARION W10234702 21-11-08 (2)_WLP FP Format1_VMW SPLIT CONN 2 4" xfId="6418" xr:uid="{00000000-0005-0000-0000-0000E1190000}"/>
    <cellStyle name="_MARION W10234702 21-11-08 (2)_WLP FP Format1_VMW SPLIT CONN 3" xfId="6419" xr:uid="{00000000-0005-0000-0000-0000E2190000}"/>
    <cellStyle name="_MARION W10234702 21-11-08 (2)_WLP FP Format1_VMW SPLIT CONN_862-CH" xfId="6420" xr:uid="{00000000-0005-0000-0000-0000E3190000}"/>
    <cellStyle name="_MARION W10234702 21-11-08 (2)_WLP FP Format1_VMW SPLIT CONN_W10251766 D" xfId="6421" xr:uid="{00000000-0005-0000-0000-0000E4190000}"/>
    <cellStyle name="_MARION W10234702 21-11-08 (2)_WLP FP Format1_VMW SPLIT CONN_W10279106 y W10279107 de MR a 56i" xfId="6422" xr:uid="{00000000-0005-0000-0000-0000E5190000}"/>
    <cellStyle name="_MARION W10234702 21-11-08 (2)_WLP FP Format1_VMW SPLIT CONN_W10315922 A" xfId="6423" xr:uid="{00000000-0005-0000-0000-0000E6190000}"/>
    <cellStyle name="_MARION W10234702 21-11-08 (2)_WLP FP Format1_VMW Tyco CONCENTRATED QUOTE WLP480 (AS IS) Gary (2)" xfId="6424" xr:uid="{00000000-0005-0000-0000-0000E7190000}"/>
    <cellStyle name="_MARION W10234702 21-11-08 (2)_WLP FP Format1_VMW Tyco CONCENTRATED QUOTE WLP480 (AS IS) Gary (2) 2" xfId="6425" xr:uid="{00000000-0005-0000-0000-0000E8190000}"/>
    <cellStyle name="_MARION W10234702 21-11-08 (2)_WLP FP Format1_VMW Tyco CONCENTRATED QUOTE WLP480 (AS IS) Gary (2) 2 2" xfId="6426" xr:uid="{00000000-0005-0000-0000-0000E9190000}"/>
    <cellStyle name="_MARION W10234702 21-11-08 (2)_WLP FP Format1_VMW Tyco CONCENTRATED QUOTE WLP480 (AS IS) Gary (2) 2 3" xfId="6427" xr:uid="{00000000-0005-0000-0000-0000EA190000}"/>
    <cellStyle name="_MARION W10234702 21-11-08 (2)_WLP FP Format1_VMW Tyco CONCENTRATED QUOTE WLP480 (AS IS) Gary (2) 2 4" xfId="6428" xr:uid="{00000000-0005-0000-0000-0000EB190000}"/>
    <cellStyle name="_MARION W10234702 21-11-08 (2)_WLP FP Format1_VMW Tyco CONCENTRATED QUOTE WLP480 (AS IS) Gary (2) 3" xfId="6429" xr:uid="{00000000-0005-0000-0000-0000EC190000}"/>
    <cellStyle name="_MARION W10234702 21-11-08 (2)_WLP FP Format1_VMW Tyco CONCENTRATED QUOTE WLP480 (AS IS) Gary (2)_862-CH" xfId="6430" xr:uid="{00000000-0005-0000-0000-0000ED190000}"/>
    <cellStyle name="_MARION W10234702 21-11-08 (2)_WLP FP Format1_VMW Tyco CONCENTRATED QUOTE WLP480 (AS IS) Gary (2)_W10251766 D" xfId="6431" xr:uid="{00000000-0005-0000-0000-0000EE190000}"/>
    <cellStyle name="_MARION W10234702 21-11-08 (2)_WLP FP Format1_VMW Tyco CONCENTRATED QUOTE WLP480 (AS IS) Gary (2)_W10279106 y W10279107 de MR a 56i" xfId="6432" xr:uid="{00000000-0005-0000-0000-0000EF190000}"/>
    <cellStyle name="_MARION W10234702 21-11-08 (2)_WLP FP Format1_VMW Tyco CONCENTRATED QUOTE WLP480 (AS IS) Gary (2)_W10315922 A" xfId="6433" xr:uid="{00000000-0005-0000-0000-0000F0190000}"/>
    <cellStyle name="_MARION W10234702 21-11-08 (2)_WLP FP Format1_VMW Tyco CONCENTRATED QUOTE WLP480 (AS IS) Gary wo tooling (2)" xfId="6434" xr:uid="{00000000-0005-0000-0000-0000F1190000}"/>
    <cellStyle name="_MARION W10234702 21-11-08 (2)_WLP FP Format1_VMW Tyco CONCENTRATED QUOTE WLP480 (AS IS) Gary wo tooling (2) 2" xfId="6435" xr:uid="{00000000-0005-0000-0000-0000F2190000}"/>
    <cellStyle name="_MARION W10234702 21-11-08 (2)_WLP FP Format1_VMW Tyco CONCENTRATED QUOTE WLP480 (AS IS) Gary wo tooling (2) 2 2" xfId="6436" xr:uid="{00000000-0005-0000-0000-0000F3190000}"/>
    <cellStyle name="_MARION W10234702 21-11-08 (2)_WLP FP Format1_VMW Tyco CONCENTRATED QUOTE WLP480 (AS IS) Gary wo tooling (2) 2 3" xfId="6437" xr:uid="{00000000-0005-0000-0000-0000F4190000}"/>
    <cellStyle name="_MARION W10234702 21-11-08 (2)_WLP FP Format1_VMW Tyco CONCENTRATED QUOTE WLP480 (AS IS) Gary wo tooling (2) 2 4" xfId="6438" xr:uid="{00000000-0005-0000-0000-0000F5190000}"/>
    <cellStyle name="_MARION W10234702 21-11-08 (2)_WLP FP Format1_VMW Tyco CONCENTRATED QUOTE WLP480 (AS IS) Gary wo tooling (2) 3" xfId="6439" xr:uid="{00000000-0005-0000-0000-0000F6190000}"/>
    <cellStyle name="_MARION W10234702 21-11-08 (2)_WLP FP Format1_VMW Tyco CONCENTRATED QUOTE WLP480 (AS IS) Gary wo tooling (2)_862-CH" xfId="6440" xr:uid="{00000000-0005-0000-0000-0000F7190000}"/>
    <cellStyle name="_MARION W10234702 21-11-08 (2)_WLP FP Format1_VMW Tyco CONCENTRATED QUOTE WLP480 (AS IS) Gary wo tooling (2)_W10251766 D" xfId="6441" xr:uid="{00000000-0005-0000-0000-0000F8190000}"/>
    <cellStyle name="_MARION W10234702 21-11-08 (2)_WLP FP Format1_VMW Tyco CONCENTRATED QUOTE WLP480 (AS IS) Gary wo tooling (2)_W10279106 y W10279107 de MR a 56i" xfId="6442" xr:uid="{00000000-0005-0000-0000-0000F9190000}"/>
    <cellStyle name="_MARION W10234702 21-11-08 (2)_WLP FP Format1_VMW Tyco CONCENTRATED QUOTE WLP480 (AS IS) Gary wo tooling (2)_W10315922 A" xfId="6443" xr:uid="{00000000-0005-0000-0000-0000FA190000}"/>
    <cellStyle name="_MARION W10234702 21-11-08 (2)_WLP FP Format1_VMW Tyco CONCENTRATED QUOTE WLP480 (proposal) additional machine Gary" xfId="6444" xr:uid="{00000000-0005-0000-0000-0000FB190000}"/>
    <cellStyle name="_MARION W10234702 21-11-08 (2)_WLP FP Format1_VMW Tyco CONCENTRATED QUOTE WLP480 (proposal) additional machine Gary 2" xfId="6445" xr:uid="{00000000-0005-0000-0000-0000FC190000}"/>
    <cellStyle name="_MARION W10234702 21-11-08 (2)_WLP FP Format1_VMW Tyco CONCENTRATED QUOTE WLP480 (proposal) additional machine Gary 2 2" xfId="6446" xr:uid="{00000000-0005-0000-0000-0000FD190000}"/>
    <cellStyle name="_MARION W10234702 21-11-08 (2)_WLP FP Format1_VMW Tyco CONCENTRATED QUOTE WLP480 (proposal) additional machine Gary 2 3" xfId="6447" xr:uid="{00000000-0005-0000-0000-0000FE190000}"/>
    <cellStyle name="_MARION W10234702 21-11-08 (2)_WLP FP Format1_VMW Tyco CONCENTRATED QUOTE WLP480 (proposal) additional machine Gary 2 4" xfId="6448" xr:uid="{00000000-0005-0000-0000-0000FF190000}"/>
    <cellStyle name="_MARION W10234702 21-11-08 (2)_WLP FP Format1_VMW Tyco CONCENTRATED QUOTE WLP480 (proposal) additional machine Gary 3" xfId="6449" xr:uid="{00000000-0005-0000-0000-0000001A0000}"/>
    <cellStyle name="_MARION W10234702 21-11-08 (2)_WLP FP Format1_VMW Tyco CONCENTRATED QUOTE WLP480 (proposal) additional machine Gary wo tooling" xfId="6450" xr:uid="{00000000-0005-0000-0000-0000011A0000}"/>
    <cellStyle name="_MARION W10234702 21-11-08 (2)_WLP FP Format1_VMW Tyco CONCENTRATED QUOTE WLP480 (proposal) additional machine Gary wo tooling 2" xfId="6451" xr:uid="{00000000-0005-0000-0000-0000021A0000}"/>
    <cellStyle name="_MARION W10234702 21-11-08 (2)_WLP FP Format1_VMW Tyco CONCENTRATED QUOTE WLP480 (proposal) additional machine Gary wo tooling 2 2" xfId="6452" xr:uid="{00000000-0005-0000-0000-0000031A0000}"/>
    <cellStyle name="_MARION W10234702 21-11-08 (2)_WLP FP Format1_VMW Tyco CONCENTRATED QUOTE WLP480 (proposal) additional machine Gary wo tooling 2 3" xfId="6453" xr:uid="{00000000-0005-0000-0000-0000041A0000}"/>
    <cellStyle name="_MARION W10234702 21-11-08 (2)_WLP FP Format1_VMW Tyco CONCENTRATED QUOTE WLP480 (proposal) additional machine Gary wo tooling 2 4" xfId="6454" xr:uid="{00000000-0005-0000-0000-0000051A0000}"/>
    <cellStyle name="_MARION W10234702 21-11-08 (2)_WLP FP Format1_VMW Tyco CONCENTRATED QUOTE WLP480 (proposal) additional machine Gary wo tooling 3" xfId="6455" xr:uid="{00000000-0005-0000-0000-0000061A0000}"/>
    <cellStyle name="_MARION W10234702 21-11-08 (2)_WLP FP Format1_VMW Tyco CONCENTRATED QUOTE WLP480 (proposal) additional machine Gary wo tooling_862-CH" xfId="6456" xr:uid="{00000000-0005-0000-0000-0000071A0000}"/>
    <cellStyle name="_MARION W10234702 21-11-08 (2)_WLP FP Format1_VMW Tyco CONCENTRATED QUOTE WLP480 (proposal) additional machine Gary wo tooling_W10251766 D" xfId="6457" xr:uid="{00000000-0005-0000-0000-0000081A0000}"/>
    <cellStyle name="_MARION W10234702 21-11-08 (2)_WLP FP Format1_VMW Tyco CONCENTRATED QUOTE WLP480 (proposal) additional machine Gary wo tooling_W10279106 y W10279107 de MR a 56i" xfId="6458" xr:uid="{00000000-0005-0000-0000-0000091A0000}"/>
    <cellStyle name="_MARION W10234702 21-11-08 (2)_WLP FP Format1_VMW Tyco CONCENTRATED QUOTE WLP480 (proposal) additional machine Gary wo tooling_W10315922 A" xfId="6459" xr:uid="{00000000-0005-0000-0000-00000A1A0000}"/>
    <cellStyle name="_MARION W10234702 21-11-08 (2)_WLP FP Format1_VMW Tyco CONCENTRATED QUOTE WLP480 (proposal) additional machine Gary_862-CH" xfId="6460" xr:uid="{00000000-0005-0000-0000-00000B1A0000}"/>
    <cellStyle name="_MARION W10234702 21-11-08 (2)_WLP FP Format1_VMW Tyco CONCENTRATED QUOTE WLP480 (proposal) additional machine Gary_W10251766 D" xfId="6461" xr:uid="{00000000-0005-0000-0000-00000C1A0000}"/>
    <cellStyle name="_MARION W10234702 21-11-08 (2)_WLP FP Format1_VMW Tyco CONCENTRATED QUOTE WLP480 (proposal) additional machine Gary_W10279106 y W10279107 de MR a 56i" xfId="6462" xr:uid="{00000000-0005-0000-0000-00000D1A0000}"/>
    <cellStyle name="_MARION W10234702 21-11-08 (2)_WLP FP Format1_VMW Tyco CONCENTRATED QUOTE WLP480 (proposal) additional machine Gary_W10315922 A" xfId="6463" xr:uid="{00000000-0005-0000-0000-00000E1A0000}"/>
    <cellStyle name="_MARION W10234702 21-11-08 (2)_WLP FP Format1_W10251766 D" xfId="6464" xr:uid="{00000000-0005-0000-0000-00000F1A0000}"/>
    <cellStyle name="_MARION W10234702 21-11-08 (2)_WLP FP Format1_W10279106 y W10279107 de MR a 56i" xfId="6465" xr:uid="{00000000-0005-0000-0000-0000101A0000}"/>
    <cellStyle name="_MARION W10234702 21-11-08 (2)_WLP FP Format1_W10315922 A" xfId="6466" xr:uid="{00000000-0005-0000-0000-0000111A0000}"/>
    <cellStyle name="_MARION W10234702 21-11-08 (2)_WLP FP Format1_WPN145 3954933" xfId="6467" xr:uid="{00000000-0005-0000-0000-0000121A0000}"/>
    <cellStyle name="_MARION W10234702 21-11-08 (2)_WLP FP Format1_WPN145 3954933 2" xfId="6468" xr:uid="{00000000-0005-0000-0000-0000131A0000}"/>
    <cellStyle name="_MARION W10234702 21-11-08 (2)_WLP FP Format1_WPN145 3954933 3" xfId="6469" xr:uid="{00000000-0005-0000-0000-0000141A0000}"/>
    <cellStyle name="_MARION W10234702 21-11-08 (2)_WLP FP Format1_WPN145 3954933 4" xfId="6470" xr:uid="{00000000-0005-0000-0000-0000151A0000}"/>
    <cellStyle name="_MARION W10234702 21-11-08 (2)_WLP FP Format1_WPN145 3954933 5" xfId="6471" xr:uid="{00000000-0005-0000-0000-0000161A0000}"/>
    <cellStyle name="_MARION W10234702 21-11-08 (2)_WPN145 3954933" xfId="6472" xr:uid="{00000000-0005-0000-0000-0000171A0000}"/>
    <cellStyle name="_MARION W10234702 21-11-08 (2)_WPN145 3954933 2" xfId="6473" xr:uid="{00000000-0005-0000-0000-0000181A0000}"/>
    <cellStyle name="_MARION W10234702 21-11-08 (2)_WPN145 3954933 3" xfId="6474" xr:uid="{00000000-0005-0000-0000-0000191A0000}"/>
    <cellStyle name="_MARION W10234702 21-11-08 (2)_WPN145 3954933 4" xfId="6475" xr:uid="{00000000-0005-0000-0000-00001A1A0000}"/>
    <cellStyle name="_MARION W10234702 21-11-08 (2)_WPN145 3954933 5" xfId="6476" xr:uid="{00000000-0005-0000-0000-00001B1A0000}"/>
    <cellStyle name="_MARION W10238916 21-11-08   (2)" xfId="6477" xr:uid="{00000000-0005-0000-0000-00001C1A0000}"/>
    <cellStyle name="_MARION W10238916 21-11-08   (2) 2" xfId="6478" xr:uid="{00000000-0005-0000-0000-00001D1A0000}"/>
    <cellStyle name="_MARION W10238916 21-11-08   (2) 3" xfId="24836" xr:uid="{00000000-0005-0000-0000-00001E1A0000}"/>
    <cellStyle name="_MARION W10238916 21-11-08   (2)_862-CH" xfId="6479" xr:uid="{00000000-0005-0000-0000-00001F1A0000}"/>
    <cellStyle name="_MARION W10238916 21-11-08   (2)_CONCENTRATED QUOTE WLP397" xfId="6480" xr:uid="{00000000-0005-0000-0000-0000201A0000}"/>
    <cellStyle name="_MARION W10238916 21-11-08   (2)_CONCENTRATED QUOTE WLP397 2" xfId="6481" xr:uid="{00000000-0005-0000-0000-0000211A0000}"/>
    <cellStyle name="_MARION W10238916 21-11-08   (2)_CONCENTRATED QUOTE WLP397 2 2" xfId="24837" xr:uid="{00000000-0005-0000-0000-0000221A0000}"/>
    <cellStyle name="_MARION W10238916 21-11-08   (2)_CONCENTRATED QUOTE WLP397 2 3" xfId="24838" xr:uid="{00000000-0005-0000-0000-0000231A0000}"/>
    <cellStyle name="_MARION W10238916 21-11-08   (2)_CONCENTRATED QUOTE WLP397 3" xfId="6482" xr:uid="{00000000-0005-0000-0000-0000241A0000}"/>
    <cellStyle name="_MARION W10238916 21-11-08   (2)_CONCENTRATED QUOTE WLP397 4" xfId="6483" xr:uid="{00000000-0005-0000-0000-0000251A0000}"/>
    <cellStyle name="_MARION W10238916 21-11-08   (2)_CONCENTRATED QUOTE WLP397_862-CH" xfId="6484" xr:uid="{00000000-0005-0000-0000-0000261A0000}"/>
    <cellStyle name="_MARION W10238916 21-11-08   (2)_CONCENTRATED QUOTE WLP397_CONCENTRATED QUOTE WLP474" xfId="6485" xr:uid="{00000000-0005-0000-0000-0000271A0000}"/>
    <cellStyle name="_MARION W10238916 21-11-08   (2)_CONCENTRATED QUOTE WLP397_CONCENTRATED QUOTE WLP474 2" xfId="6486" xr:uid="{00000000-0005-0000-0000-0000281A0000}"/>
    <cellStyle name="_MARION W10238916 21-11-08   (2)_CONCENTRATED QUOTE WLP397_CONCENTRATED QUOTE WLP474 3" xfId="6487" xr:uid="{00000000-0005-0000-0000-0000291A0000}"/>
    <cellStyle name="_MARION W10238916 21-11-08   (2)_CONCENTRATED QUOTE WLP397_CONCENTRATED QUOTE WLP474 4" xfId="6488" xr:uid="{00000000-0005-0000-0000-00002A1A0000}"/>
    <cellStyle name="_MARION W10238916 21-11-08   (2)_CONCENTRATED QUOTE WLP397_CONCENTRATED QUOTE WLP550" xfId="6489" xr:uid="{00000000-0005-0000-0000-00002B1A0000}"/>
    <cellStyle name="_MARION W10238916 21-11-08   (2)_CONCENTRATED QUOTE WLP397_CONCENTRATED QUOTE WLP550 2" xfId="6490" xr:uid="{00000000-0005-0000-0000-00002C1A0000}"/>
    <cellStyle name="_MARION W10238916 21-11-08   (2)_CONCENTRATED QUOTE WLP397_CONCENTRATED QUOTE WLP550 3" xfId="6491" xr:uid="{00000000-0005-0000-0000-00002D1A0000}"/>
    <cellStyle name="_MARION W10238916 21-11-08   (2)_CONCENTRATED QUOTE WLP397_CONCENTRATED QUOTE WLP550 4" xfId="6492" xr:uid="{00000000-0005-0000-0000-00002E1A0000}"/>
    <cellStyle name="_MARION W10238916 21-11-08   (2)_CONCENTRATED QUOTE WLP397_CONCENTRATED QUOTE WLP550 5" xfId="6493" xr:uid="{00000000-0005-0000-0000-00002F1A0000}"/>
    <cellStyle name="_MARION W10238916 21-11-08   (2)_CONCENTRATED QUOTE WLP397_CONCENTRATED QUOTE WLP559" xfId="6494" xr:uid="{00000000-0005-0000-0000-0000301A0000}"/>
    <cellStyle name="_MARION W10238916 21-11-08   (2)_CONCENTRATED QUOTE WLP397_CONCENTRATED QUOTE WLP568" xfId="6495" xr:uid="{00000000-0005-0000-0000-0000311A0000}"/>
    <cellStyle name="_MARION W10238916 21-11-08   (2)_CONCENTRATED QUOTE WLP397_CONCENTRATED QUOTE WLP571" xfId="6496" xr:uid="{00000000-0005-0000-0000-0000321A0000}"/>
    <cellStyle name="_MARION W10238916 21-11-08   (2)_CONCENTRATED QUOTE WLP397_CONCENTRATED QUOTE WLP574  ALPHA" xfId="6497" xr:uid="{00000000-0005-0000-0000-0000331A0000}"/>
    <cellStyle name="_MARION W10238916 21-11-08   (2)_CONCENTRATED QUOTE WLP397_CONCENTRATED QUOTE WLP574  ALPHA 2" xfId="6498" xr:uid="{00000000-0005-0000-0000-0000341A0000}"/>
    <cellStyle name="_MARION W10238916 21-11-08   (2)_CONCENTRATED QUOTE WLP397_CONCENTRATED QUOTE WLP574  ALPHA 3" xfId="6499" xr:uid="{00000000-0005-0000-0000-0000351A0000}"/>
    <cellStyle name="_MARION W10238916 21-11-08   (2)_CONCENTRATED QUOTE WLP397_CONCENTRATED QUOTE WLP574  ALPHA 4" xfId="6500" xr:uid="{00000000-0005-0000-0000-0000361A0000}"/>
    <cellStyle name="_MARION W10238916 21-11-08   (2)_CONCENTRATED QUOTE WLP397_CONCENTRATED QUOTE WLP574  ALPHA 5" xfId="6501" xr:uid="{00000000-0005-0000-0000-0000371A0000}"/>
    <cellStyle name="_MARION W10238916 21-11-08   (2)_CONCENTRATED QUOTE WLP397_Estimated Quote 050609 039" xfId="6502" xr:uid="{00000000-0005-0000-0000-0000381A0000}"/>
    <cellStyle name="_MARION W10238916 21-11-08   (2)_CONCENTRATED QUOTE WLP397_Estimated Quote 050609 039 2" xfId="6503" xr:uid="{00000000-0005-0000-0000-0000391A0000}"/>
    <cellStyle name="_MARION W10238916 21-11-08   (2)_CONCENTRATED QUOTE WLP397_Estimated Quote 050609 039 3" xfId="6504" xr:uid="{00000000-0005-0000-0000-00003A1A0000}"/>
    <cellStyle name="_MARION W10238916 21-11-08   (2)_CONCENTRATED QUOTE WLP397_Estimated Quote 050609 039 4" xfId="6505" xr:uid="{00000000-0005-0000-0000-00003B1A0000}"/>
    <cellStyle name="_MARION W10238916 21-11-08   (2)_CONCENTRATED QUOTE WLP397_Estimated Quote 050609 039 5" xfId="6506" xr:uid="{00000000-0005-0000-0000-00003C1A0000}"/>
    <cellStyle name="_MARION W10238916 21-11-08   (2)_CONCENTRATED QUOTE WLP397_W10251442" xfId="6507" xr:uid="{00000000-0005-0000-0000-00003D1A0000}"/>
    <cellStyle name="_MARION W10238916 21-11-08   (2)_CONCENTRATED QUOTE WLP397_W10251443" xfId="6508" xr:uid="{00000000-0005-0000-0000-00003E1A0000}"/>
    <cellStyle name="_MARION W10238916 21-11-08   (2)_CONCENTRATED QUOTE WLP397_W10251444" xfId="6509" xr:uid="{00000000-0005-0000-0000-00003F1A0000}"/>
    <cellStyle name="_MARION W10238916 21-11-08   (2)_CONCENTRATED QUOTE WLP397_W10251766 D" xfId="6510" xr:uid="{00000000-0005-0000-0000-0000401A0000}"/>
    <cellStyle name="_MARION W10238916 21-11-08   (2)_CONCENTRATED QUOTE WLP397_W10278758" xfId="6511" xr:uid="{00000000-0005-0000-0000-0000411A0000}"/>
    <cellStyle name="_MARION W10238916 21-11-08   (2)_CONCENTRATED QUOTE WLP397_W10278759" xfId="6512" xr:uid="{00000000-0005-0000-0000-0000421A0000}"/>
    <cellStyle name="_MARION W10238916 21-11-08   (2)_CONCENTRATED QUOTE WLP397_W10279106 y W10279107 de MR a 56i" xfId="6513" xr:uid="{00000000-0005-0000-0000-0000431A0000}"/>
    <cellStyle name="_MARION W10238916 21-11-08   (2)_CONCENTRATED QUOTE WLP397_W10290772" xfId="6514" xr:uid="{00000000-0005-0000-0000-0000441A0000}"/>
    <cellStyle name="_MARION W10238916 21-11-08   (2)_CONCENTRATED QUOTE WLP397_W10290772 2" xfId="6515" xr:uid="{00000000-0005-0000-0000-0000451A0000}"/>
    <cellStyle name="_MARION W10238916 21-11-08   (2)_CONCENTRATED QUOTE WLP397_W10290772 3" xfId="6516" xr:uid="{00000000-0005-0000-0000-0000461A0000}"/>
    <cellStyle name="_MARION W10238916 21-11-08   (2)_CONCENTRATED QUOTE WLP397_W10290772 4" xfId="6517" xr:uid="{00000000-0005-0000-0000-0000471A0000}"/>
    <cellStyle name="_MARION W10238916 21-11-08   (2)_CONCENTRATED QUOTE WLP397_W10290772 5" xfId="6518" xr:uid="{00000000-0005-0000-0000-0000481A0000}"/>
    <cellStyle name="_MARION W10238916 21-11-08   (2)_CONCENTRATED QUOTE WLP397_W10290774" xfId="6519" xr:uid="{00000000-0005-0000-0000-0000491A0000}"/>
    <cellStyle name="_MARION W10238916 21-11-08   (2)_CONCENTRATED QUOTE WLP397_W10290774 2" xfId="6520" xr:uid="{00000000-0005-0000-0000-00004A1A0000}"/>
    <cellStyle name="_MARION W10238916 21-11-08   (2)_CONCENTRATED QUOTE WLP397_W10290774 3" xfId="6521" xr:uid="{00000000-0005-0000-0000-00004B1A0000}"/>
    <cellStyle name="_MARION W10238916 21-11-08   (2)_CONCENTRATED QUOTE WLP397_W10290774 4" xfId="6522" xr:uid="{00000000-0005-0000-0000-00004C1A0000}"/>
    <cellStyle name="_MARION W10238916 21-11-08   (2)_CONCENTRATED QUOTE WLP397_W10290774 5" xfId="6523" xr:uid="{00000000-0005-0000-0000-00004D1A0000}"/>
    <cellStyle name="_MARION W10238916 21-11-08   (2)_CONCENTRATED QUOTE WLP397_W10315922 A" xfId="6524" xr:uid="{00000000-0005-0000-0000-00004E1A0000}"/>
    <cellStyle name="_MARION W10238916 21-11-08   (2)_CONCENTRATED QUOTE WLP401" xfId="6525" xr:uid="{00000000-0005-0000-0000-00004F1A0000}"/>
    <cellStyle name="_MARION W10238916 21-11-08   (2)_CONCENTRATED QUOTE WLP401 2" xfId="6526" xr:uid="{00000000-0005-0000-0000-0000501A0000}"/>
    <cellStyle name="_MARION W10238916 21-11-08   (2)_CONCENTRATED QUOTE WLP401 2 2" xfId="6527" xr:uid="{00000000-0005-0000-0000-0000511A0000}"/>
    <cellStyle name="_MARION W10238916 21-11-08   (2)_CONCENTRATED QUOTE WLP401 2 3" xfId="6528" xr:uid="{00000000-0005-0000-0000-0000521A0000}"/>
    <cellStyle name="_MARION W10238916 21-11-08   (2)_CONCENTRATED QUOTE WLP401 2 4" xfId="6529" xr:uid="{00000000-0005-0000-0000-0000531A0000}"/>
    <cellStyle name="_MARION W10238916 21-11-08   (2)_CONCENTRATED QUOTE WLP401 3" xfId="6530" xr:uid="{00000000-0005-0000-0000-0000541A0000}"/>
    <cellStyle name="_MARION W10238916 21-11-08   (2)_CONCENTRATED QUOTE WLP401_862-CH" xfId="6531" xr:uid="{00000000-0005-0000-0000-0000551A0000}"/>
    <cellStyle name="_MARION W10238916 21-11-08   (2)_CONCENTRATED QUOTE WLP401_CONCENTRATED QUOTE WLP440" xfId="6532" xr:uid="{00000000-0005-0000-0000-0000561A0000}"/>
    <cellStyle name="_MARION W10238916 21-11-08   (2)_CONCENTRATED QUOTE WLP401_CONCENTRATED QUOTE WLP440 2" xfId="6533" xr:uid="{00000000-0005-0000-0000-0000571A0000}"/>
    <cellStyle name="_MARION W10238916 21-11-08   (2)_CONCENTRATED QUOTE WLP401_CONCENTRATED QUOTE WLP440 3" xfId="6534" xr:uid="{00000000-0005-0000-0000-0000581A0000}"/>
    <cellStyle name="_MARION W10238916 21-11-08   (2)_CONCENTRATED QUOTE WLP401_CONCENTRATED QUOTE WLP440 4" xfId="6535" xr:uid="{00000000-0005-0000-0000-0000591A0000}"/>
    <cellStyle name="_MARION W10238916 21-11-08   (2)_CONCENTRATED QUOTE WLP401_CONCENTRATED QUOTE WLP440 5" xfId="6536" xr:uid="{00000000-0005-0000-0000-00005A1A0000}"/>
    <cellStyle name="_MARION W10238916 21-11-08   (2)_CONCENTRATED QUOTE WLP401_CONCENTRATED QUOTE WLP474" xfId="6537" xr:uid="{00000000-0005-0000-0000-00005B1A0000}"/>
    <cellStyle name="_MARION W10238916 21-11-08   (2)_CONCENTRATED QUOTE WLP401_CONCENTRATED QUOTE WLP474 2" xfId="6538" xr:uid="{00000000-0005-0000-0000-00005C1A0000}"/>
    <cellStyle name="_MARION W10238916 21-11-08   (2)_CONCENTRATED QUOTE WLP401_CONCENTRATED QUOTE WLP474 3" xfId="6539" xr:uid="{00000000-0005-0000-0000-00005D1A0000}"/>
    <cellStyle name="_MARION W10238916 21-11-08   (2)_CONCENTRATED QUOTE WLP401_CONCENTRATED QUOTE WLP474 4" xfId="6540" xr:uid="{00000000-0005-0000-0000-00005E1A0000}"/>
    <cellStyle name="_MARION W10238916 21-11-08   (2)_CONCENTRATED QUOTE WLP401_CONCENTRATED QUOTE WLP477" xfId="6541" xr:uid="{00000000-0005-0000-0000-00005F1A0000}"/>
    <cellStyle name="_MARION W10238916 21-11-08   (2)_CONCENTRATED QUOTE WLP401_CONCENTRATED QUOTE WLP477 2" xfId="6542" xr:uid="{00000000-0005-0000-0000-0000601A0000}"/>
    <cellStyle name="_MARION W10238916 21-11-08   (2)_CONCENTRATED QUOTE WLP401_CONCENTRATED QUOTE WLP477 3" xfId="6543" xr:uid="{00000000-0005-0000-0000-0000611A0000}"/>
    <cellStyle name="_MARION W10238916 21-11-08   (2)_CONCENTRATED QUOTE WLP401_CONCENTRATED QUOTE WLP477 4" xfId="6544" xr:uid="{00000000-0005-0000-0000-0000621A0000}"/>
    <cellStyle name="_MARION W10238916 21-11-08   (2)_CONCENTRATED QUOTE WLP401_CONCENTRATED QUOTE WLP477 5" xfId="6545" xr:uid="{00000000-0005-0000-0000-0000631A0000}"/>
    <cellStyle name="_MARION W10238916 21-11-08   (2)_CONCENTRATED QUOTE WLP401_CONCENTRATED QUOTE WLP488" xfId="6546" xr:uid="{00000000-0005-0000-0000-0000641A0000}"/>
    <cellStyle name="_MARION W10238916 21-11-08   (2)_CONCENTRATED QUOTE WLP401_CONCENTRATED QUOTE WLP488 2" xfId="6547" xr:uid="{00000000-0005-0000-0000-0000651A0000}"/>
    <cellStyle name="_MARION W10238916 21-11-08   (2)_CONCENTRATED QUOTE WLP401_CONCENTRATED QUOTE WLP488 3" xfId="6548" xr:uid="{00000000-0005-0000-0000-0000661A0000}"/>
    <cellStyle name="_MARION W10238916 21-11-08   (2)_CONCENTRATED QUOTE WLP401_CONCENTRATED QUOTE WLP488 4" xfId="6549" xr:uid="{00000000-0005-0000-0000-0000671A0000}"/>
    <cellStyle name="_MARION W10238916 21-11-08   (2)_CONCENTRATED QUOTE WLP401_CONCENTRATED QUOTE WLP488 5" xfId="6550" xr:uid="{00000000-0005-0000-0000-0000681A0000}"/>
    <cellStyle name="_MARION W10238916 21-11-08   (2)_CONCENTRATED QUOTE WLP401_CONCENTRATED QUOTE WLP491" xfId="6551" xr:uid="{00000000-0005-0000-0000-0000691A0000}"/>
    <cellStyle name="_MARION W10238916 21-11-08   (2)_CONCENTRATED QUOTE WLP401_CONCENTRATED QUOTE WLP491 2" xfId="6552" xr:uid="{00000000-0005-0000-0000-00006A1A0000}"/>
    <cellStyle name="_MARION W10238916 21-11-08   (2)_CONCENTRATED QUOTE WLP401_CONCENTRATED QUOTE WLP491 3" xfId="6553" xr:uid="{00000000-0005-0000-0000-00006B1A0000}"/>
    <cellStyle name="_MARION W10238916 21-11-08   (2)_CONCENTRATED QUOTE WLP401_CONCENTRATED QUOTE WLP491 4" xfId="6554" xr:uid="{00000000-0005-0000-0000-00006C1A0000}"/>
    <cellStyle name="_MARION W10238916 21-11-08   (2)_CONCENTRATED QUOTE WLP401_CONCENTRATED QUOTE WLP491 5" xfId="6555" xr:uid="{00000000-0005-0000-0000-00006D1A0000}"/>
    <cellStyle name="_MARION W10238916 21-11-08   (2)_CONCENTRATED QUOTE WLP401_CONCENTRATED QUOTE WLP507A" xfId="6556" xr:uid="{00000000-0005-0000-0000-00006E1A0000}"/>
    <cellStyle name="_MARION W10238916 21-11-08   (2)_CONCENTRATED QUOTE WLP401_CONCENTRATED QUOTE WLP507A 081909" xfId="6557" xr:uid="{00000000-0005-0000-0000-00006F1A0000}"/>
    <cellStyle name="_MARION W10238916 21-11-08   (2)_CONCENTRATED QUOTE WLP401_CONCENTRATED QUOTE WLP507A 081909 2" xfId="6558" xr:uid="{00000000-0005-0000-0000-0000701A0000}"/>
    <cellStyle name="_MARION W10238916 21-11-08   (2)_CONCENTRATED QUOTE WLP401_CONCENTRATED QUOTE WLP507A 081909 3" xfId="6559" xr:uid="{00000000-0005-0000-0000-0000711A0000}"/>
    <cellStyle name="_MARION W10238916 21-11-08   (2)_CONCENTRATED QUOTE WLP401_CONCENTRATED QUOTE WLP507A 081909 4" xfId="6560" xr:uid="{00000000-0005-0000-0000-0000721A0000}"/>
    <cellStyle name="_MARION W10238916 21-11-08   (2)_CONCENTRATED QUOTE WLP401_CONCENTRATED QUOTE WLP507A 081909 5" xfId="6561" xr:uid="{00000000-0005-0000-0000-0000731A0000}"/>
    <cellStyle name="_MARION W10238916 21-11-08   (2)_CONCENTRATED QUOTE WLP401_CONCENTRATED QUOTE WLP507A 2" xfId="6562" xr:uid="{00000000-0005-0000-0000-0000741A0000}"/>
    <cellStyle name="_MARION W10238916 21-11-08   (2)_CONCENTRATED QUOTE WLP401_CONCENTRATED QUOTE WLP507A 3" xfId="6563" xr:uid="{00000000-0005-0000-0000-0000751A0000}"/>
    <cellStyle name="_MARION W10238916 21-11-08   (2)_CONCENTRATED QUOTE WLP401_CONCENTRATED QUOTE WLP507A 4" xfId="6564" xr:uid="{00000000-0005-0000-0000-0000761A0000}"/>
    <cellStyle name="_MARION W10238916 21-11-08   (2)_CONCENTRATED QUOTE WLP401_CONCENTRATED QUOTE WLP515" xfId="6565" xr:uid="{00000000-0005-0000-0000-0000771A0000}"/>
    <cellStyle name="_MARION W10238916 21-11-08   (2)_CONCENTRATED QUOTE WLP401_CONCENTRATED QUOTE WLP515 2" xfId="6566" xr:uid="{00000000-0005-0000-0000-0000781A0000}"/>
    <cellStyle name="_MARION W10238916 21-11-08   (2)_CONCENTRATED QUOTE WLP401_CONCENTRATED QUOTE WLP515 3" xfId="6567" xr:uid="{00000000-0005-0000-0000-0000791A0000}"/>
    <cellStyle name="_MARION W10238916 21-11-08   (2)_CONCENTRATED QUOTE WLP401_CONCENTRATED QUOTE WLP515 4" xfId="6568" xr:uid="{00000000-0005-0000-0000-00007A1A0000}"/>
    <cellStyle name="_MARION W10238916 21-11-08   (2)_CONCENTRATED QUOTE WLP401_CONCENTRATED QUOTE WLP515 5" xfId="6569" xr:uid="{00000000-0005-0000-0000-00007B1A0000}"/>
    <cellStyle name="_MARION W10238916 21-11-08   (2)_CONCENTRATED QUOTE WLP401_CONCENTRATED QUOTE WLP528" xfId="6570" xr:uid="{00000000-0005-0000-0000-00007C1A0000}"/>
    <cellStyle name="_MARION W10238916 21-11-08   (2)_CONCENTRATED QUOTE WLP401_CONCENTRATED QUOTE WLP528 2" xfId="6571" xr:uid="{00000000-0005-0000-0000-00007D1A0000}"/>
    <cellStyle name="_MARION W10238916 21-11-08   (2)_CONCENTRATED QUOTE WLP401_CONCENTRATED QUOTE WLP528 3" xfId="6572" xr:uid="{00000000-0005-0000-0000-00007E1A0000}"/>
    <cellStyle name="_MARION W10238916 21-11-08   (2)_CONCENTRATED QUOTE WLP401_CONCENTRATED QUOTE WLP528 4" xfId="6573" xr:uid="{00000000-0005-0000-0000-00007F1A0000}"/>
    <cellStyle name="_MARION W10238916 21-11-08   (2)_CONCENTRATED QUOTE WLP401_CONCENTRATED QUOTE WLP528 5" xfId="6574" xr:uid="{00000000-0005-0000-0000-0000801A0000}"/>
    <cellStyle name="_MARION W10238916 21-11-08   (2)_CONCENTRATED QUOTE WLP401_CONCENTRATED QUOTE WLP534" xfId="6575" xr:uid="{00000000-0005-0000-0000-0000811A0000}"/>
    <cellStyle name="_MARION W10238916 21-11-08   (2)_CONCENTRATED QUOTE WLP401_CONCENTRATED QUOTE WLP534 2" xfId="6576" xr:uid="{00000000-0005-0000-0000-0000821A0000}"/>
    <cellStyle name="_MARION W10238916 21-11-08   (2)_CONCENTRATED QUOTE WLP401_CONCENTRATED QUOTE WLP534 3" xfId="6577" xr:uid="{00000000-0005-0000-0000-0000831A0000}"/>
    <cellStyle name="_MARION W10238916 21-11-08   (2)_CONCENTRATED QUOTE WLP401_CONCENTRATED QUOTE WLP534 4" xfId="6578" xr:uid="{00000000-0005-0000-0000-0000841A0000}"/>
    <cellStyle name="_MARION W10238916 21-11-08   (2)_CONCENTRATED QUOTE WLP401_CONCENTRATED QUOTE WLP536" xfId="6579" xr:uid="{00000000-0005-0000-0000-0000851A0000}"/>
    <cellStyle name="_MARION W10238916 21-11-08   (2)_CONCENTRATED QUOTE WLP401_CONCENTRATED QUOTE WLP536 2" xfId="6580" xr:uid="{00000000-0005-0000-0000-0000861A0000}"/>
    <cellStyle name="_MARION W10238916 21-11-08   (2)_CONCENTRATED QUOTE WLP401_CONCENTRATED QUOTE WLP536 3" xfId="6581" xr:uid="{00000000-0005-0000-0000-0000871A0000}"/>
    <cellStyle name="_MARION W10238916 21-11-08   (2)_CONCENTRATED QUOTE WLP401_CONCENTRATED QUOTE WLP536 4" xfId="6582" xr:uid="{00000000-0005-0000-0000-0000881A0000}"/>
    <cellStyle name="_MARION W10238916 21-11-08   (2)_CONCENTRATED QUOTE WLP401_CONCENTRATED QUOTE WLP536 5" xfId="6583" xr:uid="{00000000-0005-0000-0000-0000891A0000}"/>
    <cellStyle name="_MARION W10238916 21-11-08   (2)_CONCENTRATED QUOTE WLP401_CONCENTRATED QUOTE WLP545" xfId="6584" xr:uid="{00000000-0005-0000-0000-00008A1A0000}"/>
    <cellStyle name="_MARION W10238916 21-11-08   (2)_CONCENTRATED QUOTE WLP401_CONCENTRATED QUOTE WLP545 2" xfId="6585" xr:uid="{00000000-0005-0000-0000-00008B1A0000}"/>
    <cellStyle name="_MARION W10238916 21-11-08   (2)_CONCENTRATED QUOTE WLP401_CONCENTRATED QUOTE WLP545 3" xfId="6586" xr:uid="{00000000-0005-0000-0000-00008C1A0000}"/>
    <cellStyle name="_MARION W10238916 21-11-08   (2)_CONCENTRATED QUOTE WLP401_CONCENTRATED QUOTE WLP545 4" xfId="6587" xr:uid="{00000000-0005-0000-0000-00008D1A0000}"/>
    <cellStyle name="_MARION W10238916 21-11-08   (2)_CONCENTRATED QUOTE WLP401_CONCENTRATED QUOTE WLP550" xfId="6588" xr:uid="{00000000-0005-0000-0000-00008E1A0000}"/>
    <cellStyle name="_MARION W10238916 21-11-08   (2)_CONCENTRATED QUOTE WLP401_CONCENTRATED QUOTE WLP550 2" xfId="6589" xr:uid="{00000000-0005-0000-0000-00008F1A0000}"/>
    <cellStyle name="_MARION W10238916 21-11-08   (2)_CONCENTRATED QUOTE WLP401_CONCENTRATED QUOTE WLP550 3" xfId="6590" xr:uid="{00000000-0005-0000-0000-0000901A0000}"/>
    <cellStyle name="_MARION W10238916 21-11-08   (2)_CONCENTRATED QUOTE WLP401_CONCENTRATED QUOTE WLP550 4" xfId="6591" xr:uid="{00000000-0005-0000-0000-0000911A0000}"/>
    <cellStyle name="_MARION W10238916 21-11-08   (2)_CONCENTRATED QUOTE WLP401_CONCENTRATED QUOTE WLP550 5" xfId="6592" xr:uid="{00000000-0005-0000-0000-0000921A0000}"/>
    <cellStyle name="_MARION W10238916 21-11-08   (2)_CONCENTRATED QUOTE WLP401_CONCENTRATED QUOTE WLP552" xfId="6593" xr:uid="{00000000-0005-0000-0000-0000931A0000}"/>
    <cellStyle name="_MARION W10238916 21-11-08   (2)_CONCENTRATED QUOTE WLP401_CONCENTRATED QUOTE WLP552 2" xfId="6594" xr:uid="{00000000-0005-0000-0000-0000941A0000}"/>
    <cellStyle name="_MARION W10238916 21-11-08   (2)_CONCENTRATED QUOTE WLP401_CONCENTRATED QUOTE WLP552 3" xfId="6595" xr:uid="{00000000-0005-0000-0000-0000951A0000}"/>
    <cellStyle name="_MARION W10238916 21-11-08   (2)_CONCENTRATED QUOTE WLP401_CONCENTRATED QUOTE WLP552 4" xfId="6596" xr:uid="{00000000-0005-0000-0000-0000961A0000}"/>
    <cellStyle name="_MARION W10238916 21-11-08   (2)_CONCENTRATED QUOTE WLP401_CONCENTRATED QUOTE WLP5565" xfId="6597" xr:uid="{00000000-0005-0000-0000-0000971A0000}"/>
    <cellStyle name="_MARION W10238916 21-11-08   (2)_CONCENTRATED QUOTE WLP401_CONCENTRATED QUOTE WLP5565 2" xfId="6598" xr:uid="{00000000-0005-0000-0000-0000981A0000}"/>
    <cellStyle name="_MARION W10238916 21-11-08   (2)_CONCENTRATED QUOTE WLP401_CONCENTRATED QUOTE WLP5565 3" xfId="6599" xr:uid="{00000000-0005-0000-0000-0000991A0000}"/>
    <cellStyle name="_MARION W10238916 21-11-08   (2)_CONCENTRATED QUOTE WLP401_CONCENTRATED QUOTE WLP5565 4" xfId="6600" xr:uid="{00000000-0005-0000-0000-00009A1A0000}"/>
    <cellStyle name="_MARION W10238916 21-11-08   (2)_CONCENTRATED QUOTE WLP401_CONCENTRATED QUOTE WLP559" xfId="6601" xr:uid="{00000000-0005-0000-0000-00009B1A0000}"/>
    <cellStyle name="_MARION W10238916 21-11-08   (2)_CONCENTRATED QUOTE WLP401_CONCENTRATED QUOTE WLP568" xfId="6602" xr:uid="{00000000-0005-0000-0000-00009C1A0000}"/>
    <cellStyle name="_MARION W10238916 21-11-08   (2)_CONCENTRATED QUOTE WLP401_CONCENTRATED QUOTE WLP571" xfId="6603" xr:uid="{00000000-0005-0000-0000-00009D1A0000}"/>
    <cellStyle name="_MARION W10238916 21-11-08   (2)_CONCENTRATED QUOTE WLP401_CONCENTRATED QUOTE WLP574  ALPHA" xfId="6604" xr:uid="{00000000-0005-0000-0000-00009E1A0000}"/>
    <cellStyle name="_MARION W10238916 21-11-08   (2)_CONCENTRATED QUOTE WLP401_CONCENTRATED QUOTE WLP574  ALPHA 2" xfId="6605" xr:uid="{00000000-0005-0000-0000-00009F1A0000}"/>
    <cellStyle name="_MARION W10238916 21-11-08   (2)_CONCENTRATED QUOTE WLP401_CONCENTRATED QUOTE WLP574  ALPHA 3" xfId="6606" xr:uid="{00000000-0005-0000-0000-0000A01A0000}"/>
    <cellStyle name="_MARION W10238916 21-11-08   (2)_CONCENTRATED QUOTE WLP401_CONCENTRATED QUOTE WLP574  ALPHA 4" xfId="6607" xr:uid="{00000000-0005-0000-0000-0000A11A0000}"/>
    <cellStyle name="_MARION W10238916 21-11-08   (2)_CONCENTRATED QUOTE WLP401_CONCENTRATED QUOTE WLP574  ALPHA 5" xfId="6608" xr:uid="{00000000-0005-0000-0000-0000A21A0000}"/>
    <cellStyle name="_MARION W10238916 21-11-08   (2)_CONCENTRATED QUOTE WLP401_CONCENTRATED QUOTE WLP610 VMW CLC" xfId="6609" xr:uid="{00000000-0005-0000-0000-0000A31A0000}"/>
    <cellStyle name="_MARION W10238916 21-11-08   (2)_CONCENTRATED QUOTE WLP401_CONCENTRATED QUOTE WLP610 VMW CLC 2" xfId="6610" xr:uid="{00000000-0005-0000-0000-0000A41A0000}"/>
    <cellStyle name="_MARION W10238916 21-11-08   (2)_CONCENTRATED QUOTE WLP401_CONCENTRATED QUOTE WLP610 VMW CLC 3" xfId="6611" xr:uid="{00000000-0005-0000-0000-0000A51A0000}"/>
    <cellStyle name="_MARION W10238916 21-11-08   (2)_CONCENTRATED QUOTE WLP401_CONCENTRATED QUOTE WLP610 VMW CLC 4" xfId="6612" xr:uid="{00000000-0005-0000-0000-0000A61A0000}"/>
    <cellStyle name="_MARION W10238916 21-11-08   (2)_CONCENTRATED QUOTE WLP401_CONCENTRATED QUOTE WLP610 VMW CLC 5" xfId="6613" xr:uid="{00000000-0005-0000-0000-0000A71A0000}"/>
    <cellStyle name="_MARION W10238916 21-11-08   (2)_CONCENTRATED QUOTE WLP401_CONCENTRATED QUOTE WLP623 071310" xfId="6614" xr:uid="{00000000-0005-0000-0000-0000A81A0000}"/>
    <cellStyle name="_MARION W10238916 21-11-08   (2)_CONCENTRATED QUOTE WLP401_CONCENTRATED QUOTE WLP628" xfId="6615" xr:uid="{00000000-0005-0000-0000-0000A91A0000}"/>
    <cellStyle name="_MARION W10238916 21-11-08   (2)_CONCENTRATED QUOTE WLP401_CONCENTRATED QUOTE WLP628 2" xfId="6616" xr:uid="{00000000-0005-0000-0000-0000AA1A0000}"/>
    <cellStyle name="_MARION W10238916 21-11-08   (2)_CONCENTRATED QUOTE WLP401_CONCENTRATED QUOTE WLP628 3" xfId="6617" xr:uid="{00000000-0005-0000-0000-0000AB1A0000}"/>
    <cellStyle name="_MARION W10238916 21-11-08   (2)_CONCENTRATED QUOTE WLP401_CONCENTRATED QUOTE WLP628 4" xfId="6618" xr:uid="{00000000-0005-0000-0000-0000AC1A0000}"/>
    <cellStyle name="_MARION W10238916 21-11-08   (2)_CONCENTRATED QUOTE WLP401_CONCENTRATED QUOTE WLP628 5" xfId="6619" xr:uid="{00000000-0005-0000-0000-0000AD1A0000}"/>
    <cellStyle name="_MARION W10238916 21-11-08   (2)_CONCENTRATED QUOTE WLP401_CONCENTRATED QUOTE WLP634 VMW MTAG" xfId="6620" xr:uid="{00000000-0005-0000-0000-0000AE1A0000}"/>
    <cellStyle name="_MARION W10238916 21-11-08   (2)_CONCENTRATED QUOTE WLP401_CONCENTRATED QUOTE WLP635" xfId="6621" xr:uid="{00000000-0005-0000-0000-0000AF1A0000}"/>
    <cellStyle name="_MARION W10238916 21-11-08   (2)_CONCENTRATED QUOTE WLP401_CONCENTRATED QUOTE WLP646" xfId="6622" xr:uid="{00000000-0005-0000-0000-0000B01A0000}"/>
    <cellStyle name="_MARION W10238916 21-11-08   (2)_CONCENTRATED QUOTE WLP401_CONCENTRATED QUOTE WLP646 2" xfId="6623" xr:uid="{00000000-0005-0000-0000-0000B11A0000}"/>
    <cellStyle name="_MARION W10238916 21-11-08   (2)_CONCENTRATED QUOTE WLP401_CONCENTRATED QUOTE WLP646 3" xfId="6624" xr:uid="{00000000-0005-0000-0000-0000B21A0000}"/>
    <cellStyle name="_MARION W10238916 21-11-08   (2)_CONCENTRATED QUOTE WLP401_CONCENTRATED QUOTE WLP646 4" xfId="6625" xr:uid="{00000000-0005-0000-0000-0000B31A0000}"/>
    <cellStyle name="_MARION W10238916 21-11-08   (2)_CONCENTRATED QUOTE WLP401_CONCENTRATED QUOTE WLP646 5" xfId="6626" xr:uid="{00000000-0005-0000-0000-0000B41A0000}"/>
    <cellStyle name="_MARION W10238916 21-11-08   (2)_CONCENTRATED QUOTE WLP401_Copy of CONCENTRATED QUOTE WLP579" xfId="6627" xr:uid="{00000000-0005-0000-0000-0000B51A0000}"/>
    <cellStyle name="_MARION W10238916 21-11-08   (2)_CONCENTRATED QUOTE WLP401_Copy of CONCENTRATED QUOTE WLP579 2" xfId="6628" xr:uid="{00000000-0005-0000-0000-0000B61A0000}"/>
    <cellStyle name="_MARION W10238916 21-11-08   (2)_CONCENTRATED QUOTE WLP401_Copy of CONCENTRATED QUOTE WLP579 3" xfId="6629" xr:uid="{00000000-0005-0000-0000-0000B71A0000}"/>
    <cellStyle name="_MARION W10238916 21-11-08   (2)_CONCENTRATED QUOTE WLP401_Copy of CONCENTRATED QUOTE WLP579 4" xfId="6630" xr:uid="{00000000-0005-0000-0000-0000B81A0000}"/>
    <cellStyle name="_MARION W10238916 21-11-08   (2)_CONCENTRATED QUOTE WLP401_Dekko HE P3-Classic P1" xfId="6631" xr:uid="{00000000-0005-0000-0000-0000B91A0000}"/>
    <cellStyle name="_MARION W10238916 21-11-08   (2)_CONCENTRATED QUOTE WLP401_Dekko HE P3-Classic P1 2" xfId="6632" xr:uid="{00000000-0005-0000-0000-0000BA1A0000}"/>
    <cellStyle name="_MARION W10238916 21-11-08   (2)_CONCENTRATED QUOTE WLP401_Dekko HE P3-Classic P1 3" xfId="6633" xr:uid="{00000000-0005-0000-0000-0000BB1A0000}"/>
    <cellStyle name="_MARION W10238916 21-11-08   (2)_CONCENTRATED QUOTE WLP401_Dekko HE P3-Classic P1 4" xfId="6634" xr:uid="{00000000-0005-0000-0000-0000BC1A0000}"/>
    <cellStyle name="_MARION W10238916 21-11-08   (2)_CONCENTRATED QUOTE WLP401_ESTC1CLY0012" xfId="6635" xr:uid="{00000000-0005-0000-0000-0000BD1A0000}"/>
    <cellStyle name="_MARION W10238916 21-11-08   (2)_CONCENTRATED QUOTE WLP401_ESTC1CLY0012 2" xfId="6636" xr:uid="{00000000-0005-0000-0000-0000BE1A0000}"/>
    <cellStyle name="_MARION W10238916 21-11-08   (2)_CONCENTRATED QUOTE WLP401_ESTC1CLY0012 3" xfId="6637" xr:uid="{00000000-0005-0000-0000-0000BF1A0000}"/>
    <cellStyle name="_MARION W10238916 21-11-08   (2)_CONCENTRATED QUOTE WLP401_ESTC1CLY0012 4" xfId="6638" xr:uid="{00000000-0005-0000-0000-0000C01A0000}"/>
    <cellStyle name="_MARION W10238916 21-11-08   (2)_CONCENTRATED QUOTE WLP401_ESTC1CLY0013" xfId="6639" xr:uid="{00000000-0005-0000-0000-0000C11A0000}"/>
    <cellStyle name="_MARION W10238916 21-11-08   (2)_CONCENTRATED QUOTE WLP401_ESTC1CLY0013 2" xfId="6640" xr:uid="{00000000-0005-0000-0000-0000C21A0000}"/>
    <cellStyle name="_MARION W10238916 21-11-08   (2)_CONCENTRATED QUOTE WLP401_ESTC1CLY0013 3" xfId="6641" xr:uid="{00000000-0005-0000-0000-0000C31A0000}"/>
    <cellStyle name="_MARION W10238916 21-11-08   (2)_CONCENTRATED QUOTE WLP401_ESTC1CLY0013 4" xfId="6642" xr:uid="{00000000-0005-0000-0000-0000C41A0000}"/>
    <cellStyle name="_MARION W10238916 21-11-08   (2)_CONCENTRATED QUOTE WLP401_ESTC1FIN018" xfId="6643" xr:uid="{00000000-0005-0000-0000-0000C51A0000}"/>
    <cellStyle name="_MARION W10238916 21-11-08   (2)_CONCENTRATED QUOTE WLP401_Estimated Quote 050609 039" xfId="6644" xr:uid="{00000000-0005-0000-0000-0000C61A0000}"/>
    <cellStyle name="_MARION W10238916 21-11-08   (2)_CONCENTRATED QUOTE WLP401_Estimated Quote 050609 039 2" xfId="6645" xr:uid="{00000000-0005-0000-0000-0000C71A0000}"/>
    <cellStyle name="_MARION W10238916 21-11-08   (2)_CONCENTRATED QUOTE WLP401_Estimated Quote 050609 039 3" xfId="6646" xr:uid="{00000000-0005-0000-0000-0000C81A0000}"/>
    <cellStyle name="_MARION W10238916 21-11-08   (2)_CONCENTRATED QUOTE WLP401_Estimated Quote 050609 039 4" xfId="6647" xr:uid="{00000000-0005-0000-0000-0000C91A0000}"/>
    <cellStyle name="_MARION W10238916 21-11-08   (2)_CONCENTRATED QUOTE WLP401_Estimated Quote 050609 039 5" xfId="6648" xr:uid="{00000000-0005-0000-0000-0000CA1A0000}"/>
    <cellStyle name="_MARION W10238916 21-11-08   (2)_CONCENTRATED QUOTE WLP401_W01278760" xfId="6649" xr:uid="{00000000-0005-0000-0000-0000CB1A0000}"/>
    <cellStyle name="_MARION W10238916 21-11-08   (2)_CONCENTRATED QUOTE WLP401_W01278760 2" xfId="6650" xr:uid="{00000000-0005-0000-0000-0000CC1A0000}"/>
    <cellStyle name="_MARION W10238916 21-11-08   (2)_CONCENTRATED QUOTE WLP401_W01278760 3" xfId="6651" xr:uid="{00000000-0005-0000-0000-0000CD1A0000}"/>
    <cellStyle name="_MARION W10238916 21-11-08   (2)_CONCENTRATED QUOTE WLP401_W01278760 4" xfId="6652" xr:uid="{00000000-0005-0000-0000-0000CE1A0000}"/>
    <cellStyle name="_MARION W10238916 21-11-08   (2)_CONCENTRATED QUOTE WLP401_W01278760 5" xfId="6653" xr:uid="{00000000-0005-0000-0000-0000CF1A0000}"/>
    <cellStyle name="_MARION W10238916 21-11-08   (2)_CONCENTRATED QUOTE WLP401_W10251442" xfId="6654" xr:uid="{00000000-0005-0000-0000-0000D01A0000}"/>
    <cellStyle name="_MARION W10238916 21-11-08   (2)_CONCENTRATED QUOTE WLP401_W10251443" xfId="6655" xr:uid="{00000000-0005-0000-0000-0000D11A0000}"/>
    <cellStyle name="_MARION W10238916 21-11-08   (2)_CONCENTRATED QUOTE WLP401_W10251444" xfId="6656" xr:uid="{00000000-0005-0000-0000-0000D21A0000}"/>
    <cellStyle name="_MARION W10238916 21-11-08   (2)_CONCENTRATED QUOTE WLP401_W10251766 D" xfId="6657" xr:uid="{00000000-0005-0000-0000-0000D31A0000}"/>
    <cellStyle name="_MARION W10238916 21-11-08   (2)_CONCENTRATED QUOTE WLP401_W10278758" xfId="6658" xr:uid="{00000000-0005-0000-0000-0000D41A0000}"/>
    <cellStyle name="_MARION W10238916 21-11-08   (2)_CONCENTRATED QUOTE WLP401_W10278758 2" xfId="6659" xr:uid="{00000000-0005-0000-0000-0000D51A0000}"/>
    <cellStyle name="_MARION W10238916 21-11-08   (2)_CONCENTRATED QUOTE WLP401_W10278758 3" xfId="6660" xr:uid="{00000000-0005-0000-0000-0000D61A0000}"/>
    <cellStyle name="_MARION W10238916 21-11-08   (2)_CONCENTRATED QUOTE WLP401_W10278758 4" xfId="6661" xr:uid="{00000000-0005-0000-0000-0000D71A0000}"/>
    <cellStyle name="_MARION W10238916 21-11-08   (2)_CONCENTRATED QUOTE WLP401_W10278758 5" xfId="6662" xr:uid="{00000000-0005-0000-0000-0000D81A0000}"/>
    <cellStyle name="_MARION W10238916 21-11-08   (2)_CONCENTRATED QUOTE WLP401_W10278759" xfId="6663" xr:uid="{00000000-0005-0000-0000-0000D91A0000}"/>
    <cellStyle name="_MARION W10238916 21-11-08   (2)_CONCENTRATED QUOTE WLP401_W10279106 y W10279107 de MR a 56i" xfId="6664" xr:uid="{00000000-0005-0000-0000-0000DA1A0000}"/>
    <cellStyle name="_MARION W10238916 21-11-08   (2)_CONCENTRATED QUOTE WLP401_W10290772" xfId="6665" xr:uid="{00000000-0005-0000-0000-0000DB1A0000}"/>
    <cellStyle name="_MARION W10238916 21-11-08   (2)_CONCENTRATED QUOTE WLP401_W10290772 2" xfId="6666" xr:uid="{00000000-0005-0000-0000-0000DC1A0000}"/>
    <cellStyle name="_MARION W10238916 21-11-08   (2)_CONCENTRATED QUOTE WLP401_W10290772 3" xfId="6667" xr:uid="{00000000-0005-0000-0000-0000DD1A0000}"/>
    <cellStyle name="_MARION W10238916 21-11-08   (2)_CONCENTRATED QUOTE WLP401_W10290772 4" xfId="6668" xr:uid="{00000000-0005-0000-0000-0000DE1A0000}"/>
    <cellStyle name="_MARION W10238916 21-11-08   (2)_CONCENTRATED QUOTE WLP401_W10290772 5" xfId="6669" xr:uid="{00000000-0005-0000-0000-0000DF1A0000}"/>
    <cellStyle name="_MARION W10238916 21-11-08   (2)_CONCENTRATED QUOTE WLP401_W10290774" xfId="6670" xr:uid="{00000000-0005-0000-0000-0000E01A0000}"/>
    <cellStyle name="_MARION W10238916 21-11-08   (2)_CONCENTRATED QUOTE WLP401_W10290774 2" xfId="6671" xr:uid="{00000000-0005-0000-0000-0000E11A0000}"/>
    <cellStyle name="_MARION W10238916 21-11-08   (2)_CONCENTRATED QUOTE WLP401_W10290774 3" xfId="6672" xr:uid="{00000000-0005-0000-0000-0000E21A0000}"/>
    <cellStyle name="_MARION W10238916 21-11-08   (2)_CONCENTRATED QUOTE WLP401_W10290774 4" xfId="6673" xr:uid="{00000000-0005-0000-0000-0000E31A0000}"/>
    <cellStyle name="_MARION W10238916 21-11-08   (2)_CONCENTRATED QUOTE WLP401_W10290774 5" xfId="6674" xr:uid="{00000000-0005-0000-0000-0000E41A0000}"/>
    <cellStyle name="_MARION W10238916 21-11-08   (2)_CONCENTRATED QUOTE WLP401_W10300883" xfId="6675" xr:uid="{00000000-0005-0000-0000-0000E51A0000}"/>
    <cellStyle name="_MARION W10238916 21-11-08   (2)_CONCENTRATED QUOTE WLP401_W10300883 2" xfId="6676" xr:uid="{00000000-0005-0000-0000-0000E61A0000}"/>
    <cellStyle name="_MARION W10238916 21-11-08   (2)_CONCENTRATED QUOTE WLP401_W10300883 3" xfId="6677" xr:uid="{00000000-0005-0000-0000-0000E71A0000}"/>
    <cellStyle name="_MARION W10238916 21-11-08   (2)_CONCENTRATED QUOTE WLP401_W10300883 4" xfId="6678" xr:uid="{00000000-0005-0000-0000-0000E81A0000}"/>
    <cellStyle name="_MARION W10238916 21-11-08   (2)_CONCENTRATED QUOTE WLP401_W10300883 5" xfId="6679" xr:uid="{00000000-0005-0000-0000-0000E91A0000}"/>
    <cellStyle name="_MARION W10238916 21-11-08   (2)_CONCENTRATED QUOTE WLP401_W10315922 A" xfId="6680" xr:uid="{00000000-0005-0000-0000-0000EA1A0000}"/>
    <cellStyle name="_MARION W10238916 21-11-08   (2)_CONCENTRATED QUOTE WLP401_WPFINDLAY-0037" xfId="6681" xr:uid="{00000000-0005-0000-0000-0000EB1A0000}"/>
    <cellStyle name="_MARION W10238916 21-11-08   (2)_CONCENTRATED QUOTE WLP401_WPN145 3954933" xfId="6682" xr:uid="{00000000-0005-0000-0000-0000EC1A0000}"/>
    <cellStyle name="_MARION W10238916 21-11-08   (2)_CONCENTRATED QUOTE WLP401_WPN145 3954933 2" xfId="6683" xr:uid="{00000000-0005-0000-0000-0000ED1A0000}"/>
    <cellStyle name="_MARION W10238916 21-11-08   (2)_CONCENTRATED QUOTE WLP401_WPN145 3954933 3" xfId="6684" xr:uid="{00000000-0005-0000-0000-0000EE1A0000}"/>
    <cellStyle name="_MARION W10238916 21-11-08   (2)_CONCENTRATED QUOTE WLP401_WPN145 3954933 4" xfId="6685" xr:uid="{00000000-0005-0000-0000-0000EF1A0000}"/>
    <cellStyle name="_MARION W10238916 21-11-08   (2)_CONCENTRATED QUOTE WLP401_WPN145 3954933 5" xfId="6686" xr:uid="{00000000-0005-0000-0000-0000F01A0000}"/>
    <cellStyle name="_MARION W10238916 21-11-08   (2)_CONCENTRATED QUOTE WLP401_WPN163 8576530" xfId="6687" xr:uid="{00000000-0005-0000-0000-0000F11A0000}"/>
    <cellStyle name="_MARION W10238916 21-11-08   (2)_CONCENTRATED QUOTE WLP401_WPN163 8576530 2" xfId="6688" xr:uid="{00000000-0005-0000-0000-0000F21A0000}"/>
    <cellStyle name="_MARION W10238916 21-11-08   (2)_CONCENTRATED QUOTE WLP401_WPN163 8576530 3" xfId="6689" xr:uid="{00000000-0005-0000-0000-0000F31A0000}"/>
    <cellStyle name="_MARION W10238916 21-11-08   (2)_CONCENTRATED QUOTE WLP401_WPN163 8576530 4" xfId="6690" xr:uid="{00000000-0005-0000-0000-0000F41A0000}"/>
    <cellStyle name="_MARION W10238916 21-11-08   (2)_CONCENTRATED QUOTE WLP401_xCONCENTRATED QUOTE 2" xfId="6691" xr:uid="{00000000-0005-0000-0000-0000F51A0000}"/>
    <cellStyle name="_MARION W10238916 21-11-08   (2)_CONCENTRATED QUOTE WLP401_xCONCENTRATED QUOTE 2 2" xfId="6692" xr:uid="{00000000-0005-0000-0000-0000F61A0000}"/>
    <cellStyle name="_MARION W10238916 21-11-08   (2)_CONCENTRATED QUOTE WLP401_xCONCENTRATED QUOTE 2 3" xfId="6693" xr:uid="{00000000-0005-0000-0000-0000F71A0000}"/>
    <cellStyle name="_MARION W10238916 21-11-08   (2)_CONCENTRATED QUOTE WLP401_xCONCENTRATED QUOTE 2 4" xfId="6694" xr:uid="{00000000-0005-0000-0000-0000F81A0000}"/>
    <cellStyle name="_MARION W10238916 21-11-08   (2)_CONCENTRATED QUOTE WLP401_xCONCENTRATED QUOTE 2 5" xfId="6695" xr:uid="{00000000-0005-0000-0000-0000F91A0000}"/>
    <cellStyle name="_MARION W10238916 21-11-08   (2)_CONCENTRATED QUOTE WLP401_xCONCENTRATED QUOTE 3" xfId="6696" xr:uid="{00000000-0005-0000-0000-0000FA1A0000}"/>
    <cellStyle name="_MARION W10238916 21-11-08   (2)_CONCENTRATED QUOTE WLP401_xCONCENTRATED QUOTE 3 2" xfId="6697" xr:uid="{00000000-0005-0000-0000-0000FB1A0000}"/>
    <cellStyle name="_MARION W10238916 21-11-08   (2)_CONCENTRATED QUOTE WLP401_xCONCENTRATED QUOTE 3 3" xfId="6698" xr:uid="{00000000-0005-0000-0000-0000FC1A0000}"/>
    <cellStyle name="_MARION W10238916 21-11-08   (2)_CONCENTRATED QUOTE WLP401_xCONCENTRATED QUOTE 3 4" xfId="6699" xr:uid="{00000000-0005-0000-0000-0000FD1A0000}"/>
    <cellStyle name="_MARION W10238916 21-11-08   (2)_CONCENTRATED QUOTE WLP401_xCONCENTRATED QUOTE 3 5" xfId="6700" xr:uid="{00000000-0005-0000-0000-0000FE1A0000}"/>
    <cellStyle name="_MARION W10238916 21-11-08   (2)_CONCENTRATED QUOTE WLP401_Xl0000004" xfId="6701" xr:uid="{00000000-0005-0000-0000-0000FF1A0000}"/>
    <cellStyle name="_MARION W10238916 21-11-08   (2)_CONCENTRATED QUOTE WLP401_Xl0000004 2" xfId="6702" xr:uid="{00000000-0005-0000-0000-0000001B0000}"/>
    <cellStyle name="_MARION W10238916 21-11-08   (2)_CONCENTRATED QUOTE WLP401_Xl0000004 3" xfId="6703" xr:uid="{00000000-0005-0000-0000-0000011B0000}"/>
    <cellStyle name="_MARION W10238916 21-11-08   (2)_CONCENTRATED QUOTE WLP401_Xl0000004 4" xfId="6704" xr:uid="{00000000-0005-0000-0000-0000021B0000}"/>
    <cellStyle name="_MARION W10238916 21-11-08   (2)_CONCENTRATED QUOTE WLP401_Xl0000004 5" xfId="6705" xr:uid="{00000000-0005-0000-0000-0000031B0000}"/>
    <cellStyle name="_MARION W10238916 21-11-08   (2)_CONCENTRATED QUOTE WLP403" xfId="6706" xr:uid="{00000000-0005-0000-0000-0000041B0000}"/>
    <cellStyle name="_MARION W10238916 21-11-08   (2)_CONCENTRATED QUOTE WLP403 2" xfId="6707" xr:uid="{00000000-0005-0000-0000-0000051B0000}"/>
    <cellStyle name="_MARION W10238916 21-11-08   (2)_CONCENTRATED QUOTE WLP403 3" xfId="6708" xr:uid="{00000000-0005-0000-0000-0000061B0000}"/>
    <cellStyle name="_MARION W10238916 21-11-08   (2)_CONCENTRATED QUOTE WLP403 4" xfId="6709" xr:uid="{00000000-0005-0000-0000-0000071B0000}"/>
    <cellStyle name="_MARION W10238916 21-11-08   (2)_CONCENTRATED QUOTE WLP403_862-CH" xfId="6710" xr:uid="{00000000-0005-0000-0000-0000081B0000}"/>
    <cellStyle name="_MARION W10238916 21-11-08   (2)_CONCENTRATED QUOTE WLP403_CONCENTRATED QUOTE WLP417 OP 3" xfId="6711" xr:uid="{00000000-0005-0000-0000-0000091B0000}"/>
    <cellStyle name="_MARION W10238916 21-11-08   (2)_CONCENTRATED QUOTE WLP403_CONCENTRATED QUOTE WLP417 OP 3 2" xfId="6712" xr:uid="{00000000-0005-0000-0000-00000A1B0000}"/>
    <cellStyle name="_MARION W10238916 21-11-08   (2)_CONCENTRATED QUOTE WLP403_CONCENTRATED QUOTE WLP417 OP 3 2 2" xfId="6713" xr:uid="{00000000-0005-0000-0000-00000B1B0000}"/>
    <cellStyle name="_MARION W10238916 21-11-08   (2)_CONCENTRATED QUOTE WLP403_CONCENTRATED QUOTE WLP417 OP 3 2 3" xfId="6714" xr:uid="{00000000-0005-0000-0000-00000C1B0000}"/>
    <cellStyle name="_MARION W10238916 21-11-08   (2)_CONCENTRATED QUOTE WLP403_CONCENTRATED QUOTE WLP417 OP 3 2 4" xfId="6715" xr:uid="{00000000-0005-0000-0000-00000D1B0000}"/>
    <cellStyle name="_MARION W10238916 21-11-08   (2)_CONCENTRATED QUOTE WLP403_CONCENTRATED QUOTE WLP417 OP 3 3" xfId="6716" xr:uid="{00000000-0005-0000-0000-00000E1B0000}"/>
    <cellStyle name="_MARION W10238916 21-11-08   (2)_CONCENTRATED QUOTE WLP403_CONCENTRATED QUOTE WLP417 OP 3_862-CH" xfId="6717" xr:uid="{00000000-0005-0000-0000-00000F1B0000}"/>
    <cellStyle name="_MARION W10238916 21-11-08   (2)_CONCENTRATED QUOTE WLP403_CONCENTRATED QUOTE WLP417 OP 3_W10251766 D" xfId="6718" xr:uid="{00000000-0005-0000-0000-0000101B0000}"/>
    <cellStyle name="_MARION W10238916 21-11-08   (2)_CONCENTRATED QUOTE WLP403_CONCENTRATED QUOTE WLP417 OP 3_W10279106 y W10279107 de MR a 56i" xfId="6719" xr:uid="{00000000-0005-0000-0000-0000111B0000}"/>
    <cellStyle name="_MARION W10238916 21-11-08   (2)_CONCENTRATED QUOTE WLP403_CONCENTRATED QUOTE WLP417 OP 3_W10315922 A" xfId="6720" xr:uid="{00000000-0005-0000-0000-0000121B0000}"/>
    <cellStyle name="_MARION W10238916 21-11-08   (2)_CONCENTRATED QUOTE WLP403_CONCENTRATED QUOTE WLP417 OP 4" xfId="6721" xr:uid="{00000000-0005-0000-0000-0000131B0000}"/>
    <cellStyle name="_MARION W10238916 21-11-08   (2)_CONCENTRATED QUOTE WLP403_CONCENTRATED QUOTE WLP417 OP 4 2" xfId="6722" xr:uid="{00000000-0005-0000-0000-0000141B0000}"/>
    <cellStyle name="_MARION W10238916 21-11-08   (2)_CONCENTRATED QUOTE WLP403_CONCENTRATED QUOTE WLP417 OP 4 2 2" xfId="6723" xr:uid="{00000000-0005-0000-0000-0000151B0000}"/>
    <cellStyle name="_MARION W10238916 21-11-08   (2)_CONCENTRATED QUOTE WLP403_CONCENTRATED QUOTE WLP417 OP 4 2 3" xfId="6724" xr:uid="{00000000-0005-0000-0000-0000161B0000}"/>
    <cellStyle name="_MARION W10238916 21-11-08   (2)_CONCENTRATED QUOTE WLP403_CONCENTRATED QUOTE WLP417 OP 4 2 4" xfId="6725" xr:uid="{00000000-0005-0000-0000-0000171B0000}"/>
    <cellStyle name="_MARION W10238916 21-11-08   (2)_CONCENTRATED QUOTE WLP403_CONCENTRATED QUOTE WLP417 OP 4 3" xfId="6726" xr:uid="{00000000-0005-0000-0000-0000181B0000}"/>
    <cellStyle name="_MARION W10238916 21-11-08   (2)_CONCENTRATED QUOTE WLP403_CONCENTRATED QUOTE WLP417 OP 4_862-CH" xfId="6727" xr:uid="{00000000-0005-0000-0000-0000191B0000}"/>
    <cellStyle name="_MARION W10238916 21-11-08   (2)_CONCENTRATED QUOTE WLP403_CONCENTRATED QUOTE WLP417 OP 4_W10251766 D" xfId="6728" xr:uid="{00000000-0005-0000-0000-00001A1B0000}"/>
    <cellStyle name="_MARION W10238916 21-11-08   (2)_CONCENTRATED QUOTE WLP403_CONCENTRATED QUOTE WLP417 OP 4_W10279106 y W10279107 de MR a 56i" xfId="6729" xr:uid="{00000000-0005-0000-0000-00001B1B0000}"/>
    <cellStyle name="_MARION W10238916 21-11-08   (2)_CONCENTRATED QUOTE WLP403_CONCENTRATED QUOTE WLP417 OP 4_W10315922 A" xfId="6730" xr:uid="{00000000-0005-0000-0000-00001C1B0000}"/>
    <cellStyle name="_MARION W10238916 21-11-08   (2)_CONCENTRATED QUOTE WLP403_CONCENTRATED QUOTE WLP417 OP 5" xfId="6731" xr:uid="{00000000-0005-0000-0000-00001D1B0000}"/>
    <cellStyle name="_MARION W10238916 21-11-08   (2)_CONCENTRATED QUOTE WLP403_CONCENTRATED QUOTE WLP417 OP 5 2" xfId="6732" xr:uid="{00000000-0005-0000-0000-00001E1B0000}"/>
    <cellStyle name="_MARION W10238916 21-11-08   (2)_CONCENTRATED QUOTE WLP403_CONCENTRATED QUOTE WLP417 OP 5 2 2" xfId="6733" xr:uid="{00000000-0005-0000-0000-00001F1B0000}"/>
    <cellStyle name="_MARION W10238916 21-11-08   (2)_CONCENTRATED QUOTE WLP403_CONCENTRATED QUOTE WLP417 OP 5 2 3" xfId="6734" xr:uid="{00000000-0005-0000-0000-0000201B0000}"/>
    <cellStyle name="_MARION W10238916 21-11-08   (2)_CONCENTRATED QUOTE WLP403_CONCENTRATED QUOTE WLP417 OP 5 2 4" xfId="6735" xr:uid="{00000000-0005-0000-0000-0000211B0000}"/>
    <cellStyle name="_MARION W10238916 21-11-08   (2)_CONCENTRATED QUOTE WLP403_CONCENTRATED QUOTE WLP417 OP 5 3" xfId="6736" xr:uid="{00000000-0005-0000-0000-0000221B0000}"/>
    <cellStyle name="_MARION W10238916 21-11-08   (2)_CONCENTRATED QUOTE WLP403_CONCENTRATED QUOTE WLP417 OP 5_862-CH" xfId="6737" xr:uid="{00000000-0005-0000-0000-0000231B0000}"/>
    <cellStyle name="_MARION W10238916 21-11-08   (2)_CONCENTRATED QUOTE WLP403_CONCENTRATED QUOTE WLP417 OP 5_W10251766 D" xfId="6738" xr:uid="{00000000-0005-0000-0000-0000241B0000}"/>
    <cellStyle name="_MARION W10238916 21-11-08   (2)_CONCENTRATED QUOTE WLP403_CONCENTRATED QUOTE WLP417 OP 5_W10279106 y W10279107 de MR a 56i" xfId="6739" xr:uid="{00000000-0005-0000-0000-0000251B0000}"/>
    <cellStyle name="_MARION W10238916 21-11-08   (2)_CONCENTRATED QUOTE WLP403_CONCENTRATED QUOTE WLP417 OP 5_W10315922 A" xfId="6740" xr:uid="{00000000-0005-0000-0000-0000261B0000}"/>
    <cellStyle name="_MARION W10238916 21-11-08   (2)_CONCENTRATED QUOTE WLP403_CONCENTRATED QUOTE WLP417 OP 6" xfId="6741" xr:uid="{00000000-0005-0000-0000-0000271B0000}"/>
    <cellStyle name="_MARION W10238916 21-11-08   (2)_CONCENTRATED QUOTE WLP403_CONCENTRATED QUOTE WLP417 OP 6 2" xfId="6742" xr:uid="{00000000-0005-0000-0000-0000281B0000}"/>
    <cellStyle name="_MARION W10238916 21-11-08   (2)_CONCENTRATED QUOTE WLP403_CONCENTRATED QUOTE WLP417 OP 6 2 2" xfId="6743" xr:uid="{00000000-0005-0000-0000-0000291B0000}"/>
    <cellStyle name="_MARION W10238916 21-11-08   (2)_CONCENTRATED QUOTE WLP403_CONCENTRATED QUOTE WLP417 OP 6 2 3" xfId="6744" xr:uid="{00000000-0005-0000-0000-00002A1B0000}"/>
    <cellStyle name="_MARION W10238916 21-11-08   (2)_CONCENTRATED QUOTE WLP403_CONCENTRATED QUOTE WLP417 OP 6 2 4" xfId="6745" xr:uid="{00000000-0005-0000-0000-00002B1B0000}"/>
    <cellStyle name="_MARION W10238916 21-11-08   (2)_CONCENTRATED QUOTE WLP403_CONCENTRATED QUOTE WLP417 OP 6 3" xfId="6746" xr:uid="{00000000-0005-0000-0000-00002C1B0000}"/>
    <cellStyle name="_MARION W10238916 21-11-08   (2)_CONCENTRATED QUOTE WLP403_CONCENTRATED QUOTE WLP417 OP 6_862-CH" xfId="6747" xr:uid="{00000000-0005-0000-0000-00002D1B0000}"/>
    <cellStyle name="_MARION W10238916 21-11-08   (2)_CONCENTRATED QUOTE WLP403_CONCENTRATED QUOTE WLP417 OP 6_W10251766 D" xfId="6748" xr:uid="{00000000-0005-0000-0000-00002E1B0000}"/>
    <cellStyle name="_MARION W10238916 21-11-08   (2)_CONCENTRATED QUOTE WLP403_CONCENTRATED QUOTE WLP417 OP 6_W10279106 y W10279107 de MR a 56i" xfId="6749" xr:uid="{00000000-0005-0000-0000-00002F1B0000}"/>
    <cellStyle name="_MARION W10238916 21-11-08   (2)_CONCENTRATED QUOTE WLP403_CONCENTRATED QUOTE WLP417 OP 6_W10315922 A" xfId="6750" xr:uid="{00000000-0005-0000-0000-0000301B0000}"/>
    <cellStyle name="_MARION W10238916 21-11-08   (2)_CONCENTRATED QUOTE WLP403_Op 1 VMW Base Line Molex" xfId="6751" xr:uid="{00000000-0005-0000-0000-0000311B0000}"/>
    <cellStyle name="_MARION W10238916 21-11-08   (2)_CONCENTRATED QUOTE WLP403_Op 1 VMW Base Line Molex 2" xfId="6752" xr:uid="{00000000-0005-0000-0000-0000321B0000}"/>
    <cellStyle name="_MARION W10238916 21-11-08   (2)_CONCENTRATED QUOTE WLP403_Op 1 VMW Base Line Molex 2 2" xfId="6753" xr:uid="{00000000-0005-0000-0000-0000331B0000}"/>
    <cellStyle name="_MARION W10238916 21-11-08   (2)_CONCENTRATED QUOTE WLP403_Op 1 VMW Base Line Molex 2 3" xfId="6754" xr:uid="{00000000-0005-0000-0000-0000341B0000}"/>
    <cellStyle name="_MARION W10238916 21-11-08   (2)_CONCENTRATED QUOTE WLP403_Op 1 VMW Base Line Molex 2 4" xfId="6755" xr:uid="{00000000-0005-0000-0000-0000351B0000}"/>
    <cellStyle name="_MARION W10238916 21-11-08   (2)_CONCENTRATED QUOTE WLP403_Op 1 VMW Base Line Molex 3" xfId="6756" xr:uid="{00000000-0005-0000-0000-0000361B0000}"/>
    <cellStyle name="_MARION W10238916 21-11-08   (2)_CONCENTRATED QUOTE WLP403_Op 1 VMW Base Line Molex_862-CH" xfId="6757" xr:uid="{00000000-0005-0000-0000-0000371B0000}"/>
    <cellStyle name="_MARION W10238916 21-11-08   (2)_CONCENTRATED QUOTE WLP403_Op 1 VMW Base Line Molex_W10251766 D" xfId="6758" xr:uid="{00000000-0005-0000-0000-0000381B0000}"/>
    <cellStyle name="_MARION W10238916 21-11-08   (2)_CONCENTRATED QUOTE WLP403_Op 1 VMW Base Line Molex_W10279106 y W10279107 de MR a 56i" xfId="6759" xr:uid="{00000000-0005-0000-0000-0000391B0000}"/>
    <cellStyle name="_MARION W10238916 21-11-08   (2)_CONCENTRATED QUOTE WLP403_Op 1 VMW Base Line Molex_W10315922 A" xfId="6760" xr:uid="{00000000-0005-0000-0000-00003A1B0000}"/>
    <cellStyle name="_MARION W10238916 21-11-08   (2)_CONCENTRATED QUOTE WLP403_Op 8 VMW TYCO Splice Option" xfId="6761" xr:uid="{00000000-0005-0000-0000-00003B1B0000}"/>
    <cellStyle name="_MARION W10238916 21-11-08   (2)_CONCENTRATED QUOTE WLP403_Op 8 VMW TYCO Splice Option - Per Conference 3-27-2009" xfId="6762" xr:uid="{00000000-0005-0000-0000-00003C1B0000}"/>
    <cellStyle name="_MARION W10238916 21-11-08   (2)_CONCENTRATED QUOTE WLP403_Op 8 VMW TYCO Splice Option - Per Conference 3-27-2009 2" xfId="6763" xr:uid="{00000000-0005-0000-0000-00003D1B0000}"/>
    <cellStyle name="_MARION W10238916 21-11-08   (2)_CONCENTRATED QUOTE WLP403_Op 8 VMW TYCO Splice Option - Per Conference 3-27-2009 2 2" xfId="6764" xr:uid="{00000000-0005-0000-0000-00003E1B0000}"/>
    <cellStyle name="_MARION W10238916 21-11-08   (2)_CONCENTRATED QUOTE WLP403_Op 8 VMW TYCO Splice Option - Per Conference 3-27-2009 2 3" xfId="6765" xr:uid="{00000000-0005-0000-0000-00003F1B0000}"/>
    <cellStyle name="_MARION W10238916 21-11-08   (2)_CONCENTRATED QUOTE WLP403_Op 8 VMW TYCO Splice Option - Per Conference 3-27-2009 2 4" xfId="6766" xr:uid="{00000000-0005-0000-0000-0000401B0000}"/>
    <cellStyle name="_MARION W10238916 21-11-08   (2)_CONCENTRATED QUOTE WLP403_Op 8 VMW TYCO Splice Option - Per Conference 3-27-2009 3" xfId="6767" xr:uid="{00000000-0005-0000-0000-0000411B0000}"/>
    <cellStyle name="_MARION W10238916 21-11-08   (2)_CONCENTRATED QUOTE WLP403_Op 8 VMW TYCO Splice Option - Per Conference 3-27-2009_862-CH" xfId="6768" xr:uid="{00000000-0005-0000-0000-0000421B0000}"/>
    <cellStyle name="_MARION W10238916 21-11-08   (2)_CONCENTRATED QUOTE WLP403_Op 8 VMW TYCO Splice Option - Per Conference 3-27-2009_W10251766 D" xfId="6769" xr:uid="{00000000-0005-0000-0000-0000431B0000}"/>
    <cellStyle name="_MARION W10238916 21-11-08   (2)_CONCENTRATED QUOTE WLP403_Op 8 VMW TYCO Splice Option - Per Conference 3-27-2009_W10279106 y W10279107 de MR a 56i" xfId="6770" xr:uid="{00000000-0005-0000-0000-0000441B0000}"/>
    <cellStyle name="_MARION W10238916 21-11-08   (2)_CONCENTRATED QUOTE WLP403_Op 8 VMW TYCO Splice Option - Per Conference 3-27-2009_W10315922 A" xfId="6771" xr:uid="{00000000-0005-0000-0000-0000451B0000}"/>
    <cellStyle name="_MARION W10238916 21-11-08   (2)_CONCENTRATED QUOTE WLP403_Op 8 VMW TYCO Splice Option 10" xfId="6772" xr:uid="{00000000-0005-0000-0000-0000461B0000}"/>
    <cellStyle name="_MARION W10238916 21-11-08   (2)_CONCENTRATED QUOTE WLP403_Op 8 VMW TYCO Splice Option 11" xfId="6773" xr:uid="{00000000-0005-0000-0000-0000471B0000}"/>
    <cellStyle name="_MARION W10238916 21-11-08   (2)_CONCENTRATED QUOTE WLP403_Op 8 VMW TYCO Splice Option 12" xfId="6774" xr:uid="{00000000-0005-0000-0000-0000481B0000}"/>
    <cellStyle name="_MARION W10238916 21-11-08   (2)_CONCENTRATED QUOTE WLP403_Op 8 VMW TYCO Splice Option 13" xfId="6775" xr:uid="{00000000-0005-0000-0000-0000491B0000}"/>
    <cellStyle name="_MARION W10238916 21-11-08   (2)_CONCENTRATED QUOTE WLP403_Op 8 VMW TYCO Splice Option 2" xfId="6776" xr:uid="{00000000-0005-0000-0000-00004A1B0000}"/>
    <cellStyle name="_MARION W10238916 21-11-08   (2)_CONCENTRATED QUOTE WLP403_Op 8 VMW TYCO Splice Option 2 2" xfId="6777" xr:uid="{00000000-0005-0000-0000-00004B1B0000}"/>
    <cellStyle name="_MARION W10238916 21-11-08   (2)_CONCENTRATED QUOTE WLP403_Op 8 VMW TYCO Splice Option 2 3" xfId="6778" xr:uid="{00000000-0005-0000-0000-00004C1B0000}"/>
    <cellStyle name="_MARION W10238916 21-11-08   (2)_CONCENTRATED QUOTE WLP403_Op 8 VMW TYCO Splice Option 2 4" xfId="6779" xr:uid="{00000000-0005-0000-0000-00004D1B0000}"/>
    <cellStyle name="_MARION W10238916 21-11-08   (2)_CONCENTRATED QUOTE WLP403_Op 8 VMW TYCO Splice Option 3" xfId="6780" xr:uid="{00000000-0005-0000-0000-00004E1B0000}"/>
    <cellStyle name="_MARION W10238916 21-11-08   (2)_CONCENTRATED QUOTE WLP403_Op 8 VMW TYCO Splice Option 4" xfId="6781" xr:uid="{00000000-0005-0000-0000-00004F1B0000}"/>
    <cellStyle name="_MARION W10238916 21-11-08   (2)_CONCENTRATED QUOTE WLP403_Op 8 VMW TYCO Splice Option 5" xfId="6782" xr:uid="{00000000-0005-0000-0000-0000501B0000}"/>
    <cellStyle name="_MARION W10238916 21-11-08   (2)_CONCENTRATED QUOTE WLP403_Op 8 VMW TYCO Splice Option 6" xfId="6783" xr:uid="{00000000-0005-0000-0000-0000511B0000}"/>
    <cellStyle name="_MARION W10238916 21-11-08   (2)_CONCENTRATED QUOTE WLP403_Op 8 VMW TYCO Splice Option 7" xfId="6784" xr:uid="{00000000-0005-0000-0000-0000521B0000}"/>
    <cellStyle name="_MARION W10238916 21-11-08   (2)_CONCENTRATED QUOTE WLP403_Op 8 VMW TYCO Splice Option 8" xfId="6785" xr:uid="{00000000-0005-0000-0000-0000531B0000}"/>
    <cellStyle name="_MARION W10238916 21-11-08   (2)_CONCENTRATED QUOTE WLP403_Op 8 VMW TYCO Splice Option 9" xfId="6786" xr:uid="{00000000-0005-0000-0000-0000541B0000}"/>
    <cellStyle name="_MARION W10238916 21-11-08   (2)_CONCENTRATED QUOTE WLP403_Op 8 VMW TYCO Splice Option_862-CH" xfId="6787" xr:uid="{00000000-0005-0000-0000-0000551B0000}"/>
    <cellStyle name="_MARION W10238916 21-11-08   (2)_CONCENTRATED QUOTE WLP403_Op 8 VMW TYCO Splice Option_W10251766 D" xfId="6788" xr:uid="{00000000-0005-0000-0000-0000561B0000}"/>
    <cellStyle name="_MARION W10238916 21-11-08   (2)_CONCENTRATED QUOTE WLP403_Op 8 VMW TYCO Splice Option_W10279106 y W10279107 de MR a 56i" xfId="6789" xr:uid="{00000000-0005-0000-0000-0000571B0000}"/>
    <cellStyle name="_MARION W10238916 21-11-08   (2)_CONCENTRATED QUOTE WLP403_Op 8 VMW TYCO Splice Option_W10315922 A" xfId="6790" xr:uid="{00000000-0005-0000-0000-0000581B0000}"/>
    <cellStyle name="_MARION W10238916 21-11-08   (2)_CONCENTRATED QUOTE WLP403_W10251766 D" xfId="6791" xr:uid="{00000000-0005-0000-0000-0000591B0000}"/>
    <cellStyle name="_MARION W10238916 21-11-08   (2)_CONCENTRATED QUOTE WLP403_W10279106 y W10279107 de MR a 56i" xfId="6792" xr:uid="{00000000-0005-0000-0000-00005A1B0000}"/>
    <cellStyle name="_MARION W10238916 21-11-08   (2)_CONCENTRATED QUOTE WLP403_W10315922 A" xfId="6793" xr:uid="{00000000-0005-0000-0000-00005B1B0000}"/>
    <cellStyle name="_MARION W10238916 21-11-08   (2)_L1568 137097800 0986 A" xfId="6794" xr:uid="{00000000-0005-0000-0000-00005C1B0000}"/>
    <cellStyle name="_MARION W10238916 21-11-08   (2)_L1568 137097800 0986 A 2" xfId="6795" xr:uid="{00000000-0005-0000-0000-00005D1B0000}"/>
    <cellStyle name="_MARION W10238916 21-11-08   (2)_L1568 137097800 0986 A 3" xfId="6796" xr:uid="{00000000-0005-0000-0000-00005E1B0000}"/>
    <cellStyle name="_MARION W10238916 21-11-08   (2)_L1568 137097800 0986 A 4" xfId="6797" xr:uid="{00000000-0005-0000-0000-00005F1B0000}"/>
    <cellStyle name="_MARION W10238916 21-11-08   (2)_L1568 137097800 0986 A 5" xfId="6798" xr:uid="{00000000-0005-0000-0000-0000601B0000}"/>
    <cellStyle name="_MARION W10238916 21-11-08   (2)_W10251766 D" xfId="6799" xr:uid="{00000000-0005-0000-0000-0000611B0000}"/>
    <cellStyle name="_MARION W10238916 21-11-08   (2)_W10279106 y W10279107 de MR a 56i" xfId="6800" xr:uid="{00000000-0005-0000-0000-0000621B0000}"/>
    <cellStyle name="_MARION W10238916 21-11-08   (2)_W10315922 A" xfId="6801" xr:uid="{00000000-0005-0000-0000-0000631B0000}"/>
    <cellStyle name="_MARION W10238916 21-11-08   (2)_WLP FP Format1" xfId="6802" xr:uid="{00000000-0005-0000-0000-0000641B0000}"/>
    <cellStyle name="_MARION W10238916 21-11-08   (2)_WLP FP Format1 2" xfId="6803" xr:uid="{00000000-0005-0000-0000-0000651B0000}"/>
    <cellStyle name="_MARION W10238916 21-11-08   (2)_WLP FP Format1 3" xfId="24839" xr:uid="{00000000-0005-0000-0000-0000661B0000}"/>
    <cellStyle name="_MARION W10238916 21-11-08   (2)_WLP FP Format1_862-CH" xfId="6804" xr:uid="{00000000-0005-0000-0000-0000671B0000}"/>
    <cellStyle name="_MARION W10238916 21-11-08   (2)_WLP FP Format1_CONCENTRATED QUOTE WLP417 Dave approval2" xfId="6805" xr:uid="{00000000-0005-0000-0000-0000681B0000}"/>
    <cellStyle name="_MARION W10238916 21-11-08   (2)_WLP FP Format1_CONCENTRATED QUOTE WLP417 Dave approval2 2" xfId="6806" xr:uid="{00000000-0005-0000-0000-0000691B0000}"/>
    <cellStyle name="_MARION W10238916 21-11-08   (2)_WLP FP Format1_CONCENTRATED QUOTE WLP417 Dave approval2 3" xfId="6807" xr:uid="{00000000-0005-0000-0000-00006A1B0000}"/>
    <cellStyle name="_MARION W10238916 21-11-08   (2)_WLP FP Format1_CONCENTRATED QUOTE WLP417 Dave approval2 4" xfId="6808" xr:uid="{00000000-0005-0000-0000-00006B1B0000}"/>
    <cellStyle name="_MARION W10238916 21-11-08   (2)_WLP FP Format1_CONCENTRATED QUOTE WLP417 Dave approval2_862-CH" xfId="6809" xr:uid="{00000000-0005-0000-0000-00006C1B0000}"/>
    <cellStyle name="_MARION W10238916 21-11-08   (2)_WLP FP Format1_CONCENTRATED QUOTE WLP417 Dave approval2_W10251766 D" xfId="6810" xr:uid="{00000000-0005-0000-0000-00006D1B0000}"/>
    <cellStyle name="_MARION W10238916 21-11-08   (2)_WLP FP Format1_CONCENTRATED QUOTE WLP417 Dave approval2_W10279106 y W10279107 de MR a 56i" xfId="6811" xr:uid="{00000000-0005-0000-0000-00006E1B0000}"/>
    <cellStyle name="_MARION W10238916 21-11-08   (2)_WLP FP Format1_CONCENTRATED QUOTE WLP417 Dave approval2_W10315922 A" xfId="6812" xr:uid="{00000000-0005-0000-0000-00006F1B0000}"/>
    <cellStyle name="_MARION W10238916 21-11-08   (2)_WLP FP Format1_CONCENTRATED QUOTE WLP417 OP 3" xfId="6813" xr:uid="{00000000-0005-0000-0000-0000701B0000}"/>
    <cellStyle name="_MARION W10238916 21-11-08   (2)_WLP FP Format1_CONCENTRATED QUOTE WLP417 OP 3 2" xfId="6814" xr:uid="{00000000-0005-0000-0000-0000711B0000}"/>
    <cellStyle name="_MARION W10238916 21-11-08   (2)_WLP FP Format1_CONCENTRATED QUOTE WLP417 OP 3 2 2" xfId="6815" xr:uid="{00000000-0005-0000-0000-0000721B0000}"/>
    <cellStyle name="_MARION W10238916 21-11-08   (2)_WLP FP Format1_CONCENTRATED QUOTE WLP417 OP 3 2 3" xfId="6816" xr:uid="{00000000-0005-0000-0000-0000731B0000}"/>
    <cellStyle name="_MARION W10238916 21-11-08   (2)_WLP FP Format1_CONCENTRATED QUOTE WLP417 OP 3 2 4" xfId="6817" xr:uid="{00000000-0005-0000-0000-0000741B0000}"/>
    <cellStyle name="_MARION W10238916 21-11-08   (2)_WLP FP Format1_CONCENTRATED QUOTE WLP417 OP 3 3" xfId="6818" xr:uid="{00000000-0005-0000-0000-0000751B0000}"/>
    <cellStyle name="_MARION W10238916 21-11-08   (2)_WLP FP Format1_CONCENTRATED QUOTE WLP417 OP 3_862-CH" xfId="6819" xr:uid="{00000000-0005-0000-0000-0000761B0000}"/>
    <cellStyle name="_MARION W10238916 21-11-08   (2)_WLP FP Format1_CONCENTRATED QUOTE WLP417 OP 3_W10251766 D" xfId="6820" xr:uid="{00000000-0005-0000-0000-0000771B0000}"/>
    <cellStyle name="_MARION W10238916 21-11-08   (2)_WLP FP Format1_CONCENTRATED QUOTE WLP417 OP 3_W10279106 y W10279107 de MR a 56i" xfId="6821" xr:uid="{00000000-0005-0000-0000-0000781B0000}"/>
    <cellStyle name="_MARION W10238916 21-11-08   (2)_WLP FP Format1_CONCENTRATED QUOTE WLP417 OP 3_W10315922 A" xfId="6822" xr:uid="{00000000-0005-0000-0000-0000791B0000}"/>
    <cellStyle name="_MARION W10238916 21-11-08   (2)_WLP FP Format1_CONCENTRATED QUOTE WLP417 OP 4" xfId="6823" xr:uid="{00000000-0005-0000-0000-00007A1B0000}"/>
    <cellStyle name="_MARION W10238916 21-11-08   (2)_WLP FP Format1_CONCENTRATED QUOTE WLP417 OP 4 2" xfId="6824" xr:uid="{00000000-0005-0000-0000-00007B1B0000}"/>
    <cellStyle name="_MARION W10238916 21-11-08   (2)_WLP FP Format1_CONCENTRATED QUOTE WLP417 OP 4 2 2" xfId="6825" xr:uid="{00000000-0005-0000-0000-00007C1B0000}"/>
    <cellStyle name="_MARION W10238916 21-11-08   (2)_WLP FP Format1_CONCENTRATED QUOTE WLP417 OP 4 2 3" xfId="6826" xr:uid="{00000000-0005-0000-0000-00007D1B0000}"/>
    <cellStyle name="_MARION W10238916 21-11-08   (2)_WLP FP Format1_CONCENTRATED QUOTE WLP417 OP 4 2 4" xfId="6827" xr:uid="{00000000-0005-0000-0000-00007E1B0000}"/>
    <cellStyle name="_MARION W10238916 21-11-08   (2)_WLP FP Format1_CONCENTRATED QUOTE WLP417 OP 4 3" xfId="6828" xr:uid="{00000000-0005-0000-0000-00007F1B0000}"/>
    <cellStyle name="_MARION W10238916 21-11-08   (2)_WLP FP Format1_CONCENTRATED QUOTE WLP417 OP 4_862-CH" xfId="6829" xr:uid="{00000000-0005-0000-0000-0000801B0000}"/>
    <cellStyle name="_MARION W10238916 21-11-08   (2)_WLP FP Format1_CONCENTRATED QUOTE WLP417 OP 4_W10251766 D" xfId="6830" xr:uid="{00000000-0005-0000-0000-0000811B0000}"/>
    <cellStyle name="_MARION W10238916 21-11-08   (2)_WLP FP Format1_CONCENTRATED QUOTE WLP417 OP 4_W10279106 y W10279107 de MR a 56i" xfId="6831" xr:uid="{00000000-0005-0000-0000-0000821B0000}"/>
    <cellStyle name="_MARION W10238916 21-11-08   (2)_WLP FP Format1_CONCENTRATED QUOTE WLP417 OP 4_W10315922 A" xfId="6832" xr:uid="{00000000-0005-0000-0000-0000831B0000}"/>
    <cellStyle name="_MARION W10238916 21-11-08   (2)_WLP FP Format1_CONCENTRATED QUOTE WLP417 OP 5" xfId="6833" xr:uid="{00000000-0005-0000-0000-0000841B0000}"/>
    <cellStyle name="_MARION W10238916 21-11-08   (2)_WLP FP Format1_CONCENTRATED QUOTE WLP417 OP 5 2" xfId="6834" xr:uid="{00000000-0005-0000-0000-0000851B0000}"/>
    <cellStyle name="_MARION W10238916 21-11-08   (2)_WLP FP Format1_CONCENTRATED QUOTE WLP417 OP 5 2 2" xfId="6835" xr:uid="{00000000-0005-0000-0000-0000861B0000}"/>
    <cellStyle name="_MARION W10238916 21-11-08   (2)_WLP FP Format1_CONCENTRATED QUOTE WLP417 OP 5 2 3" xfId="6836" xr:uid="{00000000-0005-0000-0000-0000871B0000}"/>
    <cellStyle name="_MARION W10238916 21-11-08   (2)_WLP FP Format1_CONCENTRATED QUOTE WLP417 OP 5 2 4" xfId="6837" xr:uid="{00000000-0005-0000-0000-0000881B0000}"/>
    <cellStyle name="_MARION W10238916 21-11-08   (2)_WLP FP Format1_CONCENTRATED QUOTE WLP417 OP 5 3" xfId="6838" xr:uid="{00000000-0005-0000-0000-0000891B0000}"/>
    <cellStyle name="_MARION W10238916 21-11-08   (2)_WLP FP Format1_CONCENTRATED QUOTE WLP417 OP 5_862-CH" xfId="6839" xr:uid="{00000000-0005-0000-0000-00008A1B0000}"/>
    <cellStyle name="_MARION W10238916 21-11-08   (2)_WLP FP Format1_CONCENTRATED QUOTE WLP417 OP 5_W10251766 D" xfId="6840" xr:uid="{00000000-0005-0000-0000-00008B1B0000}"/>
    <cellStyle name="_MARION W10238916 21-11-08   (2)_WLP FP Format1_CONCENTRATED QUOTE WLP417 OP 5_W10279106 y W10279107 de MR a 56i" xfId="6841" xr:uid="{00000000-0005-0000-0000-00008C1B0000}"/>
    <cellStyle name="_MARION W10238916 21-11-08   (2)_WLP FP Format1_CONCENTRATED QUOTE WLP417 OP 5_W10315922 A" xfId="6842" xr:uid="{00000000-0005-0000-0000-00008D1B0000}"/>
    <cellStyle name="_MARION W10238916 21-11-08   (2)_WLP FP Format1_CONCENTRATED QUOTE WLP417 OP 6" xfId="6843" xr:uid="{00000000-0005-0000-0000-00008E1B0000}"/>
    <cellStyle name="_MARION W10238916 21-11-08   (2)_WLP FP Format1_CONCENTRATED QUOTE WLP417 OP 6 2" xfId="6844" xr:uid="{00000000-0005-0000-0000-00008F1B0000}"/>
    <cellStyle name="_MARION W10238916 21-11-08   (2)_WLP FP Format1_CONCENTRATED QUOTE WLP417 OP 6 2 2" xfId="6845" xr:uid="{00000000-0005-0000-0000-0000901B0000}"/>
    <cellStyle name="_MARION W10238916 21-11-08   (2)_WLP FP Format1_CONCENTRATED QUOTE WLP417 OP 6 2 3" xfId="6846" xr:uid="{00000000-0005-0000-0000-0000911B0000}"/>
    <cellStyle name="_MARION W10238916 21-11-08   (2)_WLP FP Format1_CONCENTRATED QUOTE WLP417 OP 6 2 4" xfId="6847" xr:uid="{00000000-0005-0000-0000-0000921B0000}"/>
    <cellStyle name="_MARION W10238916 21-11-08   (2)_WLP FP Format1_CONCENTRATED QUOTE WLP417 OP 6 3" xfId="6848" xr:uid="{00000000-0005-0000-0000-0000931B0000}"/>
    <cellStyle name="_MARION W10238916 21-11-08   (2)_WLP FP Format1_CONCENTRATED QUOTE WLP417 OP 6_862-CH" xfId="6849" xr:uid="{00000000-0005-0000-0000-0000941B0000}"/>
    <cellStyle name="_MARION W10238916 21-11-08   (2)_WLP FP Format1_CONCENTRATED QUOTE WLP417 OP 6_W10251766 D" xfId="6850" xr:uid="{00000000-0005-0000-0000-0000951B0000}"/>
    <cellStyle name="_MARION W10238916 21-11-08   (2)_WLP FP Format1_CONCENTRATED QUOTE WLP417 OP 6_W10279106 y W10279107 de MR a 56i" xfId="6851" xr:uid="{00000000-0005-0000-0000-0000961B0000}"/>
    <cellStyle name="_MARION W10238916 21-11-08   (2)_WLP FP Format1_CONCENTRATED QUOTE WLP417 OP 6_W10315922 A" xfId="6852" xr:uid="{00000000-0005-0000-0000-0000971B0000}"/>
    <cellStyle name="_MARION W10238916 21-11-08   (2)_WLP FP Format1_CONCENTRATED QUOTE WLP425 031309" xfId="6853" xr:uid="{00000000-0005-0000-0000-0000981B0000}"/>
    <cellStyle name="_MARION W10238916 21-11-08   (2)_WLP FP Format1_CONCENTRATED QUOTE WLP425 031309 2" xfId="6854" xr:uid="{00000000-0005-0000-0000-0000991B0000}"/>
    <cellStyle name="_MARION W10238916 21-11-08   (2)_WLP FP Format1_CONCENTRATED QUOTE WLP425 031309 3" xfId="6855" xr:uid="{00000000-0005-0000-0000-00009A1B0000}"/>
    <cellStyle name="_MARION W10238916 21-11-08   (2)_WLP FP Format1_CONCENTRATED QUOTE WLP425 031309 4" xfId="6856" xr:uid="{00000000-0005-0000-0000-00009B1B0000}"/>
    <cellStyle name="_MARION W10238916 21-11-08   (2)_WLP FP Format1_CONCENTRATED QUOTE WLP425 031309_862-CH" xfId="6857" xr:uid="{00000000-0005-0000-0000-00009C1B0000}"/>
    <cellStyle name="_MARION W10238916 21-11-08   (2)_WLP FP Format1_CONCENTRATED QUOTE WLP425 031309_W10251766 D" xfId="6858" xr:uid="{00000000-0005-0000-0000-00009D1B0000}"/>
    <cellStyle name="_MARION W10238916 21-11-08   (2)_WLP FP Format1_CONCENTRATED QUOTE WLP425 031309_W10279106 y W10279107 de MR a 56i" xfId="6859" xr:uid="{00000000-0005-0000-0000-00009E1B0000}"/>
    <cellStyle name="_MARION W10238916 21-11-08   (2)_WLP FP Format1_CONCENTRATED QUOTE WLP425 031309_W10315922 A" xfId="6860" xr:uid="{00000000-0005-0000-0000-00009F1B0000}"/>
    <cellStyle name="_MARION W10238916 21-11-08   (2)_WLP FP Format1_CONCENTRATED QUOTE WLP459" xfId="6861" xr:uid="{00000000-0005-0000-0000-0000A01B0000}"/>
    <cellStyle name="_MARION W10238916 21-11-08   (2)_WLP FP Format1_CONCENTRATED QUOTE WLP459 042209" xfId="6862" xr:uid="{00000000-0005-0000-0000-0000A11B0000}"/>
    <cellStyle name="_MARION W10238916 21-11-08   (2)_WLP FP Format1_CONCENTRATED QUOTE WLP459 042209 2" xfId="6863" xr:uid="{00000000-0005-0000-0000-0000A21B0000}"/>
    <cellStyle name="_MARION W10238916 21-11-08   (2)_WLP FP Format1_CONCENTRATED QUOTE WLP459 042209 3" xfId="6864" xr:uid="{00000000-0005-0000-0000-0000A31B0000}"/>
    <cellStyle name="_MARION W10238916 21-11-08   (2)_WLP FP Format1_CONCENTRATED QUOTE WLP459 042209 4" xfId="6865" xr:uid="{00000000-0005-0000-0000-0000A41B0000}"/>
    <cellStyle name="_MARION W10238916 21-11-08   (2)_WLP FP Format1_CONCENTRATED QUOTE WLP459 042209_862-CH" xfId="6866" xr:uid="{00000000-0005-0000-0000-0000A51B0000}"/>
    <cellStyle name="_MARION W10238916 21-11-08   (2)_WLP FP Format1_CONCENTRATED QUOTE WLP459 042209_W10251766 D" xfId="6867" xr:uid="{00000000-0005-0000-0000-0000A61B0000}"/>
    <cellStyle name="_MARION W10238916 21-11-08   (2)_WLP FP Format1_CONCENTRATED QUOTE WLP459 042209_W10279106 y W10279107 de MR a 56i" xfId="6868" xr:uid="{00000000-0005-0000-0000-0000A71B0000}"/>
    <cellStyle name="_MARION W10238916 21-11-08   (2)_WLP FP Format1_CONCENTRATED QUOTE WLP459 042209_W10315922 A" xfId="6869" xr:uid="{00000000-0005-0000-0000-0000A81B0000}"/>
    <cellStyle name="_MARION W10238916 21-11-08   (2)_WLP FP Format1_CONCENTRATED QUOTE WLP459 2" xfId="6870" xr:uid="{00000000-0005-0000-0000-0000A91B0000}"/>
    <cellStyle name="_MARION W10238916 21-11-08   (2)_WLP FP Format1_CONCENTRATED QUOTE WLP459 3" xfId="6871" xr:uid="{00000000-0005-0000-0000-0000AA1B0000}"/>
    <cellStyle name="_MARION W10238916 21-11-08   (2)_WLP FP Format1_CONCENTRATED QUOTE WLP459 4" xfId="6872" xr:uid="{00000000-0005-0000-0000-0000AB1B0000}"/>
    <cellStyle name="_MARION W10238916 21-11-08   (2)_WLP FP Format1_CONCENTRATED QUOTE WLP459_862-CH" xfId="6873" xr:uid="{00000000-0005-0000-0000-0000AC1B0000}"/>
    <cellStyle name="_MARION W10238916 21-11-08   (2)_WLP FP Format1_CONCENTRATED QUOTE WLP459_W10251766 D" xfId="6874" xr:uid="{00000000-0005-0000-0000-0000AD1B0000}"/>
    <cellStyle name="_MARION W10238916 21-11-08   (2)_WLP FP Format1_CONCENTRATED QUOTE WLP459_W10279106 y W10279107 de MR a 56i" xfId="6875" xr:uid="{00000000-0005-0000-0000-0000AE1B0000}"/>
    <cellStyle name="_MARION W10238916 21-11-08   (2)_WLP FP Format1_CONCENTRATED QUOTE WLP459_W10315922 A" xfId="6876" xr:uid="{00000000-0005-0000-0000-0000AF1B0000}"/>
    <cellStyle name="_MARION W10238916 21-11-08   (2)_WLP FP Format1_CONCENTRATED QUOTE WLP463" xfId="6877" xr:uid="{00000000-0005-0000-0000-0000B01B0000}"/>
    <cellStyle name="_MARION W10238916 21-11-08   (2)_WLP FP Format1_CONCENTRATED QUOTE WLP463 2" xfId="6878" xr:uid="{00000000-0005-0000-0000-0000B11B0000}"/>
    <cellStyle name="_MARION W10238916 21-11-08   (2)_WLP FP Format1_CONCENTRATED QUOTE WLP463 3" xfId="6879" xr:uid="{00000000-0005-0000-0000-0000B21B0000}"/>
    <cellStyle name="_MARION W10238916 21-11-08   (2)_WLP FP Format1_CONCENTRATED QUOTE WLP463 4" xfId="6880" xr:uid="{00000000-0005-0000-0000-0000B31B0000}"/>
    <cellStyle name="_MARION W10238916 21-11-08   (2)_WLP FP Format1_CONCENTRATED QUOTE WLP463 MOLEX" xfId="6881" xr:uid="{00000000-0005-0000-0000-0000B41B0000}"/>
    <cellStyle name="_MARION W10238916 21-11-08   (2)_WLP FP Format1_CONCENTRATED QUOTE WLP463 MOLEX 2" xfId="6882" xr:uid="{00000000-0005-0000-0000-0000B51B0000}"/>
    <cellStyle name="_MARION W10238916 21-11-08   (2)_WLP FP Format1_CONCENTRATED QUOTE WLP463 MOLEX 3" xfId="6883" xr:uid="{00000000-0005-0000-0000-0000B61B0000}"/>
    <cellStyle name="_MARION W10238916 21-11-08   (2)_WLP FP Format1_CONCENTRATED QUOTE WLP463 MOLEX 4" xfId="6884" xr:uid="{00000000-0005-0000-0000-0000B71B0000}"/>
    <cellStyle name="_MARION W10238916 21-11-08   (2)_WLP FP Format1_CONCENTRATED QUOTE WLP463 MOLEX 4-28" xfId="6885" xr:uid="{00000000-0005-0000-0000-0000B81B0000}"/>
    <cellStyle name="_MARION W10238916 21-11-08   (2)_WLP FP Format1_CONCENTRATED QUOTE WLP463 MOLEX 4-28 (2)" xfId="6886" xr:uid="{00000000-0005-0000-0000-0000B91B0000}"/>
    <cellStyle name="_MARION W10238916 21-11-08   (2)_WLP FP Format1_CONCENTRATED QUOTE WLP463 MOLEX 4-28 (2) 2" xfId="6887" xr:uid="{00000000-0005-0000-0000-0000BA1B0000}"/>
    <cellStyle name="_MARION W10238916 21-11-08   (2)_WLP FP Format1_CONCENTRATED QUOTE WLP463 MOLEX 4-28 (2) 2 2" xfId="6888" xr:uid="{00000000-0005-0000-0000-0000BB1B0000}"/>
    <cellStyle name="_MARION W10238916 21-11-08   (2)_WLP FP Format1_CONCENTRATED QUOTE WLP463 MOLEX 4-28 (2) 2 3" xfId="6889" xr:uid="{00000000-0005-0000-0000-0000BC1B0000}"/>
    <cellStyle name="_MARION W10238916 21-11-08   (2)_WLP FP Format1_CONCENTRATED QUOTE WLP463 MOLEX 4-28 (2) 2 4" xfId="6890" xr:uid="{00000000-0005-0000-0000-0000BD1B0000}"/>
    <cellStyle name="_MARION W10238916 21-11-08   (2)_WLP FP Format1_CONCENTRATED QUOTE WLP463 MOLEX 4-28 (2) 3" xfId="6891" xr:uid="{00000000-0005-0000-0000-0000BE1B0000}"/>
    <cellStyle name="_MARION W10238916 21-11-08   (2)_WLP FP Format1_CONCENTRATED QUOTE WLP463 MOLEX 4-28 (2)_862-CH" xfId="6892" xr:uid="{00000000-0005-0000-0000-0000BF1B0000}"/>
    <cellStyle name="_MARION W10238916 21-11-08   (2)_WLP FP Format1_CONCENTRATED QUOTE WLP463 MOLEX 4-28 (2)_W10251766 D" xfId="6893" xr:uid="{00000000-0005-0000-0000-0000C01B0000}"/>
    <cellStyle name="_MARION W10238916 21-11-08   (2)_WLP FP Format1_CONCENTRATED QUOTE WLP463 MOLEX 4-28 (2)_W10279106 y W10279107 de MR a 56i" xfId="6894" xr:uid="{00000000-0005-0000-0000-0000C11B0000}"/>
    <cellStyle name="_MARION W10238916 21-11-08   (2)_WLP FP Format1_CONCENTRATED QUOTE WLP463 MOLEX 4-28 (2)_W10315922 A" xfId="6895" xr:uid="{00000000-0005-0000-0000-0000C21B0000}"/>
    <cellStyle name="_MARION W10238916 21-11-08   (2)_WLP FP Format1_CONCENTRATED QUOTE WLP463 MOLEX 4-28 10" xfId="6896" xr:uid="{00000000-0005-0000-0000-0000C31B0000}"/>
    <cellStyle name="_MARION W10238916 21-11-08   (2)_WLP FP Format1_CONCENTRATED QUOTE WLP463 MOLEX 4-28 11" xfId="6897" xr:uid="{00000000-0005-0000-0000-0000C41B0000}"/>
    <cellStyle name="_MARION W10238916 21-11-08   (2)_WLP FP Format1_CONCENTRATED QUOTE WLP463 MOLEX 4-28 12" xfId="6898" xr:uid="{00000000-0005-0000-0000-0000C51B0000}"/>
    <cellStyle name="_MARION W10238916 21-11-08   (2)_WLP FP Format1_CONCENTRATED QUOTE WLP463 MOLEX 4-28 13" xfId="6899" xr:uid="{00000000-0005-0000-0000-0000C61B0000}"/>
    <cellStyle name="_MARION W10238916 21-11-08   (2)_WLP FP Format1_CONCENTRATED QUOTE WLP463 MOLEX 4-28 2" xfId="6900" xr:uid="{00000000-0005-0000-0000-0000C71B0000}"/>
    <cellStyle name="_MARION W10238916 21-11-08   (2)_WLP FP Format1_CONCENTRATED QUOTE WLP463 MOLEX 4-28 2 2" xfId="6901" xr:uid="{00000000-0005-0000-0000-0000C81B0000}"/>
    <cellStyle name="_MARION W10238916 21-11-08   (2)_WLP FP Format1_CONCENTRATED QUOTE WLP463 MOLEX 4-28 2 3" xfId="6902" xr:uid="{00000000-0005-0000-0000-0000C91B0000}"/>
    <cellStyle name="_MARION W10238916 21-11-08   (2)_WLP FP Format1_CONCENTRATED QUOTE WLP463 MOLEX 4-28 2 4" xfId="6903" xr:uid="{00000000-0005-0000-0000-0000CA1B0000}"/>
    <cellStyle name="_MARION W10238916 21-11-08   (2)_WLP FP Format1_CONCENTRATED QUOTE WLP463 MOLEX 4-28 3" xfId="6904" xr:uid="{00000000-0005-0000-0000-0000CB1B0000}"/>
    <cellStyle name="_MARION W10238916 21-11-08   (2)_WLP FP Format1_CONCENTRATED QUOTE WLP463 MOLEX 4-28 4" xfId="6905" xr:uid="{00000000-0005-0000-0000-0000CC1B0000}"/>
    <cellStyle name="_MARION W10238916 21-11-08   (2)_WLP FP Format1_CONCENTRATED QUOTE WLP463 MOLEX 4-28 5" xfId="6906" xr:uid="{00000000-0005-0000-0000-0000CD1B0000}"/>
    <cellStyle name="_MARION W10238916 21-11-08   (2)_WLP FP Format1_CONCENTRATED QUOTE WLP463 MOLEX 4-28 6" xfId="6907" xr:uid="{00000000-0005-0000-0000-0000CE1B0000}"/>
    <cellStyle name="_MARION W10238916 21-11-08   (2)_WLP FP Format1_CONCENTRATED QUOTE WLP463 MOLEX 4-28 7" xfId="6908" xr:uid="{00000000-0005-0000-0000-0000CF1B0000}"/>
    <cellStyle name="_MARION W10238916 21-11-08   (2)_WLP FP Format1_CONCENTRATED QUOTE WLP463 MOLEX 4-28 8" xfId="6909" xr:uid="{00000000-0005-0000-0000-0000D01B0000}"/>
    <cellStyle name="_MARION W10238916 21-11-08   (2)_WLP FP Format1_CONCENTRATED QUOTE WLP463 MOLEX 4-28 9" xfId="6910" xr:uid="{00000000-0005-0000-0000-0000D11B0000}"/>
    <cellStyle name="_MARION W10238916 21-11-08   (2)_WLP FP Format1_CONCENTRATED QUOTE WLP463 MOLEX 4-28_862-CH" xfId="6911" xr:uid="{00000000-0005-0000-0000-0000D21B0000}"/>
    <cellStyle name="_MARION W10238916 21-11-08   (2)_WLP FP Format1_CONCENTRATED QUOTE WLP463 MOLEX 4-28_W10251766 D" xfId="6912" xr:uid="{00000000-0005-0000-0000-0000D31B0000}"/>
    <cellStyle name="_MARION W10238916 21-11-08   (2)_WLP FP Format1_CONCENTRATED QUOTE WLP463 MOLEX 4-28_W10279106 y W10279107 de MR a 56i" xfId="6913" xr:uid="{00000000-0005-0000-0000-0000D41B0000}"/>
    <cellStyle name="_MARION W10238916 21-11-08   (2)_WLP FP Format1_CONCENTRATED QUOTE WLP463 MOLEX 4-28_W10315922 A" xfId="6914" xr:uid="{00000000-0005-0000-0000-0000D51B0000}"/>
    <cellStyle name="_MARION W10238916 21-11-08   (2)_WLP FP Format1_CONCENTRATED QUOTE WLP463 MOLEX_862-CH" xfId="6915" xr:uid="{00000000-0005-0000-0000-0000D61B0000}"/>
    <cellStyle name="_MARION W10238916 21-11-08   (2)_WLP FP Format1_CONCENTRATED QUOTE WLP463 MOLEX_W10251766 D" xfId="6916" xr:uid="{00000000-0005-0000-0000-0000D71B0000}"/>
    <cellStyle name="_MARION W10238916 21-11-08   (2)_WLP FP Format1_CONCENTRATED QUOTE WLP463 MOLEX_W10279106 y W10279107 de MR a 56i" xfId="6917" xr:uid="{00000000-0005-0000-0000-0000D81B0000}"/>
    <cellStyle name="_MARION W10238916 21-11-08   (2)_WLP FP Format1_CONCENTRATED QUOTE WLP463 MOLEX_W10315922 A" xfId="6918" xr:uid="{00000000-0005-0000-0000-0000D91B0000}"/>
    <cellStyle name="_MARION W10238916 21-11-08   (2)_WLP FP Format1_CONCENTRATED QUOTE WLP463 TYCO1" xfId="6919" xr:uid="{00000000-0005-0000-0000-0000DA1B0000}"/>
    <cellStyle name="_MARION W10238916 21-11-08   (2)_WLP FP Format1_CONCENTRATED QUOTE WLP463 TYCO1 2" xfId="6920" xr:uid="{00000000-0005-0000-0000-0000DB1B0000}"/>
    <cellStyle name="_MARION W10238916 21-11-08   (2)_WLP FP Format1_CONCENTRATED QUOTE WLP463 TYCO1 3" xfId="6921" xr:uid="{00000000-0005-0000-0000-0000DC1B0000}"/>
    <cellStyle name="_MARION W10238916 21-11-08   (2)_WLP FP Format1_CONCENTRATED QUOTE WLP463 TYCO1 4" xfId="6922" xr:uid="{00000000-0005-0000-0000-0000DD1B0000}"/>
    <cellStyle name="_MARION W10238916 21-11-08   (2)_WLP FP Format1_CONCENTRATED QUOTE WLP463 TYCO1_862-CH" xfId="6923" xr:uid="{00000000-0005-0000-0000-0000DE1B0000}"/>
    <cellStyle name="_MARION W10238916 21-11-08   (2)_WLP FP Format1_CONCENTRATED QUOTE WLP463 TYCO1_W10251766 D" xfId="6924" xr:uid="{00000000-0005-0000-0000-0000DF1B0000}"/>
    <cellStyle name="_MARION W10238916 21-11-08   (2)_WLP FP Format1_CONCENTRATED QUOTE WLP463 TYCO1_W10279106 y W10279107 de MR a 56i" xfId="6925" xr:uid="{00000000-0005-0000-0000-0000E01B0000}"/>
    <cellStyle name="_MARION W10238916 21-11-08   (2)_WLP FP Format1_CONCENTRATED QUOTE WLP463 TYCO1_W10315922 A" xfId="6926" xr:uid="{00000000-0005-0000-0000-0000E11B0000}"/>
    <cellStyle name="_MARION W10238916 21-11-08   (2)_WLP FP Format1_CONCENTRATED QUOTE WLP463 TYCO3" xfId="6927" xr:uid="{00000000-0005-0000-0000-0000E21B0000}"/>
    <cellStyle name="_MARION W10238916 21-11-08   (2)_WLP FP Format1_CONCENTRATED QUOTE WLP463 TYCO3 2" xfId="6928" xr:uid="{00000000-0005-0000-0000-0000E31B0000}"/>
    <cellStyle name="_MARION W10238916 21-11-08   (2)_WLP FP Format1_CONCENTRATED QUOTE WLP463 TYCO3 3" xfId="6929" xr:uid="{00000000-0005-0000-0000-0000E41B0000}"/>
    <cellStyle name="_MARION W10238916 21-11-08   (2)_WLP FP Format1_CONCENTRATED QUOTE WLP463 TYCO3 4" xfId="6930" xr:uid="{00000000-0005-0000-0000-0000E51B0000}"/>
    <cellStyle name="_MARION W10238916 21-11-08   (2)_WLP FP Format1_CONCENTRATED QUOTE WLP463 TYCO3_862-CH" xfId="6931" xr:uid="{00000000-0005-0000-0000-0000E61B0000}"/>
    <cellStyle name="_MARION W10238916 21-11-08   (2)_WLP FP Format1_CONCENTRATED QUOTE WLP463 TYCO3_W10251766 D" xfId="6932" xr:uid="{00000000-0005-0000-0000-0000E71B0000}"/>
    <cellStyle name="_MARION W10238916 21-11-08   (2)_WLP FP Format1_CONCENTRATED QUOTE WLP463 TYCO3_W10279106 y W10279107 de MR a 56i" xfId="6933" xr:uid="{00000000-0005-0000-0000-0000E81B0000}"/>
    <cellStyle name="_MARION W10238916 21-11-08   (2)_WLP FP Format1_CONCENTRATED QUOTE WLP463 TYCO3_W10315922 A" xfId="6934" xr:uid="{00000000-0005-0000-0000-0000E91B0000}"/>
    <cellStyle name="_MARION W10238916 21-11-08   (2)_WLP FP Format1_CONCENTRATED QUOTE WLP463_862-CH" xfId="6935" xr:uid="{00000000-0005-0000-0000-0000EA1B0000}"/>
    <cellStyle name="_MARION W10238916 21-11-08   (2)_WLP FP Format1_CONCENTRATED QUOTE WLP463_W10251766 D" xfId="6936" xr:uid="{00000000-0005-0000-0000-0000EB1B0000}"/>
    <cellStyle name="_MARION W10238916 21-11-08   (2)_WLP FP Format1_CONCENTRATED QUOTE WLP463_W10279106 y W10279107 de MR a 56i" xfId="6937" xr:uid="{00000000-0005-0000-0000-0000EC1B0000}"/>
    <cellStyle name="_MARION W10238916 21-11-08   (2)_WLP FP Format1_CONCENTRATED QUOTE WLP463_W10315922 A" xfId="6938" xr:uid="{00000000-0005-0000-0000-0000ED1B0000}"/>
    <cellStyle name="_MARION W10238916 21-11-08   (2)_WLP FP Format1_CONCENTRATED QUOTE WLP470 050709" xfId="6939" xr:uid="{00000000-0005-0000-0000-0000EE1B0000}"/>
    <cellStyle name="_MARION W10238916 21-11-08   (2)_WLP FP Format1_CONCENTRATED QUOTE WLP470 050709 2" xfId="6940" xr:uid="{00000000-0005-0000-0000-0000EF1B0000}"/>
    <cellStyle name="_MARION W10238916 21-11-08   (2)_WLP FP Format1_CONCENTRATED QUOTE WLP470 050709 3" xfId="6941" xr:uid="{00000000-0005-0000-0000-0000F01B0000}"/>
    <cellStyle name="_MARION W10238916 21-11-08   (2)_WLP FP Format1_CONCENTRATED QUOTE WLP470 050709 4" xfId="6942" xr:uid="{00000000-0005-0000-0000-0000F11B0000}"/>
    <cellStyle name="_MARION W10238916 21-11-08   (2)_WLP FP Format1_CONCENTRATED QUOTE WLP481" xfId="6943" xr:uid="{00000000-0005-0000-0000-0000F21B0000}"/>
    <cellStyle name="_MARION W10238916 21-11-08   (2)_WLP FP Format1_CONCENTRATED QUOTE WLP481 2" xfId="6944" xr:uid="{00000000-0005-0000-0000-0000F31B0000}"/>
    <cellStyle name="_MARION W10238916 21-11-08   (2)_WLP FP Format1_CONCENTRATED QUOTE WLP481 3" xfId="6945" xr:uid="{00000000-0005-0000-0000-0000F41B0000}"/>
    <cellStyle name="_MARION W10238916 21-11-08   (2)_WLP FP Format1_CONCENTRATED QUOTE WLP481 4" xfId="6946" xr:uid="{00000000-0005-0000-0000-0000F51B0000}"/>
    <cellStyle name="_MARION W10238916 21-11-08   (2)_WLP FP Format1_CONCENTRATED QUOTE WLP481_862-CH" xfId="6947" xr:uid="{00000000-0005-0000-0000-0000F61B0000}"/>
    <cellStyle name="_MARION W10238916 21-11-08   (2)_WLP FP Format1_CONCENTRATED QUOTE WLP481_W10251766 D" xfId="6948" xr:uid="{00000000-0005-0000-0000-0000F71B0000}"/>
    <cellStyle name="_MARION W10238916 21-11-08   (2)_WLP FP Format1_CONCENTRATED QUOTE WLP481_W10279106 y W10279107 de MR a 56i" xfId="6949" xr:uid="{00000000-0005-0000-0000-0000F81B0000}"/>
    <cellStyle name="_MARION W10238916 21-11-08   (2)_WLP FP Format1_CONCENTRATED QUOTE WLP481_W10315922 A" xfId="6950" xr:uid="{00000000-0005-0000-0000-0000F91B0000}"/>
    <cellStyle name="_MARION W10238916 21-11-08   (2)_WLP FP Format1_CONCENTRATED QUOTE WLP485" xfId="6951" xr:uid="{00000000-0005-0000-0000-0000FA1B0000}"/>
    <cellStyle name="_MARION W10238916 21-11-08   (2)_WLP FP Format1_CONCENTRATED QUOTE WLP485 2" xfId="6952" xr:uid="{00000000-0005-0000-0000-0000FB1B0000}"/>
    <cellStyle name="_MARION W10238916 21-11-08   (2)_WLP FP Format1_CONCENTRATED QUOTE WLP485 3" xfId="6953" xr:uid="{00000000-0005-0000-0000-0000FC1B0000}"/>
    <cellStyle name="_MARION W10238916 21-11-08   (2)_WLP FP Format1_CONCENTRATED QUOTE WLP485 4" xfId="6954" xr:uid="{00000000-0005-0000-0000-0000FD1B0000}"/>
    <cellStyle name="_MARION W10238916 21-11-08   (2)_WLP FP Format1_CONCENTRATED QUOTE WLP487" xfId="6955" xr:uid="{00000000-0005-0000-0000-0000FE1B0000}"/>
    <cellStyle name="_MARION W10238916 21-11-08   (2)_WLP FP Format1_CONCENTRATED QUOTE WLP487 060209" xfId="6956" xr:uid="{00000000-0005-0000-0000-0000FF1B0000}"/>
    <cellStyle name="_MARION W10238916 21-11-08   (2)_WLP FP Format1_CONCENTRATED QUOTE WLP487 060209 2" xfId="6957" xr:uid="{00000000-0005-0000-0000-0000001C0000}"/>
    <cellStyle name="_MARION W10238916 21-11-08   (2)_WLP FP Format1_CONCENTRATED QUOTE WLP487 060209 3" xfId="6958" xr:uid="{00000000-0005-0000-0000-0000011C0000}"/>
    <cellStyle name="_MARION W10238916 21-11-08   (2)_WLP FP Format1_CONCENTRATED QUOTE WLP487 060209 4" xfId="6959" xr:uid="{00000000-0005-0000-0000-0000021C0000}"/>
    <cellStyle name="_MARION W10238916 21-11-08   (2)_WLP FP Format1_CONCENTRATED QUOTE WLP487 2" xfId="6960" xr:uid="{00000000-0005-0000-0000-0000031C0000}"/>
    <cellStyle name="_MARION W10238916 21-11-08   (2)_WLP FP Format1_CONCENTRATED QUOTE WLP487 3" xfId="6961" xr:uid="{00000000-0005-0000-0000-0000041C0000}"/>
    <cellStyle name="_MARION W10238916 21-11-08   (2)_WLP FP Format1_CONCENTRATED QUOTE WLP487 4" xfId="6962" xr:uid="{00000000-0005-0000-0000-0000051C0000}"/>
    <cellStyle name="_MARION W10238916 21-11-08   (2)_WLP FP Format1_CONCENTRATED QUOTE WLP495" xfId="6963" xr:uid="{00000000-0005-0000-0000-0000061C0000}"/>
    <cellStyle name="_MARION W10238916 21-11-08   (2)_WLP FP Format1_CONCENTRATED QUOTE WLP495 2" xfId="6964" xr:uid="{00000000-0005-0000-0000-0000071C0000}"/>
    <cellStyle name="_MARION W10238916 21-11-08   (2)_WLP FP Format1_CONCENTRATED QUOTE WLP495 3" xfId="6965" xr:uid="{00000000-0005-0000-0000-0000081C0000}"/>
    <cellStyle name="_MARION W10238916 21-11-08   (2)_WLP FP Format1_CONCENTRATED QUOTE WLP495 4" xfId="6966" xr:uid="{00000000-0005-0000-0000-0000091C0000}"/>
    <cellStyle name="_MARION W10238916 21-11-08   (2)_WLP FP Format1_CONCENTRATED QUOTE WLP552" xfId="6967" xr:uid="{00000000-0005-0000-0000-00000A1C0000}"/>
    <cellStyle name="_MARION W10238916 21-11-08   (2)_WLP FP Format1_CONCENTRATED QUOTE WLP552 2" xfId="6968" xr:uid="{00000000-0005-0000-0000-00000B1C0000}"/>
    <cellStyle name="_MARION W10238916 21-11-08   (2)_WLP FP Format1_CONCENTRATED QUOTE WLP552 3" xfId="6969" xr:uid="{00000000-0005-0000-0000-00000C1C0000}"/>
    <cellStyle name="_MARION W10238916 21-11-08   (2)_WLP FP Format1_CONCENTRATED QUOTE WLP552 4" xfId="6970" xr:uid="{00000000-0005-0000-0000-00000D1C0000}"/>
    <cellStyle name="_MARION W10238916 21-11-08   (2)_WLP FP Format1_COST BKDN FOR REVIEW_W10252578_submitted 4_30_09 to Hector" xfId="6971" xr:uid="{00000000-0005-0000-0000-00000E1C0000}"/>
    <cellStyle name="_MARION W10238916 21-11-08   (2)_WLP FP Format1_COST BKDN FOR REVIEW_W10252578_submitted 4_30_09 to Hector 2" xfId="6972" xr:uid="{00000000-0005-0000-0000-00000F1C0000}"/>
    <cellStyle name="_MARION W10238916 21-11-08   (2)_WLP FP Format1_COST BKDN FOR REVIEW_W10252578_submitted 4_30_09 to Hector 2 2" xfId="6973" xr:uid="{00000000-0005-0000-0000-0000101C0000}"/>
    <cellStyle name="_MARION W10238916 21-11-08   (2)_WLP FP Format1_COST BKDN FOR REVIEW_W10252578_submitted 4_30_09 to Hector 2 3" xfId="6974" xr:uid="{00000000-0005-0000-0000-0000111C0000}"/>
    <cellStyle name="_MARION W10238916 21-11-08   (2)_WLP FP Format1_COST BKDN FOR REVIEW_W10252578_submitted 4_30_09 to Hector 2 4" xfId="6975" xr:uid="{00000000-0005-0000-0000-0000121C0000}"/>
    <cellStyle name="_MARION W10238916 21-11-08   (2)_WLP FP Format1_COST BKDN FOR REVIEW_W10252578_submitted 4_30_09 to Hector 3" xfId="6976" xr:uid="{00000000-0005-0000-0000-0000131C0000}"/>
    <cellStyle name="_MARION W10238916 21-11-08   (2)_WLP FP Format1_COST BKDN FOR REVIEW_W10252578_submitted 4_30_09 to Hector_862-CH" xfId="6977" xr:uid="{00000000-0005-0000-0000-0000141C0000}"/>
    <cellStyle name="_MARION W10238916 21-11-08   (2)_WLP FP Format1_COST BKDN FOR REVIEW_W10252578_submitted 4_30_09 to Hector_W10251766 D" xfId="6978" xr:uid="{00000000-0005-0000-0000-0000151C0000}"/>
    <cellStyle name="_MARION W10238916 21-11-08   (2)_WLP FP Format1_COST BKDN FOR REVIEW_W10252578_submitted 4_30_09 to Hector_W10279106 y W10279107 de MR a 56i" xfId="6979" xr:uid="{00000000-0005-0000-0000-0000161C0000}"/>
    <cellStyle name="_MARION W10238916 21-11-08   (2)_WLP FP Format1_COST BKDN FOR REVIEW_W10252578_submitted 4_30_09 to Hector_W10315922 A" xfId="6980" xr:uid="{00000000-0005-0000-0000-0000171C0000}"/>
    <cellStyle name="_MARION W10238916 21-11-08   (2)_WLP FP Format1_DEPRECIATION_OH RAST" xfId="6981" xr:uid="{00000000-0005-0000-0000-0000181C0000}"/>
    <cellStyle name="_MARION W10238916 21-11-08   (2)_WLP FP Format1_DEPRECIATION_OH RAST 2" xfId="6982" xr:uid="{00000000-0005-0000-0000-0000191C0000}"/>
    <cellStyle name="_MARION W10238916 21-11-08   (2)_WLP FP Format1_DEPRECIATION_OH RAST 2 2" xfId="6983" xr:uid="{00000000-0005-0000-0000-00001A1C0000}"/>
    <cellStyle name="_MARION W10238916 21-11-08   (2)_WLP FP Format1_DEPRECIATION_OH RAST 2 3" xfId="6984" xr:uid="{00000000-0005-0000-0000-00001B1C0000}"/>
    <cellStyle name="_MARION W10238916 21-11-08   (2)_WLP FP Format1_DEPRECIATION_OH RAST 2 4" xfId="6985" xr:uid="{00000000-0005-0000-0000-00001C1C0000}"/>
    <cellStyle name="_MARION W10238916 21-11-08   (2)_WLP FP Format1_DEPRECIATION_OH RAST 3" xfId="6986" xr:uid="{00000000-0005-0000-0000-00001D1C0000}"/>
    <cellStyle name="_MARION W10238916 21-11-08   (2)_WLP FP Format1_DEPRECIATION_OH RAST_862-CH" xfId="6987" xr:uid="{00000000-0005-0000-0000-00001E1C0000}"/>
    <cellStyle name="_MARION W10238916 21-11-08   (2)_WLP FP Format1_DEPRECIATION_OH RAST_W10251766 D" xfId="6988" xr:uid="{00000000-0005-0000-0000-00001F1C0000}"/>
    <cellStyle name="_MARION W10238916 21-11-08   (2)_WLP FP Format1_DEPRECIATION_OH RAST_W10279106 y W10279107 de MR a 56i" xfId="6989" xr:uid="{00000000-0005-0000-0000-0000201C0000}"/>
    <cellStyle name="_MARION W10238916 21-11-08   (2)_WLP FP Format1_DEPRECIATION_OH RAST_W10315922 A" xfId="6990" xr:uid="{00000000-0005-0000-0000-0000211C0000}"/>
    <cellStyle name="_MARION W10238916 21-11-08   (2)_WLP FP Format1_Op 1 VMW Base Line Molex" xfId="6991" xr:uid="{00000000-0005-0000-0000-0000221C0000}"/>
    <cellStyle name="_MARION W10238916 21-11-08   (2)_WLP FP Format1_Op 1 VMW Base Line Molex 2" xfId="6992" xr:uid="{00000000-0005-0000-0000-0000231C0000}"/>
    <cellStyle name="_MARION W10238916 21-11-08   (2)_WLP FP Format1_Op 1 VMW Base Line Molex 2 2" xfId="6993" xr:uid="{00000000-0005-0000-0000-0000241C0000}"/>
    <cellStyle name="_MARION W10238916 21-11-08   (2)_WLP FP Format1_Op 1 VMW Base Line Molex 2 3" xfId="6994" xr:uid="{00000000-0005-0000-0000-0000251C0000}"/>
    <cellStyle name="_MARION W10238916 21-11-08   (2)_WLP FP Format1_Op 1 VMW Base Line Molex 2 4" xfId="6995" xr:uid="{00000000-0005-0000-0000-0000261C0000}"/>
    <cellStyle name="_MARION W10238916 21-11-08   (2)_WLP FP Format1_Op 1 VMW Base Line Molex 3" xfId="6996" xr:uid="{00000000-0005-0000-0000-0000271C0000}"/>
    <cellStyle name="_MARION W10238916 21-11-08   (2)_WLP FP Format1_Op 1 VMW Base Line Molex_862-CH" xfId="6997" xr:uid="{00000000-0005-0000-0000-0000281C0000}"/>
    <cellStyle name="_MARION W10238916 21-11-08   (2)_WLP FP Format1_Op 1 VMW Base Line Molex_W10251766 D" xfId="6998" xr:uid="{00000000-0005-0000-0000-0000291C0000}"/>
    <cellStyle name="_MARION W10238916 21-11-08   (2)_WLP FP Format1_Op 1 VMW Base Line Molex_W10279106 y W10279107 de MR a 56i" xfId="6999" xr:uid="{00000000-0005-0000-0000-00002A1C0000}"/>
    <cellStyle name="_MARION W10238916 21-11-08   (2)_WLP FP Format1_Op 1 VMW Base Line Molex_W10315922 A" xfId="7000" xr:uid="{00000000-0005-0000-0000-00002B1C0000}"/>
    <cellStyle name="_MARION W10238916 21-11-08   (2)_WLP FP Format1_Op 8 VMW TYCO Splice Option" xfId="7001" xr:uid="{00000000-0005-0000-0000-00002C1C0000}"/>
    <cellStyle name="_MARION W10238916 21-11-08   (2)_WLP FP Format1_Op 8 VMW TYCO Splice Option - Per Conference 3-27-2009" xfId="7002" xr:uid="{00000000-0005-0000-0000-00002D1C0000}"/>
    <cellStyle name="_MARION W10238916 21-11-08   (2)_WLP FP Format1_Op 8 VMW TYCO Splice Option - Per Conference 3-27-2009 2" xfId="7003" xr:uid="{00000000-0005-0000-0000-00002E1C0000}"/>
    <cellStyle name="_MARION W10238916 21-11-08   (2)_WLP FP Format1_Op 8 VMW TYCO Splice Option - Per Conference 3-27-2009 2 2" xfId="7004" xr:uid="{00000000-0005-0000-0000-00002F1C0000}"/>
    <cellStyle name="_MARION W10238916 21-11-08   (2)_WLP FP Format1_Op 8 VMW TYCO Splice Option - Per Conference 3-27-2009 2 3" xfId="7005" xr:uid="{00000000-0005-0000-0000-0000301C0000}"/>
    <cellStyle name="_MARION W10238916 21-11-08   (2)_WLP FP Format1_Op 8 VMW TYCO Splice Option - Per Conference 3-27-2009 2 4" xfId="7006" xr:uid="{00000000-0005-0000-0000-0000311C0000}"/>
    <cellStyle name="_MARION W10238916 21-11-08   (2)_WLP FP Format1_Op 8 VMW TYCO Splice Option - Per Conference 3-27-2009 3" xfId="7007" xr:uid="{00000000-0005-0000-0000-0000321C0000}"/>
    <cellStyle name="_MARION W10238916 21-11-08   (2)_WLP FP Format1_Op 8 VMW TYCO Splice Option - Per Conference 3-27-2009_862-CH" xfId="7008" xr:uid="{00000000-0005-0000-0000-0000331C0000}"/>
    <cellStyle name="_MARION W10238916 21-11-08   (2)_WLP FP Format1_Op 8 VMW TYCO Splice Option - Per Conference 3-27-2009_W10251766 D" xfId="7009" xr:uid="{00000000-0005-0000-0000-0000341C0000}"/>
    <cellStyle name="_MARION W10238916 21-11-08   (2)_WLP FP Format1_Op 8 VMW TYCO Splice Option - Per Conference 3-27-2009_W10279106 y W10279107 de MR a 56i" xfId="7010" xr:uid="{00000000-0005-0000-0000-0000351C0000}"/>
    <cellStyle name="_MARION W10238916 21-11-08   (2)_WLP FP Format1_Op 8 VMW TYCO Splice Option - Per Conference 3-27-2009_W10315922 A" xfId="7011" xr:uid="{00000000-0005-0000-0000-0000361C0000}"/>
    <cellStyle name="_MARION W10238916 21-11-08   (2)_WLP FP Format1_Op 8 VMW TYCO Splice Option 10" xfId="7012" xr:uid="{00000000-0005-0000-0000-0000371C0000}"/>
    <cellStyle name="_MARION W10238916 21-11-08   (2)_WLP FP Format1_Op 8 VMW TYCO Splice Option 11" xfId="7013" xr:uid="{00000000-0005-0000-0000-0000381C0000}"/>
    <cellStyle name="_MARION W10238916 21-11-08   (2)_WLP FP Format1_Op 8 VMW TYCO Splice Option 12" xfId="7014" xr:uid="{00000000-0005-0000-0000-0000391C0000}"/>
    <cellStyle name="_MARION W10238916 21-11-08   (2)_WLP FP Format1_Op 8 VMW TYCO Splice Option 13" xfId="7015" xr:uid="{00000000-0005-0000-0000-00003A1C0000}"/>
    <cellStyle name="_MARION W10238916 21-11-08   (2)_WLP FP Format1_Op 8 VMW TYCO Splice Option 2" xfId="7016" xr:uid="{00000000-0005-0000-0000-00003B1C0000}"/>
    <cellStyle name="_MARION W10238916 21-11-08   (2)_WLP FP Format1_Op 8 VMW TYCO Splice Option 2 2" xfId="7017" xr:uid="{00000000-0005-0000-0000-00003C1C0000}"/>
    <cellStyle name="_MARION W10238916 21-11-08   (2)_WLP FP Format1_Op 8 VMW TYCO Splice Option 2 3" xfId="7018" xr:uid="{00000000-0005-0000-0000-00003D1C0000}"/>
    <cellStyle name="_MARION W10238916 21-11-08   (2)_WLP FP Format1_Op 8 VMW TYCO Splice Option 2 4" xfId="7019" xr:uid="{00000000-0005-0000-0000-00003E1C0000}"/>
    <cellStyle name="_MARION W10238916 21-11-08   (2)_WLP FP Format1_Op 8 VMW TYCO Splice Option 3" xfId="7020" xr:uid="{00000000-0005-0000-0000-00003F1C0000}"/>
    <cellStyle name="_MARION W10238916 21-11-08   (2)_WLP FP Format1_Op 8 VMW TYCO Splice Option 4" xfId="7021" xr:uid="{00000000-0005-0000-0000-0000401C0000}"/>
    <cellStyle name="_MARION W10238916 21-11-08   (2)_WLP FP Format1_Op 8 VMW TYCO Splice Option 5" xfId="7022" xr:uid="{00000000-0005-0000-0000-0000411C0000}"/>
    <cellStyle name="_MARION W10238916 21-11-08   (2)_WLP FP Format1_Op 8 VMW TYCO Splice Option 6" xfId="7023" xr:uid="{00000000-0005-0000-0000-0000421C0000}"/>
    <cellStyle name="_MARION W10238916 21-11-08   (2)_WLP FP Format1_Op 8 VMW TYCO Splice Option 7" xfId="7024" xr:uid="{00000000-0005-0000-0000-0000431C0000}"/>
    <cellStyle name="_MARION W10238916 21-11-08   (2)_WLP FP Format1_Op 8 VMW TYCO Splice Option 8" xfId="7025" xr:uid="{00000000-0005-0000-0000-0000441C0000}"/>
    <cellStyle name="_MARION W10238916 21-11-08   (2)_WLP FP Format1_Op 8 VMW TYCO Splice Option 9" xfId="7026" xr:uid="{00000000-0005-0000-0000-0000451C0000}"/>
    <cellStyle name="_MARION W10238916 21-11-08   (2)_WLP FP Format1_Op 8 VMW TYCO Splice Option_862-CH" xfId="7027" xr:uid="{00000000-0005-0000-0000-0000461C0000}"/>
    <cellStyle name="_MARION W10238916 21-11-08   (2)_WLP FP Format1_Op 8 VMW TYCO Splice Option_W10251766 D" xfId="7028" xr:uid="{00000000-0005-0000-0000-0000471C0000}"/>
    <cellStyle name="_MARION W10238916 21-11-08   (2)_WLP FP Format1_Op 8 VMW TYCO Splice Option_W10279106 y W10279107 de MR a 56i" xfId="7029" xr:uid="{00000000-0005-0000-0000-0000481C0000}"/>
    <cellStyle name="_MARION W10238916 21-11-08   (2)_WLP FP Format1_Op 8 VMW TYCO Splice Option_W10315922 A" xfId="7030" xr:uid="{00000000-0005-0000-0000-0000491C0000}"/>
    <cellStyle name="_MARION W10238916 21-11-08   (2)_WLP FP Format1_VMW Latest version MOLEX 4-28" xfId="7031" xr:uid="{00000000-0005-0000-0000-00004A1C0000}"/>
    <cellStyle name="_MARION W10238916 21-11-08   (2)_WLP FP Format1_VMW Latest version MOLEX 4-28 2" xfId="7032" xr:uid="{00000000-0005-0000-0000-00004B1C0000}"/>
    <cellStyle name="_MARION W10238916 21-11-08   (2)_WLP FP Format1_VMW Latest version MOLEX 4-28 2 2" xfId="7033" xr:uid="{00000000-0005-0000-0000-00004C1C0000}"/>
    <cellStyle name="_MARION W10238916 21-11-08   (2)_WLP FP Format1_VMW Latest version MOLEX 4-28 2 3" xfId="7034" xr:uid="{00000000-0005-0000-0000-00004D1C0000}"/>
    <cellStyle name="_MARION W10238916 21-11-08   (2)_WLP FP Format1_VMW Latest version MOLEX 4-28 2 4" xfId="7035" xr:uid="{00000000-0005-0000-0000-00004E1C0000}"/>
    <cellStyle name="_MARION W10238916 21-11-08   (2)_WLP FP Format1_VMW Latest version MOLEX 4-28 3" xfId="7036" xr:uid="{00000000-0005-0000-0000-00004F1C0000}"/>
    <cellStyle name="_MARION W10238916 21-11-08   (2)_WLP FP Format1_VMW Latest version MOLEX 4-28 per conference" xfId="7037" xr:uid="{00000000-0005-0000-0000-0000501C0000}"/>
    <cellStyle name="_MARION W10238916 21-11-08   (2)_WLP FP Format1_VMW Latest version MOLEX 4-28 per conference 2" xfId="7038" xr:uid="{00000000-0005-0000-0000-0000511C0000}"/>
    <cellStyle name="_MARION W10238916 21-11-08   (2)_WLP FP Format1_VMW Latest version MOLEX 4-28 per conference 2 2" xfId="7039" xr:uid="{00000000-0005-0000-0000-0000521C0000}"/>
    <cellStyle name="_MARION W10238916 21-11-08   (2)_WLP FP Format1_VMW Latest version MOLEX 4-28 per conference 2 3" xfId="7040" xr:uid="{00000000-0005-0000-0000-0000531C0000}"/>
    <cellStyle name="_MARION W10238916 21-11-08   (2)_WLP FP Format1_VMW Latest version MOLEX 4-28 per conference 2 4" xfId="7041" xr:uid="{00000000-0005-0000-0000-0000541C0000}"/>
    <cellStyle name="_MARION W10238916 21-11-08   (2)_WLP FP Format1_VMW Latest version MOLEX 4-28 per conference 3" xfId="7042" xr:uid="{00000000-0005-0000-0000-0000551C0000}"/>
    <cellStyle name="_MARION W10238916 21-11-08   (2)_WLP FP Format1_VMW Latest version MOLEX 4-28 per conference revised" xfId="7043" xr:uid="{00000000-0005-0000-0000-0000561C0000}"/>
    <cellStyle name="_MARION W10238916 21-11-08   (2)_WLP FP Format1_VMW Latest version MOLEX 4-28 per conference revised 2" xfId="7044" xr:uid="{00000000-0005-0000-0000-0000571C0000}"/>
    <cellStyle name="_MARION W10238916 21-11-08   (2)_WLP FP Format1_VMW Latest version MOLEX 4-28 per conference revised 2 2" xfId="7045" xr:uid="{00000000-0005-0000-0000-0000581C0000}"/>
    <cellStyle name="_MARION W10238916 21-11-08   (2)_WLP FP Format1_VMW Latest version MOLEX 4-28 per conference revised 2 3" xfId="7046" xr:uid="{00000000-0005-0000-0000-0000591C0000}"/>
    <cellStyle name="_MARION W10238916 21-11-08   (2)_WLP FP Format1_VMW Latest version MOLEX 4-28 per conference revised 2 4" xfId="7047" xr:uid="{00000000-0005-0000-0000-00005A1C0000}"/>
    <cellStyle name="_MARION W10238916 21-11-08   (2)_WLP FP Format1_VMW Latest version MOLEX 4-28 per conference revised 3" xfId="7048" xr:uid="{00000000-0005-0000-0000-00005B1C0000}"/>
    <cellStyle name="_MARION W10238916 21-11-08   (2)_WLP FP Format1_VMW Latest version MOLEX 4-28 per conference revised_862-CH" xfId="7049" xr:uid="{00000000-0005-0000-0000-00005C1C0000}"/>
    <cellStyle name="_MARION W10238916 21-11-08   (2)_WLP FP Format1_VMW Latest version MOLEX 4-28 per conference revised_W10251766 D" xfId="7050" xr:uid="{00000000-0005-0000-0000-00005D1C0000}"/>
    <cellStyle name="_MARION W10238916 21-11-08   (2)_WLP FP Format1_VMW Latest version MOLEX 4-28 per conference revised_W10279106 y W10279107 de MR a 56i" xfId="7051" xr:uid="{00000000-0005-0000-0000-00005E1C0000}"/>
    <cellStyle name="_MARION W10238916 21-11-08   (2)_WLP FP Format1_VMW Latest version MOLEX 4-28 per conference revised_W10315922 A" xfId="7052" xr:uid="{00000000-0005-0000-0000-00005F1C0000}"/>
    <cellStyle name="_MARION W10238916 21-11-08   (2)_WLP FP Format1_VMW Latest version MOLEX 4-28 per conference_862-CH" xfId="7053" xr:uid="{00000000-0005-0000-0000-0000601C0000}"/>
    <cellStyle name="_MARION W10238916 21-11-08   (2)_WLP FP Format1_VMW Latest version MOLEX 4-28 per conference_W10251766 D" xfId="7054" xr:uid="{00000000-0005-0000-0000-0000611C0000}"/>
    <cellStyle name="_MARION W10238916 21-11-08   (2)_WLP FP Format1_VMW Latest version MOLEX 4-28 per conference_W10279106 y W10279107 de MR a 56i" xfId="7055" xr:uid="{00000000-0005-0000-0000-0000621C0000}"/>
    <cellStyle name="_MARION W10238916 21-11-08   (2)_WLP FP Format1_VMW Latest version MOLEX 4-28 per conference_W10315922 A" xfId="7056" xr:uid="{00000000-0005-0000-0000-0000631C0000}"/>
    <cellStyle name="_MARION W10238916 21-11-08   (2)_WLP FP Format1_VMW Latest version MOLEX 4-28_862-CH" xfId="7057" xr:uid="{00000000-0005-0000-0000-0000641C0000}"/>
    <cellStyle name="_MARION W10238916 21-11-08   (2)_WLP FP Format1_VMW Latest version MOLEX 4-28_W10251766 D" xfId="7058" xr:uid="{00000000-0005-0000-0000-0000651C0000}"/>
    <cellStyle name="_MARION W10238916 21-11-08   (2)_WLP FP Format1_VMW Latest version MOLEX 4-28_W10279106 y W10279107 de MR a 56i" xfId="7059" xr:uid="{00000000-0005-0000-0000-0000661C0000}"/>
    <cellStyle name="_MARION W10238916 21-11-08   (2)_WLP FP Format1_VMW Latest version MOLEX 4-28_W10315922 A" xfId="7060" xr:uid="{00000000-0005-0000-0000-0000671C0000}"/>
    <cellStyle name="_MARION W10238916 21-11-08   (2)_WLP FP Format1_VMW MOLEX BASELINE OPTION COST BREAKDOWN - 4_16_09_Detail_" xfId="7061" xr:uid="{00000000-0005-0000-0000-0000681C0000}"/>
    <cellStyle name="_MARION W10238916 21-11-08   (2)_WLP FP Format1_VMW MOLEX BASELINE OPTION COST BREAKDOWN - 4_16_09_Detail_ 2" xfId="7062" xr:uid="{00000000-0005-0000-0000-0000691C0000}"/>
    <cellStyle name="_MARION W10238916 21-11-08   (2)_WLP FP Format1_VMW MOLEX BASELINE OPTION COST BREAKDOWN - 4_16_09_Detail_ 2 2" xfId="7063" xr:uid="{00000000-0005-0000-0000-00006A1C0000}"/>
    <cellStyle name="_MARION W10238916 21-11-08   (2)_WLP FP Format1_VMW MOLEX BASELINE OPTION COST BREAKDOWN - 4_16_09_Detail_ 2 3" xfId="7064" xr:uid="{00000000-0005-0000-0000-00006B1C0000}"/>
    <cellStyle name="_MARION W10238916 21-11-08   (2)_WLP FP Format1_VMW MOLEX BASELINE OPTION COST BREAKDOWN - 4_16_09_Detail_ 2 4" xfId="7065" xr:uid="{00000000-0005-0000-0000-00006C1C0000}"/>
    <cellStyle name="_MARION W10238916 21-11-08   (2)_WLP FP Format1_VMW MOLEX BASELINE OPTION COST BREAKDOWN - 4_16_09_Detail_ 3" xfId="7066" xr:uid="{00000000-0005-0000-0000-00006D1C0000}"/>
    <cellStyle name="_MARION W10238916 21-11-08   (2)_WLP FP Format1_VMW MOLEX BASELINE OPTION COST BREAKDOWN - 4_16_09_Detail__862-CH" xfId="7067" xr:uid="{00000000-0005-0000-0000-00006E1C0000}"/>
    <cellStyle name="_MARION W10238916 21-11-08   (2)_WLP FP Format1_VMW MOLEX BASELINE OPTION COST BREAKDOWN - 4_16_09_Detail__W10251766 D" xfId="7068" xr:uid="{00000000-0005-0000-0000-00006F1C0000}"/>
    <cellStyle name="_MARION W10238916 21-11-08   (2)_WLP FP Format1_VMW MOLEX BASELINE OPTION COST BREAKDOWN - 4_16_09_Detail__W10279106 y W10279107 de MR a 56i" xfId="7069" xr:uid="{00000000-0005-0000-0000-0000701C0000}"/>
    <cellStyle name="_MARION W10238916 21-11-08   (2)_WLP FP Format1_VMW MOLEX BASELINE OPTION COST BREAKDOWN - 4_16_09_Detail__W10315922 A" xfId="7070" xr:uid="{00000000-0005-0000-0000-0000711C0000}"/>
    <cellStyle name="_MARION W10238916 21-11-08   (2)_WLP FP Format1_VMW SPLIT CONN" xfId="7071" xr:uid="{00000000-0005-0000-0000-0000721C0000}"/>
    <cellStyle name="_MARION W10238916 21-11-08   (2)_WLP FP Format1_VMW SPLIT CONN 2" xfId="7072" xr:uid="{00000000-0005-0000-0000-0000731C0000}"/>
    <cellStyle name="_MARION W10238916 21-11-08   (2)_WLP FP Format1_VMW SPLIT CONN 2 2" xfId="7073" xr:uid="{00000000-0005-0000-0000-0000741C0000}"/>
    <cellStyle name="_MARION W10238916 21-11-08   (2)_WLP FP Format1_VMW SPLIT CONN 2 3" xfId="7074" xr:uid="{00000000-0005-0000-0000-0000751C0000}"/>
    <cellStyle name="_MARION W10238916 21-11-08   (2)_WLP FP Format1_VMW SPLIT CONN 2 4" xfId="7075" xr:uid="{00000000-0005-0000-0000-0000761C0000}"/>
    <cellStyle name="_MARION W10238916 21-11-08   (2)_WLP FP Format1_VMW SPLIT CONN 3" xfId="7076" xr:uid="{00000000-0005-0000-0000-0000771C0000}"/>
    <cellStyle name="_MARION W10238916 21-11-08   (2)_WLP FP Format1_VMW SPLIT CONN_862-CH" xfId="7077" xr:uid="{00000000-0005-0000-0000-0000781C0000}"/>
    <cellStyle name="_MARION W10238916 21-11-08   (2)_WLP FP Format1_VMW SPLIT CONN_W10251766 D" xfId="7078" xr:uid="{00000000-0005-0000-0000-0000791C0000}"/>
    <cellStyle name="_MARION W10238916 21-11-08   (2)_WLP FP Format1_VMW SPLIT CONN_W10279106 y W10279107 de MR a 56i" xfId="7079" xr:uid="{00000000-0005-0000-0000-00007A1C0000}"/>
    <cellStyle name="_MARION W10238916 21-11-08   (2)_WLP FP Format1_VMW SPLIT CONN_W10315922 A" xfId="7080" xr:uid="{00000000-0005-0000-0000-00007B1C0000}"/>
    <cellStyle name="_MARION W10238916 21-11-08   (2)_WLP FP Format1_VMW Tyco CONCENTRATED QUOTE WLP480 (AS IS) Gary (2)" xfId="7081" xr:uid="{00000000-0005-0000-0000-00007C1C0000}"/>
    <cellStyle name="_MARION W10238916 21-11-08   (2)_WLP FP Format1_VMW Tyco CONCENTRATED QUOTE WLP480 (AS IS) Gary (2) 2" xfId="7082" xr:uid="{00000000-0005-0000-0000-00007D1C0000}"/>
    <cellStyle name="_MARION W10238916 21-11-08   (2)_WLP FP Format1_VMW Tyco CONCENTRATED QUOTE WLP480 (AS IS) Gary (2) 2 2" xfId="7083" xr:uid="{00000000-0005-0000-0000-00007E1C0000}"/>
    <cellStyle name="_MARION W10238916 21-11-08   (2)_WLP FP Format1_VMW Tyco CONCENTRATED QUOTE WLP480 (AS IS) Gary (2) 2 3" xfId="7084" xr:uid="{00000000-0005-0000-0000-00007F1C0000}"/>
    <cellStyle name="_MARION W10238916 21-11-08   (2)_WLP FP Format1_VMW Tyco CONCENTRATED QUOTE WLP480 (AS IS) Gary (2) 2 4" xfId="7085" xr:uid="{00000000-0005-0000-0000-0000801C0000}"/>
    <cellStyle name="_MARION W10238916 21-11-08   (2)_WLP FP Format1_VMW Tyco CONCENTRATED QUOTE WLP480 (AS IS) Gary (2) 3" xfId="7086" xr:uid="{00000000-0005-0000-0000-0000811C0000}"/>
    <cellStyle name="_MARION W10238916 21-11-08   (2)_WLP FP Format1_VMW Tyco CONCENTRATED QUOTE WLP480 (AS IS) Gary (2)_862-CH" xfId="7087" xr:uid="{00000000-0005-0000-0000-0000821C0000}"/>
    <cellStyle name="_MARION W10238916 21-11-08   (2)_WLP FP Format1_VMW Tyco CONCENTRATED QUOTE WLP480 (AS IS) Gary (2)_W10251766 D" xfId="7088" xr:uid="{00000000-0005-0000-0000-0000831C0000}"/>
    <cellStyle name="_MARION W10238916 21-11-08   (2)_WLP FP Format1_VMW Tyco CONCENTRATED QUOTE WLP480 (AS IS) Gary (2)_W10279106 y W10279107 de MR a 56i" xfId="7089" xr:uid="{00000000-0005-0000-0000-0000841C0000}"/>
    <cellStyle name="_MARION W10238916 21-11-08   (2)_WLP FP Format1_VMW Tyco CONCENTRATED QUOTE WLP480 (AS IS) Gary (2)_W10315922 A" xfId="7090" xr:uid="{00000000-0005-0000-0000-0000851C0000}"/>
    <cellStyle name="_MARION W10238916 21-11-08   (2)_WLP FP Format1_VMW Tyco CONCENTRATED QUOTE WLP480 (AS IS) Gary wo tooling (2)" xfId="7091" xr:uid="{00000000-0005-0000-0000-0000861C0000}"/>
    <cellStyle name="_MARION W10238916 21-11-08   (2)_WLP FP Format1_VMW Tyco CONCENTRATED QUOTE WLP480 (AS IS) Gary wo tooling (2) 2" xfId="7092" xr:uid="{00000000-0005-0000-0000-0000871C0000}"/>
    <cellStyle name="_MARION W10238916 21-11-08   (2)_WLP FP Format1_VMW Tyco CONCENTRATED QUOTE WLP480 (AS IS) Gary wo tooling (2) 2 2" xfId="7093" xr:uid="{00000000-0005-0000-0000-0000881C0000}"/>
    <cellStyle name="_MARION W10238916 21-11-08   (2)_WLP FP Format1_VMW Tyco CONCENTRATED QUOTE WLP480 (AS IS) Gary wo tooling (2) 2 3" xfId="7094" xr:uid="{00000000-0005-0000-0000-0000891C0000}"/>
    <cellStyle name="_MARION W10238916 21-11-08   (2)_WLP FP Format1_VMW Tyco CONCENTRATED QUOTE WLP480 (AS IS) Gary wo tooling (2) 2 4" xfId="7095" xr:uid="{00000000-0005-0000-0000-00008A1C0000}"/>
    <cellStyle name="_MARION W10238916 21-11-08   (2)_WLP FP Format1_VMW Tyco CONCENTRATED QUOTE WLP480 (AS IS) Gary wo tooling (2) 3" xfId="7096" xr:uid="{00000000-0005-0000-0000-00008B1C0000}"/>
    <cellStyle name="_MARION W10238916 21-11-08   (2)_WLP FP Format1_VMW Tyco CONCENTRATED QUOTE WLP480 (AS IS) Gary wo tooling (2)_862-CH" xfId="7097" xr:uid="{00000000-0005-0000-0000-00008C1C0000}"/>
    <cellStyle name="_MARION W10238916 21-11-08   (2)_WLP FP Format1_VMW Tyco CONCENTRATED QUOTE WLP480 (AS IS) Gary wo tooling (2)_W10251766 D" xfId="7098" xr:uid="{00000000-0005-0000-0000-00008D1C0000}"/>
    <cellStyle name="_MARION W10238916 21-11-08   (2)_WLP FP Format1_VMW Tyco CONCENTRATED QUOTE WLP480 (AS IS) Gary wo tooling (2)_W10279106 y W10279107 de MR a 56i" xfId="7099" xr:uid="{00000000-0005-0000-0000-00008E1C0000}"/>
    <cellStyle name="_MARION W10238916 21-11-08   (2)_WLP FP Format1_VMW Tyco CONCENTRATED QUOTE WLP480 (AS IS) Gary wo tooling (2)_W10315922 A" xfId="7100" xr:uid="{00000000-0005-0000-0000-00008F1C0000}"/>
    <cellStyle name="_MARION W10238916 21-11-08   (2)_WLP FP Format1_VMW Tyco CONCENTRATED QUOTE WLP480 (proposal) additional machine Gary" xfId="7101" xr:uid="{00000000-0005-0000-0000-0000901C0000}"/>
    <cellStyle name="_MARION W10238916 21-11-08   (2)_WLP FP Format1_VMW Tyco CONCENTRATED QUOTE WLP480 (proposal) additional machine Gary 2" xfId="7102" xr:uid="{00000000-0005-0000-0000-0000911C0000}"/>
    <cellStyle name="_MARION W10238916 21-11-08   (2)_WLP FP Format1_VMW Tyco CONCENTRATED QUOTE WLP480 (proposal) additional machine Gary 2 2" xfId="7103" xr:uid="{00000000-0005-0000-0000-0000921C0000}"/>
    <cellStyle name="_MARION W10238916 21-11-08   (2)_WLP FP Format1_VMW Tyco CONCENTRATED QUOTE WLP480 (proposal) additional machine Gary 2 3" xfId="7104" xr:uid="{00000000-0005-0000-0000-0000931C0000}"/>
    <cellStyle name="_MARION W10238916 21-11-08   (2)_WLP FP Format1_VMW Tyco CONCENTRATED QUOTE WLP480 (proposal) additional machine Gary 2 4" xfId="7105" xr:uid="{00000000-0005-0000-0000-0000941C0000}"/>
    <cellStyle name="_MARION W10238916 21-11-08   (2)_WLP FP Format1_VMW Tyco CONCENTRATED QUOTE WLP480 (proposal) additional machine Gary 3" xfId="7106" xr:uid="{00000000-0005-0000-0000-0000951C0000}"/>
    <cellStyle name="_MARION W10238916 21-11-08   (2)_WLP FP Format1_VMW Tyco CONCENTRATED QUOTE WLP480 (proposal) additional machine Gary wo tooling" xfId="7107" xr:uid="{00000000-0005-0000-0000-0000961C0000}"/>
    <cellStyle name="_MARION W10238916 21-11-08   (2)_WLP FP Format1_VMW Tyco CONCENTRATED QUOTE WLP480 (proposal) additional machine Gary wo tooling 2" xfId="7108" xr:uid="{00000000-0005-0000-0000-0000971C0000}"/>
    <cellStyle name="_MARION W10238916 21-11-08   (2)_WLP FP Format1_VMW Tyco CONCENTRATED QUOTE WLP480 (proposal) additional machine Gary wo tooling 2 2" xfId="7109" xr:uid="{00000000-0005-0000-0000-0000981C0000}"/>
    <cellStyle name="_MARION W10238916 21-11-08   (2)_WLP FP Format1_VMW Tyco CONCENTRATED QUOTE WLP480 (proposal) additional machine Gary wo tooling 2 3" xfId="7110" xr:uid="{00000000-0005-0000-0000-0000991C0000}"/>
    <cellStyle name="_MARION W10238916 21-11-08   (2)_WLP FP Format1_VMW Tyco CONCENTRATED QUOTE WLP480 (proposal) additional machine Gary wo tooling 2 4" xfId="7111" xr:uid="{00000000-0005-0000-0000-00009A1C0000}"/>
    <cellStyle name="_MARION W10238916 21-11-08   (2)_WLP FP Format1_VMW Tyco CONCENTRATED QUOTE WLP480 (proposal) additional machine Gary wo tooling 3" xfId="7112" xr:uid="{00000000-0005-0000-0000-00009B1C0000}"/>
    <cellStyle name="_MARION W10238916 21-11-08   (2)_WLP FP Format1_VMW Tyco CONCENTRATED QUOTE WLP480 (proposal) additional machine Gary wo tooling_862-CH" xfId="7113" xr:uid="{00000000-0005-0000-0000-00009C1C0000}"/>
    <cellStyle name="_MARION W10238916 21-11-08   (2)_WLP FP Format1_VMW Tyco CONCENTRATED QUOTE WLP480 (proposal) additional machine Gary wo tooling_W10251766 D" xfId="7114" xr:uid="{00000000-0005-0000-0000-00009D1C0000}"/>
    <cellStyle name="_MARION W10238916 21-11-08   (2)_WLP FP Format1_VMW Tyco CONCENTRATED QUOTE WLP480 (proposal) additional machine Gary wo tooling_W10279106 y W10279107 de MR a 56i" xfId="7115" xr:uid="{00000000-0005-0000-0000-00009E1C0000}"/>
    <cellStyle name="_MARION W10238916 21-11-08   (2)_WLP FP Format1_VMW Tyco CONCENTRATED QUOTE WLP480 (proposal) additional machine Gary wo tooling_W10315922 A" xfId="7116" xr:uid="{00000000-0005-0000-0000-00009F1C0000}"/>
    <cellStyle name="_MARION W10238916 21-11-08   (2)_WLP FP Format1_VMW Tyco CONCENTRATED QUOTE WLP480 (proposal) additional machine Gary_862-CH" xfId="7117" xr:uid="{00000000-0005-0000-0000-0000A01C0000}"/>
    <cellStyle name="_MARION W10238916 21-11-08   (2)_WLP FP Format1_VMW Tyco CONCENTRATED QUOTE WLP480 (proposal) additional machine Gary_W10251766 D" xfId="7118" xr:uid="{00000000-0005-0000-0000-0000A11C0000}"/>
    <cellStyle name="_MARION W10238916 21-11-08   (2)_WLP FP Format1_VMW Tyco CONCENTRATED QUOTE WLP480 (proposal) additional machine Gary_W10279106 y W10279107 de MR a 56i" xfId="7119" xr:uid="{00000000-0005-0000-0000-0000A21C0000}"/>
    <cellStyle name="_MARION W10238916 21-11-08   (2)_WLP FP Format1_VMW Tyco CONCENTRATED QUOTE WLP480 (proposal) additional machine Gary_W10315922 A" xfId="7120" xr:uid="{00000000-0005-0000-0000-0000A31C0000}"/>
    <cellStyle name="_MARION W10238916 21-11-08   (2)_WLP FP Format1_W10251766 D" xfId="7121" xr:uid="{00000000-0005-0000-0000-0000A41C0000}"/>
    <cellStyle name="_MARION W10238916 21-11-08   (2)_WLP FP Format1_W10279106 y W10279107 de MR a 56i" xfId="7122" xr:uid="{00000000-0005-0000-0000-0000A51C0000}"/>
    <cellStyle name="_MARION W10238916 21-11-08   (2)_WLP FP Format1_W10315922 A" xfId="7123" xr:uid="{00000000-0005-0000-0000-0000A61C0000}"/>
    <cellStyle name="_MARION W10238916 21-11-08   (2)_WLP FP Format1_WPN145 3954933" xfId="7124" xr:uid="{00000000-0005-0000-0000-0000A71C0000}"/>
    <cellStyle name="_MARION W10238916 21-11-08   (2)_WLP FP Format1_WPN145 3954933 2" xfId="7125" xr:uid="{00000000-0005-0000-0000-0000A81C0000}"/>
    <cellStyle name="_MARION W10238916 21-11-08   (2)_WLP FP Format1_WPN145 3954933 3" xfId="7126" xr:uid="{00000000-0005-0000-0000-0000A91C0000}"/>
    <cellStyle name="_MARION W10238916 21-11-08   (2)_WLP FP Format1_WPN145 3954933 4" xfId="7127" xr:uid="{00000000-0005-0000-0000-0000AA1C0000}"/>
    <cellStyle name="_MARION W10238916 21-11-08   (2)_WLP FP Format1_WPN145 3954933 5" xfId="7128" xr:uid="{00000000-0005-0000-0000-0000AB1C0000}"/>
    <cellStyle name="_MARION W10238916 21-11-08   (2)_WPN145 3954933" xfId="7129" xr:uid="{00000000-0005-0000-0000-0000AC1C0000}"/>
    <cellStyle name="_MARION W10238916 21-11-08   (2)_WPN145 3954933 2" xfId="7130" xr:uid="{00000000-0005-0000-0000-0000AD1C0000}"/>
    <cellStyle name="_MARION W10238916 21-11-08   (2)_WPN145 3954933 3" xfId="7131" xr:uid="{00000000-0005-0000-0000-0000AE1C0000}"/>
    <cellStyle name="_MARION W10238916 21-11-08   (2)_WPN145 3954933 4" xfId="7132" xr:uid="{00000000-0005-0000-0000-0000AF1C0000}"/>
    <cellStyle name="_MARION W10238916 21-11-08   (2)_WPN145 3954933 5" xfId="7133" xr:uid="{00000000-0005-0000-0000-0000B01C0000}"/>
    <cellStyle name="_MARION W10246261 63 28-01-09 (2)" xfId="7134" xr:uid="{00000000-0005-0000-0000-0000B11C0000}"/>
    <cellStyle name="_MARION W10246261 63 28-01-09 (2) 2" xfId="7135" xr:uid="{00000000-0005-0000-0000-0000B21C0000}"/>
    <cellStyle name="_MARION W10246261 63 28-01-09 (2) 2 2" xfId="7136" xr:uid="{00000000-0005-0000-0000-0000B31C0000}"/>
    <cellStyle name="_MARION W10246261 63 28-01-09 (2) 2 3" xfId="7137" xr:uid="{00000000-0005-0000-0000-0000B41C0000}"/>
    <cellStyle name="_MARION W10246261 63 28-01-09 (2) 2 4" xfId="7138" xr:uid="{00000000-0005-0000-0000-0000B51C0000}"/>
    <cellStyle name="_MARION W10246261 63 28-01-09 (2) 3" xfId="7139" xr:uid="{00000000-0005-0000-0000-0000B61C0000}"/>
    <cellStyle name="_MARION W10246261 63 28-01-09 (2)_862-CH" xfId="7140" xr:uid="{00000000-0005-0000-0000-0000B71C0000}"/>
    <cellStyle name="_MARION W10246261 63 28-01-09 (2)_CONCENTRATED QUOTE WLP440" xfId="7141" xr:uid="{00000000-0005-0000-0000-0000B81C0000}"/>
    <cellStyle name="_MARION W10246261 63 28-01-09 (2)_CONCENTRATED QUOTE WLP440 2" xfId="7142" xr:uid="{00000000-0005-0000-0000-0000B91C0000}"/>
    <cellStyle name="_MARION W10246261 63 28-01-09 (2)_CONCENTRATED QUOTE WLP440 3" xfId="7143" xr:uid="{00000000-0005-0000-0000-0000BA1C0000}"/>
    <cellStyle name="_MARION W10246261 63 28-01-09 (2)_CONCENTRATED QUOTE WLP440 4" xfId="7144" xr:uid="{00000000-0005-0000-0000-0000BB1C0000}"/>
    <cellStyle name="_MARION W10246261 63 28-01-09 (2)_CONCENTRATED QUOTE WLP440 5" xfId="7145" xr:uid="{00000000-0005-0000-0000-0000BC1C0000}"/>
    <cellStyle name="_MARION W10246261 63 28-01-09 (2)_CONCENTRATED QUOTE WLP474" xfId="7146" xr:uid="{00000000-0005-0000-0000-0000BD1C0000}"/>
    <cellStyle name="_MARION W10246261 63 28-01-09 (2)_CONCENTRATED QUOTE WLP474 2" xfId="7147" xr:uid="{00000000-0005-0000-0000-0000BE1C0000}"/>
    <cellStyle name="_MARION W10246261 63 28-01-09 (2)_CONCENTRATED QUOTE WLP474 3" xfId="7148" xr:uid="{00000000-0005-0000-0000-0000BF1C0000}"/>
    <cellStyle name="_MARION W10246261 63 28-01-09 (2)_CONCENTRATED QUOTE WLP474 4" xfId="7149" xr:uid="{00000000-0005-0000-0000-0000C01C0000}"/>
    <cellStyle name="_MARION W10246261 63 28-01-09 (2)_CONCENTRATED QUOTE WLP477" xfId="7150" xr:uid="{00000000-0005-0000-0000-0000C11C0000}"/>
    <cellStyle name="_MARION W10246261 63 28-01-09 (2)_CONCENTRATED QUOTE WLP477 2" xfId="7151" xr:uid="{00000000-0005-0000-0000-0000C21C0000}"/>
    <cellStyle name="_MARION W10246261 63 28-01-09 (2)_CONCENTRATED QUOTE WLP477 3" xfId="7152" xr:uid="{00000000-0005-0000-0000-0000C31C0000}"/>
    <cellStyle name="_MARION W10246261 63 28-01-09 (2)_CONCENTRATED QUOTE WLP477 4" xfId="7153" xr:uid="{00000000-0005-0000-0000-0000C41C0000}"/>
    <cellStyle name="_MARION W10246261 63 28-01-09 (2)_CONCENTRATED QUOTE WLP477 5" xfId="7154" xr:uid="{00000000-0005-0000-0000-0000C51C0000}"/>
    <cellStyle name="_MARION W10246261 63 28-01-09 (2)_CONCENTRATED QUOTE WLP488" xfId="7155" xr:uid="{00000000-0005-0000-0000-0000C61C0000}"/>
    <cellStyle name="_MARION W10246261 63 28-01-09 (2)_CONCENTRATED QUOTE WLP488 2" xfId="7156" xr:uid="{00000000-0005-0000-0000-0000C71C0000}"/>
    <cellStyle name="_MARION W10246261 63 28-01-09 (2)_CONCENTRATED QUOTE WLP488 3" xfId="7157" xr:uid="{00000000-0005-0000-0000-0000C81C0000}"/>
    <cellStyle name="_MARION W10246261 63 28-01-09 (2)_CONCENTRATED QUOTE WLP488 4" xfId="7158" xr:uid="{00000000-0005-0000-0000-0000C91C0000}"/>
    <cellStyle name="_MARION W10246261 63 28-01-09 (2)_CONCENTRATED QUOTE WLP488 5" xfId="7159" xr:uid="{00000000-0005-0000-0000-0000CA1C0000}"/>
    <cellStyle name="_MARION W10246261 63 28-01-09 (2)_CONCENTRATED QUOTE WLP491" xfId="7160" xr:uid="{00000000-0005-0000-0000-0000CB1C0000}"/>
    <cellStyle name="_MARION W10246261 63 28-01-09 (2)_CONCENTRATED QUOTE WLP491 2" xfId="7161" xr:uid="{00000000-0005-0000-0000-0000CC1C0000}"/>
    <cellStyle name="_MARION W10246261 63 28-01-09 (2)_CONCENTRATED QUOTE WLP491 3" xfId="7162" xr:uid="{00000000-0005-0000-0000-0000CD1C0000}"/>
    <cellStyle name="_MARION W10246261 63 28-01-09 (2)_CONCENTRATED QUOTE WLP491 4" xfId="7163" xr:uid="{00000000-0005-0000-0000-0000CE1C0000}"/>
    <cellStyle name="_MARION W10246261 63 28-01-09 (2)_CONCENTRATED QUOTE WLP491 5" xfId="7164" xr:uid="{00000000-0005-0000-0000-0000CF1C0000}"/>
    <cellStyle name="_MARION W10246261 63 28-01-09 (2)_CONCENTRATED QUOTE WLP507A" xfId="7165" xr:uid="{00000000-0005-0000-0000-0000D01C0000}"/>
    <cellStyle name="_MARION W10246261 63 28-01-09 (2)_CONCENTRATED QUOTE WLP507A 081909" xfId="7166" xr:uid="{00000000-0005-0000-0000-0000D11C0000}"/>
    <cellStyle name="_MARION W10246261 63 28-01-09 (2)_CONCENTRATED QUOTE WLP507A 081909 2" xfId="7167" xr:uid="{00000000-0005-0000-0000-0000D21C0000}"/>
    <cellStyle name="_MARION W10246261 63 28-01-09 (2)_CONCENTRATED QUOTE WLP507A 081909 3" xfId="7168" xr:uid="{00000000-0005-0000-0000-0000D31C0000}"/>
    <cellStyle name="_MARION W10246261 63 28-01-09 (2)_CONCENTRATED QUOTE WLP507A 081909 4" xfId="7169" xr:uid="{00000000-0005-0000-0000-0000D41C0000}"/>
    <cellStyle name="_MARION W10246261 63 28-01-09 (2)_CONCENTRATED QUOTE WLP507A 081909 5" xfId="7170" xr:uid="{00000000-0005-0000-0000-0000D51C0000}"/>
    <cellStyle name="_MARION W10246261 63 28-01-09 (2)_CONCENTRATED QUOTE WLP507A 2" xfId="7171" xr:uid="{00000000-0005-0000-0000-0000D61C0000}"/>
    <cellStyle name="_MARION W10246261 63 28-01-09 (2)_CONCENTRATED QUOTE WLP507A 3" xfId="7172" xr:uid="{00000000-0005-0000-0000-0000D71C0000}"/>
    <cellStyle name="_MARION W10246261 63 28-01-09 (2)_CONCENTRATED QUOTE WLP507A 4" xfId="7173" xr:uid="{00000000-0005-0000-0000-0000D81C0000}"/>
    <cellStyle name="_MARION W10246261 63 28-01-09 (2)_CONCENTRATED QUOTE WLP515" xfId="7174" xr:uid="{00000000-0005-0000-0000-0000D91C0000}"/>
    <cellStyle name="_MARION W10246261 63 28-01-09 (2)_CONCENTRATED QUOTE WLP515 2" xfId="7175" xr:uid="{00000000-0005-0000-0000-0000DA1C0000}"/>
    <cellStyle name="_MARION W10246261 63 28-01-09 (2)_CONCENTRATED QUOTE WLP515 3" xfId="7176" xr:uid="{00000000-0005-0000-0000-0000DB1C0000}"/>
    <cellStyle name="_MARION W10246261 63 28-01-09 (2)_CONCENTRATED QUOTE WLP515 4" xfId="7177" xr:uid="{00000000-0005-0000-0000-0000DC1C0000}"/>
    <cellStyle name="_MARION W10246261 63 28-01-09 (2)_CONCENTRATED QUOTE WLP515 5" xfId="7178" xr:uid="{00000000-0005-0000-0000-0000DD1C0000}"/>
    <cellStyle name="_MARION W10246261 63 28-01-09 (2)_CONCENTRATED QUOTE WLP528" xfId="7179" xr:uid="{00000000-0005-0000-0000-0000DE1C0000}"/>
    <cellStyle name="_MARION W10246261 63 28-01-09 (2)_CONCENTRATED QUOTE WLP528 2" xfId="7180" xr:uid="{00000000-0005-0000-0000-0000DF1C0000}"/>
    <cellStyle name="_MARION W10246261 63 28-01-09 (2)_CONCENTRATED QUOTE WLP528 3" xfId="7181" xr:uid="{00000000-0005-0000-0000-0000E01C0000}"/>
    <cellStyle name="_MARION W10246261 63 28-01-09 (2)_CONCENTRATED QUOTE WLP528 4" xfId="7182" xr:uid="{00000000-0005-0000-0000-0000E11C0000}"/>
    <cellStyle name="_MARION W10246261 63 28-01-09 (2)_CONCENTRATED QUOTE WLP528 5" xfId="7183" xr:uid="{00000000-0005-0000-0000-0000E21C0000}"/>
    <cellStyle name="_MARION W10246261 63 28-01-09 (2)_CONCENTRATED QUOTE WLP534" xfId="7184" xr:uid="{00000000-0005-0000-0000-0000E31C0000}"/>
    <cellStyle name="_MARION W10246261 63 28-01-09 (2)_CONCENTRATED QUOTE WLP534 2" xfId="7185" xr:uid="{00000000-0005-0000-0000-0000E41C0000}"/>
    <cellStyle name="_MARION W10246261 63 28-01-09 (2)_CONCENTRATED QUOTE WLP534 3" xfId="7186" xr:uid="{00000000-0005-0000-0000-0000E51C0000}"/>
    <cellStyle name="_MARION W10246261 63 28-01-09 (2)_CONCENTRATED QUOTE WLP534 4" xfId="7187" xr:uid="{00000000-0005-0000-0000-0000E61C0000}"/>
    <cellStyle name="_MARION W10246261 63 28-01-09 (2)_CONCENTRATED QUOTE WLP536" xfId="7188" xr:uid="{00000000-0005-0000-0000-0000E71C0000}"/>
    <cellStyle name="_MARION W10246261 63 28-01-09 (2)_CONCENTRATED QUOTE WLP536 2" xfId="7189" xr:uid="{00000000-0005-0000-0000-0000E81C0000}"/>
    <cellStyle name="_MARION W10246261 63 28-01-09 (2)_CONCENTRATED QUOTE WLP536 3" xfId="7190" xr:uid="{00000000-0005-0000-0000-0000E91C0000}"/>
    <cellStyle name="_MARION W10246261 63 28-01-09 (2)_CONCENTRATED QUOTE WLP536 4" xfId="7191" xr:uid="{00000000-0005-0000-0000-0000EA1C0000}"/>
    <cellStyle name="_MARION W10246261 63 28-01-09 (2)_CONCENTRATED QUOTE WLP536 5" xfId="7192" xr:uid="{00000000-0005-0000-0000-0000EB1C0000}"/>
    <cellStyle name="_MARION W10246261 63 28-01-09 (2)_CONCENTRATED QUOTE WLP545" xfId="7193" xr:uid="{00000000-0005-0000-0000-0000EC1C0000}"/>
    <cellStyle name="_MARION W10246261 63 28-01-09 (2)_CONCENTRATED QUOTE WLP545 2" xfId="7194" xr:uid="{00000000-0005-0000-0000-0000ED1C0000}"/>
    <cellStyle name="_MARION W10246261 63 28-01-09 (2)_CONCENTRATED QUOTE WLP545 3" xfId="7195" xr:uid="{00000000-0005-0000-0000-0000EE1C0000}"/>
    <cellStyle name="_MARION W10246261 63 28-01-09 (2)_CONCENTRATED QUOTE WLP545 4" xfId="7196" xr:uid="{00000000-0005-0000-0000-0000EF1C0000}"/>
    <cellStyle name="_MARION W10246261 63 28-01-09 (2)_CONCENTRATED QUOTE WLP550" xfId="7197" xr:uid="{00000000-0005-0000-0000-0000F01C0000}"/>
    <cellStyle name="_MARION W10246261 63 28-01-09 (2)_CONCENTRATED QUOTE WLP550 2" xfId="7198" xr:uid="{00000000-0005-0000-0000-0000F11C0000}"/>
    <cellStyle name="_MARION W10246261 63 28-01-09 (2)_CONCENTRATED QUOTE WLP550 3" xfId="7199" xr:uid="{00000000-0005-0000-0000-0000F21C0000}"/>
    <cellStyle name="_MARION W10246261 63 28-01-09 (2)_CONCENTRATED QUOTE WLP550 4" xfId="7200" xr:uid="{00000000-0005-0000-0000-0000F31C0000}"/>
    <cellStyle name="_MARION W10246261 63 28-01-09 (2)_CONCENTRATED QUOTE WLP550 5" xfId="7201" xr:uid="{00000000-0005-0000-0000-0000F41C0000}"/>
    <cellStyle name="_MARION W10246261 63 28-01-09 (2)_CONCENTRATED QUOTE WLP552" xfId="7202" xr:uid="{00000000-0005-0000-0000-0000F51C0000}"/>
    <cellStyle name="_MARION W10246261 63 28-01-09 (2)_CONCENTRATED QUOTE WLP552 2" xfId="7203" xr:uid="{00000000-0005-0000-0000-0000F61C0000}"/>
    <cellStyle name="_MARION W10246261 63 28-01-09 (2)_CONCENTRATED QUOTE WLP552 3" xfId="7204" xr:uid="{00000000-0005-0000-0000-0000F71C0000}"/>
    <cellStyle name="_MARION W10246261 63 28-01-09 (2)_CONCENTRATED QUOTE WLP552 4" xfId="7205" xr:uid="{00000000-0005-0000-0000-0000F81C0000}"/>
    <cellStyle name="_MARION W10246261 63 28-01-09 (2)_CONCENTRATED QUOTE WLP5565" xfId="7206" xr:uid="{00000000-0005-0000-0000-0000F91C0000}"/>
    <cellStyle name="_MARION W10246261 63 28-01-09 (2)_CONCENTRATED QUOTE WLP5565 2" xfId="7207" xr:uid="{00000000-0005-0000-0000-0000FA1C0000}"/>
    <cellStyle name="_MARION W10246261 63 28-01-09 (2)_CONCENTRATED QUOTE WLP5565 3" xfId="7208" xr:uid="{00000000-0005-0000-0000-0000FB1C0000}"/>
    <cellStyle name="_MARION W10246261 63 28-01-09 (2)_CONCENTRATED QUOTE WLP5565 4" xfId="7209" xr:uid="{00000000-0005-0000-0000-0000FC1C0000}"/>
    <cellStyle name="_MARION W10246261 63 28-01-09 (2)_CONCENTRATED QUOTE WLP559" xfId="7210" xr:uid="{00000000-0005-0000-0000-0000FD1C0000}"/>
    <cellStyle name="_MARION W10246261 63 28-01-09 (2)_CONCENTRATED QUOTE WLP568" xfId="7211" xr:uid="{00000000-0005-0000-0000-0000FE1C0000}"/>
    <cellStyle name="_MARION W10246261 63 28-01-09 (2)_CONCENTRATED QUOTE WLP571" xfId="7212" xr:uid="{00000000-0005-0000-0000-0000FF1C0000}"/>
    <cellStyle name="_MARION W10246261 63 28-01-09 (2)_CONCENTRATED QUOTE WLP574  ALPHA" xfId="7213" xr:uid="{00000000-0005-0000-0000-0000001D0000}"/>
    <cellStyle name="_MARION W10246261 63 28-01-09 (2)_CONCENTRATED QUOTE WLP574  ALPHA 2" xfId="7214" xr:uid="{00000000-0005-0000-0000-0000011D0000}"/>
    <cellStyle name="_MARION W10246261 63 28-01-09 (2)_CONCENTRATED QUOTE WLP574  ALPHA 3" xfId="7215" xr:uid="{00000000-0005-0000-0000-0000021D0000}"/>
    <cellStyle name="_MARION W10246261 63 28-01-09 (2)_CONCENTRATED QUOTE WLP574  ALPHA 4" xfId="7216" xr:uid="{00000000-0005-0000-0000-0000031D0000}"/>
    <cellStyle name="_MARION W10246261 63 28-01-09 (2)_CONCENTRATED QUOTE WLP574  ALPHA 5" xfId="7217" xr:uid="{00000000-0005-0000-0000-0000041D0000}"/>
    <cellStyle name="_MARION W10246261 63 28-01-09 (2)_CONCENTRATED QUOTE WLP610 VMW CLC" xfId="7218" xr:uid="{00000000-0005-0000-0000-0000051D0000}"/>
    <cellStyle name="_MARION W10246261 63 28-01-09 (2)_CONCENTRATED QUOTE WLP610 VMW CLC 2" xfId="7219" xr:uid="{00000000-0005-0000-0000-0000061D0000}"/>
    <cellStyle name="_MARION W10246261 63 28-01-09 (2)_CONCENTRATED QUOTE WLP610 VMW CLC 3" xfId="7220" xr:uid="{00000000-0005-0000-0000-0000071D0000}"/>
    <cellStyle name="_MARION W10246261 63 28-01-09 (2)_CONCENTRATED QUOTE WLP610 VMW CLC 4" xfId="7221" xr:uid="{00000000-0005-0000-0000-0000081D0000}"/>
    <cellStyle name="_MARION W10246261 63 28-01-09 (2)_CONCENTRATED QUOTE WLP610 VMW CLC 5" xfId="7222" xr:uid="{00000000-0005-0000-0000-0000091D0000}"/>
    <cellStyle name="_MARION W10246261 63 28-01-09 (2)_CONCENTRATED QUOTE WLP623 071310" xfId="7223" xr:uid="{00000000-0005-0000-0000-00000A1D0000}"/>
    <cellStyle name="_MARION W10246261 63 28-01-09 (2)_CONCENTRATED QUOTE WLP628" xfId="7224" xr:uid="{00000000-0005-0000-0000-00000B1D0000}"/>
    <cellStyle name="_MARION W10246261 63 28-01-09 (2)_CONCENTRATED QUOTE WLP628 2" xfId="7225" xr:uid="{00000000-0005-0000-0000-00000C1D0000}"/>
    <cellStyle name="_MARION W10246261 63 28-01-09 (2)_CONCENTRATED QUOTE WLP628 3" xfId="7226" xr:uid="{00000000-0005-0000-0000-00000D1D0000}"/>
    <cellStyle name="_MARION W10246261 63 28-01-09 (2)_CONCENTRATED QUOTE WLP628 4" xfId="7227" xr:uid="{00000000-0005-0000-0000-00000E1D0000}"/>
    <cellStyle name="_MARION W10246261 63 28-01-09 (2)_CONCENTRATED QUOTE WLP628 5" xfId="7228" xr:uid="{00000000-0005-0000-0000-00000F1D0000}"/>
    <cellStyle name="_MARION W10246261 63 28-01-09 (2)_CONCENTRATED QUOTE WLP634 VMW MTAG" xfId="7229" xr:uid="{00000000-0005-0000-0000-0000101D0000}"/>
    <cellStyle name="_MARION W10246261 63 28-01-09 (2)_CONCENTRATED QUOTE WLP635" xfId="7230" xr:uid="{00000000-0005-0000-0000-0000111D0000}"/>
    <cellStyle name="_MARION W10246261 63 28-01-09 (2)_CONCENTRATED QUOTE WLP646" xfId="7231" xr:uid="{00000000-0005-0000-0000-0000121D0000}"/>
    <cellStyle name="_MARION W10246261 63 28-01-09 (2)_CONCENTRATED QUOTE WLP646 2" xfId="7232" xr:uid="{00000000-0005-0000-0000-0000131D0000}"/>
    <cellStyle name="_MARION W10246261 63 28-01-09 (2)_CONCENTRATED QUOTE WLP646 3" xfId="7233" xr:uid="{00000000-0005-0000-0000-0000141D0000}"/>
    <cellStyle name="_MARION W10246261 63 28-01-09 (2)_CONCENTRATED QUOTE WLP646 4" xfId="7234" xr:uid="{00000000-0005-0000-0000-0000151D0000}"/>
    <cellStyle name="_MARION W10246261 63 28-01-09 (2)_CONCENTRATED QUOTE WLP646 5" xfId="7235" xr:uid="{00000000-0005-0000-0000-0000161D0000}"/>
    <cellStyle name="_MARION W10246261 63 28-01-09 (2)_Copy of CONCENTRATED QUOTE WLP579" xfId="7236" xr:uid="{00000000-0005-0000-0000-0000171D0000}"/>
    <cellStyle name="_MARION W10246261 63 28-01-09 (2)_Copy of CONCENTRATED QUOTE WLP579 2" xfId="7237" xr:uid="{00000000-0005-0000-0000-0000181D0000}"/>
    <cellStyle name="_MARION W10246261 63 28-01-09 (2)_Copy of CONCENTRATED QUOTE WLP579 3" xfId="7238" xr:uid="{00000000-0005-0000-0000-0000191D0000}"/>
    <cellStyle name="_MARION W10246261 63 28-01-09 (2)_Copy of CONCENTRATED QUOTE WLP579 4" xfId="7239" xr:uid="{00000000-0005-0000-0000-00001A1D0000}"/>
    <cellStyle name="_MARION W10246261 63 28-01-09 (2)_Dekko HE P3-Classic P1" xfId="7240" xr:uid="{00000000-0005-0000-0000-00001B1D0000}"/>
    <cellStyle name="_MARION W10246261 63 28-01-09 (2)_Dekko HE P3-Classic P1 2" xfId="7241" xr:uid="{00000000-0005-0000-0000-00001C1D0000}"/>
    <cellStyle name="_MARION W10246261 63 28-01-09 (2)_Dekko HE P3-Classic P1 3" xfId="7242" xr:uid="{00000000-0005-0000-0000-00001D1D0000}"/>
    <cellStyle name="_MARION W10246261 63 28-01-09 (2)_Dekko HE P3-Classic P1 4" xfId="7243" xr:uid="{00000000-0005-0000-0000-00001E1D0000}"/>
    <cellStyle name="_MARION W10246261 63 28-01-09 (2)_ESTC1CLY0012" xfId="7244" xr:uid="{00000000-0005-0000-0000-00001F1D0000}"/>
    <cellStyle name="_MARION W10246261 63 28-01-09 (2)_ESTC1CLY0012 2" xfId="7245" xr:uid="{00000000-0005-0000-0000-0000201D0000}"/>
    <cellStyle name="_MARION W10246261 63 28-01-09 (2)_ESTC1CLY0012 3" xfId="7246" xr:uid="{00000000-0005-0000-0000-0000211D0000}"/>
    <cellStyle name="_MARION W10246261 63 28-01-09 (2)_ESTC1CLY0012 4" xfId="7247" xr:uid="{00000000-0005-0000-0000-0000221D0000}"/>
    <cellStyle name="_MARION W10246261 63 28-01-09 (2)_ESTC1CLY0013" xfId="7248" xr:uid="{00000000-0005-0000-0000-0000231D0000}"/>
    <cellStyle name="_MARION W10246261 63 28-01-09 (2)_ESTC1CLY0013 2" xfId="7249" xr:uid="{00000000-0005-0000-0000-0000241D0000}"/>
    <cellStyle name="_MARION W10246261 63 28-01-09 (2)_ESTC1CLY0013 3" xfId="7250" xr:uid="{00000000-0005-0000-0000-0000251D0000}"/>
    <cellStyle name="_MARION W10246261 63 28-01-09 (2)_ESTC1CLY0013 4" xfId="7251" xr:uid="{00000000-0005-0000-0000-0000261D0000}"/>
    <cellStyle name="_MARION W10246261 63 28-01-09 (2)_ESTC1FIN018" xfId="7252" xr:uid="{00000000-0005-0000-0000-0000271D0000}"/>
    <cellStyle name="_MARION W10246261 63 28-01-09 (2)_Estimated Quote 050609 039" xfId="7253" xr:uid="{00000000-0005-0000-0000-0000281D0000}"/>
    <cellStyle name="_MARION W10246261 63 28-01-09 (2)_Estimated Quote 050609 039 2" xfId="7254" xr:uid="{00000000-0005-0000-0000-0000291D0000}"/>
    <cellStyle name="_MARION W10246261 63 28-01-09 (2)_Estimated Quote 050609 039 3" xfId="7255" xr:uid="{00000000-0005-0000-0000-00002A1D0000}"/>
    <cellStyle name="_MARION W10246261 63 28-01-09 (2)_Estimated Quote 050609 039 4" xfId="7256" xr:uid="{00000000-0005-0000-0000-00002B1D0000}"/>
    <cellStyle name="_MARION W10246261 63 28-01-09 (2)_Estimated Quote 050609 039 5" xfId="7257" xr:uid="{00000000-0005-0000-0000-00002C1D0000}"/>
    <cellStyle name="_MARION W10246261 63 28-01-09 (2)_W01278760" xfId="7258" xr:uid="{00000000-0005-0000-0000-00002D1D0000}"/>
    <cellStyle name="_MARION W10246261 63 28-01-09 (2)_W01278760 2" xfId="7259" xr:uid="{00000000-0005-0000-0000-00002E1D0000}"/>
    <cellStyle name="_MARION W10246261 63 28-01-09 (2)_W01278760 3" xfId="7260" xr:uid="{00000000-0005-0000-0000-00002F1D0000}"/>
    <cellStyle name="_MARION W10246261 63 28-01-09 (2)_W01278760 4" xfId="7261" xr:uid="{00000000-0005-0000-0000-0000301D0000}"/>
    <cellStyle name="_MARION W10246261 63 28-01-09 (2)_W01278760 5" xfId="7262" xr:uid="{00000000-0005-0000-0000-0000311D0000}"/>
    <cellStyle name="_MARION W10246261 63 28-01-09 (2)_W10251442" xfId="7263" xr:uid="{00000000-0005-0000-0000-0000321D0000}"/>
    <cellStyle name="_MARION W10246261 63 28-01-09 (2)_W10251443" xfId="7264" xr:uid="{00000000-0005-0000-0000-0000331D0000}"/>
    <cellStyle name="_MARION W10246261 63 28-01-09 (2)_W10251444" xfId="7265" xr:uid="{00000000-0005-0000-0000-0000341D0000}"/>
    <cellStyle name="_MARION W10246261 63 28-01-09 (2)_W10251766 D" xfId="7266" xr:uid="{00000000-0005-0000-0000-0000351D0000}"/>
    <cellStyle name="_MARION W10246261 63 28-01-09 (2)_W10278758" xfId="7267" xr:uid="{00000000-0005-0000-0000-0000361D0000}"/>
    <cellStyle name="_MARION W10246261 63 28-01-09 (2)_W10278758 2" xfId="7268" xr:uid="{00000000-0005-0000-0000-0000371D0000}"/>
    <cellStyle name="_MARION W10246261 63 28-01-09 (2)_W10278758 3" xfId="7269" xr:uid="{00000000-0005-0000-0000-0000381D0000}"/>
    <cellStyle name="_MARION W10246261 63 28-01-09 (2)_W10278758 4" xfId="7270" xr:uid="{00000000-0005-0000-0000-0000391D0000}"/>
    <cellStyle name="_MARION W10246261 63 28-01-09 (2)_W10278758 5" xfId="7271" xr:uid="{00000000-0005-0000-0000-00003A1D0000}"/>
    <cellStyle name="_MARION W10246261 63 28-01-09 (2)_W10278759" xfId="7272" xr:uid="{00000000-0005-0000-0000-00003B1D0000}"/>
    <cellStyle name="_MARION W10246261 63 28-01-09 (2)_W10279106 y W10279107 de MR a 56i" xfId="7273" xr:uid="{00000000-0005-0000-0000-00003C1D0000}"/>
    <cellStyle name="_MARION W10246261 63 28-01-09 (2)_W10290772" xfId="7274" xr:uid="{00000000-0005-0000-0000-00003D1D0000}"/>
    <cellStyle name="_MARION W10246261 63 28-01-09 (2)_W10290772 2" xfId="7275" xr:uid="{00000000-0005-0000-0000-00003E1D0000}"/>
    <cellStyle name="_MARION W10246261 63 28-01-09 (2)_W10290772 3" xfId="7276" xr:uid="{00000000-0005-0000-0000-00003F1D0000}"/>
    <cellStyle name="_MARION W10246261 63 28-01-09 (2)_W10290772 4" xfId="7277" xr:uid="{00000000-0005-0000-0000-0000401D0000}"/>
    <cellStyle name="_MARION W10246261 63 28-01-09 (2)_W10290772 5" xfId="7278" xr:uid="{00000000-0005-0000-0000-0000411D0000}"/>
    <cellStyle name="_MARION W10246261 63 28-01-09 (2)_W10290774" xfId="7279" xr:uid="{00000000-0005-0000-0000-0000421D0000}"/>
    <cellStyle name="_MARION W10246261 63 28-01-09 (2)_W10290774 2" xfId="7280" xr:uid="{00000000-0005-0000-0000-0000431D0000}"/>
    <cellStyle name="_MARION W10246261 63 28-01-09 (2)_W10290774 3" xfId="7281" xr:uid="{00000000-0005-0000-0000-0000441D0000}"/>
    <cellStyle name="_MARION W10246261 63 28-01-09 (2)_W10290774 4" xfId="7282" xr:uid="{00000000-0005-0000-0000-0000451D0000}"/>
    <cellStyle name="_MARION W10246261 63 28-01-09 (2)_W10290774 5" xfId="7283" xr:uid="{00000000-0005-0000-0000-0000461D0000}"/>
    <cellStyle name="_MARION W10246261 63 28-01-09 (2)_W10300883" xfId="7284" xr:uid="{00000000-0005-0000-0000-0000471D0000}"/>
    <cellStyle name="_MARION W10246261 63 28-01-09 (2)_W10300883 2" xfId="7285" xr:uid="{00000000-0005-0000-0000-0000481D0000}"/>
    <cellStyle name="_MARION W10246261 63 28-01-09 (2)_W10300883 3" xfId="7286" xr:uid="{00000000-0005-0000-0000-0000491D0000}"/>
    <cellStyle name="_MARION W10246261 63 28-01-09 (2)_W10300883 4" xfId="7287" xr:uid="{00000000-0005-0000-0000-00004A1D0000}"/>
    <cellStyle name="_MARION W10246261 63 28-01-09 (2)_W10300883 5" xfId="7288" xr:uid="{00000000-0005-0000-0000-00004B1D0000}"/>
    <cellStyle name="_MARION W10246261 63 28-01-09 (2)_W10315922 A" xfId="7289" xr:uid="{00000000-0005-0000-0000-00004C1D0000}"/>
    <cellStyle name="_MARION W10246261 63 28-01-09 (2)_WPFINDLAY-0037" xfId="7290" xr:uid="{00000000-0005-0000-0000-00004D1D0000}"/>
    <cellStyle name="_MARION W10246261 63 28-01-09 (2)_WPN145 3954933" xfId="7291" xr:uid="{00000000-0005-0000-0000-00004E1D0000}"/>
    <cellStyle name="_MARION W10246261 63 28-01-09 (2)_WPN145 3954933 2" xfId="7292" xr:uid="{00000000-0005-0000-0000-00004F1D0000}"/>
    <cellStyle name="_MARION W10246261 63 28-01-09 (2)_WPN145 3954933 3" xfId="7293" xr:uid="{00000000-0005-0000-0000-0000501D0000}"/>
    <cellStyle name="_MARION W10246261 63 28-01-09 (2)_WPN145 3954933 4" xfId="7294" xr:uid="{00000000-0005-0000-0000-0000511D0000}"/>
    <cellStyle name="_MARION W10246261 63 28-01-09 (2)_WPN145 3954933 5" xfId="7295" xr:uid="{00000000-0005-0000-0000-0000521D0000}"/>
    <cellStyle name="_MARION W10246261 63 28-01-09 (2)_WPN163 8576530" xfId="7296" xr:uid="{00000000-0005-0000-0000-0000531D0000}"/>
    <cellStyle name="_MARION W10246261 63 28-01-09 (2)_WPN163 8576530 2" xfId="7297" xr:uid="{00000000-0005-0000-0000-0000541D0000}"/>
    <cellStyle name="_MARION W10246261 63 28-01-09 (2)_WPN163 8576530 3" xfId="7298" xr:uid="{00000000-0005-0000-0000-0000551D0000}"/>
    <cellStyle name="_MARION W10246261 63 28-01-09 (2)_WPN163 8576530 4" xfId="7299" xr:uid="{00000000-0005-0000-0000-0000561D0000}"/>
    <cellStyle name="_MARION W10246261 63 28-01-09 (2)_xCONCENTRATED QUOTE 2" xfId="7300" xr:uid="{00000000-0005-0000-0000-0000571D0000}"/>
    <cellStyle name="_MARION W10246261 63 28-01-09 (2)_xCONCENTRATED QUOTE 2 2" xfId="7301" xr:uid="{00000000-0005-0000-0000-0000581D0000}"/>
    <cellStyle name="_MARION W10246261 63 28-01-09 (2)_xCONCENTRATED QUOTE 2 3" xfId="7302" xr:uid="{00000000-0005-0000-0000-0000591D0000}"/>
    <cellStyle name="_MARION W10246261 63 28-01-09 (2)_xCONCENTRATED QUOTE 2 4" xfId="7303" xr:uid="{00000000-0005-0000-0000-00005A1D0000}"/>
    <cellStyle name="_MARION W10246261 63 28-01-09 (2)_xCONCENTRATED QUOTE 2 5" xfId="7304" xr:uid="{00000000-0005-0000-0000-00005B1D0000}"/>
    <cellStyle name="_MARION W10246261 63 28-01-09 (2)_xCONCENTRATED QUOTE 3" xfId="7305" xr:uid="{00000000-0005-0000-0000-00005C1D0000}"/>
    <cellStyle name="_MARION W10246261 63 28-01-09 (2)_xCONCENTRATED QUOTE 3 2" xfId="7306" xr:uid="{00000000-0005-0000-0000-00005D1D0000}"/>
    <cellStyle name="_MARION W10246261 63 28-01-09 (2)_xCONCENTRATED QUOTE 3 3" xfId="7307" xr:uid="{00000000-0005-0000-0000-00005E1D0000}"/>
    <cellStyle name="_MARION W10246261 63 28-01-09 (2)_xCONCENTRATED QUOTE 3 4" xfId="7308" xr:uid="{00000000-0005-0000-0000-00005F1D0000}"/>
    <cellStyle name="_MARION W10246261 63 28-01-09 (2)_xCONCENTRATED QUOTE 3 5" xfId="7309" xr:uid="{00000000-0005-0000-0000-0000601D0000}"/>
    <cellStyle name="_MARION W10246261 63 28-01-09 (2)_Xl0000004" xfId="7310" xr:uid="{00000000-0005-0000-0000-0000611D0000}"/>
    <cellStyle name="_MARION W10246261 63 28-01-09 (2)_Xl0000004 2" xfId="7311" xr:uid="{00000000-0005-0000-0000-0000621D0000}"/>
    <cellStyle name="_MARION W10246261 63 28-01-09 (2)_Xl0000004 3" xfId="7312" xr:uid="{00000000-0005-0000-0000-0000631D0000}"/>
    <cellStyle name="_MARION W10246261 63 28-01-09 (2)_Xl0000004 4" xfId="7313" xr:uid="{00000000-0005-0000-0000-0000641D0000}"/>
    <cellStyle name="_MARION W10246261 63 28-01-09 (2)_Xl0000004 5" xfId="7314" xr:uid="{00000000-0005-0000-0000-0000651D0000}"/>
    <cellStyle name="_MARION W1024626163 28-01-09 (2)" xfId="7315" xr:uid="{00000000-0005-0000-0000-0000661D0000}"/>
    <cellStyle name="_MARION W1024626163 28-01-09 (2) 2" xfId="7316" xr:uid="{00000000-0005-0000-0000-0000671D0000}"/>
    <cellStyle name="_MARION W1024626163 28-01-09 (2) 2 2" xfId="7317" xr:uid="{00000000-0005-0000-0000-0000681D0000}"/>
    <cellStyle name="_MARION W1024626163 28-01-09 (2) 2 3" xfId="7318" xr:uid="{00000000-0005-0000-0000-0000691D0000}"/>
    <cellStyle name="_MARION W1024626163 28-01-09 (2) 2 4" xfId="7319" xr:uid="{00000000-0005-0000-0000-00006A1D0000}"/>
    <cellStyle name="_MARION W1024626163 28-01-09 (2) 3" xfId="7320" xr:uid="{00000000-0005-0000-0000-00006B1D0000}"/>
    <cellStyle name="_MARION W1024626163 28-01-09 (2)_862-CH" xfId="7321" xr:uid="{00000000-0005-0000-0000-00006C1D0000}"/>
    <cellStyle name="_MARION W1024626163 28-01-09 (2)_CONCENTRATED QUOTE WLP440" xfId="7322" xr:uid="{00000000-0005-0000-0000-00006D1D0000}"/>
    <cellStyle name="_MARION W1024626163 28-01-09 (2)_CONCENTRATED QUOTE WLP440 2" xfId="7323" xr:uid="{00000000-0005-0000-0000-00006E1D0000}"/>
    <cellStyle name="_MARION W1024626163 28-01-09 (2)_CONCENTRATED QUOTE WLP440 3" xfId="7324" xr:uid="{00000000-0005-0000-0000-00006F1D0000}"/>
    <cellStyle name="_MARION W1024626163 28-01-09 (2)_CONCENTRATED QUOTE WLP440 4" xfId="7325" xr:uid="{00000000-0005-0000-0000-0000701D0000}"/>
    <cellStyle name="_MARION W1024626163 28-01-09 (2)_CONCENTRATED QUOTE WLP440 5" xfId="7326" xr:uid="{00000000-0005-0000-0000-0000711D0000}"/>
    <cellStyle name="_MARION W1024626163 28-01-09 (2)_CONCENTRATED QUOTE WLP474" xfId="7327" xr:uid="{00000000-0005-0000-0000-0000721D0000}"/>
    <cellStyle name="_MARION W1024626163 28-01-09 (2)_CONCENTRATED QUOTE WLP474 2" xfId="7328" xr:uid="{00000000-0005-0000-0000-0000731D0000}"/>
    <cellStyle name="_MARION W1024626163 28-01-09 (2)_CONCENTRATED QUOTE WLP474 3" xfId="7329" xr:uid="{00000000-0005-0000-0000-0000741D0000}"/>
    <cellStyle name="_MARION W1024626163 28-01-09 (2)_CONCENTRATED QUOTE WLP474 4" xfId="7330" xr:uid="{00000000-0005-0000-0000-0000751D0000}"/>
    <cellStyle name="_MARION W1024626163 28-01-09 (2)_CONCENTRATED QUOTE WLP477" xfId="7331" xr:uid="{00000000-0005-0000-0000-0000761D0000}"/>
    <cellStyle name="_MARION W1024626163 28-01-09 (2)_CONCENTRATED QUOTE WLP477 2" xfId="7332" xr:uid="{00000000-0005-0000-0000-0000771D0000}"/>
    <cellStyle name="_MARION W1024626163 28-01-09 (2)_CONCENTRATED QUOTE WLP477 3" xfId="7333" xr:uid="{00000000-0005-0000-0000-0000781D0000}"/>
    <cellStyle name="_MARION W1024626163 28-01-09 (2)_CONCENTRATED QUOTE WLP477 4" xfId="7334" xr:uid="{00000000-0005-0000-0000-0000791D0000}"/>
    <cellStyle name="_MARION W1024626163 28-01-09 (2)_CONCENTRATED QUOTE WLP477 5" xfId="7335" xr:uid="{00000000-0005-0000-0000-00007A1D0000}"/>
    <cellStyle name="_MARION W1024626163 28-01-09 (2)_CONCENTRATED QUOTE WLP488" xfId="7336" xr:uid="{00000000-0005-0000-0000-00007B1D0000}"/>
    <cellStyle name="_MARION W1024626163 28-01-09 (2)_CONCENTRATED QUOTE WLP488 2" xfId="7337" xr:uid="{00000000-0005-0000-0000-00007C1D0000}"/>
    <cellStyle name="_MARION W1024626163 28-01-09 (2)_CONCENTRATED QUOTE WLP488 3" xfId="7338" xr:uid="{00000000-0005-0000-0000-00007D1D0000}"/>
    <cellStyle name="_MARION W1024626163 28-01-09 (2)_CONCENTRATED QUOTE WLP488 4" xfId="7339" xr:uid="{00000000-0005-0000-0000-00007E1D0000}"/>
    <cellStyle name="_MARION W1024626163 28-01-09 (2)_CONCENTRATED QUOTE WLP488 5" xfId="7340" xr:uid="{00000000-0005-0000-0000-00007F1D0000}"/>
    <cellStyle name="_MARION W1024626163 28-01-09 (2)_CONCENTRATED QUOTE WLP491" xfId="7341" xr:uid="{00000000-0005-0000-0000-0000801D0000}"/>
    <cellStyle name="_MARION W1024626163 28-01-09 (2)_CONCENTRATED QUOTE WLP491 2" xfId="7342" xr:uid="{00000000-0005-0000-0000-0000811D0000}"/>
    <cellStyle name="_MARION W1024626163 28-01-09 (2)_CONCENTRATED QUOTE WLP491 3" xfId="7343" xr:uid="{00000000-0005-0000-0000-0000821D0000}"/>
    <cellStyle name="_MARION W1024626163 28-01-09 (2)_CONCENTRATED QUOTE WLP491 4" xfId="7344" xr:uid="{00000000-0005-0000-0000-0000831D0000}"/>
    <cellStyle name="_MARION W1024626163 28-01-09 (2)_CONCENTRATED QUOTE WLP491 5" xfId="7345" xr:uid="{00000000-0005-0000-0000-0000841D0000}"/>
    <cellStyle name="_MARION W1024626163 28-01-09 (2)_CONCENTRATED QUOTE WLP507A" xfId="7346" xr:uid="{00000000-0005-0000-0000-0000851D0000}"/>
    <cellStyle name="_MARION W1024626163 28-01-09 (2)_CONCENTRATED QUOTE WLP507A 081909" xfId="7347" xr:uid="{00000000-0005-0000-0000-0000861D0000}"/>
    <cellStyle name="_MARION W1024626163 28-01-09 (2)_CONCENTRATED QUOTE WLP507A 081909 2" xfId="7348" xr:uid="{00000000-0005-0000-0000-0000871D0000}"/>
    <cellStyle name="_MARION W1024626163 28-01-09 (2)_CONCENTRATED QUOTE WLP507A 081909 3" xfId="7349" xr:uid="{00000000-0005-0000-0000-0000881D0000}"/>
    <cellStyle name="_MARION W1024626163 28-01-09 (2)_CONCENTRATED QUOTE WLP507A 081909 4" xfId="7350" xr:uid="{00000000-0005-0000-0000-0000891D0000}"/>
    <cellStyle name="_MARION W1024626163 28-01-09 (2)_CONCENTRATED QUOTE WLP507A 081909 5" xfId="7351" xr:uid="{00000000-0005-0000-0000-00008A1D0000}"/>
    <cellStyle name="_MARION W1024626163 28-01-09 (2)_CONCENTRATED QUOTE WLP507A 2" xfId="7352" xr:uid="{00000000-0005-0000-0000-00008B1D0000}"/>
    <cellStyle name="_MARION W1024626163 28-01-09 (2)_CONCENTRATED QUOTE WLP507A 3" xfId="7353" xr:uid="{00000000-0005-0000-0000-00008C1D0000}"/>
    <cellStyle name="_MARION W1024626163 28-01-09 (2)_CONCENTRATED QUOTE WLP507A 4" xfId="7354" xr:uid="{00000000-0005-0000-0000-00008D1D0000}"/>
    <cellStyle name="_MARION W1024626163 28-01-09 (2)_CONCENTRATED QUOTE WLP515" xfId="7355" xr:uid="{00000000-0005-0000-0000-00008E1D0000}"/>
    <cellStyle name="_MARION W1024626163 28-01-09 (2)_CONCENTRATED QUOTE WLP515 2" xfId="7356" xr:uid="{00000000-0005-0000-0000-00008F1D0000}"/>
    <cellStyle name="_MARION W1024626163 28-01-09 (2)_CONCENTRATED QUOTE WLP515 3" xfId="7357" xr:uid="{00000000-0005-0000-0000-0000901D0000}"/>
    <cellStyle name="_MARION W1024626163 28-01-09 (2)_CONCENTRATED QUOTE WLP515 4" xfId="7358" xr:uid="{00000000-0005-0000-0000-0000911D0000}"/>
    <cellStyle name="_MARION W1024626163 28-01-09 (2)_CONCENTRATED QUOTE WLP515 5" xfId="7359" xr:uid="{00000000-0005-0000-0000-0000921D0000}"/>
    <cellStyle name="_MARION W1024626163 28-01-09 (2)_CONCENTRATED QUOTE WLP528" xfId="7360" xr:uid="{00000000-0005-0000-0000-0000931D0000}"/>
    <cellStyle name="_MARION W1024626163 28-01-09 (2)_CONCENTRATED QUOTE WLP528 2" xfId="7361" xr:uid="{00000000-0005-0000-0000-0000941D0000}"/>
    <cellStyle name="_MARION W1024626163 28-01-09 (2)_CONCENTRATED QUOTE WLP528 3" xfId="7362" xr:uid="{00000000-0005-0000-0000-0000951D0000}"/>
    <cellStyle name="_MARION W1024626163 28-01-09 (2)_CONCENTRATED QUOTE WLP528 4" xfId="7363" xr:uid="{00000000-0005-0000-0000-0000961D0000}"/>
    <cellStyle name="_MARION W1024626163 28-01-09 (2)_CONCENTRATED QUOTE WLP528 5" xfId="7364" xr:uid="{00000000-0005-0000-0000-0000971D0000}"/>
    <cellStyle name="_MARION W1024626163 28-01-09 (2)_CONCENTRATED QUOTE WLP534" xfId="7365" xr:uid="{00000000-0005-0000-0000-0000981D0000}"/>
    <cellStyle name="_MARION W1024626163 28-01-09 (2)_CONCENTRATED QUOTE WLP534 2" xfId="7366" xr:uid="{00000000-0005-0000-0000-0000991D0000}"/>
    <cellStyle name="_MARION W1024626163 28-01-09 (2)_CONCENTRATED QUOTE WLP534 3" xfId="7367" xr:uid="{00000000-0005-0000-0000-00009A1D0000}"/>
    <cellStyle name="_MARION W1024626163 28-01-09 (2)_CONCENTRATED QUOTE WLP534 4" xfId="7368" xr:uid="{00000000-0005-0000-0000-00009B1D0000}"/>
    <cellStyle name="_MARION W1024626163 28-01-09 (2)_CONCENTRATED QUOTE WLP536" xfId="7369" xr:uid="{00000000-0005-0000-0000-00009C1D0000}"/>
    <cellStyle name="_MARION W1024626163 28-01-09 (2)_CONCENTRATED QUOTE WLP536 2" xfId="7370" xr:uid="{00000000-0005-0000-0000-00009D1D0000}"/>
    <cellStyle name="_MARION W1024626163 28-01-09 (2)_CONCENTRATED QUOTE WLP536 3" xfId="7371" xr:uid="{00000000-0005-0000-0000-00009E1D0000}"/>
    <cellStyle name="_MARION W1024626163 28-01-09 (2)_CONCENTRATED QUOTE WLP536 4" xfId="7372" xr:uid="{00000000-0005-0000-0000-00009F1D0000}"/>
    <cellStyle name="_MARION W1024626163 28-01-09 (2)_CONCENTRATED QUOTE WLP536 5" xfId="7373" xr:uid="{00000000-0005-0000-0000-0000A01D0000}"/>
    <cellStyle name="_MARION W1024626163 28-01-09 (2)_CONCENTRATED QUOTE WLP545" xfId="7374" xr:uid="{00000000-0005-0000-0000-0000A11D0000}"/>
    <cellStyle name="_MARION W1024626163 28-01-09 (2)_CONCENTRATED QUOTE WLP545 2" xfId="7375" xr:uid="{00000000-0005-0000-0000-0000A21D0000}"/>
    <cellStyle name="_MARION W1024626163 28-01-09 (2)_CONCENTRATED QUOTE WLP545 3" xfId="7376" xr:uid="{00000000-0005-0000-0000-0000A31D0000}"/>
    <cellStyle name="_MARION W1024626163 28-01-09 (2)_CONCENTRATED QUOTE WLP545 4" xfId="7377" xr:uid="{00000000-0005-0000-0000-0000A41D0000}"/>
    <cellStyle name="_MARION W1024626163 28-01-09 (2)_CONCENTRATED QUOTE WLP550" xfId="7378" xr:uid="{00000000-0005-0000-0000-0000A51D0000}"/>
    <cellStyle name="_MARION W1024626163 28-01-09 (2)_CONCENTRATED QUOTE WLP550 2" xfId="7379" xr:uid="{00000000-0005-0000-0000-0000A61D0000}"/>
    <cellStyle name="_MARION W1024626163 28-01-09 (2)_CONCENTRATED QUOTE WLP550 3" xfId="7380" xr:uid="{00000000-0005-0000-0000-0000A71D0000}"/>
    <cellStyle name="_MARION W1024626163 28-01-09 (2)_CONCENTRATED QUOTE WLP550 4" xfId="7381" xr:uid="{00000000-0005-0000-0000-0000A81D0000}"/>
    <cellStyle name="_MARION W1024626163 28-01-09 (2)_CONCENTRATED QUOTE WLP550 5" xfId="7382" xr:uid="{00000000-0005-0000-0000-0000A91D0000}"/>
    <cellStyle name="_MARION W1024626163 28-01-09 (2)_CONCENTRATED QUOTE WLP552" xfId="7383" xr:uid="{00000000-0005-0000-0000-0000AA1D0000}"/>
    <cellStyle name="_MARION W1024626163 28-01-09 (2)_CONCENTRATED QUOTE WLP552 2" xfId="7384" xr:uid="{00000000-0005-0000-0000-0000AB1D0000}"/>
    <cellStyle name="_MARION W1024626163 28-01-09 (2)_CONCENTRATED QUOTE WLP552 3" xfId="7385" xr:uid="{00000000-0005-0000-0000-0000AC1D0000}"/>
    <cellStyle name="_MARION W1024626163 28-01-09 (2)_CONCENTRATED QUOTE WLP552 4" xfId="7386" xr:uid="{00000000-0005-0000-0000-0000AD1D0000}"/>
    <cellStyle name="_MARION W1024626163 28-01-09 (2)_CONCENTRATED QUOTE WLP5565" xfId="7387" xr:uid="{00000000-0005-0000-0000-0000AE1D0000}"/>
    <cellStyle name="_MARION W1024626163 28-01-09 (2)_CONCENTRATED QUOTE WLP5565 2" xfId="7388" xr:uid="{00000000-0005-0000-0000-0000AF1D0000}"/>
    <cellStyle name="_MARION W1024626163 28-01-09 (2)_CONCENTRATED QUOTE WLP5565 3" xfId="7389" xr:uid="{00000000-0005-0000-0000-0000B01D0000}"/>
    <cellStyle name="_MARION W1024626163 28-01-09 (2)_CONCENTRATED QUOTE WLP5565 4" xfId="7390" xr:uid="{00000000-0005-0000-0000-0000B11D0000}"/>
    <cellStyle name="_MARION W1024626163 28-01-09 (2)_CONCENTRATED QUOTE WLP559" xfId="7391" xr:uid="{00000000-0005-0000-0000-0000B21D0000}"/>
    <cellStyle name="_MARION W1024626163 28-01-09 (2)_CONCENTRATED QUOTE WLP568" xfId="7392" xr:uid="{00000000-0005-0000-0000-0000B31D0000}"/>
    <cellStyle name="_MARION W1024626163 28-01-09 (2)_CONCENTRATED QUOTE WLP571" xfId="7393" xr:uid="{00000000-0005-0000-0000-0000B41D0000}"/>
    <cellStyle name="_MARION W1024626163 28-01-09 (2)_CONCENTRATED QUOTE WLP574  ALPHA" xfId="7394" xr:uid="{00000000-0005-0000-0000-0000B51D0000}"/>
    <cellStyle name="_MARION W1024626163 28-01-09 (2)_CONCENTRATED QUOTE WLP574  ALPHA 2" xfId="7395" xr:uid="{00000000-0005-0000-0000-0000B61D0000}"/>
    <cellStyle name="_MARION W1024626163 28-01-09 (2)_CONCENTRATED QUOTE WLP574  ALPHA 3" xfId="7396" xr:uid="{00000000-0005-0000-0000-0000B71D0000}"/>
    <cellStyle name="_MARION W1024626163 28-01-09 (2)_CONCENTRATED QUOTE WLP574  ALPHA 4" xfId="7397" xr:uid="{00000000-0005-0000-0000-0000B81D0000}"/>
    <cellStyle name="_MARION W1024626163 28-01-09 (2)_CONCENTRATED QUOTE WLP574  ALPHA 5" xfId="7398" xr:uid="{00000000-0005-0000-0000-0000B91D0000}"/>
    <cellStyle name="_MARION W1024626163 28-01-09 (2)_CONCENTRATED QUOTE WLP610 VMW CLC" xfId="7399" xr:uid="{00000000-0005-0000-0000-0000BA1D0000}"/>
    <cellStyle name="_MARION W1024626163 28-01-09 (2)_CONCENTRATED QUOTE WLP610 VMW CLC 2" xfId="7400" xr:uid="{00000000-0005-0000-0000-0000BB1D0000}"/>
    <cellStyle name="_MARION W1024626163 28-01-09 (2)_CONCENTRATED QUOTE WLP610 VMW CLC 3" xfId="7401" xr:uid="{00000000-0005-0000-0000-0000BC1D0000}"/>
    <cellStyle name="_MARION W1024626163 28-01-09 (2)_CONCENTRATED QUOTE WLP610 VMW CLC 4" xfId="7402" xr:uid="{00000000-0005-0000-0000-0000BD1D0000}"/>
    <cellStyle name="_MARION W1024626163 28-01-09 (2)_CONCENTRATED QUOTE WLP610 VMW CLC 5" xfId="7403" xr:uid="{00000000-0005-0000-0000-0000BE1D0000}"/>
    <cellStyle name="_MARION W1024626163 28-01-09 (2)_CONCENTRATED QUOTE WLP623 071310" xfId="7404" xr:uid="{00000000-0005-0000-0000-0000BF1D0000}"/>
    <cellStyle name="_MARION W1024626163 28-01-09 (2)_CONCENTRATED QUOTE WLP628" xfId="7405" xr:uid="{00000000-0005-0000-0000-0000C01D0000}"/>
    <cellStyle name="_MARION W1024626163 28-01-09 (2)_CONCENTRATED QUOTE WLP628 2" xfId="7406" xr:uid="{00000000-0005-0000-0000-0000C11D0000}"/>
    <cellStyle name="_MARION W1024626163 28-01-09 (2)_CONCENTRATED QUOTE WLP628 3" xfId="7407" xr:uid="{00000000-0005-0000-0000-0000C21D0000}"/>
    <cellStyle name="_MARION W1024626163 28-01-09 (2)_CONCENTRATED QUOTE WLP628 4" xfId="7408" xr:uid="{00000000-0005-0000-0000-0000C31D0000}"/>
    <cellStyle name="_MARION W1024626163 28-01-09 (2)_CONCENTRATED QUOTE WLP628 5" xfId="7409" xr:uid="{00000000-0005-0000-0000-0000C41D0000}"/>
    <cellStyle name="_MARION W1024626163 28-01-09 (2)_CONCENTRATED QUOTE WLP634 VMW MTAG" xfId="7410" xr:uid="{00000000-0005-0000-0000-0000C51D0000}"/>
    <cellStyle name="_MARION W1024626163 28-01-09 (2)_CONCENTRATED QUOTE WLP635" xfId="7411" xr:uid="{00000000-0005-0000-0000-0000C61D0000}"/>
    <cellStyle name="_MARION W1024626163 28-01-09 (2)_CONCENTRATED QUOTE WLP646" xfId="7412" xr:uid="{00000000-0005-0000-0000-0000C71D0000}"/>
    <cellStyle name="_MARION W1024626163 28-01-09 (2)_CONCENTRATED QUOTE WLP646 2" xfId="7413" xr:uid="{00000000-0005-0000-0000-0000C81D0000}"/>
    <cellStyle name="_MARION W1024626163 28-01-09 (2)_CONCENTRATED QUOTE WLP646 3" xfId="7414" xr:uid="{00000000-0005-0000-0000-0000C91D0000}"/>
    <cellStyle name="_MARION W1024626163 28-01-09 (2)_CONCENTRATED QUOTE WLP646 4" xfId="7415" xr:uid="{00000000-0005-0000-0000-0000CA1D0000}"/>
    <cellStyle name="_MARION W1024626163 28-01-09 (2)_CONCENTRATED QUOTE WLP646 5" xfId="7416" xr:uid="{00000000-0005-0000-0000-0000CB1D0000}"/>
    <cellStyle name="_MARION W1024626163 28-01-09 (2)_Copy of CONCENTRATED QUOTE WLP579" xfId="7417" xr:uid="{00000000-0005-0000-0000-0000CC1D0000}"/>
    <cellStyle name="_MARION W1024626163 28-01-09 (2)_Copy of CONCENTRATED QUOTE WLP579 2" xfId="7418" xr:uid="{00000000-0005-0000-0000-0000CD1D0000}"/>
    <cellStyle name="_MARION W1024626163 28-01-09 (2)_Copy of CONCENTRATED QUOTE WLP579 3" xfId="7419" xr:uid="{00000000-0005-0000-0000-0000CE1D0000}"/>
    <cellStyle name="_MARION W1024626163 28-01-09 (2)_Copy of CONCENTRATED QUOTE WLP579 4" xfId="7420" xr:uid="{00000000-0005-0000-0000-0000CF1D0000}"/>
    <cellStyle name="_MARION W1024626163 28-01-09 (2)_Dekko HE P3-Classic P1" xfId="7421" xr:uid="{00000000-0005-0000-0000-0000D01D0000}"/>
    <cellStyle name="_MARION W1024626163 28-01-09 (2)_Dekko HE P3-Classic P1 2" xfId="7422" xr:uid="{00000000-0005-0000-0000-0000D11D0000}"/>
    <cellStyle name="_MARION W1024626163 28-01-09 (2)_Dekko HE P3-Classic P1 3" xfId="7423" xr:uid="{00000000-0005-0000-0000-0000D21D0000}"/>
    <cellStyle name="_MARION W1024626163 28-01-09 (2)_Dekko HE P3-Classic P1 4" xfId="7424" xr:uid="{00000000-0005-0000-0000-0000D31D0000}"/>
    <cellStyle name="_MARION W1024626163 28-01-09 (2)_ESTC1CLY0012" xfId="7425" xr:uid="{00000000-0005-0000-0000-0000D41D0000}"/>
    <cellStyle name="_MARION W1024626163 28-01-09 (2)_ESTC1CLY0012 2" xfId="7426" xr:uid="{00000000-0005-0000-0000-0000D51D0000}"/>
    <cellStyle name="_MARION W1024626163 28-01-09 (2)_ESTC1CLY0012 3" xfId="7427" xr:uid="{00000000-0005-0000-0000-0000D61D0000}"/>
    <cellStyle name="_MARION W1024626163 28-01-09 (2)_ESTC1CLY0012 4" xfId="7428" xr:uid="{00000000-0005-0000-0000-0000D71D0000}"/>
    <cellStyle name="_MARION W1024626163 28-01-09 (2)_ESTC1CLY0013" xfId="7429" xr:uid="{00000000-0005-0000-0000-0000D81D0000}"/>
    <cellStyle name="_MARION W1024626163 28-01-09 (2)_ESTC1CLY0013 2" xfId="7430" xr:uid="{00000000-0005-0000-0000-0000D91D0000}"/>
    <cellStyle name="_MARION W1024626163 28-01-09 (2)_ESTC1CLY0013 3" xfId="7431" xr:uid="{00000000-0005-0000-0000-0000DA1D0000}"/>
    <cellStyle name="_MARION W1024626163 28-01-09 (2)_ESTC1CLY0013 4" xfId="7432" xr:uid="{00000000-0005-0000-0000-0000DB1D0000}"/>
    <cellStyle name="_MARION W1024626163 28-01-09 (2)_ESTC1FIN018" xfId="7433" xr:uid="{00000000-0005-0000-0000-0000DC1D0000}"/>
    <cellStyle name="_MARION W1024626163 28-01-09 (2)_Estimated Quote 050609 039" xfId="7434" xr:uid="{00000000-0005-0000-0000-0000DD1D0000}"/>
    <cellStyle name="_MARION W1024626163 28-01-09 (2)_Estimated Quote 050609 039 2" xfId="7435" xr:uid="{00000000-0005-0000-0000-0000DE1D0000}"/>
    <cellStyle name="_MARION W1024626163 28-01-09 (2)_Estimated Quote 050609 039 3" xfId="7436" xr:uid="{00000000-0005-0000-0000-0000DF1D0000}"/>
    <cellStyle name="_MARION W1024626163 28-01-09 (2)_Estimated Quote 050609 039 4" xfId="7437" xr:uid="{00000000-0005-0000-0000-0000E01D0000}"/>
    <cellStyle name="_MARION W1024626163 28-01-09 (2)_Estimated Quote 050609 039 5" xfId="7438" xr:uid="{00000000-0005-0000-0000-0000E11D0000}"/>
    <cellStyle name="_MARION W1024626163 28-01-09 (2)_W01278760" xfId="7439" xr:uid="{00000000-0005-0000-0000-0000E21D0000}"/>
    <cellStyle name="_MARION W1024626163 28-01-09 (2)_W01278760 2" xfId="7440" xr:uid="{00000000-0005-0000-0000-0000E31D0000}"/>
    <cellStyle name="_MARION W1024626163 28-01-09 (2)_W01278760 3" xfId="7441" xr:uid="{00000000-0005-0000-0000-0000E41D0000}"/>
    <cellStyle name="_MARION W1024626163 28-01-09 (2)_W01278760 4" xfId="7442" xr:uid="{00000000-0005-0000-0000-0000E51D0000}"/>
    <cellStyle name="_MARION W1024626163 28-01-09 (2)_W01278760 5" xfId="7443" xr:uid="{00000000-0005-0000-0000-0000E61D0000}"/>
    <cellStyle name="_MARION W1024626163 28-01-09 (2)_W10251442" xfId="7444" xr:uid="{00000000-0005-0000-0000-0000E71D0000}"/>
    <cellStyle name="_MARION W1024626163 28-01-09 (2)_W10251443" xfId="7445" xr:uid="{00000000-0005-0000-0000-0000E81D0000}"/>
    <cellStyle name="_MARION W1024626163 28-01-09 (2)_W10251444" xfId="7446" xr:uid="{00000000-0005-0000-0000-0000E91D0000}"/>
    <cellStyle name="_MARION W1024626163 28-01-09 (2)_W10251766 D" xfId="7447" xr:uid="{00000000-0005-0000-0000-0000EA1D0000}"/>
    <cellStyle name="_MARION W1024626163 28-01-09 (2)_W10278758" xfId="7448" xr:uid="{00000000-0005-0000-0000-0000EB1D0000}"/>
    <cellStyle name="_MARION W1024626163 28-01-09 (2)_W10278758 2" xfId="7449" xr:uid="{00000000-0005-0000-0000-0000EC1D0000}"/>
    <cellStyle name="_MARION W1024626163 28-01-09 (2)_W10278758 3" xfId="7450" xr:uid="{00000000-0005-0000-0000-0000ED1D0000}"/>
    <cellStyle name="_MARION W1024626163 28-01-09 (2)_W10278758 4" xfId="7451" xr:uid="{00000000-0005-0000-0000-0000EE1D0000}"/>
    <cellStyle name="_MARION W1024626163 28-01-09 (2)_W10278758 5" xfId="7452" xr:uid="{00000000-0005-0000-0000-0000EF1D0000}"/>
    <cellStyle name="_MARION W1024626163 28-01-09 (2)_W10278759" xfId="7453" xr:uid="{00000000-0005-0000-0000-0000F01D0000}"/>
    <cellStyle name="_MARION W1024626163 28-01-09 (2)_W10279106 y W10279107 de MR a 56i" xfId="7454" xr:uid="{00000000-0005-0000-0000-0000F11D0000}"/>
    <cellStyle name="_MARION W1024626163 28-01-09 (2)_W10290772" xfId="7455" xr:uid="{00000000-0005-0000-0000-0000F21D0000}"/>
    <cellStyle name="_MARION W1024626163 28-01-09 (2)_W10290772 2" xfId="7456" xr:uid="{00000000-0005-0000-0000-0000F31D0000}"/>
    <cellStyle name="_MARION W1024626163 28-01-09 (2)_W10290772 3" xfId="7457" xr:uid="{00000000-0005-0000-0000-0000F41D0000}"/>
    <cellStyle name="_MARION W1024626163 28-01-09 (2)_W10290772 4" xfId="7458" xr:uid="{00000000-0005-0000-0000-0000F51D0000}"/>
    <cellStyle name="_MARION W1024626163 28-01-09 (2)_W10290772 5" xfId="7459" xr:uid="{00000000-0005-0000-0000-0000F61D0000}"/>
    <cellStyle name="_MARION W1024626163 28-01-09 (2)_W10290774" xfId="7460" xr:uid="{00000000-0005-0000-0000-0000F71D0000}"/>
    <cellStyle name="_MARION W1024626163 28-01-09 (2)_W10290774 2" xfId="7461" xr:uid="{00000000-0005-0000-0000-0000F81D0000}"/>
    <cellStyle name="_MARION W1024626163 28-01-09 (2)_W10290774 3" xfId="7462" xr:uid="{00000000-0005-0000-0000-0000F91D0000}"/>
    <cellStyle name="_MARION W1024626163 28-01-09 (2)_W10290774 4" xfId="7463" xr:uid="{00000000-0005-0000-0000-0000FA1D0000}"/>
    <cellStyle name="_MARION W1024626163 28-01-09 (2)_W10290774 5" xfId="7464" xr:uid="{00000000-0005-0000-0000-0000FB1D0000}"/>
    <cellStyle name="_MARION W1024626163 28-01-09 (2)_W10300883" xfId="7465" xr:uid="{00000000-0005-0000-0000-0000FC1D0000}"/>
    <cellStyle name="_MARION W1024626163 28-01-09 (2)_W10300883 2" xfId="7466" xr:uid="{00000000-0005-0000-0000-0000FD1D0000}"/>
    <cellStyle name="_MARION W1024626163 28-01-09 (2)_W10300883 3" xfId="7467" xr:uid="{00000000-0005-0000-0000-0000FE1D0000}"/>
    <cellStyle name="_MARION W1024626163 28-01-09 (2)_W10300883 4" xfId="7468" xr:uid="{00000000-0005-0000-0000-0000FF1D0000}"/>
    <cellStyle name="_MARION W1024626163 28-01-09 (2)_W10300883 5" xfId="7469" xr:uid="{00000000-0005-0000-0000-0000001E0000}"/>
    <cellStyle name="_MARION W1024626163 28-01-09 (2)_W10315922 A" xfId="7470" xr:uid="{00000000-0005-0000-0000-0000011E0000}"/>
    <cellStyle name="_MARION W1024626163 28-01-09 (2)_WPFINDLAY-0037" xfId="7471" xr:uid="{00000000-0005-0000-0000-0000021E0000}"/>
    <cellStyle name="_MARION W1024626163 28-01-09 (2)_WPN145 3954933" xfId="7472" xr:uid="{00000000-0005-0000-0000-0000031E0000}"/>
    <cellStyle name="_MARION W1024626163 28-01-09 (2)_WPN145 3954933 2" xfId="7473" xr:uid="{00000000-0005-0000-0000-0000041E0000}"/>
    <cellStyle name="_MARION W1024626163 28-01-09 (2)_WPN145 3954933 3" xfId="7474" xr:uid="{00000000-0005-0000-0000-0000051E0000}"/>
    <cellStyle name="_MARION W1024626163 28-01-09 (2)_WPN145 3954933 4" xfId="7475" xr:uid="{00000000-0005-0000-0000-0000061E0000}"/>
    <cellStyle name="_MARION W1024626163 28-01-09 (2)_WPN145 3954933 5" xfId="7476" xr:uid="{00000000-0005-0000-0000-0000071E0000}"/>
    <cellStyle name="_MARION W1024626163 28-01-09 (2)_WPN163 8576530" xfId="7477" xr:uid="{00000000-0005-0000-0000-0000081E0000}"/>
    <cellStyle name="_MARION W1024626163 28-01-09 (2)_WPN163 8576530 2" xfId="7478" xr:uid="{00000000-0005-0000-0000-0000091E0000}"/>
    <cellStyle name="_MARION W1024626163 28-01-09 (2)_WPN163 8576530 3" xfId="7479" xr:uid="{00000000-0005-0000-0000-00000A1E0000}"/>
    <cellStyle name="_MARION W1024626163 28-01-09 (2)_WPN163 8576530 4" xfId="7480" xr:uid="{00000000-0005-0000-0000-00000B1E0000}"/>
    <cellStyle name="_MARION W1024626163 28-01-09 (2)_xCONCENTRATED QUOTE 2" xfId="7481" xr:uid="{00000000-0005-0000-0000-00000C1E0000}"/>
    <cellStyle name="_MARION W1024626163 28-01-09 (2)_xCONCENTRATED QUOTE 2 2" xfId="7482" xr:uid="{00000000-0005-0000-0000-00000D1E0000}"/>
    <cellStyle name="_MARION W1024626163 28-01-09 (2)_xCONCENTRATED QUOTE 2 3" xfId="7483" xr:uid="{00000000-0005-0000-0000-00000E1E0000}"/>
    <cellStyle name="_MARION W1024626163 28-01-09 (2)_xCONCENTRATED QUOTE 2 4" xfId="7484" xr:uid="{00000000-0005-0000-0000-00000F1E0000}"/>
    <cellStyle name="_MARION W1024626163 28-01-09 (2)_xCONCENTRATED QUOTE 2 5" xfId="7485" xr:uid="{00000000-0005-0000-0000-0000101E0000}"/>
    <cellStyle name="_MARION W1024626163 28-01-09 (2)_xCONCENTRATED QUOTE 3" xfId="7486" xr:uid="{00000000-0005-0000-0000-0000111E0000}"/>
    <cellStyle name="_MARION W1024626163 28-01-09 (2)_xCONCENTRATED QUOTE 3 2" xfId="7487" xr:uid="{00000000-0005-0000-0000-0000121E0000}"/>
    <cellStyle name="_MARION W1024626163 28-01-09 (2)_xCONCENTRATED QUOTE 3 3" xfId="7488" xr:uid="{00000000-0005-0000-0000-0000131E0000}"/>
    <cellStyle name="_MARION W1024626163 28-01-09 (2)_xCONCENTRATED QUOTE 3 4" xfId="7489" xr:uid="{00000000-0005-0000-0000-0000141E0000}"/>
    <cellStyle name="_MARION W1024626163 28-01-09 (2)_xCONCENTRATED QUOTE 3 5" xfId="7490" xr:uid="{00000000-0005-0000-0000-0000151E0000}"/>
    <cellStyle name="_MARION W1024626163 28-01-09 (2)_Xl0000004" xfId="7491" xr:uid="{00000000-0005-0000-0000-0000161E0000}"/>
    <cellStyle name="_MARION W1024626163 28-01-09 (2)_Xl0000004 2" xfId="7492" xr:uid="{00000000-0005-0000-0000-0000171E0000}"/>
    <cellStyle name="_MARION W1024626163 28-01-09 (2)_Xl0000004 3" xfId="7493" xr:uid="{00000000-0005-0000-0000-0000181E0000}"/>
    <cellStyle name="_MARION W1024626163 28-01-09 (2)_Xl0000004 4" xfId="7494" xr:uid="{00000000-0005-0000-0000-0000191E0000}"/>
    <cellStyle name="_MARION W1024626163 28-01-09 (2)_Xl0000004 5" xfId="7495" xr:uid="{00000000-0005-0000-0000-00001A1E0000}"/>
    <cellStyle name="_Maytag PC IP 11-22" xfId="7496" xr:uid="{00000000-0005-0000-0000-00001B1E0000}"/>
    <cellStyle name="_Maytag PC IP 11-22 2" xfId="7497" xr:uid="{00000000-0005-0000-0000-00001C1E0000}"/>
    <cellStyle name="_Maytag PC IP 11-22 3" xfId="7498" xr:uid="{00000000-0005-0000-0000-00001D1E0000}"/>
    <cellStyle name="_Maytag PC IP 11-22 4" xfId="7499" xr:uid="{00000000-0005-0000-0000-00001E1E0000}"/>
    <cellStyle name="_Maytag PC IP 11-22 5" xfId="7500" xr:uid="{00000000-0005-0000-0000-00001F1E0000}"/>
    <cellStyle name="_Maytag Strategy plan" xfId="7501" xr:uid="{00000000-0005-0000-0000-0000201E0000}"/>
    <cellStyle name="_Maytag Strategy plan 2" xfId="7502" xr:uid="{00000000-0005-0000-0000-0000211E0000}"/>
    <cellStyle name="_Maytag Strategy plan 3" xfId="7503" xr:uid="{00000000-0005-0000-0000-0000221E0000}"/>
    <cellStyle name="_Maytag Strategy plan 4" xfId="7504" xr:uid="{00000000-0005-0000-0000-0000231E0000}"/>
    <cellStyle name="_Maytag Strategy plan 5" xfId="7505" xr:uid="{00000000-0005-0000-0000-0000241E0000}"/>
    <cellStyle name="_MDA - July" xfId="7506" xr:uid="{00000000-0005-0000-0000-0000251E0000}"/>
    <cellStyle name="_MDA - July 2" xfId="7507" xr:uid="{00000000-0005-0000-0000-0000261E0000}"/>
    <cellStyle name="_MDA - July 3" xfId="7508" xr:uid="{00000000-0005-0000-0000-0000271E0000}"/>
    <cellStyle name="_MDA - July 4" xfId="7509" xr:uid="{00000000-0005-0000-0000-0000281E0000}"/>
    <cellStyle name="_MDA - July 5" xfId="7510" xr:uid="{00000000-0005-0000-0000-0000291E0000}"/>
    <cellStyle name="_Midea's info3" xfId="7511" xr:uid="{00000000-0005-0000-0000-00002A1E0000}"/>
    <cellStyle name="_Midea's info3 2" xfId="7512" xr:uid="{00000000-0005-0000-0000-00002B1E0000}"/>
    <cellStyle name="_Midea's info3 3" xfId="7513" xr:uid="{00000000-0005-0000-0000-00002C1E0000}"/>
    <cellStyle name="_Midea's info3 4" xfId="7514" xr:uid="{00000000-0005-0000-0000-00002D1E0000}"/>
    <cellStyle name="_Midea's info3 5" xfId="7515" xr:uid="{00000000-0005-0000-0000-00002E1E0000}"/>
    <cellStyle name="_MSR EN091106 2009-11-10" xfId="7516" xr:uid="{00000000-0005-0000-0000-00002F1E0000}"/>
    <cellStyle name="_MSR EN091106 2009-11-10 2" xfId="7517" xr:uid="{00000000-0005-0000-0000-0000301E0000}"/>
    <cellStyle name="_MSR EN091106 2009-11-10 3" xfId="7518" xr:uid="{00000000-0005-0000-0000-0000311E0000}"/>
    <cellStyle name="_MSR EN091106 2009-11-10 4" xfId="7519" xr:uid="{00000000-0005-0000-0000-0000321E0000}"/>
    <cellStyle name="_MSR EN091106 2009-11-10 5" xfId="7520" xr:uid="{00000000-0005-0000-0000-0000331E0000}"/>
    <cellStyle name="_MSR EN091213 2009-12-23" xfId="7521" xr:uid="{00000000-0005-0000-0000-0000341E0000}"/>
    <cellStyle name="_MSR EN091213 2009-12-23 2" xfId="7522" xr:uid="{00000000-0005-0000-0000-0000351E0000}"/>
    <cellStyle name="_MSR EN091213 2009-12-23 3" xfId="7523" xr:uid="{00000000-0005-0000-0000-0000361E0000}"/>
    <cellStyle name="_MSR EN091213 2009-12-23 4" xfId="7524" xr:uid="{00000000-0005-0000-0000-0000371E0000}"/>
    <cellStyle name="_MSR EN091213 2009-12-23 5" xfId="7525" xr:uid="{00000000-0005-0000-0000-0000381E0000}"/>
    <cellStyle name="_MX-352 PC" xfId="7526" xr:uid="{00000000-0005-0000-0000-0000391E0000}"/>
    <cellStyle name="_MX-352 PC 2" xfId="7527" xr:uid="{00000000-0005-0000-0000-00003A1E0000}"/>
    <cellStyle name="_MX-352 PC 3" xfId="7528" xr:uid="{00000000-0005-0000-0000-00003B1E0000}"/>
    <cellStyle name="_MX-352 PC 4" xfId="7529" xr:uid="{00000000-0005-0000-0000-00003C1E0000}"/>
    <cellStyle name="_MX-352 PC 5" xfId="7530" xr:uid="{00000000-0005-0000-0000-00003D1E0000}"/>
    <cellStyle name="_MX367_6 919786_OFFICIAL" xfId="7531" xr:uid="{00000000-0005-0000-0000-00003E1E0000}"/>
    <cellStyle name="_MX367_6 919786_OFFICIAL 2" xfId="7532" xr:uid="{00000000-0005-0000-0000-00003F1E0000}"/>
    <cellStyle name="_MX367_6 919786_OFFICIAL 3" xfId="7533" xr:uid="{00000000-0005-0000-0000-0000401E0000}"/>
    <cellStyle name="_MX367_6 919786_OFFICIAL 4" xfId="7534" xr:uid="{00000000-0005-0000-0000-0000411E0000}"/>
    <cellStyle name="_MX367_6 919786_OFFICIAL 5" xfId="7535" xr:uid="{00000000-0005-0000-0000-0000421E0000}"/>
    <cellStyle name="_MX367_6 9197861" xfId="7536" xr:uid="{00000000-0005-0000-0000-0000431E0000}"/>
    <cellStyle name="_MX367_6 9197861 2" xfId="7537" xr:uid="{00000000-0005-0000-0000-0000441E0000}"/>
    <cellStyle name="_MX367_6 9197861 3" xfId="7538" xr:uid="{00000000-0005-0000-0000-0000451E0000}"/>
    <cellStyle name="_MX367_6 9197861 4" xfId="7539" xr:uid="{00000000-0005-0000-0000-0000461E0000}"/>
    <cellStyle name="_MX367_6 9197861 5" xfId="7540" xr:uid="{00000000-0005-0000-0000-0000471E0000}"/>
    <cellStyle name="_New BOM for 1145 Mar. 29" xfId="7541" xr:uid="{00000000-0005-0000-0000-0000481E0000}"/>
    <cellStyle name="_New BOM for 1145 Mar. 29 2" xfId="7542" xr:uid="{00000000-0005-0000-0000-0000491E0000}"/>
    <cellStyle name="_New BOM for 1145 Mar. 29 3" xfId="7543" xr:uid="{00000000-0005-0000-0000-00004A1E0000}"/>
    <cellStyle name="_New BOM for 1145 Mar. 29 4" xfId="7544" xr:uid="{00000000-0005-0000-0000-00004B1E0000}"/>
    <cellStyle name="_New BOM for 1145 Mar. 29 5" xfId="7545" xr:uid="{00000000-0005-0000-0000-00004C1E0000}"/>
    <cellStyle name="_NOMA-WHRLP MEX- IP 5-14" xfId="7546" xr:uid="{00000000-0005-0000-0000-00004D1E0000}"/>
    <cellStyle name="_NOMA-WHRLP MEX- IP 5-14 2" xfId="7547" xr:uid="{00000000-0005-0000-0000-00004E1E0000}"/>
    <cellStyle name="_NOMA-WHRLP MEX- IP 5-14 3" xfId="7548" xr:uid="{00000000-0005-0000-0000-00004F1E0000}"/>
    <cellStyle name="_NOMA-WHRLP MEX- IP 5-14 4" xfId="7549" xr:uid="{00000000-0005-0000-0000-0000501E0000}"/>
    <cellStyle name="_NOMA-WHRLP MEX- IP 5-14 5" xfId="7550" xr:uid="{00000000-0005-0000-0000-0000511E0000}"/>
    <cellStyle name="_NPI Macro Rev. 8.4" xfId="7551" xr:uid="{00000000-0005-0000-0000-0000521E0000}"/>
    <cellStyle name="_NPI Macro Rev. 8.4 2" xfId="7552" xr:uid="{00000000-0005-0000-0000-0000531E0000}"/>
    <cellStyle name="_NPI Macro Rev. 8.4 3" xfId="7553" xr:uid="{00000000-0005-0000-0000-0000541E0000}"/>
    <cellStyle name="_NPI Macro Rev. 8.4 4" xfId="7554" xr:uid="{00000000-0005-0000-0000-0000551E0000}"/>
    <cellStyle name="_NPI Macro Rev. 8.4 5" xfId="7555" xr:uid="{00000000-0005-0000-0000-0000561E0000}"/>
    <cellStyle name="_NPIs Nov 15" xfId="7556" xr:uid="{00000000-0005-0000-0000-0000571E0000}"/>
    <cellStyle name="_NPIs Nov 15 2" xfId="7557" xr:uid="{00000000-0005-0000-0000-0000581E0000}"/>
    <cellStyle name="_NPIs Nov 15 3" xfId="7558" xr:uid="{00000000-0005-0000-0000-0000591E0000}"/>
    <cellStyle name="_NPIs Nov 15 4" xfId="7559" xr:uid="{00000000-0005-0000-0000-00005A1E0000}"/>
    <cellStyle name="_NPIs Nov 15 5" xfId="7560" xr:uid="{00000000-0005-0000-0000-00005B1E0000}"/>
    <cellStyle name="_NPIs Nov 15_SUBARTICO ADD-DEL" xfId="7561" xr:uid="{00000000-0005-0000-0000-00005C1E0000}"/>
    <cellStyle name="_NPIs Nov 15_SUBARTICO ADD-DEL 2" xfId="7562" xr:uid="{00000000-0005-0000-0000-00005D1E0000}"/>
    <cellStyle name="_Oct Forecast JZ4 (v2)" xfId="7563" xr:uid="{00000000-0005-0000-0000-00005E1E0000}"/>
    <cellStyle name="_Oct Forecast JZ4 (v2) 2" xfId="7564" xr:uid="{00000000-0005-0000-0000-00005F1E0000}"/>
    <cellStyle name="_Oct Forecast JZ4 (v2) 3" xfId="7565" xr:uid="{00000000-0005-0000-0000-0000601E0000}"/>
    <cellStyle name="_Oct Forecast JZ4 (v2) 4" xfId="7566" xr:uid="{00000000-0005-0000-0000-0000611E0000}"/>
    <cellStyle name="_Oct Forecast JZ4 (v2) 5" xfId="7567" xr:uid="{00000000-0005-0000-0000-0000621E0000}"/>
    <cellStyle name="_PERFORMANCECHIH2-oct" xfId="7568" xr:uid="{00000000-0005-0000-0000-0000631E0000}"/>
    <cellStyle name="_PERFORMANCECHIH2-oct 2" xfId="7569" xr:uid="{00000000-0005-0000-0000-0000641E0000}"/>
    <cellStyle name="_PERFORMANCECHIH2-oct 3" xfId="7570" xr:uid="{00000000-0005-0000-0000-0000651E0000}"/>
    <cellStyle name="_PERFORMANCECHIH2-oct 4" xfId="7571" xr:uid="{00000000-0005-0000-0000-0000661E0000}"/>
    <cellStyle name="_PERFORMANCECHIH2-oct 5" xfId="7572" xr:uid="{00000000-0005-0000-0000-0000671E0000}"/>
    <cellStyle name="_Quote CAM262-R 111008" xfId="7573" xr:uid="{00000000-0005-0000-0000-0000681E0000}"/>
    <cellStyle name="_Quote CAM262-R 111008 2" xfId="7574" xr:uid="{00000000-0005-0000-0000-0000691E0000}"/>
    <cellStyle name="_Quote CAM262-R 111008 3" xfId="7575" xr:uid="{00000000-0005-0000-0000-00006A1E0000}"/>
    <cellStyle name="_Quote CAM262-R 111008 4" xfId="7576" xr:uid="{00000000-0005-0000-0000-00006B1E0000}"/>
    <cellStyle name="_Quote CAM262-R 111008 5" xfId="7577" xr:uid="{00000000-0005-0000-0000-00006C1E0000}"/>
    <cellStyle name="_Quote CAM262-R 111008_AP3040 Phoenix project 061709" xfId="7578" xr:uid="{00000000-0005-0000-0000-00006D1E0000}"/>
    <cellStyle name="_Quote CAM262-R 111008_AP3040 Phoenix project 061709 2" xfId="7579" xr:uid="{00000000-0005-0000-0000-00006E1E0000}"/>
    <cellStyle name="_Quote CAM262-R 111008_AP3040 Phoenix project 061709 3" xfId="7580" xr:uid="{00000000-0005-0000-0000-00006F1E0000}"/>
    <cellStyle name="_Quote CAM262-R 111008_AP3040 Phoenix project 061709 4" xfId="7581" xr:uid="{00000000-0005-0000-0000-0000701E0000}"/>
    <cellStyle name="_Quote CAM262-R 111008_AP3040 Phoenix project 061709 5" xfId="7582" xr:uid="{00000000-0005-0000-0000-0000711E0000}"/>
    <cellStyle name="_Quote CAM262-R 111008_Estimate Quote  Arnes splash 060809" xfId="7583" xr:uid="{00000000-0005-0000-0000-0000721E0000}"/>
    <cellStyle name="_Quote CAM262-R 111008_Estimate Quote  Arnes splash 060809 2" xfId="7584" xr:uid="{00000000-0005-0000-0000-0000731E0000}"/>
    <cellStyle name="_Quote CAM262-R 111008_Estimate Quote  Arnes splash 060809 3" xfId="7585" xr:uid="{00000000-0005-0000-0000-0000741E0000}"/>
    <cellStyle name="_Quote CAM262-R 111008_Estimate Quote  Arnes splash 060809 4" xfId="7586" xr:uid="{00000000-0005-0000-0000-0000751E0000}"/>
    <cellStyle name="_Quote CAM262-R 111008_Estimate Quote  Arnes splash 060809 5" xfId="7587" xr:uid="{00000000-0005-0000-0000-0000761E0000}"/>
    <cellStyle name="_Quote CAM262-R 111008_Estimate quote LA Brasil Argentina project 051509" xfId="7588" xr:uid="{00000000-0005-0000-0000-0000771E0000}"/>
    <cellStyle name="_Quote CAM262-R 111008_Estimate quote LA Brasil Argentina project 051509 2" xfId="7589" xr:uid="{00000000-0005-0000-0000-0000781E0000}"/>
    <cellStyle name="_Quote CAM262-R 111008_Estimate quote LA Brasil Argentina project 051509 3" xfId="7590" xr:uid="{00000000-0005-0000-0000-0000791E0000}"/>
    <cellStyle name="_Quote CAM262-R 111008_Estimate quote LA Brasil Argentina project 051509 4" xfId="7591" xr:uid="{00000000-0005-0000-0000-00007A1E0000}"/>
    <cellStyle name="_Quote CAM262-R 111008_Estimate quote LA Brasil Argentina project 051509 5" xfId="7592" xr:uid="{00000000-0005-0000-0000-00007B1E0000}"/>
    <cellStyle name="_Quote CAM262-R 111008_Estimate Quote Nautilus 070909" xfId="7593" xr:uid="{00000000-0005-0000-0000-00007C1E0000}"/>
    <cellStyle name="_Quote CAM262-R 111008_Estimate Quote Nautilus 070909 2" xfId="7594" xr:uid="{00000000-0005-0000-0000-00007D1E0000}"/>
    <cellStyle name="_Quote CAM262-R 111008_Estimate Quote Nautilus 070909 3" xfId="7595" xr:uid="{00000000-0005-0000-0000-00007E1E0000}"/>
    <cellStyle name="_Quote CAM262-R 111008_Estimate Quote Nautilus 070909 4" xfId="7596" xr:uid="{00000000-0005-0000-0000-00007F1E0000}"/>
    <cellStyle name="_Quote CAM262-R 111008_Estimate Quote Nautilus 070909 5" xfId="7597" xr:uid="{00000000-0005-0000-0000-0000801E0000}"/>
    <cellStyle name="_Quote CAM262-R 111008_Estimate Revolution project 080609" xfId="7598" xr:uid="{00000000-0005-0000-0000-0000811E0000}"/>
    <cellStyle name="_Quote CAM262-R 111008_Estimate Revolution project 080609 2" xfId="7599" xr:uid="{00000000-0005-0000-0000-0000821E0000}"/>
    <cellStyle name="_Quote CAM262-R 111008_Estimate Revolution project 080609 3" xfId="7600" xr:uid="{00000000-0005-0000-0000-0000831E0000}"/>
    <cellStyle name="_Quote CAM262-R 111008_Estimate Revolution project 080609 4" xfId="7601" xr:uid="{00000000-0005-0000-0000-0000841E0000}"/>
    <cellStyle name="_Quote CAM262-R 111008_Estimate Revolution project 080609 5" xfId="7602" xr:uid="{00000000-0005-0000-0000-0000851E0000}"/>
    <cellStyle name="_Quote CAM262-R 111008_prueba" xfId="7603" xr:uid="{00000000-0005-0000-0000-0000861E0000}"/>
    <cellStyle name="_Quote CAM262-R 111008_prueba 2" xfId="7604" xr:uid="{00000000-0005-0000-0000-0000871E0000}"/>
    <cellStyle name="_Quote CAM262-R 111008_prueba 3" xfId="7605" xr:uid="{00000000-0005-0000-0000-0000881E0000}"/>
    <cellStyle name="_Quote CAM262-R 111008_prueba 4" xfId="7606" xr:uid="{00000000-0005-0000-0000-0000891E0000}"/>
    <cellStyle name="_Quote CAM262-R 111008_prueba 5" xfId="7607" xr:uid="{00000000-0005-0000-0000-00008A1E0000}"/>
    <cellStyle name="_Quote CAM262-R 111008_Quote CAM270-R Perfect Match 021209" xfId="7608" xr:uid="{00000000-0005-0000-0000-00008B1E0000}"/>
    <cellStyle name="_Quote CAM262-R 111008_Quote CAM270-R Perfect Match 021209 2" xfId="7609" xr:uid="{00000000-0005-0000-0000-00008C1E0000}"/>
    <cellStyle name="_Quote CAM262-R 111008_Quote CAM270-R Perfect Match 021209 3" xfId="7610" xr:uid="{00000000-0005-0000-0000-00008D1E0000}"/>
    <cellStyle name="_Quote CAM262-R 111008_Quote CAM270-R Perfect Match 021209 4" xfId="7611" xr:uid="{00000000-0005-0000-0000-00008E1E0000}"/>
    <cellStyle name="_Quote CAM262-R 111008_Quote CAM270-R Perfect Match 021209 5" xfId="7612" xr:uid="{00000000-0005-0000-0000-00008F1E0000}"/>
    <cellStyle name="_Quote CAM262-R 111008_Quote CAM270-R Perfect Match 021209_AP3040 Phoenix project 061709" xfId="7613" xr:uid="{00000000-0005-0000-0000-0000901E0000}"/>
    <cellStyle name="_Quote CAM262-R 111008_Quote CAM270-R Perfect Match 021209_AP3040 Phoenix project 061709 2" xfId="7614" xr:uid="{00000000-0005-0000-0000-0000911E0000}"/>
    <cellStyle name="_Quote CAM262-R 111008_Quote CAM270-R Perfect Match 021209_AP3040 Phoenix project 061709 3" xfId="7615" xr:uid="{00000000-0005-0000-0000-0000921E0000}"/>
    <cellStyle name="_Quote CAM262-R 111008_Quote CAM270-R Perfect Match 021209_AP3040 Phoenix project 061709 4" xfId="7616" xr:uid="{00000000-0005-0000-0000-0000931E0000}"/>
    <cellStyle name="_Quote CAM262-R 111008_Quote CAM270-R Perfect Match 021209_AP3040 Phoenix project 061709 5" xfId="7617" xr:uid="{00000000-0005-0000-0000-0000941E0000}"/>
    <cellStyle name="_Quote CAM262-R 111008_Quote CAM289 7014's 7016's and 7018g001 080609" xfId="7618" xr:uid="{00000000-0005-0000-0000-0000951E0000}"/>
    <cellStyle name="_Quote CAM262-R 111008_Quote CAM289 7014's 7016's and 7018g001 080609 2" xfId="7619" xr:uid="{00000000-0005-0000-0000-0000961E0000}"/>
    <cellStyle name="_Quote CAM262-R 111008_Quote CAM289 7014's 7016's and 7018g001 080609 3" xfId="7620" xr:uid="{00000000-0005-0000-0000-0000971E0000}"/>
    <cellStyle name="_Quote CAM262-R 111008_Quote CAM289 7014's 7016's and 7018g001 080609 4" xfId="7621" xr:uid="{00000000-0005-0000-0000-0000981E0000}"/>
    <cellStyle name="_Quote CAM262-R 111008_Quote CAM289 7014's 7016's and 7018g001 080609 5" xfId="7622" xr:uid="{00000000-0005-0000-0000-0000991E0000}"/>
    <cellStyle name="_Quote Lennox 2nd package" xfId="7623" xr:uid="{00000000-0005-0000-0000-00009A1E0000}"/>
    <cellStyle name="_Quote Lennox 2nd package 2" xfId="7624" xr:uid="{00000000-0005-0000-0000-00009B1E0000}"/>
    <cellStyle name="_Quote Lennox 2nd package 2 2" xfId="7625" xr:uid="{00000000-0005-0000-0000-00009C1E0000}"/>
    <cellStyle name="_Quote Lennox 2nd package 2 3" xfId="7626" xr:uid="{00000000-0005-0000-0000-00009D1E0000}"/>
    <cellStyle name="_Quote Lennox 2nd package 2 4" xfId="7627" xr:uid="{00000000-0005-0000-0000-00009E1E0000}"/>
    <cellStyle name="_Quote Lennox 2nd package 2 5" xfId="7628" xr:uid="{00000000-0005-0000-0000-00009F1E0000}"/>
    <cellStyle name="_Quote Lennox 2nd package 3" xfId="7629" xr:uid="{00000000-0005-0000-0000-0000A01E0000}"/>
    <cellStyle name="_Quote Lennox 2nd package 3 2" xfId="7630" xr:uid="{00000000-0005-0000-0000-0000A11E0000}"/>
    <cellStyle name="_Quote Lennox 2nd package 3 3" xfId="7631" xr:uid="{00000000-0005-0000-0000-0000A21E0000}"/>
    <cellStyle name="_Quote Lennox 2nd package 3 4" xfId="7632" xr:uid="{00000000-0005-0000-0000-0000A31E0000}"/>
    <cellStyle name="_Quote Lennox 2nd package 3 5" xfId="7633" xr:uid="{00000000-0005-0000-0000-0000A41E0000}"/>
    <cellStyle name="_Quote Lennox 2nd package 4" xfId="7634" xr:uid="{00000000-0005-0000-0000-0000A51E0000}"/>
    <cellStyle name="_Quote Lennox 2nd package 4 2" xfId="7635" xr:uid="{00000000-0005-0000-0000-0000A61E0000}"/>
    <cellStyle name="_Quote Lennox 2nd package 4 3" xfId="7636" xr:uid="{00000000-0005-0000-0000-0000A71E0000}"/>
    <cellStyle name="_Quote Lennox 2nd package 4 4" xfId="7637" xr:uid="{00000000-0005-0000-0000-0000A81E0000}"/>
    <cellStyle name="_Quote Lennox 2nd package 4 5" xfId="7638" xr:uid="{00000000-0005-0000-0000-0000A91E0000}"/>
    <cellStyle name="_Quote Lennox 2nd package 5" xfId="7639" xr:uid="{00000000-0005-0000-0000-0000AA1E0000}"/>
    <cellStyle name="_Quote Lennox 2nd package 5 2" xfId="7640" xr:uid="{00000000-0005-0000-0000-0000AB1E0000}"/>
    <cellStyle name="_Quote Lennox 2nd package 5 3" xfId="7641" xr:uid="{00000000-0005-0000-0000-0000AC1E0000}"/>
    <cellStyle name="_Quote Lennox 2nd package 5 4" xfId="7642" xr:uid="{00000000-0005-0000-0000-0000AD1E0000}"/>
    <cellStyle name="_Quote Lennox 2nd package 5 5" xfId="7643" xr:uid="{00000000-0005-0000-0000-0000AE1E0000}"/>
    <cellStyle name="_Quote Lennox 2nd package 6" xfId="7644" xr:uid="{00000000-0005-0000-0000-0000AF1E0000}"/>
    <cellStyle name="_Quote Lennox 2nd package 6 2" xfId="7645" xr:uid="{00000000-0005-0000-0000-0000B01E0000}"/>
    <cellStyle name="_Quote Lennox 2nd package 6 3" xfId="7646" xr:uid="{00000000-0005-0000-0000-0000B11E0000}"/>
    <cellStyle name="_Quote Lennox 2nd package 6 4" xfId="7647" xr:uid="{00000000-0005-0000-0000-0000B21E0000}"/>
    <cellStyle name="_Quote Lennox 2nd package 6 5" xfId="7648" xr:uid="{00000000-0005-0000-0000-0000B31E0000}"/>
    <cellStyle name="_Quote Lennox 2nd package 7" xfId="7649" xr:uid="{00000000-0005-0000-0000-0000B41E0000}"/>
    <cellStyle name="_Quote Lennox 2nd package 7 2" xfId="7650" xr:uid="{00000000-0005-0000-0000-0000B51E0000}"/>
    <cellStyle name="_Quote Lennox 2nd package 7 3" xfId="7651" xr:uid="{00000000-0005-0000-0000-0000B61E0000}"/>
    <cellStyle name="_Quote Lennox 2nd package 7 4" xfId="7652" xr:uid="{00000000-0005-0000-0000-0000B71E0000}"/>
    <cellStyle name="_Quote Lennox 2nd package 8" xfId="24840" xr:uid="{00000000-0005-0000-0000-0000B81E0000}"/>
    <cellStyle name="_Quote Lennox 2nd package_54" xfId="7653" xr:uid="{00000000-0005-0000-0000-0000B91E0000}"/>
    <cellStyle name="_Quote Lennox 2nd package_54 2" xfId="7654" xr:uid="{00000000-0005-0000-0000-0000BA1E0000}"/>
    <cellStyle name="_Quote Lennox 2nd package_54 3" xfId="7655" xr:uid="{00000000-0005-0000-0000-0000BB1E0000}"/>
    <cellStyle name="_Quote Lennox 2nd package_54 4" xfId="7656" xr:uid="{00000000-0005-0000-0000-0000BC1E0000}"/>
    <cellStyle name="_Quote Lennox 2nd package_54 5" xfId="7657" xr:uid="{00000000-0005-0000-0000-0000BD1E0000}"/>
    <cellStyle name="_Quote Lennox 2nd package_54_SUBARTICO ADD-DEL" xfId="7658" xr:uid="{00000000-0005-0000-0000-0000BE1E0000}"/>
    <cellStyle name="_Quote Lennox 2nd package_54_SUBARTICO ADD-DEL 2" xfId="7659" xr:uid="{00000000-0005-0000-0000-0000BF1E0000}"/>
    <cellStyle name="_Quote Lennox 2nd package_57" xfId="7660" xr:uid="{00000000-0005-0000-0000-0000C01E0000}"/>
    <cellStyle name="_Quote Lennox 2nd package_57 2" xfId="7661" xr:uid="{00000000-0005-0000-0000-0000C11E0000}"/>
    <cellStyle name="_Quote Lennox 2nd package_57 3" xfId="7662" xr:uid="{00000000-0005-0000-0000-0000C21E0000}"/>
    <cellStyle name="_Quote Lennox 2nd package_57 4" xfId="7663" xr:uid="{00000000-0005-0000-0000-0000C31E0000}"/>
    <cellStyle name="_Quote Lennox 2nd package_57 5" xfId="7664" xr:uid="{00000000-0005-0000-0000-0000C41E0000}"/>
    <cellStyle name="_Quote Lennox 2nd package_57_SUBARTICO ADD-DEL" xfId="7665" xr:uid="{00000000-0005-0000-0000-0000C51E0000}"/>
    <cellStyle name="_Quote Lennox 2nd package_57_SUBARTICO ADD-DEL 2" xfId="7666" xr:uid="{00000000-0005-0000-0000-0000C61E0000}"/>
    <cellStyle name="_Quote Lennox 2nd package_69" xfId="7667" xr:uid="{00000000-0005-0000-0000-0000C71E0000}"/>
    <cellStyle name="_Quote Lennox 2nd package_69 2" xfId="7668" xr:uid="{00000000-0005-0000-0000-0000C81E0000}"/>
    <cellStyle name="_Quote Lennox 2nd package_69 3" xfId="7669" xr:uid="{00000000-0005-0000-0000-0000C91E0000}"/>
    <cellStyle name="_Quote Lennox 2nd package_69 4" xfId="7670" xr:uid="{00000000-0005-0000-0000-0000CA1E0000}"/>
    <cellStyle name="_Quote Lennox 2nd package_69 5" xfId="7671" xr:uid="{00000000-0005-0000-0000-0000CB1E0000}"/>
    <cellStyle name="_Quote Lennox 2nd package_69_SUBARTICO ADD-DEL" xfId="7672" xr:uid="{00000000-0005-0000-0000-0000CC1E0000}"/>
    <cellStyle name="_Quote Lennox 2nd package_69_SUBARTICO ADD-DEL 2" xfId="7673" xr:uid="{00000000-0005-0000-0000-0000CD1E0000}"/>
    <cellStyle name="_Quote Lennox 2nd package_79" xfId="7674" xr:uid="{00000000-0005-0000-0000-0000CE1E0000}"/>
    <cellStyle name="_Quote Lennox 2nd package_79 2" xfId="7675" xr:uid="{00000000-0005-0000-0000-0000CF1E0000}"/>
    <cellStyle name="_Quote Lennox 2nd package_79 3" xfId="7676" xr:uid="{00000000-0005-0000-0000-0000D01E0000}"/>
    <cellStyle name="_Quote Lennox 2nd package_79 4" xfId="7677" xr:uid="{00000000-0005-0000-0000-0000D11E0000}"/>
    <cellStyle name="_Quote Lennox 2nd package_79 5" xfId="7678" xr:uid="{00000000-0005-0000-0000-0000D21E0000}"/>
    <cellStyle name="_Quote Lennox 2nd package_79_SUBARTICO ADD-DEL" xfId="7679" xr:uid="{00000000-0005-0000-0000-0000D31E0000}"/>
    <cellStyle name="_Quote Lennox 2nd package_79_SUBARTICO ADD-DEL 2" xfId="7680" xr:uid="{00000000-0005-0000-0000-0000D41E0000}"/>
    <cellStyle name="_Quote Lennox 2nd package_862-CH" xfId="7681" xr:uid="{00000000-0005-0000-0000-0000D51E0000}"/>
    <cellStyle name="_Quote Lennox 2nd package_BSHNC151 (RFQ EE4509)" xfId="7682" xr:uid="{00000000-0005-0000-0000-0000D61E0000}"/>
    <cellStyle name="_Quote Lennox 2nd package_BSHNC151 (RFQ EE4509) 2" xfId="7683" xr:uid="{00000000-0005-0000-0000-0000D71E0000}"/>
    <cellStyle name="_Quote Lennox 2nd package_BSHNC162 (RFQ EE5409)1" xfId="7684" xr:uid="{00000000-0005-0000-0000-0000D81E0000}"/>
    <cellStyle name="_Quote Lennox 2nd package_BSHNC162 (RFQ EE5409)1 2" xfId="7685" xr:uid="{00000000-0005-0000-0000-0000D91E0000}"/>
    <cellStyle name="_Quote Lennox 2nd package_CAPEX - EMERSON - 19-JUL-10" xfId="7686" xr:uid="{00000000-0005-0000-0000-0000DA1E0000}"/>
    <cellStyle name="_Quote Lennox 2nd package_CAPEX 10-NOV bosch" xfId="7687" xr:uid="{00000000-0005-0000-0000-0000DB1E0000}"/>
    <cellStyle name="_Quote Lennox 2nd package_CAPEX 10-NOV bosch 2" xfId="7688" xr:uid="{00000000-0005-0000-0000-0000DC1E0000}"/>
    <cellStyle name="_Quote Lennox 2nd package_CAPEX P-SERVICE 21001999" xfId="7689" xr:uid="{00000000-0005-0000-0000-0000DD1E0000}"/>
    <cellStyle name="_Quote Lennox 2nd package_CAPEX P-SERVICE 21001999 2" xfId="7690" xr:uid="{00000000-0005-0000-0000-0000DE1E0000}"/>
    <cellStyle name="_Quote Lennox 2nd package_CAPEX P-SERVICE 21001999 3" xfId="7691" xr:uid="{00000000-0005-0000-0000-0000DF1E0000}"/>
    <cellStyle name="_Quote Lennox 2nd package_CAPEX P-SERVICE 21001999 4" xfId="7692" xr:uid="{00000000-0005-0000-0000-0000E01E0000}"/>
    <cellStyle name="_Quote Lennox 2nd package_CAPEX P-SERVICE 37001157 (2)" xfId="7693" xr:uid="{00000000-0005-0000-0000-0000E11E0000}"/>
    <cellStyle name="_Quote Lennox 2nd package_CAPEX P-SERVICE 37001157 (2) 2" xfId="7694" xr:uid="{00000000-0005-0000-0000-0000E21E0000}"/>
    <cellStyle name="_Quote Lennox 2nd package_CAPEX P-SERVICE 37001157 (2) 3" xfId="7695" xr:uid="{00000000-0005-0000-0000-0000E31E0000}"/>
    <cellStyle name="_Quote Lennox 2nd package_CAPEX P-SERVICE 37001157 (2) 4" xfId="7696" xr:uid="{00000000-0005-0000-0000-0000E41E0000}"/>
    <cellStyle name="_Quote Lennox 2nd package_CAPEX P-SERVICE 37001157 (2) 5" xfId="7697" xr:uid="{00000000-0005-0000-0000-0000E51E0000}"/>
    <cellStyle name="_Quote Lennox 2nd package_CAPEX P-SERVICE 3957358" xfId="7698" xr:uid="{00000000-0005-0000-0000-0000E61E0000}"/>
    <cellStyle name="_Quote Lennox 2nd package_CAPEX P-SERVICE 3957358 (2)" xfId="7699" xr:uid="{00000000-0005-0000-0000-0000E71E0000}"/>
    <cellStyle name="_Quote Lennox 2nd package_CAPEX P-SERVICE 3957358 (2) 2" xfId="7700" xr:uid="{00000000-0005-0000-0000-0000E81E0000}"/>
    <cellStyle name="_Quote Lennox 2nd package_CAPEX P-SERVICE 3957358 (2) 3" xfId="7701" xr:uid="{00000000-0005-0000-0000-0000E91E0000}"/>
    <cellStyle name="_Quote Lennox 2nd package_CAPEX P-SERVICE 3957358 (2) 4" xfId="7702" xr:uid="{00000000-0005-0000-0000-0000EA1E0000}"/>
    <cellStyle name="_Quote Lennox 2nd package_CAPEX P-SERVICE 3957358 10" xfId="7703" xr:uid="{00000000-0005-0000-0000-0000EB1E0000}"/>
    <cellStyle name="_Quote Lennox 2nd package_CAPEX P-SERVICE 3957358 11" xfId="7704" xr:uid="{00000000-0005-0000-0000-0000EC1E0000}"/>
    <cellStyle name="_Quote Lennox 2nd package_CAPEX P-SERVICE 3957358 2" xfId="7705" xr:uid="{00000000-0005-0000-0000-0000ED1E0000}"/>
    <cellStyle name="_Quote Lennox 2nd package_CAPEX P-SERVICE 3957358 3" xfId="7706" xr:uid="{00000000-0005-0000-0000-0000EE1E0000}"/>
    <cellStyle name="_Quote Lennox 2nd package_CAPEX P-SERVICE 3957358 4" xfId="7707" xr:uid="{00000000-0005-0000-0000-0000EF1E0000}"/>
    <cellStyle name="_Quote Lennox 2nd package_CAPEX P-SERVICE 3957358 5" xfId="7708" xr:uid="{00000000-0005-0000-0000-0000F01E0000}"/>
    <cellStyle name="_Quote Lennox 2nd package_CAPEX P-SERVICE 3957358 6" xfId="7709" xr:uid="{00000000-0005-0000-0000-0000F11E0000}"/>
    <cellStyle name="_Quote Lennox 2nd package_CAPEX P-SERVICE 3957358 7" xfId="7710" xr:uid="{00000000-0005-0000-0000-0000F21E0000}"/>
    <cellStyle name="_Quote Lennox 2nd package_CAPEX P-SERVICE 3957358 8" xfId="7711" xr:uid="{00000000-0005-0000-0000-0000F31E0000}"/>
    <cellStyle name="_Quote Lennox 2nd package_CAPEX P-SERVICE 3957358 9" xfId="7712" xr:uid="{00000000-0005-0000-0000-0000F41E0000}"/>
    <cellStyle name="_Quote Lennox 2nd package_CAPEX P-SERVICE 3957377" xfId="7713" xr:uid="{00000000-0005-0000-0000-0000F51E0000}"/>
    <cellStyle name="_Quote Lennox 2nd package_CAPEX P-SERVICE 3957377 2" xfId="7714" xr:uid="{00000000-0005-0000-0000-0000F61E0000}"/>
    <cellStyle name="_Quote Lennox 2nd package_CAPEX P-SERVICE 3957377 3" xfId="7715" xr:uid="{00000000-0005-0000-0000-0000F71E0000}"/>
    <cellStyle name="_Quote Lennox 2nd package_CAPEX P-SERVICE 3957377 4" xfId="7716" xr:uid="{00000000-0005-0000-0000-0000F81E0000}"/>
    <cellStyle name="_Quote Lennox 2nd package_CAPEX P-SERVICE 3957377 5" xfId="7717" xr:uid="{00000000-0005-0000-0000-0000F91E0000}"/>
    <cellStyle name="_Quote Lennox 2nd package_CAPEX P-SERVICE 8283175" xfId="7718" xr:uid="{00000000-0005-0000-0000-0000FA1E0000}"/>
    <cellStyle name="_Quote Lennox 2nd package_CAPEX P-SERVICE 8283175 2" xfId="7719" xr:uid="{00000000-0005-0000-0000-0000FB1E0000}"/>
    <cellStyle name="_Quote Lennox 2nd package_CAPEX P-SERVICE 8283175 3" xfId="7720" xr:uid="{00000000-0005-0000-0000-0000FC1E0000}"/>
    <cellStyle name="_Quote Lennox 2nd package_CAPEX P-SERVICE 8283175 4" xfId="7721" xr:uid="{00000000-0005-0000-0000-0000FD1E0000}"/>
    <cellStyle name="_Quote Lennox 2nd package_CAPEX P-SERVICE 8299848" xfId="7722" xr:uid="{00000000-0005-0000-0000-0000FE1E0000}"/>
    <cellStyle name="_Quote Lennox 2nd package_CAPEX P-SERVICE 8299848 2" xfId="7723" xr:uid="{00000000-0005-0000-0000-0000FF1E0000}"/>
    <cellStyle name="_Quote Lennox 2nd package_CAPEX P-SERVICE 8299848 3" xfId="7724" xr:uid="{00000000-0005-0000-0000-0000001F0000}"/>
    <cellStyle name="_Quote Lennox 2nd package_CAPEX P-SERVICE 8299848 4" xfId="7725" xr:uid="{00000000-0005-0000-0000-0000011F0000}"/>
    <cellStyle name="_Quote Lennox 2nd package_CAPEX P-SERVICE 8299949" xfId="7726" xr:uid="{00000000-0005-0000-0000-0000021F0000}"/>
    <cellStyle name="_Quote Lennox 2nd package_CAPEX P-SERVICE 8299949 2" xfId="7727" xr:uid="{00000000-0005-0000-0000-0000031F0000}"/>
    <cellStyle name="_Quote Lennox 2nd package_CAPEX P-SERVICE 8299949 3" xfId="7728" xr:uid="{00000000-0005-0000-0000-0000041F0000}"/>
    <cellStyle name="_Quote Lennox 2nd package_CAPEX P-SERVICE 8299949 4" xfId="7729" xr:uid="{00000000-0005-0000-0000-0000051F0000}"/>
    <cellStyle name="_Quote Lennox 2nd package_CAPEX P-SERVICE 8299949 5" xfId="7730" xr:uid="{00000000-0005-0000-0000-0000061F0000}"/>
    <cellStyle name="_Quote Lennox 2nd package_ESTIMATED ARES-10 PACKAGE 25NOV" xfId="7731" xr:uid="{00000000-0005-0000-0000-0000071F0000}"/>
    <cellStyle name="_Quote Lennox 2nd package_ESTIMATED ARES-10 PACKAGE 25NOV 2" xfId="7732" xr:uid="{00000000-0005-0000-0000-0000081F0000}"/>
    <cellStyle name="_Quote Lennox 2nd package_ESTIMATED ARES-10 PACKAGE 25NOV 3" xfId="24841" xr:uid="{00000000-0005-0000-0000-0000091F0000}"/>
    <cellStyle name="_Quote Lennox 2nd package_ESTIMATED ARES-10 PACKAGE 25NOV_SUBARTICO ADD-DEL" xfId="7733" xr:uid="{00000000-0005-0000-0000-00000A1F0000}"/>
    <cellStyle name="_Quote Lennox 2nd package_ESTIMATED ARES-10 PACKAGE 25NOV_SUBARTICO ADD-DEL 2" xfId="7734" xr:uid="{00000000-0005-0000-0000-00000B1F0000}"/>
    <cellStyle name="_Quote Lennox 2nd package_SUBARTICO ADD-DEL" xfId="7735" xr:uid="{00000000-0005-0000-0000-00000C1F0000}"/>
    <cellStyle name="_Quote Lennox 2nd package_SUBARTICO ADD-DEL 2" xfId="7736" xr:uid="{00000000-0005-0000-0000-00000D1F0000}"/>
    <cellStyle name="_Quote Lennox 2nd package_W10251766 D" xfId="7737" xr:uid="{00000000-0005-0000-0000-00000E1F0000}"/>
    <cellStyle name="_Quote Lennox 2nd package_W10279106 y W10279107 de MR a 56i" xfId="7738" xr:uid="{00000000-0005-0000-0000-00000F1F0000}"/>
    <cellStyle name="_Quote Lennox 2nd package_W10315922 A" xfId="7739" xr:uid="{00000000-0005-0000-0000-0000101F0000}"/>
    <cellStyle name="_Quote Lennox 2nd package_WC cleveland con spreadshet" xfId="7740" xr:uid="{00000000-0005-0000-0000-0000111F0000}"/>
    <cellStyle name="_Quote Lennox 2nd package_WC cleveland con spreadshet 2" xfId="7741" xr:uid="{00000000-0005-0000-0000-0000121F0000}"/>
    <cellStyle name="_Quote Lennox 2nd package_WC cleveland con spreadshet 3" xfId="24842" xr:uid="{00000000-0005-0000-0000-0000131F0000}"/>
    <cellStyle name="_Quote Lennox 2nd package_WC cleveland con spreadshet_SUBARTICO ADD-DEL" xfId="7742" xr:uid="{00000000-0005-0000-0000-0000141F0000}"/>
    <cellStyle name="_Quote Lennox 2nd package_WC cleveland con spreadshet_SUBARTICO ADD-DEL 2" xfId="7743" xr:uid="{00000000-0005-0000-0000-0000151F0000}"/>
    <cellStyle name="_Quote Lennox 2nd package_WPN163 8576530" xfId="7744" xr:uid="{00000000-0005-0000-0000-0000161F0000}"/>
    <cellStyle name="_Quote Lennox 2nd package_WPN163 8576530 2" xfId="7745" xr:uid="{00000000-0005-0000-0000-0000171F0000}"/>
    <cellStyle name="_Quote Lennox 2nd package_WPN163 8576530 3" xfId="7746" xr:uid="{00000000-0005-0000-0000-0000181F0000}"/>
    <cellStyle name="_Quote Lennox 2nd package_WPN163 8576530 4" xfId="7747" xr:uid="{00000000-0005-0000-0000-0000191F0000}"/>
    <cellStyle name="_Ramos Arizpe" xfId="7748" xr:uid="{00000000-0005-0000-0000-00001A1F0000}"/>
    <cellStyle name="_Ramos Arizpe 2" xfId="7749" xr:uid="{00000000-0005-0000-0000-00001B1F0000}"/>
    <cellStyle name="_Ramos Arizpe 3" xfId="7750" xr:uid="{00000000-0005-0000-0000-00001C1F0000}"/>
    <cellStyle name="_Ramos Arizpe 4" xfId="7751" xr:uid="{00000000-0005-0000-0000-00001D1F0000}"/>
    <cellStyle name="_Ramos Arizpe 5" xfId="7752" xr:uid="{00000000-0005-0000-0000-00001E1F0000}"/>
    <cellStyle name="_Ramos Arizpe_SUBARTICO ADD-DEL" xfId="7753" xr:uid="{00000000-0005-0000-0000-00001F1F0000}"/>
    <cellStyle name="_Ramos Arizpe_SUBARTICO ADD-DEL 2" xfId="7754" xr:uid="{00000000-0005-0000-0000-0000201F0000}"/>
    <cellStyle name="_Reynosa Q2 Forecast" xfId="7755" xr:uid="{00000000-0005-0000-0000-0000211F0000}"/>
    <cellStyle name="_Reynosa Q2 Forecast 2" xfId="7756" xr:uid="{00000000-0005-0000-0000-0000221F0000}"/>
    <cellStyle name="_Reynosa Q2 Forecast 3" xfId="7757" xr:uid="{00000000-0005-0000-0000-0000231F0000}"/>
    <cellStyle name="_Reynosa Q2 Forecast 4" xfId="7758" xr:uid="{00000000-0005-0000-0000-0000241F0000}"/>
    <cellStyle name="_Reynosa Q2 Forecast 5" xfId="7759" xr:uid="{00000000-0005-0000-0000-0000251F0000}"/>
    <cellStyle name="_RFQ 154688401" xfId="7760" xr:uid="{00000000-0005-0000-0000-0000261F0000}"/>
    <cellStyle name="_RFQ 154688401 2" xfId="7761" xr:uid="{00000000-0005-0000-0000-0000271F0000}"/>
    <cellStyle name="_RFQ 154688401 3" xfId="7762" xr:uid="{00000000-0005-0000-0000-0000281F0000}"/>
    <cellStyle name="_RFQ 154688401 4" xfId="7763" xr:uid="{00000000-0005-0000-0000-0000291F0000}"/>
    <cellStyle name="_RFQ 154688401 5" xfId="7764" xr:uid="{00000000-0005-0000-0000-00002A1F0000}"/>
    <cellStyle name="_RFQ BSHTN" xfId="7765" xr:uid="{00000000-0005-0000-0000-00002B1F0000}"/>
    <cellStyle name="_RFQ BSHTN 2" xfId="7766" xr:uid="{00000000-0005-0000-0000-00002C1F0000}"/>
    <cellStyle name="_RFQ BSHTN 3" xfId="7767" xr:uid="{00000000-0005-0000-0000-00002D1F0000}"/>
    <cellStyle name="_RFQ BSHTN 4" xfId="7768" xr:uid="{00000000-0005-0000-0000-00002E1F0000}"/>
    <cellStyle name="_RFQ BSHTN 5" xfId="7769" xr:uid="{00000000-0005-0000-0000-00002F1F0000}"/>
    <cellStyle name="_RFQ BSHTN_SUBARTICO ADD-DEL" xfId="7770" xr:uid="{00000000-0005-0000-0000-0000301F0000}"/>
    <cellStyle name="_RFQ BSHTN_SUBARTICO ADD-DEL 2" xfId="7771" xr:uid="{00000000-0005-0000-0000-0000311F0000}"/>
    <cellStyle name="_RFQ NA090102 Electrolux 242021701 y 1801" xfId="7772" xr:uid="{00000000-0005-0000-0000-0000321F0000}"/>
    <cellStyle name="_RFQ NA090102 Electrolux 242021701 y 1801 2" xfId="7773" xr:uid="{00000000-0005-0000-0000-0000331F0000}"/>
    <cellStyle name="_RFQ NA090102 Electrolux 242021701 y 1801 2 2" xfId="7774" xr:uid="{00000000-0005-0000-0000-0000341F0000}"/>
    <cellStyle name="_RFQ NA090102 Electrolux 242021701 y 1801 2 3" xfId="7775" xr:uid="{00000000-0005-0000-0000-0000351F0000}"/>
    <cellStyle name="_RFQ NA090102 Electrolux 242021701 y 1801 2 4" xfId="7776" xr:uid="{00000000-0005-0000-0000-0000361F0000}"/>
    <cellStyle name="_RFQ NA090102 Electrolux 242021701 y 1801 3" xfId="7777" xr:uid="{00000000-0005-0000-0000-0000371F0000}"/>
    <cellStyle name="_RFQ-CA04046COSTBOM" xfId="7778" xr:uid="{00000000-0005-0000-0000-0000381F0000}"/>
    <cellStyle name="_RFQ-CA04046COSTBOM 2" xfId="7779" xr:uid="{00000000-0005-0000-0000-0000391F0000}"/>
    <cellStyle name="_RFQ-CA04046COSTBOM 2 2" xfId="24843" xr:uid="{00000000-0005-0000-0000-00003A1F0000}"/>
    <cellStyle name="_RFQ-CA04046COSTBOM 2 2 2" xfId="24844" xr:uid="{00000000-0005-0000-0000-00003B1F0000}"/>
    <cellStyle name="_RFQ-CA04046COSTBOM 2 2 3" xfId="24845" xr:uid="{00000000-0005-0000-0000-00003C1F0000}"/>
    <cellStyle name="_RFQ-CA04046COSTBOM 2 3" xfId="24846" xr:uid="{00000000-0005-0000-0000-00003D1F0000}"/>
    <cellStyle name="_RFQ-CA04046COSTBOM 2 4" xfId="24847" xr:uid="{00000000-0005-0000-0000-00003E1F0000}"/>
    <cellStyle name="_RFQ-CA04046COSTBOM 3" xfId="7780" xr:uid="{00000000-0005-0000-0000-00003F1F0000}"/>
    <cellStyle name="_RFQ-CA04046COSTBOM 3 2" xfId="24848" xr:uid="{00000000-0005-0000-0000-0000401F0000}"/>
    <cellStyle name="_RFQ-CA04046COSTBOM 3 2 2" xfId="24849" xr:uid="{00000000-0005-0000-0000-0000411F0000}"/>
    <cellStyle name="_RFQ-CA04046COSTBOM 3 2 3" xfId="24850" xr:uid="{00000000-0005-0000-0000-0000421F0000}"/>
    <cellStyle name="_RFQ-CA04046COSTBOM 3 3" xfId="24851" xr:uid="{00000000-0005-0000-0000-0000431F0000}"/>
    <cellStyle name="_RFQ-CA04046COSTBOM 3 4" xfId="24852" xr:uid="{00000000-0005-0000-0000-0000441F0000}"/>
    <cellStyle name="_RFQ-CA04046COSTBOM 4" xfId="7781" xr:uid="{00000000-0005-0000-0000-0000451F0000}"/>
    <cellStyle name="_RFQ-CA04046COSTBOM 4 2" xfId="24853" xr:uid="{00000000-0005-0000-0000-0000461F0000}"/>
    <cellStyle name="_RFQ-CA04046COSTBOM 4 2 2" xfId="24854" xr:uid="{00000000-0005-0000-0000-0000471F0000}"/>
    <cellStyle name="_RFQ-CA04046COSTBOM 4 2 3" xfId="24855" xr:uid="{00000000-0005-0000-0000-0000481F0000}"/>
    <cellStyle name="_RFQ-CA04046COSTBOM 4 3" xfId="24856" xr:uid="{00000000-0005-0000-0000-0000491F0000}"/>
    <cellStyle name="_RFQ-CA04046COSTBOM 4 4" xfId="24857" xr:uid="{00000000-0005-0000-0000-00004A1F0000}"/>
    <cellStyle name="_RFQ-CA04046COSTBOM 5" xfId="7782" xr:uid="{00000000-0005-0000-0000-00004B1F0000}"/>
    <cellStyle name="_RFQ-CA04046COSTBOM 5 2" xfId="24858" xr:uid="{00000000-0005-0000-0000-00004C1F0000}"/>
    <cellStyle name="_RFQ-CA04046COSTBOM 5 2 2" xfId="24859" xr:uid="{00000000-0005-0000-0000-00004D1F0000}"/>
    <cellStyle name="_RFQ-CA04046COSTBOM 5 2 3" xfId="24860" xr:uid="{00000000-0005-0000-0000-00004E1F0000}"/>
    <cellStyle name="_RFQ-CA04046COSTBOM 5 3" xfId="24861" xr:uid="{00000000-0005-0000-0000-00004F1F0000}"/>
    <cellStyle name="_RFQ-CA04046COSTBOM 5 4" xfId="24862" xr:uid="{00000000-0005-0000-0000-0000501F0000}"/>
    <cellStyle name="_RFQ-CA04046COSTBOM 6" xfId="7783" xr:uid="{00000000-0005-0000-0000-0000511F0000}"/>
    <cellStyle name="_RFQ-CA04046COSTBOM 6 2" xfId="24863" xr:uid="{00000000-0005-0000-0000-0000521F0000}"/>
    <cellStyle name="_RFQ-CA04046COSTBOM 6 3" xfId="24864" xr:uid="{00000000-0005-0000-0000-0000531F0000}"/>
    <cellStyle name="_RFQ-CA04046COSTBOM 7" xfId="7784" xr:uid="{00000000-0005-0000-0000-0000541F0000}"/>
    <cellStyle name="_RFQ-CA04046COSTBOM 8" xfId="7785" xr:uid="{00000000-0005-0000-0000-0000551F0000}"/>
    <cellStyle name="_RFQ-CA04046COSTBOM_SUBARTICO ADD-DEL" xfId="7786" xr:uid="{00000000-0005-0000-0000-0000561F0000}"/>
    <cellStyle name="_RFQ-CA04046COSTBOM_SUBARTICO ADD-DEL 2" xfId="7787" xr:uid="{00000000-0005-0000-0000-0000571F0000}"/>
    <cellStyle name="_RFQ-CA06056CostBOM" xfId="7788" xr:uid="{00000000-0005-0000-0000-0000581F0000}"/>
    <cellStyle name="_RFQ-CA06056CostBOM 2" xfId="7789" xr:uid="{00000000-0005-0000-0000-0000591F0000}"/>
    <cellStyle name="_RFQ-CA06056CostBOM 3" xfId="7790" xr:uid="{00000000-0005-0000-0000-00005A1F0000}"/>
    <cellStyle name="_RFQ-CA06056CostBOM 4" xfId="7791" xr:uid="{00000000-0005-0000-0000-00005B1F0000}"/>
    <cellStyle name="_RFQ-CA06056CostBOM 5" xfId="7792" xr:uid="{00000000-0005-0000-0000-00005C1F0000}"/>
    <cellStyle name="_RFQ-CA06058COSTBOM" xfId="7793" xr:uid="{00000000-0005-0000-0000-00005D1F0000}"/>
    <cellStyle name="_RFQ-CA06058COSTBOM 2" xfId="7794" xr:uid="{00000000-0005-0000-0000-00005E1F0000}"/>
    <cellStyle name="_RFQ-CA06058COSTBOM 3" xfId="7795" xr:uid="{00000000-0005-0000-0000-00005F1F0000}"/>
    <cellStyle name="_RFQ-CA06058COSTBOM 4" xfId="7796" xr:uid="{00000000-0005-0000-0000-0000601F0000}"/>
    <cellStyle name="_RFQ-CA06058COSTBOM 5" xfId="7797" xr:uid="{00000000-0005-0000-0000-0000611F0000}"/>
    <cellStyle name="_RMB Business" xfId="24865" xr:uid="{00000000-0005-0000-0000-0000621F0000}"/>
    <cellStyle name="_RMB Business 2" xfId="24866" xr:uid="{00000000-0005-0000-0000-0000631F0000}"/>
    <cellStyle name="_RMB Business 3" xfId="24867" xr:uid="{00000000-0005-0000-0000-0000641F0000}"/>
    <cellStyle name="_RT-0060401145 rev Aug291" xfId="7798" xr:uid="{00000000-0005-0000-0000-0000651F0000}"/>
    <cellStyle name="_RT-0060401145 rev Aug291 2" xfId="7799" xr:uid="{00000000-0005-0000-0000-0000661F0000}"/>
    <cellStyle name="_RT-0060401145 rev Aug291 3" xfId="7800" xr:uid="{00000000-0005-0000-0000-0000671F0000}"/>
    <cellStyle name="_RT-0060401145 rev Aug291 4" xfId="7801" xr:uid="{00000000-0005-0000-0000-0000681F0000}"/>
    <cellStyle name="_RT-0060401145 rev Aug291 5" xfId="7802" xr:uid="{00000000-0005-0000-0000-0000691F0000}"/>
    <cellStyle name="_RT-06094" xfId="7803" xr:uid="{00000000-0005-0000-0000-00006A1F0000}"/>
    <cellStyle name="_RT-06094 2" xfId="7804" xr:uid="{00000000-0005-0000-0000-00006B1F0000}"/>
    <cellStyle name="_RT-06094 3" xfId="7805" xr:uid="{00000000-0005-0000-0000-00006C1F0000}"/>
    <cellStyle name="_RT-06094 4" xfId="7806" xr:uid="{00000000-0005-0000-0000-00006D1F0000}"/>
    <cellStyle name="_RT-06094 5" xfId="7807" xr:uid="{00000000-0005-0000-0000-00006E1F0000}"/>
    <cellStyle name="_RT-EN100204 " xfId="7808" xr:uid="{00000000-0005-0000-0000-00006F1F0000}"/>
    <cellStyle name="_RT-EN100204  2" xfId="7809" xr:uid="{00000000-0005-0000-0000-0000701F0000}"/>
    <cellStyle name="_RT-EN100204  3" xfId="7810" xr:uid="{00000000-0005-0000-0000-0000711F0000}"/>
    <cellStyle name="_RT-EN100204  4" xfId="7811" xr:uid="{00000000-0005-0000-0000-0000721F0000}"/>
    <cellStyle name="_RT-EN100204  5" xfId="7812" xr:uid="{00000000-0005-0000-0000-0000731F0000}"/>
    <cellStyle name="_S.S 183D7866P010" xfId="7813" xr:uid="{00000000-0005-0000-0000-0000741F0000}"/>
    <cellStyle name="_S.S 183D7866P010 2" xfId="7814" xr:uid="{00000000-0005-0000-0000-0000751F0000}"/>
    <cellStyle name="_S.S 183D7866P010 2 2" xfId="7815" xr:uid="{00000000-0005-0000-0000-0000761F0000}"/>
    <cellStyle name="_S.S 183D7866P010 2 3" xfId="7816" xr:uid="{00000000-0005-0000-0000-0000771F0000}"/>
    <cellStyle name="_S.S 183D7866P010 2 4" xfId="7817" xr:uid="{00000000-0005-0000-0000-0000781F0000}"/>
    <cellStyle name="_S.S 183D7866P010 3" xfId="7818" xr:uid="{00000000-0005-0000-0000-0000791F0000}"/>
    <cellStyle name="_S.S 183D7866P010_862-CH" xfId="7819" xr:uid="{00000000-0005-0000-0000-00007A1F0000}"/>
    <cellStyle name="_S.S 183D7866P010_BSHNC151 (RFQ EE4509)" xfId="7820" xr:uid="{00000000-0005-0000-0000-00007B1F0000}"/>
    <cellStyle name="_S.S 183D7866P010_BSHNC151 (RFQ EE4509) 2" xfId="7821" xr:uid="{00000000-0005-0000-0000-00007C1F0000}"/>
    <cellStyle name="_S.S 183D7866P010_BSHNC162 (RFQ EE5409)1" xfId="7822" xr:uid="{00000000-0005-0000-0000-00007D1F0000}"/>
    <cellStyle name="_S.S 183D7866P010_BSHNC162 (RFQ EE5409)1 2" xfId="7823" xr:uid="{00000000-0005-0000-0000-00007E1F0000}"/>
    <cellStyle name="_S.S 183D7866P010_SUBARTICO ADD-DEL" xfId="7824" xr:uid="{00000000-0005-0000-0000-00007F1F0000}"/>
    <cellStyle name="_S.S 183D7866P010_SUBARTICO ADD-DEL 2" xfId="7825" xr:uid="{00000000-0005-0000-0000-0000801F0000}"/>
    <cellStyle name="_S.S 183D7866P010_W10251766 D" xfId="7826" xr:uid="{00000000-0005-0000-0000-0000811F0000}"/>
    <cellStyle name="_S.S 183D7866P010_W10279106 y W10279107 de MR a 56i" xfId="7827" xr:uid="{00000000-0005-0000-0000-0000821F0000}"/>
    <cellStyle name="_S.S 183D7866P010_W10315922 A" xfId="7828" xr:uid="{00000000-0005-0000-0000-0000831F0000}"/>
    <cellStyle name="_S.S 318 083089,228946,306660,384401,199443-44-86 y 88,199765" xfId="7829" xr:uid="{00000000-0005-0000-0000-0000841F0000}"/>
    <cellStyle name="_S.S 318 083089,228946,306660,384401,199443-44-86 y 88,199765 10" xfId="7830" xr:uid="{00000000-0005-0000-0000-0000851F0000}"/>
    <cellStyle name="_S.S 318 083089,228946,306660,384401,199443-44-86 y 88,199765 10 2" xfId="7831" xr:uid="{00000000-0005-0000-0000-0000861F0000}"/>
    <cellStyle name="_S.S 318 083089,228946,306660,384401,199443-44-86 y 88,199765 10 3" xfId="7832" xr:uid="{00000000-0005-0000-0000-0000871F0000}"/>
    <cellStyle name="_S.S 318 083089,228946,306660,384401,199443-44-86 y 88,199765 10 4" xfId="7833" xr:uid="{00000000-0005-0000-0000-0000881F0000}"/>
    <cellStyle name="_S.S 318 083089,228946,306660,384401,199443-44-86 y 88,199765 2" xfId="7834" xr:uid="{00000000-0005-0000-0000-0000891F0000}"/>
    <cellStyle name="_S.S 318 083089,228946,306660,384401,199443-44-86 y 88,199765 2 2" xfId="7835" xr:uid="{00000000-0005-0000-0000-00008A1F0000}"/>
    <cellStyle name="_S.S 318 083089,228946,306660,384401,199443-44-86 y 88,199765 2 3" xfId="7836" xr:uid="{00000000-0005-0000-0000-00008B1F0000}"/>
    <cellStyle name="_S.S 318 083089,228946,306660,384401,199443-44-86 y 88,199765 2 4" xfId="7837" xr:uid="{00000000-0005-0000-0000-00008C1F0000}"/>
    <cellStyle name="_S.S 318 083089,228946,306660,384401,199443-44-86 y 88,199765 2 5" xfId="7838" xr:uid="{00000000-0005-0000-0000-00008D1F0000}"/>
    <cellStyle name="_S.S 318 083089,228946,306660,384401,199443-44-86 y 88,199765 2_SUBARTICO ADD-DEL" xfId="7839" xr:uid="{00000000-0005-0000-0000-00008E1F0000}"/>
    <cellStyle name="_S.S 318 083089,228946,306660,384401,199443-44-86 y 88,199765 2_SUBARTICO ADD-DEL 2" xfId="7840" xr:uid="{00000000-0005-0000-0000-00008F1F0000}"/>
    <cellStyle name="_S.S 318 083089,228946,306660,384401,199443-44-86 y 88,199765 3" xfId="7841" xr:uid="{00000000-0005-0000-0000-0000901F0000}"/>
    <cellStyle name="_S.S 318 083089,228946,306660,384401,199443-44-86 y 88,199765 3 2" xfId="7842" xr:uid="{00000000-0005-0000-0000-0000911F0000}"/>
    <cellStyle name="_S.S 318 083089,228946,306660,384401,199443-44-86 y 88,199765 3 3" xfId="7843" xr:uid="{00000000-0005-0000-0000-0000921F0000}"/>
    <cellStyle name="_S.S 318 083089,228946,306660,384401,199443-44-86 y 88,199765 3 4" xfId="7844" xr:uid="{00000000-0005-0000-0000-0000931F0000}"/>
    <cellStyle name="_S.S 318 083089,228946,306660,384401,199443-44-86 y 88,199765 3 5" xfId="7845" xr:uid="{00000000-0005-0000-0000-0000941F0000}"/>
    <cellStyle name="_S.S 318 083089,228946,306660,384401,199443-44-86 y 88,199765 3_SUBARTICO ADD-DEL" xfId="7846" xr:uid="{00000000-0005-0000-0000-0000951F0000}"/>
    <cellStyle name="_S.S 318 083089,228946,306660,384401,199443-44-86 y 88,199765 3_SUBARTICO ADD-DEL 2" xfId="7847" xr:uid="{00000000-0005-0000-0000-0000961F0000}"/>
    <cellStyle name="_S.S 318 083089,228946,306660,384401,199443-44-86 y 88,199765 4" xfId="7848" xr:uid="{00000000-0005-0000-0000-0000971F0000}"/>
    <cellStyle name="_S.S 318 083089,228946,306660,384401,199443-44-86 y 88,199765 4 2" xfId="7849" xr:uid="{00000000-0005-0000-0000-0000981F0000}"/>
    <cellStyle name="_S.S 318 083089,228946,306660,384401,199443-44-86 y 88,199765 4 3" xfId="7850" xr:uid="{00000000-0005-0000-0000-0000991F0000}"/>
    <cellStyle name="_S.S 318 083089,228946,306660,384401,199443-44-86 y 88,199765 4 4" xfId="7851" xr:uid="{00000000-0005-0000-0000-00009A1F0000}"/>
    <cellStyle name="_S.S 318 083089,228946,306660,384401,199443-44-86 y 88,199765 4 5" xfId="7852" xr:uid="{00000000-0005-0000-0000-00009B1F0000}"/>
    <cellStyle name="_S.S 318 083089,228946,306660,384401,199443-44-86 y 88,199765 4_SUBARTICO ADD-DEL" xfId="7853" xr:uid="{00000000-0005-0000-0000-00009C1F0000}"/>
    <cellStyle name="_S.S 318 083089,228946,306660,384401,199443-44-86 y 88,199765 4_SUBARTICO ADD-DEL 2" xfId="7854" xr:uid="{00000000-0005-0000-0000-00009D1F0000}"/>
    <cellStyle name="_S.S 318 083089,228946,306660,384401,199443-44-86 y 88,199765 5" xfId="7855" xr:uid="{00000000-0005-0000-0000-00009E1F0000}"/>
    <cellStyle name="_S.S 318 083089,228946,306660,384401,199443-44-86 y 88,199765 5 2" xfId="7856" xr:uid="{00000000-0005-0000-0000-00009F1F0000}"/>
    <cellStyle name="_S.S 318 083089,228946,306660,384401,199443-44-86 y 88,199765 5 3" xfId="7857" xr:uid="{00000000-0005-0000-0000-0000A01F0000}"/>
    <cellStyle name="_S.S 318 083089,228946,306660,384401,199443-44-86 y 88,199765 5 4" xfId="7858" xr:uid="{00000000-0005-0000-0000-0000A11F0000}"/>
    <cellStyle name="_S.S 318 083089,228946,306660,384401,199443-44-86 y 88,199765 5 5" xfId="7859" xr:uid="{00000000-0005-0000-0000-0000A21F0000}"/>
    <cellStyle name="_S.S 318 083089,228946,306660,384401,199443-44-86 y 88,199765 5_SUBARTICO ADD-DEL" xfId="7860" xr:uid="{00000000-0005-0000-0000-0000A31F0000}"/>
    <cellStyle name="_S.S 318 083089,228946,306660,384401,199443-44-86 y 88,199765 5_SUBARTICO ADD-DEL 2" xfId="7861" xr:uid="{00000000-0005-0000-0000-0000A41F0000}"/>
    <cellStyle name="_S.S 318 083089,228946,306660,384401,199443-44-86 y 88,199765 6" xfId="7862" xr:uid="{00000000-0005-0000-0000-0000A51F0000}"/>
    <cellStyle name="_S.S 318 083089,228946,306660,384401,199443-44-86 y 88,199765 6 2" xfId="7863" xr:uid="{00000000-0005-0000-0000-0000A61F0000}"/>
    <cellStyle name="_S.S 318 083089,228946,306660,384401,199443-44-86 y 88,199765 6 3" xfId="7864" xr:uid="{00000000-0005-0000-0000-0000A71F0000}"/>
    <cellStyle name="_S.S 318 083089,228946,306660,384401,199443-44-86 y 88,199765 6 4" xfId="7865" xr:uid="{00000000-0005-0000-0000-0000A81F0000}"/>
    <cellStyle name="_S.S 318 083089,228946,306660,384401,199443-44-86 y 88,199765 6 5" xfId="7866" xr:uid="{00000000-0005-0000-0000-0000A91F0000}"/>
    <cellStyle name="_S.S 318 083089,228946,306660,384401,199443-44-86 y 88,199765 6_SUBARTICO ADD-DEL" xfId="7867" xr:uid="{00000000-0005-0000-0000-0000AA1F0000}"/>
    <cellStyle name="_S.S 318 083089,228946,306660,384401,199443-44-86 y 88,199765 6_SUBARTICO ADD-DEL 2" xfId="7868" xr:uid="{00000000-0005-0000-0000-0000AB1F0000}"/>
    <cellStyle name="_S.S 318 083089,228946,306660,384401,199443-44-86 y 88,199765 7" xfId="7869" xr:uid="{00000000-0005-0000-0000-0000AC1F0000}"/>
    <cellStyle name="_S.S 318 083089,228946,306660,384401,199443-44-86 y 88,199765 7 2" xfId="7870" xr:uid="{00000000-0005-0000-0000-0000AD1F0000}"/>
    <cellStyle name="_S.S 318 083089,228946,306660,384401,199443-44-86 y 88,199765 7 3" xfId="7871" xr:uid="{00000000-0005-0000-0000-0000AE1F0000}"/>
    <cellStyle name="_S.S 318 083089,228946,306660,384401,199443-44-86 y 88,199765 7 4" xfId="7872" xr:uid="{00000000-0005-0000-0000-0000AF1F0000}"/>
    <cellStyle name="_S.S 318 083089,228946,306660,384401,199443-44-86 y 88,199765 7 5" xfId="7873" xr:uid="{00000000-0005-0000-0000-0000B01F0000}"/>
    <cellStyle name="_S.S 318 083089,228946,306660,384401,199443-44-86 y 88,199765 7_SUBARTICO ADD-DEL" xfId="7874" xr:uid="{00000000-0005-0000-0000-0000B11F0000}"/>
    <cellStyle name="_S.S 318 083089,228946,306660,384401,199443-44-86 y 88,199765 7_SUBARTICO ADD-DEL 2" xfId="7875" xr:uid="{00000000-0005-0000-0000-0000B21F0000}"/>
    <cellStyle name="_S.S 318 083089,228946,306660,384401,199443-44-86 y 88,199765 8" xfId="7876" xr:uid="{00000000-0005-0000-0000-0000B31F0000}"/>
    <cellStyle name="_S.S 318 083089,228946,306660,384401,199443-44-86 y 88,199765 8 2" xfId="7877" xr:uid="{00000000-0005-0000-0000-0000B41F0000}"/>
    <cellStyle name="_S.S 318 083089,228946,306660,384401,199443-44-86 y 88,199765 8 3" xfId="7878" xr:uid="{00000000-0005-0000-0000-0000B51F0000}"/>
    <cellStyle name="_S.S 318 083089,228946,306660,384401,199443-44-86 y 88,199765 8 4" xfId="7879" xr:uid="{00000000-0005-0000-0000-0000B61F0000}"/>
    <cellStyle name="_S.S 318 083089,228946,306660,384401,199443-44-86 y 88,199765 8 5" xfId="7880" xr:uid="{00000000-0005-0000-0000-0000B71F0000}"/>
    <cellStyle name="_S.S 318 083089,228946,306660,384401,199443-44-86 y 88,199765 8_SUBARTICO ADD-DEL" xfId="7881" xr:uid="{00000000-0005-0000-0000-0000B81F0000}"/>
    <cellStyle name="_S.S 318 083089,228946,306660,384401,199443-44-86 y 88,199765 8_SUBARTICO ADD-DEL 2" xfId="7882" xr:uid="{00000000-0005-0000-0000-0000B91F0000}"/>
    <cellStyle name="_S.S 318 083089,228946,306660,384401,199443-44-86 y 88,199765 9" xfId="7883" xr:uid="{00000000-0005-0000-0000-0000BA1F0000}"/>
    <cellStyle name="_S.S 318 083089,228946,306660,384401,199443-44-86 y 88,199765 9 2" xfId="7884" xr:uid="{00000000-0005-0000-0000-0000BB1F0000}"/>
    <cellStyle name="_S.S 318 083089,228946,306660,384401,199443-44-86 y 88,199765 9 3" xfId="7885" xr:uid="{00000000-0005-0000-0000-0000BC1F0000}"/>
    <cellStyle name="_S.S 318 083089,228946,306660,384401,199443-44-86 y 88,199765 9 4" xfId="7886" xr:uid="{00000000-0005-0000-0000-0000BD1F0000}"/>
    <cellStyle name="_S.S 318 083089,228946,306660,384401,199443-44-86 y 88,199765 9 5" xfId="7887" xr:uid="{00000000-0005-0000-0000-0000BE1F0000}"/>
    <cellStyle name="_S.S 318 083089,228946,306660,384401,199443-44-86 y 88,199765 9_SUBARTICO ADD-DEL" xfId="7888" xr:uid="{00000000-0005-0000-0000-0000BF1F0000}"/>
    <cellStyle name="_S.S 318 083089,228946,306660,384401,199443-44-86 y 88,199765 9_SUBARTICO ADD-DEL 2" xfId="7889" xr:uid="{00000000-0005-0000-0000-0000C01F0000}"/>
    <cellStyle name="_S.S 318 083089,228946,306660,384401,199443-44-86 y 88,199765_862-CH" xfId="7890" xr:uid="{00000000-0005-0000-0000-0000C11F0000}"/>
    <cellStyle name="_S.S 318 083089,228946,306660,384401,199443-44-86 y 88,199765_BSHNC151 (RFQ EE4509)" xfId="7891" xr:uid="{00000000-0005-0000-0000-0000C21F0000}"/>
    <cellStyle name="_S.S 318 083089,228946,306660,384401,199443-44-86 y 88,199765_BSHNC151 (RFQ EE4509) 2" xfId="7892" xr:uid="{00000000-0005-0000-0000-0000C31F0000}"/>
    <cellStyle name="_S.S 318 083089,228946,306660,384401,199443-44-86 y 88,199765_BSHNC162 (RFQ EE5409)1" xfId="7893" xr:uid="{00000000-0005-0000-0000-0000C41F0000}"/>
    <cellStyle name="_S.S 318 083089,228946,306660,384401,199443-44-86 y 88,199765_BSHNC162 (RFQ EE5409)1 2" xfId="7894" xr:uid="{00000000-0005-0000-0000-0000C51F0000}"/>
    <cellStyle name="_S.S 318 083089,228946,306660,384401,199443-44-86 y 88,199765_Ec-2376 to 2379 Add-del 318402413 2414 2374 318394491" xfId="7895" xr:uid="{00000000-0005-0000-0000-0000C61F0000}"/>
    <cellStyle name="_S.S 318 083089,228946,306660,384401,199443-44-86 y 88,199765_Ec-2376 to 2379 Add-del 318402413 2414 2374 318394491 2" xfId="7896" xr:uid="{00000000-0005-0000-0000-0000C71F0000}"/>
    <cellStyle name="_S.S 318 083089,228946,306660,384401,199443-44-86 y 88,199765_Ec-2376 to 2379 Add-del 318402413 2414 2374 318394491 3" xfId="7897" xr:uid="{00000000-0005-0000-0000-0000C81F0000}"/>
    <cellStyle name="_S.S 318 083089,228946,306660,384401,199443-44-86 y 88,199765_Ec-2376 to 2379 Add-del 318402413 2414 2374 318394491 4" xfId="7898" xr:uid="{00000000-0005-0000-0000-0000C91F0000}"/>
    <cellStyle name="_S.S 318 083089,228946,306660,384401,199443-44-86 y 88,199765_Ec-2376 to 2379 Add-del 318402413 2414 2374 318394491 5" xfId="7899" xr:uid="{00000000-0005-0000-0000-0000CA1F0000}"/>
    <cellStyle name="_S.S 318 083089,228946,306660,384401,199443-44-86 y 88,199765_Ec-2376 to 2379 Add-del 318402413 2414 2374 318394491_SUBARTICO ADD-DEL" xfId="7900" xr:uid="{00000000-0005-0000-0000-0000CB1F0000}"/>
    <cellStyle name="_S.S 318 083089,228946,306660,384401,199443-44-86 y 88,199765_Ec-2376 to 2379 Add-del 318402413 2414 2374 318394491_SUBARTICO ADD-DEL 2" xfId="7901" xr:uid="{00000000-0005-0000-0000-0000CC1F0000}"/>
    <cellStyle name="_S.S 318 083089,228946,306660,384401,199443-44-86 y 88,199765_ESTIMATED ARES-10 PACKAGE 25NOV" xfId="7902" xr:uid="{00000000-0005-0000-0000-0000CD1F0000}"/>
    <cellStyle name="_S.S 318 083089,228946,306660,384401,199443-44-86 y 88,199765_ESTIMATED ARES-10 PACKAGE 25NOV 2" xfId="7903" xr:uid="{00000000-0005-0000-0000-0000CE1F0000}"/>
    <cellStyle name="_S.S 318 083089,228946,306660,384401,199443-44-86 y 88,199765_ESTIMATED ARES-10 PACKAGE 25NOV 3" xfId="24868" xr:uid="{00000000-0005-0000-0000-0000CF1F0000}"/>
    <cellStyle name="_S.S 318 083089,228946,306660,384401,199443-44-86 y 88,199765_ESTIMATED ARES-10 PACKAGE 25NOV_SUBARTICO ADD-DEL" xfId="7904" xr:uid="{00000000-0005-0000-0000-0000D01F0000}"/>
    <cellStyle name="_S.S 318 083089,228946,306660,384401,199443-44-86 y 88,199765_ESTIMATED ARES-10 PACKAGE 25NOV_SUBARTICO ADD-DEL 2" xfId="7905" xr:uid="{00000000-0005-0000-0000-0000D11F0000}"/>
    <cellStyle name="_S.S 318 083089,228946,306660,384401,199443-44-86 y 88,199765_SUBARTICO ADD-DEL" xfId="7906" xr:uid="{00000000-0005-0000-0000-0000D21F0000}"/>
    <cellStyle name="_S.S 318 083089,228946,306660,384401,199443-44-86 y 88,199765_SUBARTICO ADD-DEL 2" xfId="7907" xr:uid="{00000000-0005-0000-0000-0000D31F0000}"/>
    <cellStyle name="_S.S 318 083089,228946,306660,384401,199443-44-86 y 88,199765_W10251766 D" xfId="7908" xr:uid="{00000000-0005-0000-0000-0000D41F0000}"/>
    <cellStyle name="_S.S 318 083089,228946,306660,384401,199443-44-86 y 88,199765_W10279106 y W10279107 de MR a 56i" xfId="7909" xr:uid="{00000000-0005-0000-0000-0000D51F0000}"/>
    <cellStyle name="_S.S 318 083089,228946,306660,384401,199443-44-86 y 88,199765_W10315922 A" xfId="7910" xr:uid="{00000000-0005-0000-0000-0000D61F0000}"/>
    <cellStyle name="_S.S 318 083089,228946,306660,384401,199443-44-86 y 88,199765_WC cleveland con spreadshet" xfId="7911" xr:uid="{00000000-0005-0000-0000-0000D71F0000}"/>
    <cellStyle name="_S.S 318 083089,228946,306660,384401,199443-44-86 y 88,199765_WC cleveland con spreadshet 2" xfId="7912" xr:uid="{00000000-0005-0000-0000-0000D81F0000}"/>
    <cellStyle name="_S.S 318 083089,228946,306660,384401,199443-44-86 y 88,199765_WC cleveland con spreadshet 3" xfId="24869" xr:uid="{00000000-0005-0000-0000-0000D91F0000}"/>
    <cellStyle name="_S.S 318 083089,228946,306660,384401,199443-44-86 y 88,199765_WC cleveland con spreadshet_SUBARTICO ADD-DEL" xfId="7913" xr:uid="{00000000-0005-0000-0000-0000DA1F0000}"/>
    <cellStyle name="_S.S 318 083089,228946,306660,384401,199443-44-86 y 88,199765_WC cleveland con spreadshet_SUBARTICO ADD-DEL 2" xfId="7914" xr:uid="{00000000-0005-0000-0000-0000DB1F0000}"/>
    <cellStyle name="_S.S.W10116124" xfId="7915" xr:uid="{00000000-0005-0000-0000-0000DC1F0000}"/>
    <cellStyle name="_S.S.W10116124 10" xfId="7916" xr:uid="{00000000-0005-0000-0000-0000DD1F0000}"/>
    <cellStyle name="_S.S.W10116124 10 2" xfId="7917" xr:uid="{00000000-0005-0000-0000-0000DE1F0000}"/>
    <cellStyle name="_S.S.W10116124 10 3" xfId="7918" xr:uid="{00000000-0005-0000-0000-0000DF1F0000}"/>
    <cellStyle name="_S.S.W10116124 10 4" xfId="7919" xr:uid="{00000000-0005-0000-0000-0000E01F0000}"/>
    <cellStyle name="_S.S.W10116124 2" xfId="7920" xr:uid="{00000000-0005-0000-0000-0000E11F0000}"/>
    <cellStyle name="_S.S.W10116124 2 2" xfId="7921" xr:uid="{00000000-0005-0000-0000-0000E21F0000}"/>
    <cellStyle name="_S.S.W10116124 2 3" xfId="7922" xr:uid="{00000000-0005-0000-0000-0000E31F0000}"/>
    <cellStyle name="_S.S.W10116124 2 4" xfId="7923" xr:uid="{00000000-0005-0000-0000-0000E41F0000}"/>
    <cellStyle name="_S.S.W10116124 2 5" xfId="7924" xr:uid="{00000000-0005-0000-0000-0000E51F0000}"/>
    <cellStyle name="_S.S.W10116124 2_SUBARTICO ADD-DEL" xfId="7925" xr:uid="{00000000-0005-0000-0000-0000E61F0000}"/>
    <cellStyle name="_S.S.W10116124 2_SUBARTICO ADD-DEL 2" xfId="7926" xr:uid="{00000000-0005-0000-0000-0000E71F0000}"/>
    <cellStyle name="_S.S.W10116124 3" xfId="7927" xr:uid="{00000000-0005-0000-0000-0000E81F0000}"/>
    <cellStyle name="_S.S.W10116124 3 2" xfId="7928" xr:uid="{00000000-0005-0000-0000-0000E91F0000}"/>
    <cellStyle name="_S.S.W10116124 3 3" xfId="7929" xr:uid="{00000000-0005-0000-0000-0000EA1F0000}"/>
    <cellStyle name="_S.S.W10116124 3 4" xfId="7930" xr:uid="{00000000-0005-0000-0000-0000EB1F0000}"/>
    <cellStyle name="_S.S.W10116124 3 5" xfId="7931" xr:uid="{00000000-0005-0000-0000-0000EC1F0000}"/>
    <cellStyle name="_S.S.W10116124 3_SUBARTICO ADD-DEL" xfId="7932" xr:uid="{00000000-0005-0000-0000-0000ED1F0000}"/>
    <cellStyle name="_S.S.W10116124 3_SUBARTICO ADD-DEL 2" xfId="7933" xr:uid="{00000000-0005-0000-0000-0000EE1F0000}"/>
    <cellStyle name="_S.S.W10116124 4" xfId="7934" xr:uid="{00000000-0005-0000-0000-0000EF1F0000}"/>
    <cellStyle name="_S.S.W10116124 4 2" xfId="7935" xr:uid="{00000000-0005-0000-0000-0000F01F0000}"/>
    <cellStyle name="_S.S.W10116124 4 3" xfId="7936" xr:uid="{00000000-0005-0000-0000-0000F11F0000}"/>
    <cellStyle name="_S.S.W10116124 4 4" xfId="7937" xr:uid="{00000000-0005-0000-0000-0000F21F0000}"/>
    <cellStyle name="_S.S.W10116124 4 5" xfId="7938" xr:uid="{00000000-0005-0000-0000-0000F31F0000}"/>
    <cellStyle name="_S.S.W10116124 4_SUBARTICO ADD-DEL" xfId="7939" xr:uid="{00000000-0005-0000-0000-0000F41F0000}"/>
    <cellStyle name="_S.S.W10116124 4_SUBARTICO ADD-DEL 2" xfId="7940" xr:uid="{00000000-0005-0000-0000-0000F51F0000}"/>
    <cellStyle name="_S.S.W10116124 5" xfId="7941" xr:uid="{00000000-0005-0000-0000-0000F61F0000}"/>
    <cellStyle name="_S.S.W10116124 5 2" xfId="7942" xr:uid="{00000000-0005-0000-0000-0000F71F0000}"/>
    <cellStyle name="_S.S.W10116124 5 3" xfId="7943" xr:uid="{00000000-0005-0000-0000-0000F81F0000}"/>
    <cellStyle name="_S.S.W10116124 5 4" xfId="7944" xr:uid="{00000000-0005-0000-0000-0000F91F0000}"/>
    <cellStyle name="_S.S.W10116124 5 5" xfId="7945" xr:uid="{00000000-0005-0000-0000-0000FA1F0000}"/>
    <cellStyle name="_S.S.W10116124 5_SUBARTICO ADD-DEL" xfId="7946" xr:uid="{00000000-0005-0000-0000-0000FB1F0000}"/>
    <cellStyle name="_S.S.W10116124 5_SUBARTICO ADD-DEL 2" xfId="7947" xr:uid="{00000000-0005-0000-0000-0000FC1F0000}"/>
    <cellStyle name="_S.S.W10116124 6" xfId="7948" xr:uid="{00000000-0005-0000-0000-0000FD1F0000}"/>
    <cellStyle name="_S.S.W10116124 6 2" xfId="7949" xr:uid="{00000000-0005-0000-0000-0000FE1F0000}"/>
    <cellStyle name="_S.S.W10116124 6 3" xfId="7950" xr:uid="{00000000-0005-0000-0000-0000FF1F0000}"/>
    <cellStyle name="_S.S.W10116124 6 4" xfId="7951" xr:uid="{00000000-0005-0000-0000-000000200000}"/>
    <cellStyle name="_S.S.W10116124 6 5" xfId="7952" xr:uid="{00000000-0005-0000-0000-000001200000}"/>
    <cellStyle name="_S.S.W10116124 6_SUBARTICO ADD-DEL" xfId="7953" xr:uid="{00000000-0005-0000-0000-000002200000}"/>
    <cellStyle name="_S.S.W10116124 6_SUBARTICO ADD-DEL 2" xfId="7954" xr:uid="{00000000-0005-0000-0000-000003200000}"/>
    <cellStyle name="_S.S.W10116124 7" xfId="7955" xr:uid="{00000000-0005-0000-0000-000004200000}"/>
    <cellStyle name="_S.S.W10116124 7 2" xfId="7956" xr:uid="{00000000-0005-0000-0000-000005200000}"/>
    <cellStyle name="_S.S.W10116124 7 3" xfId="7957" xr:uid="{00000000-0005-0000-0000-000006200000}"/>
    <cellStyle name="_S.S.W10116124 7 4" xfId="7958" xr:uid="{00000000-0005-0000-0000-000007200000}"/>
    <cellStyle name="_S.S.W10116124 7 5" xfId="7959" xr:uid="{00000000-0005-0000-0000-000008200000}"/>
    <cellStyle name="_S.S.W10116124 7_SUBARTICO ADD-DEL" xfId="7960" xr:uid="{00000000-0005-0000-0000-000009200000}"/>
    <cellStyle name="_S.S.W10116124 7_SUBARTICO ADD-DEL 2" xfId="7961" xr:uid="{00000000-0005-0000-0000-00000A200000}"/>
    <cellStyle name="_S.S.W10116124 8" xfId="7962" xr:uid="{00000000-0005-0000-0000-00000B200000}"/>
    <cellStyle name="_S.S.W10116124 8 2" xfId="7963" xr:uid="{00000000-0005-0000-0000-00000C200000}"/>
    <cellStyle name="_S.S.W10116124 8 3" xfId="7964" xr:uid="{00000000-0005-0000-0000-00000D200000}"/>
    <cellStyle name="_S.S.W10116124 8 4" xfId="7965" xr:uid="{00000000-0005-0000-0000-00000E200000}"/>
    <cellStyle name="_S.S.W10116124 8 5" xfId="7966" xr:uid="{00000000-0005-0000-0000-00000F200000}"/>
    <cellStyle name="_S.S.W10116124 8_SUBARTICO ADD-DEL" xfId="7967" xr:uid="{00000000-0005-0000-0000-000010200000}"/>
    <cellStyle name="_S.S.W10116124 8_SUBARTICO ADD-DEL 2" xfId="7968" xr:uid="{00000000-0005-0000-0000-000011200000}"/>
    <cellStyle name="_S.S.W10116124 9" xfId="7969" xr:uid="{00000000-0005-0000-0000-000012200000}"/>
    <cellStyle name="_S.S.W10116124 9 2" xfId="7970" xr:uid="{00000000-0005-0000-0000-000013200000}"/>
    <cellStyle name="_S.S.W10116124 9 3" xfId="7971" xr:uid="{00000000-0005-0000-0000-000014200000}"/>
    <cellStyle name="_S.S.W10116124 9 4" xfId="7972" xr:uid="{00000000-0005-0000-0000-000015200000}"/>
    <cellStyle name="_S.S.W10116124 9 5" xfId="7973" xr:uid="{00000000-0005-0000-0000-000016200000}"/>
    <cellStyle name="_S.S.W10116124 9_SUBARTICO ADD-DEL" xfId="7974" xr:uid="{00000000-0005-0000-0000-000017200000}"/>
    <cellStyle name="_S.S.W10116124 9_SUBARTICO ADD-DEL 2" xfId="7975" xr:uid="{00000000-0005-0000-0000-000018200000}"/>
    <cellStyle name="_S.S.W10116124_862-CH" xfId="7976" xr:uid="{00000000-0005-0000-0000-000019200000}"/>
    <cellStyle name="_S.S.W10116124_BSHNC162 (RFQ EE5409)1" xfId="7977" xr:uid="{00000000-0005-0000-0000-00001A200000}"/>
    <cellStyle name="_S.S.W10116124_BSHNC162 (RFQ EE5409)1 2" xfId="7978" xr:uid="{00000000-0005-0000-0000-00001B200000}"/>
    <cellStyle name="_S.S.W10116124_Ec-2376 to 2379 Add-del 318402413 2414 2374 318394491" xfId="7979" xr:uid="{00000000-0005-0000-0000-00001C200000}"/>
    <cellStyle name="_S.S.W10116124_Ec-2376 to 2379 Add-del 318402413 2414 2374 318394491 2" xfId="7980" xr:uid="{00000000-0005-0000-0000-00001D200000}"/>
    <cellStyle name="_S.S.W10116124_Ec-2376 to 2379 Add-del 318402413 2414 2374 318394491 3" xfId="7981" xr:uid="{00000000-0005-0000-0000-00001E200000}"/>
    <cellStyle name="_S.S.W10116124_Ec-2376 to 2379 Add-del 318402413 2414 2374 318394491 4" xfId="7982" xr:uid="{00000000-0005-0000-0000-00001F200000}"/>
    <cellStyle name="_S.S.W10116124_Ec-2376 to 2379 Add-del 318402413 2414 2374 318394491 5" xfId="7983" xr:uid="{00000000-0005-0000-0000-000020200000}"/>
    <cellStyle name="_S.S.W10116124_Ec-2376 to 2379 Add-del 318402413 2414 2374 318394491_SUBARTICO ADD-DEL" xfId="7984" xr:uid="{00000000-0005-0000-0000-000021200000}"/>
    <cellStyle name="_S.S.W10116124_Ec-2376 to 2379 Add-del 318402413 2414 2374 318394491_SUBARTICO ADD-DEL 2" xfId="7985" xr:uid="{00000000-0005-0000-0000-000022200000}"/>
    <cellStyle name="_S.S.W10116124_ESTIMATED ARES-10 PACKAGE 25NOV" xfId="7986" xr:uid="{00000000-0005-0000-0000-000023200000}"/>
    <cellStyle name="_S.S.W10116124_ESTIMATED ARES-10 PACKAGE 25NOV 2" xfId="7987" xr:uid="{00000000-0005-0000-0000-000024200000}"/>
    <cellStyle name="_S.S.W10116124_ESTIMATED ARES-10 PACKAGE 25NOV 3" xfId="24870" xr:uid="{00000000-0005-0000-0000-000025200000}"/>
    <cellStyle name="_S.S.W10116124_ESTIMATED ARES-10 PACKAGE 25NOV_SUBARTICO ADD-DEL" xfId="7988" xr:uid="{00000000-0005-0000-0000-000026200000}"/>
    <cellStyle name="_S.S.W10116124_ESTIMATED ARES-10 PACKAGE 25NOV_SUBARTICO ADD-DEL 2" xfId="7989" xr:uid="{00000000-0005-0000-0000-000027200000}"/>
    <cellStyle name="_S.S.W10116124_SUBARTICO ADD-DEL" xfId="7990" xr:uid="{00000000-0005-0000-0000-000028200000}"/>
    <cellStyle name="_S.S.W10116124_SUBARTICO ADD-DEL 2" xfId="7991" xr:uid="{00000000-0005-0000-0000-000029200000}"/>
    <cellStyle name="_S.S.W10116124_W10251766 D" xfId="7992" xr:uid="{00000000-0005-0000-0000-00002A200000}"/>
    <cellStyle name="_S.S.W10116124_W10279106 y W10279107 de MR a 56i" xfId="7993" xr:uid="{00000000-0005-0000-0000-00002B200000}"/>
    <cellStyle name="_S.S.W10116124_W10315922 A" xfId="7994" xr:uid="{00000000-0005-0000-0000-00002C200000}"/>
    <cellStyle name="_S.S.W10116124_WC cleveland con spreadshet" xfId="7995" xr:uid="{00000000-0005-0000-0000-00002D200000}"/>
    <cellStyle name="_S.S.W10116124_WC cleveland con spreadshet 2" xfId="7996" xr:uid="{00000000-0005-0000-0000-00002E200000}"/>
    <cellStyle name="_S.S.W10116124_WC cleveland con spreadshet 3" xfId="24871" xr:uid="{00000000-0005-0000-0000-00002F200000}"/>
    <cellStyle name="_S.S.W10116124_WC cleveland con spreadshet_SUBARTICO ADD-DEL" xfId="7997" xr:uid="{00000000-0005-0000-0000-000030200000}"/>
    <cellStyle name="_S.S.W10116124_WC cleveland con spreadshet_SUBARTICO ADD-DEL 2" xfId="7998" xr:uid="{00000000-0005-0000-0000-000031200000}"/>
    <cellStyle name="_S.S.W10134166, 167 (preliminary)" xfId="7999" xr:uid="{00000000-0005-0000-0000-000032200000}"/>
    <cellStyle name="_S.S.W10134166, 167 (preliminary) 2" xfId="8000" xr:uid="{00000000-0005-0000-0000-000033200000}"/>
    <cellStyle name="_S.S.W10134166, 167 (preliminary) 3" xfId="8001" xr:uid="{00000000-0005-0000-0000-000034200000}"/>
    <cellStyle name="_S.S.W10134166, 167 (preliminary) 4" xfId="8002" xr:uid="{00000000-0005-0000-0000-000035200000}"/>
    <cellStyle name="_S.S.W10134166, 167 (preliminary) 5" xfId="8003" xr:uid="{00000000-0005-0000-0000-000036200000}"/>
    <cellStyle name="_Sales 2008 DL calc eff 110107 rev" xfId="8004" xr:uid="{00000000-0005-0000-0000-000037200000}"/>
    <cellStyle name="_Sales 2008 DL calc eff 110107 rev 2" xfId="8005" xr:uid="{00000000-0005-0000-0000-000038200000}"/>
    <cellStyle name="_Sales 2008 DL calc eff 110107 rev 3" xfId="8006" xr:uid="{00000000-0005-0000-0000-000039200000}"/>
    <cellStyle name="_Sales 2008 DL calc eff 110107 rev 4" xfId="8007" xr:uid="{00000000-0005-0000-0000-00003A200000}"/>
    <cellStyle name="_Sales 2008 DL calc eff 110107 rev 5" xfId="8008" xr:uid="{00000000-0005-0000-0000-00003B200000}"/>
    <cellStyle name="_Sales Forecast Chihuahua 2 Oct-Nov 08 al 10 13 (5)" xfId="8009" xr:uid="{00000000-0005-0000-0000-00003C200000}"/>
    <cellStyle name="_Sales Forecast Chihuahua 2 Oct-Nov 08 al 10 13 (5) 2" xfId="8010" xr:uid="{00000000-0005-0000-0000-00003D200000}"/>
    <cellStyle name="_Sales Forecast Chihuahua 2 Oct-Nov 08 al 10 13 (5) 3" xfId="8011" xr:uid="{00000000-0005-0000-0000-00003E200000}"/>
    <cellStyle name="_Sales Forecast Chihuahua 2 Oct-Nov 08 al 10 13 (5) 4" xfId="8012" xr:uid="{00000000-0005-0000-0000-00003F200000}"/>
    <cellStyle name="_Sales Forecast Chihuahua 2 Oct-Nov 08 al 10 13 (5) 5" xfId="8013" xr:uid="{00000000-0005-0000-0000-000040200000}"/>
    <cellStyle name="_Sheet1" xfId="8014" xr:uid="{00000000-0005-0000-0000-000041200000}"/>
    <cellStyle name="_SPREAD SHEET 318199746, 318231750 (Preliminar)" xfId="8015" xr:uid="{00000000-0005-0000-0000-000042200000}"/>
    <cellStyle name="_SPREAD SHEET 318199746, 318231750 (Preliminar) 10" xfId="8016" xr:uid="{00000000-0005-0000-0000-000043200000}"/>
    <cellStyle name="_SPREAD SHEET 318199746, 318231750 (Preliminar) 10 2" xfId="8017" xr:uid="{00000000-0005-0000-0000-000044200000}"/>
    <cellStyle name="_SPREAD SHEET 318199746, 318231750 (Preliminar) 10 3" xfId="8018" xr:uid="{00000000-0005-0000-0000-000045200000}"/>
    <cellStyle name="_SPREAD SHEET 318199746, 318231750 (Preliminar) 10 4" xfId="8019" xr:uid="{00000000-0005-0000-0000-000046200000}"/>
    <cellStyle name="_SPREAD SHEET 318199746, 318231750 (Preliminar) 2" xfId="8020" xr:uid="{00000000-0005-0000-0000-000047200000}"/>
    <cellStyle name="_SPREAD SHEET 318199746, 318231750 (Preliminar) 2 2" xfId="8021" xr:uid="{00000000-0005-0000-0000-000048200000}"/>
    <cellStyle name="_SPREAD SHEET 318199746, 318231750 (Preliminar) 2 3" xfId="8022" xr:uid="{00000000-0005-0000-0000-000049200000}"/>
    <cellStyle name="_SPREAD SHEET 318199746, 318231750 (Preliminar) 2 4" xfId="8023" xr:uid="{00000000-0005-0000-0000-00004A200000}"/>
    <cellStyle name="_SPREAD SHEET 318199746, 318231750 (Preliminar) 2 5" xfId="8024" xr:uid="{00000000-0005-0000-0000-00004B200000}"/>
    <cellStyle name="_SPREAD SHEET 318199746, 318231750 (Preliminar) 2_SUBARTICO ADD-DEL" xfId="8025" xr:uid="{00000000-0005-0000-0000-00004C200000}"/>
    <cellStyle name="_SPREAD SHEET 318199746, 318231750 (Preliminar) 2_SUBARTICO ADD-DEL 2" xfId="8026" xr:uid="{00000000-0005-0000-0000-00004D200000}"/>
    <cellStyle name="_SPREAD SHEET 318199746, 318231750 (Preliminar) 3" xfId="8027" xr:uid="{00000000-0005-0000-0000-00004E200000}"/>
    <cellStyle name="_SPREAD SHEET 318199746, 318231750 (Preliminar) 3 2" xfId="8028" xr:uid="{00000000-0005-0000-0000-00004F200000}"/>
    <cellStyle name="_SPREAD SHEET 318199746, 318231750 (Preliminar) 3 3" xfId="8029" xr:uid="{00000000-0005-0000-0000-000050200000}"/>
    <cellStyle name="_SPREAD SHEET 318199746, 318231750 (Preliminar) 3 4" xfId="8030" xr:uid="{00000000-0005-0000-0000-000051200000}"/>
    <cellStyle name="_SPREAD SHEET 318199746, 318231750 (Preliminar) 3 5" xfId="8031" xr:uid="{00000000-0005-0000-0000-000052200000}"/>
    <cellStyle name="_SPREAD SHEET 318199746, 318231750 (Preliminar) 3_SUBARTICO ADD-DEL" xfId="8032" xr:uid="{00000000-0005-0000-0000-000053200000}"/>
    <cellStyle name="_SPREAD SHEET 318199746, 318231750 (Preliminar) 3_SUBARTICO ADD-DEL 2" xfId="8033" xr:uid="{00000000-0005-0000-0000-000054200000}"/>
    <cellStyle name="_SPREAD SHEET 318199746, 318231750 (Preliminar) 4" xfId="8034" xr:uid="{00000000-0005-0000-0000-000055200000}"/>
    <cellStyle name="_SPREAD SHEET 318199746, 318231750 (Preliminar) 4 2" xfId="8035" xr:uid="{00000000-0005-0000-0000-000056200000}"/>
    <cellStyle name="_SPREAD SHEET 318199746, 318231750 (Preliminar) 4 3" xfId="8036" xr:uid="{00000000-0005-0000-0000-000057200000}"/>
    <cellStyle name="_SPREAD SHEET 318199746, 318231750 (Preliminar) 4 4" xfId="8037" xr:uid="{00000000-0005-0000-0000-000058200000}"/>
    <cellStyle name="_SPREAD SHEET 318199746, 318231750 (Preliminar) 4 5" xfId="8038" xr:uid="{00000000-0005-0000-0000-000059200000}"/>
    <cellStyle name="_SPREAD SHEET 318199746, 318231750 (Preliminar) 4_SUBARTICO ADD-DEL" xfId="8039" xr:uid="{00000000-0005-0000-0000-00005A200000}"/>
    <cellStyle name="_SPREAD SHEET 318199746, 318231750 (Preliminar) 4_SUBARTICO ADD-DEL 2" xfId="8040" xr:uid="{00000000-0005-0000-0000-00005B200000}"/>
    <cellStyle name="_SPREAD SHEET 318199746, 318231750 (Preliminar) 5" xfId="8041" xr:uid="{00000000-0005-0000-0000-00005C200000}"/>
    <cellStyle name="_SPREAD SHEET 318199746, 318231750 (Preliminar) 5 2" xfId="8042" xr:uid="{00000000-0005-0000-0000-00005D200000}"/>
    <cellStyle name="_SPREAD SHEET 318199746, 318231750 (Preliminar) 5 3" xfId="8043" xr:uid="{00000000-0005-0000-0000-00005E200000}"/>
    <cellStyle name="_SPREAD SHEET 318199746, 318231750 (Preliminar) 5 4" xfId="8044" xr:uid="{00000000-0005-0000-0000-00005F200000}"/>
    <cellStyle name="_SPREAD SHEET 318199746, 318231750 (Preliminar) 5 5" xfId="8045" xr:uid="{00000000-0005-0000-0000-000060200000}"/>
    <cellStyle name="_SPREAD SHEET 318199746, 318231750 (Preliminar) 5_SUBARTICO ADD-DEL" xfId="8046" xr:uid="{00000000-0005-0000-0000-000061200000}"/>
    <cellStyle name="_SPREAD SHEET 318199746, 318231750 (Preliminar) 5_SUBARTICO ADD-DEL 2" xfId="8047" xr:uid="{00000000-0005-0000-0000-000062200000}"/>
    <cellStyle name="_SPREAD SHEET 318199746, 318231750 (Preliminar) 6" xfId="8048" xr:uid="{00000000-0005-0000-0000-000063200000}"/>
    <cellStyle name="_SPREAD SHEET 318199746, 318231750 (Preliminar) 6 2" xfId="8049" xr:uid="{00000000-0005-0000-0000-000064200000}"/>
    <cellStyle name="_SPREAD SHEET 318199746, 318231750 (Preliminar) 6 3" xfId="8050" xr:uid="{00000000-0005-0000-0000-000065200000}"/>
    <cellStyle name="_SPREAD SHEET 318199746, 318231750 (Preliminar) 6 4" xfId="8051" xr:uid="{00000000-0005-0000-0000-000066200000}"/>
    <cellStyle name="_SPREAD SHEET 318199746, 318231750 (Preliminar) 6 5" xfId="8052" xr:uid="{00000000-0005-0000-0000-000067200000}"/>
    <cellStyle name="_SPREAD SHEET 318199746, 318231750 (Preliminar) 6_SUBARTICO ADD-DEL" xfId="8053" xr:uid="{00000000-0005-0000-0000-000068200000}"/>
    <cellStyle name="_SPREAD SHEET 318199746, 318231750 (Preliminar) 6_SUBARTICO ADD-DEL 2" xfId="8054" xr:uid="{00000000-0005-0000-0000-000069200000}"/>
    <cellStyle name="_SPREAD SHEET 318199746, 318231750 (Preliminar) 7" xfId="8055" xr:uid="{00000000-0005-0000-0000-00006A200000}"/>
    <cellStyle name="_SPREAD SHEET 318199746, 318231750 (Preliminar) 7 2" xfId="8056" xr:uid="{00000000-0005-0000-0000-00006B200000}"/>
    <cellStyle name="_SPREAD SHEET 318199746, 318231750 (Preliminar) 7 3" xfId="8057" xr:uid="{00000000-0005-0000-0000-00006C200000}"/>
    <cellStyle name="_SPREAD SHEET 318199746, 318231750 (Preliminar) 7 4" xfId="8058" xr:uid="{00000000-0005-0000-0000-00006D200000}"/>
    <cellStyle name="_SPREAD SHEET 318199746, 318231750 (Preliminar) 7 5" xfId="8059" xr:uid="{00000000-0005-0000-0000-00006E200000}"/>
    <cellStyle name="_SPREAD SHEET 318199746, 318231750 (Preliminar) 7_SUBARTICO ADD-DEL" xfId="8060" xr:uid="{00000000-0005-0000-0000-00006F200000}"/>
    <cellStyle name="_SPREAD SHEET 318199746, 318231750 (Preliminar) 7_SUBARTICO ADD-DEL 2" xfId="8061" xr:uid="{00000000-0005-0000-0000-000070200000}"/>
    <cellStyle name="_SPREAD SHEET 318199746, 318231750 (Preliminar) 8" xfId="8062" xr:uid="{00000000-0005-0000-0000-000071200000}"/>
    <cellStyle name="_SPREAD SHEET 318199746, 318231750 (Preliminar) 8 2" xfId="8063" xr:uid="{00000000-0005-0000-0000-000072200000}"/>
    <cellStyle name="_SPREAD SHEET 318199746, 318231750 (Preliminar) 8 3" xfId="8064" xr:uid="{00000000-0005-0000-0000-000073200000}"/>
    <cellStyle name="_SPREAD SHEET 318199746, 318231750 (Preliminar) 8 4" xfId="8065" xr:uid="{00000000-0005-0000-0000-000074200000}"/>
    <cellStyle name="_SPREAD SHEET 318199746, 318231750 (Preliminar) 8 5" xfId="8066" xr:uid="{00000000-0005-0000-0000-000075200000}"/>
    <cellStyle name="_SPREAD SHEET 318199746, 318231750 (Preliminar) 8_SUBARTICO ADD-DEL" xfId="8067" xr:uid="{00000000-0005-0000-0000-000076200000}"/>
    <cellStyle name="_SPREAD SHEET 318199746, 318231750 (Preliminar) 8_SUBARTICO ADD-DEL 2" xfId="8068" xr:uid="{00000000-0005-0000-0000-000077200000}"/>
    <cellStyle name="_SPREAD SHEET 318199746, 318231750 (Preliminar) 9" xfId="8069" xr:uid="{00000000-0005-0000-0000-000078200000}"/>
    <cellStyle name="_SPREAD SHEET 318199746, 318231750 (Preliminar) 9 2" xfId="8070" xr:uid="{00000000-0005-0000-0000-000079200000}"/>
    <cellStyle name="_SPREAD SHEET 318199746, 318231750 (Preliminar) 9 3" xfId="8071" xr:uid="{00000000-0005-0000-0000-00007A200000}"/>
    <cellStyle name="_SPREAD SHEET 318199746, 318231750 (Preliminar) 9 4" xfId="8072" xr:uid="{00000000-0005-0000-0000-00007B200000}"/>
    <cellStyle name="_SPREAD SHEET 318199746, 318231750 (Preliminar) 9 5" xfId="8073" xr:uid="{00000000-0005-0000-0000-00007C200000}"/>
    <cellStyle name="_SPREAD SHEET 318199746, 318231750 (Preliminar) 9_SUBARTICO ADD-DEL" xfId="8074" xr:uid="{00000000-0005-0000-0000-00007D200000}"/>
    <cellStyle name="_SPREAD SHEET 318199746, 318231750 (Preliminar) 9_SUBARTICO ADD-DEL 2" xfId="8075" xr:uid="{00000000-0005-0000-0000-00007E200000}"/>
    <cellStyle name="_SPREAD SHEET 318199746, 318231750 (Preliminar)_862-CH" xfId="8076" xr:uid="{00000000-0005-0000-0000-00007F200000}"/>
    <cellStyle name="_SPREAD SHEET 318199746, 318231750 (Preliminar)_BSHNC151 (RFQ EE4509)" xfId="8077" xr:uid="{00000000-0005-0000-0000-000080200000}"/>
    <cellStyle name="_SPREAD SHEET 318199746, 318231750 (Preliminar)_BSHNC151 (RFQ EE4509) 2" xfId="8078" xr:uid="{00000000-0005-0000-0000-000081200000}"/>
    <cellStyle name="_SPREAD SHEET 318199746, 318231750 (Preliminar)_BSHNC162 (RFQ EE5409)1" xfId="8079" xr:uid="{00000000-0005-0000-0000-000082200000}"/>
    <cellStyle name="_SPREAD SHEET 318199746, 318231750 (Preliminar)_BSHNC162 (RFQ EE5409)1 2" xfId="8080" xr:uid="{00000000-0005-0000-0000-000083200000}"/>
    <cellStyle name="_SPREAD SHEET 318199746, 318231750 (Preliminar)_Ec-2376 to 2379 Add-del 318402413 2414 2374 318394491" xfId="8081" xr:uid="{00000000-0005-0000-0000-000084200000}"/>
    <cellStyle name="_SPREAD SHEET 318199746, 318231750 (Preliminar)_Ec-2376 to 2379 Add-del 318402413 2414 2374 318394491 2" xfId="8082" xr:uid="{00000000-0005-0000-0000-000085200000}"/>
    <cellStyle name="_SPREAD SHEET 318199746, 318231750 (Preliminar)_Ec-2376 to 2379 Add-del 318402413 2414 2374 318394491 3" xfId="8083" xr:uid="{00000000-0005-0000-0000-000086200000}"/>
    <cellStyle name="_SPREAD SHEET 318199746, 318231750 (Preliminar)_Ec-2376 to 2379 Add-del 318402413 2414 2374 318394491 4" xfId="8084" xr:uid="{00000000-0005-0000-0000-000087200000}"/>
    <cellStyle name="_SPREAD SHEET 318199746, 318231750 (Preliminar)_Ec-2376 to 2379 Add-del 318402413 2414 2374 318394491 5" xfId="8085" xr:uid="{00000000-0005-0000-0000-000088200000}"/>
    <cellStyle name="_SPREAD SHEET 318199746, 318231750 (Preliminar)_Ec-2376 to 2379 Add-del 318402413 2414 2374 318394491_SUBARTICO ADD-DEL" xfId="8086" xr:uid="{00000000-0005-0000-0000-000089200000}"/>
    <cellStyle name="_SPREAD SHEET 318199746, 318231750 (Preliminar)_Ec-2376 to 2379 Add-del 318402413 2414 2374 318394491_SUBARTICO ADD-DEL 2" xfId="8087" xr:uid="{00000000-0005-0000-0000-00008A200000}"/>
    <cellStyle name="_SPREAD SHEET 318199746, 318231750 (Preliminar)_ESTIMATED ARES-10 PACKAGE 25NOV" xfId="8088" xr:uid="{00000000-0005-0000-0000-00008B200000}"/>
    <cellStyle name="_SPREAD SHEET 318199746, 318231750 (Preliminar)_ESTIMATED ARES-10 PACKAGE 25NOV 2" xfId="8089" xr:uid="{00000000-0005-0000-0000-00008C200000}"/>
    <cellStyle name="_SPREAD SHEET 318199746, 318231750 (Preliminar)_ESTIMATED ARES-10 PACKAGE 25NOV 3" xfId="24872" xr:uid="{00000000-0005-0000-0000-00008D200000}"/>
    <cellStyle name="_SPREAD SHEET 318199746, 318231750 (Preliminar)_ESTIMATED ARES-10 PACKAGE 25NOV_SUBARTICO ADD-DEL" xfId="8090" xr:uid="{00000000-0005-0000-0000-00008E200000}"/>
    <cellStyle name="_SPREAD SHEET 318199746, 318231750 (Preliminar)_ESTIMATED ARES-10 PACKAGE 25NOV_SUBARTICO ADD-DEL 2" xfId="8091" xr:uid="{00000000-0005-0000-0000-00008F200000}"/>
    <cellStyle name="_SPREAD SHEET 318199746, 318231750 (Preliminar)_SUBARTICO ADD-DEL" xfId="8092" xr:uid="{00000000-0005-0000-0000-000090200000}"/>
    <cellStyle name="_SPREAD SHEET 318199746, 318231750 (Preliminar)_SUBARTICO ADD-DEL 2" xfId="8093" xr:uid="{00000000-0005-0000-0000-000091200000}"/>
    <cellStyle name="_SPREAD SHEET 318199746, 318231750 (Preliminar)_W10251766 D" xfId="8094" xr:uid="{00000000-0005-0000-0000-000092200000}"/>
    <cellStyle name="_SPREAD SHEET 318199746, 318231750 (Preliminar)_W10279106 y W10279107 de MR a 56i" xfId="8095" xr:uid="{00000000-0005-0000-0000-000093200000}"/>
    <cellStyle name="_SPREAD SHEET 318199746, 318231750 (Preliminar)_W10315922 A" xfId="8096" xr:uid="{00000000-0005-0000-0000-000094200000}"/>
    <cellStyle name="_SPREAD SHEET 318199746, 318231750 (Preliminar)_WC cleveland con spreadshet" xfId="8097" xr:uid="{00000000-0005-0000-0000-000095200000}"/>
    <cellStyle name="_SPREAD SHEET 318199746, 318231750 (Preliminar)_WC cleveland con spreadshet 2" xfId="8098" xr:uid="{00000000-0005-0000-0000-000096200000}"/>
    <cellStyle name="_SPREAD SHEET 318199746, 318231750 (Preliminar)_WC cleveland con spreadshet 3" xfId="24873" xr:uid="{00000000-0005-0000-0000-000097200000}"/>
    <cellStyle name="_SPREAD SHEET 318199746, 318231750 (Preliminar)_WC cleveland con spreadshet_SUBARTICO ADD-DEL" xfId="8099" xr:uid="{00000000-0005-0000-0000-000098200000}"/>
    <cellStyle name="_SPREAD SHEET 318199746, 318231750 (Preliminar)_WC cleveland con spreadshet_SUBARTICO ADD-DEL 2" xfId="8100" xr:uid="{00000000-0005-0000-0000-000099200000}"/>
    <cellStyle name="_SPREAD SHEET 318228956 318228957 318306637 318306639 318384467" xfId="8101" xr:uid="{00000000-0005-0000-0000-00009A200000}"/>
    <cellStyle name="_SPREAD SHEET 318228956 318228957 318306637 318306639 318384467 2" xfId="8102" xr:uid="{00000000-0005-0000-0000-00009B200000}"/>
    <cellStyle name="_SPREAD SHEET 318228956 318228957 318306637 318306639 318384467 2 2" xfId="8103" xr:uid="{00000000-0005-0000-0000-00009C200000}"/>
    <cellStyle name="_SPREAD SHEET 318228956 318228957 318306637 318306639 318384467 2 3" xfId="8104" xr:uid="{00000000-0005-0000-0000-00009D200000}"/>
    <cellStyle name="_SPREAD SHEET 318228956 318228957 318306637 318306639 318384467 2 4" xfId="8105" xr:uid="{00000000-0005-0000-0000-00009E200000}"/>
    <cellStyle name="_SPREAD SHEET 318228956 318228957 318306637 318306639 318384467 3" xfId="8106" xr:uid="{00000000-0005-0000-0000-00009F200000}"/>
    <cellStyle name="_SPREAD SHEET 318228956 318228957 318306637 318306639 318384467_862-CH" xfId="8107" xr:uid="{00000000-0005-0000-0000-0000A0200000}"/>
    <cellStyle name="_SPREAD SHEET 318228956 318228957 318306637 318306639 318384467_BSHNC162 (RFQ EE5409)1" xfId="8108" xr:uid="{00000000-0005-0000-0000-0000A1200000}"/>
    <cellStyle name="_SPREAD SHEET 318228956 318228957 318306637 318306639 318384467_BSHNC162 (RFQ EE5409)1 2" xfId="8109" xr:uid="{00000000-0005-0000-0000-0000A2200000}"/>
    <cellStyle name="_SPREAD SHEET 318228956 318228957 318306637 318306639 318384467_SUBARTICO ADD-DEL" xfId="8110" xr:uid="{00000000-0005-0000-0000-0000A3200000}"/>
    <cellStyle name="_SPREAD SHEET 318228956 318228957 318306637 318306639 318384467_SUBARTICO ADD-DEL 2" xfId="8111" xr:uid="{00000000-0005-0000-0000-0000A4200000}"/>
    <cellStyle name="_SPREAD SHEET 318228956 318228957 318306637 318306639 318384467_W10251766 D" xfId="8112" xr:uid="{00000000-0005-0000-0000-0000A5200000}"/>
    <cellStyle name="_SPREAD SHEET 318228956 318228957 318306637 318306639 318384467_W10279106 y W10279107 de MR a 56i" xfId="8113" xr:uid="{00000000-0005-0000-0000-0000A6200000}"/>
    <cellStyle name="_SPREAD SHEET 318228956 318228957 318306637 318306639 318384467_W10315922 A" xfId="8114" xr:uid="{00000000-0005-0000-0000-0000A7200000}"/>
    <cellStyle name="_SPREAD SHEET WELLS BLOOMFIELD 1" xfId="8115" xr:uid="{00000000-0005-0000-0000-0000A8200000}"/>
    <cellStyle name="_SPREAD SHEET WELLS BLOOMFIELD 1 2" xfId="8116" xr:uid="{00000000-0005-0000-0000-0000A9200000}"/>
    <cellStyle name="_SPREAD SHEET WELLS BLOOMFIELD 1 2 2" xfId="8117" xr:uid="{00000000-0005-0000-0000-0000AA200000}"/>
    <cellStyle name="_SPREAD SHEET WELLS BLOOMFIELD 1 2 3" xfId="8118" xr:uid="{00000000-0005-0000-0000-0000AB200000}"/>
    <cellStyle name="_SPREAD SHEET WELLS BLOOMFIELD 1 2 4" xfId="8119" xr:uid="{00000000-0005-0000-0000-0000AC200000}"/>
    <cellStyle name="_SPREAD SHEET WELLS BLOOMFIELD 1 3" xfId="8120" xr:uid="{00000000-0005-0000-0000-0000AD200000}"/>
    <cellStyle name="_SPREAD SHEET WELLS BLOOMFIELD 1_862-CH" xfId="8121" xr:uid="{00000000-0005-0000-0000-0000AE200000}"/>
    <cellStyle name="_SPREAD SHEET WELLS BLOOMFIELD 1_BSHNC151 (RFQ EE4509)" xfId="8122" xr:uid="{00000000-0005-0000-0000-0000AF200000}"/>
    <cellStyle name="_SPREAD SHEET WELLS BLOOMFIELD 1_BSHNC151 (RFQ EE4509) 2" xfId="8123" xr:uid="{00000000-0005-0000-0000-0000B0200000}"/>
    <cellStyle name="_SPREAD SHEET WELLS BLOOMFIELD 1_BSHNC162 (RFQ EE5409)1" xfId="8124" xr:uid="{00000000-0005-0000-0000-0000B1200000}"/>
    <cellStyle name="_SPREAD SHEET WELLS BLOOMFIELD 1_BSHNC162 (RFQ EE5409)1 2" xfId="8125" xr:uid="{00000000-0005-0000-0000-0000B2200000}"/>
    <cellStyle name="_SPREAD SHEET WELLS BLOOMFIELD 1_ESTIMATED ARES-10 PACKAGE 25NOV" xfId="8126" xr:uid="{00000000-0005-0000-0000-0000B3200000}"/>
    <cellStyle name="_SPREAD SHEET WELLS BLOOMFIELD 1_ESTIMATED ARES-10 PACKAGE 25NOV 2" xfId="8127" xr:uid="{00000000-0005-0000-0000-0000B4200000}"/>
    <cellStyle name="_SPREAD SHEET WELLS BLOOMFIELD 1_ESTIMATED ARES-10 PACKAGE 25NOV 3" xfId="24874" xr:uid="{00000000-0005-0000-0000-0000B5200000}"/>
    <cellStyle name="_SPREAD SHEET WELLS BLOOMFIELD 1_ESTIMATED ARES-10 PACKAGE 25NOV_SUBARTICO ADD-DEL" xfId="8128" xr:uid="{00000000-0005-0000-0000-0000B6200000}"/>
    <cellStyle name="_SPREAD SHEET WELLS BLOOMFIELD 1_ESTIMATED ARES-10 PACKAGE 25NOV_SUBARTICO ADD-DEL 2" xfId="8129" xr:uid="{00000000-0005-0000-0000-0000B7200000}"/>
    <cellStyle name="_SPREAD SHEET WELLS BLOOMFIELD 1_SUBARTICO ADD-DEL" xfId="8130" xr:uid="{00000000-0005-0000-0000-0000B8200000}"/>
    <cellStyle name="_SPREAD SHEET WELLS BLOOMFIELD 1_SUBARTICO ADD-DEL 2" xfId="8131" xr:uid="{00000000-0005-0000-0000-0000B9200000}"/>
    <cellStyle name="_SPREAD SHEET WELLS BLOOMFIELD 1_W10251766 D" xfId="8132" xr:uid="{00000000-0005-0000-0000-0000BA200000}"/>
    <cellStyle name="_SPREAD SHEET WELLS BLOOMFIELD 1_W10279106 y W10279107 de MR a 56i" xfId="8133" xr:uid="{00000000-0005-0000-0000-0000BB200000}"/>
    <cellStyle name="_SPREAD SHEET WELLS BLOOMFIELD 1_W10315922 A" xfId="8134" xr:uid="{00000000-0005-0000-0000-0000BC200000}"/>
    <cellStyle name="_SPREAD SHEET WELLS BLOOMFIELD 1_WC cleveland con spreadshet" xfId="8135" xr:uid="{00000000-0005-0000-0000-0000BD200000}"/>
    <cellStyle name="_SPREAD SHEET WELLS BLOOMFIELD 1_WC cleveland con spreadshet 2" xfId="8136" xr:uid="{00000000-0005-0000-0000-0000BE200000}"/>
    <cellStyle name="_SPREAD SHEET WELLS BLOOMFIELD 1_WC cleveland con spreadshet 3" xfId="24875" xr:uid="{00000000-0005-0000-0000-0000BF200000}"/>
    <cellStyle name="_SPREAD SHEET WELLS BLOOMFIELD 1_WC cleveland con spreadshet_SUBARTICO ADD-DEL" xfId="8137" xr:uid="{00000000-0005-0000-0000-0000C0200000}"/>
    <cellStyle name="_SPREAD SHEET WELLS BLOOMFIELD 1_WC cleveland con spreadshet_SUBARTICO ADD-DEL 2" xfId="8138" xr:uid="{00000000-0005-0000-0000-0000C1200000}"/>
    <cellStyle name="_Spreadsheet Russia" xfId="8139" xr:uid="{00000000-0005-0000-0000-0000C2200000}"/>
    <cellStyle name="_Spreadsheet Russia 2" xfId="8140" xr:uid="{00000000-0005-0000-0000-0000C3200000}"/>
    <cellStyle name="_Spreadsheet Russia 2 2" xfId="8141" xr:uid="{00000000-0005-0000-0000-0000C4200000}"/>
    <cellStyle name="_Spreadsheet Russia 2 3" xfId="8142" xr:uid="{00000000-0005-0000-0000-0000C5200000}"/>
    <cellStyle name="_Spreadsheet Russia 2 4" xfId="8143" xr:uid="{00000000-0005-0000-0000-0000C6200000}"/>
    <cellStyle name="_Spreadsheet Russia 3" xfId="24876" xr:uid="{00000000-0005-0000-0000-0000C7200000}"/>
    <cellStyle name="_Springfield 12 jun 08 Capex" xfId="8144" xr:uid="{00000000-0005-0000-0000-0000C8200000}"/>
    <cellStyle name="_Springfield 12 jun 08 Capex 10" xfId="8145" xr:uid="{00000000-0005-0000-0000-0000C9200000}"/>
    <cellStyle name="_Springfield 12 jun 08 Capex 10 2" xfId="8146" xr:uid="{00000000-0005-0000-0000-0000CA200000}"/>
    <cellStyle name="_Springfield 12 jun 08 Capex 10 3" xfId="8147" xr:uid="{00000000-0005-0000-0000-0000CB200000}"/>
    <cellStyle name="_Springfield 12 jun 08 Capex 10 4" xfId="8148" xr:uid="{00000000-0005-0000-0000-0000CC200000}"/>
    <cellStyle name="_Springfield 12 jun 08 Capex 2" xfId="8149" xr:uid="{00000000-0005-0000-0000-0000CD200000}"/>
    <cellStyle name="_Springfield 12 jun 08 Capex 2 2" xfId="8150" xr:uid="{00000000-0005-0000-0000-0000CE200000}"/>
    <cellStyle name="_Springfield 12 jun 08 Capex 2 3" xfId="8151" xr:uid="{00000000-0005-0000-0000-0000CF200000}"/>
    <cellStyle name="_Springfield 12 jun 08 Capex 2 4" xfId="8152" xr:uid="{00000000-0005-0000-0000-0000D0200000}"/>
    <cellStyle name="_Springfield 12 jun 08 Capex 2 5" xfId="8153" xr:uid="{00000000-0005-0000-0000-0000D1200000}"/>
    <cellStyle name="_Springfield 12 jun 08 Capex 2_SUBARTICO ADD-DEL" xfId="8154" xr:uid="{00000000-0005-0000-0000-0000D2200000}"/>
    <cellStyle name="_Springfield 12 jun 08 Capex 2_SUBARTICO ADD-DEL 2" xfId="8155" xr:uid="{00000000-0005-0000-0000-0000D3200000}"/>
    <cellStyle name="_Springfield 12 jun 08 Capex 3" xfId="8156" xr:uid="{00000000-0005-0000-0000-0000D4200000}"/>
    <cellStyle name="_Springfield 12 jun 08 Capex 3 2" xfId="8157" xr:uid="{00000000-0005-0000-0000-0000D5200000}"/>
    <cellStyle name="_Springfield 12 jun 08 Capex 3 3" xfId="8158" xr:uid="{00000000-0005-0000-0000-0000D6200000}"/>
    <cellStyle name="_Springfield 12 jun 08 Capex 3 4" xfId="8159" xr:uid="{00000000-0005-0000-0000-0000D7200000}"/>
    <cellStyle name="_Springfield 12 jun 08 Capex 3 5" xfId="8160" xr:uid="{00000000-0005-0000-0000-0000D8200000}"/>
    <cellStyle name="_Springfield 12 jun 08 Capex 3_SUBARTICO ADD-DEL" xfId="8161" xr:uid="{00000000-0005-0000-0000-0000D9200000}"/>
    <cellStyle name="_Springfield 12 jun 08 Capex 3_SUBARTICO ADD-DEL 2" xfId="8162" xr:uid="{00000000-0005-0000-0000-0000DA200000}"/>
    <cellStyle name="_Springfield 12 jun 08 Capex 4" xfId="8163" xr:uid="{00000000-0005-0000-0000-0000DB200000}"/>
    <cellStyle name="_Springfield 12 jun 08 Capex 4 2" xfId="8164" xr:uid="{00000000-0005-0000-0000-0000DC200000}"/>
    <cellStyle name="_Springfield 12 jun 08 Capex 4 3" xfId="8165" xr:uid="{00000000-0005-0000-0000-0000DD200000}"/>
    <cellStyle name="_Springfield 12 jun 08 Capex 4 4" xfId="8166" xr:uid="{00000000-0005-0000-0000-0000DE200000}"/>
    <cellStyle name="_Springfield 12 jun 08 Capex 4 5" xfId="8167" xr:uid="{00000000-0005-0000-0000-0000DF200000}"/>
    <cellStyle name="_Springfield 12 jun 08 Capex 4_SUBARTICO ADD-DEL" xfId="8168" xr:uid="{00000000-0005-0000-0000-0000E0200000}"/>
    <cellStyle name="_Springfield 12 jun 08 Capex 4_SUBARTICO ADD-DEL 2" xfId="8169" xr:uid="{00000000-0005-0000-0000-0000E1200000}"/>
    <cellStyle name="_Springfield 12 jun 08 Capex 5" xfId="8170" xr:uid="{00000000-0005-0000-0000-0000E2200000}"/>
    <cellStyle name="_Springfield 12 jun 08 Capex 5 2" xfId="8171" xr:uid="{00000000-0005-0000-0000-0000E3200000}"/>
    <cellStyle name="_Springfield 12 jun 08 Capex 5 3" xfId="8172" xr:uid="{00000000-0005-0000-0000-0000E4200000}"/>
    <cellStyle name="_Springfield 12 jun 08 Capex 5 4" xfId="8173" xr:uid="{00000000-0005-0000-0000-0000E5200000}"/>
    <cellStyle name="_Springfield 12 jun 08 Capex 5 5" xfId="8174" xr:uid="{00000000-0005-0000-0000-0000E6200000}"/>
    <cellStyle name="_Springfield 12 jun 08 Capex 5_SUBARTICO ADD-DEL" xfId="8175" xr:uid="{00000000-0005-0000-0000-0000E7200000}"/>
    <cellStyle name="_Springfield 12 jun 08 Capex 5_SUBARTICO ADD-DEL 2" xfId="8176" xr:uid="{00000000-0005-0000-0000-0000E8200000}"/>
    <cellStyle name="_Springfield 12 jun 08 Capex 6" xfId="8177" xr:uid="{00000000-0005-0000-0000-0000E9200000}"/>
    <cellStyle name="_Springfield 12 jun 08 Capex 6 2" xfId="8178" xr:uid="{00000000-0005-0000-0000-0000EA200000}"/>
    <cellStyle name="_Springfield 12 jun 08 Capex 6 3" xfId="8179" xr:uid="{00000000-0005-0000-0000-0000EB200000}"/>
    <cellStyle name="_Springfield 12 jun 08 Capex 6 4" xfId="8180" xr:uid="{00000000-0005-0000-0000-0000EC200000}"/>
    <cellStyle name="_Springfield 12 jun 08 Capex 6 5" xfId="8181" xr:uid="{00000000-0005-0000-0000-0000ED200000}"/>
    <cellStyle name="_Springfield 12 jun 08 Capex 6_SUBARTICO ADD-DEL" xfId="8182" xr:uid="{00000000-0005-0000-0000-0000EE200000}"/>
    <cellStyle name="_Springfield 12 jun 08 Capex 6_SUBARTICO ADD-DEL 2" xfId="8183" xr:uid="{00000000-0005-0000-0000-0000EF200000}"/>
    <cellStyle name="_Springfield 12 jun 08 Capex 7" xfId="8184" xr:uid="{00000000-0005-0000-0000-0000F0200000}"/>
    <cellStyle name="_Springfield 12 jun 08 Capex 7 2" xfId="8185" xr:uid="{00000000-0005-0000-0000-0000F1200000}"/>
    <cellStyle name="_Springfield 12 jun 08 Capex 7 3" xfId="8186" xr:uid="{00000000-0005-0000-0000-0000F2200000}"/>
    <cellStyle name="_Springfield 12 jun 08 Capex 7 4" xfId="8187" xr:uid="{00000000-0005-0000-0000-0000F3200000}"/>
    <cellStyle name="_Springfield 12 jun 08 Capex 7 5" xfId="8188" xr:uid="{00000000-0005-0000-0000-0000F4200000}"/>
    <cellStyle name="_Springfield 12 jun 08 Capex 7_SUBARTICO ADD-DEL" xfId="8189" xr:uid="{00000000-0005-0000-0000-0000F5200000}"/>
    <cellStyle name="_Springfield 12 jun 08 Capex 7_SUBARTICO ADD-DEL 2" xfId="8190" xr:uid="{00000000-0005-0000-0000-0000F6200000}"/>
    <cellStyle name="_Springfield 12 jun 08 Capex 8" xfId="8191" xr:uid="{00000000-0005-0000-0000-0000F7200000}"/>
    <cellStyle name="_Springfield 12 jun 08 Capex 8 2" xfId="8192" xr:uid="{00000000-0005-0000-0000-0000F8200000}"/>
    <cellStyle name="_Springfield 12 jun 08 Capex 8 3" xfId="8193" xr:uid="{00000000-0005-0000-0000-0000F9200000}"/>
    <cellStyle name="_Springfield 12 jun 08 Capex 8 4" xfId="8194" xr:uid="{00000000-0005-0000-0000-0000FA200000}"/>
    <cellStyle name="_Springfield 12 jun 08 Capex 8 5" xfId="8195" xr:uid="{00000000-0005-0000-0000-0000FB200000}"/>
    <cellStyle name="_Springfield 12 jun 08 Capex 8_SUBARTICO ADD-DEL" xfId="8196" xr:uid="{00000000-0005-0000-0000-0000FC200000}"/>
    <cellStyle name="_Springfield 12 jun 08 Capex 8_SUBARTICO ADD-DEL 2" xfId="8197" xr:uid="{00000000-0005-0000-0000-0000FD200000}"/>
    <cellStyle name="_Springfield 12 jun 08 Capex 9" xfId="8198" xr:uid="{00000000-0005-0000-0000-0000FE200000}"/>
    <cellStyle name="_Springfield 12 jun 08 Capex 9 2" xfId="8199" xr:uid="{00000000-0005-0000-0000-0000FF200000}"/>
    <cellStyle name="_Springfield 12 jun 08 Capex 9 3" xfId="8200" xr:uid="{00000000-0005-0000-0000-000000210000}"/>
    <cellStyle name="_Springfield 12 jun 08 Capex 9 4" xfId="8201" xr:uid="{00000000-0005-0000-0000-000001210000}"/>
    <cellStyle name="_Springfield 12 jun 08 Capex 9 5" xfId="8202" xr:uid="{00000000-0005-0000-0000-000002210000}"/>
    <cellStyle name="_Springfield 12 jun 08 Capex 9_SUBARTICO ADD-DEL" xfId="8203" xr:uid="{00000000-0005-0000-0000-000003210000}"/>
    <cellStyle name="_Springfield 12 jun 08 Capex 9_SUBARTICO ADD-DEL 2" xfId="8204" xr:uid="{00000000-0005-0000-0000-000004210000}"/>
    <cellStyle name="_Springfield 12 jun 08 Capex_862-CH" xfId="8205" xr:uid="{00000000-0005-0000-0000-000005210000}"/>
    <cellStyle name="_Springfield 12 jun 08 Capex_BSHNC151 (RFQ EE4509)" xfId="8206" xr:uid="{00000000-0005-0000-0000-000006210000}"/>
    <cellStyle name="_Springfield 12 jun 08 Capex_BSHNC151 (RFQ EE4509) 2" xfId="8207" xr:uid="{00000000-0005-0000-0000-000007210000}"/>
    <cellStyle name="_Springfield 12 jun 08 Capex_BSHNC162 (RFQ EE5409)1" xfId="8208" xr:uid="{00000000-0005-0000-0000-000008210000}"/>
    <cellStyle name="_Springfield 12 jun 08 Capex_BSHNC162 (RFQ EE5409)1 2" xfId="8209" xr:uid="{00000000-0005-0000-0000-000009210000}"/>
    <cellStyle name="_Springfield 12 jun 08 Capex_Ec-2376 to 2379 Add-del 318402413 2414 2374 318394491" xfId="8210" xr:uid="{00000000-0005-0000-0000-00000A210000}"/>
    <cellStyle name="_Springfield 12 jun 08 Capex_Ec-2376 to 2379 Add-del 318402413 2414 2374 318394491 2" xfId="8211" xr:uid="{00000000-0005-0000-0000-00000B210000}"/>
    <cellStyle name="_Springfield 12 jun 08 Capex_Ec-2376 to 2379 Add-del 318402413 2414 2374 318394491 3" xfId="8212" xr:uid="{00000000-0005-0000-0000-00000C210000}"/>
    <cellStyle name="_Springfield 12 jun 08 Capex_Ec-2376 to 2379 Add-del 318402413 2414 2374 318394491 4" xfId="8213" xr:uid="{00000000-0005-0000-0000-00000D210000}"/>
    <cellStyle name="_Springfield 12 jun 08 Capex_Ec-2376 to 2379 Add-del 318402413 2414 2374 318394491 5" xfId="8214" xr:uid="{00000000-0005-0000-0000-00000E210000}"/>
    <cellStyle name="_Springfield 12 jun 08 Capex_Ec-2376 to 2379 Add-del 318402413 2414 2374 318394491_SUBARTICO ADD-DEL" xfId="8215" xr:uid="{00000000-0005-0000-0000-00000F210000}"/>
    <cellStyle name="_Springfield 12 jun 08 Capex_Ec-2376 to 2379 Add-del 318402413 2414 2374 318394491_SUBARTICO ADD-DEL 2" xfId="8216" xr:uid="{00000000-0005-0000-0000-000010210000}"/>
    <cellStyle name="_Springfield 12 jun 08 Capex_ESTIMATED ARES-10 PACKAGE 25NOV" xfId="8217" xr:uid="{00000000-0005-0000-0000-000011210000}"/>
    <cellStyle name="_Springfield 12 jun 08 Capex_ESTIMATED ARES-10 PACKAGE 25NOV 2" xfId="8218" xr:uid="{00000000-0005-0000-0000-000012210000}"/>
    <cellStyle name="_Springfield 12 jun 08 Capex_ESTIMATED ARES-10 PACKAGE 25NOV 3" xfId="24877" xr:uid="{00000000-0005-0000-0000-000013210000}"/>
    <cellStyle name="_Springfield 12 jun 08 Capex_ESTIMATED ARES-10 PACKAGE 25NOV_SUBARTICO ADD-DEL" xfId="8219" xr:uid="{00000000-0005-0000-0000-000014210000}"/>
    <cellStyle name="_Springfield 12 jun 08 Capex_ESTIMATED ARES-10 PACKAGE 25NOV_SUBARTICO ADD-DEL 2" xfId="8220" xr:uid="{00000000-0005-0000-0000-000015210000}"/>
    <cellStyle name="_Springfield 12 jun 08 Capex_SUBARTICO ADD-DEL" xfId="8221" xr:uid="{00000000-0005-0000-0000-000016210000}"/>
    <cellStyle name="_Springfield 12 jun 08 Capex_SUBARTICO ADD-DEL 2" xfId="8222" xr:uid="{00000000-0005-0000-0000-000017210000}"/>
    <cellStyle name="_Springfield 12 jun 08 Capex_W10251766 D" xfId="8223" xr:uid="{00000000-0005-0000-0000-000018210000}"/>
    <cellStyle name="_Springfield 12 jun 08 Capex_W10279106 y W10279107 de MR a 56i" xfId="8224" xr:uid="{00000000-0005-0000-0000-000019210000}"/>
    <cellStyle name="_Springfield 12 jun 08 Capex_W10315922 A" xfId="8225" xr:uid="{00000000-0005-0000-0000-00001A210000}"/>
    <cellStyle name="_Springfield 12 jun 08 Capex_WC cleveland con spreadshet" xfId="8226" xr:uid="{00000000-0005-0000-0000-00001B210000}"/>
    <cellStyle name="_Springfield 12 jun 08 Capex_WC cleveland con spreadshet 2" xfId="8227" xr:uid="{00000000-0005-0000-0000-00001C210000}"/>
    <cellStyle name="_Springfield 12 jun 08 Capex_WC cleveland con spreadshet 3" xfId="24878" xr:uid="{00000000-0005-0000-0000-00001D210000}"/>
    <cellStyle name="_Springfield 12 jun 08 Capex_WC cleveland con spreadshet_SUBARTICO ADD-DEL" xfId="8228" xr:uid="{00000000-0005-0000-0000-00001E210000}"/>
    <cellStyle name="_Springfield 12 jun 08 Capex_WC cleveland con spreadshet_SUBARTICO ADD-DEL 2" xfId="8229" xr:uid="{00000000-0005-0000-0000-00001F210000}"/>
    <cellStyle name="_SS 316253702 B REACTIVACION" xfId="8230" xr:uid="{00000000-0005-0000-0000-000020210000}"/>
    <cellStyle name="_SS 316253702 B REACTIVACION 2" xfId="8231" xr:uid="{00000000-0005-0000-0000-000021210000}"/>
    <cellStyle name="_SS 316253702 B REACTIVACION 3" xfId="8232" xr:uid="{00000000-0005-0000-0000-000022210000}"/>
    <cellStyle name="_SS 316253702 B REACTIVACION 4" xfId="8233" xr:uid="{00000000-0005-0000-0000-000023210000}"/>
    <cellStyle name="_SS 316253702 B REACTIVACION 5" xfId="8234" xr:uid="{00000000-0005-0000-0000-000024210000}"/>
    <cellStyle name="_SS 316525600A 601A  316525600A 601A 602A" xfId="8235" xr:uid="{00000000-0005-0000-0000-000025210000}"/>
    <cellStyle name="_SS 316525600A 601A  316525600A 601A 602A 10" xfId="8236" xr:uid="{00000000-0005-0000-0000-000026210000}"/>
    <cellStyle name="_SS 316525600A 601A  316525600A 601A 602A 10 2" xfId="8237" xr:uid="{00000000-0005-0000-0000-000027210000}"/>
    <cellStyle name="_SS 316525600A 601A  316525600A 601A 602A 10 3" xfId="8238" xr:uid="{00000000-0005-0000-0000-000028210000}"/>
    <cellStyle name="_SS 316525600A 601A  316525600A 601A 602A 10 4" xfId="8239" xr:uid="{00000000-0005-0000-0000-000029210000}"/>
    <cellStyle name="_SS 316525600A 601A  316525600A 601A 602A 2" xfId="8240" xr:uid="{00000000-0005-0000-0000-00002A210000}"/>
    <cellStyle name="_SS 316525600A 601A  316525600A 601A 602A 2 2" xfId="8241" xr:uid="{00000000-0005-0000-0000-00002B210000}"/>
    <cellStyle name="_SS 316525600A 601A  316525600A 601A 602A 2 3" xfId="8242" xr:uid="{00000000-0005-0000-0000-00002C210000}"/>
    <cellStyle name="_SS 316525600A 601A  316525600A 601A 602A 2 4" xfId="8243" xr:uid="{00000000-0005-0000-0000-00002D210000}"/>
    <cellStyle name="_SS 316525600A 601A  316525600A 601A 602A 2 5" xfId="8244" xr:uid="{00000000-0005-0000-0000-00002E210000}"/>
    <cellStyle name="_SS 316525600A 601A  316525600A 601A 602A 2_SUBARTICO ADD-DEL" xfId="8245" xr:uid="{00000000-0005-0000-0000-00002F210000}"/>
    <cellStyle name="_SS 316525600A 601A  316525600A 601A 602A 2_SUBARTICO ADD-DEL 2" xfId="8246" xr:uid="{00000000-0005-0000-0000-000030210000}"/>
    <cellStyle name="_SS 316525600A 601A  316525600A 601A 602A 3" xfId="8247" xr:uid="{00000000-0005-0000-0000-000031210000}"/>
    <cellStyle name="_SS 316525600A 601A  316525600A 601A 602A 3 2" xfId="8248" xr:uid="{00000000-0005-0000-0000-000032210000}"/>
    <cellStyle name="_SS 316525600A 601A  316525600A 601A 602A 3 3" xfId="8249" xr:uid="{00000000-0005-0000-0000-000033210000}"/>
    <cellStyle name="_SS 316525600A 601A  316525600A 601A 602A 3 4" xfId="8250" xr:uid="{00000000-0005-0000-0000-000034210000}"/>
    <cellStyle name="_SS 316525600A 601A  316525600A 601A 602A 3 5" xfId="8251" xr:uid="{00000000-0005-0000-0000-000035210000}"/>
    <cellStyle name="_SS 316525600A 601A  316525600A 601A 602A 3_SUBARTICO ADD-DEL" xfId="8252" xr:uid="{00000000-0005-0000-0000-000036210000}"/>
    <cellStyle name="_SS 316525600A 601A  316525600A 601A 602A 3_SUBARTICO ADD-DEL 2" xfId="8253" xr:uid="{00000000-0005-0000-0000-000037210000}"/>
    <cellStyle name="_SS 316525600A 601A  316525600A 601A 602A 4" xfId="8254" xr:uid="{00000000-0005-0000-0000-000038210000}"/>
    <cellStyle name="_SS 316525600A 601A  316525600A 601A 602A 4 2" xfId="8255" xr:uid="{00000000-0005-0000-0000-000039210000}"/>
    <cellStyle name="_SS 316525600A 601A  316525600A 601A 602A 4 3" xfId="8256" xr:uid="{00000000-0005-0000-0000-00003A210000}"/>
    <cellStyle name="_SS 316525600A 601A  316525600A 601A 602A 4 4" xfId="8257" xr:uid="{00000000-0005-0000-0000-00003B210000}"/>
    <cellStyle name="_SS 316525600A 601A  316525600A 601A 602A 4 5" xfId="8258" xr:uid="{00000000-0005-0000-0000-00003C210000}"/>
    <cellStyle name="_SS 316525600A 601A  316525600A 601A 602A 4_SUBARTICO ADD-DEL" xfId="8259" xr:uid="{00000000-0005-0000-0000-00003D210000}"/>
    <cellStyle name="_SS 316525600A 601A  316525600A 601A 602A 4_SUBARTICO ADD-DEL 2" xfId="8260" xr:uid="{00000000-0005-0000-0000-00003E210000}"/>
    <cellStyle name="_SS 316525600A 601A  316525600A 601A 602A 5" xfId="8261" xr:uid="{00000000-0005-0000-0000-00003F210000}"/>
    <cellStyle name="_SS 316525600A 601A  316525600A 601A 602A 5 2" xfId="8262" xr:uid="{00000000-0005-0000-0000-000040210000}"/>
    <cellStyle name="_SS 316525600A 601A  316525600A 601A 602A 5 3" xfId="8263" xr:uid="{00000000-0005-0000-0000-000041210000}"/>
    <cellStyle name="_SS 316525600A 601A  316525600A 601A 602A 5 4" xfId="8264" xr:uid="{00000000-0005-0000-0000-000042210000}"/>
    <cellStyle name="_SS 316525600A 601A  316525600A 601A 602A 5 5" xfId="8265" xr:uid="{00000000-0005-0000-0000-000043210000}"/>
    <cellStyle name="_SS 316525600A 601A  316525600A 601A 602A 5_SUBARTICO ADD-DEL" xfId="8266" xr:uid="{00000000-0005-0000-0000-000044210000}"/>
    <cellStyle name="_SS 316525600A 601A  316525600A 601A 602A 5_SUBARTICO ADD-DEL 2" xfId="8267" xr:uid="{00000000-0005-0000-0000-000045210000}"/>
    <cellStyle name="_SS 316525600A 601A  316525600A 601A 602A 6" xfId="8268" xr:uid="{00000000-0005-0000-0000-000046210000}"/>
    <cellStyle name="_SS 316525600A 601A  316525600A 601A 602A 6 2" xfId="8269" xr:uid="{00000000-0005-0000-0000-000047210000}"/>
    <cellStyle name="_SS 316525600A 601A  316525600A 601A 602A 6 3" xfId="8270" xr:uid="{00000000-0005-0000-0000-000048210000}"/>
    <cellStyle name="_SS 316525600A 601A  316525600A 601A 602A 6 4" xfId="8271" xr:uid="{00000000-0005-0000-0000-000049210000}"/>
    <cellStyle name="_SS 316525600A 601A  316525600A 601A 602A 6 5" xfId="8272" xr:uid="{00000000-0005-0000-0000-00004A210000}"/>
    <cellStyle name="_SS 316525600A 601A  316525600A 601A 602A 6_SUBARTICO ADD-DEL" xfId="8273" xr:uid="{00000000-0005-0000-0000-00004B210000}"/>
    <cellStyle name="_SS 316525600A 601A  316525600A 601A 602A 6_SUBARTICO ADD-DEL 2" xfId="8274" xr:uid="{00000000-0005-0000-0000-00004C210000}"/>
    <cellStyle name="_SS 316525600A 601A  316525600A 601A 602A 7" xfId="8275" xr:uid="{00000000-0005-0000-0000-00004D210000}"/>
    <cellStyle name="_SS 316525600A 601A  316525600A 601A 602A 7 2" xfId="8276" xr:uid="{00000000-0005-0000-0000-00004E210000}"/>
    <cellStyle name="_SS 316525600A 601A  316525600A 601A 602A 7 3" xfId="8277" xr:uid="{00000000-0005-0000-0000-00004F210000}"/>
    <cellStyle name="_SS 316525600A 601A  316525600A 601A 602A 7 4" xfId="8278" xr:uid="{00000000-0005-0000-0000-000050210000}"/>
    <cellStyle name="_SS 316525600A 601A  316525600A 601A 602A 7 5" xfId="8279" xr:uid="{00000000-0005-0000-0000-000051210000}"/>
    <cellStyle name="_SS 316525600A 601A  316525600A 601A 602A 7_SUBARTICO ADD-DEL" xfId="8280" xr:uid="{00000000-0005-0000-0000-000052210000}"/>
    <cellStyle name="_SS 316525600A 601A  316525600A 601A 602A 7_SUBARTICO ADD-DEL 2" xfId="8281" xr:uid="{00000000-0005-0000-0000-000053210000}"/>
    <cellStyle name="_SS 316525600A 601A  316525600A 601A 602A 8" xfId="8282" xr:uid="{00000000-0005-0000-0000-000054210000}"/>
    <cellStyle name="_SS 316525600A 601A  316525600A 601A 602A 8 2" xfId="8283" xr:uid="{00000000-0005-0000-0000-000055210000}"/>
    <cellStyle name="_SS 316525600A 601A  316525600A 601A 602A 8 3" xfId="8284" xr:uid="{00000000-0005-0000-0000-000056210000}"/>
    <cellStyle name="_SS 316525600A 601A  316525600A 601A 602A 8 4" xfId="8285" xr:uid="{00000000-0005-0000-0000-000057210000}"/>
    <cellStyle name="_SS 316525600A 601A  316525600A 601A 602A 8 5" xfId="8286" xr:uid="{00000000-0005-0000-0000-000058210000}"/>
    <cellStyle name="_SS 316525600A 601A  316525600A 601A 602A 8_SUBARTICO ADD-DEL" xfId="8287" xr:uid="{00000000-0005-0000-0000-000059210000}"/>
    <cellStyle name="_SS 316525600A 601A  316525600A 601A 602A 8_SUBARTICO ADD-DEL 2" xfId="8288" xr:uid="{00000000-0005-0000-0000-00005A210000}"/>
    <cellStyle name="_SS 316525600A 601A  316525600A 601A 602A 9" xfId="8289" xr:uid="{00000000-0005-0000-0000-00005B210000}"/>
    <cellStyle name="_SS 316525600A 601A  316525600A 601A 602A 9 2" xfId="8290" xr:uid="{00000000-0005-0000-0000-00005C210000}"/>
    <cellStyle name="_SS 316525600A 601A  316525600A 601A 602A 9 3" xfId="8291" xr:uid="{00000000-0005-0000-0000-00005D210000}"/>
    <cellStyle name="_SS 316525600A 601A  316525600A 601A 602A 9 4" xfId="8292" xr:uid="{00000000-0005-0000-0000-00005E210000}"/>
    <cellStyle name="_SS 316525600A 601A  316525600A 601A 602A 9 5" xfId="8293" xr:uid="{00000000-0005-0000-0000-00005F210000}"/>
    <cellStyle name="_SS 316525600A 601A  316525600A 601A 602A 9_SUBARTICO ADD-DEL" xfId="8294" xr:uid="{00000000-0005-0000-0000-000060210000}"/>
    <cellStyle name="_SS 316525600A 601A  316525600A 601A 602A 9_SUBARTICO ADD-DEL 2" xfId="8295" xr:uid="{00000000-0005-0000-0000-000061210000}"/>
    <cellStyle name="_SS 316525600A 601A  316525600A 601A 602A_862-CH" xfId="8296" xr:uid="{00000000-0005-0000-0000-000062210000}"/>
    <cellStyle name="_SS 316525600A 601A  316525600A 601A 602A_BSHNC151 (RFQ EE4509)" xfId="8297" xr:uid="{00000000-0005-0000-0000-000063210000}"/>
    <cellStyle name="_SS 316525600A 601A  316525600A 601A 602A_BSHNC151 (RFQ EE4509) 2" xfId="8298" xr:uid="{00000000-0005-0000-0000-000064210000}"/>
    <cellStyle name="_SS 316525600A 601A  316525600A 601A 602A_BSHNC162 (RFQ EE5409)1" xfId="8299" xr:uid="{00000000-0005-0000-0000-000065210000}"/>
    <cellStyle name="_SS 316525600A 601A  316525600A 601A 602A_BSHNC162 (RFQ EE5409)1 2" xfId="8300" xr:uid="{00000000-0005-0000-0000-000066210000}"/>
    <cellStyle name="_SS 316525600A 601A  316525600A 601A 602A_Ec-2376 to 2379 Add-del 318402413 2414 2374 318394491" xfId="8301" xr:uid="{00000000-0005-0000-0000-000067210000}"/>
    <cellStyle name="_SS 316525600A 601A  316525600A 601A 602A_Ec-2376 to 2379 Add-del 318402413 2414 2374 318394491 2" xfId="8302" xr:uid="{00000000-0005-0000-0000-000068210000}"/>
    <cellStyle name="_SS 316525600A 601A  316525600A 601A 602A_Ec-2376 to 2379 Add-del 318402413 2414 2374 318394491 3" xfId="8303" xr:uid="{00000000-0005-0000-0000-000069210000}"/>
    <cellStyle name="_SS 316525600A 601A  316525600A 601A 602A_Ec-2376 to 2379 Add-del 318402413 2414 2374 318394491 4" xfId="8304" xr:uid="{00000000-0005-0000-0000-00006A210000}"/>
    <cellStyle name="_SS 316525600A 601A  316525600A 601A 602A_Ec-2376 to 2379 Add-del 318402413 2414 2374 318394491 5" xfId="8305" xr:uid="{00000000-0005-0000-0000-00006B210000}"/>
    <cellStyle name="_SS 316525600A 601A  316525600A 601A 602A_Ec-2376 to 2379 Add-del 318402413 2414 2374 318394491_SUBARTICO ADD-DEL" xfId="8306" xr:uid="{00000000-0005-0000-0000-00006C210000}"/>
    <cellStyle name="_SS 316525600A 601A  316525600A 601A 602A_Ec-2376 to 2379 Add-del 318402413 2414 2374 318394491_SUBARTICO ADD-DEL 2" xfId="8307" xr:uid="{00000000-0005-0000-0000-00006D210000}"/>
    <cellStyle name="_SS 316525600A 601A  316525600A 601A 602A_ESTIMATED ARES-10 PACKAGE 25NOV" xfId="8308" xr:uid="{00000000-0005-0000-0000-00006E210000}"/>
    <cellStyle name="_SS 316525600A 601A  316525600A 601A 602A_ESTIMATED ARES-10 PACKAGE 25NOV 2" xfId="8309" xr:uid="{00000000-0005-0000-0000-00006F210000}"/>
    <cellStyle name="_SS 316525600A 601A  316525600A 601A 602A_ESTIMATED ARES-10 PACKAGE 25NOV 3" xfId="24879" xr:uid="{00000000-0005-0000-0000-000070210000}"/>
    <cellStyle name="_SS 316525600A 601A  316525600A 601A 602A_ESTIMATED ARES-10 PACKAGE 25NOV_SUBARTICO ADD-DEL" xfId="8310" xr:uid="{00000000-0005-0000-0000-000071210000}"/>
    <cellStyle name="_SS 316525600A 601A  316525600A 601A 602A_ESTIMATED ARES-10 PACKAGE 25NOV_SUBARTICO ADD-DEL 2" xfId="8311" xr:uid="{00000000-0005-0000-0000-000072210000}"/>
    <cellStyle name="_SS 316525600A 601A  316525600A 601A 602A_SUBARTICO ADD-DEL" xfId="8312" xr:uid="{00000000-0005-0000-0000-000073210000}"/>
    <cellStyle name="_SS 316525600A 601A  316525600A 601A 602A_SUBARTICO ADD-DEL 2" xfId="8313" xr:uid="{00000000-0005-0000-0000-000074210000}"/>
    <cellStyle name="_SS 316525600A 601A  316525600A 601A 602A_W10251766 D" xfId="8314" xr:uid="{00000000-0005-0000-0000-000075210000}"/>
    <cellStyle name="_SS 316525600A 601A  316525600A 601A 602A_W10279106 y W10279107 de MR a 56i" xfId="8315" xr:uid="{00000000-0005-0000-0000-000076210000}"/>
    <cellStyle name="_SS 316525600A 601A  316525600A 601A 602A_W10315922 A" xfId="8316" xr:uid="{00000000-0005-0000-0000-000077210000}"/>
    <cellStyle name="_SS 316525600A 601A  316525600A 601A 602A_WC cleveland con spreadshet" xfId="8317" xr:uid="{00000000-0005-0000-0000-000078210000}"/>
    <cellStyle name="_SS 316525600A 601A  316525600A 601A 602A_WC cleveland con spreadshet 2" xfId="8318" xr:uid="{00000000-0005-0000-0000-000079210000}"/>
    <cellStyle name="_SS 316525600A 601A  316525600A 601A 602A_WC cleveland con spreadshet 3" xfId="24880" xr:uid="{00000000-0005-0000-0000-00007A210000}"/>
    <cellStyle name="_SS 316525600A 601A  316525600A 601A 602A_WC cleveland con spreadshet_SUBARTICO ADD-DEL" xfId="8319" xr:uid="{00000000-0005-0000-0000-00007B210000}"/>
    <cellStyle name="_SS 316525600A 601A  316525600A 601A 602A_WC cleveland con spreadshet_SUBARTICO ADD-DEL 2" xfId="8320" xr:uid="{00000000-0005-0000-0000-00007C210000}"/>
    <cellStyle name="_SS 318199786 A 318231871 A" xfId="8321" xr:uid="{00000000-0005-0000-0000-00007D210000}"/>
    <cellStyle name="_SS 318199786 A 318231871 A 2" xfId="8322" xr:uid="{00000000-0005-0000-0000-00007E210000}"/>
    <cellStyle name="_SS 318199786 A 318231871 A 2 2" xfId="8323" xr:uid="{00000000-0005-0000-0000-00007F210000}"/>
    <cellStyle name="_SS 318199786 A 318231871 A 2 3" xfId="8324" xr:uid="{00000000-0005-0000-0000-000080210000}"/>
    <cellStyle name="_SS 318199786 A 318231871 A 2 4" xfId="8325" xr:uid="{00000000-0005-0000-0000-000081210000}"/>
    <cellStyle name="_SS 318199786 A 318231871 A 3" xfId="24881" xr:uid="{00000000-0005-0000-0000-000082210000}"/>
    <cellStyle name="_SS 318199786 A 318231871 A_ESTIMATED ARES-10 PACKAGE 25NOV" xfId="8326" xr:uid="{00000000-0005-0000-0000-000083210000}"/>
    <cellStyle name="_SS 318199786 A 318231871 A_ESTIMATED ARES-10 PACKAGE 25NOV 2" xfId="8327" xr:uid="{00000000-0005-0000-0000-000084210000}"/>
    <cellStyle name="_SS 318199786 A 318231871 A_ESTIMATED ARES-10 PACKAGE 25NOV 3" xfId="24882" xr:uid="{00000000-0005-0000-0000-000085210000}"/>
    <cellStyle name="_SS 318199786 A 318231871 A_ESTIMATED ARES-10 PACKAGE 25NOV_SUBARTICO ADD-DEL" xfId="8328" xr:uid="{00000000-0005-0000-0000-000086210000}"/>
    <cellStyle name="_SS 318199786 A 318231871 A_ESTIMATED ARES-10 PACKAGE 25NOV_SUBARTICO ADD-DEL 2" xfId="8329" xr:uid="{00000000-0005-0000-0000-000087210000}"/>
    <cellStyle name="_SS 318199786 A 318231871 A_SUBARTICO ADD-DEL" xfId="8330" xr:uid="{00000000-0005-0000-0000-000088210000}"/>
    <cellStyle name="_SS 318199786 A 318231871 A_SUBARTICO ADD-DEL 2" xfId="8331" xr:uid="{00000000-0005-0000-0000-000089210000}"/>
    <cellStyle name="_SS 318199786 A 318231871 A_WC cleveland con spreadshet" xfId="8332" xr:uid="{00000000-0005-0000-0000-00008A210000}"/>
    <cellStyle name="_SS 318199786 A 318231871 A_WC cleveland con spreadshet 2" xfId="8333" xr:uid="{00000000-0005-0000-0000-00008B210000}"/>
    <cellStyle name="_SS 318199786 A 318231871 A_WC cleveland con spreadshet 3" xfId="24883" xr:uid="{00000000-0005-0000-0000-00008C210000}"/>
    <cellStyle name="_SS 318199786 A 318231871 A_WC cleveland con spreadshet_SUBARTICO ADD-DEL" xfId="8334" xr:uid="{00000000-0005-0000-0000-00008D210000}"/>
    <cellStyle name="_SS 318199786 A 318231871 A_WC cleveland con spreadshet_SUBARTICO ADD-DEL 2" xfId="8335" xr:uid="{00000000-0005-0000-0000-00008E210000}"/>
    <cellStyle name="_SS 318228956 318228957 318306637 318306639 318384467 (paquete con los reemplazados)" xfId="8336" xr:uid="{00000000-0005-0000-0000-00008F210000}"/>
    <cellStyle name="_SS 318228956 318228957 318306637 318306639 318384467 (paquete con los reemplazados) 2" xfId="8337" xr:uid="{00000000-0005-0000-0000-000090210000}"/>
    <cellStyle name="_SS 318228956 318228957 318306637 318306639 318384467 (paquete con los reemplazados) 2 2" xfId="8338" xr:uid="{00000000-0005-0000-0000-000091210000}"/>
    <cellStyle name="_SS 318228956 318228957 318306637 318306639 318384467 (paquete con los reemplazados) 2 3" xfId="8339" xr:uid="{00000000-0005-0000-0000-000092210000}"/>
    <cellStyle name="_SS 318228956 318228957 318306637 318306639 318384467 (paquete con los reemplazados) 2 4" xfId="8340" xr:uid="{00000000-0005-0000-0000-000093210000}"/>
    <cellStyle name="_SS 318228956 318228957 318306637 318306639 318384467 (paquete con los reemplazados) 3" xfId="8341" xr:uid="{00000000-0005-0000-0000-000094210000}"/>
    <cellStyle name="_SS 318228956 318228957 318306637 318306639 318384467 (paquete con los reemplazados)_862-CH" xfId="8342" xr:uid="{00000000-0005-0000-0000-000095210000}"/>
    <cellStyle name="_SS 318228956 318228957 318306637 318306639 318384467 (paquete con los reemplazados)_BSHNC162 (RFQ EE5409)1" xfId="8343" xr:uid="{00000000-0005-0000-0000-000096210000}"/>
    <cellStyle name="_SS 318228956 318228957 318306637 318306639 318384467 (paquete con los reemplazados)_BSHNC162 (RFQ EE5409)1 2" xfId="8344" xr:uid="{00000000-0005-0000-0000-000097210000}"/>
    <cellStyle name="_SS 318228956 318228957 318306637 318306639 318384467 (paquete con los reemplazados)_SUBARTICO ADD-DEL" xfId="8345" xr:uid="{00000000-0005-0000-0000-000098210000}"/>
    <cellStyle name="_SS 318228956 318228957 318306637 318306639 318384467 (paquete con los reemplazados)_SUBARTICO ADD-DEL 2" xfId="8346" xr:uid="{00000000-0005-0000-0000-000099210000}"/>
    <cellStyle name="_SS 318228956 318228957 318306637 318306639 318384467 (paquete con los reemplazados)_W10251766 D" xfId="8347" xr:uid="{00000000-0005-0000-0000-00009A210000}"/>
    <cellStyle name="_SS 318228956 318228957 318306637 318306639 318384467 (paquete con los reemplazados)_W10279106 y W10279107 de MR a 56i" xfId="8348" xr:uid="{00000000-0005-0000-0000-00009B210000}"/>
    <cellStyle name="_SS 318228956 318228957 318306637 318306639 318384467 (paquete con los reemplazados)_W10315922 A" xfId="8349" xr:uid="{00000000-0005-0000-0000-00009C210000}"/>
    <cellStyle name="_SS 9782344 P.S." xfId="8350" xr:uid="{00000000-0005-0000-0000-00009D210000}"/>
    <cellStyle name="_SS 9782344 P.S. 2" xfId="8351" xr:uid="{00000000-0005-0000-0000-00009E210000}"/>
    <cellStyle name="_SS 9782344 P.S. 2 2" xfId="8352" xr:uid="{00000000-0005-0000-0000-00009F210000}"/>
    <cellStyle name="_SS 9782344 P.S. 2 3" xfId="8353" xr:uid="{00000000-0005-0000-0000-0000A0210000}"/>
    <cellStyle name="_SS 9782344 P.S. 2 4" xfId="8354" xr:uid="{00000000-0005-0000-0000-0000A1210000}"/>
    <cellStyle name="_SS 9782344 P.S. 3" xfId="24884" xr:uid="{00000000-0005-0000-0000-0000A2210000}"/>
    <cellStyle name="_SS 9782344 P.S._ESTIMATED ARES-10 PACKAGE 25NOV" xfId="8355" xr:uid="{00000000-0005-0000-0000-0000A3210000}"/>
    <cellStyle name="_SS 9782344 P.S._ESTIMATED ARES-10 PACKAGE 25NOV 2" xfId="8356" xr:uid="{00000000-0005-0000-0000-0000A4210000}"/>
    <cellStyle name="_SS 9782344 P.S._ESTIMATED ARES-10 PACKAGE 25NOV 3" xfId="24885" xr:uid="{00000000-0005-0000-0000-0000A5210000}"/>
    <cellStyle name="_SS 9782344 P.S._ESTIMATED ARES-10 PACKAGE 25NOV_SUBARTICO ADD-DEL" xfId="8357" xr:uid="{00000000-0005-0000-0000-0000A6210000}"/>
    <cellStyle name="_SS 9782344 P.S._ESTIMATED ARES-10 PACKAGE 25NOV_SUBARTICO ADD-DEL 2" xfId="8358" xr:uid="{00000000-0005-0000-0000-0000A7210000}"/>
    <cellStyle name="_SS 9782344 P.S._SUBARTICO ADD-DEL" xfId="8359" xr:uid="{00000000-0005-0000-0000-0000A8210000}"/>
    <cellStyle name="_SS 9782344 P.S._SUBARTICO ADD-DEL 2" xfId="8360" xr:uid="{00000000-0005-0000-0000-0000A9210000}"/>
    <cellStyle name="_SS 9782344 P.S._WC cleveland con spreadshet" xfId="8361" xr:uid="{00000000-0005-0000-0000-0000AA210000}"/>
    <cellStyle name="_SS 9782344 P.S._WC cleveland con spreadshet 2" xfId="8362" xr:uid="{00000000-0005-0000-0000-0000AB210000}"/>
    <cellStyle name="_SS 9782344 P.S._WC cleveland con spreadshet 3" xfId="24886" xr:uid="{00000000-0005-0000-0000-0000AC210000}"/>
    <cellStyle name="_SS 9782344 P.S._WC cleveland con spreadshet_SUBARTICO ADD-DEL" xfId="8363" xr:uid="{00000000-0005-0000-0000-0000AD210000}"/>
    <cellStyle name="_SS 9782344 P.S._WC cleveland con spreadshet_SUBARTICO ADD-DEL 2" xfId="8364" xr:uid="{00000000-0005-0000-0000-0000AE210000}"/>
    <cellStyle name="_Static board classification" xfId="24887" xr:uid="{00000000-0005-0000-0000-0000AF210000}"/>
    <cellStyle name="_Static board classification 2" xfId="24888" xr:uid="{00000000-0005-0000-0000-0000B0210000}"/>
    <cellStyle name="_Static board classification 3" xfId="24889" xr:uid="{00000000-0005-0000-0000-0000B1210000}"/>
    <cellStyle name="_Thor Quote" xfId="8365" xr:uid="{00000000-0005-0000-0000-0000B2210000}"/>
    <cellStyle name="_Thor Quote 2" xfId="8366" xr:uid="{00000000-0005-0000-0000-0000B3210000}"/>
    <cellStyle name="_Thor Quote 2 2" xfId="8367" xr:uid="{00000000-0005-0000-0000-0000B4210000}"/>
    <cellStyle name="_Thor Quote 2 3" xfId="8368" xr:uid="{00000000-0005-0000-0000-0000B5210000}"/>
    <cellStyle name="_Thor Quote 2 4" xfId="8369" xr:uid="{00000000-0005-0000-0000-0000B6210000}"/>
    <cellStyle name="_Thor Quote 3" xfId="24890" xr:uid="{00000000-0005-0000-0000-0000B7210000}"/>
    <cellStyle name="_Thor Quote_ESTIMATED ARES-10 PACKAGE 25NOV" xfId="8370" xr:uid="{00000000-0005-0000-0000-0000B8210000}"/>
    <cellStyle name="_Thor Quote_ESTIMATED ARES-10 PACKAGE 25NOV 2" xfId="8371" xr:uid="{00000000-0005-0000-0000-0000B9210000}"/>
    <cellStyle name="_Thor Quote_ESTIMATED ARES-10 PACKAGE 25NOV 3" xfId="24891" xr:uid="{00000000-0005-0000-0000-0000BA210000}"/>
    <cellStyle name="_Thor Quote_ESTIMATED ARES-10 PACKAGE 25NOV_SUBARTICO ADD-DEL" xfId="8372" xr:uid="{00000000-0005-0000-0000-0000BB210000}"/>
    <cellStyle name="_Thor Quote_ESTIMATED ARES-10 PACKAGE 25NOV_SUBARTICO ADD-DEL 2" xfId="8373" xr:uid="{00000000-0005-0000-0000-0000BC210000}"/>
    <cellStyle name="_Thor Quote_SUBARTICO ADD-DEL" xfId="8374" xr:uid="{00000000-0005-0000-0000-0000BD210000}"/>
    <cellStyle name="_Thor Quote_SUBARTICO ADD-DEL 2" xfId="8375" xr:uid="{00000000-0005-0000-0000-0000BE210000}"/>
    <cellStyle name="_Thor Quote_WC cleveland con spreadshet" xfId="8376" xr:uid="{00000000-0005-0000-0000-0000BF210000}"/>
    <cellStyle name="_Thor Quote_WC cleveland con spreadshet 2" xfId="8377" xr:uid="{00000000-0005-0000-0000-0000C0210000}"/>
    <cellStyle name="_Thor Quote_WC cleveland con spreadshet 3" xfId="24892" xr:uid="{00000000-0005-0000-0000-0000C1210000}"/>
    <cellStyle name="_Thor Quote_WC cleveland con spreadshet_SUBARTICO ADD-DEL" xfId="8378" xr:uid="{00000000-0005-0000-0000-0000C2210000}"/>
    <cellStyle name="_Thor Quote_WC cleveland con spreadshet_SUBARTICO ADD-DEL 2" xfId="8379" xr:uid="{00000000-0005-0000-0000-0000C3210000}"/>
    <cellStyle name="_TU-063 revisando" xfId="8380" xr:uid="{00000000-0005-0000-0000-0000C4210000}"/>
    <cellStyle name="_TU-063 revisando 2" xfId="8381" xr:uid="{00000000-0005-0000-0000-0000C5210000}"/>
    <cellStyle name="_TU-063 revisando 3" xfId="24893" xr:uid="{00000000-0005-0000-0000-0000C6210000}"/>
    <cellStyle name="_Tulsa Alternate material list" xfId="8382" xr:uid="{00000000-0005-0000-0000-0000C7210000}"/>
    <cellStyle name="_Tulsa Alternate material list 2" xfId="8383" xr:uid="{00000000-0005-0000-0000-0000C8210000}"/>
    <cellStyle name="_Tulsa Alternate material list 3" xfId="8384" xr:uid="{00000000-0005-0000-0000-0000C9210000}"/>
    <cellStyle name="_Tulsa Alternate material list 4" xfId="8385" xr:uid="{00000000-0005-0000-0000-0000CA210000}"/>
    <cellStyle name="_Tulsa Alternate material list 5" xfId="8386" xr:uid="{00000000-0005-0000-0000-0000CB210000}"/>
    <cellStyle name="_TULSA TRACKING SUMMARY" xfId="8387" xr:uid="{00000000-0005-0000-0000-0000CC210000}"/>
    <cellStyle name="_TULSA TRACKING SUMMARY 2" xfId="8388" xr:uid="{00000000-0005-0000-0000-0000CD210000}"/>
    <cellStyle name="_TULSA TRACKING SUMMARY 3" xfId="8389" xr:uid="{00000000-0005-0000-0000-0000CE210000}"/>
    <cellStyle name="_TULSA TRACKING SUMMARY 4" xfId="8390" xr:uid="{00000000-0005-0000-0000-0000CF210000}"/>
    <cellStyle name="_TULSA TRACKING SUMMARY 5" xfId="8391" xr:uid="{00000000-0005-0000-0000-0000D0210000}"/>
    <cellStyle name="_Update EVV 29-Oct-07" xfId="8392" xr:uid="{00000000-0005-0000-0000-0000D1210000}"/>
    <cellStyle name="_Update EVV 29-Oct-07 2" xfId="8393" xr:uid="{00000000-0005-0000-0000-0000D2210000}"/>
    <cellStyle name="_Update EVV 29-Oct-07 3" xfId="8394" xr:uid="{00000000-0005-0000-0000-0000D3210000}"/>
    <cellStyle name="_Update EVV 29-Oct-07 4" xfId="8395" xr:uid="{00000000-0005-0000-0000-0000D4210000}"/>
    <cellStyle name="_Update EVV 29-Oct-07 5" xfId="8396" xr:uid="{00000000-0005-0000-0000-0000D5210000}"/>
    <cellStyle name="_Update EVV 29-Oct-07_SUBARTICO ADD-DEL" xfId="8397" xr:uid="{00000000-0005-0000-0000-0000D6210000}"/>
    <cellStyle name="_Update EVV 29-Oct-07_SUBARTICO ADD-DEL 2" xfId="8398" xr:uid="{00000000-0005-0000-0000-0000D7210000}"/>
    <cellStyle name="_URSO ADD-DEL's de similares" xfId="8399" xr:uid="{00000000-0005-0000-0000-0000D8210000}"/>
    <cellStyle name="_URSO ADD-DEL's de similares 10" xfId="8400" xr:uid="{00000000-0005-0000-0000-0000D9210000}"/>
    <cellStyle name="_URSO ADD-DEL's de similares 10 2" xfId="8401" xr:uid="{00000000-0005-0000-0000-0000DA210000}"/>
    <cellStyle name="_URSO ADD-DEL's de similares 10 3" xfId="8402" xr:uid="{00000000-0005-0000-0000-0000DB210000}"/>
    <cellStyle name="_URSO ADD-DEL's de similares 10 4" xfId="8403" xr:uid="{00000000-0005-0000-0000-0000DC210000}"/>
    <cellStyle name="_URSO ADD-DEL's de similares 2" xfId="8404" xr:uid="{00000000-0005-0000-0000-0000DD210000}"/>
    <cellStyle name="_URSO ADD-DEL's de similares 2 2" xfId="8405" xr:uid="{00000000-0005-0000-0000-0000DE210000}"/>
    <cellStyle name="_URSO ADD-DEL's de similares 2 3" xfId="8406" xr:uid="{00000000-0005-0000-0000-0000DF210000}"/>
    <cellStyle name="_URSO ADD-DEL's de similares 2 4" xfId="8407" xr:uid="{00000000-0005-0000-0000-0000E0210000}"/>
    <cellStyle name="_URSO ADD-DEL's de similares 2 5" xfId="8408" xr:uid="{00000000-0005-0000-0000-0000E1210000}"/>
    <cellStyle name="_URSO ADD-DEL's de similares 2_SUBARTICO ADD-DEL" xfId="8409" xr:uid="{00000000-0005-0000-0000-0000E2210000}"/>
    <cellStyle name="_URSO ADD-DEL's de similares 2_SUBARTICO ADD-DEL 2" xfId="8410" xr:uid="{00000000-0005-0000-0000-0000E3210000}"/>
    <cellStyle name="_URSO ADD-DEL's de similares 3" xfId="8411" xr:uid="{00000000-0005-0000-0000-0000E4210000}"/>
    <cellStyle name="_URSO ADD-DEL's de similares 3 2" xfId="8412" xr:uid="{00000000-0005-0000-0000-0000E5210000}"/>
    <cellStyle name="_URSO ADD-DEL's de similares 3 3" xfId="8413" xr:uid="{00000000-0005-0000-0000-0000E6210000}"/>
    <cellStyle name="_URSO ADD-DEL's de similares 3 4" xfId="8414" xr:uid="{00000000-0005-0000-0000-0000E7210000}"/>
    <cellStyle name="_URSO ADD-DEL's de similares 3 5" xfId="8415" xr:uid="{00000000-0005-0000-0000-0000E8210000}"/>
    <cellStyle name="_URSO ADD-DEL's de similares 3_SUBARTICO ADD-DEL" xfId="8416" xr:uid="{00000000-0005-0000-0000-0000E9210000}"/>
    <cellStyle name="_URSO ADD-DEL's de similares 3_SUBARTICO ADD-DEL 2" xfId="8417" xr:uid="{00000000-0005-0000-0000-0000EA210000}"/>
    <cellStyle name="_URSO ADD-DEL's de similares 4" xfId="8418" xr:uid="{00000000-0005-0000-0000-0000EB210000}"/>
    <cellStyle name="_URSO ADD-DEL's de similares 4 2" xfId="8419" xr:uid="{00000000-0005-0000-0000-0000EC210000}"/>
    <cellStyle name="_URSO ADD-DEL's de similares 4 3" xfId="8420" xr:uid="{00000000-0005-0000-0000-0000ED210000}"/>
    <cellStyle name="_URSO ADD-DEL's de similares 4 4" xfId="8421" xr:uid="{00000000-0005-0000-0000-0000EE210000}"/>
    <cellStyle name="_URSO ADD-DEL's de similares 4 5" xfId="8422" xr:uid="{00000000-0005-0000-0000-0000EF210000}"/>
    <cellStyle name="_URSO ADD-DEL's de similares 4_SUBARTICO ADD-DEL" xfId="8423" xr:uid="{00000000-0005-0000-0000-0000F0210000}"/>
    <cellStyle name="_URSO ADD-DEL's de similares 4_SUBARTICO ADD-DEL 2" xfId="8424" xr:uid="{00000000-0005-0000-0000-0000F1210000}"/>
    <cellStyle name="_URSO ADD-DEL's de similares 5" xfId="8425" xr:uid="{00000000-0005-0000-0000-0000F2210000}"/>
    <cellStyle name="_URSO ADD-DEL's de similares 5 2" xfId="8426" xr:uid="{00000000-0005-0000-0000-0000F3210000}"/>
    <cellStyle name="_URSO ADD-DEL's de similares 5 3" xfId="8427" xr:uid="{00000000-0005-0000-0000-0000F4210000}"/>
    <cellStyle name="_URSO ADD-DEL's de similares 5 4" xfId="8428" xr:uid="{00000000-0005-0000-0000-0000F5210000}"/>
    <cellStyle name="_URSO ADD-DEL's de similares 5 5" xfId="8429" xr:uid="{00000000-0005-0000-0000-0000F6210000}"/>
    <cellStyle name="_URSO ADD-DEL's de similares 5_SUBARTICO ADD-DEL" xfId="8430" xr:uid="{00000000-0005-0000-0000-0000F7210000}"/>
    <cellStyle name="_URSO ADD-DEL's de similares 5_SUBARTICO ADD-DEL 2" xfId="8431" xr:uid="{00000000-0005-0000-0000-0000F8210000}"/>
    <cellStyle name="_URSO ADD-DEL's de similares 6" xfId="8432" xr:uid="{00000000-0005-0000-0000-0000F9210000}"/>
    <cellStyle name="_URSO ADD-DEL's de similares 6 2" xfId="8433" xr:uid="{00000000-0005-0000-0000-0000FA210000}"/>
    <cellStyle name="_URSO ADD-DEL's de similares 6 3" xfId="8434" xr:uid="{00000000-0005-0000-0000-0000FB210000}"/>
    <cellStyle name="_URSO ADD-DEL's de similares 6 4" xfId="8435" xr:uid="{00000000-0005-0000-0000-0000FC210000}"/>
    <cellStyle name="_URSO ADD-DEL's de similares 6 5" xfId="8436" xr:uid="{00000000-0005-0000-0000-0000FD210000}"/>
    <cellStyle name="_URSO ADD-DEL's de similares 6_SUBARTICO ADD-DEL" xfId="8437" xr:uid="{00000000-0005-0000-0000-0000FE210000}"/>
    <cellStyle name="_URSO ADD-DEL's de similares 6_SUBARTICO ADD-DEL 2" xfId="8438" xr:uid="{00000000-0005-0000-0000-0000FF210000}"/>
    <cellStyle name="_URSO ADD-DEL's de similares 7" xfId="8439" xr:uid="{00000000-0005-0000-0000-000000220000}"/>
    <cellStyle name="_URSO ADD-DEL's de similares 7 2" xfId="8440" xr:uid="{00000000-0005-0000-0000-000001220000}"/>
    <cellStyle name="_URSO ADD-DEL's de similares 7 3" xfId="8441" xr:uid="{00000000-0005-0000-0000-000002220000}"/>
    <cellStyle name="_URSO ADD-DEL's de similares 7 4" xfId="8442" xr:uid="{00000000-0005-0000-0000-000003220000}"/>
    <cellStyle name="_URSO ADD-DEL's de similares 7 5" xfId="8443" xr:uid="{00000000-0005-0000-0000-000004220000}"/>
    <cellStyle name="_URSO ADD-DEL's de similares 7_SUBARTICO ADD-DEL" xfId="8444" xr:uid="{00000000-0005-0000-0000-000005220000}"/>
    <cellStyle name="_URSO ADD-DEL's de similares 7_SUBARTICO ADD-DEL 2" xfId="8445" xr:uid="{00000000-0005-0000-0000-000006220000}"/>
    <cellStyle name="_URSO ADD-DEL's de similares 8" xfId="8446" xr:uid="{00000000-0005-0000-0000-000007220000}"/>
    <cellStyle name="_URSO ADD-DEL's de similares 8 2" xfId="8447" xr:uid="{00000000-0005-0000-0000-000008220000}"/>
    <cellStyle name="_URSO ADD-DEL's de similares 8 3" xfId="8448" xr:uid="{00000000-0005-0000-0000-000009220000}"/>
    <cellStyle name="_URSO ADD-DEL's de similares 8 4" xfId="8449" xr:uid="{00000000-0005-0000-0000-00000A220000}"/>
    <cellStyle name="_URSO ADD-DEL's de similares 8 5" xfId="8450" xr:uid="{00000000-0005-0000-0000-00000B220000}"/>
    <cellStyle name="_URSO ADD-DEL's de similares 8_SUBARTICO ADD-DEL" xfId="8451" xr:uid="{00000000-0005-0000-0000-00000C220000}"/>
    <cellStyle name="_URSO ADD-DEL's de similares 8_SUBARTICO ADD-DEL 2" xfId="8452" xr:uid="{00000000-0005-0000-0000-00000D220000}"/>
    <cellStyle name="_URSO ADD-DEL's de similares 9" xfId="8453" xr:uid="{00000000-0005-0000-0000-00000E220000}"/>
    <cellStyle name="_URSO ADD-DEL's de similares 9 2" xfId="8454" xr:uid="{00000000-0005-0000-0000-00000F220000}"/>
    <cellStyle name="_URSO ADD-DEL's de similares 9 3" xfId="8455" xr:uid="{00000000-0005-0000-0000-000010220000}"/>
    <cellStyle name="_URSO ADD-DEL's de similares 9 4" xfId="8456" xr:uid="{00000000-0005-0000-0000-000011220000}"/>
    <cellStyle name="_URSO ADD-DEL's de similares 9 5" xfId="8457" xr:uid="{00000000-0005-0000-0000-000012220000}"/>
    <cellStyle name="_URSO ADD-DEL's de similares 9_SUBARTICO ADD-DEL" xfId="8458" xr:uid="{00000000-0005-0000-0000-000013220000}"/>
    <cellStyle name="_URSO ADD-DEL's de similares 9_SUBARTICO ADD-DEL 2" xfId="8459" xr:uid="{00000000-0005-0000-0000-000014220000}"/>
    <cellStyle name="_URSO ADD-DEL's de similares_862-CH" xfId="8460" xr:uid="{00000000-0005-0000-0000-000015220000}"/>
    <cellStyle name="_URSO ADD-DEL's de similares_BSHNC162 (RFQ EE5409)1" xfId="8461" xr:uid="{00000000-0005-0000-0000-000016220000}"/>
    <cellStyle name="_URSO ADD-DEL's de similares_BSHNC162 (RFQ EE5409)1 2" xfId="8462" xr:uid="{00000000-0005-0000-0000-000017220000}"/>
    <cellStyle name="_URSO ADD-DEL's de similares_Ec-2376 to 2379 Add-del 318402413 2414 2374 318394491" xfId="8463" xr:uid="{00000000-0005-0000-0000-000018220000}"/>
    <cellStyle name="_URSO ADD-DEL's de similares_Ec-2376 to 2379 Add-del 318402413 2414 2374 318394491 2" xfId="8464" xr:uid="{00000000-0005-0000-0000-000019220000}"/>
    <cellStyle name="_URSO ADD-DEL's de similares_Ec-2376 to 2379 Add-del 318402413 2414 2374 318394491 3" xfId="8465" xr:uid="{00000000-0005-0000-0000-00001A220000}"/>
    <cellStyle name="_URSO ADD-DEL's de similares_Ec-2376 to 2379 Add-del 318402413 2414 2374 318394491 4" xfId="8466" xr:uid="{00000000-0005-0000-0000-00001B220000}"/>
    <cellStyle name="_URSO ADD-DEL's de similares_Ec-2376 to 2379 Add-del 318402413 2414 2374 318394491 5" xfId="8467" xr:uid="{00000000-0005-0000-0000-00001C220000}"/>
    <cellStyle name="_URSO ADD-DEL's de similares_Ec-2376 to 2379 Add-del 318402413 2414 2374 318394491_SUBARTICO ADD-DEL" xfId="8468" xr:uid="{00000000-0005-0000-0000-00001D220000}"/>
    <cellStyle name="_URSO ADD-DEL's de similares_Ec-2376 to 2379 Add-del 318402413 2414 2374 318394491_SUBARTICO ADD-DEL 2" xfId="8469" xr:uid="{00000000-0005-0000-0000-00001E220000}"/>
    <cellStyle name="_URSO ADD-DEL's de similares_ESTIMATED ARES-10 PACKAGE 25NOV" xfId="8470" xr:uid="{00000000-0005-0000-0000-00001F220000}"/>
    <cellStyle name="_URSO ADD-DEL's de similares_ESTIMATED ARES-10 PACKAGE 25NOV 2" xfId="8471" xr:uid="{00000000-0005-0000-0000-000020220000}"/>
    <cellStyle name="_URSO ADD-DEL's de similares_ESTIMATED ARES-10 PACKAGE 25NOV 3" xfId="24894" xr:uid="{00000000-0005-0000-0000-000021220000}"/>
    <cellStyle name="_URSO ADD-DEL's de similares_ESTIMATED ARES-10 PACKAGE 25NOV_SUBARTICO ADD-DEL" xfId="8472" xr:uid="{00000000-0005-0000-0000-000022220000}"/>
    <cellStyle name="_URSO ADD-DEL's de similares_ESTIMATED ARES-10 PACKAGE 25NOV_SUBARTICO ADD-DEL 2" xfId="8473" xr:uid="{00000000-0005-0000-0000-000023220000}"/>
    <cellStyle name="_URSO ADD-DEL's de similares_SUBARTICO ADD-DEL" xfId="8474" xr:uid="{00000000-0005-0000-0000-000024220000}"/>
    <cellStyle name="_URSO ADD-DEL's de similares_SUBARTICO ADD-DEL 2" xfId="8475" xr:uid="{00000000-0005-0000-0000-000025220000}"/>
    <cellStyle name="_URSO ADD-DEL's de similares_W10251766 D" xfId="8476" xr:uid="{00000000-0005-0000-0000-000026220000}"/>
    <cellStyle name="_URSO ADD-DEL's de similares_W10279106 y W10279107 de MR a 56i" xfId="8477" xr:uid="{00000000-0005-0000-0000-000027220000}"/>
    <cellStyle name="_URSO ADD-DEL's de similares_W10315922 A" xfId="8478" xr:uid="{00000000-0005-0000-0000-000028220000}"/>
    <cellStyle name="_URSO ADD-DEL's de similares_WC cleveland con spreadshet" xfId="8479" xr:uid="{00000000-0005-0000-0000-000029220000}"/>
    <cellStyle name="_URSO ADD-DEL's de similares_WC cleveland con spreadshet 2" xfId="8480" xr:uid="{00000000-0005-0000-0000-00002A220000}"/>
    <cellStyle name="_URSO ADD-DEL's de similares_WC cleveland con spreadshet 3" xfId="24895" xr:uid="{00000000-0005-0000-0000-00002B220000}"/>
    <cellStyle name="_URSO ADD-DEL's de similares_WC cleveland con spreadshet_SUBARTICO ADD-DEL" xfId="8481" xr:uid="{00000000-0005-0000-0000-00002C220000}"/>
    <cellStyle name="_URSO ADD-DEL's de similares_WC cleveland con spreadshet_SUBARTICO ADD-DEL 2" xfId="8482" xr:uid="{00000000-0005-0000-0000-00002D220000}"/>
    <cellStyle name="_URSO BOM's de nuevos" xfId="8483" xr:uid="{00000000-0005-0000-0000-00002E220000}"/>
    <cellStyle name="_URSO BOM's de nuevos 10" xfId="8484" xr:uid="{00000000-0005-0000-0000-00002F220000}"/>
    <cellStyle name="_URSO BOM's de nuevos 10 2" xfId="8485" xr:uid="{00000000-0005-0000-0000-000030220000}"/>
    <cellStyle name="_URSO BOM's de nuevos 10 3" xfId="8486" xr:uid="{00000000-0005-0000-0000-000031220000}"/>
    <cellStyle name="_URSO BOM's de nuevos 10 4" xfId="8487" xr:uid="{00000000-0005-0000-0000-000032220000}"/>
    <cellStyle name="_URSO BOM's de nuevos 2" xfId="8488" xr:uid="{00000000-0005-0000-0000-000033220000}"/>
    <cellStyle name="_URSO BOM's de nuevos 2 2" xfId="8489" xr:uid="{00000000-0005-0000-0000-000034220000}"/>
    <cellStyle name="_URSO BOM's de nuevos 2 3" xfId="8490" xr:uid="{00000000-0005-0000-0000-000035220000}"/>
    <cellStyle name="_URSO BOM's de nuevos 2 4" xfId="8491" xr:uid="{00000000-0005-0000-0000-000036220000}"/>
    <cellStyle name="_URSO BOM's de nuevos 2 5" xfId="8492" xr:uid="{00000000-0005-0000-0000-000037220000}"/>
    <cellStyle name="_URSO BOM's de nuevos 2_SUBARTICO ADD-DEL" xfId="8493" xr:uid="{00000000-0005-0000-0000-000038220000}"/>
    <cellStyle name="_URSO BOM's de nuevos 2_SUBARTICO ADD-DEL 2" xfId="8494" xr:uid="{00000000-0005-0000-0000-000039220000}"/>
    <cellStyle name="_URSO BOM's de nuevos 3" xfId="8495" xr:uid="{00000000-0005-0000-0000-00003A220000}"/>
    <cellStyle name="_URSO BOM's de nuevos 3 2" xfId="8496" xr:uid="{00000000-0005-0000-0000-00003B220000}"/>
    <cellStyle name="_URSO BOM's de nuevos 3 3" xfId="8497" xr:uid="{00000000-0005-0000-0000-00003C220000}"/>
    <cellStyle name="_URSO BOM's de nuevos 3 4" xfId="8498" xr:uid="{00000000-0005-0000-0000-00003D220000}"/>
    <cellStyle name="_URSO BOM's de nuevos 3 5" xfId="8499" xr:uid="{00000000-0005-0000-0000-00003E220000}"/>
    <cellStyle name="_URSO BOM's de nuevos 3_SUBARTICO ADD-DEL" xfId="8500" xr:uid="{00000000-0005-0000-0000-00003F220000}"/>
    <cellStyle name="_URSO BOM's de nuevos 3_SUBARTICO ADD-DEL 2" xfId="8501" xr:uid="{00000000-0005-0000-0000-000040220000}"/>
    <cellStyle name="_URSO BOM's de nuevos 4" xfId="8502" xr:uid="{00000000-0005-0000-0000-000041220000}"/>
    <cellStyle name="_URSO BOM's de nuevos 4 2" xfId="8503" xr:uid="{00000000-0005-0000-0000-000042220000}"/>
    <cellStyle name="_URSO BOM's de nuevos 4 3" xfId="8504" xr:uid="{00000000-0005-0000-0000-000043220000}"/>
    <cellStyle name="_URSO BOM's de nuevos 4 4" xfId="8505" xr:uid="{00000000-0005-0000-0000-000044220000}"/>
    <cellStyle name="_URSO BOM's de nuevos 4 5" xfId="8506" xr:uid="{00000000-0005-0000-0000-000045220000}"/>
    <cellStyle name="_URSO BOM's de nuevos 4_SUBARTICO ADD-DEL" xfId="8507" xr:uid="{00000000-0005-0000-0000-000046220000}"/>
    <cellStyle name="_URSO BOM's de nuevos 4_SUBARTICO ADD-DEL 2" xfId="8508" xr:uid="{00000000-0005-0000-0000-000047220000}"/>
    <cellStyle name="_URSO BOM's de nuevos 5" xfId="8509" xr:uid="{00000000-0005-0000-0000-000048220000}"/>
    <cellStyle name="_URSO BOM's de nuevos 5 2" xfId="8510" xr:uid="{00000000-0005-0000-0000-000049220000}"/>
    <cellStyle name="_URSO BOM's de nuevos 5 3" xfId="8511" xr:uid="{00000000-0005-0000-0000-00004A220000}"/>
    <cellStyle name="_URSO BOM's de nuevos 5 4" xfId="8512" xr:uid="{00000000-0005-0000-0000-00004B220000}"/>
    <cellStyle name="_URSO BOM's de nuevos 5 5" xfId="8513" xr:uid="{00000000-0005-0000-0000-00004C220000}"/>
    <cellStyle name="_URSO BOM's de nuevos 5_SUBARTICO ADD-DEL" xfId="8514" xr:uid="{00000000-0005-0000-0000-00004D220000}"/>
    <cellStyle name="_URSO BOM's de nuevos 5_SUBARTICO ADD-DEL 2" xfId="8515" xr:uid="{00000000-0005-0000-0000-00004E220000}"/>
    <cellStyle name="_URSO BOM's de nuevos 6" xfId="8516" xr:uid="{00000000-0005-0000-0000-00004F220000}"/>
    <cellStyle name="_URSO BOM's de nuevos 6 2" xfId="8517" xr:uid="{00000000-0005-0000-0000-000050220000}"/>
    <cellStyle name="_URSO BOM's de nuevos 6 3" xfId="8518" xr:uid="{00000000-0005-0000-0000-000051220000}"/>
    <cellStyle name="_URSO BOM's de nuevos 6 4" xfId="8519" xr:uid="{00000000-0005-0000-0000-000052220000}"/>
    <cellStyle name="_URSO BOM's de nuevos 6 5" xfId="8520" xr:uid="{00000000-0005-0000-0000-000053220000}"/>
    <cellStyle name="_URSO BOM's de nuevos 6_SUBARTICO ADD-DEL" xfId="8521" xr:uid="{00000000-0005-0000-0000-000054220000}"/>
    <cellStyle name="_URSO BOM's de nuevos 6_SUBARTICO ADD-DEL 2" xfId="8522" xr:uid="{00000000-0005-0000-0000-000055220000}"/>
    <cellStyle name="_URSO BOM's de nuevos 7" xfId="8523" xr:uid="{00000000-0005-0000-0000-000056220000}"/>
    <cellStyle name="_URSO BOM's de nuevos 7 2" xfId="8524" xr:uid="{00000000-0005-0000-0000-000057220000}"/>
    <cellStyle name="_URSO BOM's de nuevos 7 3" xfId="8525" xr:uid="{00000000-0005-0000-0000-000058220000}"/>
    <cellStyle name="_URSO BOM's de nuevos 7 4" xfId="8526" xr:uid="{00000000-0005-0000-0000-000059220000}"/>
    <cellStyle name="_URSO BOM's de nuevos 7 5" xfId="8527" xr:uid="{00000000-0005-0000-0000-00005A220000}"/>
    <cellStyle name="_URSO BOM's de nuevos 7_SUBARTICO ADD-DEL" xfId="8528" xr:uid="{00000000-0005-0000-0000-00005B220000}"/>
    <cellStyle name="_URSO BOM's de nuevos 7_SUBARTICO ADD-DEL 2" xfId="8529" xr:uid="{00000000-0005-0000-0000-00005C220000}"/>
    <cellStyle name="_URSO BOM's de nuevos 8" xfId="8530" xr:uid="{00000000-0005-0000-0000-00005D220000}"/>
    <cellStyle name="_URSO BOM's de nuevos 8 2" xfId="8531" xr:uid="{00000000-0005-0000-0000-00005E220000}"/>
    <cellStyle name="_URSO BOM's de nuevos 8 3" xfId="8532" xr:uid="{00000000-0005-0000-0000-00005F220000}"/>
    <cellStyle name="_URSO BOM's de nuevos 8 4" xfId="8533" xr:uid="{00000000-0005-0000-0000-000060220000}"/>
    <cellStyle name="_URSO BOM's de nuevos 8 5" xfId="8534" xr:uid="{00000000-0005-0000-0000-000061220000}"/>
    <cellStyle name="_URSO BOM's de nuevos 8_SUBARTICO ADD-DEL" xfId="8535" xr:uid="{00000000-0005-0000-0000-000062220000}"/>
    <cellStyle name="_URSO BOM's de nuevos 8_SUBARTICO ADD-DEL 2" xfId="8536" xr:uid="{00000000-0005-0000-0000-000063220000}"/>
    <cellStyle name="_URSO BOM's de nuevos 9" xfId="8537" xr:uid="{00000000-0005-0000-0000-000064220000}"/>
    <cellStyle name="_URSO BOM's de nuevos 9 2" xfId="8538" xr:uid="{00000000-0005-0000-0000-000065220000}"/>
    <cellStyle name="_URSO BOM's de nuevos 9 3" xfId="8539" xr:uid="{00000000-0005-0000-0000-000066220000}"/>
    <cellStyle name="_URSO BOM's de nuevos 9 4" xfId="8540" xr:uid="{00000000-0005-0000-0000-000067220000}"/>
    <cellStyle name="_URSO BOM's de nuevos 9 5" xfId="8541" xr:uid="{00000000-0005-0000-0000-000068220000}"/>
    <cellStyle name="_URSO BOM's de nuevos 9_SUBARTICO ADD-DEL" xfId="8542" xr:uid="{00000000-0005-0000-0000-000069220000}"/>
    <cellStyle name="_URSO BOM's de nuevos 9_SUBARTICO ADD-DEL 2" xfId="8543" xr:uid="{00000000-0005-0000-0000-00006A220000}"/>
    <cellStyle name="_URSO BOM's de nuevos_862-CH" xfId="8544" xr:uid="{00000000-0005-0000-0000-00006B220000}"/>
    <cellStyle name="_URSO BOM's de nuevos_BSHNC162 (RFQ EE5409)1" xfId="8545" xr:uid="{00000000-0005-0000-0000-00006C220000}"/>
    <cellStyle name="_URSO BOM's de nuevos_BSHNC162 (RFQ EE5409)1 2" xfId="8546" xr:uid="{00000000-0005-0000-0000-00006D220000}"/>
    <cellStyle name="_URSO BOM's de nuevos_Ec-2376 to 2379 Add-del 318402413 2414 2374 318394491" xfId="8547" xr:uid="{00000000-0005-0000-0000-00006E220000}"/>
    <cellStyle name="_URSO BOM's de nuevos_Ec-2376 to 2379 Add-del 318402413 2414 2374 318394491 2" xfId="8548" xr:uid="{00000000-0005-0000-0000-00006F220000}"/>
    <cellStyle name="_URSO BOM's de nuevos_Ec-2376 to 2379 Add-del 318402413 2414 2374 318394491 3" xfId="8549" xr:uid="{00000000-0005-0000-0000-000070220000}"/>
    <cellStyle name="_URSO BOM's de nuevos_Ec-2376 to 2379 Add-del 318402413 2414 2374 318394491 4" xfId="8550" xr:uid="{00000000-0005-0000-0000-000071220000}"/>
    <cellStyle name="_URSO BOM's de nuevos_Ec-2376 to 2379 Add-del 318402413 2414 2374 318394491 5" xfId="8551" xr:uid="{00000000-0005-0000-0000-000072220000}"/>
    <cellStyle name="_URSO BOM's de nuevos_Ec-2376 to 2379 Add-del 318402413 2414 2374 318394491_SUBARTICO ADD-DEL" xfId="8552" xr:uid="{00000000-0005-0000-0000-000073220000}"/>
    <cellStyle name="_URSO BOM's de nuevos_Ec-2376 to 2379 Add-del 318402413 2414 2374 318394491_SUBARTICO ADD-DEL 2" xfId="8553" xr:uid="{00000000-0005-0000-0000-000074220000}"/>
    <cellStyle name="_URSO BOM's de nuevos_ESTIMATED ARES-10 PACKAGE 25NOV" xfId="8554" xr:uid="{00000000-0005-0000-0000-000075220000}"/>
    <cellStyle name="_URSO BOM's de nuevos_ESTIMATED ARES-10 PACKAGE 25NOV 2" xfId="8555" xr:uid="{00000000-0005-0000-0000-000076220000}"/>
    <cellStyle name="_URSO BOM's de nuevos_ESTIMATED ARES-10 PACKAGE 25NOV 3" xfId="24896" xr:uid="{00000000-0005-0000-0000-000077220000}"/>
    <cellStyle name="_URSO BOM's de nuevos_ESTIMATED ARES-10 PACKAGE 25NOV_SUBARTICO ADD-DEL" xfId="8556" xr:uid="{00000000-0005-0000-0000-000078220000}"/>
    <cellStyle name="_URSO BOM's de nuevos_ESTIMATED ARES-10 PACKAGE 25NOV_SUBARTICO ADD-DEL 2" xfId="8557" xr:uid="{00000000-0005-0000-0000-000079220000}"/>
    <cellStyle name="_URSO BOM's de nuevos_SUBARTICO ADD-DEL" xfId="8558" xr:uid="{00000000-0005-0000-0000-00007A220000}"/>
    <cellStyle name="_URSO BOM's de nuevos_SUBARTICO ADD-DEL 2" xfId="8559" xr:uid="{00000000-0005-0000-0000-00007B220000}"/>
    <cellStyle name="_URSO BOM's de nuevos_W10251766 D" xfId="8560" xr:uid="{00000000-0005-0000-0000-00007C220000}"/>
    <cellStyle name="_URSO BOM's de nuevos_W10279106 y W10279107 de MR a 56i" xfId="8561" xr:uid="{00000000-0005-0000-0000-00007D220000}"/>
    <cellStyle name="_URSO BOM's de nuevos_W10315922 A" xfId="8562" xr:uid="{00000000-0005-0000-0000-00007E220000}"/>
    <cellStyle name="_URSO BOM's de nuevos_WC cleveland con spreadshet" xfId="8563" xr:uid="{00000000-0005-0000-0000-00007F220000}"/>
    <cellStyle name="_URSO BOM's de nuevos_WC cleveland con spreadshet 2" xfId="8564" xr:uid="{00000000-0005-0000-0000-000080220000}"/>
    <cellStyle name="_URSO BOM's de nuevos_WC cleveland con spreadshet 3" xfId="24897" xr:uid="{00000000-0005-0000-0000-000081220000}"/>
    <cellStyle name="_URSO BOM's de nuevos_WC cleveland con spreadshet_SUBARTICO ADD-DEL" xfId="8565" xr:uid="{00000000-0005-0000-0000-000082220000}"/>
    <cellStyle name="_URSO BOM's de nuevos_WC cleveland con spreadshet_SUBARTICO ADD-DEL 2" xfId="8566" xr:uid="{00000000-0005-0000-0000-000083220000}"/>
    <cellStyle name="_W Cleveland Julio-28-09" xfId="8567" xr:uid="{00000000-0005-0000-0000-000084220000}"/>
    <cellStyle name="_W Cleveland Julio-28-09 2" xfId="8568" xr:uid="{00000000-0005-0000-0000-000085220000}"/>
    <cellStyle name="_W Cleveland Julio-28-09 3" xfId="24898" xr:uid="{00000000-0005-0000-0000-000086220000}"/>
    <cellStyle name="_W Cleveland Julio-28-09_SUBARTICO ADD-DEL" xfId="8569" xr:uid="{00000000-0005-0000-0000-000087220000}"/>
    <cellStyle name="_W Cleveland Julio-28-09_SUBARTICO ADD-DEL 2" xfId="8570" xr:uid="{00000000-0005-0000-0000-000088220000}"/>
    <cellStyle name="_W Cleveland Julio-28-09_WC cleveland con spreadshet" xfId="8571" xr:uid="{00000000-0005-0000-0000-000089220000}"/>
    <cellStyle name="_W Cleveland Julio-28-09_WC cleveland con spreadshet 2" xfId="8572" xr:uid="{00000000-0005-0000-0000-00008A220000}"/>
    <cellStyle name="_W Cleveland Julio-28-09_WC cleveland con spreadshet 3" xfId="24899" xr:uid="{00000000-0005-0000-0000-00008B220000}"/>
    <cellStyle name="_W Cleveland Julio-28-09_WC cleveland con spreadshet_SUBARTICO ADD-DEL" xfId="8573" xr:uid="{00000000-0005-0000-0000-00008C220000}"/>
    <cellStyle name="_W Cleveland Julio-28-09_WC cleveland con spreadshet_SUBARTICO ADD-DEL 2" xfId="8574" xr:uid="{00000000-0005-0000-0000-00008D220000}"/>
    <cellStyle name="_W Tulsa Mar-12-09" xfId="8575" xr:uid="{00000000-0005-0000-0000-00008E220000}"/>
    <cellStyle name="_W Tulsa Mar-12-09 2" xfId="8576" xr:uid="{00000000-0005-0000-0000-00008F220000}"/>
    <cellStyle name="_W Tulsa Mar-12-09 3" xfId="8577" xr:uid="{00000000-0005-0000-0000-000090220000}"/>
    <cellStyle name="_W Tulsa Mar-12-09_862-CH" xfId="8578" xr:uid="{00000000-0005-0000-0000-000091220000}"/>
    <cellStyle name="_W Tulsa Mar-12-09_SUBARTICO ADD-DEL" xfId="8579" xr:uid="{00000000-0005-0000-0000-000092220000}"/>
    <cellStyle name="_W Tulsa Mar-12-09_SUBARTICO ADD-DEL 2" xfId="8580" xr:uid="{00000000-0005-0000-0000-000093220000}"/>
    <cellStyle name="_W Tulsa Mar-12-09_W10251766 D" xfId="8581" xr:uid="{00000000-0005-0000-0000-000094220000}"/>
    <cellStyle name="_W Tulsa Mar-12-09_W10279106 y W10279107 de MR a 56i" xfId="8582" xr:uid="{00000000-0005-0000-0000-000095220000}"/>
    <cellStyle name="_W Tulsa Mar-12-09_W10315922 A" xfId="8583" xr:uid="{00000000-0005-0000-0000-000096220000}"/>
    <cellStyle name="_W. Findlay capex (8275388) 12-18-08" xfId="8584" xr:uid="{00000000-0005-0000-0000-000097220000}"/>
    <cellStyle name="_W. Findlay capex (8275388) 12-18-08 2" xfId="8585" xr:uid="{00000000-0005-0000-0000-000098220000}"/>
    <cellStyle name="_W. Findlay capex (8275388) 12-18-08 3" xfId="8586" xr:uid="{00000000-0005-0000-0000-000099220000}"/>
    <cellStyle name="_W. Findlay capex (8275388) 12-18-08 4" xfId="8587" xr:uid="{00000000-0005-0000-0000-00009A220000}"/>
    <cellStyle name="_W. Findlay capex (8275388) 12-18-08_862-CH" xfId="8588" xr:uid="{00000000-0005-0000-0000-00009B220000}"/>
    <cellStyle name="_W. Findlay capex (8275388) 12-18-08_W10251766 D" xfId="8589" xr:uid="{00000000-0005-0000-0000-00009C220000}"/>
    <cellStyle name="_W. Findlay capex (8275388) 12-18-08_W10279106 y W10279107 de MR a 56i" xfId="8590" xr:uid="{00000000-0005-0000-0000-00009D220000}"/>
    <cellStyle name="_W. Findlay capex (8275388) 12-18-08_W10315922 A" xfId="8591" xr:uid="{00000000-0005-0000-0000-00009E220000}"/>
    <cellStyle name="_W10111063 64 10-MARZO-09" xfId="8592" xr:uid="{00000000-0005-0000-0000-00009F220000}"/>
    <cellStyle name="_W10111063 64 10-MARZO-09 2" xfId="8593" xr:uid="{00000000-0005-0000-0000-0000A0220000}"/>
    <cellStyle name="_W10111063 64 10-MARZO-09 2 2" xfId="24900" xr:uid="{00000000-0005-0000-0000-0000A1220000}"/>
    <cellStyle name="_W10111063 64 10-MARZO-09 2 3" xfId="24901" xr:uid="{00000000-0005-0000-0000-0000A2220000}"/>
    <cellStyle name="_W10111063 64 10-MARZO-09 3" xfId="8594" xr:uid="{00000000-0005-0000-0000-0000A3220000}"/>
    <cellStyle name="_W10111063 64 10-MARZO-09 4" xfId="8595" xr:uid="{00000000-0005-0000-0000-0000A4220000}"/>
    <cellStyle name="_W10111063 64 10-MARZO-09_862-CH" xfId="8596" xr:uid="{00000000-0005-0000-0000-0000A5220000}"/>
    <cellStyle name="_W10111063 64 10-MARZO-09_CONCENTRATED QUOTE WLP474" xfId="8597" xr:uid="{00000000-0005-0000-0000-0000A6220000}"/>
    <cellStyle name="_W10111063 64 10-MARZO-09_CONCENTRATED QUOTE WLP474 2" xfId="8598" xr:uid="{00000000-0005-0000-0000-0000A7220000}"/>
    <cellStyle name="_W10111063 64 10-MARZO-09_CONCENTRATED QUOTE WLP474 3" xfId="8599" xr:uid="{00000000-0005-0000-0000-0000A8220000}"/>
    <cellStyle name="_W10111063 64 10-MARZO-09_CONCENTRATED QUOTE WLP474 4" xfId="8600" xr:uid="{00000000-0005-0000-0000-0000A9220000}"/>
    <cellStyle name="_W10111063 64 10-MARZO-09_CONCENTRATED QUOTE WLP550" xfId="8601" xr:uid="{00000000-0005-0000-0000-0000AA220000}"/>
    <cellStyle name="_W10111063 64 10-MARZO-09_CONCENTRATED QUOTE WLP550 2" xfId="8602" xr:uid="{00000000-0005-0000-0000-0000AB220000}"/>
    <cellStyle name="_W10111063 64 10-MARZO-09_CONCENTRATED QUOTE WLP550 3" xfId="8603" xr:uid="{00000000-0005-0000-0000-0000AC220000}"/>
    <cellStyle name="_W10111063 64 10-MARZO-09_CONCENTRATED QUOTE WLP550 4" xfId="8604" xr:uid="{00000000-0005-0000-0000-0000AD220000}"/>
    <cellStyle name="_W10111063 64 10-MARZO-09_CONCENTRATED QUOTE WLP550 5" xfId="8605" xr:uid="{00000000-0005-0000-0000-0000AE220000}"/>
    <cellStyle name="_W10111063 64 10-MARZO-09_CONCENTRATED QUOTE WLP559" xfId="8606" xr:uid="{00000000-0005-0000-0000-0000AF220000}"/>
    <cellStyle name="_W10111063 64 10-MARZO-09_CONCENTRATED QUOTE WLP568" xfId="8607" xr:uid="{00000000-0005-0000-0000-0000B0220000}"/>
    <cellStyle name="_W10111063 64 10-MARZO-09_CONCENTRATED QUOTE WLP571" xfId="8608" xr:uid="{00000000-0005-0000-0000-0000B1220000}"/>
    <cellStyle name="_W10111063 64 10-MARZO-09_CONCENTRATED QUOTE WLP574  ALPHA" xfId="8609" xr:uid="{00000000-0005-0000-0000-0000B2220000}"/>
    <cellStyle name="_W10111063 64 10-MARZO-09_CONCENTRATED QUOTE WLP574  ALPHA 2" xfId="8610" xr:uid="{00000000-0005-0000-0000-0000B3220000}"/>
    <cellStyle name="_W10111063 64 10-MARZO-09_CONCENTRATED QUOTE WLP574  ALPHA 3" xfId="8611" xr:uid="{00000000-0005-0000-0000-0000B4220000}"/>
    <cellStyle name="_W10111063 64 10-MARZO-09_CONCENTRATED QUOTE WLP574  ALPHA 4" xfId="8612" xr:uid="{00000000-0005-0000-0000-0000B5220000}"/>
    <cellStyle name="_W10111063 64 10-MARZO-09_CONCENTRATED QUOTE WLP574  ALPHA 5" xfId="8613" xr:uid="{00000000-0005-0000-0000-0000B6220000}"/>
    <cellStyle name="_W10111063 64 10-MARZO-09_Estimated Quote 050609 039" xfId="8614" xr:uid="{00000000-0005-0000-0000-0000B7220000}"/>
    <cellStyle name="_W10111063 64 10-MARZO-09_Estimated Quote 050609 039 2" xfId="8615" xr:uid="{00000000-0005-0000-0000-0000B8220000}"/>
    <cellStyle name="_W10111063 64 10-MARZO-09_Estimated Quote 050609 039 3" xfId="8616" xr:uid="{00000000-0005-0000-0000-0000B9220000}"/>
    <cellStyle name="_W10111063 64 10-MARZO-09_Estimated Quote 050609 039 4" xfId="8617" xr:uid="{00000000-0005-0000-0000-0000BA220000}"/>
    <cellStyle name="_W10111063 64 10-MARZO-09_Estimated Quote 050609 039 5" xfId="8618" xr:uid="{00000000-0005-0000-0000-0000BB220000}"/>
    <cellStyle name="_W10111063 64 10-MARZO-09_W10251442" xfId="8619" xr:uid="{00000000-0005-0000-0000-0000BC220000}"/>
    <cellStyle name="_W10111063 64 10-MARZO-09_W10251443" xfId="8620" xr:uid="{00000000-0005-0000-0000-0000BD220000}"/>
    <cellStyle name="_W10111063 64 10-MARZO-09_W10251444" xfId="8621" xr:uid="{00000000-0005-0000-0000-0000BE220000}"/>
    <cellStyle name="_W10111063 64 10-MARZO-09_W10251766 D" xfId="8622" xr:uid="{00000000-0005-0000-0000-0000BF220000}"/>
    <cellStyle name="_W10111063 64 10-MARZO-09_W10278758" xfId="8623" xr:uid="{00000000-0005-0000-0000-0000C0220000}"/>
    <cellStyle name="_W10111063 64 10-MARZO-09_W10278759" xfId="8624" xr:uid="{00000000-0005-0000-0000-0000C1220000}"/>
    <cellStyle name="_W10111063 64 10-MARZO-09_W10279106 y W10279107 de MR a 56i" xfId="8625" xr:uid="{00000000-0005-0000-0000-0000C2220000}"/>
    <cellStyle name="_W10111063 64 10-MARZO-09_W10290772" xfId="8626" xr:uid="{00000000-0005-0000-0000-0000C3220000}"/>
    <cellStyle name="_W10111063 64 10-MARZO-09_W10290772 2" xfId="8627" xr:uid="{00000000-0005-0000-0000-0000C4220000}"/>
    <cellStyle name="_W10111063 64 10-MARZO-09_W10290772 3" xfId="8628" xr:uid="{00000000-0005-0000-0000-0000C5220000}"/>
    <cellStyle name="_W10111063 64 10-MARZO-09_W10290772 4" xfId="8629" xr:uid="{00000000-0005-0000-0000-0000C6220000}"/>
    <cellStyle name="_W10111063 64 10-MARZO-09_W10290772 5" xfId="8630" xr:uid="{00000000-0005-0000-0000-0000C7220000}"/>
    <cellStyle name="_W10111063 64 10-MARZO-09_W10290774" xfId="8631" xr:uid="{00000000-0005-0000-0000-0000C8220000}"/>
    <cellStyle name="_W10111063 64 10-MARZO-09_W10290774 2" xfId="8632" xr:uid="{00000000-0005-0000-0000-0000C9220000}"/>
    <cellStyle name="_W10111063 64 10-MARZO-09_W10290774 3" xfId="8633" xr:uid="{00000000-0005-0000-0000-0000CA220000}"/>
    <cellStyle name="_W10111063 64 10-MARZO-09_W10290774 4" xfId="8634" xr:uid="{00000000-0005-0000-0000-0000CB220000}"/>
    <cellStyle name="_W10111063 64 10-MARZO-09_W10290774 5" xfId="8635" xr:uid="{00000000-0005-0000-0000-0000CC220000}"/>
    <cellStyle name="_W10111063 64 10-MARZO-09_W10315922 A" xfId="8636" xr:uid="{00000000-0005-0000-0000-0000CD220000}"/>
    <cellStyle name="_W10111066 68 10-MARZO-09" xfId="8637" xr:uid="{00000000-0005-0000-0000-0000CE220000}"/>
    <cellStyle name="_W10111066 68 10-MARZO-09 2" xfId="8638" xr:uid="{00000000-0005-0000-0000-0000CF220000}"/>
    <cellStyle name="_W10111066 68 10-MARZO-09 2 2" xfId="8639" xr:uid="{00000000-0005-0000-0000-0000D0220000}"/>
    <cellStyle name="_W10111066 68 10-MARZO-09 2 3" xfId="8640" xr:uid="{00000000-0005-0000-0000-0000D1220000}"/>
    <cellStyle name="_W10111066 68 10-MARZO-09 2 4" xfId="8641" xr:uid="{00000000-0005-0000-0000-0000D2220000}"/>
    <cellStyle name="_W10111066 68 10-MARZO-09 3" xfId="8642" xr:uid="{00000000-0005-0000-0000-0000D3220000}"/>
    <cellStyle name="_W10111066 68 10-MARZO-09 4" xfId="8643" xr:uid="{00000000-0005-0000-0000-0000D4220000}"/>
    <cellStyle name="_W10111066 68 10-MARZO-09 5" xfId="8644" xr:uid="{00000000-0005-0000-0000-0000D5220000}"/>
    <cellStyle name="_W10111066 68 10-MARZO-09_CONCENTRATED QUOTE WLP440" xfId="8645" xr:uid="{00000000-0005-0000-0000-0000D6220000}"/>
    <cellStyle name="_W10111066 68 10-MARZO-09_CONCENTRATED QUOTE WLP440 2" xfId="8646" xr:uid="{00000000-0005-0000-0000-0000D7220000}"/>
    <cellStyle name="_W10111066 68 10-MARZO-09_CONCENTRATED QUOTE WLP440 3" xfId="8647" xr:uid="{00000000-0005-0000-0000-0000D8220000}"/>
    <cellStyle name="_W10111066 68 10-MARZO-09_CONCENTRATED QUOTE WLP440 4" xfId="8648" xr:uid="{00000000-0005-0000-0000-0000D9220000}"/>
    <cellStyle name="_W10111066 68 10-MARZO-09_CONCENTRATED QUOTE WLP440 5" xfId="8649" xr:uid="{00000000-0005-0000-0000-0000DA220000}"/>
    <cellStyle name="_W10111066 68 10-MARZO-09_CONCENTRATED QUOTE WLP477" xfId="8650" xr:uid="{00000000-0005-0000-0000-0000DB220000}"/>
    <cellStyle name="_W10111066 68 10-MARZO-09_CONCENTRATED QUOTE WLP477 2" xfId="8651" xr:uid="{00000000-0005-0000-0000-0000DC220000}"/>
    <cellStyle name="_W10111066 68 10-MARZO-09_CONCENTRATED QUOTE WLP477 3" xfId="8652" xr:uid="{00000000-0005-0000-0000-0000DD220000}"/>
    <cellStyle name="_W10111066 68 10-MARZO-09_CONCENTRATED QUOTE WLP477 4" xfId="8653" xr:uid="{00000000-0005-0000-0000-0000DE220000}"/>
    <cellStyle name="_W10111066 68 10-MARZO-09_CONCENTRATED QUOTE WLP477 5" xfId="8654" xr:uid="{00000000-0005-0000-0000-0000DF220000}"/>
    <cellStyle name="_W10111066 68 10-MARZO-09_CONCENTRATED QUOTE WLP488" xfId="8655" xr:uid="{00000000-0005-0000-0000-0000E0220000}"/>
    <cellStyle name="_W10111066 68 10-MARZO-09_CONCENTRATED QUOTE WLP488 2" xfId="8656" xr:uid="{00000000-0005-0000-0000-0000E1220000}"/>
    <cellStyle name="_W10111066 68 10-MARZO-09_CONCENTRATED QUOTE WLP488 3" xfId="8657" xr:uid="{00000000-0005-0000-0000-0000E2220000}"/>
    <cellStyle name="_W10111066 68 10-MARZO-09_CONCENTRATED QUOTE WLP488 4" xfId="8658" xr:uid="{00000000-0005-0000-0000-0000E3220000}"/>
    <cellStyle name="_W10111066 68 10-MARZO-09_CONCENTRATED QUOTE WLP488 5" xfId="8659" xr:uid="{00000000-0005-0000-0000-0000E4220000}"/>
    <cellStyle name="_W10111066 68 10-MARZO-09_CONCENTRATED QUOTE WLP491" xfId="8660" xr:uid="{00000000-0005-0000-0000-0000E5220000}"/>
    <cellStyle name="_W10111066 68 10-MARZO-09_CONCENTRATED QUOTE WLP491 2" xfId="8661" xr:uid="{00000000-0005-0000-0000-0000E6220000}"/>
    <cellStyle name="_W10111066 68 10-MARZO-09_CONCENTRATED QUOTE WLP491 3" xfId="8662" xr:uid="{00000000-0005-0000-0000-0000E7220000}"/>
    <cellStyle name="_W10111066 68 10-MARZO-09_CONCENTRATED QUOTE WLP491 4" xfId="8663" xr:uid="{00000000-0005-0000-0000-0000E8220000}"/>
    <cellStyle name="_W10111066 68 10-MARZO-09_CONCENTRATED QUOTE WLP491 5" xfId="8664" xr:uid="{00000000-0005-0000-0000-0000E9220000}"/>
    <cellStyle name="_W10111066 68 10-MARZO-09_CONCENTRATED QUOTE WLP507A" xfId="8665" xr:uid="{00000000-0005-0000-0000-0000EA220000}"/>
    <cellStyle name="_W10111066 68 10-MARZO-09_CONCENTRATED QUOTE WLP507A 2" xfId="8666" xr:uid="{00000000-0005-0000-0000-0000EB220000}"/>
    <cellStyle name="_W10111066 68 10-MARZO-09_CONCENTRATED QUOTE WLP507A 3" xfId="8667" xr:uid="{00000000-0005-0000-0000-0000EC220000}"/>
    <cellStyle name="_W10111066 68 10-MARZO-09_CONCENTRATED QUOTE WLP507A 4" xfId="8668" xr:uid="{00000000-0005-0000-0000-0000ED220000}"/>
    <cellStyle name="_W10111066 68 10-MARZO-09_CONCENTRATED QUOTE WLP528" xfId="8669" xr:uid="{00000000-0005-0000-0000-0000EE220000}"/>
    <cellStyle name="_W10111066 68 10-MARZO-09_CONCENTRATED QUOTE WLP528 2" xfId="8670" xr:uid="{00000000-0005-0000-0000-0000EF220000}"/>
    <cellStyle name="_W10111066 68 10-MARZO-09_CONCENTRATED QUOTE WLP528 3" xfId="8671" xr:uid="{00000000-0005-0000-0000-0000F0220000}"/>
    <cellStyle name="_W10111066 68 10-MARZO-09_CONCENTRATED QUOTE WLP528 4" xfId="8672" xr:uid="{00000000-0005-0000-0000-0000F1220000}"/>
    <cellStyle name="_W10111066 68 10-MARZO-09_CONCENTRATED QUOTE WLP528 5" xfId="8673" xr:uid="{00000000-0005-0000-0000-0000F2220000}"/>
    <cellStyle name="_W10111066 68 10-MARZO-09_CONCENTRATED QUOTE WLP534" xfId="8674" xr:uid="{00000000-0005-0000-0000-0000F3220000}"/>
    <cellStyle name="_W10111066 68 10-MARZO-09_CONCENTRATED QUOTE WLP534 2" xfId="8675" xr:uid="{00000000-0005-0000-0000-0000F4220000}"/>
    <cellStyle name="_W10111066 68 10-MARZO-09_CONCENTRATED QUOTE WLP534 3" xfId="8676" xr:uid="{00000000-0005-0000-0000-0000F5220000}"/>
    <cellStyle name="_W10111066 68 10-MARZO-09_CONCENTRATED QUOTE WLP534 4" xfId="8677" xr:uid="{00000000-0005-0000-0000-0000F6220000}"/>
    <cellStyle name="_W10111066 68 10-MARZO-09_CONCENTRATED QUOTE WLP536" xfId="8678" xr:uid="{00000000-0005-0000-0000-0000F7220000}"/>
    <cellStyle name="_W10111066 68 10-MARZO-09_CONCENTRATED QUOTE WLP536 2" xfId="8679" xr:uid="{00000000-0005-0000-0000-0000F8220000}"/>
    <cellStyle name="_W10111066 68 10-MARZO-09_CONCENTRATED QUOTE WLP536 3" xfId="8680" xr:uid="{00000000-0005-0000-0000-0000F9220000}"/>
    <cellStyle name="_W10111066 68 10-MARZO-09_CONCENTRATED QUOTE WLP536 4" xfId="8681" xr:uid="{00000000-0005-0000-0000-0000FA220000}"/>
    <cellStyle name="_W10111066 68 10-MARZO-09_CONCENTRATED QUOTE WLP536 5" xfId="8682" xr:uid="{00000000-0005-0000-0000-0000FB220000}"/>
    <cellStyle name="_W10111066 68 10-MARZO-09_CONCENTRATED QUOTE WLP545" xfId="8683" xr:uid="{00000000-0005-0000-0000-0000FC220000}"/>
    <cellStyle name="_W10111066 68 10-MARZO-09_CONCENTRATED QUOTE WLP545 2" xfId="8684" xr:uid="{00000000-0005-0000-0000-0000FD220000}"/>
    <cellStyle name="_W10111066 68 10-MARZO-09_CONCENTRATED QUOTE WLP545 3" xfId="8685" xr:uid="{00000000-0005-0000-0000-0000FE220000}"/>
    <cellStyle name="_W10111066 68 10-MARZO-09_CONCENTRATED QUOTE WLP545 4" xfId="8686" xr:uid="{00000000-0005-0000-0000-0000FF220000}"/>
    <cellStyle name="_W10111066 68 10-MARZO-09_CONCENTRATED QUOTE WLP550" xfId="8687" xr:uid="{00000000-0005-0000-0000-000000230000}"/>
    <cellStyle name="_W10111066 68 10-MARZO-09_CONCENTRATED QUOTE WLP550 2" xfId="8688" xr:uid="{00000000-0005-0000-0000-000001230000}"/>
    <cellStyle name="_W10111066 68 10-MARZO-09_CONCENTRATED QUOTE WLP550 3" xfId="8689" xr:uid="{00000000-0005-0000-0000-000002230000}"/>
    <cellStyle name="_W10111066 68 10-MARZO-09_CONCENTRATED QUOTE WLP550 4" xfId="8690" xr:uid="{00000000-0005-0000-0000-000003230000}"/>
    <cellStyle name="_W10111066 68 10-MARZO-09_CONCENTRATED QUOTE WLP552" xfId="8691" xr:uid="{00000000-0005-0000-0000-000004230000}"/>
    <cellStyle name="_W10111066 68 10-MARZO-09_CONCENTRATED QUOTE WLP552 2" xfId="8692" xr:uid="{00000000-0005-0000-0000-000005230000}"/>
    <cellStyle name="_W10111066 68 10-MARZO-09_CONCENTRATED QUOTE WLP552 3" xfId="8693" xr:uid="{00000000-0005-0000-0000-000006230000}"/>
    <cellStyle name="_W10111066 68 10-MARZO-09_CONCENTRATED QUOTE WLP552 4" xfId="8694" xr:uid="{00000000-0005-0000-0000-000007230000}"/>
    <cellStyle name="_W10111066 68 10-MARZO-09_CONCENTRATED QUOTE WLP5565" xfId="8695" xr:uid="{00000000-0005-0000-0000-000008230000}"/>
    <cellStyle name="_W10111066 68 10-MARZO-09_CONCENTRATED QUOTE WLP5565 2" xfId="8696" xr:uid="{00000000-0005-0000-0000-000009230000}"/>
    <cellStyle name="_W10111066 68 10-MARZO-09_CONCENTRATED QUOTE WLP5565 3" xfId="8697" xr:uid="{00000000-0005-0000-0000-00000A230000}"/>
    <cellStyle name="_W10111066 68 10-MARZO-09_CONCENTRATED QUOTE WLP5565 4" xfId="8698" xr:uid="{00000000-0005-0000-0000-00000B230000}"/>
    <cellStyle name="_W10111066 68 10-MARZO-09_CONCENTRATED QUOTE WLP610 VMW CLC" xfId="8699" xr:uid="{00000000-0005-0000-0000-00000C230000}"/>
    <cellStyle name="_W10111066 68 10-MARZO-09_CONCENTRATED QUOTE WLP610 VMW CLC 2" xfId="8700" xr:uid="{00000000-0005-0000-0000-00000D230000}"/>
    <cellStyle name="_W10111066 68 10-MARZO-09_CONCENTRATED QUOTE WLP610 VMW CLC 3" xfId="8701" xr:uid="{00000000-0005-0000-0000-00000E230000}"/>
    <cellStyle name="_W10111066 68 10-MARZO-09_CONCENTRATED QUOTE WLP610 VMW CLC 4" xfId="8702" xr:uid="{00000000-0005-0000-0000-00000F230000}"/>
    <cellStyle name="_W10111066 68 10-MARZO-09_CONCENTRATED QUOTE WLP610 VMW CLC 5" xfId="8703" xr:uid="{00000000-0005-0000-0000-000010230000}"/>
    <cellStyle name="_W10111066 68 10-MARZO-09_CONCENTRATED QUOTE WLP623 071310" xfId="8704" xr:uid="{00000000-0005-0000-0000-000011230000}"/>
    <cellStyle name="_W10111066 68 10-MARZO-09_CONCENTRATED QUOTE WLP628" xfId="8705" xr:uid="{00000000-0005-0000-0000-000012230000}"/>
    <cellStyle name="_W10111066 68 10-MARZO-09_CONCENTRATED QUOTE WLP628 2" xfId="8706" xr:uid="{00000000-0005-0000-0000-000013230000}"/>
    <cellStyle name="_W10111066 68 10-MARZO-09_CONCENTRATED QUOTE WLP628 3" xfId="8707" xr:uid="{00000000-0005-0000-0000-000014230000}"/>
    <cellStyle name="_W10111066 68 10-MARZO-09_CONCENTRATED QUOTE WLP628 4" xfId="8708" xr:uid="{00000000-0005-0000-0000-000015230000}"/>
    <cellStyle name="_W10111066 68 10-MARZO-09_CONCENTRATED QUOTE WLP628 5" xfId="8709" xr:uid="{00000000-0005-0000-0000-000016230000}"/>
    <cellStyle name="_W10111066 68 10-MARZO-09_CONCENTRATED QUOTE WLP634 VMW MTAG" xfId="8710" xr:uid="{00000000-0005-0000-0000-000017230000}"/>
    <cellStyle name="_W10111066 68 10-MARZO-09_CONCENTRATED QUOTE WLP635" xfId="8711" xr:uid="{00000000-0005-0000-0000-000018230000}"/>
    <cellStyle name="_W10111066 68 10-MARZO-09_CONCENTRATED QUOTE WLP646" xfId="8712" xr:uid="{00000000-0005-0000-0000-000019230000}"/>
    <cellStyle name="_W10111066 68 10-MARZO-09_CONCENTRATED QUOTE WLP646 2" xfId="8713" xr:uid="{00000000-0005-0000-0000-00001A230000}"/>
    <cellStyle name="_W10111066 68 10-MARZO-09_CONCENTRATED QUOTE WLP646 3" xfId="8714" xr:uid="{00000000-0005-0000-0000-00001B230000}"/>
    <cellStyle name="_W10111066 68 10-MARZO-09_CONCENTRATED QUOTE WLP646 4" xfId="8715" xr:uid="{00000000-0005-0000-0000-00001C230000}"/>
    <cellStyle name="_W10111066 68 10-MARZO-09_CONCENTRATED QUOTE WLP646 5" xfId="8716" xr:uid="{00000000-0005-0000-0000-00001D230000}"/>
    <cellStyle name="_W10111066 68 10-MARZO-09_Copy of CONCENTRATED QUOTE WLP579" xfId="8717" xr:uid="{00000000-0005-0000-0000-00001E230000}"/>
    <cellStyle name="_W10111066 68 10-MARZO-09_Copy of CONCENTRATED QUOTE WLP579 2" xfId="8718" xr:uid="{00000000-0005-0000-0000-00001F230000}"/>
    <cellStyle name="_W10111066 68 10-MARZO-09_Copy of CONCENTRATED QUOTE WLP579 3" xfId="8719" xr:uid="{00000000-0005-0000-0000-000020230000}"/>
    <cellStyle name="_W10111066 68 10-MARZO-09_Copy of CONCENTRATED QUOTE WLP579 4" xfId="8720" xr:uid="{00000000-0005-0000-0000-000021230000}"/>
    <cellStyle name="_W10111066 68 10-MARZO-09_ESTC1CLY0012" xfId="8721" xr:uid="{00000000-0005-0000-0000-000022230000}"/>
    <cellStyle name="_W10111066 68 10-MARZO-09_ESTC1CLY0012 2" xfId="8722" xr:uid="{00000000-0005-0000-0000-000023230000}"/>
    <cellStyle name="_W10111066 68 10-MARZO-09_ESTC1CLY0012 3" xfId="8723" xr:uid="{00000000-0005-0000-0000-000024230000}"/>
    <cellStyle name="_W10111066 68 10-MARZO-09_ESTC1CLY0012 4" xfId="8724" xr:uid="{00000000-0005-0000-0000-000025230000}"/>
    <cellStyle name="_W10111066 68 10-MARZO-09_ESTC1CLY0013" xfId="8725" xr:uid="{00000000-0005-0000-0000-000026230000}"/>
    <cellStyle name="_W10111066 68 10-MARZO-09_ESTC1CLY0013 2" xfId="8726" xr:uid="{00000000-0005-0000-0000-000027230000}"/>
    <cellStyle name="_W10111066 68 10-MARZO-09_ESTC1CLY0013 3" xfId="8727" xr:uid="{00000000-0005-0000-0000-000028230000}"/>
    <cellStyle name="_W10111066 68 10-MARZO-09_ESTC1CLY0013 4" xfId="8728" xr:uid="{00000000-0005-0000-0000-000029230000}"/>
    <cellStyle name="_W10111066 68 10-MARZO-09_ESTC1FIN018" xfId="8729" xr:uid="{00000000-0005-0000-0000-00002A230000}"/>
    <cellStyle name="_W10111066 68 10-MARZO-09_W01278760" xfId="8730" xr:uid="{00000000-0005-0000-0000-00002B230000}"/>
    <cellStyle name="_W10111066 68 10-MARZO-09_W01278760 2" xfId="8731" xr:uid="{00000000-0005-0000-0000-00002C230000}"/>
    <cellStyle name="_W10111066 68 10-MARZO-09_W01278760 3" xfId="8732" xr:uid="{00000000-0005-0000-0000-00002D230000}"/>
    <cellStyle name="_W10111066 68 10-MARZO-09_W01278760 4" xfId="8733" xr:uid="{00000000-0005-0000-0000-00002E230000}"/>
    <cellStyle name="_W10111066 68 10-MARZO-09_W01278760 5" xfId="8734" xr:uid="{00000000-0005-0000-0000-00002F230000}"/>
    <cellStyle name="_W10111066 68 10-MARZO-09_W10278758" xfId="8735" xr:uid="{00000000-0005-0000-0000-000030230000}"/>
    <cellStyle name="_W10111066 68 10-MARZO-09_W10278758 2" xfId="8736" xr:uid="{00000000-0005-0000-0000-000031230000}"/>
    <cellStyle name="_W10111066 68 10-MARZO-09_W10278758 3" xfId="8737" xr:uid="{00000000-0005-0000-0000-000032230000}"/>
    <cellStyle name="_W10111066 68 10-MARZO-09_W10278758 4" xfId="8738" xr:uid="{00000000-0005-0000-0000-000033230000}"/>
    <cellStyle name="_W10111066 68 10-MARZO-09_W10278758 5" xfId="8739" xr:uid="{00000000-0005-0000-0000-000034230000}"/>
    <cellStyle name="_W10111066 68 10-MARZO-09_W10300883" xfId="8740" xr:uid="{00000000-0005-0000-0000-000035230000}"/>
    <cellStyle name="_W10111066 68 10-MARZO-09_W10300883 2" xfId="8741" xr:uid="{00000000-0005-0000-0000-000036230000}"/>
    <cellStyle name="_W10111066 68 10-MARZO-09_W10300883 3" xfId="8742" xr:uid="{00000000-0005-0000-0000-000037230000}"/>
    <cellStyle name="_W10111066 68 10-MARZO-09_W10300883 4" xfId="8743" xr:uid="{00000000-0005-0000-0000-000038230000}"/>
    <cellStyle name="_W10111066 68 10-MARZO-09_W10300883 5" xfId="8744" xr:uid="{00000000-0005-0000-0000-000039230000}"/>
    <cellStyle name="_W10111066 68 10-MARZO-09_WPFINDLAY-0037" xfId="8745" xr:uid="{00000000-0005-0000-0000-00003A230000}"/>
    <cellStyle name="_W10111066 68 10-MARZO-09_WPN163 8576530" xfId="8746" xr:uid="{00000000-0005-0000-0000-00003B230000}"/>
    <cellStyle name="_W10111066 68 10-MARZO-09_WPN163 8576530 2" xfId="8747" xr:uid="{00000000-0005-0000-0000-00003C230000}"/>
    <cellStyle name="_W10111066 68 10-MARZO-09_WPN163 8576530 3" xfId="8748" xr:uid="{00000000-0005-0000-0000-00003D230000}"/>
    <cellStyle name="_W10111066 68 10-MARZO-09_WPN163 8576530 4" xfId="8749" xr:uid="{00000000-0005-0000-0000-00003E230000}"/>
    <cellStyle name="_W10111066 68 10-MARZO-09_xCONCENTRATED QUOTE 2" xfId="8750" xr:uid="{00000000-0005-0000-0000-00003F230000}"/>
    <cellStyle name="_W10111066 68 10-MARZO-09_xCONCENTRATED QUOTE 2 2" xfId="8751" xr:uid="{00000000-0005-0000-0000-000040230000}"/>
    <cellStyle name="_W10111066 68 10-MARZO-09_xCONCENTRATED QUOTE 2 3" xfId="8752" xr:uid="{00000000-0005-0000-0000-000041230000}"/>
    <cellStyle name="_W10111066 68 10-MARZO-09_xCONCENTRATED QUOTE 2 4" xfId="8753" xr:uid="{00000000-0005-0000-0000-000042230000}"/>
    <cellStyle name="_W10111066 68 10-MARZO-09_xCONCENTRATED QUOTE 2 5" xfId="8754" xr:uid="{00000000-0005-0000-0000-000043230000}"/>
    <cellStyle name="_W10111066 68 10-MARZO-09_xCONCENTRATED QUOTE 3" xfId="8755" xr:uid="{00000000-0005-0000-0000-000044230000}"/>
    <cellStyle name="_W10111066 68 10-MARZO-09_xCONCENTRATED QUOTE 3 2" xfId="8756" xr:uid="{00000000-0005-0000-0000-000045230000}"/>
    <cellStyle name="_W10111066 68 10-MARZO-09_xCONCENTRATED QUOTE 3 3" xfId="8757" xr:uid="{00000000-0005-0000-0000-000046230000}"/>
    <cellStyle name="_W10111066 68 10-MARZO-09_xCONCENTRATED QUOTE 3 4" xfId="8758" xr:uid="{00000000-0005-0000-0000-000047230000}"/>
    <cellStyle name="_W10111066 68 10-MARZO-09_xCONCENTRATED QUOTE 3 5" xfId="8759" xr:uid="{00000000-0005-0000-0000-000048230000}"/>
    <cellStyle name="_W10111066 68 10-MARZO-09_Xl0000004" xfId="8760" xr:uid="{00000000-0005-0000-0000-000049230000}"/>
    <cellStyle name="_W10111066 68 10-MARZO-09_Xl0000004 2" xfId="8761" xr:uid="{00000000-0005-0000-0000-00004A230000}"/>
    <cellStyle name="_W10111066 68 10-MARZO-09_Xl0000004 3" xfId="8762" xr:uid="{00000000-0005-0000-0000-00004B230000}"/>
    <cellStyle name="_W10111066 68 10-MARZO-09_Xl0000004 4" xfId="8763" xr:uid="{00000000-0005-0000-0000-00004C230000}"/>
    <cellStyle name="_W10111066 68 10-MARZO-09_Xl0000004 5" xfId="8764" xr:uid="{00000000-0005-0000-0000-00004D230000}"/>
    <cellStyle name="_W10157260 cambio interno" xfId="8765" xr:uid="{00000000-0005-0000-0000-00004E230000}"/>
    <cellStyle name="_W10157260 cambio interno 2" xfId="8766" xr:uid="{00000000-0005-0000-0000-00004F230000}"/>
    <cellStyle name="_W10157260 cambio interno 3" xfId="8767" xr:uid="{00000000-0005-0000-0000-000050230000}"/>
    <cellStyle name="_W10160683,84,85,86,67991,92,94,69936,37 (SIM 5171P890,891,892,702,700,791,W10160686,795,799)" xfId="8768" xr:uid="{00000000-0005-0000-0000-000051230000}"/>
    <cellStyle name="_W10160683,84,85,86,67991,92,94,69936,37 (SIM 5171P890,891,892,702,700,791,W10160686,795,799) 2" xfId="8769" xr:uid="{00000000-0005-0000-0000-000052230000}"/>
    <cellStyle name="_W10160683,84,85,86,67991,92,94,69936,37 (SIM 5171P890,891,892,702,700,791,W10160686,795,799) 3" xfId="24902" xr:uid="{00000000-0005-0000-0000-000053230000}"/>
    <cellStyle name="_W10161748 SUST 5171P940" xfId="8770" xr:uid="{00000000-0005-0000-0000-000054230000}"/>
    <cellStyle name="_W10161748 SUST 5171P940 2" xfId="8771" xr:uid="{00000000-0005-0000-0000-000055230000}"/>
    <cellStyle name="_W10161748 SUST 5171P940 3" xfId="24903" xr:uid="{00000000-0005-0000-0000-000056230000}"/>
    <cellStyle name="_W10186167 68 11-MARZO-09" xfId="8772" xr:uid="{00000000-0005-0000-0000-000057230000}"/>
    <cellStyle name="_W10186167 68 11-MARZO-09 2" xfId="8773" xr:uid="{00000000-0005-0000-0000-000058230000}"/>
    <cellStyle name="_W10186167 68 11-MARZO-09 2 2" xfId="24904" xr:uid="{00000000-0005-0000-0000-000059230000}"/>
    <cellStyle name="_W10186167 68 11-MARZO-09 2 3" xfId="24905" xr:uid="{00000000-0005-0000-0000-00005A230000}"/>
    <cellStyle name="_W10186167 68 11-MARZO-09 3" xfId="8774" xr:uid="{00000000-0005-0000-0000-00005B230000}"/>
    <cellStyle name="_W10186167 68 11-MARZO-09 4" xfId="8775" xr:uid="{00000000-0005-0000-0000-00005C230000}"/>
    <cellStyle name="_W10186167 68 11-MARZO-09_862-CH" xfId="8776" xr:uid="{00000000-0005-0000-0000-00005D230000}"/>
    <cellStyle name="_W10186167 68 11-MARZO-09_CONCENTRATED QUOTE WLP474" xfId="8777" xr:uid="{00000000-0005-0000-0000-00005E230000}"/>
    <cellStyle name="_W10186167 68 11-MARZO-09_CONCENTRATED QUOTE WLP474 2" xfId="8778" xr:uid="{00000000-0005-0000-0000-00005F230000}"/>
    <cellStyle name="_W10186167 68 11-MARZO-09_CONCENTRATED QUOTE WLP474 3" xfId="8779" xr:uid="{00000000-0005-0000-0000-000060230000}"/>
    <cellStyle name="_W10186167 68 11-MARZO-09_CONCENTRATED QUOTE WLP474 4" xfId="8780" xr:uid="{00000000-0005-0000-0000-000061230000}"/>
    <cellStyle name="_W10186167 68 11-MARZO-09_CONCENTRATED QUOTE WLP550" xfId="8781" xr:uid="{00000000-0005-0000-0000-000062230000}"/>
    <cellStyle name="_W10186167 68 11-MARZO-09_CONCENTRATED QUOTE WLP550 2" xfId="8782" xr:uid="{00000000-0005-0000-0000-000063230000}"/>
    <cellStyle name="_W10186167 68 11-MARZO-09_CONCENTRATED QUOTE WLP550 3" xfId="8783" xr:uid="{00000000-0005-0000-0000-000064230000}"/>
    <cellStyle name="_W10186167 68 11-MARZO-09_CONCENTRATED QUOTE WLP550 4" xfId="8784" xr:uid="{00000000-0005-0000-0000-000065230000}"/>
    <cellStyle name="_W10186167 68 11-MARZO-09_CONCENTRATED QUOTE WLP550 5" xfId="8785" xr:uid="{00000000-0005-0000-0000-000066230000}"/>
    <cellStyle name="_W10186167 68 11-MARZO-09_CONCENTRATED QUOTE WLP559" xfId="8786" xr:uid="{00000000-0005-0000-0000-000067230000}"/>
    <cellStyle name="_W10186167 68 11-MARZO-09_CONCENTRATED QUOTE WLP568" xfId="8787" xr:uid="{00000000-0005-0000-0000-000068230000}"/>
    <cellStyle name="_W10186167 68 11-MARZO-09_CONCENTRATED QUOTE WLP571" xfId="8788" xr:uid="{00000000-0005-0000-0000-000069230000}"/>
    <cellStyle name="_W10186167 68 11-MARZO-09_CONCENTRATED QUOTE WLP574  ALPHA" xfId="8789" xr:uid="{00000000-0005-0000-0000-00006A230000}"/>
    <cellStyle name="_W10186167 68 11-MARZO-09_CONCENTRATED QUOTE WLP574  ALPHA 2" xfId="8790" xr:uid="{00000000-0005-0000-0000-00006B230000}"/>
    <cellStyle name="_W10186167 68 11-MARZO-09_CONCENTRATED QUOTE WLP574  ALPHA 3" xfId="8791" xr:uid="{00000000-0005-0000-0000-00006C230000}"/>
    <cellStyle name="_W10186167 68 11-MARZO-09_CONCENTRATED QUOTE WLP574  ALPHA 4" xfId="8792" xr:uid="{00000000-0005-0000-0000-00006D230000}"/>
    <cellStyle name="_W10186167 68 11-MARZO-09_CONCENTRATED QUOTE WLP574  ALPHA 5" xfId="8793" xr:uid="{00000000-0005-0000-0000-00006E230000}"/>
    <cellStyle name="_W10186167 68 11-MARZO-09_Estimated Quote 050609 039" xfId="8794" xr:uid="{00000000-0005-0000-0000-00006F230000}"/>
    <cellStyle name="_W10186167 68 11-MARZO-09_Estimated Quote 050609 039 2" xfId="8795" xr:uid="{00000000-0005-0000-0000-000070230000}"/>
    <cellStyle name="_W10186167 68 11-MARZO-09_Estimated Quote 050609 039 3" xfId="8796" xr:uid="{00000000-0005-0000-0000-000071230000}"/>
    <cellStyle name="_W10186167 68 11-MARZO-09_Estimated Quote 050609 039 4" xfId="8797" xr:uid="{00000000-0005-0000-0000-000072230000}"/>
    <cellStyle name="_W10186167 68 11-MARZO-09_Estimated Quote 050609 039 5" xfId="8798" xr:uid="{00000000-0005-0000-0000-000073230000}"/>
    <cellStyle name="_W10186167 68 11-MARZO-09_W10251442" xfId="8799" xr:uid="{00000000-0005-0000-0000-000074230000}"/>
    <cellStyle name="_W10186167 68 11-MARZO-09_W10251443" xfId="8800" xr:uid="{00000000-0005-0000-0000-000075230000}"/>
    <cellStyle name="_W10186167 68 11-MARZO-09_W10251444" xfId="8801" xr:uid="{00000000-0005-0000-0000-000076230000}"/>
    <cellStyle name="_W10186167 68 11-MARZO-09_W10251766 D" xfId="8802" xr:uid="{00000000-0005-0000-0000-000077230000}"/>
    <cellStyle name="_W10186167 68 11-MARZO-09_W10278758" xfId="8803" xr:uid="{00000000-0005-0000-0000-000078230000}"/>
    <cellStyle name="_W10186167 68 11-MARZO-09_W10278759" xfId="8804" xr:uid="{00000000-0005-0000-0000-000079230000}"/>
    <cellStyle name="_W10186167 68 11-MARZO-09_W10279106 y W10279107 de MR a 56i" xfId="8805" xr:uid="{00000000-0005-0000-0000-00007A230000}"/>
    <cellStyle name="_W10186167 68 11-MARZO-09_W10290772" xfId="8806" xr:uid="{00000000-0005-0000-0000-00007B230000}"/>
    <cellStyle name="_W10186167 68 11-MARZO-09_W10290772 2" xfId="8807" xr:uid="{00000000-0005-0000-0000-00007C230000}"/>
    <cellStyle name="_W10186167 68 11-MARZO-09_W10290772 3" xfId="8808" xr:uid="{00000000-0005-0000-0000-00007D230000}"/>
    <cellStyle name="_W10186167 68 11-MARZO-09_W10290772 4" xfId="8809" xr:uid="{00000000-0005-0000-0000-00007E230000}"/>
    <cellStyle name="_W10186167 68 11-MARZO-09_W10290772 5" xfId="8810" xr:uid="{00000000-0005-0000-0000-00007F230000}"/>
    <cellStyle name="_W10186167 68 11-MARZO-09_W10290774" xfId="8811" xr:uid="{00000000-0005-0000-0000-000080230000}"/>
    <cellStyle name="_W10186167 68 11-MARZO-09_W10290774 2" xfId="8812" xr:uid="{00000000-0005-0000-0000-000081230000}"/>
    <cellStyle name="_W10186167 68 11-MARZO-09_W10290774 3" xfId="8813" xr:uid="{00000000-0005-0000-0000-000082230000}"/>
    <cellStyle name="_W10186167 68 11-MARZO-09_W10290774 4" xfId="8814" xr:uid="{00000000-0005-0000-0000-000083230000}"/>
    <cellStyle name="_W10186167 68 11-MARZO-09_W10290774 5" xfId="8815" xr:uid="{00000000-0005-0000-0000-000084230000}"/>
    <cellStyle name="_W10186167 68 11-MARZO-09_W10315922 A" xfId="8816" xr:uid="{00000000-0005-0000-0000-000085230000}"/>
    <cellStyle name="_W10213207" xfId="8817" xr:uid="{00000000-0005-0000-0000-000086230000}"/>
    <cellStyle name="_W10213207 10" xfId="8818" xr:uid="{00000000-0005-0000-0000-000087230000}"/>
    <cellStyle name="_W10213207 10 2" xfId="8819" xr:uid="{00000000-0005-0000-0000-000088230000}"/>
    <cellStyle name="_W10213207 10 3" xfId="8820" xr:uid="{00000000-0005-0000-0000-000089230000}"/>
    <cellStyle name="_W10213207 10 4" xfId="8821" xr:uid="{00000000-0005-0000-0000-00008A230000}"/>
    <cellStyle name="_W10213207 2" xfId="8822" xr:uid="{00000000-0005-0000-0000-00008B230000}"/>
    <cellStyle name="_W10213207 2 2" xfId="8823" xr:uid="{00000000-0005-0000-0000-00008C230000}"/>
    <cellStyle name="_W10213207 2 3" xfId="8824" xr:uid="{00000000-0005-0000-0000-00008D230000}"/>
    <cellStyle name="_W10213207 2 4" xfId="8825" xr:uid="{00000000-0005-0000-0000-00008E230000}"/>
    <cellStyle name="_W10213207 2 5" xfId="8826" xr:uid="{00000000-0005-0000-0000-00008F230000}"/>
    <cellStyle name="_W10213207 2_SUBARTICO ADD-DEL" xfId="8827" xr:uid="{00000000-0005-0000-0000-000090230000}"/>
    <cellStyle name="_W10213207 2_SUBARTICO ADD-DEL 2" xfId="8828" xr:uid="{00000000-0005-0000-0000-000091230000}"/>
    <cellStyle name="_W10213207 3" xfId="8829" xr:uid="{00000000-0005-0000-0000-000092230000}"/>
    <cellStyle name="_W10213207 3 2" xfId="8830" xr:uid="{00000000-0005-0000-0000-000093230000}"/>
    <cellStyle name="_W10213207 3 3" xfId="8831" xr:uid="{00000000-0005-0000-0000-000094230000}"/>
    <cellStyle name="_W10213207 3 4" xfId="8832" xr:uid="{00000000-0005-0000-0000-000095230000}"/>
    <cellStyle name="_W10213207 3 5" xfId="8833" xr:uid="{00000000-0005-0000-0000-000096230000}"/>
    <cellStyle name="_W10213207 3_SUBARTICO ADD-DEL" xfId="8834" xr:uid="{00000000-0005-0000-0000-000097230000}"/>
    <cellStyle name="_W10213207 3_SUBARTICO ADD-DEL 2" xfId="8835" xr:uid="{00000000-0005-0000-0000-000098230000}"/>
    <cellStyle name="_W10213207 4" xfId="8836" xr:uid="{00000000-0005-0000-0000-000099230000}"/>
    <cellStyle name="_W10213207 4 2" xfId="8837" xr:uid="{00000000-0005-0000-0000-00009A230000}"/>
    <cellStyle name="_W10213207 4 3" xfId="8838" xr:uid="{00000000-0005-0000-0000-00009B230000}"/>
    <cellStyle name="_W10213207 4 4" xfId="8839" xr:uid="{00000000-0005-0000-0000-00009C230000}"/>
    <cellStyle name="_W10213207 4 5" xfId="8840" xr:uid="{00000000-0005-0000-0000-00009D230000}"/>
    <cellStyle name="_W10213207 4_SUBARTICO ADD-DEL" xfId="8841" xr:uid="{00000000-0005-0000-0000-00009E230000}"/>
    <cellStyle name="_W10213207 4_SUBARTICO ADD-DEL 2" xfId="8842" xr:uid="{00000000-0005-0000-0000-00009F230000}"/>
    <cellStyle name="_W10213207 5" xfId="8843" xr:uid="{00000000-0005-0000-0000-0000A0230000}"/>
    <cellStyle name="_W10213207 5 2" xfId="8844" xr:uid="{00000000-0005-0000-0000-0000A1230000}"/>
    <cellStyle name="_W10213207 5 3" xfId="8845" xr:uid="{00000000-0005-0000-0000-0000A2230000}"/>
    <cellStyle name="_W10213207 5 4" xfId="8846" xr:uid="{00000000-0005-0000-0000-0000A3230000}"/>
    <cellStyle name="_W10213207 5 5" xfId="8847" xr:uid="{00000000-0005-0000-0000-0000A4230000}"/>
    <cellStyle name="_W10213207 5_SUBARTICO ADD-DEL" xfId="8848" xr:uid="{00000000-0005-0000-0000-0000A5230000}"/>
    <cellStyle name="_W10213207 5_SUBARTICO ADD-DEL 2" xfId="8849" xr:uid="{00000000-0005-0000-0000-0000A6230000}"/>
    <cellStyle name="_W10213207 6" xfId="8850" xr:uid="{00000000-0005-0000-0000-0000A7230000}"/>
    <cellStyle name="_W10213207 6 2" xfId="8851" xr:uid="{00000000-0005-0000-0000-0000A8230000}"/>
    <cellStyle name="_W10213207 6 3" xfId="8852" xr:uid="{00000000-0005-0000-0000-0000A9230000}"/>
    <cellStyle name="_W10213207 6 4" xfId="8853" xr:uid="{00000000-0005-0000-0000-0000AA230000}"/>
    <cellStyle name="_W10213207 6 5" xfId="8854" xr:uid="{00000000-0005-0000-0000-0000AB230000}"/>
    <cellStyle name="_W10213207 6_SUBARTICO ADD-DEL" xfId="8855" xr:uid="{00000000-0005-0000-0000-0000AC230000}"/>
    <cellStyle name="_W10213207 6_SUBARTICO ADD-DEL 2" xfId="8856" xr:uid="{00000000-0005-0000-0000-0000AD230000}"/>
    <cellStyle name="_W10213207 7" xfId="8857" xr:uid="{00000000-0005-0000-0000-0000AE230000}"/>
    <cellStyle name="_W10213207 7 2" xfId="8858" xr:uid="{00000000-0005-0000-0000-0000AF230000}"/>
    <cellStyle name="_W10213207 7 3" xfId="8859" xr:uid="{00000000-0005-0000-0000-0000B0230000}"/>
    <cellStyle name="_W10213207 7 4" xfId="8860" xr:uid="{00000000-0005-0000-0000-0000B1230000}"/>
    <cellStyle name="_W10213207 7 5" xfId="8861" xr:uid="{00000000-0005-0000-0000-0000B2230000}"/>
    <cellStyle name="_W10213207 7_SUBARTICO ADD-DEL" xfId="8862" xr:uid="{00000000-0005-0000-0000-0000B3230000}"/>
    <cellStyle name="_W10213207 7_SUBARTICO ADD-DEL 2" xfId="8863" xr:uid="{00000000-0005-0000-0000-0000B4230000}"/>
    <cellStyle name="_W10213207 8" xfId="8864" xr:uid="{00000000-0005-0000-0000-0000B5230000}"/>
    <cellStyle name="_W10213207 8 2" xfId="8865" xr:uid="{00000000-0005-0000-0000-0000B6230000}"/>
    <cellStyle name="_W10213207 8 3" xfId="8866" xr:uid="{00000000-0005-0000-0000-0000B7230000}"/>
    <cellStyle name="_W10213207 8 4" xfId="8867" xr:uid="{00000000-0005-0000-0000-0000B8230000}"/>
    <cellStyle name="_W10213207 8 5" xfId="8868" xr:uid="{00000000-0005-0000-0000-0000B9230000}"/>
    <cellStyle name="_W10213207 8_SUBARTICO ADD-DEL" xfId="8869" xr:uid="{00000000-0005-0000-0000-0000BA230000}"/>
    <cellStyle name="_W10213207 8_SUBARTICO ADD-DEL 2" xfId="8870" xr:uid="{00000000-0005-0000-0000-0000BB230000}"/>
    <cellStyle name="_W10213207 9" xfId="8871" xr:uid="{00000000-0005-0000-0000-0000BC230000}"/>
    <cellStyle name="_W10213207 9 2" xfId="8872" xr:uid="{00000000-0005-0000-0000-0000BD230000}"/>
    <cellStyle name="_W10213207 9 3" xfId="8873" xr:uid="{00000000-0005-0000-0000-0000BE230000}"/>
    <cellStyle name="_W10213207 9 4" xfId="8874" xr:uid="{00000000-0005-0000-0000-0000BF230000}"/>
    <cellStyle name="_W10213207 9 5" xfId="8875" xr:uid="{00000000-0005-0000-0000-0000C0230000}"/>
    <cellStyle name="_W10213207 9_SUBARTICO ADD-DEL" xfId="8876" xr:uid="{00000000-0005-0000-0000-0000C1230000}"/>
    <cellStyle name="_W10213207 9_SUBARTICO ADD-DEL 2" xfId="8877" xr:uid="{00000000-0005-0000-0000-0000C2230000}"/>
    <cellStyle name="_W10213207_862-CH" xfId="8878" xr:uid="{00000000-0005-0000-0000-0000C3230000}"/>
    <cellStyle name="_W10213207_BSHNC162 (RFQ EE5409)1" xfId="8879" xr:uid="{00000000-0005-0000-0000-0000C4230000}"/>
    <cellStyle name="_W10213207_BSHNC162 (RFQ EE5409)1 2" xfId="8880" xr:uid="{00000000-0005-0000-0000-0000C5230000}"/>
    <cellStyle name="_W10213207_Ec-2376 to 2379 Add-del 318402413 2414 2374 318394491" xfId="8881" xr:uid="{00000000-0005-0000-0000-0000C6230000}"/>
    <cellStyle name="_W10213207_Ec-2376 to 2379 Add-del 318402413 2414 2374 318394491 2" xfId="8882" xr:uid="{00000000-0005-0000-0000-0000C7230000}"/>
    <cellStyle name="_W10213207_Ec-2376 to 2379 Add-del 318402413 2414 2374 318394491 3" xfId="8883" xr:uid="{00000000-0005-0000-0000-0000C8230000}"/>
    <cellStyle name="_W10213207_Ec-2376 to 2379 Add-del 318402413 2414 2374 318394491 4" xfId="8884" xr:uid="{00000000-0005-0000-0000-0000C9230000}"/>
    <cellStyle name="_W10213207_Ec-2376 to 2379 Add-del 318402413 2414 2374 318394491 5" xfId="8885" xr:uid="{00000000-0005-0000-0000-0000CA230000}"/>
    <cellStyle name="_W10213207_Ec-2376 to 2379 Add-del 318402413 2414 2374 318394491_SUBARTICO ADD-DEL" xfId="8886" xr:uid="{00000000-0005-0000-0000-0000CB230000}"/>
    <cellStyle name="_W10213207_Ec-2376 to 2379 Add-del 318402413 2414 2374 318394491_SUBARTICO ADD-DEL 2" xfId="8887" xr:uid="{00000000-0005-0000-0000-0000CC230000}"/>
    <cellStyle name="_W10213207_ESTIMATED ARES-10 PACKAGE 25NOV" xfId="8888" xr:uid="{00000000-0005-0000-0000-0000CD230000}"/>
    <cellStyle name="_W10213207_ESTIMATED ARES-10 PACKAGE 25NOV 2" xfId="8889" xr:uid="{00000000-0005-0000-0000-0000CE230000}"/>
    <cellStyle name="_W10213207_ESTIMATED ARES-10 PACKAGE 25NOV 3" xfId="24906" xr:uid="{00000000-0005-0000-0000-0000CF230000}"/>
    <cellStyle name="_W10213207_ESTIMATED ARES-10 PACKAGE 25NOV_SUBARTICO ADD-DEL" xfId="8890" xr:uid="{00000000-0005-0000-0000-0000D0230000}"/>
    <cellStyle name="_W10213207_ESTIMATED ARES-10 PACKAGE 25NOV_SUBARTICO ADD-DEL 2" xfId="8891" xr:uid="{00000000-0005-0000-0000-0000D1230000}"/>
    <cellStyle name="_W10213207_SUBARTICO ADD-DEL" xfId="8892" xr:uid="{00000000-0005-0000-0000-0000D2230000}"/>
    <cellStyle name="_W10213207_SUBARTICO ADD-DEL 2" xfId="8893" xr:uid="{00000000-0005-0000-0000-0000D3230000}"/>
    <cellStyle name="_W10213207_W10251766 D" xfId="8894" xr:uid="{00000000-0005-0000-0000-0000D4230000}"/>
    <cellStyle name="_W10213207_W10279106 y W10279107 de MR a 56i" xfId="8895" xr:uid="{00000000-0005-0000-0000-0000D5230000}"/>
    <cellStyle name="_W10213207_W10315922 A" xfId="8896" xr:uid="{00000000-0005-0000-0000-0000D6230000}"/>
    <cellStyle name="_W10213207_WC cleveland con spreadshet" xfId="8897" xr:uid="{00000000-0005-0000-0000-0000D7230000}"/>
    <cellStyle name="_W10213207_WC cleveland con spreadshet 2" xfId="8898" xr:uid="{00000000-0005-0000-0000-0000D8230000}"/>
    <cellStyle name="_W10213207_WC cleveland con spreadshet 3" xfId="24907" xr:uid="{00000000-0005-0000-0000-0000D9230000}"/>
    <cellStyle name="_W10213207_WC cleveland con spreadshet_SUBARTICO ADD-DEL" xfId="8899" xr:uid="{00000000-0005-0000-0000-0000DA230000}"/>
    <cellStyle name="_W10213207_WC cleveland con spreadshet_SUBARTICO ADD-DEL 2" xfId="8900" xr:uid="{00000000-0005-0000-0000-0000DB230000}"/>
    <cellStyle name="_W10242905 06 07 10-MARZO-09" xfId="8901" xr:uid="{00000000-0005-0000-0000-0000DC230000}"/>
    <cellStyle name="_W10242905 06 07 10-MARZO-09 2" xfId="8902" xr:uid="{00000000-0005-0000-0000-0000DD230000}"/>
    <cellStyle name="_W10242905 06 07 10-MARZO-09 2 2" xfId="24908" xr:uid="{00000000-0005-0000-0000-0000DE230000}"/>
    <cellStyle name="_W10242905 06 07 10-MARZO-09 2 3" xfId="24909" xr:uid="{00000000-0005-0000-0000-0000DF230000}"/>
    <cellStyle name="_W10242905 06 07 10-MARZO-09 3" xfId="8903" xr:uid="{00000000-0005-0000-0000-0000E0230000}"/>
    <cellStyle name="_W10242905 06 07 10-MARZO-09 4" xfId="8904" xr:uid="{00000000-0005-0000-0000-0000E1230000}"/>
    <cellStyle name="_W10242905 06 07 10-MARZO-09_862-CH" xfId="8905" xr:uid="{00000000-0005-0000-0000-0000E2230000}"/>
    <cellStyle name="_W10242905 06 07 10-MARZO-09_CONCENTRATED QUOTE WLP474" xfId="8906" xr:uid="{00000000-0005-0000-0000-0000E3230000}"/>
    <cellStyle name="_W10242905 06 07 10-MARZO-09_CONCENTRATED QUOTE WLP474 2" xfId="8907" xr:uid="{00000000-0005-0000-0000-0000E4230000}"/>
    <cellStyle name="_W10242905 06 07 10-MARZO-09_CONCENTRATED QUOTE WLP474 3" xfId="8908" xr:uid="{00000000-0005-0000-0000-0000E5230000}"/>
    <cellStyle name="_W10242905 06 07 10-MARZO-09_CONCENTRATED QUOTE WLP474 4" xfId="8909" xr:uid="{00000000-0005-0000-0000-0000E6230000}"/>
    <cellStyle name="_W10242905 06 07 10-MARZO-09_CONCENTRATED QUOTE WLP550" xfId="8910" xr:uid="{00000000-0005-0000-0000-0000E7230000}"/>
    <cellStyle name="_W10242905 06 07 10-MARZO-09_CONCENTRATED QUOTE WLP550 2" xfId="8911" xr:uid="{00000000-0005-0000-0000-0000E8230000}"/>
    <cellStyle name="_W10242905 06 07 10-MARZO-09_CONCENTRATED QUOTE WLP550 3" xfId="8912" xr:uid="{00000000-0005-0000-0000-0000E9230000}"/>
    <cellStyle name="_W10242905 06 07 10-MARZO-09_CONCENTRATED QUOTE WLP550 4" xfId="8913" xr:uid="{00000000-0005-0000-0000-0000EA230000}"/>
    <cellStyle name="_W10242905 06 07 10-MARZO-09_CONCENTRATED QUOTE WLP550 5" xfId="8914" xr:uid="{00000000-0005-0000-0000-0000EB230000}"/>
    <cellStyle name="_W10242905 06 07 10-MARZO-09_CONCENTRATED QUOTE WLP559" xfId="8915" xr:uid="{00000000-0005-0000-0000-0000EC230000}"/>
    <cellStyle name="_W10242905 06 07 10-MARZO-09_CONCENTRATED QUOTE WLP568" xfId="8916" xr:uid="{00000000-0005-0000-0000-0000ED230000}"/>
    <cellStyle name="_W10242905 06 07 10-MARZO-09_CONCENTRATED QUOTE WLP571" xfId="8917" xr:uid="{00000000-0005-0000-0000-0000EE230000}"/>
    <cellStyle name="_W10242905 06 07 10-MARZO-09_CONCENTRATED QUOTE WLP574  ALPHA" xfId="8918" xr:uid="{00000000-0005-0000-0000-0000EF230000}"/>
    <cellStyle name="_W10242905 06 07 10-MARZO-09_CONCENTRATED QUOTE WLP574  ALPHA 2" xfId="8919" xr:uid="{00000000-0005-0000-0000-0000F0230000}"/>
    <cellStyle name="_W10242905 06 07 10-MARZO-09_CONCENTRATED QUOTE WLP574  ALPHA 3" xfId="8920" xr:uid="{00000000-0005-0000-0000-0000F1230000}"/>
    <cellStyle name="_W10242905 06 07 10-MARZO-09_CONCENTRATED QUOTE WLP574  ALPHA 4" xfId="8921" xr:uid="{00000000-0005-0000-0000-0000F2230000}"/>
    <cellStyle name="_W10242905 06 07 10-MARZO-09_CONCENTRATED QUOTE WLP574  ALPHA 5" xfId="8922" xr:uid="{00000000-0005-0000-0000-0000F3230000}"/>
    <cellStyle name="_W10242905 06 07 10-MARZO-09_Estimated Quote 050609 039" xfId="8923" xr:uid="{00000000-0005-0000-0000-0000F4230000}"/>
    <cellStyle name="_W10242905 06 07 10-MARZO-09_Estimated Quote 050609 039 2" xfId="8924" xr:uid="{00000000-0005-0000-0000-0000F5230000}"/>
    <cellStyle name="_W10242905 06 07 10-MARZO-09_Estimated Quote 050609 039 3" xfId="8925" xr:uid="{00000000-0005-0000-0000-0000F6230000}"/>
    <cellStyle name="_W10242905 06 07 10-MARZO-09_Estimated Quote 050609 039 4" xfId="8926" xr:uid="{00000000-0005-0000-0000-0000F7230000}"/>
    <cellStyle name="_W10242905 06 07 10-MARZO-09_Estimated Quote 050609 039 5" xfId="8927" xr:uid="{00000000-0005-0000-0000-0000F8230000}"/>
    <cellStyle name="_W10242905 06 07 10-MARZO-09_W10251442" xfId="8928" xr:uid="{00000000-0005-0000-0000-0000F9230000}"/>
    <cellStyle name="_W10242905 06 07 10-MARZO-09_W10251443" xfId="8929" xr:uid="{00000000-0005-0000-0000-0000FA230000}"/>
    <cellStyle name="_W10242905 06 07 10-MARZO-09_W10251444" xfId="8930" xr:uid="{00000000-0005-0000-0000-0000FB230000}"/>
    <cellStyle name="_W10242905 06 07 10-MARZO-09_W10251766 D" xfId="8931" xr:uid="{00000000-0005-0000-0000-0000FC230000}"/>
    <cellStyle name="_W10242905 06 07 10-MARZO-09_W10278758" xfId="8932" xr:uid="{00000000-0005-0000-0000-0000FD230000}"/>
    <cellStyle name="_W10242905 06 07 10-MARZO-09_W10278759" xfId="8933" xr:uid="{00000000-0005-0000-0000-0000FE230000}"/>
    <cellStyle name="_W10242905 06 07 10-MARZO-09_W10279106 y W10279107 de MR a 56i" xfId="8934" xr:uid="{00000000-0005-0000-0000-0000FF230000}"/>
    <cellStyle name="_W10242905 06 07 10-MARZO-09_W10290772" xfId="8935" xr:uid="{00000000-0005-0000-0000-000000240000}"/>
    <cellStyle name="_W10242905 06 07 10-MARZO-09_W10290772 2" xfId="8936" xr:uid="{00000000-0005-0000-0000-000001240000}"/>
    <cellStyle name="_W10242905 06 07 10-MARZO-09_W10290772 3" xfId="8937" xr:uid="{00000000-0005-0000-0000-000002240000}"/>
    <cellStyle name="_W10242905 06 07 10-MARZO-09_W10290772 4" xfId="8938" xr:uid="{00000000-0005-0000-0000-000003240000}"/>
    <cellStyle name="_W10242905 06 07 10-MARZO-09_W10290772 5" xfId="8939" xr:uid="{00000000-0005-0000-0000-000004240000}"/>
    <cellStyle name="_W10242905 06 07 10-MARZO-09_W10290774" xfId="8940" xr:uid="{00000000-0005-0000-0000-000005240000}"/>
    <cellStyle name="_W10242905 06 07 10-MARZO-09_W10290774 2" xfId="8941" xr:uid="{00000000-0005-0000-0000-000006240000}"/>
    <cellStyle name="_W10242905 06 07 10-MARZO-09_W10290774 3" xfId="8942" xr:uid="{00000000-0005-0000-0000-000007240000}"/>
    <cellStyle name="_W10242905 06 07 10-MARZO-09_W10290774 4" xfId="8943" xr:uid="{00000000-0005-0000-0000-000008240000}"/>
    <cellStyle name="_W10242905 06 07 10-MARZO-09_W10290774 5" xfId="8944" xr:uid="{00000000-0005-0000-0000-000009240000}"/>
    <cellStyle name="_W10242905 06 07 10-MARZO-09_W10315922 A" xfId="8945" xr:uid="{00000000-0005-0000-0000-00000A240000}"/>
    <cellStyle name="_W10251442" xfId="8946" xr:uid="{00000000-0005-0000-0000-00000B240000}"/>
    <cellStyle name="_W10251443" xfId="8947" xr:uid="{00000000-0005-0000-0000-00000C240000}"/>
    <cellStyle name="_W10251444" xfId="8948" xr:uid="{00000000-0005-0000-0000-00000D240000}"/>
    <cellStyle name="_W10278758" xfId="8949" xr:uid="{00000000-0005-0000-0000-00000E240000}"/>
    <cellStyle name="_W10278759" xfId="8950" xr:uid="{00000000-0005-0000-0000-00000F240000}"/>
    <cellStyle name="_WASHER (3952563)" xfId="8951" xr:uid="{00000000-0005-0000-0000-000010240000}"/>
    <cellStyle name="_WASHER (3952563) 2" xfId="8952" xr:uid="{00000000-0005-0000-0000-000011240000}"/>
    <cellStyle name="_WASHER (3952563) 3" xfId="24910" xr:uid="{00000000-0005-0000-0000-000012240000}"/>
    <cellStyle name="_WASHER (3952563)_825-CH PROYECTO CORONA" xfId="8953" xr:uid="{00000000-0005-0000-0000-000013240000}"/>
    <cellStyle name="_WASHER (3952563)_825-CH PROYECTO CORONA 2" xfId="8954" xr:uid="{00000000-0005-0000-0000-000014240000}"/>
    <cellStyle name="_WASHER (3952563)_825-CH PROYECTO CORONA 3" xfId="8955" xr:uid="{00000000-0005-0000-0000-000015240000}"/>
    <cellStyle name="_WASHER (3952563)_825-CH PROYECTO CORONA_862-CH" xfId="8956" xr:uid="{00000000-0005-0000-0000-000016240000}"/>
    <cellStyle name="_WASHER (3952563)_825-CH PROYECTO CORONA_W10251766 D" xfId="8957" xr:uid="{00000000-0005-0000-0000-000017240000}"/>
    <cellStyle name="_WASHER (3952563)_825-CH PROYECTO CORONA_W10279106 y W10279107 de MR a 56i" xfId="8958" xr:uid="{00000000-0005-0000-0000-000018240000}"/>
    <cellStyle name="_WASHER (3952563)_825-CH PROYECTO CORONA_W10315922 A" xfId="8959" xr:uid="{00000000-0005-0000-0000-000019240000}"/>
    <cellStyle name="_WASHER (3952563)_ama quote" xfId="8960" xr:uid="{00000000-0005-0000-0000-00001A240000}"/>
    <cellStyle name="_WASHER (3952563)_ama quote 2" xfId="8961" xr:uid="{00000000-0005-0000-0000-00001B240000}"/>
    <cellStyle name="_WASHER (3952563)_ama quote 3" xfId="8962" xr:uid="{00000000-0005-0000-0000-00001C240000}"/>
    <cellStyle name="_WASHER (3952563)_ama quote 4" xfId="8963" xr:uid="{00000000-0005-0000-0000-00001D240000}"/>
    <cellStyle name="_WASHER (3952563)_ama quote 5" xfId="8964" xr:uid="{00000000-0005-0000-0000-00001E240000}"/>
    <cellStyle name="_WASHER (3952563)_BSHNC144(RFQ EE2909)gs" xfId="8965" xr:uid="{00000000-0005-0000-0000-00001F240000}"/>
    <cellStyle name="_WASHER (3952563)_BSHNC144(RFQ EE2909)gs_BSHTN061" xfId="8966" xr:uid="{00000000-0005-0000-0000-000020240000}"/>
    <cellStyle name="_WASHER (3952563)_BSHNC144(RFQ EE2909)gs_BSHTN067" xfId="8967" xr:uid="{00000000-0005-0000-0000-000021240000}"/>
    <cellStyle name="_WASHER (3952563)_BSHNC144(RFQ EE2909)gs_BSHTN071" xfId="8968" xr:uid="{00000000-0005-0000-0000-000022240000}"/>
    <cellStyle name="_WASHER (3952563)_BSHNC145(RFQ EE2909)" xfId="8969" xr:uid="{00000000-0005-0000-0000-000023240000}"/>
    <cellStyle name="_WASHER (3952563)_BSHNC145(RFQ EE2909)_BSHNC151 (RFQ EE4509)" xfId="8970" xr:uid="{00000000-0005-0000-0000-000024240000}"/>
    <cellStyle name="_WASHER (3952563)_BSHNC145(RFQ EE2909)_BSHNC162 (RFQ EE5409)" xfId="8971" xr:uid="{00000000-0005-0000-0000-000025240000}"/>
    <cellStyle name="_WASHER (3952563)_BSHNC145(RFQ EE2909)_Quote BSHNC163" xfId="8972" xr:uid="{00000000-0005-0000-0000-000026240000}"/>
    <cellStyle name="_WASHER (3952563)_BSHTN061" xfId="8973" xr:uid="{00000000-0005-0000-0000-000027240000}"/>
    <cellStyle name="_WASHER (3952563)_W10297387 A" xfId="8974" xr:uid="{00000000-0005-0000-0000-000028240000}"/>
    <cellStyle name="_WASHER (3952563)_W10315911 A" xfId="8975" xr:uid="{00000000-0005-0000-0000-000029240000}"/>
    <cellStyle name="_WASHER (3952563)_W10315921 A" xfId="8976" xr:uid="{00000000-0005-0000-0000-00002A240000}"/>
    <cellStyle name="_WASHER (3952563)_W10315922 A" xfId="8977" xr:uid="{00000000-0005-0000-0000-00002B240000}"/>
    <cellStyle name="_WASHER (3952563)_Xl0000052" xfId="8978" xr:uid="{00000000-0005-0000-0000-00002C240000}"/>
    <cellStyle name="_WASHER (3952563)_Xl0000052_862-CH" xfId="8979" xr:uid="{00000000-0005-0000-0000-00002D240000}"/>
    <cellStyle name="_WASHER (3952563)_Xl0000052_W10251766 D" xfId="8980" xr:uid="{00000000-0005-0000-0000-00002E240000}"/>
    <cellStyle name="_WASHER (3952563)_Xl0000052_W10279106 y W10279107 de MR a 56i" xfId="8981" xr:uid="{00000000-0005-0000-0000-00002F240000}"/>
    <cellStyle name="_WASHER (3952563)_Xl0000052_W10315922 A" xfId="8982" xr:uid="{00000000-0005-0000-0000-000030240000}"/>
    <cellStyle name="_WC026 FINAL QUOTE" xfId="8983" xr:uid="{00000000-0005-0000-0000-000031240000}"/>
    <cellStyle name="_WC026 FINAL QUOTE 2" xfId="8984" xr:uid="{00000000-0005-0000-0000-000032240000}"/>
    <cellStyle name="_WC026 FINAL QUOTE 3" xfId="24911" xr:uid="{00000000-0005-0000-0000-000033240000}"/>
    <cellStyle name="_Webster City IP 2-12" xfId="8985" xr:uid="{00000000-0005-0000-0000-000034240000}"/>
    <cellStyle name="_Webster City IP 2-12 2" xfId="8986" xr:uid="{00000000-0005-0000-0000-000035240000}"/>
    <cellStyle name="_Webster City IP 2-12 2 2" xfId="24912" xr:uid="{00000000-0005-0000-0000-000036240000}"/>
    <cellStyle name="_Webster City IP 2-12 2 2 2" xfId="24913" xr:uid="{00000000-0005-0000-0000-000037240000}"/>
    <cellStyle name="_Webster City IP 2-12 2 2 3" xfId="24914" xr:uid="{00000000-0005-0000-0000-000038240000}"/>
    <cellStyle name="_Webster City IP 2-12 2 3" xfId="24915" xr:uid="{00000000-0005-0000-0000-000039240000}"/>
    <cellStyle name="_Webster City IP 2-12 2 4" xfId="24916" xr:uid="{00000000-0005-0000-0000-00003A240000}"/>
    <cellStyle name="_Webster City IP 2-12 3" xfId="8987" xr:uid="{00000000-0005-0000-0000-00003B240000}"/>
    <cellStyle name="_Webster City IP 2-12 3 2" xfId="24917" xr:uid="{00000000-0005-0000-0000-00003C240000}"/>
    <cellStyle name="_Webster City IP 2-12 3 2 2" xfId="24918" xr:uid="{00000000-0005-0000-0000-00003D240000}"/>
    <cellStyle name="_Webster City IP 2-12 3 2 3" xfId="24919" xr:uid="{00000000-0005-0000-0000-00003E240000}"/>
    <cellStyle name="_Webster City IP 2-12 3 3" xfId="24920" xr:uid="{00000000-0005-0000-0000-00003F240000}"/>
    <cellStyle name="_Webster City IP 2-12 3 4" xfId="24921" xr:uid="{00000000-0005-0000-0000-000040240000}"/>
    <cellStyle name="_Webster City IP 2-12 4" xfId="8988" xr:uid="{00000000-0005-0000-0000-000041240000}"/>
    <cellStyle name="_Webster City IP 2-12 4 2" xfId="24922" xr:uid="{00000000-0005-0000-0000-000042240000}"/>
    <cellStyle name="_Webster City IP 2-12 4 2 2" xfId="24923" xr:uid="{00000000-0005-0000-0000-000043240000}"/>
    <cellStyle name="_Webster City IP 2-12 4 2 3" xfId="24924" xr:uid="{00000000-0005-0000-0000-000044240000}"/>
    <cellStyle name="_Webster City IP 2-12 4 3" xfId="24925" xr:uid="{00000000-0005-0000-0000-000045240000}"/>
    <cellStyle name="_Webster City IP 2-12 4 4" xfId="24926" xr:uid="{00000000-0005-0000-0000-000046240000}"/>
    <cellStyle name="_Webster City IP 2-12 5" xfId="8989" xr:uid="{00000000-0005-0000-0000-000047240000}"/>
    <cellStyle name="_Webster City IP 2-12 5 2" xfId="24927" xr:uid="{00000000-0005-0000-0000-000048240000}"/>
    <cellStyle name="_Webster City IP 2-12 5 2 2" xfId="24928" xr:uid="{00000000-0005-0000-0000-000049240000}"/>
    <cellStyle name="_Webster City IP 2-12 5 2 3" xfId="24929" xr:uid="{00000000-0005-0000-0000-00004A240000}"/>
    <cellStyle name="_Webster City IP 2-12 5 3" xfId="24930" xr:uid="{00000000-0005-0000-0000-00004B240000}"/>
    <cellStyle name="_Webster City IP 2-12 5 4" xfId="24931" xr:uid="{00000000-0005-0000-0000-00004C240000}"/>
    <cellStyle name="_Webster City IP 2-12 6" xfId="24932" xr:uid="{00000000-0005-0000-0000-00004D240000}"/>
    <cellStyle name="_Webster City IP 2-12 6 2" xfId="24933" xr:uid="{00000000-0005-0000-0000-00004E240000}"/>
    <cellStyle name="_Webster City IP 2-12 6 3" xfId="24934" xr:uid="{00000000-0005-0000-0000-00004F240000}"/>
    <cellStyle name="_Webster City IP 2-12 7" xfId="24935" xr:uid="{00000000-0005-0000-0000-000050240000}"/>
    <cellStyle name="_Webster City IP 2-12 8" xfId="24936" xr:uid="{00000000-0005-0000-0000-000051240000}"/>
    <cellStyle name="_Webster City IP 2-12_862-CH" xfId="8990" xr:uid="{00000000-0005-0000-0000-000052240000}"/>
    <cellStyle name="_Webster City IP 2-12_SUBARTICO ADD-DEL" xfId="8991" xr:uid="{00000000-0005-0000-0000-000053240000}"/>
    <cellStyle name="_Webster City IP 2-12_SUBARTICO ADD-DEL 2" xfId="8992" xr:uid="{00000000-0005-0000-0000-000054240000}"/>
    <cellStyle name="_Webster City IP 2-12_W10251766 D" xfId="8993" xr:uid="{00000000-0005-0000-0000-000055240000}"/>
    <cellStyle name="_Webster City IP 2-12_W10279106 y W10279107 de MR a 56i" xfId="8994" xr:uid="{00000000-0005-0000-0000-000056240000}"/>
    <cellStyle name="_Webster City IP 2-12_W10315922 A" xfId="8995" xr:uid="{00000000-0005-0000-0000-000057240000}"/>
    <cellStyle name="_WEBSTER CITY PART NUMBERS" xfId="8996" xr:uid="{00000000-0005-0000-0000-000058240000}"/>
    <cellStyle name="_WEBSTER CITY PART NUMBERS 2" xfId="8997" xr:uid="{00000000-0005-0000-0000-000059240000}"/>
    <cellStyle name="_WEBSTER CITY PART NUMBERS 3" xfId="8998" xr:uid="{00000000-0005-0000-0000-00005A240000}"/>
    <cellStyle name="_WEBSTER CITY PART NUMBERS 4" xfId="8999" xr:uid="{00000000-0005-0000-0000-00005B240000}"/>
    <cellStyle name="_WEBSTER CITY PART NUMBERS 5" xfId="9000" xr:uid="{00000000-0005-0000-0000-00005C240000}"/>
    <cellStyle name="_whirlpool harness 12 pn August 1" xfId="9001" xr:uid="{00000000-0005-0000-0000-00005D240000}"/>
    <cellStyle name="_whirlpool harness 12 pn August 1 2" xfId="9002" xr:uid="{00000000-0005-0000-0000-00005E240000}"/>
    <cellStyle name="_whirlpool harness 12 pn August 1 3" xfId="9003" xr:uid="{00000000-0005-0000-0000-00005F240000}"/>
    <cellStyle name="_whirlpool harness 12 pn August 1 4" xfId="9004" xr:uid="{00000000-0005-0000-0000-000060240000}"/>
    <cellStyle name="_whirlpool harness 12 pn August 1 5" xfId="9005" xr:uid="{00000000-0005-0000-0000-000061240000}"/>
    <cellStyle name="_Whirlpool Mexico IP" xfId="9006" xr:uid="{00000000-0005-0000-0000-000062240000}"/>
    <cellStyle name="_Whirlpool Mexico IP 2" xfId="9007" xr:uid="{00000000-0005-0000-0000-000063240000}"/>
    <cellStyle name="_Whirlpool Mexico IP 2 2" xfId="24937" xr:uid="{00000000-0005-0000-0000-000064240000}"/>
    <cellStyle name="_Whirlpool Mexico IP 2 2 2" xfId="24938" xr:uid="{00000000-0005-0000-0000-000065240000}"/>
    <cellStyle name="_Whirlpool Mexico IP 2 2 3" xfId="24939" xr:uid="{00000000-0005-0000-0000-000066240000}"/>
    <cellStyle name="_Whirlpool Mexico IP 2 3" xfId="24940" xr:uid="{00000000-0005-0000-0000-000067240000}"/>
    <cellStyle name="_Whirlpool Mexico IP 2 4" xfId="24941" xr:uid="{00000000-0005-0000-0000-000068240000}"/>
    <cellStyle name="_Whirlpool Mexico IP 3" xfId="9008" xr:uid="{00000000-0005-0000-0000-000069240000}"/>
    <cellStyle name="_Whirlpool Mexico IP 3 2" xfId="24942" xr:uid="{00000000-0005-0000-0000-00006A240000}"/>
    <cellStyle name="_Whirlpool Mexico IP 3 2 2" xfId="24943" xr:uid="{00000000-0005-0000-0000-00006B240000}"/>
    <cellStyle name="_Whirlpool Mexico IP 3 2 3" xfId="24944" xr:uid="{00000000-0005-0000-0000-00006C240000}"/>
    <cellStyle name="_Whirlpool Mexico IP 3 3" xfId="24945" xr:uid="{00000000-0005-0000-0000-00006D240000}"/>
    <cellStyle name="_Whirlpool Mexico IP 3 4" xfId="24946" xr:uid="{00000000-0005-0000-0000-00006E240000}"/>
    <cellStyle name="_Whirlpool Mexico IP 3-8-07" xfId="9009" xr:uid="{00000000-0005-0000-0000-00006F240000}"/>
    <cellStyle name="_Whirlpool Mexico IP 3-8-07 2" xfId="9010" xr:uid="{00000000-0005-0000-0000-000070240000}"/>
    <cellStyle name="_Whirlpool Mexico IP 3-8-07 2 2" xfId="24947" xr:uid="{00000000-0005-0000-0000-000071240000}"/>
    <cellStyle name="_Whirlpool Mexico IP 3-8-07 2 2 2" xfId="24948" xr:uid="{00000000-0005-0000-0000-000072240000}"/>
    <cellStyle name="_Whirlpool Mexico IP 3-8-07 2 2 3" xfId="24949" xr:uid="{00000000-0005-0000-0000-000073240000}"/>
    <cellStyle name="_Whirlpool Mexico IP 3-8-07 2 3" xfId="24950" xr:uid="{00000000-0005-0000-0000-000074240000}"/>
    <cellStyle name="_Whirlpool Mexico IP 3-8-07 2 4" xfId="24951" xr:uid="{00000000-0005-0000-0000-000075240000}"/>
    <cellStyle name="_Whirlpool Mexico IP 3-8-07 3" xfId="9011" xr:uid="{00000000-0005-0000-0000-000076240000}"/>
    <cellStyle name="_Whirlpool Mexico IP 3-8-07 3 2" xfId="24952" xr:uid="{00000000-0005-0000-0000-000077240000}"/>
    <cellStyle name="_Whirlpool Mexico IP 3-8-07 3 2 2" xfId="24953" xr:uid="{00000000-0005-0000-0000-000078240000}"/>
    <cellStyle name="_Whirlpool Mexico IP 3-8-07 3 2 3" xfId="24954" xr:uid="{00000000-0005-0000-0000-000079240000}"/>
    <cellStyle name="_Whirlpool Mexico IP 3-8-07 3 3" xfId="24955" xr:uid="{00000000-0005-0000-0000-00007A240000}"/>
    <cellStyle name="_Whirlpool Mexico IP 3-8-07 3 4" xfId="24956" xr:uid="{00000000-0005-0000-0000-00007B240000}"/>
    <cellStyle name="_Whirlpool Mexico IP 3-8-07 4" xfId="9012" xr:uid="{00000000-0005-0000-0000-00007C240000}"/>
    <cellStyle name="_Whirlpool Mexico IP 3-8-07 4 2" xfId="24957" xr:uid="{00000000-0005-0000-0000-00007D240000}"/>
    <cellStyle name="_Whirlpool Mexico IP 3-8-07 4 2 2" xfId="24958" xr:uid="{00000000-0005-0000-0000-00007E240000}"/>
    <cellStyle name="_Whirlpool Mexico IP 3-8-07 4 2 3" xfId="24959" xr:uid="{00000000-0005-0000-0000-00007F240000}"/>
    <cellStyle name="_Whirlpool Mexico IP 3-8-07 4 3" xfId="24960" xr:uid="{00000000-0005-0000-0000-000080240000}"/>
    <cellStyle name="_Whirlpool Mexico IP 3-8-07 4 4" xfId="24961" xr:uid="{00000000-0005-0000-0000-000081240000}"/>
    <cellStyle name="_Whirlpool Mexico IP 3-8-07 5" xfId="9013" xr:uid="{00000000-0005-0000-0000-000082240000}"/>
    <cellStyle name="_Whirlpool Mexico IP 3-8-07 5 2" xfId="24962" xr:uid="{00000000-0005-0000-0000-000083240000}"/>
    <cellStyle name="_Whirlpool Mexico IP 3-8-07 5 2 2" xfId="24963" xr:uid="{00000000-0005-0000-0000-000084240000}"/>
    <cellStyle name="_Whirlpool Mexico IP 3-8-07 5 2 3" xfId="24964" xr:uid="{00000000-0005-0000-0000-000085240000}"/>
    <cellStyle name="_Whirlpool Mexico IP 3-8-07 5 3" xfId="24965" xr:uid="{00000000-0005-0000-0000-000086240000}"/>
    <cellStyle name="_Whirlpool Mexico IP 3-8-07 5 4" xfId="24966" xr:uid="{00000000-0005-0000-0000-000087240000}"/>
    <cellStyle name="_Whirlpool Mexico IP 3-8-07 6" xfId="24967" xr:uid="{00000000-0005-0000-0000-000088240000}"/>
    <cellStyle name="_Whirlpool Mexico IP 3-8-07 6 2" xfId="24968" xr:uid="{00000000-0005-0000-0000-000089240000}"/>
    <cellStyle name="_Whirlpool Mexico IP 3-8-07 6 3" xfId="24969" xr:uid="{00000000-0005-0000-0000-00008A240000}"/>
    <cellStyle name="_Whirlpool Mexico IP 3-8-07 7" xfId="24970" xr:uid="{00000000-0005-0000-0000-00008B240000}"/>
    <cellStyle name="_Whirlpool Mexico IP 3-8-07 8" xfId="24971" xr:uid="{00000000-0005-0000-0000-00008C240000}"/>
    <cellStyle name="_Whirlpool Mexico IP 3-8-07_SUBARTICO ADD-DEL" xfId="9014" xr:uid="{00000000-0005-0000-0000-00008D240000}"/>
    <cellStyle name="_Whirlpool Mexico IP 3-8-07_SUBARTICO ADD-DEL 2" xfId="9015" xr:uid="{00000000-0005-0000-0000-00008E240000}"/>
    <cellStyle name="_Whirlpool Mexico IP 4" xfId="9016" xr:uid="{00000000-0005-0000-0000-00008F240000}"/>
    <cellStyle name="_Whirlpool Mexico IP 4 2" xfId="24972" xr:uid="{00000000-0005-0000-0000-000090240000}"/>
    <cellStyle name="_Whirlpool Mexico IP 4 2 2" xfId="24973" xr:uid="{00000000-0005-0000-0000-000091240000}"/>
    <cellStyle name="_Whirlpool Mexico IP 4 2 3" xfId="24974" xr:uid="{00000000-0005-0000-0000-000092240000}"/>
    <cellStyle name="_Whirlpool Mexico IP 4 3" xfId="24975" xr:uid="{00000000-0005-0000-0000-000093240000}"/>
    <cellStyle name="_Whirlpool Mexico IP 4 4" xfId="24976" xr:uid="{00000000-0005-0000-0000-000094240000}"/>
    <cellStyle name="_Whirlpool Mexico IP 5" xfId="9017" xr:uid="{00000000-0005-0000-0000-000095240000}"/>
    <cellStyle name="_Whirlpool Mexico IP 5 2" xfId="24977" xr:uid="{00000000-0005-0000-0000-000096240000}"/>
    <cellStyle name="_Whirlpool Mexico IP 5 2 2" xfId="24978" xr:uid="{00000000-0005-0000-0000-000097240000}"/>
    <cellStyle name="_Whirlpool Mexico IP 5 2 3" xfId="24979" xr:uid="{00000000-0005-0000-0000-000098240000}"/>
    <cellStyle name="_Whirlpool Mexico IP 5 3" xfId="24980" xr:uid="{00000000-0005-0000-0000-000099240000}"/>
    <cellStyle name="_Whirlpool Mexico IP 5 4" xfId="24981" xr:uid="{00000000-0005-0000-0000-00009A240000}"/>
    <cellStyle name="_Whirlpool Mexico IP 6" xfId="24982" xr:uid="{00000000-0005-0000-0000-00009B240000}"/>
    <cellStyle name="_Whirlpool Mexico IP 6 2" xfId="24983" xr:uid="{00000000-0005-0000-0000-00009C240000}"/>
    <cellStyle name="_Whirlpool Mexico IP 6 3" xfId="24984" xr:uid="{00000000-0005-0000-0000-00009D240000}"/>
    <cellStyle name="_Whirlpool Mexico IP 7" xfId="24985" xr:uid="{00000000-0005-0000-0000-00009E240000}"/>
    <cellStyle name="_Whirlpool Mexico IP 8" xfId="24986" xr:uid="{00000000-0005-0000-0000-00009F240000}"/>
    <cellStyle name="_Whirlpool Mexico IP_862-CH" xfId="9018" xr:uid="{00000000-0005-0000-0000-0000A0240000}"/>
    <cellStyle name="_Whirlpool Mexico IP_SUBARTICO ADD-DEL" xfId="9019" xr:uid="{00000000-0005-0000-0000-0000A1240000}"/>
    <cellStyle name="_Whirlpool Mexico IP_SUBARTICO ADD-DEL 2" xfId="9020" xr:uid="{00000000-0005-0000-0000-0000A2240000}"/>
    <cellStyle name="_Whirlpool Mexico IP_W10251766 D" xfId="9021" xr:uid="{00000000-0005-0000-0000-0000A3240000}"/>
    <cellStyle name="_Whirlpool Mexico IP_W10279106 y W10279107 de MR a 56i" xfId="9022" xr:uid="{00000000-0005-0000-0000-0000A4240000}"/>
    <cellStyle name="_Whirlpool Mexico IP_W10315922 A" xfId="9023" xr:uid="{00000000-0005-0000-0000-0000A5240000}"/>
    <cellStyle name="_Whirlpool PLAN POWER CORD W10007341 11-211" xfId="9024" xr:uid="{00000000-0005-0000-0000-0000A6240000}"/>
    <cellStyle name="_Whirlpool PLAN POWER CORD W10007341 11-211 2" xfId="9025" xr:uid="{00000000-0005-0000-0000-0000A7240000}"/>
    <cellStyle name="_Whirlpool PLAN POWER CORD W10007341 11-211 3" xfId="9026" xr:uid="{00000000-0005-0000-0000-0000A8240000}"/>
    <cellStyle name="_Whirlpool PLAN POWER CORD W10007341 11-211 4" xfId="9027" xr:uid="{00000000-0005-0000-0000-0000A9240000}"/>
    <cellStyle name="_Whirlpool PLAN POWER CORD W10007341 11-211 5" xfId="9028" xr:uid="{00000000-0005-0000-0000-0000AA240000}"/>
    <cellStyle name="_Whirlpool Service (32030301)" xfId="9029" xr:uid="{00000000-0005-0000-0000-0000AB240000}"/>
    <cellStyle name="_Whirlpool Service (32030301) 2" xfId="9030" xr:uid="{00000000-0005-0000-0000-0000AC240000}"/>
    <cellStyle name="_Whirlpool Service (32030301) 3" xfId="24987" xr:uid="{00000000-0005-0000-0000-0000AD240000}"/>
    <cellStyle name="_Whirlpool Service (32030301)_825-CH PROYECTO CORONA" xfId="9031" xr:uid="{00000000-0005-0000-0000-0000AE240000}"/>
    <cellStyle name="_Whirlpool Service (32030301)_825-CH PROYECTO CORONA 2" xfId="9032" xr:uid="{00000000-0005-0000-0000-0000AF240000}"/>
    <cellStyle name="_Whirlpool Service (32030301)_825-CH PROYECTO CORONA 3" xfId="9033" xr:uid="{00000000-0005-0000-0000-0000B0240000}"/>
    <cellStyle name="_Whirlpool Service (32030301)_825-CH PROYECTO CORONA_862-CH" xfId="9034" xr:uid="{00000000-0005-0000-0000-0000B1240000}"/>
    <cellStyle name="_Whirlpool Service (32030301)_825-CH PROYECTO CORONA_W10251766 D" xfId="9035" xr:uid="{00000000-0005-0000-0000-0000B2240000}"/>
    <cellStyle name="_Whirlpool Service (32030301)_825-CH PROYECTO CORONA_W10279106 y W10279107 de MR a 56i" xfId="9036" xr:uid="{00000000-0005-0000-0000-0000B3240000}"/>
    <cellStyle name="_Whirlpool Service (32030301)_825-CH PROYECTO CORONA_W10315922 A" xfId="9037" xr:uid="{00000000-0005-0000-0000-0000B4240000}"/>
    <cellStyle name="_Whirlpool Service (32030301)_BSHNC144(RFQ EE2909)gs" xfId="9038" xr:uid="{00000000-0005-0000-0000-0000B5240000}"/>
    <cellStyle name="_Whirlpool Service (32030301)_BSHNC144(RFQ EE2909)gs_BSHTN061" xfId="9039" xr:uid="{00000000-0005-0000-0000-0000B6240000}"/>
    <cellStyle name="_Whirlpool Service (32030301)_BSHNC144(RFQ EE2909)gs_BSHTN067" xfId="9040" xr:uid="{00000000-0005-0000-0000-0000B7240000}"/>
    <cellStyle name="_Whirlpool Service (32030301)_BSHNC144(RFQ EE2909)gs_BSHTN071" xfId="9041" xr:uid="{00000000-0005-0000-0000-0000B8240000}"/>
    <cellStyle name="_Whirlpool Service (32030301)_BSHNC145(RFQ EE2909)" xfId="9042" xr:uid="{00000000-0005-0000-0000-0000B9240000}"/>
    <cellStyle name="_Whirlpool Service (32030301)_BSHNC145(RFQ EE2909)_BSHNC151 (RFQ EE4509)" xfId="9043" xr:uid="{00000000-0005-0000-0000-0000BA240000}"/>
    <cellStyle name="_Whirlpool Service (32030301)_BSHNC145(RFQ EE2909)_BSHNC162 (RFQ EE5409)" xfId="9044" xr:uid="{00000000-0005-0000-0000-0000BB240000}"/>
    <cellStyle name="_Whirlpool Service (32030301)_BSHNC145(RFQ EE2909)_Quote BSHNC163" xfId="9045" xr:uid="{00000000-0005-0000-0000-0000BC240000}"/>
    <cellStyle name="_Whirlpool Service (32030301)_BSHTN061" xfId="9046" xr:uid="{00000000-0005-0000-0000-0000BD240000}"/>
    <cellStyle name="_Whirlpool Service (32030301)_W10297387 A" xfId="9047" xr:uid="{00000000-0005-0000-0000-0000BE240000}"/>
    <cellStyle name="_Whirlpool Service (32030301)_W10315911 A" xfId="9048" xr:uid="{00000000-0005-0000-0000-0000BF240000}"/>
    <cellStyle name="_Whirlpool Service (32030301)_W10315921 A" xfId="9049" xr:uid="{00000000-0005-0000-0000-0000C0240000}"/>
    <cellStyle name="_Whirlpool Service (32030301)_W10315922 A" xfId="9050" xr:uid="{00000000-0005-0000-0000-0000C1240000}"/>
    <cellStyle name="_Whirlpool Service (32030301)_Xl0000052" xfId="9051" xr:uid="{00000000-0005-0000-0000-0000C2240000}"/>
    <cellStyle name="_Whirlpool Service (32030301)_Xl0000052_862-CH" xfId="9052" xr:uid="{00000000-0005-0000-0000-0000C3240000}"/>
    <cellStyle name="_Whirlpool Service (32030301)_Xl0000052_W10251766 D" xfId="9053" xr:uid="{00000000-0005-0000-0000-0000C4240000}"/>
    <cellStyle name="_Whirlpool Service (32030301)_Xl0000052_W10279106 y W10279107 de MR a 56i" xfId="9054" xr:uid="{00000000-0005-0000-0000-0000C5240000}"/>
    <cellStyle name="_Whirlpool Service (32030301)_Xl0000052_W10315922 A" xfId="9055" xr:uid="{00000000-0005-0000-0000-0000C6240000}"/>
    <cellStyle name="_Whirlpool Service (3406197)" xfId="9056" xr:uid="{00000000-0005-0000-0000-0000C7240000}"/>
    <cellStyle name="_Whirlpool Service (3406197) 2" xfId="9057" xr:uid="{00000000-0005-0000-0000-0000C8240000}"/>
    <cellStyle name="_Whirlpool Service (3406197) 3" xfId="24988" xr:uid="{00000000-0005-0000-0000-0000C9240000}"/>
    <cellStyle name="_Whirlpool Service (3406197)_825-CH PROYECTO CORONA" xfId="9058" xr:uid="{00000000-0005-0000-0000-0000CA240000}"/>
    <cellStyle name="_Whirlpool Service (3406197)_825-CH PROYECTO CORONA 2" xfId="9059" xr:uid="{00000000-0005-0000-0000-0000CB240000}"/>
    <cellStyle name="_Whirlpool Service (3406197)_825-CH PROYECTO CORONA 3" xfId="9060" xr:uid="{00000000-0005-0000-0000-0000CC240000}"/>
    <cellStyle name="_Whirlpool Service (3406197)_825-CH PROYECTO CORONA_862-CH" xfId="9061" xr:uid="{00000000-0005-0000-0000-0000CD240000}"/>
    <cellStyle name="_Whirlpool Service (3406197)_825-CH PROYECTO CORONA_W10251766 D" xfId="9062" xr:uid="{00000000-0005-0000-0000-0000CE240000}"/>
    <cellStyle name="_Whirlpool Service (3406197)_825-CH PROYECTO CORONA_W10279106 y W10279107 de MR a 56i" xfId="9063" xr:uid="{00000000-0005-0000-0000-0000CF240000}"/>
    <cellStyle name="_Whirlpool Service (3406197)_825-CH PROYECTO CORONA_W10315922 A" xfId="9064" xr:uid="{00000000-0005-0000-0000-0000D0240000}"/>
    <cellStyle name="_Whirlpool Service (3406197)_BSHNC144(RFQ EE2909)gs" xfId="9065" xr:uid="{00000000-0005-0000-0000-0000D1240000}"/>
    <cellStyle name="_Whirlpool Service (3406197)_BSHNC144(RFQ EE2909)gs_BSHTN061" xfId="9066" xr:uid="{00000000-0005-0000-0000-0000D2240000}"/>
    <cellStyle name="_Whirlpool Service (3406197)_BSHNC144(RFQ EE2909)gs_BSHTN067" xfId="9067" xr:uid="{00000000-0005-0000-0000-0000D3240000}"/>
    <cellStyle name="_Whirlpool Service (3406197)_BSHNC144(RFQ EE2909)gs_BSHTN071" xfId="9068" xr:uid="{00000000-0005-0000-0000-0000D4240000}"/>
    <cellStyle name="_Whirlpool Service (3406197)_BSHNC145(RFQ EE2909)" xfId="9069" xr:uid="{00000000-0005-0000-0000-0000D5240000}"/>
    <cellStyle name="_Whirlpool Service (3406197)_BSHNC145(RFQ EE2909)_BSHNC151 (RFQ EE4509)" xfId="9070" xr:uid="{00000000-0005-0000-0000-0000D6240000}"/>
    <cellStyle name="_Whirlpool Service (3406197)_BSHNC145(RFQ EE2909)_BSHNC162 (RFQ EE5409)" xfId="9071" xr:uid="{00000000-0005-0000-0000-0000D7240000}"/>
    <cellStyle name="_Whirlpool Service (3406197)_BSHNC145(RFQ EE2909)_Quote BSHNC163" xfId="9072" xr:uid="{00000000-0005-0000-0000-0000D8240000}"/>
    <cellStyle name="_Whirlpool Service (3406197)_BSHTN061" xfId="9073" xr:uid="{00000000-0005-0000-0000-0000D9240000}"/>
    <cellStyle name="_Whirlpool Service (3406197)_W10297387 A" xfId="9074" xr:uid="{00000000-0005-0000-0000-0000DA240000}"/>
    <cellStyle name="_Whirlpool Service (3406197)_W10315911 A" xfId="9075" xr:uid="{00000000-0005-0000-0000-0000DB240000}"/>
    <cellStyle name="_Whirlpool Service (3406197)_W10315921 A" xfId="9076" xr:uid="{00000000-0005-0000-0000-0000DC240000}"/>
    <cellStyle name="_Whirlpool Service (3406197)_W10315922 A" xfId="9077" xr:uid="{00000000-0005-0000-0000-0000DD240000}"/>
    <cellStyle name="_Whirlpool Service (3406197)_Xl0000052" xfId="9078" xr:uid="{00000000-0005-0000-0000-0000DE240000}"/>
    <cellStyle name="_Whirlpool Service (3406197)_Xl0000052_862-CH" xfId="9079" xr:uid="{00000000-0005-0000-0000-0000DF240000}"/>
    <cellStyle name="_Whirlpool Service (3406197)_Xl0000052_W10251766 D" xfId="9080" xr:uid="{00000000-0005-0000-0000-0000E0240000}"/>
    <cellStyle name="_Whirlpool Service (3406197)_Xl0000052_W10279106 y W10279107 de MR a 56i" xfId="9081" xr:uid="{00000000-0005-0000-0000-0000E1240000}"/>
    <cellStyle name="_Whirlpool Service (3406197)_Xl0000052_W10315922 A" xfId="9082" xr:uid="{00000000-0005-0000-0000-0000E2240000}"/>
    <cellStyle name="_Whirlpool Service (3406197)1" xfId="9083" xr:uid="{00000000-0005-0000-0000-0000E3240000}"/>
    <cellStyle name="_Whirlpool Service (3406197)1 2" xfId="9084" xr:uid="{00000000-0005-0000-0000-0000E4240000}"/>
    <cellStyle name="_Whirlpool Service (3406197)1 3" xfId="24989" xr:uid="{00000000-0005-0000-0000-0000E5240000}"/>
    <cellStyle name="_Whirlpool Service (3406197)1_825-CH PROYECTO CORONA" xfId="9085" xr:uid="{00000000-0005-0000-0000-0000E6240000}"/>
    <cellStyle name="_Whirlpool Service (3406197)1_825-CH PROYECTO CORONA 2" xfId="9086" xr:uid="{00000000-0005-0000-0000-0000E7240000}"/>
    <cellStyle name="_Whirlpool Service (3406197)1_825-CH PROYECTO CORONA 3" xfId="9087" xr:uid="{00000000-0005-0000-0000-0000E8240000}"/>
    <cellStyle name="_Whirlpool Service (3406197)1_825-CH PROYECTO CORONA_862-CH" xfId="9088" xr:uid="{00000000-0005-0000-0000-0000E9240000}"/>
    <cellStyle name="_Whirlpool Service (3406197)1_825-CH PROYECTO CORONA_W10251766 D" xfId="9089" xr:uid="{00000000-0005-0000-0000-0000EA240000}"/>
    <cellStyle name="_Whirlpool Service (3406197)1_825-CH PROYECTO CORONA_W10279106 y W10279107 de MR a 56i" xfId="9090" xr:uid="{00000000-0005-0000-0000-0000EB240000}"/>
    <cellStyle name="_Whirlpool Service (3406197)1_825-CH PROYECTO CORONA_W10315922 A" xfId="9091" xr:uid="{00000000-0005-0000-0000-0000EC240000}"/>
    <cellStyle name="_Whirlpool Service (3406197)1_BSHNC144(RFQ EE2909)gs" xfId="9092" xr:uid="{00000000-0005-0000-0000-0000ED240000}"/>
    <cellStyle name="_Whirlpool Service (3406197)1_BSHNC144(RFQ EE2909)gs_BSHTN061" xfId="9093" xr:uid="{00000000-0005-0000-0000-0000EE240000}"/>
    <cellStyle name="_Whirlpool Service (3406197)1_BSHNC144(RFQ EE2909)gs_BSHTN067" xfId="9094" xr:uid="{00000000-0005-0000-0000-0000EF240000}"/>
    <cellStyle name="_Whirlpool Service (3406197)1_BSHNC144(RFQ EE2909)gs_BSHTN071" xfId="9095" xr:uid="{00000000-0005-0000-0000-0000F0240000}"/>
    <cellStyle name="_Whirlpool Service (3406197)1_BSHNC145(RFQ EE2909)" xfId="9096" xr:uid="{00000000-0005-0000-0000-0000F1240000}"/>
    <cellStyle name="_Whirlpool Service (3406197)1_BSHNC145(RFQ EE2909)_BSHNC151 (RFQ EE4509)" xfId="9097" xr:uid="{00000000-0005-0000-0000-0000F2240000}"/>
    <cellStyle name="_Whirlpool Service (3406197)1_BSHNC145(RFQ EE2909)_BSHNC162 (RFQ EE5409)" xfId="9098" xr:uid="{00000000-0005-0000-0000-0000F3240000}"/>
    <cellStyle name="_Whirlpool Service (3406197)1_BSHNC145(RFQ EE2909)_Quote BSHNC163" xfId="9099" xr:uid="{00000000-0005-0000-0000-0000F4240000}"/>
    <cellStyle name="_Whirlpool Service (3406197)1_BSHTN061" xfId="9100" xr:uid="{00000000-0005-0000-0000-0000F5240000}"/>
    <cellStyle name="_Whirlpool Service (3406197)1_W10297387 A" xfId="9101" xr:uid="{00000000-0005-0000-0000-0000F6240000}"/>
    <cellStyle name="_Whirlpool Service (3406197)1_W10315911 A" xfId="9102" xr:uid="{00000000-0005-0000-0000-0000F7240000}"/>
    <cellStyle name="_Whirlpool Service (3406197)1_W10315921 A" xfId="9103" xr:uid="{00000000-0005-0000-0000-0000F8240000}"/>
    <cellStyle name="_Whirlpool Service (3406197)1_W10315922 A" xfId="9104" xr:uid="{00000000-0005-0000-0000-0000F9240000}"/>
    <cellStyle name="_Whirlpool Service (3406197)1_Xl0000052" xfId="9105" xr:uid="{00000000-0005-0000-0000-0000FA240000}"/>
    <cellStyle name="_Whirlpool Service (3406197)1_Xl0000052_862-CH" xfId="9106" xr:uid="{00000000-0005-0000-0000-0000FB240000}"/>
    <cellStyle name="_Whirlpool Service (3406197)1_Xl0000052_W10251766 D" xfId="9107" xr:uid="{00000000-0005-0000-0000-0000FC240000}"/>
    <cellStyle name="_Whirlpool Service (3406197)1_Xl0000052_W10279106 y W10279107 de MR a 56i" xfId="9108" xr:uid="{00000000-0005-0000-0000-0000FD240000}"/>
    <cellStyle name="_Whirlpool Service (3406197)1_Xl0000052_W10315922 A" xfId="9109" xr:uid="{00000000-0005-0000-0000-0000FE240000}"/>
    <cellStyle name="_Whp  Cleveland Diablo Oct-15-08" xfId="9110" xr:uid="{00000000-0005-0000-0000-0000FF240000}"/>
    <cellStyle name="_Whp  Cleveland Diablo Oct-15-08 10" xfId="9111" xr:uid="{00000000-0005-0000-0000-000000250000}"/>
    <cellStyle name="_Whp  Cleveland Diablo Oct-15-08 10 2" xfId="9112" xr:uid="{00000000-0005-0000-0000-000001250000}"/>
    <cellStyle name="_Whp  Cleveland Diablo Oct-15-08 10 3" xfId="9113" xr:uid="{00000000-0005-0000-0000-000002250000}"/>
    <cellStyle name="_Whp  Cleveland Diablo Oct-15-08 10 4" xfId="9114" xr:uid="{00000000-0005-0000-0000-000003250000}"/>
    <cellStyle name="_Whp  Cleveland Diablo Oct-15-08 2" xfId="9115" xr:uid="{00000000-0005-0000-0000-000004250000}"/>
    <cellStyle name="_Whp  Cleveland Diablo Oct-15-08 2 2" xfId="9116" xr:uid="{00000000-0005-0000-0000-000005250000}"/>
    <cellStyle name="_Whp  Cleveland Diablo Oct-15-08 2 3" xfId="9117" xr:uid="{00000000-0005-0000-0000-000006250000}"/>
    <cellStyle name="_Whp  Cleveland Diablo Oct-15-08 2 4" xfId="9118" xr:uid="{00000000-0005-0000-0000-000007250000}"/>
    <cellStyle name="_Whp  Cleveland Diablo Oct-15-08 2 5" xfId="9119" xr:uid="{00000000-0005-0000-0000-000008250000}"/>
    <cellStyle name="_Whp  Cleveland Diablo Oct-15-08 2_SUBARTICO ADD-DEL" xfId="9120" xr:uid="{00000000-0005-0000-0000-000009250000}"/>
    <cellStyle name="_Whp  Cleveland Diablo Oct-15-08 2_SUBARTICO ADD-DEL 2" xfId="9121" xr:uid="{00000000-0005-0000-0000-00000A250000}"/>
    <cellStyle name="_Whp  Cleveland Diablo Oct-15-08 3" xfId="9122" xr:uid="{00000000-0005-0000-0000-00000B250000}"/>
    <cellStyle name="_Whp  Cleveland Diablo Oct-15-08 3 2" xfId="9123" xr:uid="{00000000-0005-0000-0000-00000C250000}"/>
    <cellStyle name="_Whp  Cleveland Diablo Oct-15-08 3 3" xfId="9124" xr:uid="{00000000-0005-0000-0000-00000D250000}"/>
    <cellStyle name="_Whp  Cleveland Diablo Oct-15-08 3 4" xfId="9125" xr:uid="{00000000-0005-0000-0000-00000E250000}"/>
    <cellStyle name="_Whp  Cleveland Diablo Oct-15-08 3 5" xfId="9126" xr:uid="{00000000-0005-0000-0000-00000F250000}"/>
    <cellStyle name="_Whp  Cleveland Diablo Oct-15-08 3_SUBARTICO ADD-DEL" xfId="9127" xr:uid="{00000000-0005-0000-0000-000010250000}"/>
    <cellStyle name="_Whp  Cleveland Diablo Oct-15-08 3_SUBARTICO ADD-DEL 2" xfId="9128" xr:uid="{00000000-0005-0000-0000-000011250000}"/>
    <cellStyle name="_Whp  Cleveland Diablo Oct-15-08 4" xfId="9129" xr:uid="{00000000-0005-0000-0000-000012250000}"/>
    <cellStyle name="_Whp  Cleveland Diablo Oct-15-08 4 2" xfId="9130" xr:uid="{00000000-0005-0000-0000-000013250000}"/>
    <cellStyle name="_Whp  Cleveland Diablo Oct-15-08 4 3" xfId="9131" xr:uid="{00000000-0005-0000-0000-000014250000}"/>
    <cellStyle name="_Whp  Cleveland Diablo Oct-15-08 4 4" xfId="9132" xr:uid="{00000000-0005-0000-0000-000015250000}"/>
    <cellStyle name="_Whp  Cleveland Diablo Oct-15-08 4 5" xfId="9133" xr:uid="{00000000-0005-0000-0000-000016250000}"/>
    <cellStyle name="_Whp  Cleveland Diablo Oct-15-08 4_SUBARTICO ADD-DEL" xfId="9134" xr:uid="{00000000-0005-0000-0000-000017250000}"/>
    <cellStyle name="_Whp  Cleveland Diablo Oct-15-08 4_SUBARTICO ADD-DEL 2" xfId="9135" xr:uid="{00000000-0005-0000-0000-000018250000}"/>
    <cellStyle name="_Whp  Cleveland Diablo Oct-15-08 5" xfId="9136" xr:uid="{00000000-0005-0000-0000-000019250000}"/>
    <cellStyle name="_Whp  Cleveland Diablo Oct-15-08 5 2" xfId="9137" xr:uid="{00000000-0005-0000-0000-00001A250000}"/>
    <cellStyle name="_Whp  Cleveland Diablo Oct-15-08 5 3" xfId="9138" xr:uid="{00000000-0005-0000-0000-00001B250000}"/>
    <cellStyle name="_Whp  Cleveland Diablo Oct-15-08 5 4" xfId="9139" xr:uid="{00000000-0005-0000-0000-00001C250000}"/>
    <cellStyle name="_Whp  Cleveland Diablo Oct-15-08 5 5" xfId="9140" xr:uid="{00000000-0005-0000-0000-00001D250000}"/>
    <cellStyle name="_Whp  Cleveland Diablo Oct-15-08 5_SUBARTICO ADD-DEL" xfId="9141" xr:uid="{00000000-0005-0000-0000-00001E250000}"/>
    <cellStyle name="_Whp  Cleveland Diablo Oct-15-08 5_SUBARTICO ADD-DEL 2" xfId="9142" xr:uid="{00000000-0005-0000-0000-00001F250000}"/>
    <cellStyle name="_Whp  Cleveland Diablo Oct-15-08 6" xfId="9143" xr:uid="{00000000-0005-0000-0000-000020250000}"/>
    <cellStyle name="_Whp  Cleveland Diablo Oct-15-08 6 2" xfId="9144" xr:uid="{00000000-0005-0000-0000-000021250000}"/>
    <cellStyle name="_Whp  Cleveland Diablo Oct-15-08 6 3" xfId="9145" xr:uid="{00000000-0005-0000-0000-000022250000}"/>
    <cellStyle name="_Whp  Cleveland Diablo Oct-15-08 6 4" xfId="9146" xr:uid="{00000000-0005-0000-0000-000023250000}"/>
    <cellStyle name="_Whp  Cleveland Diablo Oct-15-08 6 5" xfId="9147" xr:uid="{00000000-0005-0000-0000-000024250000}"/>
    <cellStyle name="_Whp  Cleveland Diablo Oct-15-08 6_SUBARTICO ADD-DEL" xfId="9148" xr:uid="{00000000-0005-0000-0000-000025250000}"/>
    <cellStyle name="_Whp  Cleveland Diablo Oct-15-08 6_SUBARTICO ADD-DEL 2" xfId="9149" xr:uid="{00000000-0005-0000-0000-000026250000}"/>
    <cellStyle name="_Whp  Cleveland Diablo Oct-15-08 7" xfId="9150" xr:uid="{00000000-0005-0000-0000-000027250000}"/>
    <cellStyle name="_Whp  Cleveland Diablo Oct-15-08 7 2" xfId="9151" xr:uid="{00000000-0005-0000-0000-000028250000}"/>
    <cellStyle name="_Whp  Cleveland Diablo Oct-15-08 7 3" xfId="9152" xr:uid="{00000000-0005-0000-0000-000029250000}"/>
    <cellStyle name="_Whp  Cleveland Diablo Oct-15-08 7 4" xfId="9153" xr:uid="{00000000-0005-0000-0000-00002A250000}"/>
    <cellStyle name="_Whp  Cleveland Diablo Oct-15-08 7 5" xfId="9154" xr:uid="{00000000-0005-0000-0000-00002B250000}"/>
    <cellStyle name="_Whp  Cleveland Diablo Oct-15-08 7_SUBARTICO ADD-DEL" xfId="9155" xr:uid="{00000000-0005-0000-0000-00002C250000}"/>
    <cellStyle name="_Whp  Cleveland Diablo Oct-15-08 7_SUBARTICO ADD-DEL 2" xfId="9156" xr:uid="{00000000-0005-0000-0000-00002D250000}"/>
    <cellStyle name="_Whp  Cleveland Diablo Oct-15-08 8" xfId="9157" xr:uid="{00000000-0005-0000-0000-00002E250000}"/>
    <cellStyle name="_Whp  Cleveland Diablo Oct-15-08 8 2" xfId="9158" xr:uid="{00000000-0005-0000-0000-00002F250000}"/>
    <cellStyle name="_Whp  Cleveland Diablo Oct-15-08 8 3" xfId="9159" xr:uid="{00000000-0005-0000-0000-000030250000}"/>
    <cellStyle name="_Whp  Cleveland Diablo Oct-15-08 8 4" xfId="9160" xr:uid="{00000000-0005-0000-0000-000031250000}"/>
    <cellStyle name="_Whp  Cleveland Diablo Oct-15-08 8 5" xfId="9161" xr:uid="{00000000-0005-0000-0000-000032250000}"/>
    <cellStyle name="_Whp  Cleveland Diablo Oct-15-08 8_SUBARTICO ADD-DEL" xfId="9162" xr:uid="{00000000-0005-0000-0000-000033250000}"/>
    <cellStyle name="_Whp  Cleveland Diablo Oct-15-08 8_SUBARTICO ADD-DEL 2" xfId="9163" xr:uid="{00000000-0005-0000-0000-000034250000}"/>
    <cellStyle name="_Whp  Cleveland Diablo Oct-15-08 9" xfId="9164" xr:uid="{00000000-0005-0000-0000-000035250000}"/>
    <cellStyle name="_Whp  Cleveland Diablo Oct-15-08 9 2" xfId="9165" xr:uid="{00000000-0005-0000-0000-000036250000}"/>
    <cellStyle name="_Whp  Cleveland Diablo Oct-15-08 9 3" xfId="9166" xr:uid="{00000000-0005-0000-0000-000037250000}"/>
    <cellStyle name="_Whp  Cleveland Diablo Oct-15-08 9 4" xfId="9167" xr:uid="{00000000-0005-0000-0000-000038250000}"/>
    <cellStyle name="_Whp  Cleveland Diablo Oct-15-08 9 5" xfId="9168" xr:uid="{00000000-0005-0000-0000-000039250000}"/>
    <cellStyle name="_Whp  Cleveland Diablo Oct-15-08 9_SUBARTICO ADD-DEL" xfId="9169" xr:uid="{00000000-0005-0000-0000-00003A250000}"/>
    <cellStyle name="_Whp  Cleveland Diablo Oct-15-08 9_SUBARTICO ADD-DEL 2" xfId="9170" xr:uid="{00000000-0005-0000-0000-00003B250000}"/>
    <cellStyle name="_Whp  Cleveland Diablo Oct-15-08_862-CH" xfId="9171" xr:uid="{00000000-0005-0000-0000-00003C250000}"/>
    <cellStyle name="_Whp  Cleveland Diablo Oct-15-08_BSHNC162 (RFQ EE5409)1" xfId="9172" xr:uid="{00000000-0005-0000-0000-00003D250000}"/>
    <cellStyle name="_Whp  Cleveland Diablo Oct-15-08_BSHNC162 (RFQ EE5409)1 2" xfId="9173" xr:uid="{00000000-0005-0000-0000-00003E250000}"/>
    <cellStyle name="_Whp  Cleveland Diablo Oct-15-08_Ec-2376 to 2379 Add-del 318402413 2414 2374 318394491" xfId="9174" xr:uid="{00000000-0005-0000-0000-00003F250000}"/>
    <cellStyle name="_Whp  Cleveland Diablo Oct-15-08_Ec-2376 to 2379 Add-del 318402413 2414 2374 318394491 2" xfId="9175" xr:uid="{00000000-0005-0000-0000-000040250000}"/>
    <cellStyle name="_Whp  Cleveland Diablo Oct-15-08_Ec-2376 to 2379 Add-del 318402413 2414 2374 318394491 3" xfId="9176" xr:uid="{00000000-0005-0000-0000-000041250000}"/>
    <cellStyle name="_Whp  Cleveland Diablo Oct-15-08_Ec-2376 to 2379 Add-del 318402413 2414 2374 318394491 4" xfId="9177" xr:uid="{00000000-0005-0000-0000-000042250000}"/>
    <cellStyle name="_Whp  Cleveland Diablo Oct-15-08_Ec-2376 to 2379 Add-del 318402413 2414 2374 318394491 5" xfId="9178" xr:uid="{00000000-0005-0000-0000-000043250000}"/>
    <cellStyle name="_Whp  Cleveland Diablo Oct-15-08_Ec-2376 to 2379 Add-del 318402413 2414 2374 318394491_SUBARTICO ADD-DEL" xfId="9179" xr:uid="{00000000-0005-0000-0000-000044250000}"/>
    <cellStyle name="_Whp  Cleveland Diablo Oct-15-08_Ec-2376 to 2379 Add-del 318402413 2414 2374 318394491_SUBARTICO ADD-DEL 2" xfId="9180" xr:uid="{00000000-0005-0000-0000-000045250000}"/>
    <cellStyle name="_Whp  Cleveland Diablo Oct-15-08_ESTIMATED ARES-10 PACKAGE 25NOV" xfId="9181" xr:uid="{00000000-0005-0000-0000-000046250000}"/>
    <cellStyle name="_Whp  Cleveland Diablo Oct-15-08_ESTIMATED ARES-10 PACKAGE 25NOV 2" xfId="9182" xr:uid="{00000000-0005-0000-0000-000047250000}"/>
    <cellStyle name="_Whp  Cleveland Diablo Oct-15-08_ESTIMATED ARES-10 PACKAGE 25NOV 3" xfId="24990" xr:uid="{00000000-0005-0000-0000-000048250000}"/>
    <cellStyle name="_Whp  Cleveland Diablo Oct-15-08_ESTIMATED ARES-10 PACKAGE 25NOV_SUBARTICO ADD-DEL" xfId="9183" xr:uid="{00000000-0005-0000-0000-000049250000}"/>
    <cellStyle name="_Whp  Cleveland Diablo Oct-15-08_ESTIMATED ARES-10 PACKAGE 25NOV_SUBARTICO ADD-DEL 2" xfId="9184" xr:uid="{00000000-0005-0000-0000-00004A250000}"/>
    <cellStyle name="_Whp  Cleveland Diablo Oct-15-08_SUBARTICO ADD-DEL" xfId="9185" xr:uid="{00000000-0005-0000-0000-00004B250000}"/>
    <cellStyle name="_Whp  Cleveland Diablo Oct-15-08_SUBARTICO ADD-DEL 2" xfId="9186" xr:uid="{00000000-0005-0000-0000-00004C250000}"/>
    <cellStyle name="_Whp  Cleveland Diablo Oct-15-08_W10251766 D" xfId="9187" xr:uid="{00000000-0005-0000-0000-00004D250000}"/>
    <cellStyle name="_Whp  Cleveland Diablo Oct-15-08_W10279106 y W10279107 de MR a 56i" xfId="9188" xr:uid="{00000000-0005-0000-0000-00004E250000}"/>
    <cellStyle name="_Whp  Cleveland Diablo Oct-15-08_W10315922 A" xfId="9189" xr:uid="{00000000-0005-0000-0000-00004F250000}"/>
    <cellStyle name="_Whp  Cleveland Diablo Oct-15-08_WC cleveland con spreadshet" xfId="9190" xr:uid="{00000000-0005-0000-0000-000050250000}"/>
    <cellStyle name="_Whp  Cleveland Diablo Oct-15-08_WC cleveland con spreadshet 2" xfId="9191" xr:uid="{00000000-0005-0000-0000-000051250000}"/>
    <cellStyle name="_Whp  Cleveland Diablo Oct-15-08_WC cleveland con spreadshet 3" xfId="24991" xr:uid="{00000000-0005-0000-0000-000052250000}"/>
    <cellStyle name="_Whp  Cleveland Diablo Oct-15-08_WC cleveland con spreadshet_SUBARTICO ADD-DEL" xfId="9192" xr:uid="{00000000-0005-0000-0000-000053250000}"/>
    <cellStyle name="_Whp  Cleveland Diablo Oct-15-08_WC cleveland con spreadshet_SUBARTICO ADD-DEL 2" xfId="9193" xr:uid="{00000000-0005-0000-0000-000054250000}"/>
    <cellStyle name="_Whp  Oxford Sep-10-08" xfId="9194" xr:uid="{00000000-0005-0000-0000-000055250000}"/>
    <cellStyle name="_Whp  Oxford Sep-10-08 10" xfId="9195" xr:uid="{00000000-0005-0000-0000-000056250000}"/>
    <cellStyle name="_Whp  Oxford Sep-10-08 10 2" xfId="9196" xr:uid="{00000000-0005-0000-0000-000057250000}"/>
    <cellStyle name="_Whp  Oxford Sep-10-08 10 3" xfId="9197" xr:uid="{00000000-0005-0000-0000-000058250000}"/>
    <cellStyle name="_Whp  Oxford Sep-10-08 10 4" xfId="9198" xr:uid="{00000000-0005-0000-0000-000059250000}"/>
    <cellStyle name="_Whp  Oxford Sep-10-08 2" xfId="9199" xr:uid="{00000000-0005-0000-0000-00005A250000}"/>
    <cellStyle name="_Whp  Oxford Sep-10-08 2 2" xfId="9200" xr:uid="{00000000-0005-0000-0000-00005B250000}"/>
    <cellStyle name="_Whp  Oxford Sep-10-08 2 3" xfId="9201" xr:uid="{00000000-0005-0000-0000-00005C250000}"/>
    <cellStyle name="_Whp  Oxford Sep-10-08 2 4" xfId="9202" xr:uid="{00000000-0005-0000-0000-00005D250000}"/>
    <cellStyle name="_Whp  Oxford Sep-10-08 2 5" xfId="9203" xr:uid="{00000000-0005-0000-0000-00005E250000}"/>
    <cellStyle name="_Whp  Oxford Sep-10-08 2_SUBARTICO ADD-DEL" xfId="9204" xr:uid="{00000000-0005-0000-0000-00005F250000}"/>
    <cellStyle name="_Whp  Oxford Sep-10-08 2_SUBARTICO ADD-DEL 2" xfId="9205" xr:uid="{00000000-0005-0000-0000-000060250000}"/>
    <cellStyle name="_Whp  Oxford Sep-10-08 3" xfId="9206" xr:uid="{00000000-0005-0000-0000-000061250000}"/>
    <cellStyle name="_Whp  Oxford Sep-10-08 3 2" xfId="9207" xr:uid="{00000000-0005-0000-0000-000062250000}"/>
    <cellStyle name="_Whp  Oxford Sep-10-08 3 3" xfId="9208" xr:uid="{00000000-0005-0000-0000-000063250000}"/>
    <cellStyle name="_Whp  Oxford Sep-10-08 3 4" xfId="9209" xr:uid="{00000000-0005-0000-0000-000064250000}"/>
    <cellStyle name="_Whp  Oxford Sep-10-08 3 5" xfId="9210" xr:uid="{00000000-0005-0000-0000-000065250000}"/>
    <cellStyle name="_Whp  Oxford Sep-10-08 3_SUBARTICO ADD-DEL" xfId="9211" xr:uid="{00000000-0005-0000-0000-000066250000}"/>
    <cellStyle name="_Whp  Oxford Sep-10-08 3_SUBARTICO ADD-DEL 2" xfId="9212" xr:uid="{00000000-0005-0000-0000-000067250000}"/>
    <cellStyle name="_Whp  Oxford Sep-10-08 4" xfId="9213" xr:uid="{00000000-0005-0000-0000-000068250000}"/>
    <cellStyle name="_Whp  Oxford Sep-10-08 4 2" xfId="9214" xr:uid="{00000000-0005-0000-0000-000069250000}"/>
    <cellStyle name="_Whp  Oxford Sep-10-08 4 3" xfId="9215" xr:uid="{00000000-0005-0000-0000-00006A250000}"/>
    <cellStyle name="_Whp  Oxford Sep-10-08 4 4" xfId="9216" xr:uid="{00000000-0005-0000-0000-00006B250000}"/>
    <cellStyle name="_Whp  Oxford Sep-10-08 4 5" xfId="9217" xr:uid="{00000000-0005-0000-0000-00006C250000}"/>
    <cellStyle name="_Whp  Oxford Sep-10-08 4_SUBARTICO ADD-DEL" xfId="9218" xr:uid="{00000000-0005-0000-0000-00006D250000}"/>
    <cellStyle name="_Whp  Oxford Sep-10-08 4_SUBARTICO ADD-DEL 2" xfId="9219" xr:uid="{00000000-0005-0000-0000-00006E250000}"/>
    <cellStyle name="_Whp  Oxford Sep-10-08 5" xfId="9220" xr:uid="{00000000-0005-0000-0000-00006F250000}"/>
    <cellStyle name="_Whp  Oxford Sep-10-08 5 2" xfId="9221" xr:uid="{00000000-0005-0000-0000-000070250000}"/>
    <cellStyle name="_Whp  Oxford Sep-10-08 5 3" xfId="9222" xr:uid="{00000000-0005-0000-0000-000071250000}"/>
    <cellStyle name="_Whp  Oxford Sep-10-08 5 4" xfId="9223" xr:uid="{00000000-0005-0000-0000-000072250000}"/>
    <cellStyle name="_Whp  Oxford Sep-10-08 5 5" xfId="9224" xr:uid="{00000000-0005-0000-0000-000073250000}"/>
    <cellStyle name="_Whp  Oxford Sep-10-08 5_SUBARTICO ADD-DEL" xfId="9225" xr:uid="{00000000-0005-0000-0000-000074250000}"/>
    <cellStyle name="_Whp  Oxford Sep-10-08 5_SUBARTICO ADD-DEL 2" xfId="9226" xr:uid="{00000000-0005-0000-0000-000075250000}"/>
    <cellStyle name="_Whp  Oxford Sep-10-08 6" xfId="9227" xr:uid="{00000000-0005-0000-0000-000076250000}"/>
    <cellStyle name="_Whp  Oxford Sep-10-08 6 2" xfId="9228" xr:uid="{00000000-0005-0000-0000-000077250000}"/>
    <cellStyle name="_Whp  Oxford Sep-10-08 6 3" xfId="9229" xr:uid="{00000000-0005-0000-0000-000078250000}"/>
    <cellStyle name="_Whp  Oxford Sep-10-08 6 4" xfId="9230" xr:uid="{00000000-0005-0000-0000-000079250000}"/>
    <cellStyle name="_Whp  Oxford Sep-10-08 6 5" xfId="9231" xr:uid="{00000000-0005-0000-0000-00007A250000}"/>
    <cellStyle name="_Whp  Oxford Sep-10-08 6_SUBARTICO ADD-DEL" xfId="9232" xr:uid="{00000000-0005-0000-0000-00007B250000}"/>
    <cellStyle name="_Whp  Oxford Sep-10-08 6_SUBARTICO ADD-DEL 2" xfId="9233" xr:uid="{00000000-0005-0000-0000-00007C250000}"/>
    <cellStyle name="_Whp  Oxford Sep-10-08 7" xfId="9234" xr:uid="{00000000-0005-0000-0000-00007D250000}"/>
    <cellStyle name="_Whp  Oxford Sep-10-08 7 2" xfId="9235" xr:uid="{00000000-0005-0000-0000-00007E250000}"/>
    <cellStyle name="_Whp  Oxford Sep-10-08 7 3" xfId="9236" xr:uid="{00000000-0005-0000-0000-00007F250000}"/>
    <cellStyle name="_Whp  Oxford Sep-10-08 7 4" xfId="9237" xr:uid="{00000000-0005-0000-0000-000080250000}"/>
    <cellStyle name="_Whp  Oxford Sep-10-08 7 5" xfId="9238" xr:uid="{00000000-0005-0000-0000-000081250000}"/>
    <cellStyle name="_Whp  Oxford Sep-10-08 7_SUBARTICO ADD-DEL" xfId="9239" xr:uid="{00000000-0005-0000-0000-000082250000}"/>
    <cellStyle name="_Whp  Oxford Sep-10-08 7_SUBARTICO ADD-DEL 2" xfId="9240" xr:uid="{00000000-0005-0000-0000-000083250000}"/>
    <cellStyle name="_Whp  Oxford Sep-10-08 8" xfId="9241" xr:uid="{00000000-0005-0000-0000-000084250000}"/>
    <cellStyle name="_Whp  Oxford Sep-10-08 8 2" xfId="9242" xr:uid="{00000000-0005-0000-0000-000085250000}"/>
    <cellStyle name="_Whp  Oxford Sep-10-08 8 3" xfId="9243" xr:uid="{00000000-0005-0000-0000-000086250000}"/>
    <cellStyle name="_Whp  Oxford Sep-10-08 8 4" xfId="9244" xr:uid="{00000000-0005-0000-0000-000087250000}"/>
    <cellStyle name="_Whp  Oxford Sep-10-08 8 5" xfId="9245" xr:uid="{00000000-0005-0000-0000-000088250000}"/>
    <cellStyle name="_Whp  Oxford Sep-10-08 8_SUBARTICO ADD-DEL" xfId="9246" xr:uid="{00000000-0005-0000-0000-000089250000}"/>
    <cellStyle name="_Whp  Oxford Sep-10-08 8_SUBARTICO ADD-DEL 2" xfId="9247" xr:uid="{00000000-0005-0000-0000-00008A250000}"/>
    <cellStyle name="_Whp  Oxford Sep-10-08 9" xfId="9248" xr:uid="{00000000-0005-0000-0000-00008B250000}"/>
    <cellStyle name="_Whp  Oxford Sep-10-08 9 2" xfId="9249" xr:uid="{00000000-0005-0000-0000-00008C250000}"/>
    <cellStyle name="_Whp  Oxford Sep-10-08 9 3" xfId="9250" xr:uid="{00000000-0005-0000-0000-00008D250000}"/>
    <cellStyle name="_Whp  Oxford Sep-10-08 9 4" xfId="9251" xr:uid="{00000000-0005-0000-0000-00008E250000}"/>
    <cellStyle name="_Whp  Oxford Sep-10-08 9 5" xfId="9252" xr:uid="{00000000-0005-0000-0000-00008F250000}"/>
    <cellStyle name="_Whp  Oxford Sep-10-08 9_SUBARTICO ADD-DEL" xfId="9253" xr:uid="{00000000-0005-0000-0000-000090250000}"/>
    <cellStyle name="_Whp  Oxford Sep-10-08 9_SUBARTICO ADD-DEL 2" xfId="9254" xr:uid="{00000000-0005-0000-0000-000091250000}"/>
    <cellStyle name="_Whp  Oxford Sep-10-08_862-CH" xfId="9255" xr:uid="{00000000-0005-0000-0000-000092250000}"/>
    <cellStyle name="_Whp  Oxford Sep-10-08_BSHNC162 (RFQ EE5409)1" xfId="9256" xr:uid="{00000000-0005-0000-0000-000093250000}"/>
    <cellStyle name="_Whp  Oxford Sep-10-08_BSHNC162 (RFQ EE5409)1 2" xfId="9257" xr:uid="{00000000-0005-0000-0000-000094250000}"/>
    <cellStyle name="_Whp  Oxford Sep-10-08_Ec-2376 to 2379 Add-del 318402413 2414 2374 318394491" xfId="9258" xr:uid="{00000000-0005-0000-0000-000095250000}"/>
    <cellStyle name="_Whp  Oxford Sep-10-08_Ec-2376 to 2379 Add-del 318402413 2414 2374 318394491 2" xfId="9259" xr:uid="{00000000-0005-0000-0000-000096250000}"/>
    <cellStyle name="_Whp  Oxford Sep-10-08_Ec-2376 to 2379 Add-del 318402413 2414 2374 318394491 3" xfId="9260" xr:uid="{00000000-0005-0000-0000-000097250000}"/>
    <cellStyle name="_Whp  Oxford Sep-10-08_Ec-2376 to 2379 Add-del 318402413 2414 2374 318394491 4" xfId="9261" xr:uid="{00000000-0005-0000-0000-000098250000}"/>
    <cellStyle name="_Whp  Oxford Sep-10-08_Ec-2376 to 2379 Add-del 318402413 2414 2374 318394491 5" xfId="9262" xr:uid="{00000000-0005-0000-0000-000099250000}"/>
    <cellStyle name="_Whp  Oxford Sep-10-08_Ec-2376 to 2379 Add-del 318402413 2414 2374 318394491_SUBARTICO ADD-DEL" xfId="9263" xr:uid="{00000000-0005-0000-0000-00009A250000}"/>
    <cellStyle name="_Whp  Oxford Sep-10-08_Ec-2376 to 2379 Add-del 318402413 2414 2374 318394491_SUBARTICO ADD-DEL 2" xfId="9264" xr:uid="{00000000-0005-0000-0000-00009B250000}"/>
    <cellStyle name="_Whp  Oxford Sep-10-08_ESTIMATED ARES-10 PACKAGE 25NOV" xfId="9265" xr:uid="{00000000-0005-0000-0000-00009C250000}"/>
    <cellStyle name="_Whp  Oxford Sep-10-08_ESTIMATED ARES-10 PACKAGE 25NOV 2" xfId="9266" xr:uid="{00000000-0005-0000-0000-00009D250000}"/>
    <cellStyle name="_Whp  Oxford Sep-10-08_ESTIMATED ARES-10 PACKAGE 25NOV 3" xfId="24992" xr:uid="{00000000-0005-0000-0000-00009E250000}"/>
    <cellStyle name="_Whp  Oxford Sep-10-08_ESTIMATED ARES-10 PACKAGE 25NOV_SUBARTICO ADD-DEL" xfId="9267" xr:uid="{00000000-0005-0000-0000-00009F250000}"/>
    <cellStyle name="_Whp  Oxford Sep-10-08_ESTIMATED ARES-10 PACKAGE 25NOV_SUBARTICO ADD-DEL 2" xfId="9268" xr:uid="{00000000-0005-0000-0000-0000A0250000}"/>
    <cellStyle name="_Whp  Oxford Sep-10-08_SUBARTICO ADD-DEL" xfId="9269" xr:uid="{00000000-0005-0000-0000-0000A1250000}"/>
    <cellStyle name="_Whp  Oxford Sep-10-08_SUBARTICO ADD-DEL 2" xfId="9270" xr:uid="{00000000-0005-0000-0000-0000A2250000}"/>
    <cellStyle name="_Whp  Oxford Sep-10-08_W10251766 D" xfId="9271" xr:uid="{00000000-0005-0000-0000-0000A3250000}"/>
    <cellStyle name="_Whp  Oxford Sep-10-08_W10279106 y W10279107 de MR a 56i" xfId="9272" xr:uid="{00000000-0005-0000-0000-0000A4250000}"/>
    <cellStyle name="_Whp  Oxford Sep-10-08_W10315922 A" xfId="9273" xr:uid="{00000000-0005-0000-0000-0000A5250000}"/>
    <cellStyle name="_Whp  Oxford Sep-10-08_WC cleveland con spreadshet" xfId="9274" xr:uid="{00000000-0005-0000-0000-0000A6250000}"/>
    <cellStyle name="_Whp  Oxford Sep-10-08_WC cleveland con spreadshet 2" xfId="9275" xr:uid="{00000000-0005-0000-0000-0000A7250000}"/>
    <cellStyle name="_Whp  Oxford Sep-10-08_WC cleveland con spreadshet 3" xfId="24993" xr:uid="{00000000-0005-0000-0000-0000A8250000}"/>
    <cellStyle name="_Whp  Oxford Sep-10-08_WC cleveland con spreadshet_SUBARTICO ADD-DEL" xfId="9276" xr:uid="{00000000-0005-0000-0000-0000A9250000}"/>
    <cellStyle name="_Whp  Oxford Sep-10-08_WC cleveland con spreadshet_SUBARTICO ADD-DEL 2" xfId="9277" xr:uid="{00000000-0005-0000-0000-0000AA250000}"/>
    <cellStyle name="_WPFINDLAY-0012" xfId="9278" xr:uid="{00000000-0005-0000-0000-0000AB250000}"/>
    <cellStyle name="_WPFINDLAY-0012 2" xfId="9279" xr:uid="{00000000-0005-0000-0000-0000AC250000}"/>
    <cellStyle name="_WPFINDLAY-0012 3" xfId="9280" xr:uid="{00000000-0005-0000-0000-0000AD250000}"/>
    <cellStyle name="_WPFINDLAY-0012 4" xfId="9281" xr:uid="{00000000-0005-0000-0000-0000AE250000}"/>
    <cellStyle name="_WPFINDLAY-0012 5" xfId="9282" xr:uid="{00000000-0005-0000-0000-0000AF250000}"/>
    <cellStyle name="£Currency [0]" xfId="9283" xr:uid="{00000000-0005-0000-0000-0000B0250000}"/>
    <cellStyle name="£Currency [1]" xfId="9284" xr:uid="{00000000-0005-0000-0000-0000B1250000}"/>
    <cellStyle name="£Currency [2]" xfId="9285" xr:uid="{00000000-0005-0000-0000-0000B2250000}"/>
    <cellStyle name="£Currency [p]" xfId="9286" xr:uid="{00000000-0005-0000-0000-0000B3250000}"/>
    <cellStyle name="£Currency [p2]" xfId="9287" xr:uid="{00000000-0005-0000-0000-0000B4250000}"/>
    <cellStyle name="£Pounds" xfId="9288" xr:uid="{00000000-0005-0000-0000-0000B5250000}"/>
    <cellStyle name="0,0_x000d__x000a_NA_x000d__x000a_" xfId="9289" xr:uid="{00000000-0005-0000-0000-0000B6250000}"/>
    <cellStyle name="0,0_x000d__x000a_NA_x000d__x000a_ 2" xfId="9290" xr:uid="{00000000-0005-0000-0000-0000B7250000}"/>
    <cellStyle name="0,0_x000d__x000a_NA_x000d__x000a_ 2 2" xfId="9291" xr:uid="{00000000-0005-0000-0000-0000B8250000}"/>
    <cellStyle name="0,0_x000d__x000a_NA_x000d__x000a_ 2 3" xfId="9292" xr:uid="{00000000-0005-0000-0000-0000B9250000}"/>
    <cellStyle name="0,0_x000d__x000a_NA_x000d__x000a_ 3" xfId="9293" xr:uid="{00000000-0005-0000-0000-0000BA250000}"/>
    <cellStyle name="0,0_x000d__x000a_NA_x000d__x000a_ 4" xfId="9294" xr:uid="{00000000-0005-0000-0000-0000BB250000}"/>
    <cellStyle name="0,0_x000d__x000a_NA_x000d__x000a_ 5" xfId="9295" xr:uid="{00000000-0005-0000-0000-0000BC250000}"/>
    <cellStyle name="0,0_x000d__x000a_NA_x000d__x000a_ 6" xfId="9296" xr:uid="{00000000-0005-0000-0000-0000BD250000}"/>
    <cellStyle name="0.0 x; (0.0 x)" xfId="9297" xr:uid="{00000000-0005-0000-0000-0000BE250000}"/>
    <cellStyle name="0.0 x; (0.0 x) 2" xfId="9298" xr:uid="{00000000-0005-0000-0000-0000BF250000}"/>
    <cellStyle name="0.0 x; (0.0 x) 2 2" xfId="9299" xr:uid="{00000000-0005-0000-0000-0000C0250000}"/>
    <cellStyle name="0.0 x; (0.0 x) 3" xfId="9300" xr:uid="{00000000-0005-0000-0000-0000C1250000}"/>
    <cellStyle name="0.0 x; (0.0 x) 3 2" xfId="9301" xr:uid="{00000000-0005-0000-0000-0000C2250000}"/>
    <cellStyle name="0.0 x; (0.0 x) 4" xfId="9302" xr:uid="{00000000-0005-0000-0000-0000C3250000}"/>
    <cellStyle name="000" xfId="9303" xr:uid="{00000000-0005-0000-0000-0000C4250000}"/>
    <cellStyle name="000 2" xfId="9304" xr:uid="{00000000-0005-0000-0000-0000C5250000}"/>
    <cellStyle name="000 3" xfId="9305" xr:uid="{00000000-0005-0000-0000-0000C6250000}"/>
    <cellStyle name="20 % - Accent1" xfId="9306" xr:uid="{00000000-0005-0000-0000-0000C7250000}"/>
    <cellStyle name="20 % - Accent2" xfId="9307" xr:uid="{00000000-0005-0000-0000-0000C8250000}"/>
    <cellStyle name="20 % - Accent3" xfId="9308" xr:uid="{00000000-0005-0000-0000-0000C9250000}"/>
    <cellStyle name="20 % - Accent4" xfId="9309" xr:uid="{00000000-0005-0000-0000-0000CA250000}"/>
    <cellStyle name="20 % - Accent5" xfId="9310" xr:uid="{00000000-0005-0000-0000-0000CB250000}"/>
    <cellStyle name="20 % - Accent6" xfId="9311" xr:uid="{00000000-0005-0000-0000-0000CC250000}"/>
    <cellStyle name="20% - Accent1 10" xfId="9312" xr:uid="{00000000-0005-0000-0000-0000CD250000}"/>
    <cellStyle name="20% - Accent1 10 2" xfId="9313" xr:uid="{00000000-0005-0000-0000-0000CE250000}"/>
    <cellStyle name="20% - Accent1 10 3" xfId="9314" xr:uid="{00000000-0005-0000-0000-0000CF250000}"/>
    <cellStyle name="20% - Accent1 10 4" xfId="9315" xr:uid="{00000000-0005-0000-0000-0000D0250000}"/>
    <cellStyle name="20% - Accent1 10 5" xfId="9316" xr:uid="{00000000-0005-0000-0000-0000D1250000}"/>
    <cellStyle name="20% - Accent1 11" xfId="9317" xr:uid="{00000000-0005-0000-0000-0000D2250000}"/>
    <cellStyle name="20% - Accent1 11 2" xfId="9318" xr:uid="{00000000-0005-0000-0000-0000D3250000}"/>
    <cellStyle name="20% - Accent1 11 3" xfId="9319" xr:uid="{00000000-0005-0000-0000-0000D4250000}"/>
    <cellStyle name="20% - Accent1 11 4" xfId="9320" xr:uid="{00000000-0005-0000-0000-0000D5250000}"/>
    <cellStyle name="20% - Accent1 11 5" xfId="9321" xr:uid="{00000000-0005-0000-0000-0000D6250000}"/>
    <cellStyle name="20% - Accent1 12" xfId="9322" xr:uid="{00000000-0005-0000-0000-0000D7250000}"/>
    <cellStyle name="20% - Accent1 12 2" xfId="9323" xr:uid="{00000000-0005-0000-0000-0000D8250000}"/>
    <cellStyle name="20% - Accent1 12 3" xfId="9324" xr:uid="{00000000-0005-0000-0000-0000D9250000}"/>
    <cellStyle name="20% - Accent1 12 4" xfId="9325" xr:uid="{00000000-0005-0000-0000-0000DA250000}"/>
    <cellStyle name="20% - Accent1 12 5" xfId="9326" xr:uid="{00000000-0005-0000-0000-0000DB250000}"/>
    <cellStyle name="20% - Accent1 13" xfId="9327" xr:uid="{00000000-0005-0000-0000-0000DC250000}"/>
    <cellStyle name="20% - Accent1 13 2" xfId="9328" xr:uid="{00000000-0005-0000-0000-0000DD250000}"/>
    <cellStyle name="20% - Accent1 13 3" xfId="9329" xr:uid="{00000000-0005-0000-0000-0000DE250000}"/>
    <cellStyle name="20% - Accent1 13 4" xfId="9330" xr:uid="{00000000-0005-0000-0000-0000DF250000}"/>
    <cellStyle name="20% - Accent1 13 5" xfId="9331" xr:uid="{00000000-0005-0000-0000-0000E0250000}"/>
    <cellStyle name="20% - Accent1 14" xfId="9332" xr:uid="{00000000-0005-0000-0000-0000E1250000}"/>
    <cellStyle name="20% - Accent1 14 2" xfId="9333" xr:uid="{00000000-0005-0000-0000-0000E2250000}"/>
    <cellStyle name="20% - Accent1 14 3" xfId="9334" xr:uid="{00000000-0005-0000-0000-0000E3250000}"/>
    <cellStyle name="20% - Accent1 14 4" xfId="9335" xr:uid="{00000000-0005-0000-0000-0000E4250000}"/>
    <cellStyle name="20% - Accent1 14 5" xfId="9336" xr:uid="{00000000-0005-0000-0000-0000E5250000}"/>
    <cellStyle name="20% - Accent1 15" xfId="9337" xr:uid="{00000000-0005-0000-0000-0000E6250000}"/>
    <cellStyle name="20% - Accent1 15 2" xfId="9338" xr:uid="{00000000-0005-0000-0000-0000E7250000}"/>
    <cellStyle name="20% - Accent1 15 3" xfId="9339" xr:uid="{00000000-0005-0000-0000-0000E8250000}"/>
    <cellStyle name="20% - Accent1 15 4" xfId="9340" xr:uid="{00000000-0005-0000-0000-0000E9250000}"/>
    <cellStyle name="20% - Accent1 15 5" xfId="9341" xr:uid="{00000000-0005-0000-0000-0000EA250000}"/>
    <cellStyle name="20% - Accent1 16" xfId="9342" xr:uid="{00000000-0005-0000-0000-0000EB250000}"/>
    <cellStyle name="20% - Accent1 16 2" xfId="9343" xr:uid="{00000000-0005-0000-0000-0000EC250000}"/>
    <cellStyle name="20% - Accent1 16 3" xfId="9344" xr:uid="{00000000-0005-0000-0000-0000ED250000}"/>
    <cellStyle name="20% - Accent1 16 4" xfId="9345" xr:uid="{00000000-0005-0000-0000-0000EE250000}"/>
    <cellStyle name="20% - Accent1 16 5" xfId="9346" xr:uid="{00000000-0005-0000-0000-0000EF250000}"/>
    <cellStyle name="20% - Accent1 17" xfId="9347" xr:uid="{00000000-0005-0000-0000-0000F0250000}"/>
    <cellStyle name="20% - Accent1 17 2" xfId="9348" xr:uid="{00000000-0005-0000-0000-0000F1250000}"/>
    <cellStyle name="20% - Accent1 17 3" xfId="9349" xr:uid="{00000000-0005-0000-0000-0000F2250000}"/>
    <cellStyle name="20% - Accent1 17 4" xfId="9350" xr:uid="{00000000-0005-0000-0000-0000F3250000}"/>
    <cellStyle name="20% - Accent1 17 5" xfId="9351" xr:uid="{00000000-0005-0000-0000-0000F4250000}"/>
    <cellStyle name="20% - Accent1 18" xfId="9352" xr:uid="{00000000-0005-0000-0000-0000F5250000}"/>
    <cellStyle name="20% - Accent1 18 2" xfId="9353" xr:uid="{00000000-0005-0000-0000-0000F6250000}"/>
    <cellStyle name="20% - Accent1 18 3" xfId="9354" xr:uid="{00000000-0005-0000-0000-0000F7250000}"/>
    <cellStyle name="20% - Accent1 18 4" xfId="9355" xr:uid="{00000000-0005-0000-0000-0000F8250000}"/>
    <cellStyle name="20% - Accent1 18 5" xfId="9356" xr:uid="{00000000-0005-0000-0000-0000F9250000}"/>
    <cellStyle name="20% - Accent1 19" xfId="9357" xr:uid="{00000000-0005-0000-0000-0000FA250000}"/>
    <cellStyle name="20% - Accent1 19 2" xfId="9358" xr:uid="{00000000-0005-0000-0000-0000FB250000}"/>
    <cellStyle name="20% - Accent1 19 3" xfId="9359" xr:uid="{00000000-0005-0000-0000-0000FC250000}"/>
    <cellStyle name="20% - Accent1 19 4" xfId="9360" xr:uid="{00000000-0005-0000-0000-0000FD250000}"/>
    <cellStyle name="20% - Accent1 19 5" xfId="9361" xr:uid="{00000000-0005-0000-0000-0000FE250000}"/>
    <cellStyle name="20% - Accent1 2" xfId="9362" xr:uid="{00000000-0005-0000-0000-0000FF250000}"/>
    <cellStyle name="20% - Accent1 2 2" xfId="9363" xr:uid="{00000000-0005-0000-0000-000000260000}"/>
    <cellStyle name="20% - Accent1 2 2 2" xfId="9364" xr:uid="{00000000-0005-0000-0000-000001260000}"/>
    <cellStyle name="20% - Accent1 2 2 3" xfId="9365" xr:uid="{00000000-0005-0000-0000-000002260000}"/>
    <cellStyle name="20% - Accent1 2 2 4" xfId="9366" xr:uid="{00000000-0005-0000-0000-000003260000}"/>
    <cellStyle name="20% - Accent1 2 2 5" xfId="9367" xr:uid="{00000000-0005-0000-0000-000004260000}"/>
    <cellStyle name="20% - Accent1 2 3" xfId="9368" xr:uid="{00000000-0005-0000-0000-000005260000}"/>
    <cellStyle name="20% - Accent1 2 3 2" xfId="9369" xr:uid="{00000000-0005-0000-0000-000006260000}"/>
    <cellStyle name="20% - Accent1 2 3 3" xfId="9370" xr:uid="{00000000-0005-0000-0000-000007260000}"/>
    <cellStyle name="20% - Accent1 2 3 4" xfId="9371" xr:uid="{00000000-0005-0000-0000-000008260000}"/>
    <cellStyle name="20% - Accent1 2 4" xfId="9372" xr:uid="{00000000-0005-0000-0000-000009260000}"/>
    <cellStyle name="20% - Accent1 2 5" xfId="9373" xr:uid="{00000000-0005-0000-0000-00000A260000}"/>
    <cellStyle name="20% - Accent1 2 6" xfId="9374" xr:uid="{00000000-0005-0000-0000-00000B260000}"/>
    <cellStyle name="20% - Accent1 2 7" xfId="9375" xr:uid="{00000000-0005-0000-0000-00000C260000}"/>
    <cellStyle name="20% - Accent1 2 8" xfId="9376" xr:uid="{00000000-0005-0000-0000-00000D260000}"/>
    <cellStyle name="20% - Accent1 2_PAQUETE PARA COTIZAR" xfId="9377" xr:uid="{00000000-0005-0000-0000-00000E260000}"/>
    <cellStyle name="20% - Accent1 20" xfId="9378" xr:uid="{00000000-0005-0000-0000-00000F260000}"/>
    <cellStyle name="20% - Accent1 20 2" xfId="9379" xr:uid="{00000000-0005-0000-0000-000010260000}"/>
    <cellStyle name="20% - Accent1 20 3" xfId="9380" xr:uid="{00000000-0005-0000-0000-000011260000}"/>
    <cellStyle name="20% - Accent1 20 4" xfId="9381" xr:uid="{00000000-0005-0000-0000-000012260000}"/>
    <cellStyle name="20% - Accent1 20 5" xfId="9382" xr:uid="{00000000-0005-0000-0000-000013260000}"/>
    <cellStyle name="20% - Accent1 21" xfId="9383" xr:uid="{00000000-0005-0000-0000-000014260000}"/>
    <cellStyle name="20% - Accent1 21 2" xfId="9384" xr:uid="{00000000-0005-0000-0000-000015260000}"/>
    <cellStyle name="20% - Accent1 21 3" xfId="9385" xr:uid="{00000000-0005-0000-0000-000016260000}"/>
    <cellStyle name="20% - Accent1 21 4" xfId="9386" xr:uid="{00000000-0005-0000-0000-000017260000}"/>
    <cellStyle name="20% - Accent1 21 5" xfId="9387" xr:uid="{00000000-0005-0000-0000-000018260000}"/>
    <cellStyle name="20% - Accent1 22" xfId="9388" xr:uid="{00000000-0005-0000-0000-000019260000}"/>
    <cellStyle name="20% - Accent1 22 2" xfId="9389" xr:uid="{00000000-0005-0000-0000-00001A260000}"/>
    <cellStyle name="20% - Accent1 23" xfId="9390" xr:uid="{00000000-0005-0000-0000-00001B260000}"/>
    <cellStyle name="20% - Accent1 23 2" xfId="9391" xr:uid="{00000000-0005-0000-0000-00001C260000}"/>
    <cellStyle name="20% - Accent1 24" xfId="9392" xr:uid="{00000000-0005-0000-0000-00001D260000}"/>
    <cellStyle name="20% - Accent1 24 2" xfId="9393" xr:uid="{00000000-0005-0000-0000-00001E260000}"/>
    <cellStyle name="20% - Accent1 25" xfId="9394" xr:uid="{00000000-0005-0000-0000-00001F260000}"/>
    <cellStyle name="20% - Accent1 25 2" xfId="9395" xr:uid="{00000000-0005-0000-0000-000020260000}"/>
    <cellStyle name="20% - Accent1 26" xfId="9396" xr:uid="{00000000-0005-0000-0000-000021260000}"/>
    <cellStyle name="20% - Accent1 26 2" xfId="9397" xr:uid="{00000000-0005-0000-0000-000022260000}"/>
    <cellStyle name="20% - Accent1 27" xfId="9398" xr:uid="{00000000-0005-0000-0000-000023260000}"/>
    <cellStyle name="20% - Accent1 27 2" xfId="9399" xr:uid="{00000000-0005-0000-0000-000024260000}"/>
    <cellStyle name="20% - Accent1 28" xfId="9400" xr:uid="{00000000-0005-0000-0000-000025260000}"/>
    <cellStyle name="20% - Accent1 28 2" xfId="9401" xr:uid="{00000000-0005-0000-0000-000026260000}"/>
    <cellStyle name="20% - Accent1 29" xfId="9402" xr:uid="{00000000-0005-0000-0000-000027260000}"/>
    <cellStyle name="20% - Accent1 29 2" xfId="9403" xr:uid="{00000000-0005-0000-0000-000028260000}"/>
    <cellStyle name="20% - Accent1 29 3" xfId="9404" xr:uid="{00000000-0005-0000-0000-000029260000}"/>
    <cellStyle name="20% - Accent1 29 4" xfId="9405" xr:uid="{00000000-0005-0000-0000-00002A260000}"/>
    <cellStyle name="20% - Accent1 29 5" xfId="9406" xr:uid="{00000000-0005-0000-0000-00002B260000}"/>
    <cellStyle name="20% - Accent1 3" xfId="9407" xr:uid="{00000000-0005-0000-0000-00002C260000}"/>
    <cellStyle name="20% - Accent1 3 2" xfId="9408" xr:uid="{00000000-0005-0000-0000-00002D260000}"/>
    <cellStyle name="20% - Accent1 3 2 2" xfId="9409" xr:uid="{00000000-0005-0000-0000-00002E260000}"/>
    <cellStyle name="20% - Accent1 3 2 3" xfId="9410" xr:uid="{00000000-0005-0000-0000-00002F260000}"/>
    <cellStyle name="20% - Accent1 3 2 4" xfId="9411" xr:uid="{00000000-0005-0000-0000-000030260000}"/>
    <cellStyle name="20% - Accent1 3 2 5" xfId="9412" xr:uid="{00000000-0005-0000-0000-000031260000}"/>
    <cellStyle name="20% - Accent1 3 3" xfId="9413" xr:uid="{00000000-0005-0000-0000-000032260000}"/>
    <cellStyle name="20% - Accent1 3 3 2" xfId="9414" xr:uid="{00000000-0005-0000-0000-000033260000}"/>
    <cellStyle name="20% - Accent1 3 3 3" xfId="9415" xr:uid="{00000000-0005-0000-0000-000034260000}"/>
    <cellStyle name="20% - Accent1 3 3 4" xfId="9416" xr:uid="{00000000-0005-0000-0000-000035260000}"/>
    <cellStyle name="20% - Accent1 3 4" xfId="9417" xr:uid="{00000000-0005-0000-0000-000036260000}"/>
    <cellStyle name="20% - Accent1 3 5" xfId="9418" xr:uid="{00000000-0005-0000-0000-000037260000}"/>
    <cellStyle name="20% - Accent1 3 6" xfId="9419" xr:uid="{00000000-0005-0000-0000-000038260000}"/>
    <cellStyle name="20% - Accent1 3 7" xfId="9420" xr:uid="{00000000-0005-0000-0000-000039260000}"/>
    <cellStyle name="20% - Accent1 3 8" xfId="9421" xr:uid="{00000000-0005-0000-0000-00003A260000}"/>
    <cellStyle name="20% - Accent1 3_PAQUETE PARA COTIZAR" xfId="9422" xr:uid="{00000000-0005-0000-0000-00003B260000}"/>
    <cellStyle name="20% - Accent1 30" xfId="9423" xr:uid="{00000000-0005-0000-0000-00003C260000}"/>
    <cellStyle name="20% - Accent1 30 2" xfId="9424" xr:uid="{00000000-0005-0000-0000-00003D260000}"/>
    <cellStyle name="20% - Accent1 31" xfId="9425" xr:uid="{00000000-0005-0000-0000-00003E260000}"/>
    <cellStyle name="20% - Accent1 32" xfId="9426" xr:uid="{00000000-0005-0000-0000-00003F260000}"/>
    <cellStyle name="20% - Accent1 33" xfId="9427" xr:uid="{00000000-0005-0000-0000-000040260000}"/>
    <cellStyle name="20% - Accent1 34" xfId="9428" xr:uid="{00000000-0005-0000-0000-000041260000}"/>
    <cellStyle name="20% - Accent1 4" xfId="9429" xr:uid="{00000000-0005-0000-0000-000042260000}"/>
    <cellStyle name="20% - Accent1 4 2" xfId="9430" xr:uid="{00000000-0005-0000-0000-000043260000}"/>
    <cellStyle name="20% - Accent1 4 2 2" xfId="9431" xr:uid="{00000000-0005-0000-0000-000044260000}"/>
    <cellStyle name="20% - Accent1 4 2 3" xfId="9432" xr:uid="{00000000-0005-0000-0000-000045260000}"/>
    <cellStyle name="20% - Accent1 4 2 4" xfId="9433" xr:uid="{00000000-0005-0000-0000-000046260000}"/>
    <cellStyle name="20% - Accent1 4 2 5" xfId="9434" xr:uid="{00000000-0005-0000-0000-000047260000}"/>
    <cellStyle name="20% - Accent1 4 3" xfId="9435" xr:uid="{00000000-0005-0000-0000-000048260000}"/>
    <cellStyle name="20% - Accent1 4 4" xfId="9436" xr:uid="{00000000-0005-0000-0000-000049260000}"/>
    <cellStyle name="20% - Accent1 5" xfId="9437" xr:uid="{00000000-0005-0000-0000-00004A260000}"/>
    <cellStyle name="20% - Accent1 5 2" xfId="9438" xr:uid="{00000000-0005-0000-0000-00004B260000}"/>
    <cellStyle name="20% - Accent1 5 2 2" xfId="9439" xr:uid="{00000000-0005-0000-0000-00004C260000}"/>
    <cellStyle name="20% - Accent1 5 2 3" xfId="9440" xr:uid="{00000000-0005-0000-0000-00004D260000}"/>
    <cellStyle name="20% - Accent1 5 2 4" xfId="9441" xr:uid="{00000000-0005-0000-0000-00004E260000}"/>
    <cellStyle name="20% - Accent1 5 2 5" xfId="9442" xr:uid="{00000000-0005-0000-0000-00004F260000}"/>
    <cellStyle name="20% - Accent1 5 3" xfId="9443" xr:uid="{00000000-0005-0000-0000-000050260000}"/>
    <cellStyle name="20% - Accent1 5 4" xfId="9444" xr:uid="{00000000-0005-0000-0000-000051260000}"/>
    <cellStyle name="20% - Accent1 6" xfId="9445" xr:uid="{00000000-0005-0000-0000-000052260000}"/>
    <cellStyle name="20% - Accent1 6 2" xfId="9446" xr:uid="{00000000-0005-0000-0000-000053260000}"/>
    <cellStyle name="20% - Accent1 6 2 2" xfId="9447" xr:uid="{00000000-0005-0000-0000-000054260000}"/>
    <cellStyle name="20% - Accent1 6 2 3" xfId="9448" xr:uid="{00000000-0005-0000-0000-000055260000}"/>
    <cellStyle name="20% - Accent1 6 2 4" xfId="9449" xr:uid="{00000000-0005-0000-0000-000056260000}"/>
    <cellStyle name="20% - Accent1 6 2 5" xfId="9450" xr:uid="{00000000-0005-0000-0000-000057260000}"/>
    <cellStyle name="20% - Accent1 6 3" xfId="9451" xr:uid="{00000000-0005-0000-0000-000058260000}"/>
    <cellStyle name="20% - Accent1 6 4" xfId="9452" xr:uid="{00000000-0005-0000-0000-000059260000}"/>
    <cellStyle name="20% - Accent1 7" xfId="9453" xr:uid="{00000000-0005-0000-0000-00005A260000}"/>
    <cellStyle name="20% - Accent1 7 2" xfId="9454" xr:uid="{00000000-0005-0000-0000-00005B260000}"/>
    <cellStyle name="20% - Accent1 7 2 2" xfId="9455" xr:uid="{00000000-0005-0000-0000-00005C260000}"/>
    <cellStyle name="20% - Accent1 7 2 3" xfId="9456" xr:uid="{00000000-0005-0000-0000-00005D260000}"/>
    <cellStyle name="20% - Accent1 7 2 4" xfId="9457" xr:uid="{00000000-0005-0000-0000-00005E260000}"/>
    <cellStyle name="20% - Accent1 7 2 5" xfId="9458" xr:uid="{00000000-0005-0000-0000-00005F260000}"/>
    <cellStyle name="20% - Accent1 7 3" xfId="9459" xr:uid="{00000000-0005-0000-0000-000060260000}"/>
    <cellStyle name="20% - Accent1 7 4" xfId="9460" xr:uid="{00000000-0005-0000-0000-000061260000}"/>
    <cellStyle name="20% - Accent1 8" xfId="9461" xr:uid="{00000000-0005-0000-0000-000062260000}"/>
    <cellStyle name="20% - Accent1 8 2" xfId="9462" xr:uid="{00000000-0005-0000-0000-000063260000}"/>
    <cellStyle name="20% - Accent1 8 2 2" xfId="9463" xr:uid="{00000000-0005-0000-0000-000064260000}"/>
    <cellStyle name="20% - Accent1 8 2 3" xfId="9464" xr:uid="{00000000-0005-0000-0000-000065260000}"/>
    <cellStyle name="20% - Accent1 8 2 4" xfId="9465" xr:uid="{00000000-0005-0000-0000-000066260000}"/>
    <cellStyle name="20% - Accent1 8 2 5" xfId="9466" xr:uid="{00000000-0005-0000-0000-000067260000}"/>
    <cellStyle name="20% - Accent1 8 3" xfId="9467" xr:uid="{00000000-0005-0000-0000-000068260000}"/>
    <cellStyle name="20% - Accent1 8 4" xfId="9468" xr:uid="{00000000-0005-0000-0000-000069260000}"/>
    <cellStyle name="20% - Accent1 9" xfId="9469" xr:uid="{00000000-0005-0000-0000-00006A260000}"/>
    <cellStyle name="20% - Accent1 9 2" xfId="9470" xr:uid="{00000000-0005-0000-0000-00006B260000}"/>
    <cellStyle name="20% - Accent1 9 3" xfId="9471" xr:uid="{00000000-0005-0000-0000-00006C260000}"/>
    <cellStyle name="20% - Accent1 9 4" xfId="9472" xr:uid="{00000000-0005-0000-0000-00006D260000}"/>
    <cellStyle name="20% - Accent1 9 5" xfId="9473" xr:uid="{00000000-0005-0000-0000-00006E260000}"/>
    <cellStyle name="20% - Accent2 10" xfId="9474" xr:uid="{00000000-0005-0000-0000-00006F260000}"/>
    <cellStyle name="20% - Accent2 10 2" xfId="9475" xr:uid="{00000000-0005-0000-0000-000070260000}"/>
    <cellStyle name="20% - Accent2 10 3" xfId="9476" xr:uid="{00000000-0005-0000-0000-000071260000}"/>
    <cellStyle name="20% - Accent2 10 4" xfId="9477" xr:uid="{00000000-0005-0000-0000-000072260000}"/>
    <cellStyle name="20% - Accent2 10 5" xfId="9478" xr:uid="{00000000-0005-0000-0000-000073260000}"/>
    <cellStyle name="20% - Accent2 11" xfId="9479" xr:uid="{00000000-0005-0000-0000-000074260000}"/>
    <cellStyle name="20% - Accent2 11 2" xfId="9480" xr:uid="{00000000-0005-0000-0000-000075260000}"/>
    <cellStyle name="20% - Accent2 11 3" xfId="9481" xr:uid="{00000000-0005-0000-0000-000076260000}"/>
    <cellStyle name="20% - Accent2 11 4" xfId="9482" xr:uid="{00000000-0005-0000-0000-000077260000}"/>
    <cellStyle name="20% - Accent2 11 5" xfId="9483" xr:uid="{00000000-0005-0000-0000-000078260000}"/>
    <cellStyle name="20% - Accent2 12" xfId="9484" xr:uid="{00000000-0005-0000-0000-000079260000}"/>
    <cellStyle name="20% - Accent2 12 2" xfId="9485" xr:uid="{00000000-0005-0000-0000-00007A260000}"/>
    <cellStyle name="20% - Accent2 12 3" xfId="9486" xr:uid="{00000000-0005-0000-0000-00007B260000}"/>
    <cellStyle name="20% - Accent2 12 4" xfId="9487" xr:uid="{00000000-0005-0000-0000-00007C260000}"/>
    <cellStyle name="20% - Accent2 12 5" xfId="9488" xr:uid="{00000000-0005-0000-0000-00007D260000}"/>
    <cellStyle name="20% - Accent2 13" xfId="9489" xr:uid="{00000000-0005-0000-0000-00007E260000}"/>
    <cellStyle name="20% - Accent2 13 2" xfId="9490" xr:uid="{00000000-0005-0000-0000-00007F260000}"/>
    <cellStyle name="20% - Accent2 13 3" xfId="9491" xr:uid="{00000000-0005-0000-0000-000080260000}"/>
    <cellStyle name="20% - Accent2 13 4" xfId="9492" xr:uid="{00000000-0005-0000-0000-000081260000}"/>
    <cellStyle name="20% - Accent2 13 5" xfId="9493" xr:uid="{00000000-0005-0000-0000-000082260000}"/>
    <cellStyle name="20% - Accent2 14" xfId="9494" xr:uid="{00000000-0005-0000-0000-000083260000}"/>
    <cellStyle name="20% - Accent2 14 2" xfId="9495" xr:uid="{00000000-0005-0000-0000-000084260000}"/>
    <cellStyle name="20% - Accent2 14 3" xfId="9496" xr:uid="{00000000-0005-0000-0000-000085260000}"/>
    <cellStyle name="20% - Accent2 14 4" xfId="9497" xr:uid="{00000000-0005-0000-0000-000086260000}"/>
    <cellStyle name="20% - Accent2 14 5" xfId="9498" xr:uid="{00000000-0005-0000-0000-000087260000}"/>
    <cellStyle name="20% - Accent2 15" xfId="9499" xr:uid="{00000000-0005-0000-0000-000088260000}"/>
    <cellStyle name="20% - Accent2 15 2" xfId="9500" xr:uid="{00000000-0005-0000-0000-000089260000}"/>
    <cellStyle name="20% - Accent2 15 3" xfId="9501" xr:uid="{00000000-0005-0000-0000-00008A260000}"/>
    <cellStyle name="20% - Accent2 15 4" xfId="9502" xr:uid="{00000000-0005-0000-0000-00008B260000}"/>
    <cellStyle name="20% - Accent2 15 5" xfId="9503" xr:uid="{00000000-0005-0000-0000-00008C260000}"/>
    <cellStyle name="20% - Accent2 16" xfId="9504" xr:uid="{00000000-0005-0000-0000-00008D260000}"/>
    <cellStyle name="20% - Accent2 16 2" xfId="9505" xr:uid="{00000000-0005-0000-0000-00008E260000}"/>
    <cellStyle name="20% - Accent2 16 3" xfId="9506" xr:uid="{00000000-0005-0000-0000-00008F260000}"/>
    <cellStyle name="20% - Accent2 16 4" xfId="9507" xr:uid="{00000000-0005-0000-0000-000090260000}"/>
    <cellStyle name="20% - Accent2 16 5" xfId="9508" xr:uid="{00000000-0005-0000-0000-000091260000}"/>
    <cellStyle name="20% - Accent2 17" xfId="9509" xr:uid="{00000000-0005-0000-0000-000092260000}"/>
    <cellStyle name="20% - Accent2 17 2" xfId="9510" xr:uid="{00000000-0005-0000-0000-000093260000}"/>
    <cellStyle name="20% - Accent2 17 3" xfId="9511" xr:uid="{00000000-0005-0000-0000-000094260000}"/>
    <cellStyle name="20% - Accent2 17 4" xfId="9512" xr:uid="{00000000-0005-0000-0000-000095260000}"/>
    <cellStyle name="20% - Accent2 17 5" xfId="9513" xr:uid="{00000000-0005-0000-0000-000096260000}"/>
    <cellStyle name="20% - Accent2 18" xfId="9514" xr:uid="{00000000-0005-0000-0000-000097260000}"/>
    <cellStyle name="20% - Accent2 18 2" xfId="9515" xr:uid="{00000000-0005-0000-0000-000098260000}"/>
    <cellStyle name="20% - Accent2 18 3" xfId="9516" xr:uid="{00000000-0005-0000-0000-000099260000}"/>
    <cellStyle name="20% - Accent2 18 4" xfId="9517" xr:uid="{00000000-0005-0000-0000-00009A260000}"/>
    <cellStyle name="20% - Accent2 18 5" xfId="9518" xr:uid="{00000000-0005-0000-0000-00009B260000}"/>
    <cellStyle name="20% - Accent2 19" xfId="9519" xr:uid="{00000000-0005-0000-0000-00009C260000}"/>
    <cellStyle name="20% - Accent2 19 2" xfId="9520" xr:uid="{00000000-0005-0000-0000-00009D260000}"/>
    <cellStyle name="20% - Accent2 19 3" xfId="9521" xr:uid="{00000000-0005-0000-0000-00009E260000}"/>
    <cellStyle name="20% - Accent2 19 4" xfId="9522" xr:uid="{00000000-0005-0000-0000-00009F260000}"/>
    <cellStyle name="20% - Accent2 19 5" xfId="9523" xr:uid="{00000000-0005-0000-0000-0000A0260000}"/>
    <cellStyle name="20% - Accent2 2" xfId="9524" xr:uid="{00000000-0005-0000-0000-0000A1260000}"/>
    <cellStyle name="20% - Accent2 2 2" xfId="9525" xr:uid="{00000000-0005-0000-0000-0000A2260000}"/>
    <cellStyle name="20% - Accent2 2 2 2" xfId="9526" xr:uid="{00000000-0005-0000-0000-0000A3260000}"/>
    <cellStyle name="20% - Accent2 2 2 3" xfId="9527" xr:uid="{00000000-0005-0000-0000-0000A4260000}"/>
    <cellStyle name="20% - Accent2 2 2 4" xfId="9528" xr:uid="{00000000-0005-0000-0000-0000A5260000}"/>
    <cellStyle name="20% - Accent2 2 2 5" xfId="9529" xr:uid="{00000000-0005-0000-0000-0000A6260000}"/>
    <cellStyle name="20% - Accent2 2 3" xfId="9530" xr:uid="{00000000-0005-0000-0000-0000A7260000}"/>
    <cellStyle name="20% - Accent2 2 3 2" xfId="9531" xr:uid="{00000000-0005-0000-0000-0000A8260000}"/>
    <cellStyle name="20% - Accent2 2 3 3" xfId="9532" xr:uid="{00000000-0005-0000-0000-0000A9260000}"/>
    <cellStyle name="20% - Accent2 2 3 4" xfId="9533" xr:uid="{00000000-0005-0000-0000-0000AA260000}"/>
    <cellStyle name="20% - Accent2 2 4" xfId="9534" xr:uid="{00000000-0005-0000-0000-0000AB260000}"/>
    <cellStyle name="20% - Accent2 2 5" xfId="9535" xr:uid="{00000000-0005-0000-0000-0000AC260000}"/>
    <cellStyle name="20% - Accent2 2 6" xfId="9536" xr:uid="{00000000-0005-0000-0000-0000AD260000}"/>
    <cellStyle name="20% - Accent2 2 7" xfId="9537" xr:uid="{00000000-0005-0000-0000-0000AE260000}"/>
    <cellStyle name="20% - Accent2 2 8" xfId="9538" xr:uid="{00000000-0005-0000-0000-0000AF260000}"/>
    <cellStyle name="20% - Accent2 2_PAQUETE PARA COTIZAR" xfId="9539" xr:uid="{00000000-0005-0000-0000-0000B0260000}"/>
    <cellStyle name="20% - Accent2 20" xfId="9540" xr:uid="{00000000-0005-0000-0000-0000B1260000}"/>
    <cellStyle name="20% - Accent2 20 2" xfId="9541" xr:uid="{00000000-0005-0000-0000-0000B2260000}"/>
    <cellStyle name="20% - Accent2 20 3" xfId="9542" xr:uid="{00000000-0005-0000-0000-0000B3260000}"/>
    <cellStyle name="20% - Accent2 20 4" xfId="9543" xr:uid="{00000000-0005-0000-0000-0000B4260000}"/>
    <cellStyle name="20% - Accent2 20 5" xfId="9544" xr:uid="{00000000-0005-0000-0000-0000B5260000}"/>
    <cellStyle name="20% - Accent2 21" xfId="9545" xr:uid="{00000000-0005-0000-0000-0000B6260000}"/>
    <cellStyle name="20% - Accent2 21 2" xfId="9546" xr:uid="{00000000-0005-0000-0000-0000B7260000}"/>
    <cellStyle name="20% - Accent2 21 3" xfId="9547" xr:uid="{00000000-0005-0000-0000-0000B8260000}"/>
    <cellStyle name="20% - Accent2 21 4" xfId="9548" xr:uid="{00000000-0005-0000-0000-0000B9260000}"/>
    <cellStyle name="20% - Accent2 21 5" xfId="9549" xr:uid="{00000000-0005-0000-0000-0000BA260000}"/>
    <cellStyle name="20% - Accent2 22" xfId="9550" xr:uid="{00000000-0005-0000-0000-0000BB260000}"/>
    <cellStyle name="20% - Accent2 22 2" xfId="9551" xr:uid="{00000000-0005-0000-0000-0000BC260000}"/>
    <cellStyle name="20% - Accent2 23" xfId="9552" xr:uid="{00000000-0005-0000-0000-0000BD260000}"/>
    <cellStyle name="20% - Accent2 23 2" xfId="9553" xr:uid="{00000000-0005-0000-0000-0000BE260000}"/>
    <cellStyle name="20% - Accent2 24" xfId="9554" xr:uid="{00000000-0005-0000-0000-0000BF260000}"/>
    <cellStyle name="20% - Accent2 24 2" xfId="9555" xr:uid="{00000000-0005-0000-0000-0000C0260000}"/>
    <cellStyle name="20% - Accent2 25" xfId="9556" xr:uid="{00000000-0005-0000-0000-0000C1260000}"/>
    <cellStyle name="20% - Accent2 25 2" xfId="9557" xr:uid="{00000000-0005-0000-0000-0000C2260000}"/>
    <cellStyle name="20% - Accent2 26" xfId="9558" xr:uid="{00000000-0005-0000-0000-0000C3260000}"/>
    <cellStyle name="20% - Accent2 26 2" xfId="9559" xr:uid="{00000000-0005-0000-0000-0000C4260000}"/>
    <cellStyle name="20% - Accent2 27" xfId="9560" xr:uid="{00000000-0005-0000-0000-0000C5260000}"/>
    <cellStyle name="20% - Accent2 27 2" xfId="9561" xr:uid="{00000000-0005-0000-0000-0000C6260000}"/>
    <cellStyle name="20% - Accent2 28" xfId="9562" xr:uid="{00000000-0005-0000-0000-0000C7260000}"/>
    <cellStyle name="20% - Accent2 28 2" xfId="9563" xr:uid="{00000000-0005-0000-0000-0000C8260000}"/>
    <cellStyle name="20% - Accent2 29" xfId="9564" xr:uid="{00000000-0005-0000-0000-0000C9260000}"/>
    <cellStyle name="20% - Accent2 29 2" xfId="9565" xr:uid="{00000000-0005-0000-0000-0000CA260000}"/>
    <cellStyle name="20% - Accent2 29 3" xfId="9566" xr:uid="{00000000-0005-0000-0000-0000CB260000}"/>
    <cellStyle name="20% - Accent2 29 4" xfId="9567" xr:uid="{00000000-0005-0000-0000-0000CC260000}"/>
    <cellStyle name="20% - Accent2 29 5" xfId="9568" xr:uid="{00000000-0005-0000-0000-0000CD260000}"/>
    <cellStyle name="20% - Accent2 3" xfId="9569" xr:uid="{00000000-0005-0000-0000-0000CE260000}"/>
    <cellStyle name="20% - Accent2 3 2" xfId="9570" xr:uid="{00000000-0005-0000-0000-0000CF260000}"/>
    <cellStyle name="20% - Accent2 3 2 2" xfId="9571" xr:uid="{00000000-0005-0000-0000-0000D0260000}"/>
    <cellStyle name="20% - Accent2 3 2 3" xfId="9572" xr:uid="{00000000-0005-0000-0000-0000D1260000}"/>
    <cellStyle name="20% - Accent2 3 2 4" xfId="9573" xr:uid="{00000000-0005-0000-0000-0000D2260000}"/>
    <cellStyle name="20% - Accent2 3 2 5" xfId="9574" xr:uid="{00000000-0005-0000-0000-0000D3260000}"/>
    <cellStyle name="20% - Accent2 3 3" xfId="9575" xr:uid="{00000000-0005-0000-0000-0000D4260000}"/>
    <cellStyle name="20% - Accent2 3 3 2" xfId="9576" xr:uid="{00000000-0005-0000-0000-0000D5260000}"/>
    <cellStyle name="20% - Accent2 3 3 3" xfId="9577" xr:uid="{00000000-0005-0000-0000-0000D6260000}"/>
    <cellStyle name="20% - Accent2 3 3 4" xfId="9578" xr:uid="{00000000-0005-0000-0000-0000D7260000}"/>
    <cellStyle name="20% - Accent2 3 4" xfId="9579" xr:uid="{00000000-0005-0000-0000-0000D8260000}"/>
    <cellStyle name="20% - Accent2 3 5" xfId="9580" xr:uid="{00000000-0005-0000-0000-0000D9260000}"/>
    <cellStyle name="20% - Accent2 3 6" xfId="9581" xr:uid="{00000000-0005-0000-0000-0000DA260000}"/>
    <cellStyle name="20% - Accent2 3 7" xfId="9582" xr:uid="{00000000-0005-0000-0000-0000DB260000}"/>
    <cellStyle name="20% - Accent2 3 8" xfId="9583" xr:uid="{00000000-0005-0000-0000-0000DC260000}"/>
    <cellStyle name="20% - Accent2 3_PAQUETE PARA COTIZAR" xfId="9584" xr:uid="{00000000-0005-0000-0000-0000DD260000}"/>
    <cellStyle name="20% - Accent2 30" xfId="9585" xr:uid="{00000000-0005-0000-0000-0000DE260000}"/>
    <cellStyle name="20% - Accent2 30 2" xfId="9586" xr:uid="{00000000-0005-0000-0000-0000DF260000}"/>
    <cellStyle name="20% - Accent2 31" xfId="9587" xr:uid="{00000000-0005-0000-0000-0000E0260000}"/>
    <cellStyle name="20% - Accent2 32" xfId="9588" xr:uid="{00000000-0005-0000-0000-0000E1260000}"/>
    <cellStyle name="20% - Accent2 33" xfId="9589" xr:uid="{00000000-0005-0000-0000-0000E2260000}"/>
    <cellStyle name="20% - Accent2 34" xfId="9590" xr:uid="{00000000-0005-0000-0000-0000E3260000}"/>
    <cellStyle name="20% - Accent2 4" xfId="9591" xr:uid="{00000000-0005-0000-0000-0000E4260000}"/>
    <cellStyle name="20% - Accent2 4 2" xfId="9592" xr:uid="{00000000-0005-0000-0000-0000E5260000}"/>
    <cellStyle name="20% - Accent2 4 2 2" xfId="9593" xr:uid="{00000000-0005-0000-0000-0000E6260000}"/>
    <cellStyle name="20% - Accent2 4 2 3" xfId="9594" xr:uid="{00000000-0005-0000-0000-0000E7260000}"/>
    <cellStyle name="20% - Accent2 4 2 4" xfId="9595" xr:uid="{00000000-0005-0000-0000-0000E8260000}"/>
    <cellStyle name="20% - Accent2 4 2 5" xfId="9596" xr:uid="{00000000-0005-0000-0000-0000E9260000}"/>
    <cellStyle name="20% - Accent2 4 3" xfId="9597" xr:uid="{00000000-0005-0000-0000-0000EA260000}"/>
    <cellStyle name="20% - Accent2 4 4" xfId="9598" xr:uid="{00000000-0005-0000-0000-0000EB260000}"/>
    <cellStyle name="20% - Accent2 5" xfId="9599" xr:uid="{00000000-0005-0000-0000-0000EC260000}"/>
    <cellStyle name="20% - Accent2 5 2" xfId="9600" xr:uid="{00000000-0005-0000-0000-0000ED260000}"/>
    <cellStyle name="20% - Accent2 5 2 2" xfId="9601" xr:uid="{00000000-0005-0000-0000-0000EE260000}"/>
    <cellStyle name="20% - Accent2 5 2 3" xfId="9602" xr:uid="{00000000-0005-0000-0000-0000EF260000}"/>
    <cellStyle name="20% - Accent2 5 2 4" xfId="9603" xr:uid="{00000000-0005-0000-0000-0000F0260000}"/>
    <cellStyle name="20% - Accent2 5 2 5" xfId="9604" xr:uid="{00000000-0005-0000-0000-0000F1260000}"/>
    <cellStyle name="20% - Accent2 5 3" xfId="9605" xr:uid="{00000000-0005-0000-0000-0000F2260000}"/>
    <cellStyle name="20% - Accent2 5 4" xfId="9606" xr:uid="{00000000-0005-0000-0000-0000F3260000}"/>
    <cellStyle name="20% - Accent2 6" xfId="9607" xr:uid="{00000000-0005-0000-0000-0000F4260000}"/>
    <cellStyle name="20% - Accent2 6 2" xfId="9608" xr:uid="{00000000-0005-0000-0000-0000F5260000}"/>
    <cellStyle name="20% - Accent2 6 2 2" xfId="9609" xr:uid="{00000000-0005-0000-0000-0000F6260000}"/>
    <cellStyle name="20% - Accent2 6 2 3" xfId="9610" xr:uid="{00000000-0005-0000-0000-0000F7260000}"/>
    <cellStyle name="20% - Accent2 6 2 4" xfId="9611" xr:uid="{00000000-0005-0000-0000-0000F8260000}"/>
    <cellStyle name="20% - Accent2 6 2 5" xfId="9612" xr:uid="{00000000-0005-0000-0000-0000F9260000}"/>
    <cellStyle name="20% - Accent2 6 3" xfId="9613" xr:uid="{00000000-0005-0000-0000-0000FA260000}"/>
    <cellStyle name="20% - Accent2 6 4" xfId="9614" xr:uid="{00000000-0005-0000-0000-0000FB260000}"/>
    <cellStyle name="20% - Accent2 7" xfId="9615" xr:uid="{00000000-0005-0000-0000-0000FC260000}"/>
    <cellStyle name="20% - Accent2 7 2" xfId="9616" xr:uid="{00000000-0005-0000-0000-0000FD260000}"/>
    <cellStyle name="20% - Accent2 7 2 2" xfId="9617" xr:uid="{00000000-0005-0000-0000-0000FE260000}"/>
    <cellStyle name="20% - Accent2 7 2 3" xfId="9618" xr:uid="{00000000-0005-0000-0000-0000FF260000}"/>
    <cellStyle name="20% - Accent2 7 2 4" xfId="9619" xr:uid="{00000000-0005-0000-0000-000000270000}"/>
    <cellStyle name="20% - Accent2 7 2 5" xfId="9620" xr:uid="{00000000-0005-0000-0000-000001270000}"/>
    <cellStyle name="20% - Accent2 7 3" xfId="9621" xr:uid="{00000000-0005-0000-0000-000002270000}"/>
    <cellStyle name="20% - Accent2 7 4" xfId="9622" xr:uid="{00000000-0005-0000-0000-000003270000}"/>
    <cellStyle name="20% - Accent2 8" xfId="9623" xr:uid="{00000000-0005-0000-0000-000004270000}"/>
    <cellStyle name="20% - Accent2 8 2" xfId="9624" xr:uid="{00000000-0005-0000-0000-000005270000}"/>
    <cellStyle name="20% - Accent2 8 2 2" xfId="9625" xr:uid="{00000000-0005-0000-0000-000006270000}"/>
    <cellStyle name="20% - Accent2 8 2 3" xfId="9626" xr:uid="{00000000-0005-0000-0000-000007270000}"/>
    <cellStyle name="20% - Accent2 8 2 4" xfId="9627" xr:uid="{00000000-0005-0000-0000-000008270000}"/>
    <cellStyle name="20% - Accent2 8 2 5" xfId="9628" xr:uid="{00000000-0005-0000-0000-000009270000}"/>
    <cellStyle name="20% - Accent2 8 3" xfId="9629" xr:uid="{00000000-0005-0000-0000-00000A270000}"/>
    <cellStyle name="20% - Accent2 8 4" xfId="9630" xr:uid="{00000000-0005-0000-0000-00000B270000}"/>
    <cellStyle name="20% - Accent2 9" xfId="9631" xr:uid="{00000000-0005-0000-0000-00000C270000}"/>
    <cellStyle name="20% - Accent2 9 2" xfId="9632" xr:uid="{00000000-0005-0000-0000-00000D270000}"/>
    <cellStyle name="20% - Accent2 9 3" xfId="9633" xr:uid="{00000000-0005-0000-0000-00000E270000}"/>
    <cellStyle name="20% - Accent2 9 4" xfId="9634" xr:uid="{00000000-0005-0000-0000-00000F270000}"/>
    <cellStyle name="20% - Accent2 9 5" xfId="9635" xr:uid="{00000000-0005-0000-0000-000010270000}"/>
    <cellStyle name="20% - Accent3 10" xfId="9636" xr:uid="{00000000-0005-0000-0000-000011270000}"/>
    <cellStyle name="20% - Accent3 10 2" xfId="9637" xr:uid="{00000000-0005-0000-0000-000012270000}"/>
    <cellStyle name="20% - Accent3 10 3" xfId="9638" xr:uid="{00000000-0005-0000-0000-000013270000}"/>
    <cellStyle name="20% - Accent3 10 4" xfId="9639" xr:uid="{00000000-0005-0000-0000-000014270000}"/>
    <cellStyle name="20% - Accent3 10 5" xfId="9640" xr:uid="{00000000-0005-0000-0000-000015270000}"/>
    <cellStyle name="20% - Accent3 11" xfId="9641" xr:uid="{00000000-0005-0000-0000-000016270000}"/>
    <cellStyle name="20% - Accent3 11 2" xfId="9642" xr:uid="{00000000-0005-0000-0000-000017270000}"/>
    <cellStyle name="20% - Accent3 11 3" xfId="9643" xr:uid="{00000000-0005-0000-0000-000018270000}"/>
    <cellStyle name="20% - Accent3 11 4" xfId="9644" xr:uid="{00000000-0005-0000-0000-000019270000}"/>
    <cellStyle name="20% - Accent3 11 5" xfId="9645" xr:uid="{00000000-0005-0000-0000-00001A270000}"/>
    <cellStyle name="20% - Accent3 12" xfId="9646" xr:uid="{00000000-0005-0000-0000-00001B270000}"/>
    <cellStyle name="20% - Accent3 12 2" xfId="9647" xr:uid="{00000000-0005-0000-0000-00001C270000}"/>
    <cellStyle name="20% - Accent3 12 3" xfId="9648" xr:uid="{00000000-0005-0000-0000-00001D270000}"/>
    <cellStyle name="20% - Accent3 12 4" xfId="9649" xr:uid="{00000000-0005-0000-0000-00001E270000}"/>
    <cellStyle name="20% - Accent3 12 5" xfId="9650" xr:uid="{00000000-0005-0000-0000-00001F270000}"/>
    <cellStyle name="20% - Accent3 13" xfId="9651" xr:uid="{00000000-0005-0000-0000-000020270000}"/>
    <cellStyle name="20% - Accent3 13 2" xfId="9652" xr:uid="{00000000-0005-0000-0000-000021270000}"/>
    <cellStyle name="20% - Accent3 13 3" xfId="9653" xr:uid="{00000000-0005-0000-0000-000022270000}"/>
    <cellStyle name="20% - Accent3 13 4" xfId="9654" xr:uid="{00000000-0005-0000-0000-000023270000}"/>
    <cellStyle name="20% - Accent3 13 5" xfId="9655" xr:uid="{00000000-0005-0000-0000-000024270000}"/>
    <cellStyle name="20% - Accent3 14" xfId="9656" xr:uid="{00000000-0005-0000-0000-000025270000}"/>
    <cellStyle name="20% - Accent3 14 2" xfId="9657" xr:uid="{00000000-0005-0000-0000-000026270000}"/>
    <cellStyle name="20% - Accent3 14 3" xfId="9658" xr:uid="{00000000-0005-0000-0000-000027270000}"/>
    <cellStyle name="20% - Accent3 14 4" xfId="9659" xr:uid="{00000000-0005-0000-0000-000028270000}"/>
    <cellStyle name="20% - Accent3 14 5" xfId="9660" xr:uid="{00000000-0005-0000-0000-000029270000}"/>
    <cellStyle name="20% - Accent3 15" xfId="9661" xr:uid="{00000000-0005-0000-0000-00002A270000}"/>
    <cellStyle name="20% - Accent3 15 2" xfId="9662" xr:uid="{00000000-0005-0000-0000-00002B270000}"/>
    <cellStyle name="20% - Accent3 15 3" xfId="9663" xr:uid="{00000000-0005-0000-0000-00002C270000}"/>
    <cellStyle name="20% - Accent3 15 4" xfId="9664" xr:uid="{00000000-0005-0000-0000-00002D270000}"/>
    <cellStyle name="20% - Accent3 15 5" xfId="9665" xr:uid="{00000000-0005-0000-0000-00002E270000}"/>
    <cellStyle name="20% - Accent3 16" xfId="9666" xr:uid="{00000000-0005-0000-0000-00002F270000}"/>
    <cellStyle name="20% - Accent3 16 2" xfId="9667" xr:uid="{00000000-0005-0000-0000-000030270000}"/>
    <cellStyle name="20% - Accent3 16 3" xfId="9668" xr:uid="{00000000-0005-0000-0000-000031270000}"/>
    <cellStyle name="20% - Accent3 16 4" xfId="9669" xr:uid="{00000000-0005-0000-0000-000032270000}"/>
    <cellStyle name="20% - Accent3 16 5" xfId="9670" xr:uid="{00000000-0005-0000-0000-000033270000}"/>
    <cellStyle name="20% - Accent3 17" xfId="9671" xr:uid="{00000000-0005-0000-0000-000034270000}"/>
    <cellStyle name="20% - Accent3 17 2" xfId="9672" xr:uid="{00000000-0005-0000-0000-000035270000}"/>
    <cellStyle name="20% - Accent3 17 3" xfId="9673" xr:uid="{00000000-0005-0000-0000-000036270000}"/>
    <cellStyle name="20% - Accent3 17 4" xfId="9674" xr:uid="{00000000-0005-0000-0000-000037270000}"/>
    <cellStyle name="20% - Accent3 17 5" xfId="9675" xr:uid="{00000000-0005-0000-0000-000038270000}"/>
    <cellStyle name="20% - Accent3 18" xfId="9676" xr:uid="{00000000-0005-0000-0000-000039270000}"/>
    <cellStyle name="20% - Accent3 18 2" xfId="9677" xr:uid="{00000000-0005-0000-0000-00003A270000}"/>
    <cellStyle name="20% - Accent3 18 3" xfId="9678" xr:uid="{00000000-0005-0000-0000-00003B270000}"/>
    <cellStyle name="20% - Accent3 18 4" xfId="9679" xr:uid="{00000000-0005-0000-0000-00003C270000}"/>
    <cellStyle name="20% - Accent3 18 5" xfId="9680" xr:uid="{00000000-0005-0000-0000-00003D270000}"/>
    <cellStyle name="20% - Accent3 19" xfId="9681" xr:uid="{00000000-0005-0000-0000-00003E270000}"/>
    <cellStyle name="20% - Accent3 19 2" xfId="9682" xr:uid="{00000000-0005-0000-0000-00003F270000}"/>
    <cellStyle name="20% - Accent3 19 3" xfId="9683" xr:uid="{00000000-0005-0000-0000-000040270000}"/>
    <cellStyle name="20% - Accent3 19 4" xfId="9684" xr:uid="{00000000-0005-0000-0000-000041270000}"/>
    <cellStyle name="20% - Accent3 19 5" xfId="9685" xr:uid="{00000000-0005-0000-0000-000042270000}"/>
    <cellStyle name="20% - Accent3 2" xfId="9686" xr:uid="{00000000-0005-0000-0000-000043270000}"/>
    <cellStyle name="20% - Accent3 2 2" xfId="9687" xr:uid="{00000000-0005-0000-0000-000044270000}"/>
    <cellStyle name="20% - Accent3 2 2 2" xfId="9688" xr:uid="{00000000-0005-0000-0000-000045270000}"/>
    <cellStyle name="20% - Accent3 2 2 3" xfId="9689" xr:uid="{00000000-0005-0000-0000-000046270000}"/>
    <cellStyle name="20% - Accent3 2 2 4" xfId="9690" xr:uid="{00000000-0005-0000-0000-000047270000}"/>
    <cellStyle name="20% - Accent3 2 2 5" xfId="9691" xr:uid="{00000000-0005-0000-0000-000048270000}"/>
    <cellStyle name="20% - Accent3 2 3" xfId="9692" xr:uid="{00000000-0005-0000-0000-000049270000}"/>
    <cellStyle name="20% - Accent3 2 3 2" xfId="9693" xr:uid="{00000000-0005-0000-0000-00004A270000}"/>
    <cellStyle name="20% - Accent3 2 3 3" xfId="9694" xr:uid="{00000000-0005-0000-0000-00004B270000}"/>
    <cellStyle name="20% - Accent3 2 3 4" xfId="9695" xr:uid="{00000000-0005-0000-0000-00004C270000}"/>
    <cellStyle name="20% - Accent3 2 4" xfId="9696" xr:uid="{00000000-0005-0000-0000-00004D270000}"/>
    <cellStyle name="20% - Accent3 2 5" xfId="9697" xr:uid="{00000000-0005-0000-0000-00004E270000}"/>
    <cellStyle name="20% - Accent3 2 6" xfId="9698" xr:uid="{00000000-0005-0000-0000-00004F270000}"/>
    <cellStyle name="20% - Accent3 2 7" xfId="9699" xr:uid="{00000000-0005-0000-0000-000050270000}"/>
    <cellStyle name="20% - Accent3 2 8" xfId="9700" xr:uid="{00000000-0005-0000-0000-000051270000}"/>
    <cellStyle name="20% - Accent3 2_PAQUETE PARA COTIZAR" xfId="9701" xr:uid="{00000000-0005-0000-0000-000052270000}"/>
    <cellStyle name="20% - Accent3 20" xfId="9702" xr:uid="{00000000-0005-0000-0000-000053270000}"/>
    <cellStyle name="20% - Accent3 20 2" xfId="9703" xr:uid="{00000000-0005-0000-0000-000054270000}"/>
    <cellStyle name="20% - Accent3 20 3" xfId="9704" xr:uid="{00000000-0005-0000-0000-000055270000}"/>
    <cellStyle name="20% - Accent3 20 4" xfId="9705" xr:uid="{00000000-0005-0000-0000-000056270000}"/>
    <cellStyle name="20% - Accent3 20 5" xfId="9706" xr:uid="{00000000-0005-0000-0000-000057270000}"/>
    <cellStyle name="20% - Accent3 21" xfId="9707" xr:uid="{00000000-0005-0000-0000-000058270000}"/>
    <cellStyle name="20% - Accent3 21 2" xfId="9708" xr:uid="{00000000-0005-0000-0000-000059270000}"/>
    <cellStyle name="20% - Accent3 21 3" xfId="9709" xr:uid="{00000000-0005-0000-0000-00005A270000}"/>
    <cellStyle name="20% - Accent3 21 4" xfId="9710" xr:uid="{00000000-0005-0000-0000-00005B270000}"/>
    <cellStyle name="20% - Accent3 21 5" xfId="9711" xr:uid="{00000000-0005-0000-0000-00005C270000}"/>
    <cellStyle name="20% - Accent3 22" xfId="9712" xr:uid="{00000000-0005-0000-0000-00005D270000}"/>
    <cellStyle name="20% - Accent3 22 2" xfId="9713" xr:uid="{00000000-0005-0000-0000-00005E270000}"/>
    <cellStyle name="20% - Accent3 23" xfId="9714" xr:uid="{00000000-0005-0000-0000-00005F270000}"/>
    <cellStyle name="20% - Accent3 23 2" xfId="9715" xr:uid="{00000000-0005-0000-0000-000060270000}"/>
    <cellStyle name="20% - Accent3 24" xfId="9716" xr:uid="{00000000-0005-0000-0000-000061270000}"/>
    <cellStyle name="20% - Accent3 24 2" xfId="9717" xr:uid="{00000000-0005-0000-0000-000062270000}"/>
    <cellStyle name="20% - Accent3 25" xfId="9718" xr:uid="{00000000-0005-0000-0000-000063270000}"/>
    <cellStyle name="20% - Accent3 25 2" xfId="9719" xr:uid="{00000000-0005-0000-0000-000064270000}"/>
    <cellStyle name="20% - Accent3 26" xfId="9720" xr:uid="{00000000-0005-0000-0000-000065270000}"/>
    <cellStyle name="20% - Accent3 26 2" xfId="9721" xr:uid="{00000000-0005-0000-0000-000066270000}"/>
    <cellStyle name="20% - Accent3 27" xfId="9722" xr:uid="{00000000-0005-0000-0000-000067270000}"/>
    <cellStyle name="20% - Accent3 27 2" xfId="9723" xr:uid="{00000000-0005-0000-0000-000068270000}"/>
    <cellStyle name="20% - Accent3 28" xfId="9724" xr:uid="{00000000-0005-0000-0000-000069270000}"/>
    <cellStyle name="20% - Accent3 28 2" xfId="9725" xr:uid="{00000000-0005-0000-0000-00006A270000}"/>
    <cellStyle name="20% - Accent3 29" xfId="9726" xr:uid="{00000000-0005-0000-0000-00006B270000}"/>
    <cellStyle name="20% - Accent3 29 2" xfId="9727" xr:uid="{00000000-0005-0000-0000-00006C270000}"/>
    <cellStyle name="20% - Accent3 29 3" xfId="9728" xr:uid="{00000000-0005-0000-0000-00006D270000}"/>
    <cellStyle name="20% - Accent3 29 4" xfId="9729" xr:uid="{00000000-0005-0000-0000-00006E270000}"/>
    <cellStyle name="20% - Accent3 29 5" xfId="9730" xr:uid="{00000000-0005-0000-0000-00006F270000}"/>
    <cellStyle name="20% - Accent3 3" xfId="9731" xr:uid="{00000000-0005-0000-0000-000070270000}"/>
    <cellStyle name="20% - Accent3 3 2" xfId="9732" xr:uid="{00000000-0005-0000-0000-000071270000}"/>
    <cellStyle name="20% - Accent3 3 2 2" xfId="9733" xr:uid="{00000000-0005-0000-0000-000072270000}"/>
    <cellStyle name="20% - Accent3 3 2 3" xfId="9734" xr:uid="{00000000-0005-0000-0000-000073270000}"/>
    <cellStyle name="20% - Accent3 3 2 4" xfId="9735" xr:uid="{00000000-0005-0000-0000-000074270000}"/>
    <cellStyle name="20% - Accent3 3 2 5" xfId="9736" xr:uid="{00000000-0005-0000-0000-000075270000}"/>
    <cellStyle name="20% - Accent3 3 3" xfId="9737" xr:uid="{00000000-0005-0000-0000-000076270000}"/>
    <cellStyle name="20% - Accent3 3 3 2" xfId="9738" xr:uid="{00000000-0005-0000-0000-000077270000}"/>
    <cellStyle name="20% - Accent3 3 3 3" xfId="9739" xr:uid="{00000000-0005-0000-0000-000078270000}"/>
    <cellStyle name="20% - Accent3 3 3 4" xfId="9740" xr:uid="{00000000-0005-0000-0000-000079270000}"/>
    <cellStyle name="20% - Accent3 3 4" xfId="9741" xr:uid="{00000000-0005-0000-0000-00007A270000}"/>
    <cellStyle name="20% - Accent3 3 5" xfId="9742" xr:uid="{00000000-0005-0000-0000-00007B270000}"/>
    <cellStyle name="20% - Accent3 3 6" xfId="9743" xr:uid="{00000000-0005-0000-0000-00007C270000}"/>
    <cellStyle name="20% - Accent3 3 7" xfId="9744" xr:uid="{00000000-0005-0000-0000-00007D270000}"/>
    <cellStyle name="20% - Accent3 3 8" xfId="9745" xr:uid="{00000000-0005-0000-0000-00007E270000}"/>
    <cellStyle name="20% - Accent3 3_PAQUETE PARA COTIZAR" xfId="9746" xr:uid="{00000000-0005-0000-0000-00007F270000}"/>
    <cellStyle name="20% - Accent3 30" xfId="9747" xr:uid="{00000000-0005-0000-0000-000080270000}"/>
    <cellStyle name="20% - Accent3 30 2" xfId="9748" xr:uid="{00000000-0005-0000-0000-000081270000}"/>
    <cellStyle name="20% - Accent3 31" xfId="9749" xr:uid="{00000000-0005-0000-0000-000082270000}"/>
    <cellStyle name="20% - Accent3 32" xfId="9750" xr:uid="{00000000-0005-0000-0000-000083270000}"/>
    <cellStyle name="20% - Accent3 33" xfId="9751" xr:uid="{00000000-0005-0000-0000-000084270000}"/>
    <cellStyle name="20% - Accent3 34" xfId="9752" xr:uid="{00000000-0005-0000-0000-000085270000}"/>
    <cellStyle name="20% - Accent3 4" xfId="9753" xr:uid="{00000000-0005-0000-0000-000086270000}"/>
    <cellStyle name="20% - Accent3 4 2" xfId="9754" xr:uid="{00000000-0005-0000-0000-000087270000}"/>
    <cellStyle name="20% - Accent3 4 2 2" xfId="9755" xr:uid="{00000000-0005-0000-0000-000088270000}"/>
    <cellStyle name="20% - Accent3 4 2 3" xfId="9756" xr:uid="{00000000-0005-0000-0000-000089270000}"/>
    <cellStyle name="20% - Accent3 4 2 4" xfId="9757" xr:uid="{00000000-0005-0000-0000-00008A270000}"/>
    <cellStyle name="20% - Accent3 4 2 5" xfId="9758" xr:uid="{00000000-0005-0000-0000-00008B270000}"/>
    <cellStyle name="20% - Accent3 4 3" xfId="9759" xr:uid="{00000000-0005-0000-0000-00008C270000}"/>
    <cellStyle name="20% - Accent3 4 4" xfId="9760" xr:uid="{00000000-0005-0000-0000-00008D270000}"/>
    <cellStyle name="20% - Accent3 5" xfId="9761" xr:uid="{00000000-0005-0000-0000-00008E270000}"/>
    <cellStyle name="20% - Accent3 5 2" xfId="9762" xr:uid="{00000000-0005-0000-0000-00008F270000}"/>
    <cellStyle name="20% - Accent3 5 2 2" xfId="9763" xr:uid="{00000000-0005-0000-0000-000090270000}"/>
    <cellStyle name="20% - Accent3 5 2 3" xfId="9764" xr:uid="{00000000-0005-0000-0000-000091270000}"/>
    <cellStyle name="20% - Accent3 5 2 4" xfId="9765" xr:uid="{00000000-0005-0000-0000-000092270000}"/>
    <cellStyle name="20% - Accent3 5 2 5" xfId="9766" xr:uid="{00000000-0005-0000-0000-000093270000}"/>
    <cellStyle name="20% - Accent3 5 3" xfId="9767" xr:uid="{00000000-0005-0000-0000-000094270000}"/>
    <cellStyle name="20% - Accent3 5 4" xfId="9768" xr:uid="{00000000-0005-0000-0000-000095270000}"/>
    <cellStyle name="20% - Accent3 6" xfId="9769" xr:uid="{00000000-0005-0000-0000-000096270000}"/>
    <cellStyle name="20% - Accent3 6 2" xfId="9770" xr:uid="{00000000-0005-0000-0000-000097270000}"/>
    <cellStyle name="20% - Accent3 6 2 2" xfId="9771" xr:uid="{00000000-0005-0000-0000-000098270000}"/>
    <cellStyle name="20% - Accent3 6 2 3" xfId="9772" xr:uid="{00000000-0005-0000-0000-000099270000}"/>
    <cellStyle name="20% - Accent3 6 2 4" xfId="9773" xr:uid="{00000000-0005-0000-0000-00009A270000}"/>
    <cellStyle name="20% - Accent3 6 2 5" xfId="9774" xr:uid="{00000000-0005-0000-0000-00009B270000}"/>
    <cellStyle name="20% - Accent3 6 3" xfId="9775" xr:uid="{00000000-0005-0000-0000-00009C270000}"/>
    <cellStyle name="20% - Accent3 6 4" xfId="9776" xr:uid="{00000000-0005-0000-0000-00009D270000}"/>
    <cellStyle name="20% - Accent3 7" xfId="9777" xr:uid="{00000000-0005-0000-0000-00009E270000}"/>
    <cellStyle name="20% - Accent3 7 2" xfId="9778" xr:uid="{00000000-0005-0000-0000-00009F270000}"/>
    <cellStyle name="20% - Accent3 7 2 2" xfId="9779" xr:uid="{00000000-0005-0000-0000-0000A0270000}"/>
    <cellStyle name="20% - Accent3 7 2 3" xfId="9780" xr:uid="{00000000-0005-0000-0000-0000A1270000}"/>
    <cellStyle name="20% - Accent3 7 2 4" xfId="9781" xr:uid="{00000000-0005-0000-0000-0000A2270000}"/>
    <cellStyle name="20% - Accent3 7 2 5" xfId="9782" xr:uid="{00000000-0005-0000-0000-0000A3270000}"/>
    <cellStyle name="20% - Accent3 7 3" xfId="9783" xr:uid="{00000000-0005-0000-0000-0000A4270000}"/>
    <cellStyle name="20% - Accent3 7 4" xfId="9784" xr:uid="{00000000-0005-0000-0000-0000A5270000}"/>
    <cellStyle name="20% - Accent3 8" xfId="9785" xr:uid="{00000000-0005-0000-0000-0000A6270000}"/>
    <cellStyle name="20% - Accent3 8 2" xfId="9786" xr:uid="{00000000-0005-0000-0000-0000A7270000}"/>
    <cellStyle name="20% - Accent3 8 2 2" xfId="9787" xr:uid="{00000000-0005-0000-0000-0000A8270000}"/>
    <cellStyle name="20% - Accent3 8 2 3" xfId="9788" xr:uid="{00000000-0005-0000-0000-0000A9270000}"/>
    <cellStyle name="20% - Accent3 8 2 4" xfId="9789" xr:uid="{00000000-0005-0000-0000-0000AA270000}"/>
    <cellStyle name="20% - Accent3 8 2 5" xfId="9790" xr:uid="{00000000-0005-0000-0000-0000AB270000}"/>
    <cellStyle name="20% - Accent3 8 3" xfId="9791" xr:uid="{00000000-0005-0000-0000-0000AC270000}"/>
    <cellStyle name="20% - Accent3 8 4" xfId="9792" xr:uid="{00000000-0005-0000-0000-0000AD270000}"/>
    <cellStyle name="20% - Accent3 9" xfId="9793" xr:uid="{00000000-0005-0000-0000-0000AE270000}"/>
    <cellStyle name="20% - Accent3 9 2" xfId="9794" xr:uid="{00000000-0005-0000-0000-0000AF270000}"/>
    <cellStyle name="20% - Accent3 9 3" xfId="9795" xr:uid="{00000000-0005-0000-0000-0000B0270000}"/>
    <cellStyle name="20% - Accent3 9 4" xfId="9796" xr:uid="{00000000-0005-0000-0000-0000B1270000}"/>
    <cellStyle name="20% - Accent3 9 5" xfId="9797" xr:uid="{00000000-0005-0000-0000-0000B2270000}"/>
    <cellStyle name="20% - Accent4 10" xfId="9798" xr:uid="{00000000-0005-0000-0000-0000B3270000}"/>
    <cellStyle name="20% - Accent4 10 2" xfId="9799" xr:uid="{00000000-0005-0000-0000-0000B4270000}"/>
    <cellStyle name="20% - Accent4 10 3" xfId="9800" xr:uid="{00000000-0005-0000-0000-0000B5270000}"/>
    <cellStyle name="20% - Accent4 10 4" xfId="9801" xr:uid="{00000000-0005-0000-0000-0000B6270000}"/>
    <cellStyle name="20% - Accent4 10 5" xfId="9802" xr:uid="{00000000-0005-0000-0000-0000B7270000}"/>
    <cellStyle name="20% - Accent4 11" xfId="9803" xr:uid="{00000000-0005-0000-0000-0000B8270000}"/>
    <cellStyle name="20% - Accent4 11 2" xfId="9804" xr:uid="{00000000-0005-0000-0000-0000B9270000}"/>
    <cellStyle name="20% - Accent4 11 3" xfId="9805" xr:uid="{00000000-0005-0000-0000-0000BA270000}"/>
    <cellStyle name="20% - Accent4 11 4" xfId="9806" xr:uid="{00000000-0005-0000-0000-0000BB270000}"/>
    <cellStyle name="20% - Accent4 11 5" xfId="9807" xr:uid="{00000000-0005-0000-0000-0000BC270000}"/>
    <cellStyle name="20% - Accent4 12" xfId="9808" xr:uid="{00000000-0005-0000-0000-0000BD270000}"/>
    <cellStyle name="20% - Accent4 12 2" xfId="9809" xr:uid="{00000000-0005-0000-0000-0000BE270000}"/>
    <cellStyle name="20% - Accent4 12 3" xfId="9810" xr:uid="{00000000-0005-0000-0000-0000BF270000}"/>
    <cellStyle name="20% - Accent4 12 4" xfId="9811" xr:uid="{00000000-0005-0000-0000-0000C0270000}"/>
    <cellStyle name="20% - Accent4 12 5" xfId="9812" xr:uid="{00000000-0005-0000-0000-0000C1270000}"/>
    <cellStyle name="20% - Accent4 13" xfId="9813" xr:uid="{00000000-0005-0000-0000-0000C2270000}"/>
    <cellStyle name="20% - Accent4 13 2" xfId="9814" xr:uid="{00000000-0005-0000-0000-0000C3270000}"/>
    <cellStyle name="20% - Accent4 13 3" xfId="9815" xr:uid="{00000000-0005-0000-0000-0000C4270000}"/>
    <cellStyle name="20% - Accent4 13 4" xfId="9816" xr:uid="{00000000-0005-0000-0000-0000C5270000}"/>
    <cellStyle name="20% - Accent4 13 5" xfId="9817" xr:uid="{00000000-0005-0000-0000-0000C6270000}"/>
    <cellStyle name="20% - Accent4 14" xfId="9818" xr:uid="{00000000-0005-0000-0000-0000C7270000}"/>
    <cellStyle name="20% - Accent4 14 2" xfId="9819" xr:uid="{00000000-0005-0000-0000-0000C8270000}"/>
    <cellStyle name="20% - Accent4 14 3" xfId="9820" xr:uid="{00000000-0005-0000-0000-0000C9270000}"/>
    <cellStyle name="20% - Accent4 14 4" xfId="9821" xr:uid="{00000000-0005-0000-0000-0000CA270000}"/>
    <cellStyle name="20% - Accent4 14 5" xfId="9822" xr:uid="{00000000-0005-0000-0000-0000CB270000}"/>
    <cellStyle name="20% - Accent4 15" xfId="9823" xr:uid="{00000000-0005-0000-0000-0000CC270000}"/>
    <cellStyle name="20% - Accent4 15 2" xfId="9824" xr:uid="{00000000-0005-0000-0000-0000CD270000}"/>
    <cellStyle name="20% - Accent4 15 3" xfId="9825" xr:uid="{00000000-0005-0000-0000-0000CE270000}"/>
    <cellStyle name="20% - Accent4 15 4" xfId="9826" xr:uid="{00000000-0005-0000-0000-0000CF270000}"/>
    <cellStyle name="20% - Accent4 15 5" xfId="9827" xr:uid="{00000000-0005-0000-0000-0000D0270000}"/>
    <cellStyle name="20% - Accent4 16" xfId="9828" xr:uid="{00000000-0005-0000-0000-0000D1270000}"/>
    <cellStyle name="20% - Accent4 16 2" xfId="9829" xr:uid="{00000000-0005-0000-0000-0000D2270000}"/>
    <cellStyle name="20% - Accent4 16 3" xfId="9830" xr:uid="{00000000-0005-0000-0000-0000D3270000}"/>
    <cellStyle name="20% - Accent4 16 4" xfId="9831" xr:uid="{00000000-0005-0000-0000-0000D4270000}"/>
    <cellStyle name="20% - Accent4 16 5" xfId="9832" xr:uid="{00000000-0005-0000-0000-0000D5270000}"/>
    <cellStyle name="20% - Accent4 17" xfId="9833" xr:uid="{00000000-0005-0000-0000-0000D6270000}"/>
    <cellStyle name="20% - Accent4 17 2" xfId="9834" xr:uid="{00000000-0005-0000-0000-0000D7270000}"/>
    <cellStyle name="20% - Accent4 17 3" xfId="9835" xr:uid="{00000000-0005-0000-0000-0000D8270000}"/>
    <cellStyle name="20% - Accent4 17 4" xfId="9836" xr:uid="{00000000-0005-0000-0000-0000D9270000}"/>
    <cellStyle name="20% - Accent4 17 5" xfId="9837" xr:uid="{00000000-0005-0000-0000-0000DA270000}"/>
    <cellStyle name="20% - Accent4 18" xfId="9838" xr:uid="{00000000-0005-0000-0000-0000DB270000}"/>
    <cellStyle name="20% - Accent4 18 2" xfId="9839" xr:uid="{00000000-0005-0000-0000-0000DC270000}"/>
    <cellStyle name="20% - Accent4 18 3" xfId="9840" xr:uid="{00000000-0005-0000-0000-0000DD270000}"/>
    <cellStyle name="20% - Accent4 18 4" xfId="9841" xr:uid="{00000000-0005-0000-0000-0000DE270000}"/>
    <cellStyle name="20% - Accent4 18 5" xfId="9842" xr:uid="{00000000-0005-0000-0000-0000DF270000}"/>
    <cellStyle name="20% - Accent4 19" xfId="9843" xr:uid="{00000000-0005-0000-0000-0000E0270000}"/>
    <cellStyle name="20% - Accent4 19 2" xfId="9844" xr:uid="{00000000-0005-0000-0000-0000E1270000}"/>
    <cellStyle name="20% - Accent4 19 3" xfId="9845" xr:uid="{00000000-0005-0000-0000-0000E2270000}"/>
    <cellStyle name="20% - Accent4 19 4" xfId="9846" xr:uid="{00000000-0005-0000-0000-0000E3270000}"/>
    <cellStyle name="20% - Accent4 19 5" xfId="9847" xr:uid="{00000000-0005-0000-0000-0000E4270000}"/>
    <cellStyle name="20% - Accent4 2" xfId="9848" xr:uid="{00000000-0005-0000-0000-0000E5270000}"/>
    <cellStyle name="20% - Accent4 2 2" xfId="9849" xr:uid="{00000000-0005-0000-0000-0000E6270000}"/>
    <cellStyle name="20% - Accent4 2 2 2" xfId="9850" xr:uid="{00000000-0005-0000-0000-0000E7270000}"/>
    <cellStyle name="20% - Accent4 2 2 3" xfId="9851" xr:uid="{00000000-0005-0000-0000-0000E8270000}"/>
    <cellStyle name="20% - Accent4 2 2 4" xfId="9852" xr:uid="{00000000-0005-0000-0000-0000E9270000}"/>
    <cellStyle name="20% - Accent4 2 2 5" xfId="9853" xr:uid="{00000000-0005-0000-0000-0000EA270000}"/>
    <cellStyle name="20% - Accent4 2 3" xfId="9854" xr:uid="{00000000-0005-0000-0000-0000EB270000}"/>
    <cellStyle name="20% - Accent4 2 3 2" xfId="9855" xr:uid="{00000000-0005-0000-0000-0000EC270000}"/>
    <cellStyle name="20% - Accent4 2 3 3" xfId="9856" xr:uid="{00000000-0005-0000-0000-0000ED270000}"/>
    <cellStyle name="20% - Accent4 2 3 4" xfId="9857" xr:uid="{00000000-0005-0000-0000-0000EE270000}"/>
    <cellStyle name="20% - Accent4 2 4" xfId="9858" xr:uid="{00000000-0005-0000-0000-0000EF270000}"/>
    <cellStyle name="20% - Accent4 2 5" xfId="9859" xr:uid="{00000000-0005-0000-0000-0000F0270000}"/>
    <cellStyle name="20% - Accent4 2 6" xfId="9860" xr:uid="{00000000-0005-0000-0000-0000F1270000}"/>
    <cellStyle name="20% - Accent4 2 7" xfId="9861" xr:uid="{00000000-0005-0000-0000-0000F2270000}"/>
    <cellStyle name="20% - Accent4 2 8" xfId="9862" xr:uid="{00000000-0005-0000-0000-0000F3270000}"/>
    <cellStyle name="20% - Accent4 2_PAQUETE PARA COTIZAR" xfId="9863" xr:uid="{00000000-0005-0000-0000-0000F4270000}"/>
    <cellStyle name="20% - Accent4 20" xfId="9864" xr:uid="{00000000-0005-0000-0000-0000F5270000}"/>
    <cellStyle name="20% - Accent4 20 2" xfId="9865" xr:uid="{00000000-0005-0000-0000-0000F6270000}"/>
    <cellStyle name="20% - Accent4 20 3" xfId="9866" xr:uid="{00000000-0005-0000-0000-0000F7270000}"/>
    <cellStyle name="20% - Accent4 20 4" xfId="9867" xr:uid="{00000000-0005-0000-0000-0000F8270000}"/>
    <cellStyle name="20% - Accent4 20 5" xfId="9868" xr:uid="{00000000-0005-0000-0000-0000F9270000}"/>
    <cellStyle name="20% - Accent4 21" xfId="9869" xr:uid="{00000000-0005-0000-0000-0000FA270000}"/>
    <cellStyle name="20% - Accent4 21 2" xfId="9870" xr:uid="{00000000-0005-0000-0000-0000FB270000}"/>
    <cellStyle name="20% - Accent4 21 3" xfId="9871" xr:uid="{00000000-0005-0000-0000-0000FC270000}"/>
    <cellStyle name="20% - Accent4 21 4" xfId="9872" xr:uid="{00000000-0005-0000-0000-0000FD270000}"/>
    <cellStyle name="20% - Accent4 21 5" xfId="9873" xr:uid="{00000000-0005-0000-0000-0000FE270000}"/>
    <cellStyle name="20% - Accent4 22" xfId="9874" xr:uid="{00000000-0005-0000-0000-0000FF270000}"/>
    <cellStyle name="20% - Accent4 22 2" xfId="9875" xr:uid="{00000000-0005-0000-0000-000000280000}"/>
    <cellStyle name="20% - Accent4 23" xfId="9876" xr:uid="{00000000-0005-0000-0000-000001280000}"/>
    <cellStyle name="20% - Accent4 23 2" xfId="9877" xr:uid="{00000000-0005-0000-0000-000002280000}"/>
    <cellStyle name="20% - Accent4 24" xfId="9878" xr:uid="{00000000-0005-0000-0000-000003280000}"/>
    <cellStyle name="20% - Accent4 24 2" xfId="9879" xr:uid="{00000000-0005-0000-0000-000004280000}"/>
    <cellStyle name="20% - Accent4 25" xfId="9880" xr:uid="{00000000-0005-0000-0000-000005280000}"/>
    <cellStyle name="20% - Accent4 25 2" xfId="9881" xr:uid="{00000000-0005-0000-0000-000006280000}"/>
    <cellStyle name="20% - Accent4 26" xfId="9882" xr:uid="{00000000-0005-0000-0000-000007280000}"/>
    <cellStyle name="20% - Accent4 26 2" xfId="9883" xr:uid="{00000000-0005-0000-0000-000008280000}"/>
    <cellStyle name="20% - Accent4 27" xfId="9884" xr:uid="{00000000-0005-0000-0000-000009280000}"/>
    <cellStyle name="20% - Accent4 27 2" xfId="9885" xr:uid="{00000000-0005-0000-0000-00000A280000}"/>
    <cellStyle name="20% - Accent4 28" xfId="9886" xr:uid="{00000000-0005-0000-0000-00000B280000}"/>
    <cellStyle name="20% - Accent4 28 2" xfId="9887" xr:uid="{00000000-0005-0000-0000-00000C280000}"/>
    <cellStyle name="20% - Accent4 29" xfId="9888" xr:uid="{00000000-0005-0000-0000-00000D280000}"/>
    <cellStyle name="20% - Accent4 29 2" xfId="9889" xr:uid="{00000000-0005-0000-0000-00000E280000}"/>
    <cellStyle name="20% - Accent4 29 3" xfId="9890" xr:uid="{00000000-0005-0000-0000-00000F280000}"/>
    <cellStyle name="20% - Accent4 29 4" xfId="9891" xr:uid="{00000000-0005-0000-0000-000010280000}"/>
    <cellStyle name="20% - Accent4 29 5" xfId="9892" xr:uid="{00000000-0005-0000-0000-000011280000}"/>
    <cellStyle name="20% - Accent4 3" xfId="9893" xr:uid="{00000000-0005-0000-0000-000012280000}"/>
    <cellStyle name="20% - Accent4 3 2" xfId="9894" xr:uid="{00000000-0005-0000-0000-000013280000}"/>
    <cellStyle name="20% - Accent4 3 2 2" xfId="9895" xr:uid="{00000000-0005-0000-0000-000014280000}"/>
    <cellStyle name="20% - Accent4 3 2 3" xfId="9896" xr:uid="{00000000-0005-0000-0000-000015280000}"/>
    <cellStyle name="20% - Accent4 3 2 4" xfId="9897" xr:uid="{00000000-0005-0000-0000-000016280000}"/>
    <cellStyle name="20% - Accent4 3 2 5" xfId="9898" xr:uid="{00000000-0005-0000-0000-000017280000}"/>
    <cellStyle name="20% - Accent4 3 3" xfId="9899" xr:uid="{00000000-0005-0000-0000-000018280000}"/>
    <cellStyle name="20% - Accent4 3 3 2" xfId="9900" xr:uid="{00000000-0005-0000-0000-000019280000}"/>
    <cellStyle name="20% - Accent4 3 3 3" xfId="9901" xr:uid="{00000000-0005-0000-0000-00001A280000}"/>
    <cellStyle name="20% - Accent4 3 3 4" xfId="9902" xr:uid="{00000000-0005-0000-0000-00001B280000}"/>
    <cellStyle name="20% - Accent4 3 4" xfId="9903" xr:uid="{00000000-0005-0000-0000-00001C280000}"/>
    <cellStyle name="20% - Accent4 3 5" xfId="9904" xr:uid="{00000000-0005-0000-0000-00001D280000}"/>
    <cellStyle name="20% - Accent4 3 6" xfId="9905" xr:uid="{00000000-0005-0000-0000-00001E280000}"/>
    <cellStyle name="20% - Accent4 3 7" xfId="9906" xr:uid="{00000000-0005-0000-0000-00001F280000}"/>
    <cellStyle name="20% - Accent4 3 8" xfId="9907" xr:uid="{00000000-0005-0000-0000-000020280000}"/>
    <cellStyle name="20% - Accent4 3_PAQUETE PARA COTIZAR" xfId="9908" xr:uid="{00000000-0005-0000-0000-000021280000}"/>
    <cellStyle name="20% - Accent4 30" xfId="9909" xr:uid="{00000000-0005-0000-0000-000022280000}"/>
    <cellStyle name="20% - Accent4 30 2" xfId="9910" xr:uid="{00000000-0005-0000-0000-000023280000}"/>
    <cellStyle name="20% - Accent4 31" xfId="9911" xr:uid="{00000000-0005-0000-0000-000024280000}"/>
    <cellStyle name="20% - Accent4 32" xfId="9912" xr:uid="{00000000-0005-0000-0000-000025280000}"/>
    <cellStyle name="20% - Accent4 33" xfId="9913" xr:uid="{00000000-0005-0000-0000-000026280000}"/>
    <cellStyle name="20% - Accent4 34" xfId="9914" xr:uid="{00000000-0005-0000-0000-000027280000}"/>
    <cellStyle name="20% - Accent4 4" xfId="9915" xr:uid="{00000000-0005-0000-0000-000028280000}"/>
    <cellStyle name="20% - Accent4 4 2" xfId="9916" xr:uid="{00000000-0005-0000-0000-000029280000}"/>
    <cellStyle name="20% - Accent4 4 2 2" xfId="9917" xr:uid="{00000000-0005-0000-0000-00002A280000}"/>
    <cellStyle name="20% - Accent4 4 2 3" xfId="9918" xr:uid="{00000000-0005-0000-0000-00002B280000}"/>
    <cellStyle name="20% - Accent4 4 2 4" xfId="9919" xr:uid="{00000000-0005-0000-0000-00002C280000}"/>
    <cellStyle name="20% - Accent4 4 2 5" xfId="9920" xr:uid="{00000000-0005-0000-0000-00002D280000}"/>
    <cellStyle name="20% - Accent4 4 3" xfId="9921" xr:uid="{00000000-0005-0000-0000-00002E280000}"/>
    <cellStyle name="20% - Accent4 4 4" xfId="9922" xr:uid="{00000000-0005-0000-0000-00002F280000}"/>
    <cellStyle name="20% - Accent4 5" xfId="9923" xr:uid="{00000000-0005-0000-0000-000030280000}"/>
    <cellStyle name="20% - Accent4 5 2" xfId="9924" xr:uid="{00000000-0005-0000-0000-000031280000}"/>
    <cellStyle name="20% - Accent4 5 2 2" xfId="9925" xr:uid="{00000000-0005-0000-0000-000032280000}"/>
    <cellStyle name="20% - Accent4 5 2 3" xfId="9926" xr:uid="{00000000-0005-0000-0000-000033280000}"/>
    <cellStyle name="20% - Accent4 5 2 4" xfId="9927" xr:uid="{00000000-0005-0000-0000-000034280000}"/>
    <cellStyle name="20% - Accent4 5 2 5" xfId="9928" xr:uid="{00000000-0005-0000-0000-000035280000}"/>
    <cellStyle name="20% - Accent4 5 3" xfId="9929" xr:uid="{00000000-0005-0000-0000-000036280000}"/>
    <cellStyle name="20% - Accent4 5 4" xfId="9930" xr:uid="{00000000-0005-0000-0000-000037280000}"/>
    <cellStyle name="20% - Accent4 6" xfId="9931" xr:uid="{00000000-0005-0000-0000-000038280000}"/>
    <cellStyle name="20% - Accent4 6 2" xfId="9932" xr:uid="{00000000-0005-0000-0000-000039280000}"/>
    <cellStyle name="20% - Accent4 6 2 2" xfId="9933" xr:uid="{00000000-0005-0000-0000-00003A280000}"/>
    <cellStyle name="20% - Accent4 6 2 3" xfId="9934" xr:uid="{00000000-0005-0000-0000-00003B280000}"/>
    <cellStyle name="20% - Accent4 6 2 4" xfId="9935" xr:uid="{00000000-0005-0000-0000-00003C280000}"/>
    <cellStyle name="20% - Accent4 6 2 5" xfId="9936" xr:uid="{00000000-0005-0000-0000-00003D280000}"/>
    <cellStyle name="20% - Accent4 6 3" xfId="9937" xr:uid="{00000000-0005-0000-0000-00003E280000}"/>
    <cellStyle name="20% - Accent4 6 4" xfId="9938" xr:uid="{00000000-0005-0000-0000-00003F280000}"/>
    <cellStyle name="20% - Accent4 7" xfId="9939" xr:uid="{00000000-0005-0000-0000-000040280000}"/>
    <cellStyle name="20% - Accent4 7 2" xfId="9940" xr:uid="{00000000-0005-0000-0000-000041280000}"/>
    <cellStyle name="20% - Accent4 7 2 2" xfId="9941" xr:uid="{00000000-0005-0000-0000-000042280000}"/>
    <cellStyle name="20% - Accent4 7 2 3" xfId="9942" xr:uid="{00000000-0005-0000-0000-000043280000}"/>
    <cellStyle name="20% - Accent4 7 2 4" xfId="9943" xr:uid="{00000000-0005-0000-0000-000044280000}"/>
    <cellStyle name="20% - Accent4 7 2 5" xfId="9944" xr:uid="{00000000-0005-0000-0000-000045280000}"/>
    <cellStyle name="20% - Accent4 7 3" xfId="9945" xr:uid="{00000000-0005-0000-0000-000046280000}"/>
    <cellStyle name="20% - Accent4 7 4" xfId="9946" xr:uid="{00000000-0005-0000-0000-000047280000}"/>
    <cellStyle name="20% - Accent4 8" xfId="9947" xr:uid="{00000000-0005-0000-0000-000048280000}"/>
    <cellStyle name="20% - Accent4 8 2" xfId="9948" xr:uid="{00000000-0005-0000-0000-000049280000}"/>
    <cellStyle name="20% - Accent4 8 2 2" xfId="9949" xr:uid="{00000000-0005-0000-0000-00004A280000}"/>
    <cellStyle name="20% - Accent4 8 2 3" xfId="9950" xr:uid="{00000000-0005-0000-0000-00004B280000}"/>
    <cellStyle name="20% - Accent4 8 2 4" xfId="9951" xr:uid="{00000000-0005-0000-0000-00004C280000}"/>
    <cellStyle name="20% - Accent4 8 2 5" xfId="9952" xr:uid="{00000000-0005-0000-0000-00004D280000}"/>
    <cellStyle name="20% - Accent4 8 3" xfId="9953" xr:uid="{00000000-0005-0000-0000-00004E280000}"/>
    <cellStyle name="20% - Accent4 8 4" xfId="9954" xr:uid="{00000000-0005-0000-0000-00004F280000}"/>
    <cellStyle name="20% - Accent4 9" xfId="9955" xr:uid="{00000000-0005-0000-0000-000050280000}"/>
    <cellStyle name="20% - Accent4 9 2" xfId="9956" xr:uid="{00000000-0005-0000-0000-000051280000}"/>
    <cellStyle name="20% - Accent4 9 3" xfId="9957" xr:uid="{00000000-0005-0000-0000-000052280000}"/>
    <cellStyle name="20% - Accent4 9 4" xfId="9958" xr:uid="{00000000-0005-0000-0000-000053280000}"/>
    <cellStyle name="20% - Accent4 9 5" xfId="9959" xr:uid="{00000000-0005-0000-0000-000054280000}"/>
    <cellStyle name="20% - Accent5 10" xfId="9960" xr:uid="{00000000-0005-0000-0000-000055280000}"/>
    <cellStyle name="20% - Accent5 10 2" xfId="9961" xr:uid="{00000000-0005-0000-0000-000056280000}"/>
    <cellStyle name="20% - Accent5 10 3" xfId="9962" xr:uid="{00000000-0005-0000-0000-000057280000}"/>
    <cellStyle name="20% - Accent5 10 4" xfId="9963" xr:uid="{00000000-0005-0000-0000-000058280000}"/>
    <cellStyle name="20% - Accent5 10 5" xfId="9964" xr:uid="{00000000-0005-0000-0000-000059280000}"/>
    <cellStyle name="20% - Accent5 11" xfId="9965" xr:uid="{00000000-0005-0000-0000-00005A280000}"/>
    <cellStyle name="20% - Accent5 11 2" xfId="9966" xr:uid="{00000000-0005-0000-0000-00005B280000}"/>
    <cellStyle name="20% - Accent5 11 3" xfId="9967" xr:uid="{00000000-0005-0000-0000-00005C280000}"/>
    <cellStyle name="20% - Accent5 11 4" xfId="9968" xr:uid="{00000000-0005-0000-0000-00005D280000}"/>
    <cellStyle name="20% - Accent5 11 5" xfId="9969" xr:uid="{00000000-0005-0000-0000-00005E280000}"/>
    <cellStyle name="20% - Accent5 12" xfId="9970" xr:uid="{00000000-0005-0000-0000-00005F280000}"/>
    <cellStyle name="20% - Accent5 12 2" xfId="9971" xr:uid="{00000000-0005-0000-0000-000060280000}"/>
    <cellStyle name="20% - Accent5 12 3" xfId="9972" xr:uid="{00000000-0005-0000-0000-000061280000}"/>
    <cellStyle name="20% - Accent5 12 4" xfId="9973" xr:uid="{00000000-0005-0000-0000-000062280000}"/>
    <cellStyle name="20% - Accent5 12 5" xfId="9974" xr:uid="{00000000-0005-0000-0000-000063280000}"/>
    <cellStyle name="20% - Accent5 13" xfId="9975" xr:uid="{00000000-0005-0000-0000-000064280000}"/>
    <cellStyle name="20% - Accent5 13 2" xfId="9976" xr:uid="{00000000-0005-0000-0000-000065280000}"/>
    <cellStyle name="20% - Accent5 13 3" xfId="9977" xr:uid="{00000000-0005-0000-0000-000066280000}"/>
    <cellStyle name="20% - Accent5 13 4" xfId="9978" xr:uid="{00000000-0005-0000-0000-000067280000}"/>
    <cellStyle name="20% - Accent5 13 5" xfId="9979" xr:uid="{00000000-0005-0000-0000-000068280000}"/>
    <cellStyle name="20% - Accent5 14" xfId="9980" xr:uid="{00000000-0005-0000-0000-000069280000}"/>
    <cellStyle name="20% - Accent5 14 2" xfId="9981" xr:uid="{00000000-0005-0000-0000-00006A280000}"/>
    <cellStyle name="20% - Accent5 14 3" xfId="9982" xr:uid="{00000000-0005-0000-0000-00006B280000}"/>
    <cellStyle name="20% - Accent5 14 4" xfId="9983" xr:uid="{00000000-0005-0000-0000-00006C280000}"/>
    <cellStyle name="20% - Accent5 14 5" xfId="9984" xr:uid="{00000000-0005-0000-0000-00006D280000}"/>
    <cellStyle name="20% - Accent5 15" xfId="9985" xr:uid="{00000000-0005-0000-0000-00006E280000}"/>
    <cellStyle name="20% - Accent5 15 2" xfId="9986" xr:uid="{00000000-0005-0000-0000-00006F280000}"/>
    <cellStyle name="20% - Accent5 15 3" xfId="9987" xr:uid="{00000000-0005-0000-0000-000070280000}"/>
    <cellStyle name="20% - Accent5 15 4" xfId="9988" xr:uid="{00000000-0005-0000-0000-000071280000}"/>
    <cellStyle name="20% - Accent5 15 5" xfId="9989" xr:uid="{00000000-0005-0000-0000-000072280000}"/>
    <cellStyle name="20% - Accent5 16" xfId="9990" xr:uid="{00000000-0005-0000-0000-000073280000}"/>
    <cellStyle name="20% - Accent5 16 2" xfId="9991" xr:uid="{00000000-0005-0000-0000-000074280000}"/>
    <cellStyle name="20% - Accent5 16 3" xfId="9992" xr:uid="{00000000-0005-0000-0000-000075280000}"/>
    <cellStyle name="20% - Accent5 16 4" xfId="9993" xr:uid="{00000000-0005-0000-0000-000076280000}"/>
    <cellStyle name="20% - Accent5 16 5" xfId="9994" xr:uid="{00000000-0005-0000-0000-000077280000}"/>
    <cellStyle name="20% - Accent5 17" xfId="9995" xr:uid="{00000000-0005-0000-0000-000078280000}"/>
    <cellStyle name="20% - Accent5 17 2" xfId="9996" xr:uid="{00000000-0005-0000-0000-000079280000}"/>
    <cellStyle name="20% - Accent5 17 3" xfId="9997" xr:uid="{00000000-0005-0000-0000-00007A280000}"/>
    <cellStyle name="20% - Accent5 17 4" xfId="9998" xr:uid="{00000000-0005-0000-0000-00007B280000}"/>
    <cellStyle name="20% - Accent5 17 5" xfId="9999" xr:uid="{00000000-0005-0000-0000-00007C280000}"/>
    <cellStyle name="20% - Accent5 18" xfId="10000" xr:uid="{00000000-0005-0000-0000-00007D280000}"/>
    <cellStyle name="20% - Accent5 18 2" xfId="10001" xr:uid="{00000000-0005-0000-0000-00007E280000}"/>
    <cellStyle name="20% - Accent5 18 3" xfId="10002" xr:uid="{00000000-0005-0000-0000-00007F280000}"/>
    <cellStyle name="20% - Accent5 18 4" xfId="10003" xr:uid="{00000000-0005-0000-0000-000080280000}"/>
    <cellStyle name="20% - Accent5 18 5" xfId="10004" xr:uid="{00000000-0005-0000-0000-000081280000}"/>
    <cellStyle name="20% - Accent5 19" xfId="10005" xr:uid="{00000000-0005-0000-0000-000082280000}"/>
    <cellStyle name="20% - Accent5 19 2" xfId="10006" xr:uid="{00000000-0005-0000-0000-000083280000}"/>
    <cellStyle name="20% - Accent5 19 3" xfId="10007" xr:uid="{00000000-0005-0000-0000-000084280000}"/>
    <cellStyle name="20% - Accent5 19 4" xfId="10008" xr:uid="{00000000-0005-0000-0000-000085280000}"/>
    <cellStyle name="20% - Accent5 19 5" xfId="10009" xr:uid="{00000000-0005-0000-0000-000086280000}"/>
    <cellStyle name="20% - Accent5 2" xfId="10010" xr:uid="{00000000-0005-0000-0000-000087280000}"/>
    <cellStyle name="20% - Accent5 2 2" xfId="10011" xr:uid="{00000000-0005-0000-0000-000088280000}"/>
    <cellStyle name="20% - Accent5 2 2 2" xfId="10012" xr:uid="{00000000-0005-0000-0000-000089280000}"/>
    <cellStyle name="20% - Accent5 2 2 3" xfId="10013" xr:uid="{00000000-0005-0000-0000-00008A280000}"/>
    <cellStyle name="20% - Accent5 2 2 4" xfId="10014" xr:uid="{00000000-0005-0000-0000-00008B280000}"/>
    <cellStyle name="20% - Accent5 2 2 5" xfId="10015" xr:uid="{00000000-0005-0000-0000-00008C280000}"/>
    <cellStyle name="20% - Accent5 2 3" xfId="10016" xr:uid="{00000000-0005-0000-0000-00008D280000}"/>
    <cellStyle name="20% - Accent5 2 3 2" xfId="10017" xr:uid="{00000000-0005-0000-0000-00008E280000}"/>
    <cellStyle name="20% - Accent5 2 3 3" xfId="10018" xr:uid="{00000000-0005-0000-0000-00008F280000}"/>
    <cellStyle name="20% - Accent5 2 3 4" xfId="10019" xr:uid="{00000000-0005-0000-0000-000090280000}"/>
    <cellStyle name="20% - Accent5 2 4" xfId="10020" xr:uid="{00000000-0005-0000-0000-000091280000}"/>
    <cellStyle name="20% - Accent5 2 5" xfId="10021" xr:uid="{00000000-0005-0000-0000-000092280000}"/>
    <cellStyle name="20% - Accent5 2 6" xfId="10022" xr:uid="{00000000-0005-0000-0000-000093280000}"/>
    <cellStyle name="20% - Accent5 2 7" xfId="10023" xr:uid="{00000000-0005-0000-0000-000094280000}"/>
    <cellStyle name="20% - Accent5 2 8" xfId="10024" xr:uid="{00000000-0005-0000-0000-000095280000}"/>
    <cellStyle name="20% - Accent5 2_PAQUETE PARA COTIZAR" xfId="10025" xr:uid="{00000000-0005-0000-0000-000096280000}"/>
    <cellStyle name="20% - Accent5 20" xfId="10026" xr:uid="{00000000-0005-0000-0000-000097280000}"/>
    <cellStyle name="20% - Accent5 20 2" xfId="10027" xr:uid="{00000000-0005-0000-0000-000098280000}"/>
    <cellStyle name="20% - Accent5 20 3" xfId="10028" xr:uid="{00000000-0005-0000-0000-000099280000}"/>
    <cellStyle name="20% - Accent5 20 4" xfId="10029" xr:uid="{00000000-0005-0000-0000-00009A280000}"/>
    <cellStyle name="20% - Accent5 20 5" xfId="10030" xr:uid="{00000000-0005-0000-0000-00009B280000}"/>
    <cellStyle name="20% - Accent5 21" xfId="10031" xr:uid="{00000000-0005-0000-0000-00009C280000}"/>
    <cellStyle name="20% - Accent5 21 2" xfId="10032" xr:uid="{00000000-0005-0000-0000-00009D280000}"/>
    <cellStyle name="20% - Accent5 21 3" xfId="10033" xr:uid="{00000000-0005-0000-0000-00009E280000}"/>
    <cellStyle name="20% - Accent5 21 4" xfId="10034" xr:uid="{00000000-0005-0000-0000-00009F280000}"/>
    <cellStyle name="20% - Accent5 21 5" xfId="10035" xr:uid="{00000000-0005-0000-0000-0000A0280000}"/>
    <cellStyle name="20% - Accent5 22" xfId="10036" xr:uid="{00000000-0005-0000-0000-0000A1280000}"/>
    <cellStyle name="20% - Accent5 22 2" xfId="10037" xr:uid="{00000000-0005-0000-0000-0000A2280000}"/>
    <cellStyle name="20% - Accent5 23" xfId="10038" xr:uid="{00000000-0005-0000-0000-0000A3280000}"/>
    <cellStyle name="20% - Accent5 23 2" xfId="10039" xr:uid="{00000000-0005-0000-0000-0000A4280000}"/>
    <cellStyle name="20% - Accent5 24" xfId="10040" xr:uid="{00000000-0005-0000-0000-0000A5280000}"/>
    <cellStyle name="20% - Accent5 24 2" xfId="10041" xr:uid="{00000000-0005-0000-0000-0000A6280000}"/>
    <cellStyle name="20% - Accent5 25" xfId="10042" xr:uid="{00000000-0005-0000-0000-0000A7280000}"/>
    <cellStyle name="20% - Accent5 25 2" xfId="10043" xr:uid="{00000000-0005-0000-0000-0000A8280000}"/>
    <cellStyle name="20% - Accent5 26" xfId="10044" xr:uid="{00000000-0005-0000-0000-0000A9280000}"/>
    <cellStyle name="20% - Accent5 26 2" xfId="10045" xr:uid="{00000000-0005-0000-0000-0000AA280000}"/>
    <cellStyle name="20% - Accent5 27" xfId="10046" xr:uid="{00000000-0005-0000-0000-0000AB280000}"/>
    <cellStyle name="20% - Accent5 27 2" xfId="10047" xr:uid="{00000000-0005-0000-0000-0000AC280000}"/>
    <cellStyle name="20% - Accent5 28" xfId="10048" xr:uid="{00000000-0005-0000-0000-0000AD280000}"/>
    <cellStyle name="20% - Accent5 28 2" xfId="10049" xr:uid="{00000000-0005-0000-0000-0000AE280000}"/>
    <cellStyle name="20% - Accent5 29" xfId="10050" xr:uid="{00000000-0005-0000-0000-0000AF280000}"/>
    <cellStyle name="20% - Accent5 29 2" xfId="10051" xr:uid="{00000000-0005-0000-0000-0000B0280000}"/>
    <cellStyle name="20% - Accent5 29 3" xfId="10052" xr:uid="{00000000-0005-0000-0000-0000B1280000}"/>
    <cellStyle name="20% - Accent5 29 4" xfId="10053" xr:uid="{00000000-0005-0000-0000-0000B2280000}"/>
    <cellStyle name="20% - Accent5 29 5" xfId="10054" xr:uid="{00000000-0005-0000-0000-0000B3280000}"/>
    <cellStyle name="20% - Accent5 3" xfId="10055" xr:uid="{00000000-0005-0000-0000-0000B4280000}"/>
    <cellStyle name="20% - Accent5 3 2" xfId="10056" xr:uid="{00000000-0005-0000-0000-0000B5280000}"/>
    <cellStyle name="20% - Accent5 3 2 2" xfId="10057" xr:uid="{00000000-0005-0000-0000-0000B6280000}"/>
    <cellStyle name="20% - Accent5 3 2 3" xfId="10058" xr:uid="{00000000-0005-0000-0000-0000B7280000}"/>
    <cellStyle name="20% - Accent5 3 2 4" xfId="10059" xr:uid="{00000000-0005-0000-0000-0000B8280000}"/>
    <cellStyle name="20% - Accent5 3 2 5" xfId="10060" xr:uid="{00000000-0005-0000-0000-0000B9280000}"/>
    <cellStyle name="20% - Accent5 3 3" xfId="10061" xr:uid="{00000000-0005-0000-0000-0000BA280000}"/>
    <cellStyle name="20% - Accent5 3 3 2" xfId="10062" xr:uid="{00000000-0005-0000-0000-0000BB280000}"/>
    <cellStyle name="20% - Accent5 3 3 3" xfId="10063" xr:uid="{00000000-0005-0000-0000-0000BC280000}"/>
    <cellStyle name="20% - Accent5 3 3 4" xfId="10064" xr:uid="{00000000-0005-0000-0000-0000BD280000}"/>
    <cellStyle name="20% - Accent5 3 4" xfId="10065" xr:uid="{00000000-0005-0000-0000-0000BE280000}"/>
    <cellStyle name="20% - Accent5 3 5" xfId="10066" xr:uid="{00000000-0005-0000-0000-0000BF280000}"/>
    <cellStyle name="20% - Accent5 3 6" xfId="10067" xr:uid="{00000000-0005-0000-0000-0000C0280000}"/>
    <cellStyle name="20% - Accent5 3 7" xfId="10068" xr:uid="{00000000-0005-0000-0000-0000C1280000}"/>
    <cellStyle name="20% - Accent5 3 8" xfId="10069" xr:uid="{00000000-0005-0000-0000-0000C2280000}"/>
    <cellStyle name="20% - Accent5 3_PAQUETE PARA COTIZAR" xfId="10070" xr:uid="{00000000-0005-0000-0000-0000C3280000}"/>
    <cellStyle name="20% - Accent5 30" xfId="10071" xr:uid="{00000000-0005-0000-0000-0000C4280000}"/>
    <cellStyle name="20% - Accent5 30 2" xfId="10072" xr:uid="{00000000-0005-0000-0000-0000C5280000}"/>
    <cellStyle name="20% - Accent5 31" xfId="10073" xr:uid="{00000000-0005-0000-0000-0000C6280000}"/>
    <cellStyle name="20% - Accent5 32" xfId="10074" xr:uid="{00000000-0005-0000-0000-0000C7280000}"/>
    <cellStyle name="20% - Accent5 33" xfId="10075" xr:uid="{00000000-0005-0000-0000-0000C8280000}"/>
    <cellStyle name="20% - Accent5 34" xfId="10076" xr:uid="{00000000-0005-0000-0000-0000C9280000}"/>
    <cellStyle name="20% - Accent5 4" xfId="10077" xr:uid="{00000000-0005-0000-0000-0000CA280000}"/>
    <cellStyle name="20% - Accent5 4 2" xfId="10078" xr:uid="{00000000-0005-0000-0000-0000CB280000}"/>
    <cellStyle name="20% - Accent5 4 2 2" xfId="10079" xr:uid="{00000000-0005-0000-0000-0000CC280000}"/>
    <cellStyle name="20% - Accent5 4 2 3" xfId="10080" xr:uid="{00000000-0005-0000-0000-0000CD280000}"/>
    <cellStyle name="20% - Accent5 4 2 4" xfId="10081" xr:uid="{00000000-0005-0000-0000-0000CE280000}"/>
    <cellStyle name="20% - Accent5 4 3" xfId="10082" xr:uid="{00000000-0005-0000-0000-0000CF280000}"/>
    <cellStyle name="20% - Accent5 5" xfId="10083" xr:uid="{00000000-0005-0000-0000-0000D0280000}"/>
    <cellStyle name="20% - Accent5 5 2" xfId="10084" xr:uid="{00000000-0005-0000-0000-0000D1280000}"/>
    <cellStyle name="20% - Accent5 5 2 2" xfId="10085" xr:uid="{00000000-0005-0000-0000-0000D2280000}"/>
    <cellStyle name="20% - Accent5 5 2 3" xfId="10086" xr:uid="{00000000-0005-0000-0000-0000D3280000}"/>
    <cellStyle name="20% - Accent5 5 2 4" xfId="10087" xr:uid="{00000000-0005-0000-0000-0000D4280000}"/>
    <cellStyle name="20% - Accent5 5 3" xfId="10088" xr:uid="{00000000-0005-0000-0000-0000D5280000}"/>
    <cellStyle name="20% - Accent5 6" xfId="10089" xr:uid="{00000000-0005-0000-0000-0000D6280000}"/>
    <cellStyle name="20% - Accent5 6 2" xfId="10090" xr:uid="{00000000-0005-0000-0000-0000D7280000}"/>
    <cellStyle name="20% - Accent5 6 2 2" xfId="10091" xr:uid="{00000000-0005-0000-0000-0000D8280000}"/>
    <cellStyle name="20% - Accent5 6 2 3" xfId="10092" xr:uid="{00000000-0005-0000-0000-0000D9280000}"/>
    <cellStyle name="20% - Accent5 6 2 4" xfId="10093" xr:uid="{00000000-0005-0000-0000-0000DA280000}"/>
    <cellStyle name="20% - Accent5 6 3" xfId="10094" xr:uid="{00000000-0005-0000-0000-0000DB280000}"/>
    <cellStyle name="20% - Accent5 7" xfId="10095" xr:uid="{00000000-0005-0000-0000-0000DC280000}"/>
    <cellStyle name="20% - Accent5 7 2" xfId="10096" xr:uid="{00000000-0005-0000-0000-0000DD280000}"/>
    <cellStyle name="20% - Accent5 7 2 2" xfId="10097" xr:uid="{00000000-0005-0000-0000-0000DE280000}"/>
    <cellStyle name="20% - Accent5 7 2 3" xfId="10098" xr:uid="{00000000-0005-0000-0000-0000DF280000}"/>
    <cellStyle name="20% - Accent5 7 2 4" xfId="10099" xr:uid="{00000000-0005-0000-0000-0000E0280000}"/>
    <cellStyle name="20% - Accent5 7 3" xfId="10100" xr:uid="{00000000-0005-0000-0000-0000E1280000}"/>
    <cellStyle name="20% - Accent5 8" xfId="10101" xr:uid="{00000000-0005-0000-0000-0000E2280000}"/>
    <cellStyle name="20% - Accent5 8 2" xfId="10102" xr:uid="{00000000-0005-0000-0000-0000E3280000}"/>
    <cellStyle name="20% - Accent5 8 2 2" xfId="10103" xr:uid="{00000000-0005-0000-0000-0000E4280000}"/>
    <cellStyle name="20% - Accent5 8 2 3" xfId="10104" xr:uid="{00000000-0005-0000-0000-0000E5280000}"/>
    <cellStyle name="20% - Accent5 8 2 4" xfId="10105" xr:uid="{00000000-0005-0000-0000-0000E6280000}"/>
    <cellStyle name="20% - Accent5 8 3" xfId="10106" xr:uid="{00000000-0005-0000-0000-0000E7280000}"/>
    <cellStyle name="20% - Accent5 9" xfId="10107" xr:uid="{00000000-0005-0000-0000-0000E8280000}"/>
    <cellStyle name="20% - Accent5 9 2" xfId="10108" xr:uid="{00000000-0005-0000-0000-0000E9280000}"/>
    <cellStyle name="20% - Accent5 9 3" xfId="10109" xr:uid="{00000000-0005-0000-0000-0000EA280000}"/>
    <cellStyle name="20% - Accent5 9 4" xfId="10110" xr:uid="{00000000-0005-0000-0000-0000EB280000}"/>
    <cellStyle name="20% - Accent5 9 5" xfId="10111" xr:uid="{00000000-0005-0000-0000-0000EC280000}"/>
    <cellStyle name="20% - Accent6 10" xfId="10112" xr:uid="{00000000-0005-0000-0000-0000ED280000}"/>
    <cellStyle name="20% - Accent6 10 2" xfId="10113" xr:uid="{00000000-0005-0000-0000-0000EE280000}"/>
    <cellStyle name="20% - Accent6 10 3" xfId="10114" xr:uid="{00000000-0005-0000-0000-0000EF280000}"/>
    <cellStyle name="20% - Accent6 10 4" xfId="10115" xr:uid="{00000000-0005-0000-0000-0000F0280000}"/>
    <cellStyle name="20% - Accent6 10 5" xfId="10116" xr:uid="{00000000-0005-0000-0000-0000F1280000}"/>
    <cellStyle name="20% - Accent6 11" xfId="10117" xr:uid="{00000000-0005-0000-0000-0000F2280000}"/>
    <cellStyle name="20% - Accent6 11 2" xfId="10118" xr:uid="{00000000-0005-0000-0000-0000F3280000}"/>
    <cellStyle name="20% - Accent6 11 3" xfId="10119" xr:uid="{00000000-0005-0000-0000-0000F4280000}"/>
    <cellStyle name="20% - Accent6 11 4" xfId="10120" xr:uid="{00000000-0005-0000-0000-0000F5280000}"/>
    <cellStyle name="20% - Accent6 11 5" xfId="10121" xr:uid="{00000000-0005-0000-0000-0000F6280000}"/>
    <cellStyle name="20% - Accent6 12" xfId="10122" xr:uid="{00000000-0005-0000-0000-0000F7280000}"/>
    <cellStyle name="20% - Accent6 12 2" xfId="10123" xr:uid="{00000000-0005-0000-0000-0000F8280000}"/>
    <cellStyle name="20% - Accent6 12 3" xfId="10124" xr:uid="{00000000-0005-0000-0000-0000F9280000}"/>
    <cellStyle name="20% - Accent6 12 4" xfId="10125" xr:uid="{00000000-0005-0000-0000-0000FA280000}"/>
    <cellStyle name="20% - Accent6 12 5" xfId="10126" xr:uid="{00000000-0005-0000-0000-0000FB280000}"/>
    <cellStyle name="20% - Accent6 13" xfId="10127" xr:uid="{00000000-0005-0000-0000-0000FC280000}"/>
    <cellStyle name="20% - Accent6 13 2" xfId="10128" xr:uid="{00000000-0005-0000-0000-0000FD280000}"/>
    <cellStyle name="20% - Accent6 13 3" xfId="10129" xr:uid="{00000000-0005-0000-0000-0000FE280000}"/>
    <cellStyle name="20% - Accent6 13 4" xfId="10130" xr:uid="{00000000-0005-0000-0000-0000FF280000}"/>
    <cellStyle name="20% - Accent6 13 5" xfId="10131" xr:uid="{00000000-0005-0000-0000-000000290000}"/>
    <cellStyle name="20% - Accent6 14" xfId="10132" xr:uid="{00000000-0005-0000-0000-000001290000}"/>
    <cellStyle name="20% - Accent6 14 2" xfId="10133" xr:uid="{00000000-0005-0000-0000-000002290000}"/>
    <cellStyle name="20% - Accent6 14 3" xfId="10134" xr:uid="{00000000-0005-0000-0000-000003290000}"/>
    <cellStyle name="20% - Accent6 14 4" xfId="10135" xr:uid="{00000000-0005-0000-0000-000004290000}"/>
    <cellStyle name="20% - Accent6 14 5" xfId="10136" xr:uid="{00000000-0005-0000-0000-000005290000}"/>
    <cellStyle name="20% - Accent6 15" xfId="10137" xr:uid="{00000000-0005-0000-0000-000006290000}"/>
    <cellStyle name="20% - Accent6 15 2" xfId="10138" xr:uid="{00000000-0005-0000-0000-000007290000}"/>
    <cellStyle name="20% - Accent6 15 3" xfId="10139" xr:uid="{00000000-0005-0000-0000-000008290000}"/>
    <cellStyle name="20% - Accent6 15 4" xfId="10140" xr:uid="{00000000-0005-0000-0000-000009290000}"/>
    <cellStyle name="20% - Accent6 15 5" xfId="10141" xr:uid="{00000000-0005-0000-0000-00000A290000}"/>
    <cellStyle name="20% - Accent6 16" xfId="10142" xr:uid="{00000000-0005-0000-0000-00000B290000}"/>
    <cellStyle name="20% - Accent6 16 2" xfId="10143" xr:uid="{00000000-0005-0000-0000-00000C290000}"/>
    <cellStyle name="20% - Accent6 16 3" xfId="10144" xr:uid="{00000000-0005-0000-0000-00000D290000}"/>
    <cellStyle name="20% - Accent6 16 4" xfId="10145" xr:uid="{00000000-0005-0000-0000-00000E290000}"/>
    <cellStyle name="20% - Accent6 16 5" xfId="10146" xr:uid="{00000000-0005-0000-0000-00000F290000}"/>
    <cellStyle name="20% - Accent6 17" xfId="10147" xr:uid="{00000000-0005-0000-0000-000010290000}"/>
    <cellStyle name="20% - Accent6 17 2" xfId="10148" xr:uid="{00000000-0005-0000-0000-000011290000}"/>
    <cellStyle name="20% - Accent6 17 3" xfId="10149" xr:uid="{00000000-0005-0000-0000-000012290000}"/>
    <cellStyle name="20% - Accent6 17 4" xfId="10150" xr:uid="{00000000-0005-0000-0000-000013290000}"/>
    <cellStyle name="20% - Accent6 17 5" xfId="10151" xr:uid="{00000000-0005-0000-0000-000014290000}"/>
    <cellStyle name="20% - Accent6 18" xfId="10152" xr:uid="{00000000-0005-0000-0000-000015290000}"/>
    <cellStyle name="20% - Accent6 18 2" xfId="10153" xr:uid="{00000000-0005-0000-0000-000016290000}"/>
    <cellStyle name="20% - Accent6 18 3" xfId="10154" xr:uid="{00000000-0005-0000-0000-000017290000}"/>
    <cellStyle name="20% - Accent6 18 4" xfId="10155" xr:uid="{00000000-0005-0000-0000-000018290000}"/>
    <cellStyle name="20% - Accent6 18 5" xfId="10156" xr:uid="{00000000-0005-0000-0000-000019290000}"/>
    <cellStyle name="20% - Accent6 19" xfId="10157" xr:uid="{00000000-0005-0000-0000-00001A290000}"/>
    <cellStyle name="20% - Accent6 19 2" xfId="10158" xr:uid="{00000000-0005-0000-0000-00001B290000}"/>
    <cellStyle name="20% - Accent6 19 3" xfId="10159" xr:uid="{00000000-0005-0000-0000-00001C290000}"/>
    <cellStyle name="20% - Accent6 19 4" xfId="10160" xr:uid="{00000000-0005-0000-0000-00001D290000}"/>
    <cellStyle name="20% - Accent6 19 5" xfId="10161" xr:uid="{00000000-0005-0000-0000-00001E290000}"/>
    <cellStyle name="20% - Accent6 2" xfId="10162" xr:uid="{00000000-0005-0000-0000-00001F290000}"/>
    <cellStyle name="20% - Accent6 2 2" xfId="10163" xr:uid="{00000000-0005-0000-0000-000020290000}"/>
    <cellStyle name="20% - Accent6 2 2 2" xfId="10164" xr:uid="{00000000-0005-0000-0000-000021290000}"/>
    <cellStyle name="20% - Accent6 2 2 3" xfId="10165" xr:uid="{00000000-0005-0000-0000-000022290000}"/>
    <cellStyle name="20% - Accent6 2 2 4" xfId="10166" xr:uid="{00000000-0005-0000-0000-000023290000}"/>
    <cellStyle name="20% - Accent6 2 2 5" xfId="10167" xr:uid="{00000000-0005-0000-0000-000024290000}"/>
    <cellStyle name="20% - Accent6 2 3" xfId="10168" xr:uid="{00000000-0005-0000-0000-000025290000}"/>
    <cellStyle name="20% - Accent6 2 3 2" xfId="10169" xr:uid="{00000000-0005-0000-0000-000026290000}"/>
    <cellStyle name="20% - Accent6 2 3 3" xfId="10170" xr:uid="{00000000-0005-0000-0000-000027290000}"/>
    <cellStyle name="20% - Accent6 2 3 4" xfId="10171" xr:uid="{00000000-0005-0000-0000-000028290000}"/>
    <cellStyle name="20% - Accent6 2 4" xfId="10172" xr:uid="{00000000-0005-0000-0000-000029290000}"/>
    <cellStyle name="20% - Accent6 2 5" xfId="10173" xr:uid="{00000000-0005-0000-0000-00002A290000}"/>
    <cellStyle name="20% - Accent6 2 6" xfId="10174" xr:uid="{00000000-0005-0000-0000-00002B290000}"/>
    <cellStyle name="20% - Accent6 2 7" xfId="10175" xr:uid="{00000000-0005-0000-0000-00002C290000}"/>
    <cellStyle name="20% - Accent6 2 8" xfId="10176" xr:uid="{00000000-0005-0000-0000-00002D290000}"/>
    <cellStyle name="20% - Accent6 2_PAQUETE PARA COTIZAR" xfId="10177" xr:uid="{00000000-0005-0000-0000-00002E290000}"/>
    <cellStyle name="20% - Accent6 20" xfId="10178" xr:uid="{00000000-0005-0000-0000-00002F290000}"/>
    <cellStyle name="20% - Accent6 20 2" xfId="10179" xr:uid="{00000000-0005-0000-0000-000030290000}"/>
    <cellStyle name="20% - Accent6 20 3" xfId="10180" xr:uid="{00000000-0005-0000-0000-000031290000}"/>
    <cellStyle name="20% - Accent6 20 4" xfId="10181" xr:uid="{00000000-0005-0000-0000-000032290000}"/>
    <cellStyle name="20% - Accent6 20 5" xfId="10182" xr:uid="{00000000-0005-0000-0000-000033290000}"/>
    <cellStyle name="20% - Accent6 21" xfId="10183" xr:uid="{00000000-0005-0000-0000-000034290000}"/>
    <cellStyle name="20% - Accent6 21 2" xfId="10184" xr:uid="{00000000-0005-0000-0000-000035290000}"/>
    <cellStyle name="20% - Accent6 21 3" xfId="10185" xr:uid="{00000000-0005-0000-0000-000036290000}"/>
    <cellStyle name="20% - Accent6 21 4" xfId="10186" xr:uid="{00000000-0005-0000-0000-000037290000}"/>
    <cellStyle name="20% - Accent6 21 5" xfId="10187" xr:uid="{00000000-0005-0000-0000-000038290000}"/>
    <cellStyle name="20% - Accent6 22" xfId="10188" xr:uid="{00000000-0005-0000-0000-000039290000}"/>
    <cellStyle name="20% - Accent6 22 2" xfId="10189" xr:uid="{00000000-0005-0000-0000-00003A290000}"/>
    <cellStyle name="20% - Accent6 23" xfId="10190" xr:uid="{00000000-0005-0000-0000-00003B290000}"/>
    <cellStyle name="20% - Accent6 23 2" xfId="10191" xr:uid="{00000000-0005-0000-0000-00003C290000}"/>
    <cellStyle name="20% - Accent6 24" xfId="10192" xr:uid="{00000000-0005-0000-0000-00003D290000}"/>
    <cellStyle name="20% - Accent6 24 2" xfId="10193" xr:uid="{00000000-0005-0000-0000-00003E290000}"/>
    <cellStyle name="20% - Accent6 25" xfId="10194" xr:uid="{00000000-0005-0000-0000-00003F290000}"/>
    <cellStyle name="20% - Accent6 25 2" xfId="10195" xr:uid="{00000000-0005-0000-0000-000040290000}"/>
    <cellStyle name="20% - Accent6 26" xfId="10196" xr:uid="{00000000-0005-0000-0000-000041290000}"/>
    <cellStyle name="20% - Accent6 26 2" xfId="10197" xr:uid="{00000000-0005-0000-0000-000042290000}"/>
    <cellStyle name="20% - Accent6 27" xfId="10198" xr:uid="{00000000-0005-0000-0000-000043290000}"/>
    <cellStyle name="20% - Accent6 27 2" xfId="10199" xr:uid="{00000000-0005-0000-0000-000044290000}"/>
    <cellStyle name="20% - Accent6 28" xfId="10200" xr:uid="{00000000-0005-0000-0000-000045290000}"/>
    <cellStyle name="20% - Accent6 28 2" xfId="10201" xr:uid="{00000000-0005-0000-0000-000046290000}"/>
    <cellStyle name="20% - Accent6 29" xfId="10202" xr:uid="{00000000-0005-0000-0000-000047290000}"/>
    <cellStyle name="20% - Accent6 29 2" xfId="10203" xr:uid="{00000000-0005-0000-0000-000048290000}"/>
    <cellStyle name="20% - Accent6 29 3" xfId="10204" xr:uid="{00000000-0005-0000-0000-000049290000}"/>
    <cellStyle name="20% - Accent6 29 4" xfId="10205" xr:uid="{00000000-0005-0000-0000-00004A290000}"/>
    <cellStyle name="20% - Accent6 29 5" xfId="10206" xr:uid="{00000000-0005-0000-0000-00004B290000}"/>
    <cellStyle name="20% - Accent6 3" xfId="10207" xr:uid="{00000000-0005-0000-0000-00004C290000}"/>
    <cellStyle name="20% - Accent6 3 2" xfId="10208" xr:uid="{00000000-0005-0000-0000-00004D290000}"/>
    <cellStyle name="20% - Accent6 3 2 2" xfId="10209" xr:uid="{00000000-0005-0000-0000-00004E290000}"/>
    <cellStyle name="20% - Accent6 3 2 3" xfId="10210" xr:uid="{00000000-0005-0000-0000-00004F290000}"/>
    <cellStyle name="20% - Accent6 3 2 4" xfId="10211" xr:uid="{00000000-0005-0000-0000-000050290000}"/>
    <cellStyle name="20% - Accent6 3 2 5" xfId="10212" xr:uid="{00000000-0005-0000-0000-000051290000}"/>
    <cellStyle name="20% - Accent6 3 3" xfId="10213" xr:uid="{00000000-0005-0000-0000-000052290000}"/>
    <cellStyle name="20% - Accent6 3 3 2" xfId="10214" xr:uid="{00000000-0005-0000-0000-000053290000}"/>
    <cellStyle name="20% - Accent6 3 3 3" xfId="10215" xr:uid="{00000000-0005-0000-0000-000054290000}"/>
    <cellStyle name="20% - Accent6 3 3 4" xfId="10216" xr:uid="{00000000-0005-0000-0000-000055290000}"/>
    <cellStyle name="20% - Accent6 3 4" xfId="10217" xr:uid="{00000000-0005-0000-0000-000056290000}"/>
    <cellStyle name="20% - Accent6 3 5" xfId="10218" xr:uid="{00000000-0005-0000-0000-000057290000}"/>
    <cellStyle name="20% - Accent6 3 6" xfId="10219" xr:uid="{00000000-0005-0000-0000-000058290000}"/>
    <cellStyle name="20% - Accent6 3 7" xfId="10220" xr:uid="{00000000-0005-0000-0000-000059290000}"/>
    <cellStyle name="20% - Accent6 3 8" xfId="10221" xr:uid="{00000000-0005-0000-0000-00005A290000}"/>
    <cellStyle name="20% - Accent6 3_PAQUETE PARA COTIZAR" xfId="10222" xr:uid="{00000000-0005-0000-0000-00005B290000}"/>
    <cellStyle name="20% - Accent6 30" xfId="10223" xr:uid="{00000000-0005-0000-0000-00005C290000}"/>
    <cellStyle name="20% - Accent6 30 2" xfId="10224" xr:uid="{00000000-0005-0000-0000-00005D290000}"/>
    <cellStyle name="20% - Accent6 31" xfId="10225" xr:uid="{00000000-0005-0000-0000-00005E290000}"/>
    <cellStyle name="20% - Accent6 32" xfId="10226" xr:uid="{00000000-0005-0000-0000-00005F290000}"/>
    <cellStyle name="20% - Accent6 33" xfId="10227" xr:uid="{00000000-0005-0000-0000-000060290000}"/>
    <cellStyle name="20% - Accent6 34" xfId="10228" xr:uid="{00000000-0005-0000-0000-000061290000}"/>
    <cellStyle name="20% - Accent6 4" xfId="10229" xr:uid="{00000000-0005-0000-0000-000062290000}"/>
    <cellStyle name="20% - Accent6 4 2" xfId="10230" xr:uid="{00000000-0005-0000-0000-000063290000}"/>
    <cellStyle name="20% - Accent6 4 2 2" xfId="10231" xr:uid="{00000000-0005-0000-0000-000064290000}"/>
    <cellStyle name="20% - Accent6 4 2 3" xfId="10232" xr:uid="{00000000-0005-0000-0000-000065290000}"/>
    <cellStyle name="20% - Accent6 4 2 4" xfId="10233" xr:uid="{00000000-0005-0000-0000-000066290000}"/>
    <cellStyle name="20% - Accent6 4 2 5" xfId="10234" xr:uid="{00000000-0005-0000-0000-000067290000}"/>
    <cellStyle name="20% - Accent6 4 3" xfId="10235" xr:uid="{00000000-0005-0000-0000-000068290000}"/>
    <cellStyle name="20% - Accent6 4 4" xfId="10236" xr:uid="{00000000-0005-0000-0000-000069290000}"/>
    <cellStyle name="20% - Accent6 5" xfId="10237" xr:uid="{00000000-0005-0000-0000-00006A290000}"/>
    <cellStyle name="20% - Accent6 5 2" xfId="10238" xr:uid="{00000000-0005-0000-0000-00006B290000}"/>
    <cellStyle name="20% - Accent6 5 2 2" xfId="10239" xr:uid="{00000000-0005-0000-0000-00006C290000}"/>
    <cellStyle name="20% - Accent6 5 2 3" xfId="10240" xr:uid="{00000000-0005-0000-0000-00006D290000}"/>
    <cellStyle name="20% - Accent6 5 2 4" xfId="10241" xr:uid="{00000000-0005-0000-0000-00006E290000}"/>
    <cellStyle name="20% - Accent6 5 2 5" xfId="10242" xr:uid="{00000000-0005-0000-0000-00006F290000}"/>
    <cellStyle name="20% - Accent6 5 3" xfId="10243" xr:uid="{00000000-0005-0000-0000-000070290000}"/>
    <cellStyle name="20% - Accent6 5 4" xfId="10244" xr:uid="{00000000-0005-0000-0000-000071290000}"/>
    <cellStyle name="20% - Accent6 6" xfId="10245" xr:uid="{00000000-0005-0000-0000-000072290000}"/>
    <cellStyle name="20% - Accent6 6 2" xfId="10246" xr:uid="{00000000-0005-0000-0000-000073290000}"/>
    <cellStyle name="20% - Accent6 6 2 2" xfId="10247" xr:uid="{00000000-0005-0000-0000-000074290000}"/>
    <cellStyle name="20% - Accent6 6 2 3" xfId="10248" xr:uid="{00000000-0005-0000-0000-000075290000}"/>
    <cellStyle name="20% - Accent6 6 2 4" xfId="10249" xr:uid="{00000000-0005-0000-0000-000076290000}"/>
    <cellStyle name="20% - Accent6 6 2 5" xfId="10250" xr:uid="{00000000-0005-0000-0000-000077290000}"/>
    <cellStyle name="20% - Accent6 6 3" xfId="10251" xr:uid="{00000000-0005-0000-0000-000078290000}"/>
    <cellStyle name="20% - Accent6 6 4" xfId="10252" xr:uid="{00000000-0005-0000-0000-000079290000}"/>
    <cellStyle name="20% - Accent6 7" xfId="10253" xr:uid="{00000000-0005-0000-0000-00007A290000}"/>
    <cellStyle name="20% - Accent6 7 2" xfId="10254" xr:uid="{00000000-0005-0000-0000-00007B290000}"/>
    <cellStyle name="20% - Accent6 7 2 2" xfId="10255" xr:uid="{00000000-0005-0000-0000-00007C290000}"/>
    <cellStyle name="20% - Accent6 7 2 3" xfId="10256" xr:uid="{00000000-0005-0000-0000-00007D290000}"/>
    <cellStyle name="20% - Accent6 7 2 4" xfId="10257" xr:uid="{00000000-0005-0000-0000-00007E290000}"/>
    <cellStyle name="20% - Accent6 7 2 5" xfId="10258" xr:uid="{00000000-0005-0000-0000-00007F290000}"/>
    <cellStyle name="20% - Accent6 7 3" xfId="10259" xr:uid="{00000000-0005-0000-0000-000080290000}"/>
    <cellStyle name="20% - Accent6 7 4" xfId="10260" xr:uid="{00000000-0005-0000-0000-000081290000}"/>
    <cellStyle name="20% - Accent6 8" xfId="10261" xr:uid="{00000000-0005-0000-0000-000082290000}"/>
    <cellStyle name="20% - Accent6 8 2" xfId="10262" xr:uid="{00000000-0005-0000-0000-000083290000}"/>
    <cellStyle name="20% - Accent6 8 2 2" xfId="10263" xr:uid="{00000000-0005-0000-0000-000084290000}"/>
    <cellStyle name="20% - Accent6 8 2 3" xfId="10264" xr:uid="{00000000-0005-0000-0000-000085290000}"/>
    <cellStyle name="20% - Accent6 8 2 4" xfId="10265" xr:uid="{00000000-0005-0000-0000-000086290000}"/>
    <cellStyle name="20% - Accent6 8 2 5" xfId="10266" xr:uid="{00000000-0005-0000-0000-000087290000}"/>
    <cellStyle name="20% - Accent6 8 3" xfId="10267" xr:uid="{00000000-0005-0000-0000-000088290000}"/>
    <cellStyle name="20% - Accent6 8 4" xfId="10268" xr:uid="{00000000-0005-0000-0000-000089290000}"/>
    <cellStyle name="20% - Accent6 9" xfId="10269" xr:uid="{00000000-0005-0000-0000-00008A290000}"/>
    <cellStyle name="20% - Accent6 9 2" xfId="10270" xr:uid="{00000000-0005-0000-0000-00008B290000}"/>
    <cellStyle name="20% - Accent6 9 3" xfId="10271" xr:uid="{00000000-0005-0000-0000-00008C290000}"/>
    <cellStyle name="20% - Accent6 9 4" xfId="10272" xr:uid="{00000000-0005-0000-0000-00008D290000}"/>
    <cellStyle name="20% - Accent6 9 5" xfId="10273" xr:uid="{00000000-0005-0000-0000-00008E290000}"/>
    <cellStyle name="20% - akcent 1" xfId="24994" xr:uid="{00000000-0005-0000-0000-00008F290000}"/>
    <cellStyle name="20% - akcent 1 2" xfId="24995" xr:uid="{00000000-0005-0000-0000-000090290000}"/>
    <cellStyle name="20% - akcent 1 3" xfId="24996" xr:uid="{00000000-0005-0000-0000-000091290000}"/>
    <cellStyle name="20% - akcent 2" xfId="24997" xr:uid="{00000000-0005-0000-0000-000092290000}"/>
    <cellStyle name="20% - akcent 2 2" xfId="24998" xr:uid="{00000000-0005-0000-0000-000093290000}"/>
    <cellStyle name="20% - akcent 2 3" xfId="24999" xr:uid="{00000000-0005-0000-0000-000094290000}"/>
    <cellStyle name="20% - akcent 3" xfId="25000" xr:uid="{00000000-0005-0000-0000-000095290000}"/>
    <cellStyle name="20% - akcent 3 2" xfId="25001" xr:uid="{00000000-0005-0000-0000-000096290000}"/>
    <cellStyle name="20% - akcent 3 3" xfId="25002" xr:uid="{00000000-0005-0000-0000-000097290000}"/>
    <cellStyle name="20% - akcent 4" xfId="25003" xr:uid="{00000000-0005-0000-0000-000098290000}"/>
    <cellStyle name="20% - akcent 4 2" xfId="25004" xr:uid="{00000000-0005-0000-0000-000099290000}"/>
    <cellStyle name="20% - akcent 4 3" xfId="25005" xr:uid="{00000000-0005-0000-0000-00009A290000}"/>
    <cellStyle name="20% - akcent 5" xfId="25006" xr:uid="{00000000-0005-0000-0000-00009B290000}"/>
    <cellStyle name="20% - akcent 5 2" xfId="25007" xr:uid="{00000000-0005-0000-0000-00009C290000}"/>
    <cellStyle name="20% - akcent 5 3" xfId="25008" xr:uid="{00000000-0005-0000-0000-00009D290000}"/>
    <cellStyle name="20% - akcent 6" xfId="25009" xr:uid="{00000000-0005-0000-0000-00009E290000}"/>
    <cellStyle name="20% - akcent 6 2" xfId="25010" xr:uid="{00000000-0005-0000-0000-00009F290000}"/>
    <cellStyle name="20% - akcent 6 3" xfId="25011" xr:uid="{00000000-0005-0000-0000-0000A0290000}"/>
    <cellStyle name="20% - Énfasis1" xfId="10274" xr:uid="{00000000-0005-0000-0000-0000A1290000}"/>
    <cellStyle name="20% - Énfasis1 2" xfId="10275" xr:uid="{00000000-0005-0000-0000-0000A2290000}"/>
    <cellStyle name="20% - Énfasis1 2 2" xfId="10276" xr:uid="{00000000-0005-0000-0000-0000A3290000}"/>
    <cellStyle name="20% - Énfasis1 3" xfId="10277" xr:uid="{00000000-0005-0000-0000-0000A4290000}"/>
    <cellStyle name="20% - Énfasis1 4" xfId="10278" xr:uid="{00000000-0005-0000-0000-0000A5290000}"/>
    <cellStyle name="20% - Énfasis1 5" xfId="10279" xr:uid="{00000000-0005-0000-0000-0000A6290000}"/>
    <cellStyle name="20% - Énfasis1_PAQUETE PARA COTIZAR" xfId="10280" xr:uid="{00000000-0005-0000-0000-0000A7290000}"/>
    <cellStyle name="20% - Énfasis2" xfId="10281" xr:uid="{00000000-0005-0000-0000-0000A8290000}"/>
    <cellStyle name="20% - Énfasis2 2" xfId="10282" xr:uid="{00000000-0005-0000-0000-0000A9290000}"/>
    <cellStyle name="20% - Énfasis2 2 2" xfId="10283" xr:uid="{00000000-0005-0000-0000-0000AA290000}"/>
    <cellStyle name="20% - Énfasis2 3" xfId="10284" xr:uid="{00000000-0005-0000-0000-0000AB290000}"/>
    <cellStyle name="20% - Énfasis2 4" xfId="10285" xr:uid="{00000000-0005-0000-0000-0000AC290000}"/>
    <cellStyle name="20% - Énfasis2 5" xfId="10286" xr:uid="{00000000-0005-0000-0000-0000AD290000}"/>
    <cellStyle name="20% - Énfasis2_PAQUETE PARA COTIZAR" xfId="10287" xr:uid="{00000000-0005-0000-0000-0000AE290000}"/>
    <cellStyle name="20% - Énfasis3" xfId="10288" xr:uid="{00000000-0005-0000-0000-0000AF290000}"/>
    <cellStyle name="20% - Énfasis3 2" xfId="10289" xr:uid="{00000000-0005-0000-0000-0000B0290000}"/>
    <cellStyle name="20% - Énfasis3 2 2" xfId="10290" xr:uid="{00000000-0005-0000-0000-0000B1290000}"/>
    <cellStyle name="20% - Énfasis3 3" xfId="10291" xr:uid="{00000000-0005-0000-0000-0000B2290000}"/>
    <cellStyle name="20% - Énfasis3 4" xfId="10292" xr:uid="{00000000-0005-0000-0000-0000B3290000}"/>
    <cellStyle name="20% - Énfasis3 5" xfId="10293" xr:uid="{00000000-0005-0000-0000-0000B4290000}"/>
    <cellStyle name="20% - Énfasis3_PAQUETE PARA COTIZAR" xfId="10294" xr:uid="{00000000-0005-0000-0000-0000B5290000}"/>
    <cellStyle name="20% - Énfasis4" xfId="10295" xr:uid="{00000000-0005-0000-0000-0000B6290000}"/>
    <cellStyle name="20% - Énfasis4 2" xfId="10296" xr:uid="{00000000-0005-0000-0000-0000B7290000}"/>
    <cellStyle name="20% - Énfasis4 2 2" xfId="10297" xr:uid="{00000000-0005-0000-0000-0000B8290000}"/>
    <cellStyle name="20% - Énfasis4 3" xfId="10298" xr:uid="{00000000-0005-0000-0000-0000B9290000}"/>
    <cellStyle name="20% - Énfasis4 4" xfId="10299" xr:uid="{00000000-0005-0000-0000-0000BA290000}"/>
    <cellStyle name="20% - Énfasis4 5" xfId="10300" xr:uid="{00000000-0005-0000-0000-0000BB290000}"/>
    <cellStyle name="20% - Énfasis4_PAQUETE PARA COTIZAR" xfId="10301" xr:uid="{00000000-0005-0000-0000-0000BC290000}"/>
    <cellStyle name="20% - Énfasis5" xfId="10302" xr:uid="{00000000-0005-0000-0000-0000BD290000}"/>
    <cellStyle name="20% - Énfasis5 2" xfId="10303" xr:uid="{00000000-0005-0000-0000-0000BE290000}"/>
    <cellStyle name="20% - Énfasis5 2 2" xfId="10304" xr:uid="{00000000-0005-0000-0000-0000BF290000}"/>
    <cellStyle name="20% - Énfasis5 3" xfId="10305" xr:uid="{00000000-0005-0000-0000-0000C0290000}"/>
    <cellStyle name="20% - Énfasis5 4" xfId="10306" xr:uid="{00000000-0005-0000-0000-0000C1290000}"/>
    <cellStyle name="20% - Énfasis5 5" xfId="10307" xr:uid="{00000000-0005-0000-0000-0000C2290000}"/>
    <cellStyle name="20% - Énfasis5_PAQUETE PARA COTIZAR" xfId="10308" xr:uid="{00000000-0005-0000-0000-0000C3290000}"/>
    <cellStyle name="20% - Énfasis6" xfId="10309" xr:uid="{00000000-0005-0000-0000-0000C4290000}"/>
    <cellStyle name="20% - Énfasis6 2" xfId="10310" xr:uid="{00000000-0005-0000-0000-0000C5290000}"/>
    <cellStyle name="20% - Énfasis6 2 2" xfId="10311" xr:uid="{00000000-0005-0000-0000-0000C6290000}"/>
    <cellStyle name="20% - Énfasis6 3" xfId="10312" xr:uid="{00000000-0005-0000-0000-0000C7290000}"/>
    <cellStyle name="20% - Énfasis6 4" xfId="10313" xr:uid="{00000000-0005-0000-0000-0000C8290000}"/>
    <cellStyle name="20% - Énfasis6 5" xfId="10314" xr:uid="{00000000-0005-0000-0000-0000C9290000}"/>
    <cellStyle name="20% - Énfasis6_PAQUETE PARA COTIZAR" xfId="10315" xr:uid="{00000000-0005-0000-0000-0000CA290000}"/>
    <cellStyle name="20% - 강조색1" xfId="25012" xr:uid="{00000000-0005-0000-0000-0000CB290000}"/>
    <cellStyle name="20% - 강조색1 2" xfId="25013" xr:uid="{00000000-0005-0000-0000-0000CC290000}"/>
    <cellStyle name="20% - 강조색1 3" xfId="25014" xr:uid="{00000000-0005-0000-0000-0000CD290000}"/>
    <cellStyle name="20% - 강조색2" xfId="25015" xr:uid="{00000000-0005-0000-0000-0000CE290000}"/>
    <cellStyle name="20% - 강조색2 2" xfId="25016" xr:uid="{00000000-0005-0000-0000-0000CF290000}"/>
    <cellStyle name="20% - 강조색2 3" xfId="25017" xr:uid="{00000000-0005-0000-0000-0000D0290000}"/>
    <cellStyle name="20% - 강조색3" xfId="25018" xr:uid="{00000000-0005-0000-0000-0000D1290000}"/>
    <cellStyle name="20% - 강조색3 2" xfId="25019" xr:uid="{00000000-0005-0000-0000-0000D2290000}"/>
    <cellStyle name="20% - 강조색3 3" xfId="25020" xr:uid="{00000000-0005-0000-0000-0000D3290000}"/>
    <cellStyle name="20% - 강조색4" xfId="25021" xr:uid="{00000000-0005-0000-0000-0000D4290000}"/>
    <cellStyle name="20% - 강조색4 2" xfId="25022" xr:uid="{00000000-0005-0000-0000-0000D5290000}"/>
    <cellStyle name="20% - 강조색4 3" xfId="25023" xr:uid="{00000000-0005-0000-0000-0000D6290000}"/>
    <cellStyle name="20% - 강조색5" xfId="25024" xr:uid="{00000000-0005-0000-0000-0000D7290000}"/>
    <cellStyle name="20% - 강조색5 2" xfId="25025" xr:uid="{00000000-0005-0000-0000-0000D8290000}"/>
    <cellStyle name="20% - 강조색5 3" xfId="25026" xr:uid="{00000000-0005-0000-0000-0000D9290000}"/>
    <cellStyle name="20% - 강조색6" xfId="25027" xr:uid="{00000000-0005-0000-0000-0000DA290000}"/>
    <cellStyle name="20% - 강조색6 2" xfId="25028" xr:uid="{00000000-0005-0000-0000-0000DB290000}"/>
    <cellStyle name="20% - 강조색6 3" xfId="25029" xr:uid="{00000000-0005-0000-0000-0000DC290000}"/>
    <cellStyle name="20% - 强调文字颜色 1" xfId="10316" xr:uid="{00000000-0005-0000-0000-0000DD290000}"/>
    <cellStyle name="20% - 强调文字颜色 1 2" xfId="10317" xr:uid="{00000000-0005-0000-0000-0000DE290000}"/>
    <cellStyle name="20% - 强调文字颜色 1 2 2" xfId="10318" xr:uid="{00000000-0005-0000-0000-0000DF290000}"/>
    <cellStyle name="20% - 强调文字颜色 1 2 3" xfId="10319" xr:uid="{00000000-0005-0000-0000-0000E0290000}"/>
    <cellStyle name="20% - 强调文字颜色 1 2 4" xfId="10320" xr:uid="{00000000-0005-0000-0000-0000E1290000}"/>
    <cellStyle name="20% - 强调文字颜色 1 2 5" xfId="10321" xr:uid="{00000000-0005-0000-0000-0000E2290000}"/>
    <cellStyle name="20% - 强调文字颜色 1 3" xfId="10322" xr:uid="{00000000-0005-0000-0000-0000E3290000}"/>
    <cellStyle name="20% - 强调文字颜色 1 3 2" xfId="10323" xr:uid="{00000000-0005-0000-0000-0000E4290000}"/>
    <cellStyle name="20% - 强调文字颜色 1 3 3" xfId="10324" xr:uid="{00000000-0005-0000-0000-0000E5290000}"/>
    <cellStyle name="20% - 强调文字颜色 1 4" xfId="10325" xr:uid="{00000000-0005-0000-0000-0000E6290000}"/>
    <cellStyle name="20% - 强调文字颜色 1 5" xfId="10326" xr:uid="{00000000-0005-0000-0000-0000E7290000}"/>
    <cellStyle name="20% - 强调文字颜色 2" xfId="10327" xr:uid="{00000000-0005-0000-0000-0000E8290000}"/>
    <cellStyle name="20% - 强调文字颜色 2 2" xfId="10328" xr:uid="{00000000-0005-0000-0000-0000E9290000}"/>
    <cellStyle name="20% - 强调文字颜色 2 2 2" xfId="10329" xr:uid="{00000000-0005-0000-0000-0000EA290000}"/>
    <cellStyle name="20% - 强调文字颜色 2 2 3" xfId="10330" xr:uid="{00000000-0005-0000-0000-0000EB290000}"/>
    <cellStyle name="20% - 强调文字颜色 2 2 4" xfId="10331" xr:uid="{00000000-0005-0000-0000-0000EC290000}"/>
    <cellStyle name="20% - 强调文字颜色 2 2 5" xfId="10332" xr:uid="{00000000-0005-0000-0000-0000ED290000}"/>
    <cellStyle name="20% - 强调文字颜色 2 3" xfId="10333" xr:uid="{00000000-0005-0000-0000-0000EE290000}"/>
    <cellStyle name="20% - 强调文字颜色 2 3 2" xfId="10334" xr:uid="{00000000-0005-0000-0000-0000EF290000}"/>
    <cellStyle name="20% - 强调文字颜色 2 3 3" xfId="10335" xr:uid="{00000000-0005-0000-0000-0000F0290000}"/>
    <cellStyle name="20% - 强调文字颜色 2 4" xfId="10336" xr:uid="{00000000-0005-0000-0000-0000F1290000}"/>
    <cellStyle name="20% - 强调文字颜色 2 5" xfId="10337" xr:uid="{00000000-0005-0000-0000-0000F2290000}"/>
    <cellStyle name="20% - 强调文字颜色 3" xfId="10338" xr:uid="{00000000-0005-0000-0000-0000F3290000}"/>
    <cellStyle name="20% - 强调文字颜色 3 2" xfId="10339" xr:uid="{00000000-0005-0000-0000-0000F4290000}"/>
    <cellStyle name="20% - 强调文字颜色 3 2 2" xfId="10340" xr:uid="{00000000-0005-0000-0000-0000F5290000}"/>
    <cellStyle name="20% - 强调文字颜色 3 2 3" xfId="10341" xr:uid="{00000000-0005-0000-0000-0000F6290000}"/>
    <cellStyle name="20% - 强调文字颜色 3 2 4" xfId="10342" xr:uid="{00000000-0005-0000-0000-0000F7290000}"/>
    <cellStyle name="20% - 强调文字颜色 3 2 5" xfId="10343" xr:uid="{00000000-0005-0000-0000-0000F8290000}"/>
    <cellStyle name="20% - 强调文字颜色 3 3" xfId="10344" xr:uid="{00000000-0005-0000-0000-0000F9290000}"/>
    <cellStyle name="20% - 强调文字颜色 3 3 2" xfId="10345" xr:uid="{00000000-0005-0000-0000-0000FA290000}"/>
    <cellStyle name="20% - 强调文字颜色 3 3 3" xfId="10346" xr:uid="{00000000-0005-0000-0000-0000FB290000}"/>
    <cellStyle name="20% - 强调文字颜色 3 4" xfId="10347" xr:uid="{00000000-0005-0000-0000-0000FC290000}"/>
    <cellStyle name="20% - 强调文字颜色 3 5" xfId="10348" xr:uid="{00000000-0005-0000-0000-0000FD290000}"/>
    <cellStyle name="20% - 强调文字颜色 4" xfId="10349" xr:uid="{00000000-0005-0000-0000-0000FE290000}"/>
    <cellStyle name="20% - 强调文字颜色 4 2" xfId="10350" xr:uid="{00000000-0005-0000-0000-0000FF290000}"/>
    <cellStyle name="20% - 强调文字颜色 4 2 2" xfId="10351" xr:uid="{00000000-0005-0000-0000-0000002A0000}"/>
    <cellStyle name="20% - 强调文字颜色 4 2 3" xfId="10352" xr:uid="{00000000-0005-0000-0000-0000012A0000}"/>
    <cellStyle name="20% - 强调文字颜色 4 2 4" xfId="10353" xr:uid="{00000000-0005-0000-0000-0000022A0000}"/>
    <cellStyle name="20% - 强调文字颜色 4 2 5" xfId="10354" xr:uid="{00000000-0005-0000-0000-0000032A0000}"/>
    <cellStyle name="20% - 强调文字颜色 4 3" xfId="10355" xr:uid="{00000000-0005-0000-0000-0000042A0000}"/>
    <cellStyle name="20% - 强调文字颜色 4 3 2" xfId="10356" xr:uid="{00000000-0005-0000-0000-0000052A0000}"/>
    <cellStyle name="20% - 强调文字颜色 4 3 3" xfId="10357" xr:uid="{00000000-0005-0000-0000-0000062A0000}"/>
    <cellStyle name="20% - 强调文字颜色 4 4" xfId="10358" xr:uid="{00000000-0005-0000-0000-0000072A0000}"/>
    <cellStyle name="20% - 强调文字颜色 4 5" xfId="10359" xr:uid="{00000000-0005-0000-0000-0000082A0000}"/>
    <cellStyle name="20% - 强调文字颜色 5" xfId="10360" xr:uid="{00000000-0005-0000-0000-0000092A0000}"/>
    <cellStyle name="20% - 强调文字颜色 5 2" xfId="10361" xr:uid="{00000000-0005-0000-0000-00000A2A0000}"/>
    <cellStyle name="20% - 强调文字颜色 5 2 2" xfId="10362" xr:uid="{00000000-0005-0000-0000-00000B2A0000}"/>
    <cellStyle name="20% - 强调文字颜色 5 2 3" xfId="10363" xr:uid="{00000000-0005-0000-0000-00000C2A0000}"/>
    <cellStyle name="20% - 强调文字颜色 5 2 4" xfId="10364" xr:uid="{00000000-0005-0000-0000-00000D2A0000}"/>
    <cellStyle name="20% - 强调文字颜色 5 2 5" xfId="10365" xr:uid="{00000000-0005-0000-0000-00000E2A0000}"/>
    <cellStyle name="20% - 强调文字颜色 5 3" xfId="10366" xr:uid="{00000000-0005-0000-0000-00000F2A0000}"/>
    <cellStyle name="20% - 强调文字颜色 5 3 2" xfId="10367" xr:uid="{00000000-0005-0000-0000-0000102A0000}"/>
    <cellStyle name="20% - 强调文字颜色 5 3 3" xfId="10368" xr:uid="{00000000-0005-0000-0000-0000112A0000}"/>
    <cellStyle name="20% - 强调文字颜色 5 4" xfId="10369" xr:uid="{00000000-0005-0000-0000-0000122A0000}"/>
    <cellStyle name="20% - 强调文字颜色 5 5" xfId="10370" xr:uid="{00000000-0005-0000-0000-0000132A0000}"/>
    <cellStyle name="20% - 强调文字颜色 6" xfId="10371" xr:uid="{00000000-0005-0000-0000-0000142A0000}"/>
    <cellStyle name="20% - 强调文字颜色 6 2" xfId="10372" xr:uid="{00000000-0005-0000-0000-0000152A0000}"/>
    <cellStyle name="20% - 强调文字颜色 6 2 2" xfId="10373" xr:uid="{00000000-0005-0000-0000-0000162A0000}"/>
    <cellStyle name="20% - 强调文字颜色 6 2 3" xfId="10374" xr:uid="{00000000-0005-0000-0000-0000172A0000}"/>
    <cellStyle name="20% - 强调文字颜色 6 2 4" xfId="10375" xr:uid="{00000000-0005-0000-0000-0000182A0000}"/>
    <cellStyle name="20% - 强调文字颜色 6 2 5" xfId="10376" xr:uid="{00000000-0005-0000-0000-0000192A0000}"/>
    <cellStyle name="20% - 强调文字颜色 6 3" xfId="10377" xr:uid="{00000000-0005-0000-0000-00001A2A0000}"/>
    <cellStyle name="20% - 强调文字颜色 6 3 2" xfId="10378" xr:uid="{00000000-0005-0000-0000-00001B2A0000}"/>
    <cellStyle name="20% - 强调文字颜色 6 3 3" xfId="10379" xr:uid="{00000000-0005-0000-0000-00001C2A0000}"/>
    <cellStyle name="20% - 强调文字颜色 6 4" xfId="10380" xr:uid="{00000000-0005-0000-0000-00001D2A0000}"/>
    <cellStyle name="20% - 强调文字颜色 6 5" xfId="10381" xr:uid="{00000000-0005-0000-0000-00001E2A0000}"/>
    <cellStyle name="40 % - Accent1" xfId="10382" xr:uid="{00000000-0005-0000-0000-00001F2A0000}"/>
    <cellStyle name="40 % - Accent2" xfId="10383" xr:uid="{00000000-0005-0000-0000-0000202A0000}"/>
    <cellStyle name="40 % - Accent3" xfId="10384" xr:uid="{00000000-0005-0000-0000-0000212A0000}"/>
    <cellStyle name="40 % - Accent4" xfId="10385" xr:uid="{00000000-0005-0000-0000-0000222A0000}"/>
    <cellStyle name="40 % - Accent5" xfId="10386" xr:uid="{00000000-0005-0000-0000-0000232A0000}"/>
    <cellStyle name="40 % - Accent6" xfId="10387" xr:uid="{00000000-0005-0000-0000-0000242A0000}"/>
    <cellStyle name="40% - Accent1 10" xfId="10388" xr:uid="{00000000-0005-0000-0000-0000252A0000}"/>
    <cellStyle name="40% - Accent1 10 2" xfId="10389" xr:uid="{00000000-0005-0000-0000-0000262A0000}"/>
    <cellStyle name="40% - Accent1 10 3" xfId="10390" xr:uid="{00000000-0005-0000-0000-0000272A0000}"/>
    <cellStyle name="40% - Accent1 10 4" xfId="10391" xr:uid="{00000000-0005-0000-0000-0000282A0000}"/>
    <cellStyle name="40% - Accent1 10 5" xfId="10392" xr:uid="{00000000-0005-0000-0000-0000292A0000}"/>
    <cellStyle name="40% - Accent1 11" xfId="10393" xr:uid="{00000000-0005-0000-0000-00002A2A0000}"/>
    <cellStyle name="40% - Accent1 11 2" xfId="10394" xr:uid="{00000000-0005-0000-0000-00002B2A0000}"/>
    <cellStyle name="40% - Accent1 11 3" xfId="10395" xr:uid="{00000000-0005-0000-0000-00002C2A0000}"/>
    <cellStyle name="40% - Accent1 11 4" xfId="10396" xr:uid="{00000000-0005-0000-0000-00002D2A0000}"/>
    <cellStyle name="40% - Accent1 11 5" xfId="10397" xr:uid="{00000000-0005-0000-0000-00002E2A0000}"/>
    <cellStyle name="40% - Accent1 12" xfId="10398" xr:uid="{00000000-0005-0000-0000-00002F2A0000}"/>
    <cellStyle name="40% - Accent1 12 2" xfId="10399" xr:uid="{00000000-0005-0000-0000-0000302A0000}"/>
    <cellStyle name="40% - Accent1 12 3" xfId="10400" xr:uid="{00000000-0005-0000-0000-0000312A0000}"/>
    <cellStyle name="40% - Accent1 12 4" xfId="10401" xr:uid="{00000000-0005-0000-0000-0000322A0000}"/>
    <cellStyle name="40% - Accent1 12 5" xfId="10402" xr:uid="{00000000-0005-0000-0000-0000332A0000}"/>
    <cellStyle name="40% - Accent1 13" xfId="10403" xr:uid="{00000000-0005-0000-0000-0000342A0000}"/>
    <cellStyle name="40% - Accent1 13 2" xfId="10404" xr:uid="{00000000-0005-0000-0000-0000352A0000}"/>
    <cellStyle name="40% - Accent1 13 3" xfId="10405" xr:uid="{00000000-0005-0000-0000-0000362A0000}"/>
    <cellStyle name="40% - Accent1 13 4" xfId="10406" xr:uid="{00000000-0005-0000-0000-0000372A0000}"/>
    <cellStyle name="40% - Accent1 13 5" xfId="10407" xr:uid="{00000000-0005-0000-0000-0000382A0000}"/>
    <cellStyle name="40% - Accent1 14" xfId="10408" xr:uid="{00000000-0005-0000-0000-0000392A0000}"/>
    <cellStyle name="40% - Accent1 14 2" xfId="10409" xr:uid="{00000000-0005-0000-0000-00003A2A0000}"/>
    <cellStyle name="40% - Accent1 14 3" xfId="10410" xr:uid="{00000000-0005-0000-0000-00003B2A0000}"/>
    <cellStyle name="40% - Accent1 14 4" xfId="10411" xr:uid="{00000000-0005-0000-0000-00003C2A0000}"/>
    <cellStyle name="40% - Accent1 14 5" xfId="10412" xr:uid="{00000000-0005-0000-0000-00003D2A0000}"/>
    <cellStyle name="40% - Accent1 15" xfId="10413" xr:uid="{00000000-0005-0000-0000-00003E2A0000}"/>
    <cellStyle name="40% - Accent1 15 2" xfId="10414" xr:uid="{00000000-0005-0000-0000-00003F2A0000}"/>
    <cellStyle name="40% - Accent1 15 3" xfId="10415" xr:uid="{00000000-0005-0000-0000-0000402A0000}"/>
    <cellStyle name="40% - Accent1 15 4" xfId="10416" xr:uid="{00000000-0005-0000-0000-0000412A0000}"/>
    <cellStyle name="40% - Accent1 15 5" xfId="10417" xr:uid="{00000000-0005-0000-0000-0000422A0000}"/>
    <cellStyle name="40% - Accent1 16" xfId="10418" xr:uid="{00000000-0005-0000-0000-0000432A0000}"/>
    <cellStyle name="40% - Accent1 16 2" xfId="10419" xr:uid="{00000000-0005-0000-0000-0000442A0000}"/>
    <cellStyle name="40% - Accent1 16 3" xfId="10420" xr:uid="{00000000-0005-0000-0000-0000452A0000}"/>
    <cellStyle name="40% - Accent1 16 4" xfId="10421" xr:uid="{00000000-0005-0000-0000-0000462A0000}"/>
    <cellStyle name="40% - Accent1 16 5" xfId="10422" xr:uid="{00000000-0005-0000-0000-0000472A0000}"/>
    <cellStyle name="40% - Accent1 17" xfId="10423" xr:uid="{00000000-0005-0000-0000-0000482A0000}"/>
    <cellStyle name="40% - Accent1 17 2" xfId="10424" xr:uid="{00000000-0005-0000-0000-0000492A0000}"/>
    <cellStyle name="40% - Accent1 17 3" xfId="10425" xr:uid="{00000000-0005-0000-0000-00004A2A0000}"/>
    <cellStyle name="40% - Accent1 17 4" xfId="10426" xr:uid="{00000000-0005-0000-0000-00004B2A0000}"/>
    <cellStyle name="40% - Accent1 17 5" xfId="10427" xr:uid="{00000000-0005-0000-0000-00004C2A0000}"/>
    <cellStyle name="40% - Accent1 18" xfId="10428" xr:uid="{00000000-0005-0000-0000-00004D2A0000}"/>
    <cellStyle name="40% - Accent1 18 2" xfId="10429" xr:uid="{00000000-0005-0000-0000-00004E2A0000}"/>
    <cellStyle name="40% - Accent1 18 3" xfId="10430" xr:uid="{00000000-0005-0000-0000-00004F2A0000}"/>
    <cellStyle name="40% - Accent1 18 4" xfId="10431" xr:uid="{00000000-0005-0000-0000-0000502A0000}"/>
    <cellStyle name="40% - Accent1 18 5" xfId="10432" xr:uid="{00000000-0005-0000-0000-0000512A0000}"/>
    <cellStyle name="40% - Accent1 19" xfId="10433" xr:uid="{00000000-0005-0000-0000-0000522A0000}"/>
    <cellStyle name="40% - Accent1 19 2" xfId="10434" xr:uid="{00000000-0005-0000-0000-0000532A0000}"/>
    <cellStyle name="40% - Accent1 19 3" xfId="10435" xr:uid="{00000000-0005-0000-0000-0000542A0000}"/>
    <cellStyle name="40% - Accent1 19 4" xfId="10436" xr:uid="{00000000-0005-0000-0000-0000552A0000}"/>
    <cellStyle name="40% - Accent1 19 5" xfId="10437" xr:uid="{00000000-0005-0000-0000-0000562A0000}"/>
    <cellStyle name="40% - Accent1 2" xfId="10438" xr:uid="{00000000-0005-0000-0000-0000572A0000}"/>
    <cellStyle name="40% - Accent1 2 2" xfId="10439" xr:uid="{00000000-0005-0000-0000-0000582A0000}"/>
    <cellStyle name="40% - Accent1 2 2 2" xfId="10440" xr:uid="{00000000-0005-0000-0000-0000592A0000}"/>
    <cellStyle name="40% - Accent1 2 2 3" xfId="10441" xr:uid="{00000000-0005-0000-0000-00005A2A0000}"/>
    <cellStyle name="40% - Accent1 2 2 4" xfId="10442" xr:uid="{00000000-0005-0000-0000-00005B2A0000}"/>
    <cellStyle name="40% - Accent1 2 2 5" xfId="10443" xr:uid="{00000000-0005-0000-0000-00005C2A0000}"/>
    <cellStyle name="40% - Accent1 2 3" xfId="10444" xr:uid="{00000000-0005-0000-0000-00005D2A0000}"/>
    <cellStyle name="40% - Accent1 2 3 2" xfId="10445" xr:uid="{00000000-0005-0000-0000-00005E2A0000}"/>
    <cellStyle name="40% - Accent1 2 3 3" xfId="10446" xr:uid="{00000000-0005-0000-0000-00005F2A0000}"/>
    <cellStyle name="40% - Accent1 2 3 4" xfId="10447" xr:uid="{00000000-0005-0000-0000-0000602A0000}"/>
    <cellStyle name="40% - Accent1 2 4" xfId="10448" xr:uid="{00000000-0005-0000-0000-0000612A0000}"/>
    <cellStyle name="40% - Accent1 2 5" xfId="10449" xr:uid="{00000000-0005-0000-0000-0000622A0000}"/>
    <cellStyle name="40% - Accent1 2 6" xfId="10450" xr:uid="{00000000-0005-0000-0000-0000632A0000}"/>
    <cellStyle name="40% - Accent1 2 7" xfId="10451" xr:uid="{00000000-0005-0000-0000-0000642A0000}"/>
    <cellStyle name="40% - Accent1 2 8" xfId="10452" xr:uid="{00000000-0005-0000-0000-0000652A0000}"/>
    <cellStyle name="40% - Accent1 2_PAQUETE PARA COTIZAR" xfId="10453" xr:uid="{00000000-0005-0000-0000-0000662A0000}"/>
    <cellStyle name="40% - Accent1 20" xfId="10454" xr:uid="{00000000-0005-0000-0000-0000672A0000}"/>
    <cellStyle name="40% - Accent1 20 2" xfId="10455" xr:uid="{00000000-0005-0000-0000-0000682A0000}"/>
    <cellStyle name="40% - Accent1 20 3" xfId="10456" xr:uid="{00000000-0005-0000-0000-0000692A0000}"/>
    <cellStyle name="40% - Accent1 20 4" xfId="10457" xr:uid="{00000000-0005-0000-0000-00006A2A0000}"/>
    <cellStyle name="40% - Accent1 20 5" xfId="10458" xr:uid="{00000000-0005-0000-0000-00006B2A0000}"/>
    <cellStyle name="40% - Accent1 21" xfId="10459" xr:uid="{00000000-0005-0000-0000-00006C2A0000}"/>
    <cellStyle name="40% - Accent1 21 2" xfId="10460" xr:uid="{00000000-0005-0000-0000-00006D2A0000}"/>
    <cellStyle name="40% - Accent1 21 3" xfId="10461" xr:uid="{00000000-0005-0000-0000-00006E2A0000}"/>
    <cellStyle name="40% - Accent1 21 4" xfId="10462" xr:uid="{00000000-0005-0000-0000-00006F2A0000}"/>
    <cellStyle name="40% - Accent1 21 5" xfId="10463" xr:uid="{00000000-0005-0000-0000-0000702A0000}"/>
    <cellStyle name="40% - Accent1 22" xfId="10464" xr:uid="{00000000-0005-0000-0000-0000712A0000}"/>
    <cellStyle name="40% - Accent1 22 2" xfId="10465" xr:uid="{00000000-0005-0000-0000-0000722A0000}"/>
    <cellStyle name="40% - Accent1 23" xfId="10466" xr:uid="{00000000-0005-0000-0000-0000732A0000}"/>
    <cellStyle name="40% - Accent1 23 2" xfId="10467" xr:uid="{00000000-0005-0000-0000-0000742A0000}"/>
    <cellStyle name="40% - Accent1 24" xfId="10468" xr:uid="{00000000-0005-0000-0000-0000752A0000}"/>
    <cellStyle name="40% - Accent1 24 2" xfId="10469" xr:uid="{00000000-0005-0000-0000-0000762A0000}"/>
    <cellStyle name="40% - Accent1 25" xfId="10470" xr:uid="{00000000-0005-0000-0000-0000772A0000}"/>
    <cellStyle name="40% - Accent1 25 2" xfId="10471" xr:uid="{00000000-0005-0000-0000-0000782A0000}"/>
    <cellStyle name="40% - Accent1 26" xfId="10472" xr:uid="{00000000-0005-0000-0000-0000792A0000}"/>
    <cellStyle name="40% - Accent1 26 2" xfId="10473" xr:uid="{00000000-0005-0000-0000-00007A2A0000}"/>
    <cellStyle name="40% - Accent1 27" xfId="10474" xr:uid="{00000000-0005-0000-0000-00007B2A0000}"/>
    <cellStyle name="40% - Accent1 27 2" xfId="10475" xr:uid="{00000000-0005-0000-0000-00007C2A0000}"/>
    <cellStyle name="40% - Accent1 28" xfId="10476" xr:uid="{00000000-0005-0000-0000-00007D2A0000}"/>
    <cellStyle name="40% - Accent1 28 2" xfId="10477" xr:uid="{00000000-0005-0000-0000-00007E2A0000}"/>
    <cellStyle name="40% - Accent1 29" xfId="10478" xr:uid="{00000000-0005-0000-0000-00007F2A0000}"/>
    <cellStyle name="40% - Accent1 29 2" xfId="10479" xr:uid="{00000000-0005-0000-0000-0000802A0000}"/>
    <cellStyle name="40% - Accent1 29 3" xfId="10480" xr:uid="{00000000-0005-0000-0000-0000812A0000}"/>
    <cellStyle name="40% - Accent1 29 4" xfId="10481" xr:uid="{00000000-0005-0000-0000-0000822A0000}"/>
    <cellStyle name="40% - Accent1 29 5" xfId="10482" xr:uid="{00000000-0005-0000-0000-0000832A0000}"/>
    <cellStyle name="40% - Accent1 3" xfId="10483" xr:uid="{00000000-0005-0000-0000-0000842A0000}"/>
    <cellStyle name="40% - Accent1 3 2" xfId="10484" xr:uid="{00000000-0005-0000-0000-0000852A0000}"/>
    <cellStyle name="40% - Accent1 3 2 2" xfId="10485" xr:uid="{00000000-0005-0000-0000-0000862A0000}"/>
    <cellStyle name="40% - Accent1 3 2 3" xfId="10486" xr:uid="{00000000-0005-0000-0000-0000872A0000}"/>
    <cellStyle name="40% - Accent1 3 2 4" xfId="10487" xr:uid="{00000000-0005-0000-0000-0000882A0000}"/>
    <cellStyle name="40% - Accent1 3 2 5" xfId="10488" xr:uid="{00000000-0005-0000-0000-0000892A0000}"/>
    <cellStyle name="40% - Accent1 3 3" xfId="10489" xr:uid="{00000000-0005-0000-0000-00008A2A0000}"/>
    <cellStyle name="40% - Accent1 3 3 2" xfId="10490" xr:uid="{00000000-0005-0000-0000-00008B2A0000}"/>
    <cellStyle name="40% - Accent1 3 3 3" xfId="10491" xr:uid="{00000000-0005-0000-0000-00008C2A0000}"/>
    <cellStyle name="40% - Accent1 3 3 4" xfId="10492" xr:uid="{00000000-0005-0000-0000-00008D2A0000}"/>
    <cellStyle name="40% - Accent1 3 4" xfId="10493" xr:uid="{00000000-0005-0000-0000-00008E2A0000}"/>
    <cellStyle name="40% - Accent1 3 5" xfId="10494" xr:uid="{00000000-0005-0000-0000-00008F2A0000}"/>
    <cellStyle name="40% - Accent1 3 6" xfId="10495" xr:uid="{00000000-0005-0000-0000-0000902A0000}"/>
    <cellStyle name="40% - Accent1 3 7" xfId="10496" xr:uid="{00000000-0005-0000-0000-0000912A0000}"/>
    <cellStyle name="40% - Accent1 3 8" xfId="10497" xr:uid="{00000000-0005-0000-0000-0000922A0000}"/>
    <cellStyle name="40% - Accent1 3_PAQUETE PARA COTIZAR" xfId="10498" xr:uid="{00000000-0005-0000-0000-0000932A0000}"/>
    <cellStyle name="40% - Accent1 30" xfId="10499" xr:uid="{00000000-0005-0000-0000-0000942A0000}"/>
    <cellStyle name="40% - Accent1 30 2" xfId="10500" xr:uid="{00000000-0005-0000-0000-0000952A0000}"/>
    <cellStyle name="40% - Accent1 31" xfId="10501" xr:uid="{00000000-0005-0000-0000-0000962A0000}"/>
    <cellStyle name="40% - Accent1 32" xfId="10502" xr:uid="{00000000-0005-0000-0000-0000972A0000}"/>
    <cellStyle name="40% - Accent1 33" xfId="10503" xr:uid="{00000000-0005-0000-0000-0000982A0000}"/>
    <cellStyle name="40% - Accent1 34" xfId="10504" xr:uid="{00000000-0005-0000-0000-0000992A0000}"/>
    <cellStyle name="40% - Accent1 4" xfId="10505" xr:uid="{00000000-0005-0000-0000-00009A2A0000}"/>
    <cellStyle name="40% - Accent1 4 2" xfId="10506" xr:uid="{00000000-0005-0000-0000-00009B2A0000}"/>
    <cellStyle name="40% - Accent1 4 2 2" xfId="10507" xr:uid="{00000000-0005-0000-0000-00009C2A0000}"/>
    <cellStyle name="40% - Accent1 4 2 3" xfId="10508" xr:uid="{00000000-0005-0000-0000-00009D2A0000}"/>
    <cellStyle name="40% - Accent1 4 2 4" xfId="10509" xr:uid="{00000000-0005-0000-0000-00009E2A0000}"/>
    <cellStyle name="40% - Accent1 4 2 5" xfId="10510" xr:uid="{00000000-0005-0000-0000-00009F2A0000}"/>
    <cellStyle name="40% - Accent1 4 3" xfId="10511" xr:uid="{00000000-0005-0000-0000-0000A02A0000}"/>
    <cellStyle name="40% - Accent1 4 4" xfId="10512" xr:uid="{00000000-0005-0000-0000-0000A12A0000}"/>
    <cellStyle name="40% - Accent1 5" xfId="10513" xr:uid="{00000000-0005-0000-0000-0000A22A0000}"/>
    <cellStyle name="40% - Accent1 5 2" xfId="10514" xr:uid="{00000000-0005-0000-0000-0000A32A0000}"/>
    <cellStyle name="40% - Accent1 5 2 2" xfId="10515" xr:uid="{00000000-0005-0000-0000-0000A42A0000}"/>
    <cellStyle name="40% - Accent1 5 2 3" xfId="10516" xr:uid="{00000000-0005-0000-0000-0000A52A0000}"/>
    <cellStyle name="40% - Accent1 5 2 4" xfId="10517" xr:uid="{00000000-0005-0000-0000-0000A62A0000}"/>
    <cellStyle name="40% - Accent1 5 2 5" xfId="10518" xr:uid="{00000000-0005-0000-0000-0000A72A0000}"/>
    <cellStyle name="40% - Accent1 5 3" xfId="10519" xr:uid="{00000000-0005-0000-0000-0000A82A0000}"/>
    <cellStyle name="40% - Accent1 5 4" xfId="10520" xr:uid="{00000000-0005-0000-0000-0000A92A0000}"/>
    <cellStyle name="40% - Accent1 6" xfId="10521" xr:uid="{00000000-0005-0000-0000-0000AA2A0000}"/>
    <cellStyle name="40% - Accent1 6 2" xfId="10522" xr:uid="{00000000-0005-0000-0000-0000AB2A0000}"/>
    <cellStyle name="40% - Accent1 6 2 2" xfId="10523" xr:uid="{00000000-0005-0000-0000-0000AC2A0000}"/>
    <cellStyle name="40% - Accent1 6 2 3" xfId="10524" xr:uid="{00000000-0005-0000-0000-0000AD2A0000}"/>
    <cellStyle name="40% - Accent1 6 2 4" xfId="10525" xr:uid="{00000000-0005-0000-0000-0000AE2A0000}"/>
    <cellStyle name="40% - Accent1 6 2 5" xfId="10526" xr:uid="{00000000-0005-0000-0000-0000AF2A0000}"/>
    <cellStyle name="40% - Accent1 6 3" xfId="10527" xr:uid="{00000000-0005-0000-0000-0000B02A0000}"/>
    <cellStyle name="40% - Accent1 6 4" xfId="10528" xr:uid="{00000000-0005-0000-0000-0000B12A0000}"/>
    <cellStyle name="40% - Accent1 7" xfId="10529" xr:uid="{00000000-0005-0000-0000-0000B22A0000}"/>
    <cellStyle name="40% - Accent1 7 2" xfId="10530" xr:uid="{00000000-0005-0000-0000-0000B32A0000}"/>
    <cellStyle name="40% - Accent1 7 2 2" xfId="10531" xr:uid="{00000000-0005-0000-0000-0000B42A0000}"/>
    <cellStyle name="40% - Accent1 7 2 3" xfId="10532" xr:uid="{00000000-0005-0000-0000-0000B52A0000}"/>
    <cellStyle name="40% - Accent1 7 2 4" xfId="10533" xr:uid="{00000000-0005-0000-0000-0000B62A0000}"/>
    <cellStyle name="40% - Accent1 7 2 5" xfId="10534" xr:uid="{00000000-0005-0000-0000-0000B72A0000}"/>
    <cellStyle name="40% - Accent1 7 3" xfId="10535" xr:uid="{00000000-0005-0000-0000-0000B82A0000}"/>
    <cellStyle name="40% - Accent1 7 4" xfId="10536" xr:uid="{00000000-0005-0000-0000-0000B92A0000}"/>
    <cellStyle name="40% - Accent1 8" xfId="10537" xr:uid="{00000000-0005-0000-0000-0000BA2A0000}"/>
    <cellStyle name="40% - Accent1 8 2" xfId="10538" xr:uid="{00000000-0005-0000-0000-0000BB2A0000}"/>
    <cellStyle name="40% - Accent1 8 2 2" xfId="10539" xr:uid="{00000000-0005-0000-0000-0000BC2A0000}"/>
    <cellStyle name="40% - Accent1 8 2 3" xfId="10540" xr:uid="{00000000-0005-0000-0000-0000BD2A0000}"/>
    <cellStyle name="40% - Accent1 8 2 4" xfId="10541" xr:uid="{00000000-0005-0000-0000-0000BE2A0000}"/>
    <cellStyle name="40% - Accent1 8 2 5" xfId="10542" xr:uid="{00000000-0005-0000-0000-0000BF2A0000}"/>
    <cellStyle name="40% - Accent1 8 3" xfId="10543" xr:uid="{00000000-0005-0000-0000-0000C02A0000}"/>
    <cellStyle name="40% - Accent1 8 4" xfId="10544" xr:uid="{00000000-0005-0000-0000-0000C12A0000}"/>
    <cellStyle name="40% - Accent1 9" xfId="10545" xr:uid="{00000000-0005-0000-0000-0000C22A0000}"/>
    <cellStyle name="40% - Accent1 9 2" xfId="10546" xr:uid="{00000000-0005-0000-0000-0000C32A0000}"/>
    <cellStyle name="40% - Accent1 9 3" xfId="10547" xr:uid="{00000000-0005-0000-0000-0000C42A0000}"/>
    <cellStyle name="40% - Accent1 9 4" xfId="10548" xr:uid="{00000000-0005-0000-0000-0000C52A0000}"/>
    <cellStyle name="40% - Accent1 9 5" xfId="10549" xr:uid="{00000000-0005-0000-0000-0000C62A0000}"/>
    <cellStyle name="40% - Accent2 10" xfId="10550" xr:uid="{00000000-0005-0000-0000-0000C72A0000}"/>
    <cellStyle name="40% - Accent2 10 2" xfId="10551" xr:uid="{00000000-0005-0000-0000-0000C82A0000}"/>
    <cellStyle name="40% - Accent2 10 3" xfId="10552" xr:uid="{00000000-0005-0000-0000-0000C92A0000}"/>
    <cellStyle name="40% - Accent2 10 4" xfId="10553" xr:uid="{00000000-0005-0000-0000-0000CA2A0000}"/>
    <cellStyle name="40% - Accent2 10 5" xfId="10554" xr:uid="{00000000-0005-0000-0000-0000CB2A0000}"/>
    <cellStyle name="40% - Accent2 11" xfId="10555" xr:uid="{00000000-0005-0000-0000-0000CC2A0000}"/>
    <cellStyle name="40% - Accent2 11 2" xfId="10556" xr:uid="{00000000-0005-0000-0000-0000CD2A0000}"/>
    <cellStyle name="40% - Accent2 11 3" xfId="10557" xr:uid="{00000000-0005-0000-0000-0000CE2A0000}"/>
    <cellStyle name="40% - Accent2 11 4" xfId="10558" xr:uid="{00000000-0005-0000-0000-0000CF2A0000}"/>
    <cellStyle name="40% - Accent2 11 5" xfId="10559" xr:uid="{00000000-0005-0000-0000-0000D02A0000}"/>
    <cellStyle name="40% - Accent2 12" xfId="10560" xr:uid="{00000000-0005-0000-0000-0000D12A0000}"/>
    <cellStyle name="40% - Accent2 12 2" xfId="10561" xr:uid="{00000000-0005-0000-0000-0000D22A0000}"/>
    <cellStyle name="40% - Accent2 12 3" xfId="10562" xr:uid="{00000000-0005-0000-0000-0000D32A0000}"/>
    <cellStyle name="40% - Accent2 12 4" xfId="10563" xr:uid="{00000000-0005-0000-0000-0000D42A0000}"/>
    <cellStyle name="40% - Accent2 12 5" xfId="10564" xr:uid="{00000000-0005-0000-0000-0000D52A0000}"/>
    <cellStyle name="40% - Accent2 13" xfId="10565" xr:uid="{00000000-0005-0000-0000-0000D62A0000}"/>
    <cellStyle name="40% - Accent2 13 2" xfId="10566" xr:uid="{00000000-0005-0000-0000-0000D72A0000}"/>
    <cellStyle name="40% - Accent2 13 3" xfId="10567" xr:uid="{00000000-0005-0000-0000-0000D82A0000}"/>
    <cellStyle name="40% - Accent2 13 4" xfId="10568" xr:uid="{00000000-0005-0000-0000-0000D92A0000}"/>
    <cellStyle name="40% - Accent2 13 5" xfId="10569" xr:uid="{00000000-0005-0000-0000-0000DA2A0000}"/>
    <cellStyle name="40% - Accent2 14" xfId="10570" xr:uid="{00000000-0005-0000-0000-0000DB2A0000}"/>
    <cellStyle name="40% - Accent2 14 2" xfId="10571" xr:uid="{00000000-0005-0000-0000-0000DC2A0000}"/>
    <cellStyle name="40% - Accent2 14 3" xfId="10572" xr:uid="{00000000-0005-0000-0000-0000DD2A0000}"/>
    <cellStyle name="40% - Accent2 14 4" xfId="10573" xr:uid="{00000000-0005-0000-0000-0000DE2A0000}"/>
    <cellStyle name="40% - Accent2 14 5" xfId="10574" xr:uid="{00000000-0005-0000-0000-0000DF2A0000}"/>
    <cellStyle name="40% - Accent2 15" xfId="10575" xr:uid="{00000000-0005-0000-0000-0000E02A0000}"/>
    <cellStyle name="40% - Accent2 15 2" xfId="10576" xr:uid="{00000000-0005-0000-0000-0000E12A0000}"/>
    <cellStyle name="40% - Accent2 15 3" xfId="10577" xr:uid="{00000000-0005-0000-0000-0000E22A0000}"/>
    <cellStyle name="40% - Accent2 15 4" xfId="10578" xr:uid="{00000000-0005-0000-0000-0000E32A0000}"/>
    <cellStyle name="40% - Accent2 15 5" xfId="10579" xr:uid="{00000000-0005-0000-0000-0000E42A0000}"/>
    <cellStyle name="40% - Accent2 16" xfId="10580" xr:uid="{00000000-0005-0000-0000-0000E52A0000}"/>
    <cellStyle name="40% - Accent2 16 2" xfId="10581" xr:uid="{00000000-0005-0000-0000-0000E62A0000}"/>
    <cellStyle name="40% - Accent2 16 3" xfId="10582" xr:uid="{00000000-0005-0000-0000-0000E72A0000}"/>
    <cellStyle name="40% - Accent2 16 4" xfId="10583" xr:uid="{00000000-0005-0000-0000-0000E82A0000}"/>
    <cellStyle name="40% - Accent2 16 5" xfId="10584" xr:uid="{00000000-0005-0000-0000-0000E92A0000}"/>
    <cellStyle name="40% - Accent2 17" xfId="10585" xr:uid="{00000000-0005-0000-0000-0000EA2A0000}"/>
    <cellStyle name="40% - Accent2 17 2" xfId="10586" xr:uid="{00000000-0005-0000-0000-0000EB2A0000}"/>
    <cellStyle name="40% - Accent2 17 3" xfId="10587" xr:uid="{00000000-0005-0000-0000-0000EC2A0000}"/>
    <cellStyle name="40% - Accent2 17 4" xfId="10588" xr:uid="{00000000-0005-0000-0000-0000ED2A0000}"/>
    <cellStyle name="40% - Accent2 17 5" xfId="10589" xr:uid="{00000000-0005-0000-0000-0000EE2A0000}"/>
    <cellStyle name="40% - Accent2 18" xfId="10590" xr:uid="{00000000-0005-0000-0000-0000EF2A0000}"/>
    <cellStyle name="40% - Accent2 18 2" xfId="10591" xr:uid="{00000000-0005-0000-0000-0000F02A0000}"/>
    <cellStyle name="40% - Accent2 18 3" xfId="10592" xr:uid="{00000000-0005-0000-0000-0000F12A0000}"/>
    <cellStyle name="40% - Accent2 18 4" xfId="10593" xr:uid="{00000000-0005-0000-0000-0000F22A0000}"/>
    <cellStyle name="40% - Accent2 18 5" xfId="10594" xr:uid="{00000000-0005-0000-0000-0000F32A0000}"/>
    <cellStyle name="40% - Accent2 19" xfId="10595" xr:uid="{00000000-0005-0000-0000-0000F42A0000}"/>
    <cellStyle name="40% - Accent2 19 2" xfId="10596" xr:uid="{00000000-0005-0000-0000-0000F52A0000}"/>
    <cellStyle name="40% - Accent2 19 3" xfId="10597" xr:uid="{00000000-0005-0000-0000-0000F62A0000}"/>
    <cellStyle name="40% - Accent2 19 4" xfId="10598" xr:uid="{00000000-0005-0000-0000-0000F72A0000}"/>
    <cellStyle name="40% - Accent2 19 5" xfId="10599" xr:uid="{00000000-0005-0000-0000-0000F82A0000}"/>
    <cellStyle name="40% - Accent2 2" xfId="10600" xr:uid="{00000000-0005-0000-0000-0000F92A0000}"/>
    <cellStyle name="40% - Accent2 2 2" xfId="10601" xr:uid="{00000000-0005-0000-0000-0000FA2A0000}"/>
    <cellStyle name="40% - Accent2 2 2 2" xfId="10602" xr:uid="{00000000-0005-0000-0000-0000FB2A0000}"/>
    <cellStyle name="40% - Accent2 2 2 3" xfId="10603" xr:uid="{00000000-0005-0000-0000-0000FC2A0000}"/>
    <cellStyle name="40% - Accent2 2 2 4" xfId="10604" xr:uid="{00000000-0005-0000-0000-0000FD2A0000}"/>
    <cellStyle name="40% - Accent2 2 2 5" xfId="10605" xr:uid="{00000000-0005-0000-0000-0000FE2A0000}"/>
    <cellStyle name="40% - Accent2 2 3" xfId="10606" xr:uid="{00000000-0005-0000-0000-0000FF2A0000}"/>
    <cellStyle name="40% - Accent2 2 3 2" xfId="10607" xr:uid="{00000000-0005-0000-0000-0000002B0000}"/>
    <cellStyle name="40% - Accent2 2 3 3" xfId="10608" xr:uid="{00000000-0005-0000-0000-0000012B0000}"/>
    <cellStyle name="40% - Accent2 2 3 4" xfId="10609" xr:uid="{00000000-0005-0000-0000-0000022B0000}"/>
    <cellStyle name="40% - Accent2 2 4" xfId="10610" xr:uid="{00000000-0005-0000-0000-0000032B0000}"/>
    <cellStyle name="40% - Accent2 2 5" xfId="10611" xr:uid="{00000000-0005-0000-0000-0000042B0000}"/>
    <cellStyle name="40% - Accent2 2 6" xfId="10612" xr:uid="{00000000-0005-0000-0000-0000052B0000}"/>
    <cellStyle name="40% - Accent2 2 7" xfId="10613" xr:uid="{00000000-0005-0000-0000-0000062B0000}"/>
    <cellStyle name="40% - Accent2 2 8" xfId="10614" xr:uid="{00000000-0005-0000-0000-0000072B0000}"/>
    <cellStyle name="40% - Accent2 2_PAQUETE PARA COTIZAR" xfId="10615" xr:uid="{00000000-0005-0000-0000-0000082B0000}"/>
    <cellStyle name="40% - Accent2 20" xfId="10616" xr:uid="{00000000-0005-0000-0000-0000092B0000}"/>
    <cellStyle name="40% - Accent2 20 2" xfId="10617" xr:uid="{00000000-0005-0000-0000-00000A2B0000}"/>
    <cellStyle name="40% - Accent2 20 3" xfId="10618" xr:uid="{00000000-0005-0000-0000-00000B2B0000}"/>
    <cellStyle name="40% - Accent2 20 4" xfId="10619" xr:uid="{00000000-0005-0000-0000-00000C2B0000}"/>
    <cellStyle name="40% - Accent2 20 5" xfId="10620" xr:uid="{00000000-0005-0000-0000-00000D2B0000}"/>
    <cellStyle name="40% - Accent2 21" xfId="10621" xr:uid="{00000000-0005-0000-0000-00000E2B0000}"/>
    <cellStyle name="40% - Accent2 21 2" xfId="10622" xr:uid="{00000000-0005-0000-0000-00000F2B0000}"/>
    <cellStyle name="40% - Accent2 21 3" xfId="10623" xr:uid="{00000000-0005-0000-0000-0000102B0000}"/>
    <cellStyle name="40% - Accent2 21 4" xfId="10624" xr:uid="{00000000-0005-0000-0000-0000112B0000}"/>
    <cellStyle name="40% - Accent2 21 5" xfId="10625" xr:uid="{00000000-0005-0000-0000-0000122B0000}"/>
    <cellStyle name="40% - Accent2 22" xfId="10626" xr:uid="{00000000-0005-0000-0000-0000132B0000}"/>
    <cellStyle name="40% - Accent2 22 2" xfId="10627" xr:uid="{00000000-0005-0000-0000-0000142B0000}"/>
    <cellStyle name="40% - Accent2 23" xfId="10628" xr:uid="{00000000-0005-0000-0000-0000152B0000}"/>
    <cellStyle name="40% - Accent2 23 2" xfId="10629" xr:uid="{00000000-0005-0000-0000-0000162B0000}"/>
    <cellStyle name="40% - Accent2 24" xfId="10630" xr:uid="{00000000-0005-0000-0000-0000172B0000}"/>
    <cellStyle name="40% - Accent2 24 2" xfId="10631" xr:uid="{00000000-0005-0000-0000-0000182B0000}"/>
    <cellStyle name="40% - Accent2 25" xfId="10632" xr:uid="{00000000-0005-0000-0000-0000192B0000}"/>
    <cellStyle name="40% - Accent2 25 2" xfId="10633" xr:uid="{00000000-0005-0000-0000-00001A2B0000}"/>
    <cellStyle name="40% - Accent2 26" xfId="10634" xr:uid="{00000000-0005-0000-0000-00001B2B0000}"/>
    <cellStyle name="40% - Accent2 26 2" xfId="10635" xr:uid="{00000000-0005-0000-0000-00001C2B0000}"/>
    <cellStyle name="40% - Accent2 27" xfId="10636" xr:uid="{00000000-0005-0000-0000-00001D2B0000}"/>
    <cellStyle name="40% - Accent2 27 2" xfId="10637" xr:uid="{00000000-0005-0000-0000-00001E2B0000}"/>
    <cellStyle name="40% - Accent2 28" xfId="10638" xr:uid="{00000000-0005-0000-0000-00001F2B0000}"/>
    <cellStyle name="40% - Accent2 28 2" xfId="10639" xr:uid="{00000000-0005-0000-0000-0000202B0000}"/>
    <cellStyle name="40% - Accent2 29" xfId="10640" xr:uid="{00000000-0005-0000-0000-0000212B0000}"/>
    <cellStyle name="40% - Accent2 29 2" xfId="10641" xr:uid="{00000000-0005-0000-0000-0000222B0000}"/>
    <cellStyle name="40% - Accent2 29 3" xfId="10642" xr:uid="{00000000-0005-0000-0000-0000232B0000}"/>
    <cellStyle name="40% - Accent2 29 4" xfId="10643" xr:uid="{00000000-0005-0000-0000-0000242B0000}"/>
    <cellStyle name="40% - Accent2 29 5" xfId="10644" xr:uid="{00000000-0005-0000-0000-0000252B0000}"/>
    <cellStyle name="40% - Accent2 3" xfId="10645" xr:uid="{00000000-0005-0000-0000-0000262B0000}"/>
    <cellStyle name="40% - Accent2 3 2" xfId="10646" xr:uid="{00000000-0005-0000-0000-0000272B0000}"/>
    <cellStyle name="40% - Accent2 3 2 2" xfId="10647" xr:uid="{00000000-0005-0000-0000-0000282B0000}"/>
    <cellStyle name="40% - Accent2 3 2 3" xfId="10648" xr:uid="{00000000-0005-0000-0000-0000292B0000}"/>
    <cellStyle name="40% - Accent2 3 2 4" xfId="10649" xr:uid="{00000000-0005-0000-0000-00002A2B0000}"/>
    <cellStyle name="40% - Accent2 3 2 5" xfId="10650" xr:uid="{00000000-0005-0000-0000-00002B2B0000}"/>
    <cellStyle name="40% - Accent2 3 3" xfId="10651" xr:uid="{00000000-0005-0000-0000-00002C2B0000}"/>
    <cellStyle name="40% - Accent2 3 3 2" xfId="10652" xr:uid="{00000000-0005-0000-0000-00002D2B0000}"/>
    <cellStyle name="40% - Accent2 3 3 3" xfId="10653" xr:uid="{00000000-0005-0000-0000-00002E2B0000}"/>
    <cellStyle name="40% - Accent2 3 3 4" xfId="10654" xr:uid="{00000000-0005-0000-0000-00002F2B0000}"/>
    <cellStyle name="40% - Accent2 3 4" xfId="10655" xr:uid="{00000000-0005-0000-0000-0000302B0000}"/>
    <cellStyle name="40% - Accent2 3 5" xfId="10656" xr:uid="{00000000-0005-0000-0000-0000312B0000}"/>
    <cellStyle name="40% - Accent2 3 6" xfId="10657" xr:uid="{00000000-0005-0000-0000-0000322B0000}"/>
    <cellStyle name="40% - Accent2 3 7" xfId="10658" xr:uid="{00000000-0005-0000-0000-0000332B0000}"/>
    <cellStyle name="40% - Accent2 3 8" xfId="10659" xr:uid="{00000000-0005-0000-0000-0000342B0000}"/>
    <cellStyle name="40% - Accent2 3_PAQUETE PARA COTIZAR" xfId="10660" xr:uid="{00000000-0005-0000-0000-0000352B0000}"/>
    <cellStyle name="40% - Accent2 30" xfId="10661" xr:uid="{00000000-0005-0000-0000-0000362B0000}"/>
    <cellStyle name="40% - Accent2 30 2" xfId="10662" xr:uid="{00000000-0005-0000-0000-0000372B0000}"/>
    <cellStyle name="40% - Accent2 31" xfId="10663" xr:uid="{00000000-0005-0000-0000-0000382B0000}"/>
    <cellStyle name="40% - Accent2 32" xfId="10664" xr:uid="{00000000-0005-0000-0000-0000392B0000}"/>
    <cellStyle name="40% - Accent2 33" xfId="10665" xr:uid="{00000000-0005-0000-0000-00003A2B0000}"/>
    <cellStyle name="40% - Accent2 34" xfId="10666" xr:uid="{00000000-0005-0000-0000-00003B2B0000}"/>
    <cellStyle name="40% - Accent2 4" xfId="10667" xr:uid="{00000000-0005-0000-0000-00003C2B0000}"/>
    <cellStyle name="40% - Accent2 4 2" xfId="10668" xr:uid="{00000000-0005-0000-0000-00003D2B0000}"/>
    <cellStyle name="40% - Accent2 4 2 2" xfId="10669" xr:uid="{00000000-0005-0000-0000-00003E2B0000}"/>
    <cellStyle name="40% - Accent2 4 2 3" xfId="10670" xr:uid="{00000000-0005-0000-0000-00003F2B0000}"/>
    <cellStyle name="40% - Accent2 4 2 4" xfId="10671" xr:uid="{00000000-0005-0000-0000-0000402B0000}"/>
    <cellStyle name="40% - Accent2 4 3" xfId="10672" xr:uid="{00000000-0005-0000-0000-0000412B0000}"/>
    <cellStyle name="40% - Accent2 5" xfId="10673" xr:uid="{00000000-0005-0000-0000-0000422B0000}"/>
    <cellStyle name="40% - Accent2 5 2" xfId="10674" xr:uid="{00000000-0005-0000-0000-0000432B0000}"/>
    <cellStyle name="40% - Accent2 5 2 2" xfId="10675" xr:uid="{00000000-0005-0000-0000-0000442B0000}"/>
    <cellStyle name="40% - Accent2 5 2 3" xfId="10676" xr:uid="{00000000-0005-0000-0000-0000452B0000}"/>
    <cellStyle name="40% - Accent2 5 2 4" xfId="10677" xr:uid="{00000000-0005-0000-0000-0000462B0000}"/>
    <cellStyle name="40% - Accent2 5 3" xfId="10678" xr:uid="{00000000-0005-0000-0000-0000472B0000}"/>
    <cellStyle name="40% - Accent2 6" xfId="10679" xr:uid="{00000000-0005-0000-0000-0000482B0000}"/>
    <cellStyle name="40% - Accent2 6 2" xfId="10680" xr:uid="{00000000-0005-0000-0000-0000492B0000}"/>
    <cellStyle name="40% - Accent2 6 2 2" xfId="10681" xr:uid="{00000000-0005-0000-0000-00004A2B0000}"/>
    <cellStyle name="40% - Accent2 6 2 3" xfId="10682" xr:uid="{00000000-0005-0000-0000-00004B2B0000}"/>
    <cellStyle name="40% - Accent2 6 2 4" xfId="10683" xr:uid="{00000000-0005-0000-0000-00004C2B0000}"/>
    <cellStyle name="40% - Accent2 6 3" xfId="10684" xr:uid="{00000000-0005-0000-0000-00004D2B0000}"/>
    <cellStyle name="40% - Accent2 7" xfId="10685" xr:uid="{00000000-0005-0000-0000-00004E2B0000}"/>
    <cellStyle name="40% - Accent2 7 2" xfId="10686" xr:uid="{00000000-0005-0000-0000-00004F2B0000}"/>
    <cellStyle name="40% - Accent2 7 2 2" xfId="10687" xr:uid="{00000000-0005-0000-0000-0000502B0000}"/>
    <cellStyle name="40% - Accent2 7 2 3" xfId="10688" xr:uid="{00000000-0005-0000-0000-0000512B0000}"/>
    <cellStyle name="40% - Accent2 7 2 4" xfId="10689" xr:uid="{00000000-0005-0000-0000-0000522B0000}"/>
    <cellStyle name="40% - Accent2 7 3" xfId="10690" xr:uid="{00000000-0005-0000-0000-0000532B0000}"/>
    <cellStyle name="40% - Accent2 8" xfId="10691" xr:uid="{00000000-0005-0000-0000-0000542B0000}"/>
    <cellStyle name="40% - Accent2 8 2" xfId="10692" xr:uid="{00000000-0005-0000-0000-0000552B0000}"/>
    <cellStyle name="40% - Accent2 8 2 2" xfId="10693" xr:uid="{00000000-0005-0000-0000-0000562B0000}"/>
    <cellStyle name="40% - Accent2 8 2 3" xfId="10694" xr:uid="{00000000-0005-0000-0000-0000572B0000}"/>
    <cellStyle name="40% - Accent2 8 2 4" xfId="10695" xr:uid="{00000000-0005-0000-0000-0000582B0000}"/>
    <cellStyle name="40% - Accent2 8 3" xfId="10696" xr:uid="{00000000-0005-0000-0000-0000592B0000}"/>
    <cellStyle name="40% - Accent2 9" xfId="10697" xr:uid="{00000000-0005-0000-0000-00005A2B0000}"/>
    <cellStyle name="40% - Accent2 9 2" xfId="10698" xr:uid="{00000000-0005-0000-0000-00005B2B0000}"/>
    <cellStyle name="40% - Accent2 9 3" xfId="10699" xr:uid="{00000000-0005-0000-0000-00005C2B0000}"/>
    <cellStyle name="40% - Accent2 9 4" xfId="10700" xr:uid="{00000000-0005-0000-0000-00005D2B0000}"/>
    <cellStyle name="40% - Accent2 9 5" xfId="10701" xr:uid="{00000000-0005-0000-0000-00005E2B0000}"/>
    <cellStyle name="40% - Accent3 10" xfId="10702" xr:uid="{00000000-0005-0000-0000-00005F2B0000}"/>
    <cellStyle name="40% - Accent3 10 2" xfId="10703" xr:uid="{00000000-0005-0000-0000-0000602B0000}"/>
    <cellStyle name="40% - Accent3 10 3" xfId="10704" xr:uid="{00000000-0005-0000-0000-0000612B0000}"/>
    <cellStyle name="40% - Accent3 10 4" xfId="10705" xr:uid="{00000000-0005-0000-0000-0000622B0000}"/>
    <cellStyle name="40% - Accent3 10 5" xfId="10706" xr:uid="{00000000-0005-0000-0000-0000632B0000}"/>
    <cellStyle name="40% - Accent3 11" xfId="10707" xr:uid="{00000000-0005-0000-0000-0000642B0000}"/>
    <cellStyle name="40% - Accent3 11 2" xfId="10708" xr:uid="{00000000-0005-0000-0000-0000652B0000}"/>
    <cellStyle name="40% - Accent3 11 3" xfId="10709" xr:uid="{00000000-0005-0000-0000-0000662B0000}"/>
    <cellStyle name="40% - Accent3 11 4" xfId="10710" xr:uid="{00000000-0005-0000-0000-0000672B0000}"/>
    <cellStyle name="40% - Accent3 11 5" xfId="10711" xr:uid="{00000000-0005-0000-0000-0000682B0000}"/>
    <cellStyle name="40% - Accent3 12" xfId="10712" xr:uid="{00000000-0005-0000-0000-0000692B0000}"/>
    <cellStyle name="40% - Accent3 12 2" xfId="10713" xr:uid="{00000000-0005-0000-0000-00006A2B0000}"/>
    <cellStyle name="40% - Accent3 12 3" xfId="10714" xr:uid="{00000000-0005-0000-0000-00006B2B0000}"/>
    <cellStyle name="40% - Accent3 12 4" xfId="10715" xr:uid="{00000000-0005-0000-0000-00006C2B0000}"/>
    <cellStyle name="40% - Accent3 12 5" xfId="10716" xr:uid="{00000000-0005-0000-0000-00006D2B0000}"/>
    <cellStyle name="40% - Accent3 13" xfId="10717" xr:uid="{00000000-0005-0000-0000-00006E2B0000}"/>
    <cellStyle name="40% - Accent3 13 2" xfId="10718" xr:uid="{00000000-0005-0000-0000-00006F2B0000}"/>
    <cellStyle name="40% - Accent3 13 3" xfId="10719" xr:uid="{00000000-0005-0000-0000-0000702B0000}"/>
    <cellStyle name="40% - Accent3 13 4" xfId="10720" xr:uid="{00000000-0005-0000-0000-0000712B0000}"/>
    <cellStyle name="40% - Accent3 13 5" xfId="10721" xr:uid="{00000000-0005-0000-0000-0000722B0000}"/>
    <cellStyle name="40% - Accent3 14" xfId="10722" xr:uid="{00000000-0005-0000-0000-0000732B0000}"/>
    <cellStyle name="40% - Accent3 14 2" xfId="10723" xr:uid="{00000000-0005-0000-0000-0000742B0000}"/>
    <cellStyle name="40% - Accent3 14 3" xfId="10724" xr:uid="{00000000-0005-0000-0000-0000752B0000}"/>
    <cellStyle name="40% - Accent3 14 4" xfId="10725" xr:uid="{00000000-0005-0000-0000-0000762B0000}"/>
    <cellStyle name="40% - Accent3 14 5" xfId="10726" xr:uid="{00000000-0005-0000-0000-0000772B0000}"/>
    <cellStyle name="40% - Accent3 15" xfId="10727" xr:uid="{00000000-0005-0000-0000-0000782B0000}"/>
    <cellStyle name="40% - Accent3 15 2" xfId="10728" xr:uid="{00000000-0005-0000-0000-0000792B0000}"/>
    <cellStyle name="40% - Accent3 15 3" xfId="10729" xr:uid="{00000000-0005-0000-0000-00007A2B0000}"/>
    <cellStyle name="40% - Accent3 15 4" xfId="10730" xr:uid="{00000000-0005-0000-0000-00007B2B0000}"/>
    <cellStyle name="40% - Accent3 15 5" xfId="10731" xr:uid="{00000000-0005-0000-0000-00007C2B0000}"/>
    <cellStyle name="40% - Accent3 16" xfId="10732" xr:uid="{00000000-0005-0000-0000-00007D2B0000}"/>
    <cellStyle name="40% - Accent3 16 2" xfId="10733" xr:uid="{00000000-0005-0000-0000-00007E2B0000}"/>
    <cellStyle name="40% - Accent3 16 3" xfId="10734" xr:uid="{00000000-0005-0000-0000-00007F2B0000}"/>
    <cellStyle name="40% - Accent3 16 4" xfId="10735" xr:uid="{00000000-0005-0000-0000-0000802B0000}"/>
    <cellStyle name="40% - Accent3 16 5" xfId="10736" xr:uid="{00000000-0005-0000-0000-0000812B0000}"/>
    <cellStyle name="40% - Accent3 17" xfId="10737" xr:uid="{00000000-0005-0000-0000-0000822B0000}"/>
    <cellStyle name="40% - Accent3 17 2" xfId="10738" xr:uid="{00000000-0005-0000-0000-0000832B0000}"/>
    <cellStyle name="40% - Accent3 17 3" xfId="10739" xr:uid="{00000000-0005-0000-0000-0000842B0000}"/>
    <cellStyle name="40% - Accent3 17 4" xfId="10740" xr:uid="{00000000-0005-0000-0000-0000852B0000}"/>
    <cellStyle name="40% - Accent3 17 5" xfId="10741" xr:uid="{00000000-0005-0000-0000-0000862B0000}"/>
    <cellStyle name="40% - Accent3 18" xfId="10742" xr:uid="{00000000-0005-0000-0000-0000872B0000}"/>
    <cellStyle name="40% - Accent3 18 2" xfId="10743" xr:uid="{00000000-0005-0000-0000-0000882B0000}"/>
    <cellStyle name="40% - Accent3 18 3" xfId="10744" xr:uid="{00000000-0005-0000-0000-0000892B0000}"/>
    <cellStyle name="40% - Accent3 18 4" xfId="10745" xr:uid="{00000000-0005-0000-0000-00008A2B0000}"/>
    <cellStyle name="40% - Accent3 18 5" xfId="10746" xr:uid="{00000000-0005-0000-0000-00008B2B0000}"/>
    <cellStyle name="40% - Accent3 19" xfId="10747" xr:uid="{00000000-0005-0000-0000-00008C2B0000}"/>
    <cellStyle name="40% - Accent3 19 2" xfId="10748" xr:uid="{00000000-0005-0000-0000-00008D2B0000}"/>
    <cellStyle name="40% - Accent3 19 3" xfId="10749" xr:uid="{00000000-0005-0000-0000-00008E2B0000}"/>
    <cellStyle name="40% - Accent3 19 4" xfId="10750" xr:uid="{00000000-0005-0000-0000-00008F2B0000}"/>
    <cellStyle name="40% - Accent3 19 5" xfId="10751" xr:uid="{00000000-0005-0000-0000-0000902B0000}"/>
    <cellStyle name="40% - Accent3 2" xfId="10752" xr:uid="{00000000-0005-0000-0000-0000912B0000}"/>
    <cellStyle name="40% - Accent3 2 2" xfId="10753" xr:uid="{00000000-0005-0000-0000-0000922B0000}"/>
    <cellStyle name="40% - Accent3 2 2 2" xfId="10754" xr:uid="{00000000-0005-0000-0000-0000932B0000}"/>
    <cellStyle name="40% - Accent3 2 2 3" xfId="10755" xr:uid="{00000000-0005-0000-0000-0000942B0000}"/>
    <cellStyle name="40% - Accent3 2 2 4" xfId="10756" xr:uid="{00000000-0005-0000-0000-0000952B0000}"/>
    <cellStyle name="40% - Accent3 2 2 5" xfId="10757" xr:uid="{00000000-0005-0000-0000-0000962B0000}"/>
    <cellStyle name="40% - Accent3 2 3" xfId="10758" xr:uid="{00000000-0005-0000-0000-0000972B0000}"/>
    <cellStyle name="40% - Accent3 2 3 2" xfId="10759" xr:uid="{00000000-0005-0000-0000-0000982B0000}"/>
    <cellStyle name="40% - Accent3 2 3 3" xfId="10760" xr:uid="{00000000-0005-0000-0000-0000992B0000}"/>
    <cellStyle name="40% - Accent3 2 3 4" xfId="10761" xr:uid="{00000000-0005-0000-0000-00009A2B0000}"/>
    <cellStyle name="40% - Accent3 2 4" xfId="10762" xr:uid="{00000000-0005-0000-0000-00009B2B0000}"/>
    <cellStyle name="40% - Accent3 2 5" xfId="10763" xr:uid="{00000000-0005-0000-0000-00009C2B0000}"/>
    <cellStyle name="40% - Accent3 2 6" xfId="10764" xr:uid="{00000000-0005-0000-0000-00009D2B0000}"/>
    <cellStyle name="40% - Accent3 2 7" xfId="10765" xr:uid="{00000000-0005-0000-0000-00009E2B0000}"/>
    <cellStyle name="40% - Accent3 2 8" xfId="10766" xr:uid="{00000000-0005-0000-0000-00009F2B0000}"/>
    <cellStyle name="40% - Accent3 2_PAQUETE PARA COTIZAR" xfId="10767" xr:uid="{00000000-0005-0000-0000-0000A02B0000}"/>
    <cellStyle name="40% - Accent3 20" xfId="10768" xr:uid="{00000000-0005-0000-0000-0000A12B0000}"/>
    <cellStyle name="40% - Accent3 20 2" xfId="10769" xr:uid="{00000000-0005-0000-0000-0000A22B0000}"/>
    <cellStyle name="40% - Accent3 20 3" xfId="10770" xr:uid="{00000000-0005-0000-0000-0000A32B0000}"/>
    <cellStyle name="40% - Accent3 20 4" xfId="10771" xr:uid="{00000000-0005-0000-0000-0000A42B0000}"/>
    <cellStyle name="40% - Accent3 20 5" xfId="10772" xr:uid="{00000000-0005-0000-0000-0000A52B0000}"/>
    <cellStyle name="40% - Accent3 21" xfId="10773" xr:uid="{00000000-0005-0000-0000-0000A62B0000}"/>
    <cellStyle name="40% - Accent3 21 2" xfId="10774" xr:uid="{00000000-0005-0000-0000-0000A72B0000}"/>
    <cellStyle name="40% - Accent3 21 3" xfId="10775" xr:uid="{00000000-0005-0000-0000-0000A82B0000}"/>
    <cellStyle name="40% - Accent3 21 4" xfId="10776" xr:uid="{00000000-0005-0000-0000-0000A92B0000}"/>
    <cellStyle name="40% - Accent3 21 5" xfId="10777" xr:uid="{00000000-0005-0000-0000-0000AA2B0000}"/>
    <cellStyle name="40% - Accent3 22" xfId="10778" xr:uid="{00000000-0005-0000-0000-0000AB2B0000}"/>
    <cellStyle name="40% - Accent3 22 2" xfId="10779" xr:uid="{00000000-0005-0000-0000-0000AC2B0000}"/>
    <cellStyle name="40% - Accent3 23" xfId="10780" xr:uid="{00000000-0005-0000-0000-0000AD2B0000}"/>
    <cellStyle name="40% - Accent3 23 2" xfId="10781" xr:uid="{00000000-0005-0000-0000-0000AE2B0000}"/>
    <cellStyle name="40% - Accent3 24" xfId="10782" xr:uid="{00000000-0005-0000-0000-0000AF2B0000}"/>
    <cellStyle name="40% - Accent3 24 2" xfId="10783" xr:uid="{00000000-0005-0000-0000-0000B02B0000}"/>
    <cellStyle name="40% - Accent3 25" xfId="10784" xr:uid="{00000000-0005-0000-0000-0000B12B0000}"/>
    <cellStyle name="40% - Accent3 25 2" xfId="10785" xr:uid="{00000000-0005-0000-0000-0000B22B0000}"/>
    <cellStyle name="40% - Accent3 26" xfId="10786" xr:uid="{00000000-0005-0000-0000-0000B32B0000}"/>
    <cellStyle name="40% - Accent3 26 2" xfId="10787" xr:uid="{00000000-0005-0000-0000-0000B42B0000}"/>
    <cellStyle name="40% - Accent3 27" xfId="10788" xr:uid="{00000000-0005-0000-0000-0000B52B0000}"/>
    <cellStyle name="40% - Accent3 27 2" xfId="10789" xr:uid="{00000000-0005-0000-0000-0000B62B0000}"/>
    <cellStyle name="40% - Accent3 28" xfId="10790" xr:uid="{00000000-0005-0000-0000-0000B72B0000}"/>
    <cellStyle name="40% - Accent3 28 2" xfId="10791" xr:uid="{00000000-0005-0000-0000-0000B82B0000}"/>
    <cellStyle name="40% - Accent3 29" xfId="10792" xr:uid="{00000000-0005-0000-0000-0000B92B0000}"/>
    <cellStyle name="40% - Accent3 29 2" xfId="10793" xr:uid="{00000000-0005-0000-0000-0000BA2B0000}"/>
    <cellStyle name="40% - Accent3 29 3" xfId="10794" xr:uid="{00000000-0005-0000-0000-0000BB2B0000}"/>
    <cellStyle name="40% - Accent3 29 4" xfId="10795" xr:uid="{00000000-0005-0000-0000-0000BC2B0000}"/>
    <cellStyle name="40% - Accent3 29 5" xfId="10796" xr:uid="{00000000-0005-0000-0000-0000BD2B0000}"/>
    <cellStyle name="40% - Accent3 3" xfId="10797" xr:uid="{00000000-0005-0000-0000-0000BE2B0000}"/>
    <cellStyle name="40% - Accent3 3 2" xfId="10798" xr:uid="{00000000-0005-0000-0000-0000BF2B0000}"/>
    <cellStyle name="40% - Accent3 3 2 2" xfId="10799" xr:uid="{00000000-0005-0000-0000-0000C02B0000}"/>
    <cellStyle name="40% - Accent3 3 2 3" xfId="10800" xr:uid="{00000000-0005-0000-0000-0000C12B0000}"/>
    <cellStyle name="40% - Accent3 3 2 4" xfId="10801" xr:uid="{00000000-0005-0000-0000-0000C22B0000}"/>
    <cellStyle name="40% - Accent3 3 2 5" xfId="10802" xr:uid="{00000000-0005-0000-0000-0000C32B0000}"/>
    <cellStyle name="40% - Accent3 3 3" xfId="10803" xr:uid="{00000000-0005-0000-0000-0000C42B0000}"/>
    <cellStyle name="40% - Accent3 3 3 2" xfId="10804" xr:uid="{00000000-0005-0000-0000-0000C52B0000}"/>
    <cellStyle name="40% - Accent3 3 3 3" xfId="10805" xr:uid="{00000000-0005-0000-0000-0000C62B0000}"/>
    <cellStyle name="40% - Accent3 3 3 4" xfId="10806" xr:uid="{00000000-0005-0000-0000-0000C72B0000}"/>
    <cellStyle name="40% - Accent3 3 4" xfId="10807" xr:uid="{00000000-0005-0000-0000-0000C82B0000}"/>
    <cellStyle name="40% - Accent3 3 5" xfId="10808" xr:uid="{00000000-0005-0000-0000-0000C92B0000}"/>
    <cellStyle name="40% - Accent3 3 6" xfId="10809" xr:uid="{00000000-0005-0000-0000-0000CA2B0000}"/>
    <cellStyle name="40% - Accent3 3 7" xfId="10810" xr:uid="{00000000-0005-0000-0000-0000CB2B0000}"/>
    <cellStyle name="40% - Accent3 3 8" xfId="10811" xr:uid="{00000000-0005-0000-0000-0000CC2B0000}"/>
    <cellStyle name="40% - Accent3 3_PAQUETE PARA COTIZAR" xfId="10812" xr:uid="{00000000-0005-0000-0000-0000CD2B0000}"/>
    <cellStyle name="40% - Accent3 30" xfId="10813" xr:uid="{00000000-0005-0000-0000-0000CE2B0000}"/>
    <cellStyle name="40% - Accent3 30 2" xfId="10814" xr:uid="{00000000-0005-0000-0000-0000CF2B0000}"/>
    <cellStyle name="40% - Accent3 31" xfId="10815" xr:uid="{00000000-0005-0000-0000-0000D02B0000}"/>
    <cellStyle name="40% - Accent3 32" xfId="10816" xr:uid="{00000000-0005-0000-0000-0000D12B0000}"/>
    <cellStyle name="40% - Accent3 33" xfId="10817" xr:uid="{00000000-0005-0000-0000-0000D22B0000}"/>
    <cellStyle name="40% - Accent3 34" xfId="10818" xr:uid="{00000000-0005-0000-0000-0000D32B0000}"/>
    <cellStyle name="40% - Accent3 4" xfId="10819" xr:uid="{00000000-0005-0000-0000-0000D42B0000}"/>
    <cellStyle name="40% - Accent3 4 2" xfId="10820" xr:uid="{00000000-0005-0000-0000-0000D52B0000}"/>
    <cellStyle name="40% - Accent3 4 2 2" xfId="10821" xr:uid="{00000000-0005-0000-0000-0000D62B0000}"/>
    <cellStyle name="40% - Accent3 4 2 3" xfId="10822" xr:uid="{00000000-0005-0000-0000-0000D72B0000}"/>
    <cellStyle name="40% - Accent3 4 2 4" xfId="10823" xr:uid="{00000000-0005-0000-0000-0000D82B0000}"/>
    <cellStyle name="40% - Accent3 4 2 5" xfId="10824" xr:uid="{00000000-0005-0000-0000-0000D92B0000}"/>
    <cellStyle name="40% - Accent3 4 3" xfId="10825" xr:uid="{00000000-0005-0000-0000-0000DA2B0000}"/>
    <cellStyle name="40% - Accent3 4 4" xfId="10826" xr:uid="{00000000-0005-0000-0000-0000DB2B0000}"/>
    <cellStyle name="40% - Accent3 5" xfId="10827" xr:uid="{00000000-0005-0000-0000-0000DC2B0000}"/>
    <cellStyle name="40% - Accent3 5 2" xfId="10828" xr:uid="{00000000-0005-0000-0000-0000DD2B0000}"/>
    <cellStyle name="40% - Accent3 5 2 2" xfId="10829" xr:uid="{00000000-0005-0000-0000-0000DE2B0000}"/>
    <cellStyle name="40% - Accent3 5 2 3" xfId="10830" xr:uid="{00000000-0005-0000-0000-0000DF2B0000}"/>
    <cellStyle name="40% - Accent3 5 2 4" xfId="10831" xr:uid="{00000000-0005-0000-0000-0000E02B0000}"/>
    <cellStyle name="40% - Accent3 5 2 5" xfId="10832" xr:uid="{00000000-0005-0000-0000-0000E12B0000}"/>
    <cellStyle name="40% - Accent3 5 3" xfId="10833" xr:uid="{00000000-0005-0000-0000-0000E22B0000}"/>
    <cellStyle name="40% - Accent3 5 4" xfId="10834" xr:uid="{00000000-0005-0000-0000-0000E32B0000}"/>
    <cellStyle name="40% - Accent3 6" xfId="10835" xr:uid="{00000000-0005-0000-0000-0000E42B0000}"/>
    <cellStyle name="40% - Accent3 6 2" xfId="10836" xr:uid="{00000000-0005-0000-0000-0000E52B0000}"/>
    <cellStyle name="40% - Accent3 6 2 2" xfId="10837" xr:uid="{00000000-0005-0000-0000-0000E62B0000}"/>
    <cellStyle name="40% - Accent3 6 2 3" xfId="10838" xr:uid="{00000000-0005-0000-0000-0000E72B0000}"/>
    <cellStyle name="40% - Accent3 6 2 4" xfId="10839" xr:uid="{00000000-0005-0000-0000-0000E82B0000}"/>
    <cellStyle name="40% - Accent3 6 2 5" xfId="10840" xr:uid="{00000000-0005-0000-0000-0000E92B0000}"/>
    <cellStyle name="40% - Accent3 6 3" xfId="10841" xr:uid="{00000000-0005-0000-0000-0000EA2B0000}"/>
    <cellStyle name="40% - Accent3 6 4" xfId="10842" xr:uid="{00000000-0005-0000-0000-0000EB2B0000}"/>
    <cellStyle name="40% - Accent3 7" xfId="10843" xr:uid="{00000000-0005-0000-0000-0000EC2B0000}"/>
    <cellStyle name="40% - Accent3 7 2" xfId="10844" xr:uid="{00000000-0005-0000-0000-0000ED2B0000}"/>
    <cellStyle name="40% - Accent3 7 2 2" xfId="10845" xr:uid="{00000000-0005-0000-0000-0000EE2B0000}"/>
    <cellStyle name="40% - Accent3 7 2 3" xfId="10846" xr:uid="{00000000-0005-0000-0000-0000EF2B0000}"/>
    <cellStyle name="40% - Accent3 7 2 4" xfId="10847" xr:uid="{00000000-0005-0000-0000-0000F02B0000}"/>
    <cellStyle name="40% - Accent3 7 2 5" xfId="10848" xr:uid="{00000000-0005-0000-0000-0000F12B0000}"/>
    <cellStyle name="40% - Accent3 7 3" xfId="10849" xr:uid="{00000000-0005-0000-0000-0000F22B0000}"/>
    <cellStyle name="40% - Accent3 7 4" xfId="10850" xr:uid="{00000000-0005-0000-0000-0000F32B0000}"/>
    <cellStyle name="40% - Accent3 8" xfId="10851" xr:uid="{00000000-0005-0000-0000-0000F42B0000}"/>
    <cellStyle name="40% - Accent3 8 2" xfId="10852" xr:uid="{00000000-0005-0000-0000-0000F52B0000}"/>
    <cellStyle name="40% - Accent3 8 2 2" xfId="10853" xr:uid="{00000000-0005-0000-0000-0000F62B0000}"/>
    <cellStyle name="40% - Accent3 8 2 3" xfId="10854" xr:uid="{00000000-0005-0000-0000-0000F72B0000}"/>
    <cellStyle name="40% - Accent3 8 2 4" xfId="10855" xr:uid="{00000000-0005-0000-0000-0000F82B0000}"/>
    <cellStyle name="40% - Accent3 8 2 5" xfId="10856" xr:uid="{00000000-0005-0000-0000-0000F92B0000}"/>
    <cellStyle name="40% - Accent3 8 3" xfId="10857" xr:uid="{00000000-0005-0000-0000-0000FA2B0000}"/>
    <cellStyle name="40% - Accent3 8 4" xfId="10858" xr:uid="{00000000-0005-0000-0000-0000FB2B0000}"/>
    <cellStyle name="40% - Accent3 9" xfId="10859" xr:uid="{00000000-0005-0000-0000-0000FC2B0000}"/>
    <cellStyle name="40% - Accent3 9 2" xfId="10860" xr:uid="{00000000-0005-0000-0000-0000FD2B0000}"/>
    <cellStyle name="40% - Accent3 9 3" xfId="10861" xr:uid="{00000000-0005-0000-0000-0000FE2B0000}"/>
    <cellStyle name="40% - Accent3 9 4" xfId="10862" xr:uid="{00000000-0005-0000-0000-0000FF2B0000}"/>
    <cellStyle name="40% - Accent3 9 5" xfId="10863" xr:uid="{00000000-0005-0000-0000-0000002C0000}"/>
    <cellStyle name="40% - Accent4 10" xfId="10864" xr:uid="{00000000-0005-0000-0000-0000012C0000}"/>
    <cellStyle name="40% - Accent4 10 2" xfId="10865" xr:uid="{00000000-0005-0000-0000-0000022C0000}"/>
    <cellStyle name="40% - Accent4 10 3" xfId="10866" xr:uid="{00000000-0005-0000-0000-0000032C0000}"/>
    <cellStyle name="40% - Accent4 10 4" xfId="10867" xr:uid="{00000000-0005-0000-0000-0000042C0000}"/>
    <cellStyle name="40% - Accent4 10 5" xfId="10868" xr:uid="{00000000-0005-0000-0000-0000052C0000}"/>
    <cellStyle name="40% - Accent4 11" xfId="10869" xr:uid="{00000000-0005-0000-0000-0000062C0000}"/>
    <cellStyle name="40% - Accent4 11 2" xfId="10870" xr:uid="{00000000-0005-0000-0000-0000072C0000}"/>
    <cellStyle name="40% - Accent4 11 3" xfId="10871" xr:uid="{00000000-0005-0000-0000-0000082C0000}"/>
    <cellStyle name="40% - Accent4 11 4" xfId="10872" xr:uid="{00000000-0005-0000-0000-0000092C0000}"/>
    <cellStyle name="40% - Accent4 11 5" xfId="10873" xr:uid="{00000000-0005-0000-0000-00000A2C0000}"/>
    <cellStyle name="40% - Accent4 12" xfId="10874" xr:uid="{00000000-0005-0000-0000-00000B2C0000}"/>
    <cellStyle name="40% - Accent4 12 2" xfId="10875" xr:uid="{00000000-0005-0000-0000-00000C2C0000}"/>
    <cellStyle name="40% - Accent4 12 3" xfId="10876" xr:uid="{00000000-0005-0000-0000-00000D2C0000}"/>
    <cellStyle name="40% - Accent4 12 4" xfId="10877" xr:uid="{00000000-0005-0000-0000-00000E2C0000}"/>
    <cellStyle name="40% - Accent4 12 5" xfId="10878" xr:uid="{00000000-0005-0000-0000-00000F2C0000}"/>
    <cellStyle name="40% - Accent4 13" xfId="10879" xr:uid="{00000000-0005-0000-0000-0000102C0000}"/>
    <cellStyle name="40% - Accent4 13 2" xfId="10880" xr:uid="{00000000-0005-0000-0000-0000112C0000}"/>
    <cellStyle name="40% - Accent4 13 3" xfId="10881" xr:uid="{00000000-0005-0000-0000-0000122C0000}"/>
    <cellStyle name="40% - Accent4 13 4" xfId="10882" xr:uid="{00000000-0005-0000-0000-0000132C0000}"/>
    <cellStyle name="40% - Accent4 13 5" xfId="10883" xr:uid="{00000000-0005-0000-0000-0000142C0000}"/>
    <cellStyle name="40% - Accent4 14" xfId="10884" xr:uid="{00000000-0005-0000-0000-0000152C0000}"/>
    <cellStyle name="40% - Accent4 14 2" xfId="10885" xr:uid="{00000000-0005-0000-0000-0000162C0000}"/>
    <cellStyle name="40% - Accent4 14 3" xfId="10886" xr:uid="{00000000-0005-0000-0000-0000172C0000}"/>
    <cellStyle name="40% - Accent4 14 4" xfId="10887" xr:uid="{00000000-0005-0000-0000-0000182C0000}"/>
    <cellStyle name="40% - Accent4 14 5" xfId="10888" xr:uid="{00000000-0005-0000-0000-0000192C0000}"/>
    <cellStyle name="40% - Accent4 15" xfId="10889" xr:uid="{00000000-0005-0000-0000-00001A2C0000}"/>
    <cellStyle name="40% - Accent4 15 2" xfId="10890" xr:uid="{00000000-0005-0000-0000-00001B2C0000}"/>
    <cellStyle name="40% - Accent4 15 3" xfId="10891" xr:uid="{00000000-0005-0000-0000-00001C2C0000}"/>
    <cellStyle name="40% - Accent4 15 4" xfId="10892" xr:uid="{00000000-0005-0000-0000-00001D2C0000}"/>
    <cellStyle name="40% - Accent4 15 5" xfId="10893" xr:uid="{00000000-0005-0000-0000-00001E2C0000}"/>
    <cellStyle name="40% - Accent4 16" xfId="10894" xr:uid="{00000000-0005-0000-0000-00001F2C0000}"/>
    <cellStyle name="40% - Accent4 16 2" xfId="10895" xr:uid="{00000000-0005-0000-0000-0000202C0000}"/>
    <cellStyle name="40% - Accent4 16 3" xfId="10896" xr:uid="{00000000-0005-0000-0000-0000212C0000}"/>
    <cellStyle name="40% - Accent4 16 4" xfId="10897" xr:uid="{00000000-0005-0000-0000-0000222C0000}"/>
    <cellStyle name="40% - Accent4 16 5" xfId="10898" xr:uid="{00000000-0005-0000-0000-0000232C0000}"/>
    <cellStyle name="40% - Accent4 17" xfId="10899" xr:uid="{00000000-0005-0000-0000-0000242C0000}"/>
    <cellStyle name="40% - Accent4 17 2" xfId="10900" xr:uid="{00000000-0005-0000-0000-0000252C0000}"/>
    <cellStyle name="40% - Accent4 17 3" xfId="10901" xr:uid="{00000000-0005-0000-0000-0000262C0000}"/>
    <cellStyle name="40% - Accent4 17 4" xfId="10902" xr:uid="{00000000-0005-0000-0000-0000272C0000}"/>
    <cellStyle name="40% - Accent4 17 5" xfId="10903" xr:uid="{00000000-0005-0000-0000-0000282C0000}"/>
    <cellStyle name="40% - Accent4 18" xfId="10904" xr:uid="{00000000-0005-0000-0000-0000292C0000}"/>
    <cellStyle name="40% - Accent4 18 2" xfId="10905" xr:uid="{00000000-0005-0000-0000-00002A2C0000}"/>
    <cellStyle name="40% - Accent4 18 3" xfId="10906" xr:uid="{00000000-0005-0000-0000-00002B2C0000}"/>
    <cellStyle name="40% - Accent4 18 4" xfId="10907" xr:uid="{00000000-0005-0000-0000-00002C2C0000}"/>
    <cellStyle name="40% - Accent4 18 5" xfId="10908" xr:uid="{00000000-0005-0000-0000-00002D2C0000}"/>
    <cellStyle name="40% - Accent4 19" xfId="10909" xr:uid="{00000000-0005-0000-0000-00002E2C0000}"/>
    <cellStyle name="40% - Accent4 19 2" xfId="10910" xr:uid="{00000000-0005-0000-0000-00002F2C0000}"/>
    <cellStyle name="40% - Accent4 19 3" xfId="10911" xr:uid="{00000000-0005-0000-0000-0000302C0000}"/>
    <cellStyle name="40% - Accent4 19 4" xfId="10912" xr:uid="{00000000-0005-0000-0000-0000312C0000}"/>
    <cellStyle name="40% - Accent4 19 5" xfId="10913" xr:uid="{00000000-0005-0000-0000-0000322C0000}"/>
    <cellStyle name="40% - Accent4 2" xfId="10914" xr:uid="{00000000-0005-0000-0000-0000332C0000}"/>
    <cellStyle name="40% - Accent4 2 2" xfId="10915" xr:uid="{00000000-0005-0000-0000-0000342C0000}"/>
    <cellStyle name="40% - Accent4 2 2 2" xfId="10916" xr:uid="{00000000-0005-0000-0000-0000352C0000}"/>
    <cellStyle name="40% - Accent4 2 2 3" xfId="10917" xr:uid="{00000000-0005-0000-0000-0000362C0000}"/>
    <cellStyle name="40% - Accent4 2 2 4" xfId="10918" xr:uid="{00000000-0005-0000-0000-0000372C0000}"/>
    <cellStyle name="40% - Accent4 2 2 5" xfId="10919" xr:uid="{00000000-0005-0000-0000-0000382C0000}"/>
    <cellStyle name="40% - Accent4 2 3" xfId="10920" xr:uid="{00000000-0005-0000-0000-0000392C0000}"/>
    <cellStyle name="40% - Accent4 2 3 2" xfId="10921" xr:uid="{00000000-0005-0000-0000-00003A2C0000}"/>
    <cellStyle name="40% - Accent4 2 3 3" xfId="10922" xr:uid="{00000000-0005-0000-0000-00003B2C0000}"/>
    <cellStyle name="40% - Accent4 2 3 4" xfId="10923" xr:uid="{00000000-0005-0000-0000-00003C2C0000}"/>
    <cellStyle name="40% - Accent4 2 4" xfId="10924" xr:uid="{00000000-0005-0000-0000-00003D2C0000}"/>
    <cellStyle name="40% - Accent4 2 5" xfId="10925" xr:uid="{00000000-0005-0000-0000-00003E2C0000}"/>
    <cellStyle name="40% - Accent4 2 6" xfId="10926" xr:uid="{00000000-0005-0000-0000-00003F2C0000}"/>
    <cellStyle name="40% - Accent4 2 7" xfId="10927" xr:uid="{00000000-0005-0000-0000-0000402C0000}"/>
    <cellStyle name="40% - Accent4 2 8" xfId="10928" xr:uid="{00000000-0005-0000-0000-0000412C0000}"/>
    <cellStyle name="40% - Accent4 2_PAQUETE PARA COTIZAR" xfId="10929" xr:uid="{00000000-0005-0000-0000-0000422C0000}"/>
    <cellStyle name="40% - Accent4 20" xfId="10930" xr:uid="{00000000-0005-0000-0000-0000432C0000}"/>
    <cellStyle name="40% - Accent4 20 2" xfId="10931" xr:uid="{00000000-0005-0000-0000-0000442C0000}"/>
    <cellStyle name="40% - Accent4 20 3" xfId="10932" xr:uid="{00000000-0005-0000-0000-0000452C0000}"/>
    <cellStyle name="40% - Accent4 20 4" xfId="10933" xr:uid="{00000000-0005-0000-0000-0000462C0000}"/>
    <cellStyle name="40% - Accent4 20 5" xfId="10934" xr:uid="{00000000-0005-0000-0000-0000472C0000}"/>
    <cellStyle name="40% - Accent4 21" xfId="10935" xr:uid="{00000000-0005-0000-0000-0000482C0000}"/>
    <cellStyle name="40% - Accent4 21 2" xfId="10936" xr:uid="{00000000-0005-0000-0000-0000492C0000}"/>
    <cellStyle name="40% - Accent4 21 3" xfId="10937" xr:uid="{00000000-0005-0000-0000-00004A2C0000}"/>
    <cellStyle name="40% - Accent4 21 4" xfId="10938" xr:uid="{00000000-0005-0000-0000-00004B2C0000}"/>
    <cellStyle name="40% - Accent4 21 5" xfId="10939" xr:uid="{00000000-0005-0000-0000-00004C2C0000}"/>
    <cellStyle name="40% - Accent4 22" xfId="10940" xr:uid="{00000000-0005-0000-0000-00004D2C0000}"/>
    <cellStyle name="40% - Accent4 22 2" xfId="10941" xr:uid="{00000000-0005-0000-0000-00004E2C0000}"/>
    <cellStyle name="40% - Accent4 23" xfId="10942" xr:uid="{00000000-0005-0000-0000-00004F2C0000}"/>
    <cellStyle name="40% - Accent4 23 2" xfId="10943" xr:uid="{00000000-0005-0000-0000-0000502C0000}"/>
    <cellStyle name="40% - Accent4 24" xfId="10944" xr:uid="{00000000-0005-0000-0000-0000512C0000}"/>
    <cellStyle name="40% - Accent4 24 2" xfId="10945" xr:uid="{00000000-0005-0000-0000-0000522C0000}"/>
    <cellStyle name="40% - Accent4 25" xfId="10946" xr:uid="{00000000-0005-0000-0000-0000532C0000}"/>
    <cellStyle name="40% - Accent4 25 2" xfId="10947" xr:uid="{00000000-0005-0000-0000-0000542C0000}"/>
    <cellStyle name="40% - Accent4 26" xfId="10948" xr:uid="{00000000-0005-0000-0000-0000552C0000}"/>
    <cellStyle name="40% - Accent4 26 2" xfId="10949" xr:uid="{00000000-0005-0000-0000-0000562C0000}"/>
    <cellStyle name="40% - Accent4 27" xfId="10950" xr:uid="{00000000-0005-0000-0000-0000572C0000}"/>
    <cellStyle name="40% - Accent4 27 2" xfId="10951" xr:uid="{00000000-0005-0000-0000-0000582C0000}"/>
    <cellStyle name="40% - Accent4 28" xfId="10952" xr:uid="{00000000-0005-0000-0000-0000592C0000}"/>
    <cellStyle name="40% - Accent4 28 2" xfId="10953" xr:uid="{00000000-0005-0000-0000-00005A2C0000}"/>
    <cellStyle name="40% - Accent4 29" xfId="10954" xr:uid="{00000000-0005-0000-0000-00005B2C0000}"/>
    <cellStyle name="40% - Accent4 29 2" xfId="10955" xr:uid="{00000000-0005-0000-0000-00005C2C0000}"/>
    <cellStyle name="40% - Accent4 29 3" xfId="10956" xr:uid="{00000000-0005-0000-0000-00005D2C0000}"/>
    <cellStyle name="40% - Accent4 29 4" xfId="10957" xr:uid="{00000000-0005-0000-0000-00005E2C0000}"/>
    <cellStyle name="40% - Accent4 29 5" xfId="10958" xr:uid="{00000000-0005-0000-0000-00005F2C0000}"/>
    <cellStyle name="40% - Accent4 3" xfId="10959" xr:uid="{00000000-0005-0000-0000-0000602C0000}"/>
    <cellStyle name="40% - Accent4 3 2" xfId="10960" xr:uid="{00000000-0005-0000-0000-0000612C0000}"/>
    <cellStyle name="40% - Accent4 3 2 2" xfId="10961" xr:uid="{00000000-0005-0000-0000-0000622C0000}"/>
    <cellStyle name="40% - Accent4 3 2 3" xfId="10962" xr:uid="{00000000-0005-0000-0000-0000632C0000}"/>
    <cellStyle name="40% - Accent4 3 2 4" xfId="10963" xr:uid="{00000000-0005-0000-0000-0000642C0000}"/>
    <cellStyle name="40% - Accent4 3 2 5" xfId="10964" xr:uid="{00000000-0005-0000-0000-0000652C0000}"/>
    <cellStyle name="40% - Accent4 3 3" xfId="10965" xr:uid="{00000000-0005-0000-0000-0000662C0000}"/>
    <cellStyle name="40% - Accent4 3 3 2" xfId="10966" xr:uid="{00000000-0005-0000-0000-0000672C0000}"/>
    <cellStyle name="40% - Accent4 3 3 3" xfId="10967" xr:uid="{00000000-0005-0000-0000-0000682C0000}"/>
    <cellStyle name="40% - Accent4 3 3 4" xfId="10968" xr:uid="{00000000-0005-0000-0000-0000692C0000}"/>
    <cellStyle name="40% - Accent4 3 4" xfId="10969" xr:uid="{00000000-0005-0000-0000-00006A2C0000}"/>
    <cellStyle name="40% - Accent4 3 5" xfId="10970" xr:uid="{00000000-0005-0000-0000-00006B2C0000}"/>
    <cellStyle name="40% - Accent4 3 6" xfId="10971" xr:uid="{00000000-0005-0000-0000-00006C2C0000}"/>
    <cellStyle name="40% - Accent4 3 7" xfId="10972" xr:uid="{00000000-0005-0000-0000-00006D2C0000}"/>
    <cellStyle name="40% - Accent4 3 8" xfId="10973" xr:uid="{00000000-0005-0000-0000-00006E2C0000}"/>
    <cellStyle name="40% - Accent4 3_PAQUETE PARA COTIZAR" xfId="10974" xr:uid="{00000000-0005-0000-0000-00006F2C0000}"/>
    <cellStyle name="40% - Accent4 30" xfId="10975" xr:uid="{00000000-0005-0000-0000-0000702C0000}"/>
    <cellStyle name="40% - Accent4 30 2" xfId="10976" xr:uid="{00000000-0005-0000-0000-0000712C0000}"/>
    <cellStyle name="40% - Accent4 31" xfId="10977" xr:uid="{00000000-0005-0000-0000-0000722C0000}"/>
    <cellStyle name="40% - Accent4 32" xfId="10978" xr:uid="{00000000-0005-0000-0000-0000732C0000}"/>
    <cellStyle name="40% - Accent4 33" xfId="10979" xr:uid="{00000000-0005-0000-0000-0000742C0000}"/>
    <cellStyle name="40% - Accent4 34" xfId="10980" xr:uid="{00000000-0005-0000-0000-0000752C0000}"/>
    <cellStyle name="40% - Accent4 4" xfId="10981" xr:uid="{00000000-0005-0000-0000-0000762C0000}"/>
    <cellStyle name="40% - Accent4 4 2" xfId="10982" xr:uid="{00000000-0005-0000-0000-0000772C0000}"/>
    <cellStyle name="40% - Accent4 4 2 2" xfId="10983" xr:uid="{00000000-0005-0000-0000-0000782C0000}"/>
    <cellStyle name="40% - Accent4 4 2 3" xfId="10984" xr:uid="{00000000-0005-0000-0000-0000792C0000}"/>
    <cellStyle name="40% - Accent4 4 2 4" xfId="10985" xr:uid="{00000000-0005-0000-0000-00007A2C0000}"/>
    <cellStyle name="40% - Accent4 4 2 5" xfId="10986" xr:uid="{00000000-0005-0000-0000-00007B2C0000}"/>
    <cellStyle name="40% - Accent4 4 3" xfId="10987" xr:uid="{00000000-0005-0000-0000-00007C2C0000}"/>
    <cellStyle name="40% - Accent4 4 4" xfId="10988" xr:uid="{00000000-0005-0000-0000-00007D2C0000}"/>
    <cellStyle name="40% - Accent4 5" xfId="10989" xr:uid="{00000000-0005-0000-0000-00007E2C0000}"/>
    <cellStyle name="40% - Accent4 5 2" xfId="10990" xr:uid="{00000000-0005-0000-0000-00007F2C0000}"/>
    <cellStyle name="40% - Accent4 5 2 2" xfId="10991" xr:uid="{00000000-0005-0000-0000-0000802C0000}"/>
    <cellStyle name="40% - Accent4 5 2 3" xfId="10992" xr:uid="{00000000-0005-0000-0000-0000812C0000}"/>
    <cellStyle name="40% - Accent4 5 2 4" xfId="10993" xr:uid="{00000000-0005-0000-0000-0000822C0000}"/>
    <cellStyle name="40% - Accent4 5 2 5" xfId="10994" xr:uid="{00000000-0005-0000-0000-0000832C0000}"/>
    <cellStyle name="40% - Accent4 5 3" xfId="10995" xr:uid="{00000000-0005-0000-0000-0000842C0000}"/>
    <cellStyle name="40% - Accent4 5 4" xfId="10996" xr:uid="{00000000-0005-0000-0000-0000852C0000}"/>
    <cellStyle name="40% - Accent4 6" xfId="10997" xr:uid="{00000000-0005-0000-0000-0000862C0000}"/>
    <cellStyle name="40% - Accent4 6 2" xfId="10998" xr:uid="{00000000-0005-0000-0000-0000872C0000}"/>
    <cellStyle name="40% - Accent4 6 2 2" xfId="10999" xr:uid="{00000000-0005-0000-0000-0000882C0000}"/>
    <cellStyle name="40% - Accent4 6 2 3" xfId="11000" xr:uid="{00000000-0005-0000-0000-0000892C0000}"/>
    <cellStyle name="40% - Accent4 6 2 4" xfId="11001" xr:uid="{00000000-0005-0000-0000-00008A2C0000}"/>
    <cellStyle name="40% - Accent4 6 2 5" xfId="11002" xr:uid="{00000000-0005-0000-0000-00008B2C0000}"/>
    <cellStyle name="40% - Accent4 6 3" xfId="11003" xr:uid="{00000000-0005-0000-0000-00008C2C0000}"/>
    <cellStyle name="40% - Accent4 6 4" xfId="11004" xr:uid="{00000000-0005-0000-0000-00008D2C0000}"/>
    <cellStyle name="40% - Accent4 7" xfId="11005" xr:uid="{00000000-0005-0000-0000-00008E2C0000}"/>
    <cellStyle name="40% - Accent4 7 2" xfId="11006" xr:uid="{00000000-0005-0000-0000-00008F2C0000}"/>
    <cellStyle name="40% - Accent4 7 2 2" xfId="11007" xr:uid="{00000000-0005-0000-0000-0000902C0000}"/>
    <cellStyle name="40% - Accent4 7 2 3" xfId="11008" xr:uid="{00000000-0005-0000-0000-0000912C0000}"/>
    <cellStyle name="40% - Accent4 7 2 4" xfId="11009" xr:uid="{00000000-0005-0000-0000-0000922C0000}"/>
    <cellStyle name="40% - Accent4 7 2 5" xfId="11010" xr:uid="{00000000-0005-0000-0000-0000932C0000}"/>
    <cellStyle name="40% - Accent4 7 3" xfId="11011" xr:uid="{00000000-0005-0000-0000-0000942C0000}"/>
    <cellStyle name="40% - Accent4 7 4" xfId="11012" xr:uid="{00000000-0005-0000-0000-0000952C0000}"/>
    <cellStyle name="40% - Accent4 8" xfId="11013" xr:uid="{00000000-0005-0000-0000-0000962C0000}"/>
    <cellStyle name="40% - Accent4 8 2" xfId="11014" xr:uid="{00000000-0005-0000-0000-0000972C0000}"/>
    <cellStyle name="40% - Accent4 8 2 2" xfId="11015" xr:uid="{00000000-0005-0000-0000-0000982C0000}"/>
    <cellStyle name="40% - Accent4 8 2 3" xfId="11016" xr:uid="{00000000-0005-0000-0000-0000992C0000}"/>
    <cellStyle name="40% - Accent4 8 2 4" xfId="11017" xr:uid="{00000000-0005-0000-0000-00009A2C0000}"/>
    <cellStyle name="40% - Accent4 8 2 5" xfId="11018" xr:uid="{00000000-0005-0000-0000-00009B2C0000}"/>
    <cellStyle name="40% - Accent4 8 3" xfId="11019" xr:uid="{00000000-0005-0000-0000-00009C2C0000}"/>
    <cellStyle name="40% - Accent4 8 4" xfId="11020" xr:uid="{00000000-0005-0000-0000-00009D2C0000}"/>
    <cellStyle name="40% - Accent4 9" xfId="11021" xr:uid="{00000000-0005-0000-0000-00009E2C0000}"/>
    <cellStyle name="40% - Accent4 9 2" xfId="11022" xr:uid="{00000000-0005-0000-0000-00009F2C0000}"/>
    <cellStyle name="40% - Accent4 9 3" xfId="11023" xr:uid="{00000000-0005-0000-0000-0000A02C0000}"/>
    <cellStyle name="40% - Accent4 9 4" xfId="11024" xr:uid="{00000000-0005-0000-0000-0000A12C0000}"/>
    <cellStyle name="40% - Accent4 9 5" xfId="11025" xr:uid="{00000000-0005-0000-0000-0000A22C0000}"/>
    <cellStyle name="40% - Accent5 10" xfId="11026" xr:uid="{00000000-0005-0000-0000-0000A32C0000}"/>
    <cellStyle name="40% - Accent5 10 2" xfId="11027" xr:uid="{00000000-0005-0000-0000-0000A42C0000}"/>
    <cellStyle name="40% - Accent5 10 3" xfId="11028" xr:uid="{00000000-0005-0000-0000-0000A52C0000}"/>
    <cellStyle name="40% - Accent5 10 4" xfId="11029" xr:uid="{00000000-0005-0000-0000-0000A62C0000}"/>
    <cellStyle name="40% - Accent5 10 5" xfId="11030" xr:uid="{00000000-0005-0000-0000-0000A72C0000}"/>
    <cellStyle name="40% - Accent5 11" xfId="11031" xr:uid="{00000000-0005-0000-0000-0000A82C0000}"/>
    <cellStyle name="40% - Accent5 11 2" xfId="11032" xr:uid="{00000000-0005-0000-0000-0000A92C0000}"/>
    <cellStyle name="40% - Accent5 11 3" xfId="11033" xr:uid="{00000000-0005-0000-0000-0000AA2C0000}"/>
    <cellStyle name="40% - Accent5 11 4" xfId="11034" xr:uid="{00000000-0005-0000-0000-0000AB2C0000}"/>
    <cellStyle name="40% - Accent5 11 5" xfId="11035" xr:uid="{00000000-0005-0000-0000-0000AC2C0000}"/>
    <cellStyle name="40% - Accent5 12" xfId="11036" xr:uid="{00000000-0005-0000-0000-0000AD2C0000}"/>
    <cellStyle name="40% - Accent5 12 2" xfId="11037" xr:uid="{00000000-0005-0000-0000-0000AE2C0000}"/>
    <cellStyle name="40% - Accent5 12 3" xfId="11038" xr:uid="{00000000-0005-0000-0000-0000AF2C0000}"/>
    <cellStyle name="40% - Accent5 12 4" xfId="11039" xr:uid="{00000000-0005-0000-0000-0000B02C0000}"/>
    <cellStyle name="40% - Accent5 12 5" xfId="11040" xr:uid="{00000000-0005-0000-0000-0000B12C0000}"/>
    <cellStyle name="40% - Accent5 13" xfId="11041" xr:uid="{00000000-0005-0000-0000-0000B22C0000}"/>
    <cellStyle name="40% - Accent5 13 2" xfId="11042" xr:uid="{00000000-0005-0000-0000-0000B32C0000}"/>
    <cellStyle name="40% - Accent5 13 3" xfId="11043" xr:uid="{00000000-0005-0000-0000-0000B42C0000}"/>
    <cellStyle name="40% - Accent5 13 4" xfId="11044" xr:uid="{00000000-0005-0000-0000-0000B52C0000}"/>
    <cellStyle name="40% - Accent5 13 5" xfId="11045" xr:uid="{00000000-0005-0000-0000-0000B62C0000}"/>
    <cellStyle name="40% - Accent5 14" xfId="11046" xr:uid="{00000000-0005-0000-0000-0000B72C0000}"/>
    <cellStyle name="40% - Accent5 14 2" xfId="11047" xr:uid="{00000000-0005-0000-0000-0000B82C0000}"/>
    <cellStyle name="40% - Accent5 14 3" xfId="11048" xr:uid="{00000000-0005-0000-0000-0000B92C0000}"/>
    <cellStyle name="40% - Accent5 14 4" xfId="11049" xr:uid="{00000000-0005-0000-0000-0000BA2C0000}"/>
    <cellStyle name="40% - Accent5 14 5" xfId="11050" xr:uid="{00000000-0005-0000-0000-0000BB2C0000}"/>
    <cellStyle name="40% - Accent5 15" xfId="11051" xr:uid="{00000000-0005-0000-0000-0000BC2C0000}"/>
    <cellStyle name="40% - Accent5 15 2" xfId="11052" xr:uid="{00000000-0005-0000-0000-0000BD2C0000}"/>
    <cellStyle name="40% - Accent5 15 3" xfId="11053" xr:uid="{00000000-0005-0000-0000-0000BE2C0000}"/>
    <cellStyle name="40% - Accent5 15 4" xfId="11054" xr:uid="{00000000-0005-0000-0000-0000BF2C0000}"/>
    <cellStyle name="40% - Accent5 15 5" xfId="11055" xr:uid="{00000000-0005-0000-0000-0000C02C0000}"/>
    <cellStyle name="40% - Accent5 16" xfId="11056" xr:uid="{00000000-0005-0000-0000-0000C12C0000}"/>
    <cellStyle name="40% - Accent5 16 2" xfId="11057" xr:uid="{00000000-0005-0000-0000-0000C22C0000}"/>
    <cellStyle name="40% - Accent5 16 3" xfId="11058" xr:uid="{00000000-0005-0000-0000-0000C32C0000}"/>
    <cellStyle name="40% - Accent5 16 4" xfId="11059" xr:uid="{00000000-0005-0000-0000-0000C42C0000}"/>
    <cellStyle name="40% - Accent5 16 5" xfId="11060" xr:uid="{00000000-0005-0000-0000-0000C52C0000}"/>
    <cellStyle name="40% - Accent5 17" xfId="11061" xr:uid="{00000000-0005-0000-0000-0000C62C0000}"/>
    <cellStyle name="40% - Accent5 17 2" xfId="11062" xr:uid="{00000000-0005-0000-0000-0000C72C0000}"/>
    <cellStyle name="40% - Accent5 17 3" xfId="11063" xr:uid="{00000000-0005-0000-0000-0000C82C0000}"/>
    <cellStyle name="40% - Accent5 17 4" xfId="11064" xr:uid="{00000000-0005-0000-0000-0000C92C0000}"/>
    <cellStyle name="40% - Accent5 17 5" xfId="11065" xr:uid="{00000000-0005-0000-0000-0000CA2C0000}"/>
    <cellStyle name="40% - Accent5 18" xfId="11066" xr:uid="{00000000-0005-0000-0000-0000CB2C0000}"/>
    <cellStyle name="40% - Accent5 18 2" xfId="11067" xr:uid="{00000000-0005-0000-0000-0000CC2C0000}"/>
    <cellStyle name="40% - Accent5 18 3" xfId="11068" xr:uid="{00000000-0005-0000-0000-0000CD2C0000}"/>
    <cellStyle name="40% - Accent5 18 4" xfId="11069" xr:uid="{00000000-0005-0000-0000-0000CE2C0000}"/>
    <cellStyle name="40% - Accent5 18 5" xfId="11070" xr:uid="{00000000-0005-0000-0000-0000CF2C0000}"/>
    <cellStyle name="40% - Accent5 19" xfId="11071" xr:uid="{00000000-0005-0000-0000-0000D02C0000}"/>
    <cellStyle name="40% - Accent5 19 2" xfId="11072" xr:uid="{00000000-0005-0000-0000-0000D12C0000}"/>
    <cellStyle name="40% - Accent5 19 3" xfId="11073" xr:uid="{00000000-0005-0000-0000-0000D22C0000}"/>
    <cellStyle name="40% - Accent5 19 4" xfId="11074" xr:uid="{00000000-0005-0000-0000-0000D32C0000}"/>
    <cellStyle name="40% - Accent5 19 5" xfId="11075" xr:uid="{00000000-0005-0000-0000-0000D42C0000}"/>
    <cellStyle name="40% - Accent5 2" xfId="11076" xr:uid="{00000000-0005-0000-0000-0000D52C0000}"/>
    <cellStyle name="40% - Accent5 2 2" xfId="11077" xr:uid="{00000000-0005-0000-0000-0000D62C0000}"/>
    <cellStyle name="40% - Accent5 2 2 2" xfId="11078" xr:uid="{00000000-0005-0000-0000-0000D72C0000}"/>
    <cellStyle name="40% - Accent5 2 2 3" xfId="11079" xr:uid="{00000000-0005-0000-0000-0000D82C0000}"/>
    <cellStyle name="40% - Accent5 2 2 4" xfId="11080" xr:uid="{00000000-0005-0000-0000-0000D92C0000}"/>
    <cellStyle name="40% - Accent5 2 2 5" xfId="11081" xr:uid="{00000000-0005-0000-0000-0000DA2C0000}"/>
    <cellStyle name="40% - Accent5 2 3" xfId="11082" xr:uid="{00000000-0005-0000-0000-0000DB2C0000}"/>
    <cellStyle name="40% - Accent5 2 3 2" xfId="11083" xr:uid="{00000000-0005-0000-0000-0000DC2C0000}"/>
    <cellStyle name="40% - Accent5 2 3 3" xfId="11084" xr:uid="{00000000-0005-0000-0000-0000DD2C0000}"/>
    <cellStyle name="40% - Accent5 2 3 4" xfId="11085" xr:uid="{00000000-0005-0000-0000-0000DE2C0000}"/>
    <cellStyle name="40% - Accent5 2 4" xfId="11086" xr:uid="{00000000-0005-0000-0000-0000DF2C0000}"/>
    <cellStyle name="40% - Accent5 2 5" xfId="11087" xr:uid="{00000000-0005-0000-0000-0000E02C0000}"/>
    <cellStyle name="40% - Accent5 2 6" xfId="11088" xr:uid="{00000000-0005-0000-0000-0000E12C0000}"/>
    <cellStyle name="40% - Accent5 2 7" xfId="11089" xr:uid="{00000000-0005-0000-0000-0000E22C0000}"/>
    <cellStyle name="40% - Accent5 2 8" xfId="11090" xr:uid="{00000000-0005-0000-0000-0000E32C0000}"/>
    <cellStyle name="40% - Accent5 2_PAQUETE PARA COTIZAR" xfId="11091" xr:uid="{00000000-0005-0000-0000-0000E42C0000}"/>
    <cellStyle name="40% - Accent5 20" xfId="11092" xr:uid="{00000000-0005-0000-0000-0000E52C0000}"/>
    <cellStyle name="40% - Accent5 20 2" xfId="11093" xr:uid="{00000000-0005-0000-0000-0000E62C0000}"/>
    <cellStyle name="40% - Accent5 20 3" xfId="11094" xr:uid="{00000000-0005-0000-0000-0000E72C0000}"/>
    <cellStyle name="40% - Accent5 20 4" xfId="11095" xr:uid="{00000000-0005-0000-0000-0000E82C0000}"/>
    <cellStyle name="40% - Accent5 20 5" xfId="11096" xr:uid="{00000000-0005-0000-0000-0000E92C0000}"/>
    <cellStyle name="40% - Accent5 21" xfId="11097" xr:uid="{00000000-0005-0000-0000-0000EA2C0000}"/>
    <cellStyle name="40% - Accent5 21 2" xfId="11098" xr:uid="{00000000-0005-0000-0000-0000EB2C0000}"/>
    <cellStyle name="40% - Accent5 21 3" xfId="11099" xr:uid="{00000000-0005-0000-0000-0000EC2C0000}"/>
    <cellStyle name="40% - Accent5 21 4" xfId="11100" xr:uid="{00000000-0005-0000-0000-0000ED2C0000}"/>
    <cellStyle name="40% - Accent5 21 5" xfId="11101" xr:uid="{00000000-0005-0000-0000-0000EE2C0000}"/>
    <cellStyle name="40% - Accent5 22" xfId="11102" xr:uid="{00000000-0005-0000-0000-0000EF2C0000}"/>
    <cellStyle name="40% - Accent5 22 2" xfId="11103" xr:uid="{00000000-0005-0000-0000-0000F02C0000}"/>
    <cellStyle name="40% - Accent5 23" xfId="11104" xr:uid="{00000000-0005-0000-0000-0000F12C0000}"/>
    <cellStyle name="40% - Accent5 23 2" xfId="11105" xr:uid="{00000000-0005-0000-0000-0000F22C0000}"/>
    <cellStyle name="40% - Accent5 24" xfId="11106" xr:uid="{00000000-0005-0000-0000-0000F32C0000}"/>
    <cellStyle name="40% - Accent5 24 2" xfId="11107" xr:uid="{00000000-0005-0000-0000-0000F42C0000}"/>
    <cellStyle name="40% - Accent5 25" xfId="11108" xr:uid="{00000000-0005-0000-0000-0000F52C0000}"/>
    <cellStyle name="40% - Accent5 25 2" xfId="11109" xr:uid="{00000000-0005-0000-0000-0000F62C0000}"/>
    <cellStyle name="40% - Accent5 26" xfId="11110" xr:uid="{00000000-0005-0000-0000-0000F72C0000}"/>
    <cellStyle name="40% - Accent5 26 2" xfId="11111" xr:uid="{00000000-0005-0000-0000-0000F82C0000}"/>
    <cellStyle name="40% - Accent5 27" xfId="11112" xr:uid="{00000000-0005-0000-0000-0000F92C0000}"/>
    <cellStyle name="40% - Accent5 27 2" xfId="11113" xr:uid="{00000000-0005-0000-0000-0000FA2C0000}"/>
    <cellStyle name="40% - Accent5 28" xfId="11114" xr:uid="{00000000-0005-0000-0000-0000FB2C0000}"/>
    <cellStyle name="40% - Accent5 28 2" xfId="11115" xr:uid="{00000000-0005-0000-0000-0000FC2C0000}"/>
    <cellStyle name="40% - Accent5 29" xfId="11116" xr:uid="{00000000-0005-0000-0000-0000FD2C0000}"/>
    <cellStyle name="40% - Accent5 29 2" xfId="11117" xr:uid="{00000000-0005-0000-0000-0000FE2C0000}"/>
    <cellStyle name="40% - Accent5 29 3" xfId="11118" xr:uid="{00000000-0005-0000-0000-0000FF2C0000}"/>
    <cellStyle name="40% - Accent5 29 4" xfId="11119" xr:uid="{00000000-0005-0000-0000-0000002D0000}"/>
    <cellStyle name="40% - Accent5 29 5" xfId="11120" xr:uid="{00000000-0005-0000-0000-0000012D0000}"/>
    <cellStyle name="40% - Accent5 3" xfId="11121" xr:uid="{00000000-0005-0000-0000-0000022D0000}"/>
    <cellStyle name="40% - Accent5 3 2" xfId="11122" xr:uid="{00000000-0005-0000-0000-0000032D0000}"/>
    <cellStyle name="40% - Accent5 3 2 2" xfId="11123" xr:uid="{00000000-0005-0000-0000-0000042D0000}"/>
    <cellStyle name="40% - Accent5 3 2 3" xfId="11124" xr:uid="{00000000-0005-0000-0000-0000052D0000}"/>
    <cellStyle name="40% - Accent5 3 2 4" xfId="11125" xr:uid="{00000000-0005-0000-0000-0000062D0000}"/>
    <cellStyle name="40% - Accent5 3 2 5" xfId="11126" xr:uid="{00000000-0005-0000-0000-0000072D0000}"/>
    <cellStyle name="40% - Accent5 3 3" xfId="11127" xr:uid="{00000000-0005-0000-0000-0000082D0000}"/>
    <cellStyle name="40% - Accent5 3 3 2" xfId="11128" xr:uid="{00000000-0005-0000-0000-0000092D0000}"/>
    <cellStyle name="40% - Accent5 3 3 3" xfId="11129" xr:uid="{00000000-0005-0000-0000-00000A2D0000}"/>
    <cellStyle name="40% - Accent5 3 3 4" xfId="11130" xr:uid="{00000000-0005-0000-0000-00000B2D0000}"/>
    <cellStyle name="40% - Accent5 3 4" xfId="11131" xr:uid="{00000000-0005-0000-0000-00000C2D0000}"/>
    <cellStyle name="40% - Accent5 3 5" xfId="11132" xr:uid="{00000000-0005-0000-0000-00000D2D0000}"/>
    <cellStyle name="40% - Accent5 3 6" xfId="11133" xr:uid="{00000000-0005-0000-0000-00000E2D0000}"/>
    <cellStyle name="40% - Accent5 3 7" xfId="11134" xr:uid="{00000000-0005-0000-0000-00000F2D0000}"/>
    <cellStyle name="40% - Accent5 3 8" xfId="11135" xr:uid="{00000000-0005-0000-0000-0000102D0000}"/>
    <cellStyle name="40% - Accent5 3_PAQUETE PARA COTIZAR" xfId="11136" xr:uid="{00000000-0005-0000-0000-0000112D0000}"/>
    <cellStyle name="40% - Accent5 30" xfId="11137" xr:uid="{00000000-0005-0000-0000-0000122D0000}"/>
    <cellStyle name="40% - Accent5 30 2" xfId="11138" xr:uid="{00000000-0005-0000-0000-0000132D0000}"/>
    <cellStyle name="40% - Accent5 31" xfId="11139" xr:uid="{00000000-0005-0000-0000-0000142D0000}"/>
    <cellStyle name="40% - Accent5 32" xfId="11140" xr:uid="{00000000-0005-0000-0000-0000152D0000}"/>
    <cellStyle name="40% - Accent5 33" xfId="11141" xr:uid="{00000000-0005-0000-0000-0000162D0000}"/>
    <cellStyle name="40% - Accent5 34" xfId="11142" xr:uid="{00000000-0005-0000-0000-0000172D0000}"/>
    <cellStyle name="40% - Accent5 4" xfId="11143" xr:uid="{00000000-0005-0000-0000-0000182D0000}"/>
    <cellStyle name="40% - Accent5 4 2" xfId="11144" xr:uid="{00000000-0005-0000-0000-0000192D0000}"/>
    <cellStyle name="40% - Accent5 4 2 2" xfId="11145" xr:uid="{00000000-0005-0000-0000-00001A2D0000}"/>
    <cellStyle name="40% - Accent5 4 2 3" xfId="11146" xr:uid="{00000000-0005-0000-0000-00001B2D0000}"/>
    <cellStyle name="40% - Accent5 4 2 4" xfId="11147" xr:uid="{00000000-0005-0000-0000-00001C2D0000}"/>
    <cellStyle name="40% - Accent5 4 2 5" xfId="11148" xr:uid="{00000000-0005-0000-0000-00001D2D0000}"/>
    <cellStyle name="40% - Accent5 4 3" xfId="11149" xr:uid="{00000000-0005-0000-0000-00001E2D0000}"/>
    <cellStyle name="40% - Accent5 4 4" xfId="11150" xr:uid="{00000000-0005-0000-0000-00001F2D0000}"/>
    <cellStyle name="40% - Accent5 5" xfId="11151" xr:uid="{00000000-0005-0000-0000-0000202D0000}"/>
    <cellStyle name="40% - Accent5 5 2" xfId="11152" xr:uid="{00000000-0005-0000-0000-0000212D0000}"/>
    <cellStyle name="40% - Accent5 5 2 2" xfId="11153" xr:uid="{00000000-0005-0000-0000-0000222D0000}"/>
    <cellStyle name="40% - Accent5 5 2 3" xfId="11154" xr:uid="{00000000-0005-0000-0000-0000232D0000}"/>
    <cellStyle name="40% - Accent5 5 2 4" xfId="11155" xr:uid="{00000000-0005-0000-0000-0000242D0000}"/>
    <cellStyle name="40% - Accent5 5 2 5" xfId="11156" xr:uid="{00000000-0005-0000-0000-0000252D0000}"/>
    <cellStyle name="40% - Accent5 5 3" xfId="11157" xr:uid="{00000000-0005-0000-0000-0000262D0000}"/>
    <cellStyle name="40% - Accent5 5 4" xfId="11158" xr:uid="{00000000-0005-0000-0000-0000272D0000}"/>
    <cellStyle name="40% - Accent5 6" xfId="11159" xr:uid="{00000000-0005-0000-0000-0000282D0000}"/>
    <cellStyle name="40% - Accent5 6 2" xfId="11160" xr:uid="{00000000-0005-0000-0000-0000292D0000}"/>
    <cellStyle name="40% - Accent5 6 2 2" xfId="11161" xr:uid="{00000000-0005-0000-0000-00002A2D0000}"/>
    <cellStyle name="40% - Accent5 6 2 3" xfId="11162" xr:uid="{00000000-0005-0000-0000-00002B2D0000}"/>
    <cellStyle name="40% - Accent5 6 2 4" xfId="11163" xr:uid="{00000000-0005-0000-0000-00002C2D0000}"/>
    <cellStyle name="40% - Accent5 6 2 5" xfId="11164" xr:uid="{00000000-0005-0000-0000-00002D2D0000}"/>
    <cellStyle name="40% - Accent5 6 3" xfId="11165" xr:uid="{00000000-0005-0000-0000-00002E2D0000}"/>
    <cellStyle name="40% - Accent5 6 4" xfId="11166" xr:uid="{00000000-0005-0000-0000-00002F2D0000}"/>
    <cellStyle name="40% - Accent5 7" xfId="11167" xr:uid="{00000000-0005-0000-0000-0000302D0000}"/>
    <cellStyle name="40% - Accent5 7 2" xfId="11168" xr:uid="{00000000-0005-0000-0000-0000312D0000}"/>
    <cellStyle name="40% - Accent5 7 2 2" xfId="11169" xr:uid="{00000000-0005-0000-0000-0000322D0000}"/>
    <cellStyle name="40% - Accent5 7 2 3" xfId="11170" xr:uid="{00000000-0005-0000-0000-0000332D0000}"/>
    <cellStyle name="40% - Accent5 7 2 4" xfId="11171" xr:uid="{00000000-0005-0000-0000-0000342D0000}"/>
    <cellStyle name="40% - Accent5 7 2 5" xfId="11172" xr:uid="{00000000-0005-0000-0000-0000352D0000}"/>
    <cellStyle name="40% - Accent5 7 3" xfId="11173" xr:uid="{00000000-0005-0000-0000-0000362D0000}"/>
    <cellStyle name="40% - Accent5 7 4" xfId="11174" xr:uid="{00000000-0005-0000-0000-0000372D0000}"/>
    <cellStyle name="40% - Accent5 8" xfId="11175" xr:uid="{00000000-0005-0000-0000-0000382D0000}"/>
    <cellStyle name="40% - Accent5 8 2" xfId="11176" xr:uid="{00000000-0005-0000-0000-0000392D0000}"/>
    <cellStyle name="40% - Accent5 8 2 2" xfId="11177" xr:uid="{00000000-0005-0000-0000-00003A2D0000}"/>
    <cellStyle name="40% - Accent5 8 2 3" xfId="11178" xr:uid="{00000000-0005-0000-0000-00003B2D0000}"/>
    <cellStyle name="40% - Accent5 8 2 4" xfId="11179" xr:uid="{00000000-0005-0000-0000-00003C2D0000}"/>
    <cellStyle name="40% - Accent5 8 2 5" xfId="11180" xr:uid="{00000000-0005-0000-0000-00003D2D0000}"/>
    <cellStyle name="40% - Accent5 8 3" xfId="11181" xr:uid="{00000000-0005-0000-0000-00003E2D0000}"/>
    <cellStyle name="40% - Accent5 8 4" xfId="11182" xr:uid="{00000000-0005-0000-0000-00003F2D0000}"/>
    <cellStyle name="40% - Accent5 9" xfId="11183" xr:uid="{00000000-0005-0000-0000-0000402D0000}"/>
    <cellStyle name="40% - Accent5 9 2" xfId="11184" xr:uid="{00000000-0005-0000-0000-0000412D0000}"/>
    <cellStyle name="40% - Accent5 9 3" xfId="11185" xr:uid="{00000000-0005-0000-0000-0000422D0000}"/>
    <cellStyle name="40% - Accent5 9 4" xfId="11186" xr:uid="{00000000-0005-0000-0000-0000432D0000}"/>
    <cellStyle name="40% - Accent5 9 5" xfId="11187" xr:uid="{00000000-0005-0000-0000-0000442D0000}"/>
    <cellStyle name="40% - Accent6 10" xfId="11188" xr:uid="{00000000-0005-0000-0000-0000452D0000}"/>
    <cellStyle name="40% - Accent6 10 2" xfId="11189" xr:uid="{00000000-0005-0000-0000-0000462D0000}"/>
    <cellStyle name="40% - Accent6 10 3" xfId="11190" xr:uid="{00000000-0005-0000-0000-0000472D0000}"/>
    <cellStyle name="40% - Accent6 10 4" xfId="11191" xr:uid="{00000000-0005-0000-0000-0000482D0000}"/>
    <cellStyle name="40% - Accent6 10 5" xfId="11192" xr:uid="{00000000-0005-0000-0000-0000492D0000}"/>
    <cellStyle name="40% - Accent6 11" xfId="11193" xr:uid="{00000000-0005-0000-0000-00004A2D0000}"/>
    <cellStyle name="40% - Accent6 11 2" xfId="11194" xr:uid="{00000000-0005-0000-0000-00004B2D0000}"/>
    <cellStyle name="40% - Accent6 11 3" xfId="11195" xr:uid="{00000000-0005-0000-0000-00004C2D0000}"/>
    <cellStyle name="40% - Accent6 11 4" xfId="11196" xr:uid="{00000000-0005-0000-0000-00004D2D0000}"/>
    <cellStyle name="40% - Accent6 11 5" xfId="11197" xr:uid="{00000000-0005-0000-0000-00004E2D0000}"/>
    <cellStyle name="40% - Accent6 12" xfId="11198" xr:uid="{00000000-0005-0000-0000-00004F2D0000}"/>
    <cellStyle name="40% - Accent6 12 2" xfId="11199" xr:uid="{00000000-0005-0000-0000-0000502D0000}"/>
    <cellStyle name="40% - Accent6 12 3" xfId="11200" xr:uid="{00000000-0005-0000-0000-0000512D0000}"/>
    <cellStyle name="40% - Accent6 12 4" xfId="11201" xr:uid="{00000000-0005-0000-0000-0000522D0000}"/>
    <cellStyle name="40% - Accent6 12 5" xfId="11202" xr:uid="{00000000-0005-0000-0000-0000532D0000}"/>
    <cellStyle name="40% - Accent6 13" xfId="11203" xr:uid="{00000000-0005-0000-0000-0000542D0000}"/>
    <cellStyle name="40% - Accent6 13 2" xfId="11204" xr:uid="{00000000-0005-0000-0000-0000552D0000}"/>
    <cellStyle name="40% - Accent6 13 3" xfId="11205" xr:uid="{00000000-0005-0000-0000-0000562D0000}"/>
    <cellStyle name="40% - Accent6 13 4" xfId="11206" xr:uid="{00000000-0005-0000-0000-0000572D0000}"/>
    <cellStyle name="40% - Accent6 13 5" xfId="11207" xr:uid="{00000000-0005-0000-0000-0000582D0000}"/>
    <cellStyle name="40% - Accent6 14" xfId="11208" xr:uid="{00000000-0005-0000-0000-0000592D0000}"/>
    <cellStyle name="40% - Accent6 14 2" xfId="11209" xr:uid="{00000000-0005-0000-0000-00005A2D0000}"/>
    <cellStyle name="40% - Accent6 14 3" xfId="11210" xr:uid="{00000000-0005-0000-0000-00005B2D0000}"/>
    <cellStyle name="40% - Accent6 14 4" xfId="11211" xr:uid="{00000000-0005-0000-0000-00005C2D0000}"/>
    <cellStyle name="40% - Accent6 14 5" xfId="11212" xr:uid="{00000000-0005-0000-0000-00005D2D0000}"/>
    <cellStyle name="40% - Accent6 15" xfId="11213" xr:uid="{00000000-0005-0000-0000-00005E2D0000}"/>
    <cellStyle name="40% - Accent6 15 2" xfId="11214" xr:uid="{00000000-0005-0000-0000-00005F2D0000}"/>
    <cellStyle name="40% - Accent6 15 3" xfId="11215" xr:uid="{00000000-0005-0000-0000-0000602D0000}"/>
    <cellStyle name="40% - Accent6 15 4" xfId="11216" xr:uid="{00000000-0005-0000-0000-0000612D0000}"/>
    <cellStyle name="40% - Accent6 15 5" xfId="11217" xr:uid="{00000000-0005-0000-0000-0000622D0000}"/>
    <cellStyle name="40% - Accent6 16" xfId="11218" xr:uid="{00000000-0005-0000-0000-0000632D0000}"/>
    <cellStyle name="40% - Accent6 16 2" xfId="11219" xr:uid="{00000000-0005-0000-0000-0000642D0000}"/>
    <cellStyle name="40% - Accent6 16 3" xfId="11220" xr:uid="{00000000-0005-0000-0000-0000652D0000}"/>
    <cellStyle name="40% - Accent6 16 4" xfId="11221" xr:uid="{00000000-0005-0000-0000-0000662D0000}"/>
    <cellStyle name="40% - Accent6 16 5" xfId="11222" xr:uid="{00000000-0005-0000-0000-0000672D0000}"/>
    <cellStyle name="40% - Accent6 17" xfId="11223" xr:uid="{00000000-0005-0000-0000-0000682D0000}"/>
    <cellStyle name="40% - Accent6 17 2" xfId="11224" xr:uid="{00000000-0005-0000-0000-0000692D0000}"/>
    <cellStyle name="40% - Accent6 17 3" xfId="11225" xr:uid="{00000000-0005-0000-0000-00006A2D0000}"/>
    <cellStyle name="40% - Accent6 17 4" xfId="11226" xr:uid="{00000000-0005-0000-0000-00006B2D0000}"/>
    <cellStyle name="40% - Accent6 17 5" xfId="11227" xr:uid="{00000000-0005-0000-0000-00006C2D0000}"/>
    <cellStyle name="40% - Accent6 18" xfId="11228" xr:uid="{00000000-0005-0000-0000-00006D2D0000}"/>
    <cellStyle name="40% - Accent6 18 2" xfId="11229" xr:uid="{00000000-0005-0000-0000-00006E2D0000}"/>
    <cellStyle name="40% - Accent6 18 3" xfId="11230" xr:uid="{00000000-0005-0000-0000-00006F2D0000}"/>
    <cellStyle name="40% - Accent6 18 4" xfId="11231" xr:uid="{00000000-0005-0000-0000-0000702D0000}"/>
    <cellStyle name="40% - Accent6 18 5" xfId="11232" xr:uid="{00000000-0005-0000-0000-0000712D0000}"/>
    <cellStyle name="40% - Accent6 19" xfId="11233" xr:uid="{00000000-0005-0000-0000-0000722D0000}"/>
    <cellStyle name="40% - Accent6 19 2" xfId="11234" xr:uid="{00000000-0005-0000-0000-0000732D0000}"/>
    <cellStyle name="40% - Accent6 19 3" xfId="11235" xr:uid="{00000000-0005-0000-0000-0000742D0000}"/>
    <cellStyle name="40% - Accent6 19 4" xfId="11236" xr:uid="{00000000-0005-0000-0000-0000752D0000}"/>
    <cellStyle name="40% - Accent6 19 5" xfId="11237" xr:uid="{00000000-0005-0000-0000-0000762D0000}"/>
    <cellStyle name="40% - Accent6 2" xfId="11238" xr:uid="{00000000-0005-0000-0000-0000772D0000}"/>
    <cellStyle name="40% - Accent6 2 2" xfId="11239" xr:uid="{00000000-0005-0000-0000-0000782D0000}"/>
    <cellStyle name="40% - Accent6 2 2 2" xfId="11240" xr:uid="{00000000-0005-0000-0000-0000792D0000}"/>
    <cellStyle name="40% - Accent6 2 2 3" xfId="11241" xr:uid="{00000000-0005-0000-0000-00007A2D0000}"/>
    <cellStyle name="40% - Accent6 2 2 4" xfId="11242" xr:uid="{00000000-0005-0000-0000-00007B2D0000}"/>
    <cellStyle name="40% - Accent6 2 2 5" xfId="11243" xr:uid="{00000000-0005-0000-0000-00007C2D0000}"/>
    <cellStyle name="40% - Accent6 2 3" xfId="11244" xr:uid="{00000000-0005-0000-0000-00007D2D0000}"/>
    <cellStyle name="40% - Accent6 2 3 2" xfId="11245" xr:uid="{00000000-0005-0000-0000-00007E2D0000}"/>
    <cellStyle name="40% - Accent6 2 3 3" xfId="11246" xr:uid="{00000000-0005-0000-0000-00007F2D0000}"/>
    <cellStyle name="40% - Accent6 2 3 4" xfId="11247" xr:uid="{00000000-0005-0000-0000-0000802D0000}"/>
    <cellStyle name="40% - Accent6 2 4" xfId="11248" xr:uid="{00000000-0005-0000-0000-0000812D0000}"/>
    <cellStyle name="40% - Accent6 2 5" xfId="11249" xr:uid="{00000000-0005-0000-0000-0000822D0000}"/>
    <cellStyle name="40% - Accent6 2 6" xfId="11250" xr:uid="{00000000-0005-0000-0000-0000832D0000}"/>
    <cellStyle name="40% - Accent6 2 7" xfId="11251" xr:uid="{00000000-0005-0000-0000-0000842D0000}"/>
    <cellStyle name="40% - Accent6 2 8" xfId="11252" xr:uid="{00000000-0005-0000-0000-0000852D0000}"/>
    <cellStyle name="40% - Accent6 2_PAQUETE PARA COTIZAR" xfId="11253" xr:uid="{00000000-0005-0000-0000-0000862D0000}"/>
    <cellStyle name="40% - Accent6 20" xfId="11254" xr:uid="{00000000-0005-0000-0000-0000872D0000}"/>
    <cellStyle name="40% - Accent6 20 2" xfId="11255" xr:uid="{00000000-0005-0000-0000-0000882D0000}"/>
    <cellStyle name="40% - Accent6 20 3" xfId="11256" xr:uid="{00000000-0005-0000-0000-0000892D0000}"/>
    <cellStyle name="40% - Accent6 20 4" xfId="11257" xr:uid="{00000000-0005-0000-0000-00008A2D0000}"/>
    <cellStyle name="40% - Accent6 20 5" xfId="11258" xr:uid="{00000000-0005-0000-0000-00008B2D0000}"/>
    <cellStyle name="40% - Accent6 21" xfId="11259" xr:uid="{00000000-0005-0000-0000-00008C2D0000}"/>
    <cellStyle name="40% - Accent6 21 2" xfId="11260" xr:uid="{00000000-0005-0000-0000-00008D2D0000}"/>
    <cellStyle name="40% - Accent6 21 3" xfId="11261" xr:uid="{00000000-0005-0000-0000-00008E2D0000}"/>
    <cellStyle name="40% - Accent6 21 4" xfId="11262" xr:uid="{00000000-0005-0000-0000-00008F2D0000}"/>
    <cellStyle name="40% - Accent6 21 5" xfId="11263" xr:uid="{00000000-0005-0000-0000-0000902D0000}"/>
    <cellStyle name="40% - Accent6 22" xfId="11264" xr:uid="{00000000-0005-0000-0000-0000912D0000}"/>
    <cellStyle name="40% - Accent6 22 2" xfId="11265" xr:uid="{00000000-0005-0000-0000-0000922D0000}"/>
    <cellStyle name="40% - Accent6 23" xfId="11266" xr:uid="{00000000-0005-0000-0000-0000932D0000}"/>
    <cellStyle name="40% - Accent6 23 2" xfId="11267" xr:uid="{00000000-0005-0000-0000-0000942D0000}"/>
    <cellStyle name="40% - Accent6 24" xfId="11268" xr:uid="{00000000-0005-0000-0000-0000952D0000}"/>
    <cellStyle name="40% - Accent6 24 2" xfId="11269" xr:uid="{00000000-0005-0000-0000-0000962D0000}"/>
    <cellStyle name="40% - Accent6 25" xfId="11270" xr:uid="{00000000-0005-0000-0000-0000972D0000}"/>
    <cellStyle name="40% - Accent6 25 2" xfId="11271" xr:uid="{00000000-0005-0000-0000-0000982D0000}"/>
    <cellStyle name="40% - Accent6 26" xfId="11272" xr:uid="{00000000-0005-0000-0000-0000992D0000}"/>
    <cellStyle name="40% - Accent6 26 2" xfId="11273" xr:uid="{00000000-0005-0000-0000-00009A2D0000}"/>
    <cellStyle name="40% - Accent6 27" xfId="11274" xr:uid="{00000000-0005-0000-0000-00009B2D0000}"/>
    <cellStyle name="40% - Accent6 27 2" xfId="11275" xr:uid="{00000000-0005-0000-0000-00009C2D0000}"/>
    <cellStyle name="40% - Accent6 28" xfId="11276" xr:uid="{00000000-0005-0000-0000-00009D2D0000}"/>
    <cellStyle name="40% - Accent6 28 2" xfId="11277" xr:uid="{00000000-0005-0000-0000-00009E2D0000}"/>
    <cellStyle name="40% - Accent6 29" xfId="11278" xr:uid="{00000000-0005-0000-0000-00009F2D0000}"/>
    <cellStyle name="40% - Accent6 29 2" xfId="11279" xr:uid="{00000000-0005-0000-0000-0000A02D0000}"/>
    <cellStyle name="40% - Accent6 29 3" xfId="11280" xr:uid="{00000000-0005-0000-0000-0000A12D0000}"/>
    <cellStyle name="40% - Accent6 29 4" xfId="11281" xr:uid="{00000000-0005-0000-0000-0000A22D0000}"/>
    <cellStyle name="40% - Accent6 29 5" xfId="11282" xr:uid="{00000000-0005-0000-0000-0000A32D0000}"/>
    <cellStyle name="40% - Accent6 3" xfId="11283" xr:uid="{00000000-0005-0000-0000-0000A42D0000}"/>
    <cellStyle name="40% - Accent6 3 2" xfId="11284" xr:uid="{00000000-0005-0000-0000-0000A52D0000}"/>
    <cellStyle name="40% - Accent6 3 2 2" xfId="11285" xr:uid="{00000000-0005-0000-0000-0000A62D0000}"/>
    <cellStyle name="40% - Accent6 3 2 3" xfId="11286" xr:uid="{00000000-0005-0000-0000-0000A72D0000}"/>
    <cellStyle name="40% - Accent6 3 2 4" xfId="11287" xr:uid="{00000000-0005-0000-0000-0000A82D0000}"/>
    <cellStyle name="40% - Accent6 3 2 5" xfId="11288" xr:uid="{00000000-0005-0000-0000-0000A92D0000}"/>
    <cellStyle name="40% - Accent6 3 3" xfId="11289" xr:uid="{00000000-0005-0000-0000-0000AA2D0000}"/>
    <cellStyle name="40% - Accent6 3 3 2" xfId="11290" xr:uid="{00000000-0005-0000-0000-0000AB2D0000}"/>
    <cellStyle name="40% - Accent6 3 3 3" xfId="11291" xr:uid="{00000000-0005-0000-0000-0000AC2D0000}"/>
    <cellStyle name="40% - Accent6 3 3 4" xfId="11292" xr:uid="{00000000-0005-0000-0000-0000AD2D0000}"/>
    <cellStyle name="40% - Accent6 3 4" xfId="11293" xr:uid="{00000000-0005-0000-0000-0000AE2D0000}"/>
    <cellStyle name="40% - Accent6 3 5" xfId="11294" xr:uid="{00000000-0005-0000-0000-0000AF2D0000}"/>
    <cellStyle name="40% - Accent6 3 6" xfId="11295" xr:uid="{00000000-0005-0000-0000-0000B02D0000}"/>
    <cellStyle name="40% - Accent6 3 7" xfId="11296" xr:uid="{00000000-0005-0000-0000-0000B12D0000}"/>
    <cellStyle name="40% - Accent6 3 8" xfId="11297" xr:uid="{00000000-0005-0000-0000-0000B22D0000}"/>
    <cellStyle name="40% - Accent6 3_PAQUETE PARA COTIZAR" xfId="11298" xr:uid="{00000000-0005-0000-0000-0000B32D0000}"/>
    <cellStyle name="40% - Accent6 30" xfId="11299" xr:uid="{00000000-0005-0000-0000-0000B42D0000}"/>
    <cellStyle name="40% - Accent6 30 2" xfId="11300" xr:uid="{00000000-0005-0000-0000-0000B52D0000}"/>
    <cellStyle name="40% - Accent6 31" xfId="11301" xr:uid="{00000000-0005-0000-0000-0000B62D0000}"/>
    <cellStyle name="40% - Accent6 32" xfId="11302" xr:uid="{00000000-0005-0000-0000-0000B72D0000}"/>
    <cellStyle name="40% - Accent6 33" xfId="11303" xr:uid="{00000000-0005-0000-0000-0000B82D0000}"/>
    <cellStyle name="40% - Accent6 34" xfId="11304" xr:uid="{00000000-0005-0000-0000-0000B92D0000}"/>
    <cellStyle name="40% - Accent6 4" xfId="11305" xr:uid="{00000000-0005-0000-0000-0000BA2D0000}"/>
    <cellStyle name="40% - Accent6 4 2" xfId="11306" xr:uid="{00000000-0005-0000-0000-0000BB2D0000}"/>
    <cellStyle name="40% - Accent6 4 2 2" xfId="11307" xr:uid="{00000000-0005-0000-0000-0000BC2D0000}"/>
    <cellStyle name="40% - Accent6 4 2 3" xfId="11308" xr:uid="{00000000-0005-0000-0000-0000BD2D0000}"/>
    <cellStyle name="40% - Accent6 4 2 4" xfId="11309" xr:uid="{00000000-0005-0000-0000-0000BE2D0000}"/>
    <cellStyle name="40% - Accent6 4 2 5" xfId="11310" xr:uid="{00000000-0005-0000-0000-0000BF2D0000}"/>
    <cellStyle name="40% - Accent6 4 3" xfId="11311" xr:uid="{00000000-0005-0000-0000-0000C02D0000}"/>
    <cellStyle name="40% - Accent6 4 4" xfId="11312" xr:uid="{00000000-0005-0000-0000-0000C12D0000}"/>
    <cellStyle name="40% - Accent6 5" xfId="11313" xr:uid="{00000000-0005-0000-0000-0000C22D0000}"/>
    <cellStyle name="40% - Accent6 5 2" xfId="11314" xr:uid="{00000000-0005-0000-0000-0000C32D0000}"/>
    <cellStyle name="40% - Accent6 5 2 2" xfId="11315" xr:uid="{00000000-0005-0000-0000-0000C42D0000}"/>
    <cellStyle name="40% - Accent6 5 2 3" xfId="11316" xr:uid="{00000000-0005-0000-0000-0000C52D0000}"/>
    <cellStyle name="40% - Accent6 5 2 4" xfId="11317" xr:uid="{00000000-0005-0000-0000-0000C62D0000}"/>
    <cellStyle name="40% - Accent6 5 2 5" xfId="11318" xr:uid="{00000000-0005-0000-0000-0000C72D0000}"/>
    <cellStyle name="40% - Accent6 5 3" xfId="11319" xr:uid="{00000000-0005-0000-0000-0000C82D0000}"/>
    <cellStyle name="40% - Accent6 5 4" xfId="11320" xr:uid="{00000000-0005-0000-0000-0000C92D0000}"/>
    <cellStyle name="40% - Accent6 6" xfId="11321" xr:uid="{00000000-0005-0000-0000-0000CA2D0000}"/>
    <cellStyle name="40% - Accent6 6 2" xfId="11322" xr:uid="{00000000-0005-0000-0000-0000CB2D0000}"/>
    <cellStyle name="40% - Accent6 6 2 2" xfId="11323" xr:uid="{00000000-0005-0000-0000-0000CC2D0000}"/>
    <cellStyle name="40% - Accent6 6 2 3" xfId="11324" xr:uid="{00000000-0005-0000-0000-0000CD2D0000}"/>
    <cellStyle name="40% - Accent6 6 2 4" xfId="11325" xr:uid="{00000000-0005-0000-0000-0000CE2D0000}"/>
    <cellStyle name="40% - Accent6 6 2 5" xfId="11326" xr:uid="{00000000-0005-0000-0000-0000CF2D0000}"/>
    <cellStyle name="40% - Accent6 6 3" xfId="11327" xr:uid="{00000000-0005-0000-0000-0000D02D0000}"/>
    <cellStyle name="40% - Accent6 6 4" xfId="11328" xr:uid="{00000000-0005-0000-0000-0000D12D0000}"/>
    <cellStyle name="40% - Accent6 7" xfId="11329" xr:uid="{00000000-0005-0000-0000-0000D22D0000}"/>
    <cellStyle name="40% - Accent6 7 2" xfId="11330" xr:uid="{00000000-0005-0000-0000-0000D32D0000}"/>
    <cellStyle name="40% - Accent6 7 2 2" xfId="11331" xr:uid="{00000000-0005-0000-0000-0000D42D0000}"/>
    <cellStyle name="40% - Accent6 7 2 3" xfId="11332" xr:uid="{00000000-0005-0000-0000-0000D52D0000}"/>
    <cellStyle name="40% - Accent6 7 2 4" xfId="11333" xr:uid="{00000000-0005-0000-0000-0000D62D0000}"/>
    <cellStyle name="40% - Accent6 7 2 5" xfId="11334" xr:uid="{00000000-0005-0000-0000-0000D72D0000}"/>
    <cellStyle name="40% - Accent6 7 3" xfId="11335" xr:uid="{00000000-0005-0000-0000-0000D82D0000}"/>
    <cellStyle name="40% - Accent6 7 4" xfId="11336" xr:uid="{00000000-0005-0000-0000-0000D92D0000}"/>
    <cellStyle name="40% - Accent6 8" xfId="11337" xr:uid="{00000000-0005-0000-0000-0000DA2D0000}"/>
    <cellStyle name="40% - Accent6 8 2" xfId="11338" xr:uid="{00000000-0005-0000-0000-0000DB2D0000}"/>
    <cellStyle name="40% - Accent6 8 2 2" xfId="11339" xr:uid="{00000000-0005-0000-0000-0000DC2D0000}"/>
    <cellStyle name="40% - Accent6 8 2 3" xfId="11340" xr:uid="{00000000-0005-0000-0000-0000DD2D0000}"/>
    <cellStyle name="40% - Accent6 8 2 4" xfId="11341" xr:uid="{00000000-0005-0000-0000-0000DE2D0000}"/>
    <cellStyle name="40% - Accent6 8 2 5" xfId="11342" xr:uid="{00000000-0005-0000-0000-0000DF2D0000}"/>
    <cellStyle name="40% - Accent6 8 3" xfId="11343" xr:uid="{00000000-0005-0000-0000-0000E02D0000}"/>
    <cellStyle name="40% - Accent6 8 4" xfId="11344" xr:uid="{00000000-0005-0000-0000-0000E12D0000}"/>
    <cellStyle name="40% - Accent6 9" xfId="11345" xr:uid="{00000000-0005-0000-0000-0000E22D0000}"/>
    <cellStyle name="40% - Accent6 9 2" xfId="11346" xr:uid="{00000000-0005-0000-0000-0000E32D0000}"/>
    <cellStyle name="40% - Accent6 9 3" xfId="11347" xr:uid="{00000000-0005-0000-0000-0000E42D0000}"/>
    <cellStyle name="40% - Accent6 9 4" xfId="11348" xr:uid="{00000000-0005-0000-0000-0000E52D0000}"/>
    <cellStyle name="40% - Accent6 9 5" xfId="11349" xr:uid="{00000000-0005-0000-0000-0000E62D0000}"/>
    <cellStyle name="40% - akcent 1" xfId="25030" xr:uid="{00000000-0005-0000-0000-0000E72D0000}"/>
    <cellStyle name="40% - akcent 1 2" xfId="25031" xr:uid="{00000000-0005-0000-0000-0000E82D0000}"/>
    <cellStyle name="40% - akcent 1 3" xfId="25032" xr:uid="{00000000-0005-0000-0000-0000E92D0000}"/>
    <cellStyle name="40% - akcent 2" xfId="25033" xr:uid="{00000000-0005-0000-0000-0000EA2D0000}"/>
    <cellStyle name="40% - akcent 2 2" xfId="25034" xr:uid="{00000000-0005-0000-0000-0000EB2D0000}"/>
    <cellStyle name="40% - akcent 2 3" xfId="25035" xr:uid="{00000000-0005-0000-0000-0000EC2D0000}"/>
    <cellStyle name="40% - akcent 3" xfId="25036" xr:uid="{00000000-0005-0000-0000-0000ED2D0000}"/>
    <cellStyle name="40% - akcent 3 2" xfId="25037" xr:uid="{00000000-0005-0000-0000-0000EE2D0000}"/>
    <cellStyle name="40% - akcent 3 3" xfId="25038" xr:uid="{00000000-0005-0000-0000-0000EF2D0000}"/>
    <cellStyle name="40% - akcent 4" xfId="25039" xr:uid="{00000000-0005-0000-0000-0000F02D0000}"/>
    <cellStyle name="40% - akcent 4 2" xfId="25040" xr:uid="{00000000-0005-0000-0000-0000F12D0000}"/>
    <cellStyle name="40% - akcent 4 3" xfId="25041" xr:uid="{00000000-0005-0000-0000-0000F22D0000}"/>
    <cellStyle name="40% - akcent 5" xfId="25042" xr:uid="{00000000-0005-0000-0000-0000F32D0000}"/>
    <cellStyle name="40% - akcent 5 2" xfId="25043" xr:uid="{00000000-0005-0000-0000-0000F42D0000}"/>
    <cellStyle name="40% - akcent 5 3" xfId="25044" xr:uid="{00000000-0005-0000-0000-0000F52D0000}"/>
    <cellStyle name="40% - akcent 6" xfId="25045" xr:uid="{00000000-0005-0000-0000-0000F62D0000}"/>
    <cellStyle name="40% - akcent 6 2" xfId="25046" xr:uid="{00000000-0005-0000-0000-0000F72D0000}"/>
    <cellStyle name="40% - akcent 6 3" xfId="25047" xr:uid="{00000000-0005-0000-0000-0000F82D0000}"/>
    <cellStyle name="40% - Énfasis1" xfId="11350" xr:uid="{00000000-0005-0000-0000-0000F92D0000}"/>
    <cellStyle name="40% - Énfasis1 2" xfId="11351" xr:uid="{00000000-0005-0000-0000-0000FA2D0000}"/>
    <cellStyle name="40% - Énfasis1 2 2" xfId="11352" xr:uid="{00000000-0005-0000-0000-0000FB2D0000}"/>
    <cellStyle name="40% - Énfasis1 3" xfId="11353" xr:uid="{00000000-0005-0000-0000-0000FC2D0000}"/>
    <cellStyle name="40% - Énfasis1 4" xfId="11354" xr:uid="{00000000-0005-0000-0000-0000FD2D0000}"/>
    <cellStyle name="40% - Énfasis1 5" xfId="11355" xr:uid="{00000000-0005-0000-0000-0000FE2D0000}"/>
    <cellStyle name="40% - Énfasis1_PAQUETE PARA COTIZAR" xfId="11356" xr:uid="{00000000-0005-0000-0000-0000FF2D0000}"/>
    <cellStyle name="40% - Énfasis2" xfId="11357" xr:uid="{00000000-0005-0000-0000-0000002E0000}"/>
    <cellStyle name="40% - Énfasis2 2" xfId="11358" xr:uid="{00000000-0005-0000-0000-0000012E0000}"/>
    <cellStyle name="40% - Énfasis2 2 2" xfId="11359" xr:uid="{00000000-0005-0000-0000-0000022E0000}"/>
    <cellStyle name="40% - Énfasis2 3" xfId="11360" xr:uid="{00000000-0005-0000-0000-0000032E0000}"/>
    <cellStyle name="40% - Énfasis2 4" xfId="11361" xr:uid="{00000000-0005-0000-0000-0000042E0000}"/>
    <cellStyle name="40% - Énfasis2 5" xfId="11362" xr:uid="{00000000-0005-0000-0000-0000052E0000}"/>
    <cellStyle name="40% - Énfasis2_PAQUETE PARA COTIZAR" xfId="11363" xr:uid="{00000000-0005-0000-0000-0000062E0000}"/>
    <cellStyle name="40% - Énfasis3" xfId="11364" xr:uid="{00000000-0005-0000-0000-0000072E0000}"/>
    <cellStyle name="40% - Énfasis3 2" xfId="11365" xr:uid="{00000000-0005-0000-0000-0000082E0000}"/>
    <cellStyle name="40% - Énfasis3 2 2" xfId="11366" xr:uid="{00000000-0005-0000-0000-0000092E0000}"/>
    <cellStyle name="40% - Énfasis3 3" xfId="11367" xr:uid="{00000000-0005-0000-0000-00000A2E0000}"/>
    <cellStyle name="40% - Énfasis3 4" xfId="11368" xr:uid="{00000000-0005-0000-0000-00000B2E0000}"/>
    <cellStyle name="40% - Énfasis3 5" xfId="11369" xr:uid="{00000000-0005-0000-0000-00000C2E0000}"/>
    <cellStyle name="40% - Énfasis3_PAQUETE PARA COTIZAR" xfId="11370" xr:uid="{00000000-0005-0000-0000-00000D2E0000}"/>
    <cellStyle name="40% - Énfasis4" xfId="11371" xr:uid="{00000000-0005-0000-0000-00000E2E0000}"/>
    <cellStyle name="40% - Énfasis4 2" xfId="11372" xr:uid="{00000000-0005-0000-0000-00000F2E0000}"/>
    <cellStyle name="40% - Énfasis4 2 2" xfId="11373" xr:uid="{00000000-0005-0000-0000-0000102E0000}"/>
    <cellStyle name="40% - Énfasis4 2 3" xfId="11374" xr:uid="{00000000-0005-0000-0000-0000112E0000}"/>
    <cellStyle name="40% - Énfasis4 2 4" xfId="11375" xr:uid="{00000000-0005-0000-0000-0000122E0000}"/>
    <cellStyle name="40% - Énfasis4 2 5" xfId="11376" xr:uid="{00000000-0005-0000-0000-0000132E0000}"/>
    <cellStyle name="40% - Énfasis4 3" xfId="11377" xr:uid="{00000000-0005-0000-0000-0000142E0000}"/>
    <cellStyle name="40% - Énfasis4 3 2" xfId="11378" xr:uid="{00000000-0005-0000-0000-0000152E0000}"/>
    <cellStyle name="40% - Énfasis4 3 3" xfId="11379" xr:uid="{00000000-0005-0000-0000-0000162E0000}"/>
    <cellStyle name="40% - Énfasis4 3 4" xfId="11380" xr:uid="{00000000-0005-0000-0000-0000172E0000}"/>
    <cellStyle name="40% - Énfasis4 4" xfId="11381" xr:uid="{00000000-0005-0000-0000-0000182E0000}"/>
    <cellStyle name="40% - Énfasis4 5" xfId="11382" xr:uid="{00000000-0005-0000-0000-0000192E0000}"/>
    <cellStyle name="40% - Énfasis4 6" xfId="11383" xr:uid="{00000000-0005-0000-0000-00001A2E0000}"/>
    <cellStyle name="40% - Énfasis4_PAQUETE PARA COTIZAR" xfId="11384" xr:uid="{00000000-0005-0000-0000-00001B2E0000}"/>
    <cellStyle name="40% - Énfasis5" xfId="11385" xr:uid="{00000000-0005-0000-0000-00001C2E0000}"/>
    <cellStyle name="40% - Énfasis5 2" xfId="11386" xr:uid="{00000000-0005-0000-0000-00001D2E0000}"/>
    <cellStyle name="40% - Énfasis5 2 2" xfId="11387" xr:uid="{00000000-0005-0000-0000-00001E2E0000}"/>
    <cellStyle name="40% - Énfasis5 2 3" xfId="11388" xr:uid="{00000000-0005-0000-0000-00001F2E0000}"/>
    <cellStyle name="40% - Énfasis5 2 4" xfId="11389" xr:uid="{00000000-0005-0000-0000-0000202E0000}"/>
    <cellStyle name="40% - Énfasis5 2 5" xfId="11390" xr:uid="{00000000-0005-0000-0000-0000212E0000}"/>
    <cellStyle name="40% - Énfasis5 3" xfId="11391" xr:uid="{00000000-0005-0000-0000-0000222E0000}"/>
    <cellStyle name="40% - Énfasis5 3 2" xfId="11392" xr:uid="{00000000-0005-0000-0000-0000232E0000}"/>
    <cellStyle name="40% - Énfasis5 3 3" xfId="11393" xr:uid="{00000000-0005-0000-0000-0000242E0000}"/>
    <cellStyle name="40% - Énfasis5 3 4" xfId="11394" xr:uid="{00000000-0005-0000-0000-0000252E0000}"/>
    <cellStyle name="40% - Énfasis5 4" xfId="11395" xr:uid="{00000000-0005-0000-0000-0000262E0000}"/>
    <cellStyle name="40% - Énfasis5 5" xfId="11396" xr:uid="{00000000-0005-0000-0000-0000272E0000}"/>
    <cellStyle name="40% - Énfasis5 6" xfId="11397" xr:uid="{00000000-0005-0000-0000-0000282E0000}"/>
    <cellStyle name="40% - Énfasis5_PAQUETE PARA COTIZAR" xfId="11398" xr:uid="{00000000-0005-0000-0000-0000292E0000}"/>
    <cellStyle name="40% - Énfasis6" xfId="11399" xr:uid="{00000000-0005-0000-0000-00002A2E0000}"/>
    <cellStyle name="40% - Énfasis6 2" xfId="11400" xr:uid="{00000000-0005-0000-0000-00002B2E0000}"/>
    <cellStyle name="40% - Énfasis6 2 2" xfId="11401" xr:uid="{00000000-0005-0000-0000-00002C2E0000}"/>
    <cellStyle name="40% - Énfasis6 2 3" xfId="11402" xr:uid="{00000000-0005-0000-0000-00002D2E0000}"/>
    <cellStyle name="40% - Énfasis6 2 4" xfId="11403" xr:uid="{00000000-0005-0000-0000-00002E2E0000}"/>
    <cellStyle name="40% - Énfasis6 2 5" xfId="11404" xr:uid="{00000000-0005-0000-0000-00002F2E0000}"/>
    <cellStyle name="40% - Énfasis6 3" xfId="11405" xr:uid="{00000000-0005-0000-0000-0000302E0000}"/>
    <cellStyle name="40% - Énfasis6 3 2" xfId="11406" xr:uid="{00000000-0005-0000-0000-0000312E0000}"/>
    <cellStyle name="40% - Énfasis6 3 3" xfId="11407" xr:uid="{00000000-0005-0000-0000-0000322E0000}"/>
    <cellStyle name="40% - Énfasis6 3 4" xfId="11408" xr:uid="{00000000-0005-0000-0000-0000332E0000}"/>
    <cellStyle name="40% - Énfasis6 4" xfId="11409" xr:uid="{00000000-0005-0000-0000-0000342E0000}"/>
    <cellStyle name="40% - Énfasis6 5" xfId="11410" xr:uid="{00000000-0005-0000-0000-0000352E0000}"/>
    <cellStyle name="40% - Énfasis6 6" xfId="11411" xr:uid="{00000000-0005-0000-0000-0000362E0000}"/>
    <cellStyle name="40% - Énfasis6_PAQUETE PARA COTIZAR" xfId="11412" xr:uid="{00000000-0005-0000-0000-0000372E0000}"/>
    <cellStyle name="40% - 강조색1" xfId="25048" xr:uid="{00000000-0005-0000-0000-0000382E0000}"/>
    <cellStyle name="40% - 강조색1 2" xfId="25049" xr:uid="{00000000-0005-0000-0000-0000392E0000}"/>
    <cellStyle name="40% - 강조색1 3" xfId="25050" xr:uid="{00000000-0005-0000-0000-00003A2E0000}"/>
    <cellStyle name="40% - 강조색2" xfId="25051" xr:uid="{00000000-0005-0000-0000-00003B2E0000}"/>
    <cellStyle name="40% - 강조색2 2" xfId="25052" xr:uid="{00000000-0005-0000-0000-00003C2E0000}"/>
    <cellStyle name="40% - 강조색2 3" xfId="25053" xr:uid="{00000000-0005-0000-0000-00003D2E0000}"/>
    <cellStyle name="40% - 강조색3" xfId="25054" xr:uid="{00000000-0005-0000-0000-00003E2E0000}"/>
    <cellStyle name="40% - 강조색3 2" xfId="25055" xr:uid="{00000000-0005-0000-0000-00003F2E0000}"/>
    <cellStyle name="40% - 강조색3 3" xfId="25056" xr:uid="{00000000-0005-0000-0000-0000402E0000}"/>
    <cellStyle name="40% - 강조색4" xfId="25057" xr:uid="{00000000-0005-0000-0000-0000412E0000}"/>
    <cellStyle name="40% - 강조색4 2" xfId="25058" xr:uid="{00000000-0005-0000-0000-0000422E0000}"/>
    <cellStyle name="40% - 강조색4 3" xfId="25059" xr:uid="{00000000-0005-0000-0000-0000432E0000}"/>
    <cellStyle name="40% - 강조색5" xfId="25060" xr:uid="{00000000-0005-0000-0000-0000442E0000}"/>
    <cellStyle name="40% - 강조색5 2" xfId="25061" xr:uid="{00000000-0005-0000-0000-0000452E0000}"/>
    <cellStyle name="40% - 강조색5 3" xfId="25062" xr:uid="{00000000-0005-0000-0000-0000462E0000}"/>
    <cellStyle name="40% - 강조색6" xfId="25063" xr:uid="{00000000-0005-0000-0000-0000472E0000}"/>
    <cellStyle name="40% - 강조색6 2" xfId="25064" xr:uid="{00000000-0005-0000-0000-0000482E0000}"/>
    <cellStyle name="40% - 강조색6 3" xfId="25065" xr:uid="{00000000-0005-0000-0000-0000492E0000}"/>
    <cellStyle name="40% - 强调文字颜色 1" xfId="11413" xr:uid="{00000000-0005-0000-0000-00004A2E0000}"/>
    <cellStyle name="40% - 强调文字颜色 1 2" xfId="11414" xr:uid="{00000000-0005-0000-0000-00004B2E0000}"/>
    <cellStyle name="40% - 强调文字颜色 1 2 2" xfId="11415" xr:uid="{00000000-0005-0000-0000-00004C2E0000}"/>
    <cellStyle name="40% - 强调文字颜色 1 2 3" xfId="11416" xr:uid="{00000000-0005-0000-0000-00004D2E0000}"/>
    <cellStyle name="40% - 强调文字颜色 1 2 4" xfId="11417" xr:uid="{00000000-0005-0000-0000-00004E2E0000}"/>
    <cellStyle name="40% - 强调文字颜色 1 2 5" xfId="11418" xr:uid="{00000000-0005-0000-0000-00004F2E0000}"/>
    <cellStyle name="40% - 强调文字颜色 1 3" xfId="11419" xr:uid="{00000000-0005-0000-0000-0000502E0000}"/>
    <cellStyle name="40% - 强调文字颜色 1 3 2" xfId="11420" xr:uid="{00000000-0005-0000-0000-0000512E0000}"/>
    <cellStyle name="40% - 强调文字颜色 1 3 3" xfId="11421" xr:uid="{00000000-0005-0000-0000-0000522E0000}"/>
    <cellStyle name="40% - 强调文字颜色 1 4" xfId="11422" xr:uid="{00000000-0005-0000-0000-0000532E0000}"/>
    <cellStyle name="40% - 强调文字颜色 1 5" xfId="11423" xr:uid="{00000000-0005-0000-0000-0000542E0000}"/>
    <cellStyle name="40% - 强调文字颜色 1 6" xfId="11424" xr:uid="{00000000-0005-0000-0000-0000552E0000}"/>
    <cellStyle name="40% - 强调文字颜色 1 7" xfId="11425" xr:uid="{00000000-0005-0000-0000-0000562E0000}"/>
    <cellStyle name="40% - 强调文字颜色 2" xfId="11426" xr:uid="{00000000-0005-0000-0000-0000572E0000}"/>
    <cellStyle name="40% - 强调文字颜色 2 2" xfId="11427" xr:uid="{00000000-0005-0000-0000-0000582E0000}"/>
    <cellStyle name="40% - 强调文字颜色 2 2 2" xfId="11428" xr:uid="{00000000-0005-0000-0000-0000592E0000}"/>
    <cellStyle name="40% - 强调文字颜色 2 2 3" xfId="11429" xr:uid="{00000000-0005-0000-0000-00005A2E0000}"/>
    <cellStyle name="40% - 强调文字颜色 2 2 4" xfId="11430" xr:uid="{00000000-0005-0000-0000-00005B2E0000}"/>
    <cellStyle name="40% - 强调文字颜色 2 2 5" xfId="11431" xr:uid="{00000000-0005-0000-0000-00005C2E0000}"/>
    <cellStyle name="40% - 强调文字颜色 2 3" xfId="11432" xr:uid="{00000000-0005-0000-0000-00005D2E0000}"/>
    <cellStyle name="40% - 强调文字颜色 2 3 2" xfId="11433" xr:uid="{00000000-0005-0000-0000-00005E2E0000}"/>
    <cellStyle name="40% - 强调文字颜色 2 3 3" xfId="11434" xr:uid="{00000000-0005-0000-0000-00005F2E0000}"/>
    <cellStyle name="40% - 强调文字颜色 2 4" xfId="11435" xr:uid="{00000000-0005-0000-0000-0000602E0000}"/>
    <cellStyle name="40% - 强调文字颜色 2 5" xfId="11436" xr:uid="{00000000-0005-0000-0000-0000612E0000}"/>
    <cellStyle name="40% - 强调文字颜色 2 6" xfId="11437" xr:uid="{00000000-0005-0000-0000-0000622E0000}"/>
    <cellStyle name="40% - 强调文字颜色 2 7" xfId="11438" xr:uid="{00000000-0005-0000-0000-0000632E0000}"/>
    <cellStyle name="40% - 强调文字颜色 3" xfId="11439" xr:uid="{00000000-0005-0000-0000-0000642E0000}"/>
    <cellStyle name="40% - 强调文字颜色 3 2" xfId="11440" xr:uid="{00000000-0005-0000-0000-0000652E0000}"/>
    <cellStyle name="40% - 强调文字颜色 3 2 2" xfId="11441" xr:uid="{00000000-0005-0000-0000-0000662E0000}"/>
    <cellStyle name="40% - 强调文字颜色 3 2 3" xfId="11442" xr:uid="{00000000-0005-0000-0000-0000672E0000}"/>
    <cellStyle name="40% - 强调文字颜色 3 2 4" xfId="11443" xr:uid="{00000000-0005-0000-0000-0000682E0000}"/>
    <cellStyle name="40% - 强调文字颜色 3 2 5" xfId="11444" xr:uid="{00000000-0005-0000-0000-0000692E0000}"/>
    <cellStyle name="40% - 强调文字颜色 3 3" xfId="11445" xr:uid="{00000000-0005-0000-0000-00006A2E0000}"/>
    <cellStyle name="40% - 强调文字颜色 3 3 2" xfId="11446" xr:uid="{00000000-0005-0000-0000-00006B2E0000}"/>
    <cellStyle name="40% - 强调文字颜色 3 3 3" xfId="11447" xr:uid="{00000000-0005-0000-0000-00006C2E0000}"/>
    <cellStyle name="40% - 强调文字颜色 3 4" xfId="11448" xr:uid="{00000000-0005-0000-0000-00006D2E0000}"/>
    <cellStyle name="40% - 强调文字颜色 3 5" xfId="11449" xr:uid="{00000000-0005-0000-0000-00006E2E0000}"/>
    <cellStyle name="40% - 强调文字颜色 3 6" xfId="11450" xr:uid="{00000000-0005-0000-0000-00006F2E0000}"/>
    <cellStyle name="40% - 强调文字颜色 3 7" xfId="11451" xr:uid="{00000000-0005-0000-0000-0000702E0000}"/>
    <cellStyle name="40% - 强调文字颜色 4" xfId="11452" xr:uid="{00000000-0005-0000-0000-0000712E0000}"/>
    <cellStyle name="40% - 强调文字颜色 4 2" xfId="11453" xr:uid="{00000000-0005-0000-0000-0000722E0000}"/>
    <cellStyle name="40% - 强调文字颜色 4 2 2" xfId="11454" xr:uid="{00000000-0005-0000-0000-0000732E0000}"/>
    <cellStyle name="40% - 强调文字颜色 4 2 3" xfId="11455" xr:uid="{00000000-0005-0000-0000-0000742E0000}"/>
    <cellStyle name="40% - 强调文字颜色 4 2 4" xfId="11456" xr:uid="{00000000-0005-0000-0000-0000752E0000}"/>
    <cellStyle name="40% - 强调文字颜色 4 2 5" xfId="11457" xr:uid="{00000000-0005-0000-0000-0000762E0000}"/>
    <cellStyle name="40% - 强调文字颜色 4 3" xfId="11458" xr:uid="{00000000-0005-0000-0000-0000772E0000}"/>
    <cellStyle name="40% - 强调文字颜色 4 3 2" xfId="11459" xr:uid="{00000000-0005-0000-0000-0000782E0000}"/>
    <cellStyle name="40% - 强调文字颜色 4 3 3" xfId="11460" xr:uid="{00000000-0005-0000-0000-0000792E0000}"/>
    <cellStyle name="40% - 强调文字颜色 4 4" xfId="11461" xr:uid="{00000000-0005-0000-0000-00007A2E0000}"/>
    <cellStyle name="40% - 强调文字颜色 4 5" xfId="11462" xr:uid="{00000000-0005-0000-0000-00007B2E0000}"/>
    <cellStyle name="40% - 强调文字颜色 4 6" xfId="11463" xr:uid="{00000000-0005-0000-0000-00007C2E0000}"/>
    <cellStyle name="40% - 强调文字颜色 4 7" xfId="11464" xr:uid="{00000000-0005-0000-0000-00007D2E0000}"/>
    <cellStyle name="40% - 强调文字颜色 5" xfId="11465" xr:uid="{00000000-0005-0000-0000-00007E2E0000}"/>
    <cellStyle name="40% - 强调文字颜色 5 2" xfId="11466" xr:uid="{00000000-0005-0000-0000-00007F2E0000}"/>
    <cellStyle name="40% - 强调文字颜色 5 2 2" xfId="11467" xr:uid="{00000000-0005-0000-0000-0000802E0000}"/>
    <cellStyle name="40% - 强调文字颜色 5 2 3" xfId="11468" xr:uid="{00000000-0005-0000-0000-0000812E0000}"/>
    <cellStyle name="40% - 强调文字颜色 5 2 4" xfId="11469" xr:uid="{00000000-0005-0000-0000-0000822E0000}"/>
    <cellStyle name="40% - 强调文字颜色 5 2 5" xfId="11470" xr:uid="{00000000-0005-0000-0000-0000832E0000}"/>
    <cellStyle name="40% - 强调文字颜色 5 3" xfId="11471" xr:uid="{00000000-0005-0000-0000-0000842E0000}"/>
    <cellStyle name="40% - 强调文字颜色 5 3 2" xfId="11472" xr:uid="{00000000-0005-0000-0000-0000852E0000}"/>
    <cellStyle name="40% - 强调文字颜色 5 3 3" xfId="11473" xr:uid="{00000000-0005-0000-0000-0000862E0000}"/>
    <cellStyle name="40% - 强调文字颜色 5 4" xfId="11474" xr:uid="{00000000-0005-0000-0000-0000872E0000}"/>
    <cellStyle name="40% - 强调文字颜色 5 5" xfId="11475" xr:uid="{00000000-0005-0000-0000-0000882E0000}"/>
    <cellStyle name="40% - 强调文字颜色 5 6" xfId="11476" xr:uid="{00000000-0005-0000-0000-0000892E0000}"/>
    <cellStyle name="40% - 强调文字颜色 5 7" xfId="11477" xr:uid="{00000000-0005-0000-0000-00008A2E0000}"/>
    <cellStyle name="40% - 强调文字颜色 6" xfId="11478" xr:uid="{00000000-0005-0000-0000-00008B2E0000}"/>
    <cellStyle name="40% - 强调文字颜色 6 2" xfId="11479" xr:uid="{00000000-0005-0000-0000-00008C2E0000}"/>
    <cellStyle name="40% - 强调文字颜色 6 2 2" xfId="11480" xr:uid="{00000000-0005-0000-0000-00008D2E0000}"/>
    <cellStyle name="40% - 强调文字颜色 6 2 3" xfId="11481" xr:uid="{00000000-0005-0000-0000-00008E2E0000}"/>
    <cellStyle name="40% - 强调文字颜色 6 2 4" xfId="11482" xr:uid="{00000000-0005-0000-0000-00008F2E0000}"/>
    <cellStyle name="40% - 强调文字颜色 6 2 5" xfId="11483" xr:uid="{00000000-0005-0000-0000-0000902E0000}"/>
    <cellStyle name="40% - 强调文字颜色 6 3" xfId="11484" xr:uid="{00000000-0005-0000-0000-0000912E0000}"/>
    <cellStyle name="40% - 强调文字颜色 6 3 2" xfId="11485" xr:uid="{00000000-0005-0000-0000-0000922E0000}"/>
    <cellStyle name="40% - 强调文字颜色 6 3 3" xfId="11486" xr:uid="{00000000-0005-0000-0000-0000932E0000}"/>
    <cellStyle name="40% - 强调文字颜色 6 4" xfId="11487" xr:uid="{00000000-0005-0000-0000-0000942E0000}"/>
    <cellStyle name="40% - 强调文字颜色 6 5" xfId="11488" xr:uid="{00000000-0005-0000-0000-0000952E0000}"/>
    <cellStyle name="40% - 强调文字颜色 6 6" xfId="11489" xr:uid="{00000000-0005-0000-0000-0000962E0000}"/>
    <cellStyle name="40% - 强调文字颜色 6 7" xfId="11490" xr:uid="{00000000-0005-0000-0000-0000972E0000}"/>
    <cellStyle name="60 % - Accent1" xfId="11491" xr:uid="{00000000-0005-0000-0000-0000982E0000}"/>
    <cellStyle name="60 % - Accent2" xfId="11492" xr:uid="{00000000-0005-0000-0000-0000992E0000}"/>
    <cellStyle name="60 % - Accent3" xfId="11493" xr:uid="{00000000-0005-0000-0000-00009A2E0000}"/>
    <cellStyle name="60 % - Accent4" xfId="11494" xr:uid="{00000000-0005-0000-0000-00009B2E0000}"/>
    <cellStyle name="60 % - Accent5" xfId="11495" xr:uid="{00000000-0005-0000-0000-00009C2E0000}"/>
    <cellStyle name="60 % - Accent6" xfId="11496" xr:uid="{00000000-0005-0000-0000-00009D2E0000}"/>
    <cellStyle name="60% - Accent1 10" xfId="11497" xr:uid="{00000000-0005-0000-0000-00009E2E0000}"/>
    <cellStyle name="60% - Accent1 10 2" xfId="11498" xr:uid="{00000000-0005-0000-0000-00009F2E0000}"/>
    <cellStyle name="60% - Accent1 10 3" xfId="11499" xr:uid="{00000000-0005-0000-0000-0000A02E0000}"/>
    <cellStyle name="60% - Accent1 10 4" xfId="11500" xr:uid="{00000000-0005-0000-0000-0000A12E0000}"/>
    <cellStyle name="60% - Accent1 11" xfId="11501" xr:uid="{00000000-0005-0000-0000-0000A22E0000}"/>
    <cellStyle name="60% - Accent1 11 2" xfId="11502" xr:uid="{00000000-0005-0000-0000-0000A32E0000}"/>
    <cellStyle name="60% - Accent1 11 3" xfId="11503" xr:uid="{00000000-0005-0000-0000-0000A42E0000}"/>
    <cellStyle name="60% - Accent1 11 4" xfId="11504" xr:uid="{00000000-0005-0000-0000-0000A52E0000}"/>
    <cellStyle name="60% - Accent1 12" xfId="11505" xr:uid="{00000000-0005-0000-0000-0000A62E0000}"/>
    <cellStyle name="60% - Accent1 12 2" xfId="11506" xr:uid="{00000000-0005-0000-0000-0000A72E0000}"/>
    <cellStyle name="60% - Accent1 12 3" xfId="11507" xr:uid="{00000000-0005-0000-0000-0000A82E0000}"/>
    <cellStyle name="60% - Accent1 12 4" xfId="11508" xr:uid="{00000000-0005-0000-0000-0000A92E0000}"/>
    <cellStyle name="60% - Accent1 13" xfId="11509" xr:uid="{00000000-0005-0000-0000-0000AA2E0000}"/>
    <cellStyle name="60% - Accent1 13 2" xfId="11510" xr:uid="{00000000-0005-0000-0000-0000AB2E0000}"/>
    <cellStyle name="60% - Accent1 13 3" xfId="11511" xr:uid="{00000000-0005-0000-0000-0000AC2E0000}"/>
    <cellStyle name="60% - Accent1 13 4" xfId="11512" xr:uid="{00000000-0005-0000-0000-0000AD2E0000}"/>
    <cellStyle name="60% - Accent1 14" xfId="11513" xr:uid="{00000000-0005-0000-0000-0000AE2E0000}"/>
    <cellStyle name="60% - Accent1 14 2" xfId="11514" xr:uid="{00000000-0005-0000-0000-0000AF2E0000}"/>
    <cellStyle name="60% - Accent1 14 3" xfId="11515" xr:uid="{00000000-0005-0000-0000-0000B02E0000}"/>
    <cellStyle name="60% - Accent1 14 4" xfId="11516" xr:uid="{00000000-0005-0000-0000-0000B12E0000}"/>
    <cellStyle name="60% - Accent1 15" xfId="11517" xr:uid="{00000000-0005-0000-0000-0000B22E0000}"/>
    <cellStyle name="60% - Accent1 15 2" xfId="11518" xr:uid="{00000000-0005-0000-0000-0000B32E0000}"/>
    <cellStyle name="60% - Accent1 15 3" xfId="11519" xr:uid="{00000000-0005-0000-0000-0000B42E0000}"/>
    <cellStyle name="60% - Accent1 15 4" xfId="11520" xr:uid="{00000000-0005-0000-0000-0000B52E0000}"/>
    <cellStyle name="60% - Accent1 16" xfId="11521" xr:uid="{00000000-0005-0000-0000-0000B62E0000}"/>
    <cellStyle name="60% - Accent1 16 2" xfId="11522" xr:uid="{00000000-0005-0000-0000-0000B72E0000}"/>
    <cellStyle name="60% - Accent1 16 3" xfId="11523" xr:uid="{00000000-0005-0000-0000-0000B82E0000}"/>
    <cellStyle name="60% - Accent1 16 4" xfId="11524" xr:uid="{00000000-0005-0000-0000-0000B92E0000}"/>
    <cellStyle name="60% - Accent1 17" xfId="11525" xr:uid="{00000000-0005-0000-0000-0000BA2E0000}"/>
    <cellStyle name="60% - Accent1 17 2" xfId="11526" xr:uid="{00000000-0005-0000-0000-0000BB2E0000}"/>
    <cellStyle name="60% - Accent1 17 3" xfId="11527" xr:uid="{00000000-0005-0000-0000-0000BC2E0000}"/>
    <cellStyle name="60% - Accent1 17 4" xfId="11528" xr:uid="{00000000-0005-0000-0000-0000BD2E0000}"/>
    <cellStyle name="60% - Accent1 18" xfId="11529" xr:uid="{00000000-0005-0000-0000-0000BE2E0000}"/>
    <cellStyle name="60% - Accent1 18 2" xfId="11530" xr:uid="{00000000-0005-0000-0000-0000BF2E0000}"/>
    <cellStyle name="60% - Accent1 18 3" xfId="11531" xr:uid="{00000000-0005-0000-0000-0000C02E0000}"/>
    <cellStyle name="60% - Accent1 18 4" xfId="11532" xr:uid="{00000000-0005-0000-0000-0000C12E0000}"/>
    <cellStyle name="60% - Accent1 19" xfId="11533" xr:uid="{00000000-0005-0000-0000-0000C22E0000}"/>
    <cellStyle name="60% - Accent1 19 2" xfId="11534" xr:uid="{00000000-0005-0000-0000-0000C32E0000}"/>
    <cellStyle name="60% - Accent1 19 3" xfId="11535" xr:uid="{00000000-0005-0000-0000-0000C42E0000}"/>
    <cellStyle name="60% - Accent1 19 4" xfId="11536" xr:uid="{00000000-0005-0000-0000-0000C52E0000}"/>
    <cellStyle name="60% - Accent1 2" xfId="11537" xr:uid="{00000000-0005-0000-0000-0000C62E0000}"/>
    <cellStyle name="60% - Accent1 2 2" xfId="11538" xr:uid="{00000000-0005-0000-0000-0000C72E0000}"/>
    <cellStyle name="60% - Accent1 2 2 2" xfId="11539" xr:uid="{00000000-0005-0000-0000-0000C82E0000}"/>
    <cellStyle name="60% - Accent1 2 2 3" xfId="11540" xr:uid="{00000000-0005-0000-0000-0000C92E0000}"/>
    <cellStyle name="60% - Accent1 2 2 4" xfId="11541" xr:uid="{00000000-0005-0000-0000-0000CA2E0000}"/>
    <cellStyle name="60% - Accent1 2 3" xfId="11542" xr:uid="{00000000-0005-0000-0000-0000CB2E0000}"/>
    <cellStyle name="60% - Accent1 2 3 2" xfId="11543" xr:uid="{00000000-0005-0000-0000-0000CC2E0000}"/>
    <cellStyle name="60% - Accent1 2 3 3" xfId="11544" xr:uid="{00000000-0005-0000-0000-0000CD2E0000}"/>
    <cellStyle name="60% - Accent1 2 3 4" xfId="11545" xr:uid="{00000000-0005-0000-0000-0000CE2E0000}"/>
    <cellStyle name="60% - Accent1 2 4" xfId="11546" xr:uid="{00000000-0005-0000-0000-0000CF2E0000}"/>
    <cellStyle name="60% - Accent1 2 4 2" xfId="11547" xr:uid="{00000000-0005-0000-0000-0000D02E0000}"/>
    <cellStyle name="60% - Accent1 2 4 3" xfId="11548" xr:uid="{00000000-0005-0000-0000-0000D12E0000}"/>
    <cellStyle name="60% - Accent1 2 4 4" xfId="11549" xr:uid="{00000000-0005-0000-0000-0000D22E0000}"/>
    <cellStyle name="60% - Accent1 2 5" xfId="11550" xr:uid="{00000000-0005-0000-0000-0000D32E0000}"/>
    <cellStyle name="60% - Accent1 2 6" xfId="11551" xr:uid="{00000000-0005-0000-0000-0000D42E0000}"/>
    <cellStyle name="60% - Accent1 2 7" xfId="11552" xr:uid="{00000000-0005-0000-0000-0000D52E0000}"/>
    <cellStyle name="60% - Accent1 2 8" xfId="11553" xr:uid="{00000000-0005-0000-0000-0000D62E0000}"/>
    <cellStyle name="60% - Accent1 20" xfId="11554" xr:uid="{00000000-0005-0000-0000-0000D72E0000}"/>
    <cellStyle name="60% - Accent1 20 2" xfId="11555" xr:uid="{00000000-0005-0000-0000-0000D82E0000}"/>
    <cellStyle name="60% - Accent1 20 3" xfId="11556" xr:uid="{00000000-0005-0000-0000-0000D92E0000}"/>
    <cellStyle name="60% - Accent1 20 4" xfId="11557" xr:uid="{00000000-0005-0000-0000-0000DA2E0000}"/>
    <cellStyle name="60% - Accent1 21" xfId="11558" xr:uid="{00000000-0005-0000-0000-0000DB2E0000}"/>
    <cellStyle name="60% - Accent1 21 2" xfId="11559" xr:uid="{00000000-0005-0000-0000-0000DC2E0000}"/>
    <cellStyle name="60% - Accent1 21 3" xfId="11560" xr:uid="{00000000-0005-0000-0000-0000DD2E0000}"/>
    <cellStyle name="60% - Accent1 21 4" xfId="11561" xr:uid="{00000000-0005-0000-0000-0000DE2E0000}"/>
    <cellStyle name="60% - Accent1 22" xfId="11562" xr:uid="{00000000-0005-0000-0000-0000DF2E0000}"/>
    <cellStyle name="60% - Accent1 22 2" xfId="11563" xr:uid="{00000000-0005-0000-0000-0000E02E0000}"/>
    <cellStyle name="60% - Accent1 22 3" xfId="11564" xr:uid="{00000000-0005-0000-0000-0000E12E0000}"/>
    <cellStyle name="60% - Accent1 22 4" xfId="11565" xr:uid="{00000000-0005-0000-0000-0000E22E0000}"/>
    <cellStyle name="60% - Accent1 23" xfId="11566" xr:uid="{00000000-0005-0000-0000-0000E32E0000}"/>
    <cellStyle name="60% - Accent1 23 2" xfId="11567" xr:uid="{00000000-0005-0000-0000-0000E42E0000}"/>
    <cellStyle name="60% - Accent1 23 3" xfId="11568" xr:uid="{00000000-0005-0000-0000-0000E52E0000}"/>
    <cellStyle name="60% - Accent1 23 4" xfId="11569" xr:uid="{00000000-0005-0000-0000-0000E62E0000}"/>
    <cellStyle name="60% - Accent1 24" xfId="11570" xr:uid="{00000000-0005-0000-0000-0000E72E0000}"/>
    <cellStyle name="60% - Accent1 24 2" xfId="11571" xr:uid="{00000000-0005-0000-0000-0000E82E0000}"/>
    <cellStyle name="60% - Accent1 24 3" xfId="11572" xr:uid="{00000000-0005-0000-0000-0000E92E0000}"/>
    <cellStyle name="60% - Accent1 24 4" xfId="11573" xr:uid="{00000000-0005-0000-0000-0000EA2E0000}"/>
    <cellStyle name="60% - Accent1 25" xfId="11574" xr:uid="{00000000-0005-0000-0000-0000EB2E0000}"/>
    <cellStyle name="60% - Accent1 25 2" xfId="11575" xr:uid="{00000000-0005-0000-0000-0000EC2E0000}"/>
    <cellStyle name="60% - Accent1 25 3" xfId="11576" xr:uid="{00000000-0005-0000-0000-0000ED2E0000}"/>
    <cellStyle name="60% - Accent1 25 4" xfId="11577" xr:uid="{00000000-0005-0000-0000-0000EE2E0000}"/>
    <cellStyle name="60% - Accent1 26" xfId="11578" xr:uid="{00000000-0005-0000-0000-0000EF2E0000}"/>
    <cellStyle name="60% - Accent1 26 2" xfId="11579" xr:uid="{00000000-0005-0000-0000-0000F02E0000}"/>
    <cellStyle name="60% - Accent1 26 3" xfId="11580" xr:uid="{00000000-0005-0000-0000-0000F12E0000}"/>
    <cellStyle name="60% - Accent1 26 4" xfId="11581" xr:uid="{00000000-0005-0000-0000-0000F22E0000}"/>
    <cellStyle name="60% - Accent1 27" xfId="11582" xr:uid="{00000000-0005-0000-0000-0000F32E0000}"/>
    <cellStyle name="60% - Accent1 27 2" xfId="11583" xr:uid="{00000000-0005-0000-0000-0000F42E0000}"/>
    <cellStyle name="60% - Accent1 27 3" xfId="11584" xr:uid="{00000000-0005-0000-0000-0000F52E0000}"/>
    <cellStyle name="60% - Accent1 27 4" xfId="11585" xr:uid="{00000000-0005-0000-0000-0000F62E0000}"/>
    <cellStyle name="60% - Accent1 28" xfId="11586" xr:uid="{00000000-0005-0000-0000-0000F72E0000}"/>
    <cellStyle name="60% - Accent1 28 2" xfId="11587" xr:uid="{00000000-0005-0000-0000-0000F82E0000}"/>
    <cellStyle name="60% - Accent1 28 3" xfId="11588" xr:uid="{00000000-0005-0000-0000-0000F92E0000}"/>
    <cellStyle name="60% - Accent1 28 4" xfId="11589" xr:uid="{00000000-0005-0000-0000-0000FA2E0000}"/>
    <cellStyle name="60% - Accent1 29" xfId="11590" xr:uid="{00000000-0005-0000-0000-0000FB2E0000}"/>
    <cellStyle name="60% - Accent1 29 2" xfId="11591" xr:uid="{00000000-0005-0000-0000-0000FC2E0000}"/>
    <cellStyle name="60% - Accent1 29 3" xfId="11592" xr:uid="{00000000-0005-0000-0000-0000FD2E0000}"/>
    <cellStyle name="60% - Accent1 29 4" xfId="11593" xr:uid="{00000000-0005-0000-0000-0000FE2E0000}"/>
    <cellStyle name="60% - Accent1 3" xfId="11594" xr:uid="{00000000-0005-0000-0000-0000FF2E0000}"/>
    <cellStyle name="60% - Accent1 3 2" xfId="11595" xr:uid="{00000000-0005-0000-0000-0000002F0000}"/>
    <cellStyle name="60% - Accent1 3 2 2" xfId="11596" xr:uid="{00000000-0005-0000-0000-0000012F0000}"/>
    <cellStyle name="60% - Accent1 3 2 3" xfId="11597" xr:uid="{00000000-0005-0000-0000-0000022F0000}"/>
    <cellStyle name="60% - Accent1 3 2 4" xfId="11598" xr:uid="{00000000-0005-0000-0000-0000032F0000}"/>
    <cellStyle name="60% - Accent1 3 3" xfId="11599" xr:uid="{00000000-0005-0000-0000-0000042F0000}"/>
    <cellStyle name="60% - Accent1 3 3 2" xfId="11600" xr:uid="{00000000-0005-0000-0000-0000052F0000}"/>
    <cellStyle name="60% - Accent1 3 3 3" xfId="11601" xr:uid="{00000000-0005-0000-0000-0000062F0000}"/>
    <cellStyle name="60% - Accent1 3 3 4" xfId="11602" xr:uid="{00000000-0005-0000-0000-0000072F0000}"/>
    <cellStyle name="60% - Accent1 3 4" xfId="11603" xr:uid="{00000000-0005-0000-0000-0000082F0000}"/>
    <cellStyle name="60% - Accent1 3 4 2" xfId="11604" xr:uid="{00000000-0005-0000-0000-0000092F0000}"/>
    <cellStyle name="60% - Accent1 3 4 3" xfId="11605" xr:uid="{00000000-0005-0000-0000-00000A2F0000}"/>
    <cellStyle name="60% - Accent1 3 4 4" xfId="11606" xr:uid="{00000000-0005-0000-0000-00000B2F0000}"/>
    <cellStyle name="60% - Accent1 3 5" xfId="11607" xr:uid="{00000000-0005-0000-0000-00000C2F0000}"/>
    <cellStyle name="60% - Accent1 3 6" xfId="11608" xr:uid="{00000000-0005-0000-0000-00000D2F0000}"/>
    <cellStyle name="60% - Accent1 3 7" xfId="11609" xr:uid="{00000000-0005-0000-0000-00000E2F0000}"/>
    <cellStyle name="60% - Accent1 3 8" xfId="11610" xr:uid="{00000000-0005-0000-0000-00000F2F0000}"/>
    <cellStyle name="60% - Accent1 30" xfId="11611" xr:uid="{00000000-0005-0000-0000-0000102F0000}"/>
    <cellStyle name="60% - Accent1 31" xfId="11612" xr:uid="{00000000-0005-0000-0000-0000112F0000}"/>
    <cellStyle name="60% - Accent1 32" xfId="11613" xr:uid="{00000000-0005-0000-0000-0000122F0000}"/>
    <cellStyle name="60% - Accent1 4" xfId="11614" xr:uid="{00000000-0005-0000-0000-0000132F0000}"/>
    <cellStyle name="60% - Accent1 4 2" xfId="11615" xr:uid="{00000000-0005-0000-0000-0000142F0000}"/>
    <cellStyle name="60% - Accent1 4 3" xfId="11616" xr:uid="{00000000-0005-0000-0000-0000152F0000}"/>
    <cellStyle name="60% - Accent1 4 4" xfId="11617" xr:uid="{00000000-0005-0000-0000-0000162F0000}"/>
    <cellStyle name="60% - Accent1 4 5" xfId="11618" xr:uid="{00000000-0005-0000-0000-0000172F0000}"/>
    <cellStyle name="60% - Accent1 4 6" xfId="11619" xr:uid="{00000000-0005-0000-0000-0000182F0000}"/>
    <cellStyle name="60% - Accent1 5" xfId="11620" xr:uid="{00000000-0005-0000-0000-0000192F0000}"/>
    <cellStyle name="60% - Accent1 5 2" xfId="11621" xr:uid="{00000000-0005-0000-0000-00001A2F0000}"/>
    <cellStyle name="60% - Accent1 5 3" xfId="11622" xr:uid="{00000000-0005-0000-0000-00001B2F0000}"/>
    <cellStyle name="60% - Accent1 5 4" xfId="11623" xr:uid="{00000000-0005-0000-0000-00001C2F0000}"/>
    <cellStyle name="60% - Accent1 5 5" xfId="11624" xr:uid="{00000000-0005-0000-0000-00001D2F0000}"/>
    <cellStyle name="60% - Accent1 5 6" xfId="11625" xr:uid="{00000000-0005-0000-0000-00001E2F0000}"/>
    <cellStyle name="60% - Accent1 6" xfId="11626" xr:uid="{00000000-0005-0000-0000-00001F2F0000}"/>
    <cellStyle name="60% - Accent1 6 2" xfId="11627" xr:uid="{00000000-0005-0000-0000-0000202F0000}"/>
    <cellStyle name="60% - Accent1 6 3" xfId="11628" xr:uid="{00000000-0005-0000-0000-0000212F0000}"/>
    <cellStyle name="60% - Accent1 6 4" xfId="11629" xr:uid="{00000000-0005-0000-0000-0000222F0000}"/>
    <cellStyle name="60% - Accent1 6 5" xfId="11630" xr:uid="{00000000-0005-0000-0000-0000232F0000}"/>
    <cellStyle name="60% - Accent1 6 6" xfId="11631" xr:uid="{00000000-0005-0000-0000-0000242F0000}"/>
    <cellStyle name="60% - Accent1 7" xfId="11632" xr:uid="{00000000-0005-0000-0000-0000252F0000}"/>
    <cellStyle name="60% - Accent1 7 2" xfId="11633" xr:uid="{00000000-0005-0000-0000-0000262F0000}"/>
    <cellStyle name="60% - Accent1 7 3" xfId="11634" xr:uid="{00000000-0005-0000-0000-0000272F0000}"/>
    <cellStyle name="60% - Accent1 7 4" xfId="11635" xr:uid="{00000000-0005-0000-0000-0000282F0000}"/>
    <cellStyle name="60% - Accent1 7 5" xfId="11636" xr:uid="{00000000-0005-0000-0000-0000292F0000}"/>
    <cellStyle name="60% - Accent1 7 6" xfId="11637" xr:uid="{00000000-0005-0000-0000-00002A2F0000}"/>
    <cellStyle name="60% - Accent1 8" xfId="11638" xr:uid="{00000000-0005-0000-0000-00002B2F0000}"/>
    <cellStyle name="60% - Accent1 8 2" xfId="11639" xr:uid="{00000000-0005-0000-0000-00002C2F0000}"/>
    <cellStyle name="60% - Accent1 8 3" xfId="11640" xr:uid="{00000000-0005-0000-0000-00002D2F0000}"/>
    <cellStyle name="60% - Accent1 8 4" xfId="11641" xr:uid="{00000000-0005-0000-0000-00002E2F0000}"/>
    <cellStyle name="60% - Accent1 8 5" xfId="11642" xr:uid="{00000000-0005-0000-0000-00002F2F0000}"/>
    <cellStyle name="60% - Accent1 8 6" xfId="11643" xr:uid="{00000000-0005-0000-0000-0000302F0000}"/>
    <cellStyle name="60% - Accent1 9" xfId="11644" xr:uid="{00000000-0005-0000-0000-0000312F0000}"/>
    <cellStyle name="60% - Accent1 9 2" xfId="11645" xr:uid="{00000000-0005-0000-0000-0000322F0000}"/>
    <cellStyle name="60% - Accent1 9 3" xfId="11646" xr:uid="{00000000-0005-0000-0000-0000332F0000}"/>
    <cellStyle name="60% - Accent1 9 4" xfId="11647" xr:uid="{00000000-0005-0000-0000-0000342F0000}"/>
    <cellStyle name="60% - Accent2 10" xfId="11648" xr:uid="{00000000-0005-0000-0000-0000352F0000}"/>
    <cellStyle name="60% - Accent2 10 2" xfId="11649" xr:uid="{00000000-0005-0000-0000-0000362F0000}"/>
    <cellStyle name="60% - Accent2 10 3" xfId="11650" xr:uid="{00000000-0005-0000-0000-0000372F0000}"/>
    <cellStyle name="60% - Accent2 10 4" xfId="11651" xr:uid="{00000000-0005-0000-0000-0000382F0000}"/>
    <cellStyle name="60% - Accent2 11" xfId="11652" xr:uid="{00000000-0005-0000-0000-0000392F0000}"/>
    <cellStyle name="60% - Accent2 11 2" xfId="11653" xr:uid="{00000000-0005-0000-0000-00003A2F0000}"/>
    <cellStyle name="60% - Accent2 11 3" xfId="11654" xr:uid="{00000000-0005-0000-0000-00003B2F0000}"/>
    <cellStyle name="60% - Accent2 11 4" xfId="11655" xr:uid="{00000000-0005-0000-0000-00003C2F0000}"/>
    <cellStyle name="60% - Accent2 12" xfId="11656" xr:uid="{00000000-0005-0000-0000-00003D2F0000}"/>
    <cellStyle name="60% - Accent2 12 2" xfId="11657" xr:uid="{00000000-0005-0000-0000-00003E2F0000}"/>
    <cellStyle name="60% - Accent2 12 3" xfId="11658" xr:uid="{00000000-0005-0000-0000-00003F2F0000}"/>
    <cellStyle name="60% - Accent2 12 4" xfId="11659" xr:uid="{00000000-0005-0000-0000-0000402F0000}"/>
    <cellStyle name="60% - Accent2 13" xfId="11660" xr:uid="{00000000-0005-0000-0000-0000412F0000}"/>
    <cellStyle name="60% - Accent2 13 2" xfId="11661" xr:uid="{00000000-0005-0000-0000-0000422F0000}"/>
    <cellStyle name="60% - Accent2 13 3" xfId="11662" xr:uid="{00000000-0005-0000-0000-0000432F0000}"/>
    <cellStyle name="60% - Accent2 13 4" xfId="11663" xr:uid="{00000000-0005-0000-0000-0000442F0000}"/>
    <cellStyle name="60% - Accent2 14" xfId="11664" xr:uid="{00000000-0005-0000-0000-0000452F0000}"/>
    <cellStyle name="60% - Accent2 14 2" xfId="11665" xr:uid="{00000000-0005-0000-0000-0000462F0000}"/>
    <cellStyle name="60% - Accent2 14 3" xfId="11666" xr:uid="{00000000-0005-0000-0000-0000472F0000}"/>
    <cellStyle name="60% - Accent2 14 4" xfId="11667" xr:uid="{00000000-0005-0000-0000-0000482F0000}"/>
    <cellStyle name="60% - Accent2 15" xfId="11668" xr:uid="{00000000-0005-0000-0000-0000492F0000}"/>
    <cellStyle name="60% - Accent2 15 2" xfId="11669" xr:uid="{00000000-0005-0000-0000-00004A2F0000}"/>
    <cellStyle name="60% - Accent2 15 3" xfId="11670" xr:uid="{00000000-0005-0000-0000-00004B2F0000}"/>
    <cellStyle name="60% - Accent2 15 4" xfId="11671" xr:uid="{00000000-0005-0000-0000-00004C2F0000}"/>
    <cellStyle name="60% - Accent2 16" xfId="11672" xr:uid="{00000000-0005-0000-0000-00004D2F0000}"/>
    <cellStyle name="60% - Accent2 16 2" xfId="11673" xr:uid="{00000000-0005-0000-0000-00004E2F0000}"/>
    <cellStyle name="60% - Accent2 16 3" xfId="11674" xr:uid="{00000000-0005-0000-0000-00004F2F0000}"/>
    <cellStyle name="60% - Accent2 16 4" xfId="11675" xr:uid="{00000000-0005-0000-0000-0000502F0000}"/>
    <cellStyle name="60% - Accent2 17" xfId="11676" xr:uid="{00000000-0005-0000-0000-0000512F0000}"/>
    <cellStyle name="60% - Accent2 17 2" xfId="11677" xr:uid="{00000000-0005-0000-0000-0000522F0000}"/>
    <cellStyle name="60% - Accent2 17 3" xfId="11678" xr:uid="{00000000-0005-0000-0000-0000532F0000}"/>
    <cellStyle name="60% - Accent2 17 4" xfId="11679" xr:uid="{00000000-0005-0000-0000-0000542F0000}"/>
    <cellStyle name="60% - Accent2 18" xfId="11680" xr:uid="{00000000-0005-0000-0000-0000552F0000}"/>
    <cellStyle name="60% - Accent2 18 2" xfId="11681" xr:uid="{00000000-0005-0000-0000-0000562F0000}"/>
    <cellStyle name="60% - Accent2 18 3" xfId="11682" xr:uid="{00000000-0005-0000-0000-0000572F0000}"/>
    <cellStyle name="60% - Accent2 18 4" xfId="11683" xr:uid="{00000000-0005-0000-0000-0000582F0000}"/>
    <cellStyle name="60% - Accent2 19" xfId="11684" xr:uid="{00000000-0005-0000-0000-0000592F0000}"/>
    <cellStyle name="60% - Accent2 19 2" xfId="11685" xr:uid="{00000000-0005-0000-0000-00005A2F0000}"/>
    <cellStyle name="60% - Accent2 19 3" xfId="11686" xr:uid="{00000000-0005-0000-0000-00005B2F0000}"/>
    <cellStyle name="60% - Accent2 19 4" xfId="11687" xr:uid="{00000000-0005-0000-0000-00005C2F0000}"/>
    <cellStyle name="60% - Accent2 2" xfId="11688" xr:uid="{00000000-0005-0000-0000-00005D2F0000}"/>
    <cellStyle name="60% - Accent2 2 2" xfId="11689" xr:uid="{00000000-0005-0000-0000-00005E2F0000}"/>
    <cellStyle name="60% - Accent2 2 2 2" xfId="11690" xr:uid="{00000000-0005-0000-0000-00005F2F0000}"/>
    <cellStyle name="60% - Accent2 2 2 3" xfId="11691" xr:uid="{00000000-0005-0000-0000-0000602F0000}"/>
    <cellStyle name="60% - Accent2 2 2 4" xfId="11692" xr:uid="{00000000-0005-0000-0000-0000612F0000}"/>
    <cellStyle name="60% - Accent2 2 3" xfId="11693" xr:uid="{00000000-0005-0000-0000-0000622F0000}"/>
    <cellStyle name="60% - Accent2 2 3 2" xfId="11694" xr:uid="{00000000-0005-0000-0000-0000632F0000}"/>
    <cellStyle name="60% - Accent2 2 3 3" xfId="11695" xr:uid="{00000000-0005-0000-0000-0000642F0000}"/>
    <cellStyle name="60% - Accent2 2 3 4" xfId="11696" xr:uid="{00000000-0005-0000-0000-0000652F0000}"/>
    <cellStyle name="60% - Accent2 2 4" xfId="11697" xr:uid="{00000000-0005-0000-0000-0000662F0000}"/>
    <cellStyle name="60% - Accent2 2 4 2" xfId="11698" xr:uid="{00000000-0005-0000-0000-0000672F0000}"/>
    <cellStyle name="60% - Accent2 2 4 3" xfId="11699" xr:uid="{00000000-0005-0000-0000-0000682F0000}"/>
    <cellStyle name="60% - Accent2 2 4 4" xfId="11700" xr:uid="{00000000-0005-0000-0000-0000692F0000}"/>
    <cellStyle name="60% - Accent2 2 5" xfId="11701" xr:uid="{00000000-0005-0000-0000-00006A2F0000}"/>
    <cellStyle name="60% - Accent2 2 6" xfId="11702" xr:uid="{00000000-0005-0000-0000-00006B2F0000}"/>
    <cellStyle name="60% - Accent2 2 7" xfId="11703" xr:uid="{00000000-0005-0000-0000-00006C2F0000}"/>
    <cellStyle name="60% - Accent2 2 8" xfId="11704" xr:uid="{00000000-0005-0000-0000-00006D2F0000}"/>
    <cellStyle name="60% - Accent2 20" xfId="11705" xr:uid="{00000000-0005-0000-0000-00006E2F0000}"/>
    <cellStyle name="60% - Accent2 20 2" xfId="11706" xr:uid="{00000000-0005-0000-0000-00006F2F0000}"/>
    <cellStyle name="60% - Accent2 20 3" xfId="11707" xr:uid="{00000000-0005-0000-0000-0000702F0000}"/>
    <cellStyle name="60% - Accent2 20 4" xfId="11708" xr:uid="{00000000-0005-0000-0000-0000712F0000}"/>
    <cellStyle name="60% - Accent2 21" xfId="11709" xr:uid="{00000000-0005-0000-0000-0000722F0000}"/>
    <cellStyle name="60% - Accent2 21 2" xfId="11710" xr:uid="{00000000-0005-0000-0000-0000732F0000}"/>
    <cellStyle name="60% - Accent2 21 3" xfId="11711" xr:uid="{00000000-0005-0000-0000-0000742F0000}"/>
    <cellStyle name="60% - Accent2 21 4" xfId="11712" xr:uid="{00000000-0005-0000-0000-0000752F0000}"/>
    <cellStyle name="60% - Accent2 22" xfId="11713" xr:uid="{00000000-0005-0000-0000-0000762F0000}"/>
    <cellStyle name="60% - Accent2 22 2" xfId="11714" xr:uid="{00000000-0005-0000-0000-0000772F0000}"/>
    <cellStyle name="60% - Accent2 22 3" xfId="11715" xr:uid="{00000000-0005-0000-0000-0000782F0000}"/>
    <cellStyle name="60% - Accent2 22 4" xfId="11716" xr:uid="{00000000-0005-0000-0000-0000792F0000}"/>
    <cellStyle name="60% - Accent2 23" xfId="11717" xr:uid="{00000000-0005-0000-0000-00007A2F0000}"/>
    <cellStyle name="60% - Accent2 23 2" xfId="11718" xr:uid="{00000000-0005-0000-0000-00007B2F0000}"/>
    <cellStyle name="60% - Accent2 23 3" xfId="11719" xr:uid="{00000000-0005-0000-0000-00007C2F0000}"/>
    <cellStyle name="60% - Accent2 23 4" xfId="11720" xr:uid="{00000000-0005-0000-0000-00007D2F0000}"/>
    <cellStyle name="60% - Accent2 24" xfId="11721" xr:uid="{00000000-0005-0000-0000-00007E2F0000}"/>
    <cellStyle name="60% - Accent2 24 2" xfId="11722" xr:uid="{00000000-0005-0000-0000-00007F2F0000}"/>
    <cellStyle name="60% - Accent2 24 3" xfId="11723" xr:uid="{00000000-0005-0000-0000-0000802F0000}"/>
    <cellStyle name="60% - Accent2 24 4" xfId="11724" xr:uid="{00000000-0005-0000-0000-0000812F0000}"/>
    <cellStyle name="60% - Accent2 25" xfId="11725" xr:uid="{00000000-0005-0000-0000-0000822F0000}"/>
    <cellStyle name="60% - Accent2 25 2" xfId="11726" xr:uid="{00000000-0005-0000-0000-0000832F0000}"/>
    <cellStyle name="60% - Accent2 25 3" xfId="11727" xr:uid="{00000000-0005-0000-0000-0000842F0000}"/>
    <cellStyle name="60% - Accent2 25 4" xfId="11728" xr:uid="{00000000-0005-0000-0000-0000852F0000}"/>
    <cellStyle name="60% - Accent2 26" xfId="11729" xr:uid="{00000000-0005-0000-0000-0000862F0000}"/>
    <cellStyle name="60% - Accent2 26 2" xfId="11730" xr:uid="{00000000-0005-0000-0000-0000872F0000}"/>
    <cellStyle name="60% - Accent2 26 3" xfId="11731" xr:uid="{00000000-0005-0000-0000-0000882F0000}"/>
    <cellStyle name="60% - Accent2 26 4" xfId="11732" xr:uid="{00000000-0005-0000-0000-0000892F0000}"/>
    <cellStyle name="60% - Accent2 27" xfId="11733" xr:uid="{00000000-0005-0000-0000-00008A2F0000}"/>
    <cellStyle name="60% - Accent2 27 2" xfId="11734" xr:uid="{00000000-0005-0000-0000-00008B2F0000}"/>
    <cellStyle name="60% - Accent2 27 3" xfId="11735" xr:uid="{00000000-0005-0000-0000-00008C2F0000}"/>
    <cellStyle name="60% - Accent2 27 4" xfId="11736" xr:uid="{00000000-0005-0000-0000-00008D2F0000}"/>
    <cellStyle name="60% - Accent2 28" xfId="11737" xr:uid="{00000000-0005-0000-0000-00008E2F0000}"/>
    <cellStyle name="60% - Accent2 28 2" xfId="11738" xr:uid="{00000000-0005-0000-0000-00008F2F0000}"/>
    <cellStyle name="60% - Accent2 28 3" xfId="11739" xr:uid="{00000000-0005-0000-0000-0000902F0000}"/>
    <cellStyle name="60% - Accent2 28 4" xfId="11740" xr:uid="{00000000-0005-0000-0000-0000912F0000}"/>
    <cellStyle name="60% - Accent2 29" xfId="11741" xr:uid="{00000000-0005-0000-0000-0000922F0000}"/>
    <cellStyle name="60% - Accent2 29 2" xfId="11742" xr:uid="{00000000-0005-0000-0000-0000932F0000}"/>
    <cellStyle name="60% - Accent2 29 3" xfId="11743" xr:uid="{00000000-0005-0000-0000-0000942F0000}"/>
    <cellStyle name="60% - Accent2 29 4" xfId="11744" xr:uid="{00000000-0005-0000-0000-0000952F0000}"/>
    <cellStyle name="60% - Accent2 3" xfId="11745" xr:uid="{00000000-0005-0000-0000-0000962F0000}"/>
    <cellStyle name="60% - Accent2 3 2" xfId="11746" xr:uid="{00000000-0005-0000-0000-0000972F0000}"/>
    <cellStyle name="60% - Accent2 3 2 2" xfId="11747" xr:uid="{00000000-0005-0000-0000-0000982F0000}"/>
    <cellStyle name="60% - Accent2 3 2 3" xfId="11748" xr:uid="{00000000-0005-0000-0000-0000992F0000}"/>
    <cellStyle name="60% - Accent2 3 2 4" xfId="11749" xr:uid="{00000000-0005-0000-0000-00009A2F0000}"/>
    <cellStyle name="60% - Accent2 3 3" xfId="11750" xr:uid="{00000000-0005-0000-0000-00009B2F0000}"/>
    <cellStyle name="60% - Accent2 3 3 2" xfId="11751" xr:uid="{00000000-0005-0000-0000-00009C2F0000}"/>
    <cellStyle name="60% - Accent2 3 3 3" xfId="11752" xr:uid="{00000000-0005-0000-0000-00009D2F0000}"/>
    <cellStyle name="60% - Accent2 3 3 4" xfId="11753" xr:uid="{00000000-0005-0000-0000-00009E2F0000}"/>
    <cellStyle name="60% - Accent2 3 4" xfId="11754" xr:uid="{00000000-0005-0000-0000-00009F2F0000}"/>
    <cellStyle name="60% - Accent2 3 4 2" xfId="11755" xr:uid="{00000000-0005-0000-0000-0000A02F0000}"/>
    <cellStyle name="60% - Accent2 3 4 3" xfId="11756" xr:uid="{00000000-0005-0000-0000-0000A12F0000}"/>
    <cellStyle name="60% - Accent2 3 4 4" xfId="11757" xr:uid="{00000000-0005-0000-0000-0000A22F0000}"/>
    <cellStyle name="60% - Accent2 3 5" xfId="11758" xr:uid="{00000000-0005-0000-0000-0000A32F0000}"/>
    <cellStyle name="60% - Accent2 3 6" xfId="11759" xr:uid="{00000000-0005-0000-0000-0000A42F0000}"/>
    <cellStyle name="60% - Accent2 3 7" xfId="11760" xr:uid="{00000000-0005-0000-0000-0000A52F0000}"/>
    <cellStyle name="60% - Accent2 3 8" xfId="11761" xr:uid="{00000000-0005-0000-0000-0000A62F0000}"/>
    <cellStyle name="60% - Accent2 30" xfId="11762" xr:uid="{00000000-0005-0000-0000-0000A72F0000}"/>
    <cellStyle name="60% - Accent2 31" xfId="11763" xr:uid="{00000000-0005-0000-0000-0000A82F0000}"/>
    <cellStyle name="60% - Accent2 32" xfId="11764" xr:uid="{00000000-0005-0000-0000-0000A92F0000}"/>
    <cellStyle name="60% - Accent2 4" xfId="11765" xr:uid="{00000000-0005-0000-0000-0000AA2F0000}"/>
    <cellStyle name="60% - Accent2 4 2" xfId="11766" xr:uid="{00000000-0005-0000-0000-0000AB2F0000}"/>
    <cellStyle name="60% - Accent2 4 3" xfId="11767" xr:uid="{00000000-0005-0000-0000-0000AC2F0000}"/>
    <cellStyle name="60% - Accent2 4 4" xfId="11768" xr:uid="{00000000-0005-0000-0000-0000AD2F0000}"/>
    <cellStyle name="60% - Accent2 4 5" xfId="11769" xr:uid="{00000000-0005-0000-0000-0000AE2F0000}"/>
    <cellStyle name="60% - Accent2 4 6" xfId="11770" xr:uid="{00000000-0005-0000-0000-0000AF2F0000}"/>
    <cellStyle name="60% - Accent2 5" xfId="11771" xr:uid="{00000000-0005-0000-0000-0000B02F0000}"/>
    <cellStyle name="60% - Accent2 5 2" xfId="11772" xr:uid="{00000000-0005-0000-0000-0000B12F0000}"/>
    <cellStyle name="60% - Accent2 5 3" xfId="11773" xr:uid="{00000000-0005-0000-0000-0000B22F0000}"/>
    <cellStyle name="60% - Accent2 5 4" xfId="11774" xr:uid="{00000000-0005-0000-0000-0000B32F0000}"/>
    <cellStyle name="60% - Accent2 5 5" xfId="11775" xr:uid="{00000000-0005-0000-0000-0000B42F0000}"/>
    <cellStyle name="60% - Accent2 5 6" xfId="11776" xr:uid="{00000000-0005-0000-0000-0000B52F0000}"/>
    <cellStyle name="60% - Accent2 6" xfId="11777" xr:uid="{00000000-0005-0000-0000-0000B62F0000}"/>
    <cellStyle name="60% - Accent2 6 2" xfId="11778" xr:uid="{00000000-0005-0000-0000-0000B72F0000}"/>
    <cellStyle name="60% - Accent2 6 3" xfId="11779" xr:uid="{00000000-0005-0000-0000-0000B82F0000}"/>
    <cellStyle name="60% - Accent2 6 4" xfId="11780" xr:uid="{00000000-0005-0000-0000-0000B92F0000}"/>
    <cellStyle name="60% - Accent2 6 5" xfId="11781" xr:uid="{00000000-0005-0000-0000-0000BA2F0000}"/>
    <cellStyle name="60% - Accent2 6 6" xfId="11782" xr:uid="{00000000-0005-0000-0000-0000BB2F0000}"/>
    <cellStyle name="60% - Accent2 7" xfId="11783" xr:uid="{00000000-0005-0000-0000-0000BC2F0000}"/>
    <cellStyle name="60% - Accent2 7 2" xfId="11784" xr:uid="{00000000-0005-0000-0000-0000BD2F0000}"/>
    <cellStyle name="60% - Accent2 7 3" xfId="11785" xr:uid="{00000000-0005-0000-0000-0000BE2F0000}"/>
    <cellStyle name="60% - Accent2 7 4" xfId="11786" xr:uid="{00000000-0005-0000-0000-0000BF2F0000}"/>
    <cellStyle name="60% - Accent2 7 5" xfId="11787" xr:uid="{00000000-0005-0000-0000-0000C02F0000}"/>
    <cellStyle name="60% - Accent2 7 6" xfId="11788" xr:uid="{00000000-0005-0000-0000-0000C12F0000}"/>
    <cellStyle name="60% - Accent2 8" xfId="11789" xr:uid="{00000000-0005-0000-0000-0000C22F0000}"/>
    <cellStyle name="60% - Accent2 8 2" xfId="11790" xr:uid="{00000000-0005-0000-0000-0000C32F0000}"/>
    <cellStyle name="60% - Accent2 8 3" xfId="11791" xr:uid="{00000000-0005-0000-0000-0000C42F0000}"/>
    <cellStyle name="60% - Accent2 8 4" xfId="11792" xr:uid="{00000000-0005-0000-0000-0000C52F0000}"/>
    <cellStyle name="60% - Accent2 8 5" xfId="11793" xr:uid="{00000000-0005-0000-0000-0000C62F0000}"/>
    <cellStyle name="60% - Accent2 8 6" xfId="11794" xr:uid="{00000000-0005-0000-0000-0000C72F0000}"/>
    <cellStyle name="60% - Accent2 9" xfId="11795" xr:uid="{00000000-0005-0000-0000-0000C82F0000}"/>
    <cellStyle name="60% - Accent2 9 2" xfId="11796" xr:uid="{00000000-0005-0000-0000-0000C92F0000}"/>
    <cellStyle name="60% - Accent2 9 3" xfId="11797" xr:uid="{00000000-0005-0000-0000-0000CA2F0000}"/>
    <cellStyle name="60% - Accent2 9 4" xfId="11798" xr:uid="{00000000-0005-0000-0000-0000CB2F0000}"/>
    <cellStyle name="60% - Accent3 10" xfId="11799" xr:uid="{00000000-0005-0000-0000-0000CC2F0000}"/>
    <cellStyle name="60% - Accent3 10 2" xfId="11800" xr:uid="{00000000-0005-0000-0000-0000CD2F0000}"/>
    <cellStyle name="60% - Accent3 10 3" xfId="11801" xr:uid="{00000000-0005-0000-0000-0000CE2F0000}"/>
    <cellStyle name="60% - Accent3 10 4" xfId="11802" xr:uid="{00000000-0005-0000-0000-0000CF2F0000}"/>
    <cellStyle name="60% - Accent3 11" xfId="11803" xr:uid="{00000000-0005-0000-0000-0000D02F0000}"/>
    <cellStyle name="60% - Accent3 11 2" xfId="11804" xr:uid="{00000000-0005-0000-0000-0000D12F0000}"/>
    <cellStyle name="60% - Accent3 11 3" xfId="11805" xr:uid="{00000000-0005-0000-0000-0000D22F0000}"/>
    <cellStyle name="60% - Accent3 11 4" xfId="11806" xr:uid="{00000000-0005-0000-0000-0000D32F0000}"/>
    <cellStyle name="60% - Accent3 12" xfId="11807" xr:uid="{00000000-0005-0000-0000-0000D42F0000}"/>
    <cellStyle name="60% - Accent3 12 2" xfId="11808" xr:uid="{00000000-0005-0000-0000-0000D52F0000}"/>
    <cellStyle name="60% - Accent3 12 3" xfId="11809" xr:uid="{00000000-0005-0000-0000-0000D62F0000}"/>
    <cellStyle name="60% - Accent3 12 4" xfId="11810" xr:uid="{00000000-0005-0000-0000-0000D72F0000}"/>
    <cellStyle name="60% - Accent3 13" xfId="11811" xr:uid="{00000000-0005-0000-0000-0000D82F0000}"/>
    <cellStyle name="60% - Accent3 13 2" xfId="11812" xr:uid="{00000000-0005-0000-0000-0000D92F0000}"/>
    <cellStyle name="60% - Accent3 13 3" xfId="11813" xr:uid="{00000000-0005-0000-0000-0000DA2F0000}"/>
    <cellStyle name="60% - Accent3 13 4" xfId="11814" xr:uid="{00000000-0005-0000-0000-0000DB2F0000}"/>
    <cellStyle name="60% - Accent3 14" xfId="11815" xr:uid="{00000000-0005-0000-0000-0000DC2F0000}"/>
    <cellStyle name="60% - Accent3 14 2" xfId="11816" xr:uid="{00000000-0005-0000-0000-0000DD2F0000}"/>
    <cellStyle name="60% - Accent3 14 3" xfId="11817" xr:uid="{00000000-0005-0000-0000-0000DE2F0000}"/>
    <cellStyle name="60% - Accent3 14 4" xfId="11818" xr:uid="{00000000-0005-0000-0000-0000DF2F0000}"/>
    <cellStyle name="60% - Accent3 15" xfId="11819" xr:uid="{00000000-0005-0000-0000-0000E02F0000}"/>
    <cellStyle name="60% - Accent3 15 2" xfId="11820" xr:uid="{00000000-0005-0000-0000-0000E12F0000}"/>
    <cellStyle name="60% - Accent3 15 3" xfId="11821" xr:uid="{00000000-0005-0000-0000-0000E22F0000}"/>
    <cellStyle name="60% - Accent3 15 4" xfId="11822" xr:uid="{00000000-0005-0000-0000-0000E32F0000}"/>
    <cellStyle name="60% - Accent3 16" xfId="11823" xr:uid="{00000000-0005-0000-0000-0000E42F0000}"/>
    <cellStyle name="60% - Accent3 16 2" xfId="11824" xr:uid="{00000000-0005-0000-0000-0000E52F0000}"/>
    <cellStyle name="60% - Accent3 16 3" xfId="11825" xr:uid="{00000000-0005-0000-0000-0000E62F0000}"/>
    <cellStyle name="60% - Accent3 16 4" xfId="11826" xr:uid="{00000000-0005-0000-0000-0000E72F0000}"/>
    <cellStyle name="60% - Accent3 17" xfId="11827" xr:uid="{00000000-0005-0000-0000-0000E82F0000}"/>
    <cellStyle name="60% - Accent3 17 2" xfId="11828" xr:uid="{00000000-0005-0000-0000-0000E92F0000}"/>
    <cellStyle name="60% - Accent3 17 3" xfId="11829" xr:uid="{00000000-0005-0000-0000-0000EA2F0000}"/>
    <cellStyle name="60% - Accent3 17 4" xfId="11830" xr:uid="{00000000-0005-0000-0000-0000EB2F0000}"/>
    <cellStyle name="60% - Accent3 18" xfId="11831" xr:uid="{00000000-0005-0000-0000-0000EC2F0000}"/>
    <cellStyle name="60% - Accent3 18 2" xfId="11832" xr:uid="{00000000-0005-0000-0000-0000ED2F0000}"/>
    <cellStyle name="60% - Accent3 18 3" xfId="11833" xr:uid="{00000000-0005-0000-0000-0000EE2F0000}"/>
    <cellStyle name="60% - Accent3 18 4" xfId="11834" xr:uid="{00000000-0005-0000-0000-0000EF2F0000}"/>
    <cellStyle name="60% - Accent3 19" xfId="11835" xr:uid="{00000000-0005-0000-0000-0000F02F0000}"/>
    <cellStyle name="60% - Accent3 19 2" xfId="11836" xr:uid="{00000000-0005-0000-0000-0000F12F0000}"/>
    <cellStyle name="60% - Accent3 19 3" xfId="11837" xr:uid="{00000000-0005-0000-0000-0000F22F0000}"/>
    <cellStyle name="60% - Accent3 19 4" xfId="11838" xr:uid="{00000000-0005-0000-0000-0000F32F0000}"/>
    <cellStyle name="60% - Accent3 2" xfId="11839" xr:uid="{00000000-0005-0000-0000-0000F42F0000}"/>
    <cellStyle name="60% - Accent3 2 2" xfId="11840" xr:uid="{00000000-0005-0000-0000-0000F52F0000}"/>
    <cellStyle name="60% - Accent3 2 2 2" xfId="11841" xr:uid="{00000000-0005-0000-0000-0000F62F0000}"/>
    <cellStyle name="60% - Accent3 2 2 3" xfId="11842" xr:uid="{00000000-0005-0000-0000-0000F72F0000}"/>
    <cellStyle name="60% - Accent3 2 2 4" xfId="11843" xr:uid="{00000000-0005-0000-0000-0000F82F0000}"/>
    <cellStyle name="60% - Accent3 2 3" xfId="11844" xr:uid="{00000000-0005-0000-0000-0000F92F0000}"/>
    <cellStyle name="60% - Accent3 2 3 2" xfId="11845" xr:uid="{00000000-0005-0000-0000-0000FA2F0000}"/>
    <cellStyle name="60% - Accent3 2 3 3" xfId="11846" xr:uid="{00000000-0005-0000-0000-0000FB2F0000}"/>
    <cellStyle name="60% - Accent3 2 3 4" xfId="11847" xr:uid="{00000000-0005-0000-0000-0000FC2F0000}"/>
    <cellStyle name="60% - Accent3 2 4" xfId="11848" xr:uid="{00000000-0005-0000-0000-0000FD2F0000}"/>
    <cellStyle name="60% - Accent3 2 4 2" xfId="11849" xr:uid="{00000000-0005-0000-0000-0000FE2F0000}"/>
    <cellStyle name="60% - Accent3 2 4 3" xfId="11850" xr:uid="{00000000-0005-0000-0000-0000FF2F0000}"/>
    <cellStyle name="60% - Accent3 2 4 4" xfId="11851" xr:uid="{00000000-0005-0000-0000-000000300000}"/>
    <cellStyle name="60% - Accent3 2 5" xfId="11852" xr:uid="{00000000-0005-0000-0000-000001300000}"/>
    <cellStyle name="60% - Accent3 2 6" xfId="11853" xr:uid="{00000000-0005-0000-0000-000002300000}"/>
    <cellStyle name="60% - Accent3 2 7" xfId="11854" xr:uid="{00000000-0005-0000-0000-000003300000}"/>
    <cellStyle name="60% - Accent3 2 8" xfId="11855" xr:uid="{00000000-0005-0000-0000-000004300000}"/>
    <cellStyle name="60% - Accent3 20" xfId="11856" xr:uid="{00000000-0005-0000-0000-000005300000}"/>
    <cellStyle name="60% - Accent3 20 2" xfId="11857" xr:uid="{00000000-0005-0000-0000-000006300000}"/>
    <cellStyle name="60% - Accent3 20 3" xfId="11858" xr:uid="{00000000-0005-0000-0000-000007300000}"/>
    <cellStyle name="60% - Accent3 20 4" xfId="11859" xr:uid="{00000000-0005-0000-0000-000008300000}"/>
    <cellStyle name="60% - Accent3 21" xfId="11860" xr:uid="{00000000-0005-0000-0000-000009300000}"/>
    <cellStyle name="60% - Accent3 21 2" xfId="11861" xr:uid="{00000000-0005-0000-0000-00000A300000}"/>
    <cellStyle name="60% - Accent3 21 3" xfId="11862" xr:uid="{00000000-0005-0000-0000-00000B300000}"/>
    <cellStyle name="60% - Accent3 21 4" xfId="11863" xr:uid="{00000000-0005-0000-0000-00000C300000}"/>
    <cellStyle name="60% - Accent3 22" xfId="11864" xr:uid="{00000000-0005-0000-0000-00000D300000}"/>
    <cellStyle name="60% - Accent3 22 2" xfId="11865" xr:uid="{00000000-0005-0000-0000-00000E300000}"/>
    <cellStyle name="60% - Accent3 22 3" xfId="11866" xr:uid="{00000000-0005-0000-0000-00000F300000}"/>
    <cellStyle name="60% - Accent3 22 4" xfId="11867" xr:uid="{00000000-0005-0000-0000-000010300000}"/>
    <cellStyle name="60% - Accent3 23" xfId="11868" xr:uid="{00000000-0005-0000-0000-000011300000}"/>
    <cellStyle name="60% - Accent3 23 2" xfId="11869" xr:uid="{00000000-0005-0000-0000-000012300000}"/>
    <cellStyle name="60% - Accent3 23 3" xfId="11870" xr:uid="{00000000-0005-0000-0000-000013300000}"/>
    <cellStyle name="60% - Accent3 23 4" xfId="11871" xr:uid="{00000000-0005-0000-0000-000014300000}"/>
    <cellStyle name="60% - Accent3 24" xfId="11872" xr:uid="{00000000-0005-0000-0000-000015300000}"/>
    <cellStyle name="60% - Accent3 24 2" xfId="11873" xr:uid="{00000000-0005-0000-0000-000016300000}"/>
    <cellStyle name="60% - Accent3 24 3" xfId="11874" xr:uid="{00000000-0005-0000-0000-000017300000}"/>
    <cellStyle name="60% - Accent3 24 4" xfId="11875" xr:uid="{00000000-0005-0000-0000-000018300000}"/>
    <cellStyle name="60% - Accent3 25" xfId="11876" xr:uid="{00000000-0005-0000-0000-000019300000}"/>
    <cellStyle name="60% - Accent3 25 2" xfId="11877" xr:uid="{00000000-0005-0000-0000-00001A300000}"/>
    <cellStyle name="60% - Accent3 25 3" xfId="11878" xr:uid="{00000000-0005-0000-0000-00001B300000}"/>
    <cellStyle name="60% - Accent3 25 4" xfId="11879" xr:uid="{00000000-0005-0000-0000-00001C300000}"/>
    <cellStyle name="60% - Accent3 26" xfId="11880" xr:uid="{00000000-0005-0000-0000-00001D300000}"/>
    <cellStyle name="60% - Accent3 26 2" xfId="11881" xr:uid="{00000000-0005-0000-0000-00001E300000}"/>
    <cellStyle name="60% - Accent3 26 3" xfId="11882" xr:uid="{00000000-0005-0000-0000-00001F300000}"/>
    <cellStyle name="60% - Accent3 26 4" xfId="11883" xr:uid="{00000000-0005-0000-0000-000020300000}"/>
    <cellStyle name="60% - Accent3 27" xfId="11884" xr:uid="{00000000-0005-0000-0000-000021300000}"/>
    <cellStyle name="60% - Accent3 27 2" xfId="11885" xr:uid="{00000000-0005-0000-0000-000022300000}"/>
    <cellStyle name="60% - Accent3 27 3" xfId="11886" xr:uid="{00000000-0005-0000-0000-000023300000}"/>
    <cellStyle name="60% - Accent3 27 4" xfId="11887" xr:uid="{00000000-0005-0000-0000-000024300000}"/>
    <cellStyle name="60% - Accent3 28" xfId="11888" xr:uid="{00000000-0005-0000-0000-000025300000}"/>
    <cellStyle name="60% - Accent3 28 2" xfId="11889" xr:uid="{00000000-0005-0000-0000-000026300000}"/>
    <cellStyle name="60% - Accent3 28 3" xfId="11890" xr:uid="{00000000-0005-0000-0000-000027300000}"/>
    <cellStyle name="60% - Accent3 28 4" xfId="11891" xr:uid="{00000000-0005-0000-0000-000028300000}"/>
    <cellStyle name="60% - Accent3 29" xfId="11892" xr:uid="{00000000-0005-0000-0000-000029300000}"/>
    <cellStyle name="60% - Accent3 29 2" xfId="11893" xr:uid="{00000000-0005-0000-0000-00002A300000}"/>
    <cellStyle name="60% - Accent3 29 3" xfId="11894" xr:uid="{00000000-0005-0000-0000-00002B300000}"/>
    <cellStyle name="60% - Accent3 29 4" xfId="11895" xr:uid="{00000000-0005-0000-0000-00002C300000}"/>
    <cellStyle name="60% - Accent3 3" xfId="11896" xr:uid="{00000000-0005-0000-0000-00002D300000}"/>
    <cellStyle name="60% - Accent3 3 2" xfId="11897" xr:uid="{00000000-0005-0000-0000-00002E300000}"/>
    <cellStyle name="60% - Accent3 3 2 2" xfId="11898" xr:uid="{00000000-0005-0000-0000-00002F300000}"/>
    <cellStyle name="60% - Accent3 3 2 3" xfId="11899" xr:uid="{00000000-0005-0000-0000-000030300000}"/>
    <cellStyle name="60% - Accent3 3 2 4" xfId="11900" xr:uid="{00000000-0005-0000-0000-000031300000}"/>
    <cellStyle name="60% - Accent3 3 3" xfId="11901" xr:uid="{00000000-0005-0000-0000-000032300000}"/>
    <cellStyle name="60% - Accent3 3 3 2" xfId="11902" xr:uid="{00000000-0005-0000-0000-000033300000}"/>
    <cellStyle name="60% - Accent3 3 3 3" xfId="11903" xr:uid="{00000000-0005-0000-0000-000034300000}"/>
    <cellStyle name="60% - Accent3 3 3 4" xfId="11904" xr:uid="{00000000-0005-0000-0000-000035300000}"/>
    <cellStyle name="60% - Accent3 3 4" xfId="11905" xr:uid="{00000000-0005-0000-0000-000036300000}"/>
    <cellStyle name="60% - Accent3 3 4 2" xfId="11906" xr:uid="{00000000-0005-0000-0000-000037300000}"/>
    <cellStyle name="60% - Accent3 3 4 3" xfId="11907" xr:uid="{00000000-0005-0000-0000-000038300000}"/>
    <cellStyle name="60% - Accent3 3 4 4" xfId="11908" xr:uid="{00000000-0005-0000-0000-000039300000}"/>
    <cellStyle name="60% - Accent3 3 5" xfId="11909" xr:uid="{00000000-0005-0000-0000-00003A300000}"/>
    <cellStyle name="60% - Accent3 3 6" xfId="11910" xr:uid="{00000000-0005-0000-0000-00003B300000}"/>
    <cellStyle name="60% - Accent3 3 7" xfId="11911" xr:uid="{00000000-0005-0000-0000-00003C300000}"/>
    <cellStyle name="60% - Accent3 3 8" xfId="11912" xr:uid="{00000000-0005-0000-0000-00003D300000}"/>
    <cellStyle name="60% - Accent3 30" xfId="11913" xr:uid="{00000000-0005-0000-0000-00003E300000}"/>
    <cellStyle name="60% - Accent3 31" xfId="11914" xr:uid="{00000000-0005-0000-0000-00003F300000}"/>
    <cellStyle name="60% - Accent3 32" xfId="11915" xr:uid="{00000000-0005-0000-0000-000040300000}"/>
    <cellStyle name="60% - Accent3 4" xfId="11916" xr:uid="{00000000-0005-0000-0000-000041300000}"/>
    <cellStyle name="60% - Accent3 4 2" xfId="11917" xr:uid="{00000000-0005-0000-0000-000042300000}"/>
    <cellStyle name="60% - Accent3 4 3" xfId="11918" xr:uid="{00000000-0005-0000-0000-000043300000}"/>
    <cellStyle name="60% - Accent3 4 4" xfId="11919" xr:uid="{00000000-0005-0000-0000-000044300000}"/>
    <cellStyle name="60% - Accent3 4 5" xfId="11920" xr:uid="{00000000-0005-0000-0000-000045300000}"/>
    <cellStyle name="60% - Accent3 4 6" xfId="11921" xr:uid="{00000000-0005-0000-0000-000046300000}"/>
    <cellStyle name="60% - Accent3 5" xfId="11922" xr:uid="{00000000-0005-0000-0000-000047300000}"/>
    <cellStyle name="60% - Accent3 5 2" xfId="11923" xr:uid="{00000000-0005-0000-0000-000048300000}"/>
    <cellStyle name="60% - Accent3 5 3" xfId="11924" xr:uid="{00000000-0005-0000-0000-000049300000}"/>
    <cellStyle name="60% - Accent3 5 4" xfId="11925" xr:uid="{00000000-0005-0000-0000-00004A300000}"/>
    <cellStyle name="60% - Accent3 5 5" xfId="11926" xr:uid="{00000000-0005-0000-0000-00004B300000}"/>
    <cellStyle name="60% - Accent3 5 6" xfId="11927" xr:uid="{00000000-0005-0000-0000-00004C300000}"/>
    <cellStyle name="60% - Accent3 6" xfId="11928" xr:uid="{00000000-0005-0000-0000-00004D300000}"/>
    <cellStyle name="60% - Accent3 6 2" xfId="11929" xr:uid="{00000000-0005-0000-0000-00004E300000}"/>
    <cellStyle name="60% - Accent3 6 3" xfId="11930" xr:uid="{00000000-0005-0000-0000-00004F300000}"/>
    <cellStyle name="60% - Accent3 6 4" xfId="11931" xr:uid="{00000000-0005-0000-0000-000050300000}"/>
    <cellStyle name="60% - Accent3 6 5" xfId="11932" xr:uid="{00000000-0005-0000-0000-000051300000}"/>
    <cellStyle name="60% - Accent3 6 6" xfId="11933" xr:uid="{00000000-0005-0000-0000-000052300000}"/>
    <cellStyle name="60% - Accent3 7" xfId="11934" xr:uid="{00000000-0005-0000-0000-000053300000}"/>
    <cellStyle name="60% - Accent3 7 2" xfId="11935" xr:uid="{00000000-0005-0000-0000-000054300000}"/>
    <cellStyle name="60% - Accent3 7 3" xfId="11936" xr:uid="{00000000-0005-0000-0000-000055300000}"/>
    <cellStyle name="60% - Accent3 7 4" xfId="11937" xr:uid="{00000000-0005-0000-0000-000056300000}"/>
    <cellStyle name="60% - Accent3 7 5" xfId="11938" xr:uid="{00000000-0005-0000-0000-000057300000}"/>
    <cellStyle name="60% - Accent3 7 6" xfId="11939" xr:uid="{00000000-0005-0000-0000-000058300000}"/>
    <cellStyle name="60% - Accent3 8" xfId="11940" xr:uid="{00000000-0005-0000-0000-000059300000}"/>
    <cellStyle name="60% - Accent3 8 2" xfId="11941" xr:uid="{00000000-0005-0000-0000-00005A300000}"/>
    <cellStyle name="60% - Accent3 8 3" xfId="11942" xr:uid="{00000000-0005-0000-0000-00005B300000}"/>
    <cellStyle name="60% - Accent3 8 4" xfId="11943" xr:uid="{00000000-0005-0000-0000-00005C300000}"/>
    <cellStyle name="60% - Accent3 8 5" xfId="11944" xr:uid="{00000000-0005-0000-0000-00005D300000}"/>
    <cellStyle name="60% - Accent3 8 6" xfId="11945" xr:uid="{00000000-0005-0000-0000-00005E300000}"/>
    <cellStyle name="60% - Accent3 9" xfId="11946" xr:uid="{00000000-0005-0000-0000-00005F300000}"/>
    <cellStyle name="60% - Accent3 9 2" xfId="11947" xr:uid="{00000000-0005-0000-0000-000060300000}"/>
    <cellStyle name="60% - Accent3 9 3" xfId="11948" xr:uid="{00000000-0005-0000-0000-000061300000}"/>
    <cellStyle name="60% - Accent3 9 4" xfId="11949" xr:uid="{00000000-0005-0000-0000-000062300000}"/>
    <cellStyle name="60% - Accent4 10" xfId="11950" xr:uid="{00000000-0005-0000-0000-000063300000}"/>
    <cellStyle name="60% - Accent4 10 2" xfId="11951" xr:uid="{00000000-0005-0000-0000-000064300000}"/>
    <cellStyle name="60% - Accent4 10 3" xfId="11952" xr:uid="{00000000-0005-0000-0000-000065300000}"/>
    <cellStyle name="60% - Accent4 10 4" xfId="11953" xr:uid="{00000000-0005-0000-0000-000066300000}"/>
    <cellStyle name="60% - Accent4 11" xfId="11954" xr:uid="{00000000-0005-0000-0000-000067300000}"/>
    <cellStyle name="60% - Accent4 11 2" xfId="11955" xr:uid="{00000000-0005-0000-0000-000068300000}"/>
    <cellStyle name="60% - Accent4 11 3" xfId="11956" xr:uid="{00000000-0005-0000-0000-000069300000}"/>
    <cellStyle name="60% - Accent4 11 4" xfId="11957" xr:uid="{00000000-0005-0000-0000-00006A300000}"/>
    <cellStyle name="60% - Accent4 12" xfId="11958" xr:uid="{00000000-0005-0000-0000-00006B300000}"/>
    <cellStyle name="60% - Accent4 12 2" xfId="11959" xr:uid="{00000000-0005-0000-0000-00006C300000}"/>
    <cellStyle name="60% - Accent4 12 3" xfId="11960" xr:uid="{00000000-0005-0000-0000-00006D300000}"/>
    <cellStyle name="60% - Accent4 12 4" xfId="11961" xr:uid="{00000000-0005-0000-0000-00006E300000}"/>
    <cellStyle name="60% - Accent4 13" xfId="11962" xr:uid="{00000000-0005-0000-0000-00006F300000}"/>
    <cellStyle name="60% - Accent4 13 2" xfId="11963" xr:uid="{00000000-0005-0000-0000-000070300000}"/>
    <cellStyle name="60% - Accent4 13 3" xfId="11964" xr:uid="{00000000-0005-0000-0000-000071300000}"/>
    <cellStyle name="60% - Accent4 13 4" xfId="11965" xr:uid="{00000000-0005-0000-0000-000072300000}"/>
    <cellStyle name="60% - Accent4 14" xfId="11966" xr:uid="{00000000-0005-0000-0000-000073300000}"/>
    <cellStyle name="60% - Accent4 14 2" xfId="11967" xr:uid="{00000000-0005-0000-0000-000074300000}"/>
    <cellStyle name="60% - Accent4 14 3" xfId="11968" xr:uid="{00000000-0005-0000-0000-000075300000}"/>
    <cellStyle name="60% - Accent4 14 4" xfId="11969" xr:uid="{00000000-0005-0000-0000-000076300000}"/>
    <cellStyle name="60% - Accent4 15" xfId="11970" xr:uid="{00000000-0005-0000-0000-000077300000}"/>
    <cellStyle name="60% - Accent4 15 2" xfId="11971" xr:uid="{00000000-0005-0000-0000-000078300000}"/>
    <cellStyle name="60% - Accent4 15 3" xfId="11972" xr:uid="{00000000-0005-0000-0000-000079300000}"/>
    <cellStyle name="60% - Accent4 15 4" xfId="11973" xr:uid="{00000000-0005-0000-0000-00007A300000}"/>
    <cellStyle name="60% - Accent4 16" xfId="11974" xr:uid="{00000000-0005-0000-0000-00007B300000}"/>
    <cellStyle name="60% - Accent4 16 2" xfId="11975" xr:uid="{00000000-0005-0000-0000-00007C300000}"/>
    <cellStyle name="60% - Accent4 16 3" xfId="11976" xr:uid="{00000000-0005-0000-0000-00007D300000}"/>
    <cellStyle name="60% - Accent4 16 4" xfId="11977" xr:uid="{00000000-0005-0000-0000-00007E300000}"/>
    <cellStyle name="60% - Accent4 17" xfId="11978" xr:uid="{00000000-0005-0000-0000-00007F300000}"/>
    <cellStyle name="60% - Accent4 17 2" xfId="11979" xr:uid="{00000000-0005-0000-0000-000080300000}"/>
    <cellStyle name="60% - Accent4 17 3" xfId="11980" xr:uid="{00000000-0005-0000-0000-000081300000}"/>
    <cellStyle name="60% - Accent4 17 4" xfId="11981" xr:uid="{00000000-0005-0000-0000-000082300000}"/>
    <cellStyle name="60% - Accent4 18" xfId="11982" xr:uid="{00000000-0005-0000-0000-000083300000}"/>
    <cellStyle name="60% - Accent4 18 2" xfId="11983" xr:uid="{00000000-0005-0000-0000-000084300000}"/>
    <cellStyle name="60% - Accent4 18 3" xfId="11984" xr:uid="{00000000-0005-0000-0000-000085300000}"/>
    <cellStyle name="60% - Accent4 18 4" xfId="11985" xr:uid="{00000000-0005-0000-0000-000086300000}"/>
    <cellStyle name="60% - Accent4 19" xfId="11986" xr:uid="{00000000-0005-0000-0000-000087300000}"/>
    <cellStyle name="60% - Accent4 19 2" xfId="11987" xr:uid="{00000000-0005-0000-0000-000088300000}"/>
    <cellStyle name="60% - Accent4 19 3" xfId="11988" xr:uid="{00000000-0005-0000-0000-000089300000}"/>
    <cellStyle name="60% - Accent4 19 4" xfId="11989" xr:uid="{00000000-0005-0000-0000-00008A300000}"/>
    <cellStyle name="60% - Accent4 2" xfId="11990" xr:uid="{00000000-0005-0000-0000-00008B300000}"/>
    <cellStyle name="60% - Accent4 2 2" xfId="11991" xr:uid="{00000000-0005-0000-0000-00008C300000}"/>
    <cellStyle name="60% - Accent4 2 2 2" xfId="11992" xr:uid="{00000000-0005-0000-0000-00008D300000}"/>
    <cellStyle name="60% - Accent4 2 2 3" xfId="11993" xr:uid="{00000000-0005-0000-0000-00008E300000}"/>
    <cellStyle name="60% - Accent4 2 2 4" xfId="11994" xr:uid="{00000000-0005-0000-0000-00008F300000}"/>
    <cellStyle name="60% - Accent4 2 3" xfId="11995" xr:uid="{00000000-0005-0000-0000-000090300000}"/>
    <cellStyle name="60% - Accent4 2 3 2" xfId="11996" xr:uid="{00000000-0005-0000-0000-000091300000}"/>
    <cellStyle name="60% - Accent4 2 3 3" xfId="11997" xr:uid="{00000000-0005-0000-0000-000092300000}"/>
    <cellStyle name="60% - Accent4 2 3 4" xfId="11998" xr:uid="{00000000-0005-0000-0000-000093300000}"/>
    <cellStyle name="60% - Accent4 2 4" xfId="11999" xr:uid="{00000000-0005-0000-0000-000094300000}"/>
    <cellStyle name="60% - Accent4 2 4 2" xfId="12000" xr:uid="{00000000-0005-0000-0000-000095300000}"/>
    <cellStyle name="60% - Accent4 2 4 3" xfId="12001" xr:uid="{00000000-0005-0000-0000-000096300000}"/>
    <cellStyle name="60% - Accent4 2 4 4" xfId="12002" xr:uid="{00000000-0005-0000-0000-000097300000}"/>
    <cellStyle name="60% - Accent4 2 5" xfId="12003" xr:uid="{00000000-0005-0000-0000-000098300000}"/>
    <cellStyle name="60% - Accent4 2 6" xfId="12004" xr:uid="{00000000-0005-0000-0000-000099300000}"/>
    <cellStyle name="60% - Accent4 2 7" xfId="12005" xr:uid="{00000000-0005-0000-0000-00009A300000}"/>
    <cellStyle name="60% - Accent4 2 8" xfId="12006" xr:uid="{00000000-0005-0000-0000-00009B300000}"/>
    <cellStyle name="60% - Accent4 20" xfId="12007" xr:uid="{00000000-0005-0000-0000-00009C300000}"/>
    <cellStyle name="60% - Accent4 20 2" xfId="12008" xr:uid="{00000000-0005-0000-0000-00009D300000}"/>
    <cellStyle name="60% - Accent4 20 3" xfId="12009" xr:uid="{00000000-0005-0000-0000-00009E300000}"/>
    <cellStyle name="60% - Accent4 20 4" xfId="12010" xr:uid="{00000000-0005-0000-0000-00009F300000}"/>
    <cellStyle name="60% - Accent4 21" xfId="12011" xr:uid="{00000000-0005-0000-0000-0000A0300000}"/>
    <cellStyle name="60% - Accent4 21 2" xfId="12012" xr:uid="{00000000-0005-0000-0000-0000A1300000}"/>
    <cellStyle name="60% - Accent4 21 3" xfId="12013" xr:uid="{00000000-0005-0000-0000-0000A2300000}"/>
    <cellStyle name="60% - Accent4 21 4" xfId="12014" xr:uid="{00000000-0005-0000-0000-0000A3300000}"/>
    <cellStyle name="60% - Accent4 22" xfId="12015" xr:uid="{00000000-0005-0000-0000-0000A4300000}"/>
    <cellStyle name="60% - Accent4 22 2" xfId="12016" xr:uid="{00000000-0005-0000-0000-0000A5300000}"/>
    <cellStyle name="60% - Accent4 22 3" xfId="12017" xr:uid="{00000000-0005-0000-0000-0000A6300000}"/>
    <cellStyle name="60% - Accent4 22 4" xfId="12018" xr:uid="{00000000-0005-0000-0000-0000A7300000}"/>
    <cellStyle name="60% - Accent4 23" xfId="12019" xr:uid="{00000000-0005-0000-0000-0000A8300000}"/>
    <cellStyle name="60% - Accent4 23 2" xfId="12020" xr:uid="{00000000-0005-0000-0000-0000A9300000}"/>
    <cellStyle name="60% - Accent4 23 3" xfId="12021" xr:uid="{00000000-0005-0000-0000-0000AA300000}"/>
    <cellStyle name="60% - Accent4 23 4" xfId="12022" xr:uid="{00000000-0005-0000-0000-0000AB300000}"/>
    <cellStyle name="60% - Accent4 24" xfId="12023" xr:uid="{00000000-0005-0000-0000-0000AC300000}"/>
    <cellStyle name="60% - Accent4 24 2" xfId="12024" xr:uid="{00000000-0005-0000-0000-0000AD300000}"/>
    <cellStyle name="60% - Accent4 24 3" xfId="12025" xr:uid="{00000000-0005-0000-0000-0000AE300000}"/>
    <cellStyle name="60% - Accent4 24 4" xfId="12026" xr:uid="{00000000-0005-0000-0000-0000AF300000}"/>
    <cellStyle name="60% - Accent4 25" xfId="12027" xr:uid="{00000000-0005-0000-0000-0000B0300000}"/>
    <cellStyle name="60% - Accent4 25 2" xfId="12028" xr:uid="{00000000-0005-0000-0000-0000B1300000}"/>
    <cellStyle name="60% - Accent4 25 3" xfId="12029" xr:uid="{00000000-0005-0000-0000-0000B2300000}"/>
    <cellStyle name="60% - Accent4 25 4" xfId="12030" xr:uid="{00000000-0005-0000-0000-0000B3300000}"/>
    <cellStyle name="60% - Accent4 26" xfId="12031" xr:uid="{00000000-0005-0000-0000-0000B4300000}"/>
    <cellStyle name="60% - Accent4 26 2" xfId="12032" xr:uid="{00000000-0005-0000-0000-0000B5300000}"/>
    <cellStyle name="60% - Accent4 26 3" xfId="12033" xr:uid="{00000000-0005-0000-0000-0000B6300000}"/>
    <cellStyle name="60% - Accent4 26 4" xfId="12034" xr:uid="{00000000-0005-0000-0000-0000B7300000}"/>
    <cellStyle name="60% - Accent4 27" xfId="12035" xr:uid="{00000000-0005-0000-0000-0000B8300000}"/>
    <cellStyle name="60% - Accent4 27 2" xfId="12036" xr:uid="{00000000-0005-0000-0000-0000B9300000}"/>
    <cellStyle name="60% - Accent4 27 3" xfId="12037" xr:uid="{00000000-0005-0000-0000-0000BA300000}"/>
    <cellStyle name="60% - Accent4 27 4" xfId="12038" xr:uid="{00000000-0005-0000-0000-0000BB300000}"/>
    <cellStyle name="60% - Accent4 28" xfId="12039" xr:uid="{00000000-0005-0000-0000-0000BC300000}"/>
    <cellStyle name="60% - Accent4 28 2" xfId="12040" xr:uid="{00000000-0005-0000-0000-0000BD300000}"/>
    <cellStyle name="60% - Accent4 28 3" xfId="12041" xr:uid="{00000000-0005-0000-0000-0000BE300000}"/>
    <cellStyle name="60% - Accent4 28 4" xfId="12042" xr:uid="{00000000-0005-0000-0000-0000BF300000}"/>
    <cellStyle name="60% - Accent4 29" xfId="12043" xr:uid="{00000000-0005-0000-0000-0000C0300000}"/>
    <cellStyle name="60% - Accent4 29 2" xfId="12044" xr:uid="{00000000-0005-0000-0000-0000C1300000}"/>
    <cellStyle name="60% - Accent4 29 3" xfId="12045" xr:uid="{00000000-0005-0000-0000-0000C2300000}"/>
    <cellStyle name="60% - Accent4 29 4" xfId="12046" xr:uid="{00000000-0005-0000-0000-0000C3300000}"/>
    <cellStyle name="60% - Accent4 3" xfId="12047" xr:uid="{00000000-0005-0000-0000-0000C4300000}"/>
    <cellStyle name="60% - Accent4 3 2" xfId="12048" xr:uid="{00000000-0005-0000-0000-0000C5300000}"/>
    <cellStyle name="60% - Accent4 3 2 2" xfId="12049" xr:uid="{00000000-0005-0000-0000-0000C6300000}"/>
    <cellStyle name="60% - Accent4 3 2 3" xfId="12050" xr:uid="{00000000-0005-0000-0000-0000C7300000}"/>
    <cellStyle name="60% - Accent4 3 2 4" xfId="12051" xr:uid="{00000000-0005-0000-0000-0000C8300000}"/>
    <cellStyle name="60% - Accent4 3 3" xfId="12052" xr:uid="{00000000-0005-0000-0000-0000C9300000}"/>
    <cellStyle name="60% - Accent4 3 3 2" xfId="12053" xr:uid="{00000000-0005-0000-0000-0000CA300000}"/>
    <cellStyle name="60% - Accent4 3 3 3" xfId="12054" xr:uid="{00000000-0005-0000-0000-0000CB300000}"/>
    <cellStyle name="60% - Accent4 3 3 4" xfId="12055" xr:uid="{00000000-0005-0000-0000-0000CC300000}"/>
    <cellStyle name="60% - Accent4 3 4" xfId="12056" xr:uid="{00000000-0005-0000-0000-0000CD300000}"/>
    <cellStyle name="60% - Accent4 3 4 2" xfId="12057" xr:uid="{00000000-0005-0000-0000-0000CE300000}"/>
    <cellStyle name="60% - Accent4 3 4 3" xfId="12058" xr:uid="{00000000-0005-0000-0000-0000CF300000}"/>
    <cellStyle name="60% - Accent4 3 4 4" xfId="12059" xr:uid="{00000000-0005-0000-0000-0000D0300000}"/>
    <cellStyle name="60% - Accent4 3 5" xfId="12060" xr:uid="{00000000-0005-0000-0000-0000D1300000}"/>
    <cellStyle name="60% - Accent4 3 6" xfId="12061" xr:uid="{00000000-0005-0000-0000-0000D2300000}"/>
    <cellStyle name="60% - Accent4 3 7" xfId="12062" xr:uid="{00000000-0005-0000-0000-0000D3300000}"/>
    <cellStyle name="60% - Accent4 3 8" xfId="12063" xr:uid="{00000000-0005-0000-0000-0000D4300000}"/>
    <cellStyle name="60% - Accent4 30" xfId="12064" xr:uid="{00000000-0005-0000-0000-0000D5300000}"/>
    <cellStyle name="60% - Accent4 31" xfId="12065" xr:uid="{00000000-0005-0000-0000-0000D6300000}"/>
    <cellStyle name="60% - Accent4 32" xfId="12066" xr:uid="{00000000-0005-0000-0000-0000D7300000}"/>
    <cellStyle name="60% - Accent4 4" xfId="12067" xr:uid="{00000000-0005-0000-0000-0000D8300000}"/>
    <cellStyle name="60% - Accent4 4 2" xfId="12068" xr:uid="{00000000-0005-0000-0000-0000D9300000}"/>
    <cellStyle name="60% - Accent4 4 3" xfId="12069" xr:uid="{00000000-0005-0000-0000-0000DA300000}"/>
    <cellStyle name="60% - Accent4 4 4" xfId="12070" xr:uid="{00000000-0005-0000-0000-0000DB300000}"/>
    <cellStyle name="60% - Accent4 4 5" xfId="12071" xr:uid="{00000000-0005-0000-0000-0000DC300000}"/>
    <cellStyle name="60% - Accent4 4 6" xfId="12072" xr:uid="{00000000-0005-0000-0000-0000DD300000}"/>
    <cellStyle name="60% - Accent4 5" xfId="12073" xr:uid="{00000000-0005-0000-0000-0000DE300000}"/>
    <cellStyle name="60% - Accent4 5 2" xfId="12074" xr:uid="{00000000-0005-0000-0000-0000DF300000}"/>
    <cellStyle name="60% - Accent4 5 3" xfId="12075" xr:uid="{00000000-0005-0000-0000-0000E0300000}"/>
    <cellStyle name="60% - Accent4 5 4" xfId="12076" xr:uid="{00000000-0005-0000-0000-0000E1300000}"/>
    <cellStyle name="60% - Accent4 5 5" xfId="12077" xr:uid="{00000000-0005-0000-0000-0000E2300000}"/>
    <cellStyle name="60% - Accent4 5 6" xfId="12078" xr:uid="{00000000-0005-0000-0000-0000E3300000}"/>
    <cellStyle name="60% - Accent4 6" xfId="12079" xr:uid="{00000000-0005-0000-0000-0000E4300000}"/>
    <cellStyle name="60% - Accent4 6 2" xfId="12080" xr:uid="{00000000-0005-0000-0000-0000E5300000}"/>
    <cellStyle name="60% - Accent4 6 3" xfId="12081" xr:uid="{00000000-0005-0000-0000-0000E6300000}"/>
    <cellStyle name="60% - Accent4 6 4" xfId="12082" xr:uid="{00000000-0005-0000-0000-0000E7300000}"/>
    <cellStyle name="60% - Accent4 6 5" xfId="12083" xr:uid="{00000000-0005-0000-0000-0000E8300000}"/>
    <cellStyle name="60% - Accent4 6 6" xfId="12084" xr:uid="{00000000-0005-0000-0000-0000E9300000}"/>
    <cellStyle name="60% - Accent4 7" xfId="12085" xr:uid="{00000000-0005-0000-0000-0000EA300000}"/>
    <cellStyle name="60% - Accent4 7 2" xfId="12086" xr:uid="{00000000-0005-0000-0000-0000EB300000}"/>
    <cellStyle name="60% - Accent4 7 3" xfId="12087" xr:uid="{00000000-0005-0000-0000-0000EC300000}"/>
    <cellStyle name="60% - Accent4 7 4" xfId="12088" xr:uid="{00000000-0005-0000-0000-0000ED300000}"/>
    <cellStyle name="60% - Accent4 7 5" xfId="12089" xr:uid="{00000000-0005-0000-0000-0000EE300000}"/>
    <cellStyle name="60% - Accent4 7 6" xfId="12090" xr:uid="{00000000-0005-0000-0000-0000EF300000}"/>
    <cellStyle name="60% - Accent4 8" xfId="12091" xr:uid="{00000000-0005-0000-0000-0000F0300000}"/>
    <cellStyle name="60% - Accent4 8 2" xfId="12092" xr:uid="{00000000-0005-0000-0000-0000F1300000}"/>
    <cellStyle name="60% - Accent4 8 3" xfId="12093" xr:uid="{00000000-0005-0000-0000-0000F2300000}"/>
    <cellStyle name="60% - Accent4 8 4" xfId="12094" xr:uid="{00000000-0005-0000-0000-0000F3300000}"/>
    <cellStyle name="60% - Accent4 8 5" xfId="12095" xr:uid="{00000000-0005-0000-0000-0000F4300000}"/>
    <cellStyle name="60% - Accent4 8 6" xfId="12096" xr:uid="{00000000-0005-0000-0000-0000F5300000}"/>
    <cellStyle name="60% - Accent4 9" xfId="12097" xr:uid="{00000000-0005-0000-0000-0000F6300000}"/>
    <cellStyle name="60% - Accent4 9 2" xfId="12098" xr:uid="{00000000-0005-0000-0000-0000F7300000}"/>
    <cellStyle name="60% - Accent4 9 3" xfId="12099" xr:uid="{00000000-0005-0000-0000-0000F8300000}"/>
    <cellStyle name="60% - Accent4 9 4" xfId="12100" xr:uid="{00000000-0005-0000-0000-0000F9300000}"/>
    <cellStyle name="60% - Accent5 10" xfId="12101" xr:uid="{00000000-0005-0000-0000-0000FA300000}"/>
    <cellStyle name="60% - Accent5 10 2" xfId="12102" xr:uid="{00000000-0005-0000-0000-0000FB300000}"/>
    <cellStyle name="60% - Accent5 10 3" xfId="12103" xr:uid="{00000000-0005-0000-0000-0000FC300000}"/>
    <cellStyle name="60% - Accent5 10 4" xfId="12104" xr:uid="{00000000-0005-0000-0000-0000FD300000}"/>
    <cellStyle name="60% - Accent5 11" xfId="12105" xr:uid="{00000000-0005-0000-0000-0000FE300000}"/>
    <cellStyle name="60% - Accent5 11 2" xfId="12106" xr:uid="{00000000-0005-0000-0000-0000FF300000}"/>
    <cellStyle name="60% - Accent5 11 3" xfId="12107" xr:uid="{00000000-0005-0000-0000-000000310000}"/>
    <cellStyle name="60% - Accent5 11 4" xfId="12108" xr:uid="{00000000-0005-0000-0000-000001310000}"/>
    <cellStyle name="60% - Accent5 12" xfId="12109" xr:uid="{00000000-0005-0000-0000-000002310000}"/>
    <cellStyle name="60% - Accent5 12 2" xfId="12110" xr:uid="{00000000-0005-0000-0000-000003310000}"/>
    <cellStyle name="60% - Accent5 12 3" xfId="12111" xr:uid="{00000000-0005-0000-0000-000004310000}"/>
    <cellStyle name="60% - Accent5 12 4" xfId="12112" xr:uid="{00000000-0005-0000-0000-000005310000}"/>
    <cellStyle name="60% - Accent5 13" xfId="12113" xr:uid="{00000000-0005-0000-0000-000006310000}"/>
    <cellStyle name="60% - Accent5 13 2" xfId="12114" xr:uid="{00000000-0005-0000-0000-000007310000}"/>
    <cellStyle name="60% - Accent5 13 3" xfId="12115" xr:uid="{00000000-0005-0000-0000-000008310000}"/>
    <cellStyle name="60% - Accent5 13 4" xfId="12116" xr:uid="{00000000-0005-0000-0000-000009310000}"/>
    <cellStyle name="60% - Accent5 14" xfId="12117" xr:uid="{00000000-0005-0000-0000-00000A310000}"/>
    <cellStyle name="60% - Accent5 14 2" xfId="12118" xr:uid="{00000000-0005-0000-0000-00000B310000}"/>
    <cellStyle name="60% - Accent5 14 3" xfId="12119" xr:uid="{00000000-0005-0000-0000-00000C310000}"/>
    <cellStyle name="60% - Accent5 14 4" xfId="12120" xr:uid="{00000000-0005-0000-0000-00000D310000}"/>
    <cellStyle name="60% - Accent5 15" xfId="12121" xr:uid="{00000000-0005-0000-0000-00000E310000}"/>
    <cellStyle name="60% - Accent5 15 2" xfId="12122" xr:uid="{00000000-0005-0000-0000-00000F310000}"/>
    <cellStyle name="60% - Accent5 15 3" xfId="12123" xr:uid="{00000000-0005-0000-0000-000010310000}"/>
    <cellStyle name="60% - Accent5 15 4" xfId="12124" xr:uid="{00000000-0005-0000-0000-000011310000}"/>
    <cellStyle name="60% - Accent5 16" xfId="12125" xr:uid="{00000000-0005-0000-0000-000012310000}"/>
    <cellStyle name="60% - Accent5 16 2" xfId="12126" xr:uid="{00000000-0005-0000-0000-000013310000}"/>
    <cellStyle name="60% - Accent5 16 3" xfId="12127" xr:uid="{00000000-0005-0000-0000-000014310000}"/>
    <cellStyle name="60% - Accent5 16 4" xfId="12128" xr:uid="{00000000-0005-0000-0000-000015310000}"/>
    <cellStyle name="60% - Accent5 17" xfId="12129" xr:uid="{00000000-0005-0000-0000-000016310000}"/>
    <cellStyle name="60% - Accent5 17 2" xfId="12130" xr:uid="{00000000-0005-0000-0000-000017310000}"/>
    <cellStyle name="60% - Accent5 17 3" xfId="12131" xr:uid="{00000000-0005-0000-0000-000018310000}"/>
    <cellStyle name="60% - Accent5 17 4" xfId="12132" xr:uid="{00000000-0005-0000-0000-000019310000}"/>
    <cellStyle name="60% - Accent5 18" xfId="12133" xr:uid="{00000000-0005-0000-0000-00001A310000}"/>
    <cellStyle name="60% - Accent5 18 2" xfId="12134" xr:uid="{00000000-0005-0000-0000-00001B310000}"/>
    <cellStyle name="60% - Accent5 18 3" xfId="12135" xr:uid="{00000000-0005-0000-0000-00001C310000}"/>
    <cellStyle name="60% - Accent5 18 4" xfId="12136" xr:uid="{00000000-0005-0000-0000-00001D310000}"/>
    <cellStyle name="60% - Accent5 19" xfId="12137" xr:uid="{00000000-0005-0000-0000-00001E310000}"/>
    <cellStyle name="60% - Accent5 19 2" xfId="12138" xr:uid="{00000000-0005-0000-0000-00001F310000}"/>
    <cellStyle name="60% - Accent5 19 3" xfId="12139" xr:uid="{00000000-0005-0000-0000-000020310000}"/>
    <cellStyle name="60% - Accent5 19 4" xfId="12140" xr:uid="{00000000-0005-0000-0000-000021310000}"/>
    <cellStyle name="60% - Accent5 2" xfId="12141" xr:uid="{00000000-0005-0000-0000-000022310000}"/>
    <cellStyle name="60% - Accent5 2 2" xfId="12142" xr:uid="{00000000-0005-0000-0000-000023310000}"/>
    <cellStyle name="60% - Accent5 2 2 2" xfId="12143" xr:uid="{00000000-0005-0000-0000-000024310000}"/>
    <cellStyle name="60% - Accent5 2 2 3" xfId="12144" xr:uid="{00000000-0005-0000-0000-000025310000}"/>
    <cellStyle name="60% - Accent5 2 2 4" xfId="12145" xr:uid="{00000000-0005-0000-0000-000026310000}"/>
    <cellStyle name="60% - Accent5 2 3" xfId="12146" xr:uid="{00000000-0005-0000-0000-000027310000}"/>
    <cellStyle name="60% - Accent5 2 3 2" xfId="12147" xr:uid="{00000000-0005-0000-0000-000028310000}"/>
    <cellStyle name="60% - Accent5 2 3 3" xfId="12148" xr:uid="{00000000-0005-0000-0000-000029310000}"/>
    <cellStyle name="60% - Accent5 2 3 4" xfId="12149" xr:uid="{00000000-0005-0000-0000-00002A310000}"/>
    <cellStyle name="60% - Accent5 2 4" xfId="12150" xr:uid="{00000000-0005-0000-0000-00002B310000}"/>
    <cellStyle name="60% - Accent5 2 4 2" xfId="12151" xr:uid="{00000000-0005-0000-0000-00002C310000}"/>
    <cellStyle name="60% - Accent5 2 4 3" xfId="12152" xr:uid="{00000000-0005-0000-0000-00002D310000}"/>
    <cellStyle name="60% - Accent5 2 4 4" xfId="12153" xr:uid="{00000000-0005-0000-0000-00002E310000}"/>
    <cellStyle name="60% - Accent5 2 5" xfId="12154" xr:uid="{00000000-0005-0000-0000-00002F310000}"/>
    <cellStyle name="60% - Accent5 2 6" xfId="12155" xr:uid="{00000000-0005-0000-0000-000030310000}"/>
    <cellStyle name="60% - Accent5 2 7" xfId="12156" xr:uid="{00000000-0005-0000-0000-000031310000}"/>
    <cellStyle name="60% - Accent5 2 8" xfId="12157" xr:uid="{00000000-0005-0000-0000-000032310000}"/>
    <cellStyle name="60% - Accent5 20" xfId="12158" xr:uid="{00000000-0005-0000-0000-000033310000}"/>
    <cellStyle name="60% - Accent5 20 2" xfId="12159" xr:uid="{00000000-0005-0000-0000-000034310000}"/>
    <cellStyle name="60% - Accent5 20 3" xfId="12160" xr:uid="{00000000-0005-0000-0000-000035310000}"/>
    <cellStyle name="60% - Accent5 20 4" xfId="12161" xr:uid="{00000000-0005-0000-0000-000036310000}"/>
    <cellStyle name="60% - Accent5 21" xfId="12162" xr:uid="{00000000-0005-0000-0000-000037310000}"/>
    <cellStyle name="60% - Accent5 21 2" xfId="12163" xr:uid="{00000000-0005-0000-0000-000038310000}"/>
    <cellStyle name="60% - Accent5 21 3" xfId="12164" xr:uid="{00000000-0005-0000-0000-000039310000}"/>
    <cellStyle name="60% - Accent5 21 4" xfId="12165" xr:uid="{00000000-0005-0000-0000-00003A310000}"/>
    <cellStyle name="60% - Accent5 22" xfId="12166" xr:uid="{00000000-0005-0000-0000-00003B310000}"/>
    <cellStyle name="60% - Accent5 22 2" xfId="12167" xr:uid="{00000000-0005-0000-0000-00003C310000}"/>
    <cellStyle name="60% - Accent5 22 3" xfId="12168" xr:uid="{00000000-0005-0000-0000-00003D310000}"/>
    <cellStyle name="60% - Accent5 22 4" xfId="12169" xr:uid="{00000000-0005-0000-0000-00003E310000}"/>
    <cellStyle name="60% - Accent5 23" xfId="12170" xr:uid="{00000000-0005-0000-0000-00003F310000}"/>
    <cellStyle name="60% - Accent5 23 2" xfId="12171" xr:uid="{00000000-0005-0000-0000-000040310000}"/>
    <cellStyle name="60% - Accent5 23 3" xfId="12172" xr:uid="{00000000-0005-0000-0000-000041310000}"/>
    <cellStyle name="60% - Accent5 23 4" xfId="12173" xr:uid="{00000000-0005-0000-0000-000042310000}"/>
    <cellStyle name="60% - Accent5 24" xfId="12174" xr:uid="{00000000-0005-0000-0000-000043310000}"/>
    <cellStyle name="60% - Accent5 24 2" xfId="12175" xr:uid="{00000000-0005-0000-0000-000044310000}"/>
    <cellStyle name="60% - Accent5 24 3" xfId="12176" xr:uid="{00000000-0005-0000-0000-000045310000}"/>
    <cellStyle name="60% - Accent5 24 4" xfId="12177" xr:uid="{00000000-0005-0000-0000-000046310000}"/>
    <cellStyle name="60% - Accent5 25" xfId="12178" xr:uid="{00000000-0005-0000-0000-000047310000}"/>
    <cellStyle name="60% - Accent5 25 2" xfId="12179" xr:uid="{00000000-0005-0000-0000-000048310000}"/>
    <cellStyle name="60% - Accent5 25 3" xfId="12180" xr:uid="{00000000-0005-0000-0000-000049310000}"/>
    <cellStyle name="60% - Accent5 25 4" xfId="12181" xr:uid="{00000000-0005-0000-0000-00004A310000}"/>
    <cellStyle name="60% - Accent5 26" xfId="12182" xr:uid="{00000000-0005-0000-0000-00004B310000}"/>
    <cellStyle name="60% - Accent5 26 2" xfId="12183" xr:uid="{00000000-0005-0000-0000-00004C310000}"/>
    <cellStyle name="60% - Accent5 26 3" xfId="12184" xr:uid="{00000000-0005-0000-0000-00004D310000}"/>
    <cellStyle name="60% - Accent5 26 4" xfId="12185" xr:uid="{00000000-0005-0000-0000-00004E310000}"/>
    <cellStyle name="60% - Accent5 27" xfId="12186" xr:uid="{00000000-0005-0000-0000-00004F310000}"/>
    <cellStyle name="60% - Accent5 27 2" xfId="12187" xr:uid="{00000000-0005-0000-0000-000050310000}"/>
    <cellStyle name="60% - Accent5 27 3" xfId="12188" xr:uid="{00000000-0005-0000-0000-000051310000}"/>
    <cellStyle name="60% - Accent5 27 4" xfId="12189" xr:uid="{00000000-0005-0000-0000-000052310000}"/>
    <cellStyle name="60% - Accent5 28" xfId="12190" xr:uid="{00000000-0005-0000-0000-000053310000}"/>
    <cellStyle name="60% - Accent5 28 2" xfId="12191" xr:uid="{00000000-0005-0000-0000-000054310000}"/>
    <cellStyle name="60% - Accent5 28 3" xfId="12192" xr:uid="{00000000-0005-0000-0000-000055310000}"/>
    <cellStyle name="60% - Accent5 28 4" xfId="12193" xr:uid="{00000000-0005-0000-0000-000056310000}"/>
    <cellStyle name="60% - Accent5 29" xfId="12194" xr:uid="{00000000-0005-0000-0000-000057310000}"/>
    <cellStyle name="60% - Accent5 29 2" xfId="12195" xr:uid="{00000000-0005-0000-0000-000058310000}"/>
    <cellStyle name="60% - Accent5 29 3" xfId="12196" xr:uid="{00000000-0005-0000-0000-000059310000}"/>
    <cellStyle name="60% - Accent5 29 4" xfId="12197" xr:uid="{00000000-0005-0000-0000-00005A310000}"/>
    <cellStyle name="60% - Accent5 3" xfId="12198" xr:uid="{00000000-0005-0000-0000-00005B310000}"/>
    <cellStyle name="60% - Accent5 3 2" xfId="12199" xr:uid="{00000000-0005-0000-0000-00005C310000}"/>
    <cellStyle name="60% - Accent5 3 2 2" xfId="12200" xr:uid="{00000000-0005-0000-0000-00005D310000}"/>
    <cellStyle name="60% - Accent5 3 2 3" xfId="12201" xr:uid="{00000000-0005-0000-0000-00005E310000}"/>
    <cellStyle name="60% - Accent5 3 2 4" xfId="12202" xr:uid="{00000000-0005-0000-0000-00005F310000}"/>
    <cellStyle name="60% - Accent5 3 3" xfId="12203" xr:uid="{00000000-0005-0000-0000-000060310000}"/>
    <cellStyle name="60% - Accent5 3 3 2" xfId="12204" xr:uid="{00000000-0005-0000-0000-000061310000}"/>
    <cellStyle name="60% - Accent5 3 3 3" xfId="12205" xr:uid="{00000000-0005-0000-0000-000062310000}"/>
    <cellStyle name="60% - Accent5 3 3 4" xfId="12206" xr:uid="{00000000-0005-0000-0000-000063310000}"/>
    <cellStyle name="60% - Accent5 3 4" xfId="12207" xr:uid="{00000000-0005-0000-0000-000064310000}"/>
    <cellStyle name="60% - Accent5 3 4 2" xfId="12208" xr:uid="{00000000-0005-0000-0000-000065310000}"/>
    <cellStyle name="60% - Accent5 3 4 3" xfId="12209" xr:uid="{00000000-0005-0000-0000-000066310000}"/>
    <cellStyle name="60% - Accent5 3 4 4" xfId="12210" xr:uid="{00000000-0005-0000-0000-000067310000}"/>
    <cellStyle name="60% - Accent5 3 5" xfId="12211" xr:uid="{00000000-0005-0000-0000-000068310000}"/>
    <cellStyle name="60% - Accent5 3 6" xfId="12212" xr:uid="{00000000-0005-0000-0000-000069310000}"/>
    <cellStyle name="60% - Accent5 3 7" xfId="12213" xr:uid="{00000000-0005-0000-0000-00006A310000}"/>
    <cellStyle name="60% - Accent5 3 8" xfId="12214" xr:uid="{00000000-0005-0000-0000-00006B310000}"/>
    <cellStyle name="60% - Accent5 30" xfId="12215" xr:uid="{00000000-0005-0000-0000-00006C310000}"/>
    <cellStyle name="60% - Accent5 31" xfId="12216" xr:uid="{00000000-0005-0000-0000-00006D310000}"/>
    <cellStyle name="60% - Accent5 32" xfId="12217" xr:uid="{00000000-0005-0000-0000-00006E310000}"/>
    <cellStyle name="60% - Accent5 4" xfId="12218" xr:uid="{00000000-0005-0000-0000-00006F310000}"/>
    <cellStyle name="60% - Accent5 4 2" xfId="12219" xr:uid="{00000000-0005-0000-0000-000070310000}"/>
    <cellStyle name="60% - Accent5 4 3" xfId="12220" xr:uid="{00000000-0005-0000-0000-000071310000}"/>
    <cellStyle name="60% - Accent5 4 4" xfId="12221" xr:uid="{00000000-0005-0000-0000-000072310000}"/>
    <cellStyle name="60% - Accent5 4 5" xfId="12222" xr:uid="{00000000-0005-0000-0000-000073310000}"/>
    <cellStyle name="60% - Accent5 4 6" xfId="12223" xr:uid="{00000000-0005-0000-0000-000074310000}"/>
    <cellStyle name="60% - Accent5 5" xfId="12224" xr:uid="{00000000-0005-0000-0000-000075310000}"/>
    <cellStyle name="60% - Accent5 5 2" xfId="12225" xr:uid="{00000000-0005-0000-0000-000076310000}"/>
    <cellStyle name="60% - Accent5 5 3" xfId="12226" xr:uid="{00000000-0005-0000-0000-000077310000}"/>
    <cellStyle name="60% - Accent5 5 4" xfId="12227" xr:uid="{00000000-0005-0000-0000-000078310000}"/>
    <cellStyle name="60% - Accent5 5 5" xfId="12228" xr:uid="{00000000-0005-0000-0000-000079310000}"/>
    <cellStyle name="60% - Accent5 5 6" xfId="12229" xr:uid="{00000000-0005-0000-0000-00007A310000}"/>
    <cellStyle name="60% - Accent5 6" xfId="12230" xr:uid="{00000000-0005-0000-0000-00007B310000}"/>
    <cellStyle name="60% - Accent5 6 2" xfId="12231" xr:uid="{00000000-0005-0000-0000-00007C310000}"/>
    <cellStyle name="60% - Accent5 6 3" xfId="12232" xr:uid="{00000000-0005-0000-0000-00007D310000}"/>
    <cellStyle name="60% - Accent5 6 4" xfId="12233" xr:uid="{00000000-0005-0000-0000-00007E310000}"/>
    <cellStyle name="60% - Accent5 6 5" xfId="12234" xr:uid="{00000000-0005-0000-0000-00007F310000}"/>
    <cellStyle name="60% - Accent5 6 6" xfId="12235" xr:uid="{00000000-0005-0000-0000-000080310000}"/>
    <cellStyle name="60% - Accent5 7" xfId="12236" xr:uid="{00000000-0005-0000-0000-000081310000}"/>
    <cellStyle name="60% - Accent5 7 2" xfId="12237" xr:uid="{00000000-0005-0000-0000-000082310000}"/>
    <cellStyle name="60% - Accent5 7 3" xfId="12238" xr:uid="{00000000-0005-0000-0000-000083310000}"/>
    <cellStyle name="60% - Accent5 7 4" xfId="12239" xr:uid="{00000000-0005-0000-0000-000084310000}"/>
    <cellStyle name="60% - Accent5 7 5" xfId="12240" xr:uid="{00000000-0005-0000-0000-000085310000}"/>
    <cellStyle name="60% - Accent5 7 6" xfId="12241" xr:uid="{00000000-0005-0000-0000-000086310000}"/>
    <cellStyle name="60% - Accent5 8" xfId="12242" xr:uid="{00000000-0005-0000-0000-000087310000}"/>
    <cellStyle name="60% - Accent5 8 2" xfId="12243" xr:uid="{00000000-0005-0000-0000-000088310000}"/>
    <cellStyle name="60% - Accent5 8 3" xfId="12244" xr:uid="{00000000-0005-0000-0000-000089310000}"/>
    <cellStyle name="60% - Accent5 8 4" xfId="12245" xr:uid="{00000000-0005-0000-0000-00008A310000}"/>
    <cellStyle name="60% - Accent5 8 5" xfId="12246" xr:uid="{00000000-0005-0000-0000-00008B310000}"/>
    <cellStyle name="60% - Accent5 8 6" xfId="12247" xr:uid="{00000000-0005-0000-0000-00008C310000}"/>
    <cellStyle name="60% - Accent5 9" xfId="12248" xr:uid="{00000000-0005-0000-0000-00008D310000}"/>
    <cellStyle name="60% - Accent5 9 2" xfId="12249" xr:uid="{00000000-0005-0000-0000-00008E310000}"/>
    <cellStyle name="60% - Accent5 9 3" xfId="12250" xr:uid="{00000000-0005-0000-0000-00008F310000}"/>
    <cellStyle name="60% - Accent5 9 4" xfId="12251" xr:uid="{00000000-0005-0000-0000-000090310000}"/>
    <cellStyle name="60% - Accent6 10" xfId="12252" xr:uid="{00000000-0005-0000-0000-000091310000}"/>
    <cellStyle name="60% - Accent6 10 2" xfId="12253" xr:uid="{00000000-0005-0000-0000-000092310000}"/>
    <cellStyle name="60% - Accent6 10 3" xfId="12254" xr:uid="{00000000-0005-0000-0000-000093310000}"/>
    <cellStyle name="60% - Accent6 10 4" xfId="12255" xr:uid="{00000000-0005-0000-0000-000094310000}"/>
    <cellStyle name="60% - Accent6 11" xfId="12256" xr:uid="{00000000-0005-0000-0000-000095310000}"/>
    <cellStyle name="60% - Accent6 11 2" xfId="12257" xr:uid="{00000000-0005-0000-0000-000096310000}"/>
    <cellStyle name="60% - Accent6 11 3" xfId="12258" xr:uid="{00000000-0005-0000-0000-000097310000}"/>
    <cellStyle name="60% - Accent6 11 4" xfId="12259" xr:uid="{00000000-0005-0000-0000-000098310000}"/>
    <cellStyle name="60% - Accent6 12" xfId="12260" xr:uid="{00000000-0005-0000-0000-000099310000}"/>
    <cellStyle name="60% - Accent6 12 2" xfId="12261" xr:uid="{00000000-0005-0000-0000-00009A310000}"/>
    <cellStyle name="60% - Accent6 12 3" xfId="12262" xr:uid="{00000000-0005-0000-0000-00009B310000}"/>
    <cellStyle name="60% - Accent6 12 4" xfId="12263" xr:uid="{00000000-0005-0000-0000-00009C310000}"/>
    <cellStyle name="60% - Accent6 13" xfId="12264" xr:uid="{00000000-0005-0000-0000-00009D310000}"/>
    <cellStyle name="60% - Accent6 13 2" xfId="12265" xr:uid="{00000000-0005-0000-0000-00009E310000}"/>
    <cellStyle name="60% - Accent6 13 3" xfId="12266" xr:uid="{00000000-0005-0000-0000-00009F310000}"/>
    <cellStyle name="60% - Accent6 13 4" xfId="12267" xr:uid="{00000000-0005-0000-0000-0000A0310000}"/>
    <cellStyle name="60% - Accent6 14" xfId="12268" xr:uid="{00000000-0005-0000-0000-0000A1310000}"/>
    <cellStyle name="60% - Accent6 14 2" xfId="12269" xr:uid="{00000000-0005-0000-0000-0000A2310000}"/>
    <cellStyle name="60% - Accent6 14 3" xfId="12270" xr:uid="{00000000-0005-0000-0000-0000A3310000}"/>
    <cellStyle name="60% - Accent6 14 4" xfId="12271" xr:uid="{00000000-0005-0000-0000-0000A4310000}"/>
    <cellStyle name="60% - Accent6 15" xfId="12272" xr:uid="{00000000-0005-0000-0000-0000A5310000}"/>
    <cellStyle name="60% - Accent6 15 2" xfId="12273" xr:uid="{00000000-0005-0000-0000-0000A6310000}"/>
    <cellStyle name="60% - Accent6 15 3" xfId="12274" xr:uid="{00000000-0005-0000-0000-0000A7310000}"/>
    <cellStyle name="60% - Accent6 15 4" xfId="12275" xr:uid="{00000000-0005-0000-0000-0000A8310000}"/>
    <cellStyle name="60% - Accent6 16" xfId="12276" xr:uid="{00000000-0005-0000-0000-0000A9310000}"/>
    <cellStyle name="60% - Accent6 16 2" xfId="12277" xr:uid="{00000000-0005-0000-0000-0000AA310000}"/>
    <cellStyle name="60% - Accent6 16 3" xfId="12278" xr:uid="{00000000-0005-0000-0000-0000AB310000}"/>
    <cellStyle name="60% - Accent6 16 4" xfId="12279" xr:uid="{00000000-0005-0000-0000-0000AC310000}"/>
    <cellStyle name="60% - Accent6 17" xfId="12280" xr:uid="{00000000-0005-0000-0000-0000AD310000}"/>
    <cellStyle name="60% - Accent6 17 2" xfId="12281" xr:uid="{00000000-0005-0000-0000-0000AE310000}"/>
    <cellStyle name="60% - Accent6 17 3" xfId="12282" xr:uid="{00000000-0005-0000-0000-0000AF310000}"/>
    <cellStyle name="60% - Accent6 17 4" xfId="12283" xr:uid="{00000000-0005-0000-0000-0000B0310000}"/>
    <cellStyle name="60% - Accent6 18" xfId="12284" xr:uid="{00000000-0005-0000-0000-0000B1310000}"/>
    <cellStyle name="60% - Accent6 18 2" xfId="12285" xr:uid="{00000000-0005-0000-0000-0000B2310000}"/>
    <cellStyle name="60% - Accent6 18 3" xfId="12286" xr:uid="{00000000-0005-0000-0000-0000B3310000}"/>
    <cellStyle name="60% - Accent6 18 4" xfId="12287" xr:uid="{00000000-0005-0000-0000-0000B4310000}"/>
    <cellStyle name="60% - Accent6 19" xfId="12288" xr:uid="{00000000-0005-0000-0000-0000B5310000}"/>
    <cellStyle name="60% - Accent6 19 2" xfId="12289" xr:uid="{00000000-0005-0000-0000-0000B6310000}"/>
    <cellStyle name="60% - Accent6 19 3" xfId="12290" xr:uid="{00000000-0005-0000-0000-0000B7310000}"/>
    <cellStyle name="60% - Accent6 19 4" xfId="12291" xr:uid="{00000000-0005-0000-0000-0000B8310000}"/>
    <cellStyle name="60% - Accent6 2" xfId="12292" xr:uid="{00000000-0005-0000-0000-0000B9310000}"/>
    <cellStyle name="60% - Accent6 2 2" xfId="12293" xr:uid="{00000000-0005-0000-0000-0000BA310000}"/>
    <cellStyle name="60% - Accent6 2 2 2" xfId="12294" xr:uid="{00000000-0005-0000-0000-0000BB310000}"/>
    <cellStyle name="60% - Accent6 2 2 3" xfId="12295" xr:uid="{00000000-0005-0000-0000-0000BC310000}"/>
    <cellStyle name="60% - Accent6 2 2 4" xfId="12296" xr:uid="{00000000-0005-0000-0000-0000BD310000}"/>
    <cellStyle name="60% - Accent6 2 3" xfId="12297" xr:uid="{00000000-0005-0000-0000-0000BE310000}"/>
    <cellStyle name="60% - Accent6 2 3 2" xfId="12298" xr:uid="{00000000-0005-0000-0000-0000BF310000}"/>
    <cellStyle name="60% - Accent6 2 3 3" xfId="12299" xr:uid="{00000000-0005-0000-0000-0000C0310000}"/>
    <cellStyle name="60% - Accent6 2 3 4" xfId="12300" xr:uid="{00000000-0005-0000-0000-0000C1310000}"/>
    <cellStyle name="60% - Accent6 2 4" xfId="12301" xr:uid="{00000000-0005-0000-0000-0000C2310000}"/>
    <cellStyle name="60% - Accent6 2 4 2" xfId="12302" xr:uid="{00000000-0005-0000-0000-0000C3310000}"/>
    <cellStyle name="60% - Accent6 2 4 3" xfId="12303" xr:uid="{00000000-0005-0000-0000-0000C4310000}"/>
    <cellStyle name="60% - Accent6 2 4 4" xfId="12304" xr:uid="{00000000-0005-0000-0000-0000C5310000}"/>
    <cellStyle name="60% - Accent6 2 5" xfId="12305" xr:uid="{00000000-0005-0000-0000-0000C6310000}"/>
    <cellStyle name="60% - Accent6 2 6" xfId="12306" xr:uid="{00000000-0005-0000-0000-0000C7310000}"/>
    <cellStyle name="60% - Accent6 2 7" xfId="12307" xr:uid="{00000000-0005-0000-0000-0000C8310000}"/>
    <cellStyle name="60% - Accent6 2 8" xfId="12308" xr:uid="{00000000-0005-0000-0000-0000C9310000}"/>
    <cellStyle name="60% - Accent6 20" xfId="12309" xr:uid="{00000000-0005-0000-0000-0000CA310000}"/>
    <cellStyle name="60% - Accent6 20 2" xfId="12310" xr:uid="{00000000-0005-0000-0000-0000CB310000}"/>
    <cellStyle name="60% - Accent6 20 3" xfId="12311" xr:uid="{00000000-0005-0000-0000-0000CC310000}"/>
    <cellStyle name="60% - Accent6 20 4" xfId="12312" xr:uid="{00000000-0005-0000-0000-0000CD310000}"/>
    <cellStyle name="60% - Accent6 21" xfId="12313" xr:uid="{00000000-0005-0000-0000-0000CE310000}"/>
    <cellStyle name="60% - Accent6 21 2" xfId="12314" xr:uid="{00000000-0005-0000-0000-0000CF310000}"/>
    <cellStyle name="60% - Accent6 21 3" xfId="12315" xr:uid="{00000000-0005-0000-0000-0000D0310000}"/>
    <cellStyle name="60% - Accent6 21 4" xfId="12316" xr:uid="{00000000-0005-0000-0000-0000D1310000}"/>
    <cellStyle name="60% - Accent6 22" xfId="12317" xr:uid="{00000000-0005-0000-0000-0000D2310000}"/>
    <cellStyle name="60% - Accent6 22 2" xfId="12318" xr:uid="{00000000-0005-0000-0000-0000D3310000}"/>
    <cellStyle name="60% - Accent6 22 3" xfId="12319" xr:uid="{00000000-0005-0000-0000-0000D4310000}"/>
    <cellStyle name="60% - Accent6 22 4" xfId="12320" xr:uid="{00000000-0005-0000-0000-0000D5310000}"/>
    <cellStyle name="60% - Accent6 23" xfId="12321" xr:uid="{00000000-0005-0000-0000-0000D6310000}"/>
    <cellStyle name="60% - Accent6 23 2" xfId="12322" xr:uid="{00000000-0005-0000-0000-0000D7310000}"/>
    <cellStyle name="60% - Accent6 23 3" xfId="12323" xr:uid="{00000000-0005-0000-0000-0000D8310000}"/>
    <cellStyle name="60% - Accent6 23 4" xfId="12324" xr:uid="{00000000-0005-0000-0000-0000D9310000}"/>
    <cellStyle name="60% - Accent6 24" xfId="12325" xr:uid="{00000000-0005-0000-0000-0000DA310000}"/>
    <cellStyle name="60% - Accent6 24 2" xfId="12326" xr:uid="{00000000-0005-0000-0000-0000DB310000}"/>
    <cellStyle name="60% - Accent6 24 3" xfId="12327" xr:uid="{00000000-0005-0000-0000-0000DC310000}"/>
    <cellStyle name="60% - Accent6 24 4" xfId="12328" xr:uid="{00000000-0005-0000-0000-0000DD310000}"/>
    <cellStyle name="60% - Accent6 25" xfId="12329" xr:uid="{00000000-0005-0000-0000-0000DE310000}"/>
    <cellStyle name="60% - Accent6 25 2" xfId="12330" xr:uid="{00000000-0005-0000-0000-0000DF310000}"/>
    <cellStyle name="60% - Accent6 25 3" xfId="12331" xr:uid="{00000000-0005-0000-0000-0000E0310000}"/>
    <cellStyle name="60% - Accent6 25 4" xfId="12332" xr:uid="{00000000-0005-0000-0000-0000E1310000}"/>
    <cellStyle name="60% - Accent6 26" xfId="12333" xr:uid="{00000000-0005-0000-0000-0000E2310000}"/>
    <cellStyle name="60% - Accent6 26 2" xfId="12334" xr:uid="{00000000-0005-0000-0000-0000E3310000}"/>
    <cellStyle name="60% - Accent6 26 3" xfId="12335" xr:uid="{00000000-0005-0000-0000-0000E4310000}"/>
    <cellStyle name="60% - Accent6 26 4" xfId="12336" xr:uid="{00000000-0005-0000-0000-0000E5310000}"/>
    <cellStyle name="60% - Accent6 27" xfId="12337" xr:uid="{00000000-0005-0000-0000-0000E6310000}"/>
    <cellStyle name="60% - Accent6 27 2" xfId="12338" xr:uid="{00000000-0005-0000-0000-0000E7310000}"/>
    <cellStyle name="60% - Accent6 27 3" xfId="12339" xr:uid="{00000000-0005-0000-0000-0000E8310000}"/>
    <cellStyle name="60% - Accent6 27 4" xfId="12340" xr:uid="{00000000-0005-0000-0000-0000E9310000}"/>
    <cellStyle name="60% - Accent6 28" xfId="12341" xr:uid="{00000000-0005-0000-0000-0000EA310000}"/>
    <cellStyle name="60% - Accent6 28 2" xfId="12342" xr:uid="{00000000-0005-0000-0000-0000EB310000}"/>
    <cellStyle name="60% - Accent6 28 3" xfId="12343" xr:uid="{00000000-0005-0000-0000-0000EC310000}"/>
    <cellStyle name="60% - Accent6 28 4" xfId="12344" xr:uid="{00000000-0005-0000-0000-0000ED310000}"/>
    <cellStyle name="60% - Accent6 29" xfId="12345" xr:uid="{00000000-0005-0000-0000-0000EE310000}"/>
    <cellStyle name="60% - Accent6 29 2" xfId="12346" xr:uid="{00000000-0005-0000-0000-0000EF310000}"/>
    <cellStyle name="60% - Accent6 29 3" xfId="12347" xr:uid="{00000000-0005-0000-0000-0000F0310000}"/>
    <cellStyle name="60% - Accent6 29 4" xfId="12348" xr:uid="{00000000-0005-0000-0000-0000F1310000}"/>
    <cellStyle name="60% - Accent6 3" xfId="12349" xr:uid="{00000000-0005-0000-0000-0000F2310000}"/>
    <cellStyle name="60% - Accent6 3 2" xfId="12350" xr:uid="{00000000-0005-0000-0000-0000F3310000}"/>
    <cellStyle name="60% - Accent6 3 2 2" xfId="12351" xr:uid="{00000000-0005-0000-0000-0000F4310000}"/>
    <cellStyle name="60% - Accent6 3 2 3" xfId="12352" xr:uid="{00000000-0005-0000-0000-0000F5310000}"/>
    <cellStyle name="60% - Accent6 3 2 4" xfId="12353" xr:uid="{00000000-0005-0000-0000-0000F6310000}"/>
    <cellStyle name="60% - Accent6 3 3" xfId="12354" xr:uid="{00000000-0005-0000-0000-0000F7310000}"/>
    <cellStyle name="60% - Accent6 3 3 2" xfId="12355" xr:uid="{00000000-0005-0000-0000-0000F8310000}"/>
    <cellStyle name="60% - Accent6 3 3 3" xfId="12356" xr:uid="{00000000-0005-0000-0000-0000F9310000}"/>
    <cellStyle name="60% - Accent6 3 3 4" xfId="12357" xr:uid="{00000000-0005-0000-0000-0000FA310000}"/>
    <cellStyle name="60% - Accent6 3 4" xfId="12358" xr:uid="{00000000-0005-0000-0000-0000FB310000}"/>
    <cellStyle name="60% - Accent6 3 4 2" xfId="12359" xr:uid="{00000000-0005-0000-0000-0000FC310000}"/>
    <cellStyle name="60% - Accent6 3 4 3" xfId="12360" xr:uid="{00000000-0005-0000-0000-0000FD310000}"/>
    <cellStyle name="60% - Accent6 3 4 4" xfId="12361" xr:uid="{00000000-0005-0000-0000-0000FE310000}"/>
    <cellStyle name="60% - Accent6 3 5" xfId="12362" xr:uid="{00000000-0005-0000-0000-0000FF310000}"/>
    <cellStyle name="60% - Accent6 3 6" xfId="12363" xr:uid="{00000000-0005-0000-0000-000000320000}"/>
    <cellStyle name="60% - Accent6 3 7" xfId="12364" xr:uid="{00000000-0005-0000-0000-000001320000}"/>
    <cellStyle name="60% - Accent6 3 8" xfId="12365" xr:uid="{00000000-0005-0000-0000-000002320000}"/>
    <cellStyle name="60% - Accent6 30" xfId="12366" xr:uid="{00000000-0005-0000-0000-000003320000}"/>
    <cellStyle name="60% - Accent6 31" xfId="12367" xr:uid="{00000000-0005-0000-0000-000004320000}"/>
    <cellStyle name="60% - Accent6 32" xfId="12368" xr:uid="{00000000-0005-0000-0000-000005320000}"/>
    <cellStyle name="60% - Accent6 4" xfId="12369" xr:uid="{00000000-0005-0000-0000-000006320000}"/>
    <cellStyle name="60% - Accent6 4 2" xfId="12370" xr:uid="{00000000-0005-0000-0000-000007320000}"/>
    <cellStyle name="60% - Accent6 4 3" xfId="12371" xr:uid="{00000000-0005-0000-0000-000008320000}"/>
    <cellStyle name="60% - Accent6 4 4" xfId="12372" xr:uid="{00000000-0005-0000-0000-000009320000}"/>
    <cellStyle name="60% - Accent6 4 5" xfId="12373" xr:uid="{00000000-0005-0000-0000-00000A320000}"/>
    <cellStyle name="60% - Accent6 4 6" xfId="12374" xr:uid="{00000000-0005-0000-0000-00000B320000}"/>
    <cellStyle name="60% - Accent6 5" xfId="12375" xr:uid="{00000000-0005-0000-0000-00000C320000}"/>
    <cellStyle name="60% - Accent6 5 2" xfId="12376" xr:uid="{00000000-0005-0000-0000-00000D320000}"/>
    <cellStyle name="60% - Accent6 5 3" xfId="12377" xr:uid="{00000000-0005-0000-0000-00000E320000}"/>
    <cellStyle name="60% - Accent6 5 4" xfId="12378" xr:uid="{00000000-0005-0000-0000-00000F320000}"/>
    <cellStyle name="60% - Accent6 5 5" xfId="12379" xr:uid="{00000000-0005-0000-0000-000010320000}"/>
    <cellStyle name="60% - Accent6 5 6" xfId="12380" xr:uid="{00000000-0005-0000-0000-000011320000}"/>
    <cellStyle name="60% - Accent6 6" xfId="12381" xr:uid="{00000000-0005-0000-0000-000012320000}"/>
    <cellStyle name="60% - Accent6 6 2" xfId="12382" xr:uid="{00000000-0005-0000-0000-000013320000}"/>
    <cellStyle name="60% - Accent6 6 3" xfId="12383" xr:uid="{00000000-0005-0000-0000-000014320000}"/>
    <cellStyle name="60% - Accent6 6 4" xfId="12384" xr:uid="{00000000-0005-0000-0000-000015320000}"/>
    <cellStyle name="60% - Accent6 6 5" xfId="12385" xr:uid="{00000000-0005-0000-0000-000016320000}"/>
    <cellStyle name="60% - Accent6 6 6" xfId="12386" xr:uid="{00000000-0005-0000-0000-000017320000}"/>
    <cellStyle name="60% - Accent6 7" xfId="12387" xr:uid="{00000000-0005-0000-0000-000018320000}"/>
    <cellStyle name="60% - Accent6 7 2" xfId="12388" xr:uid="{00000000-0005-0000-0000-000019320000}"/>
    <cellStyle name="60% - Accent6 7 3" xfId="12389" xr:uid="{00000000-0005-0000-0000-00001A320000}"/>
    <cellStyle name="60% - Accent6 7 4" xfId="12390" xr:uid="{00000000-0005-0000-0000-00001B320000}"/>
    <cellStyle name="60% - Accent6 7 5" xfId="12391" xr:uid="{00000000-0005-0000-0000-00001C320000}"/>
    <cellStyle name="60% - Accent6 7 6" xfId="12392" xr:uid="{00000000-0005-0000-0000-00001D320000}"/>
    <cellStyle name="60% - Accent6 8" xfId="12393" xr:uid="{00000000-0005-0000-0000-00001E320000}"/>
    <cellStyle name="60% - Accent6 8 2" xfId="12394" xr:uid="{00000000-0005-0000-0000-00001F320000}"/>
    <cellStyle name="60% - Accent6 8 3" xfId="12395" xr:uid="{00000000-0005-0000-0000-000020320000}"/>
    <cellStyle name="60% - Accent6 8 4" xfId="12396" xr:uid="{00000000-0005-0000-0000-000021320000}"/>
    <cellStyle name="60% - Accent6 8 5" xfId="12397" xr:uid="{00000000-0005-0000-0000-000022320000}"/>
    <cellStyle name="60% - Accent6 8 6" xfId="12398" xr:uid="{00000000-0005-0000-0000-000023320000}"/>
    <cellStyle name="60% - Accent6 9" xfId="12399" xr:uid="{00000000-0005-0000-0000-000024320000}"/>
    <cellStyle name="60% - Accent6 9 2" xfId="12400" xr:uid="{00000000-0005-0000-0000-000025320000}"/>
    <cellStyle name="60% - Accent6 9 3" xfId="12401" xr:uid="{00000000-0005-0000-0000-000026320000}"/>
    <cellStyle name="60% - Accent6 9 4" xfId="12402" xr:uid="{00000000-0005-0000-0000-000027320000}"/>
    <cellStyle name="60% - akcent 1" xfId="25066" xr:uid="{00000000-0005-0000-0000-000028320000}"/>
    <cellStyle name="60% - akcent 1 2" xfId="25067" xr:uid="{00000000-0005-0000-0000-000029320000}"/>
    <cellStyle name="60% - akcent 1 3" xfId="25068" xr:uid="{00000000-0005-0000-0000-00002A320000}"/>
    <cellStyle name="60% - akcent 2" xfId="25069" xr:uid="{00000000-0005-0000-0000-00002B320000}"/>
    <cellStyle name="60% - akcent 2 2" xfId="25070" xr:uid="{00000000-0005-0000-0000-00002C320000}"/>
    <cellStyle name="60% - akcent 2 3" xfId="25071" xr:uid="{00000000-0005-0000-0000-00002D320000}"/>
    <cellStyle name="60% - akcent 3" xfId="25072" xr:uid="{00000000-0005-0000-0000-00002E320000}"/>
    <cellStyle name="60% - akcent 3 2" xfId="25073" xr:uid="{00000000-0005-0000-0000-00002F320000}"/>
    <cellStyle name="60% - akcent 3 3" xfId="25074" xr:uid="{00000000-0005-0000-0000-000030320000}"/>
    <cellStyle name="60% - akcent 4" xfId="25075" xr:uid="{00000000-0005-0000-0000-000031320000}"/>
    <cellStyle name="60% - akcent 4 2" xfId="25076" xr:uid="{00000000-0005-0000-0000-000032320000}"/>
    <cellStyle name="60% - akcent 4 3" xfId="25077" xr:uid="{00000000-0005-0000-0000-000033320000}"/>
    <cellStyle name="60% - akcent 5" xfId="25078" xr:uid="{00000000-0005-0000-0000-000034320000}"/>
    <cellStyle name="60% - akcent 5 2" xfId="25079" xr:uid="{00000000-0005-0000-0000-000035320000}"/>
    <cellStyle name="60% - akcent 5 3" xfId="25080" xr:uid="{00000000-0005-0000-0000-000036320000}"/>
    <cellStyle name="60% - akcent 6" xfId="25081" xr:uid="{00000000-0005-0000-0000-000037320000}"/>
    <cellStyle name="60% - akcent 6 2" xfId="25082" xr:uid="{00000000-0005-0000-0000-000038320000}"/>
    <cellStyle name="60% - akcent 6 3" xfId="25083" xr:uid="{00000000-0005-0000-0000-000039320000}"/>
    <cellStyle name="60% - Énfasis1" xfId="12403" xr:uid="{00000000-0005-0000-0000-00003A320000}"/>
    <cellStyle name="60% - Énfasis1 2" xfId="12404" xr:uid="{00000000-0005-0000-0000-00003B320000}"/>
    <cellStyle name="60% - Énfasis1 2 2" xfId="12405" xr:uid="{00000000-0005-0000-0000-00003C320000}"/>
    <cellStyle name="60% - Énfasis1 2 3" xfId="12406" xr:uid="{00000000-0005-0000-0000-00003D320000}"/>
    <cellStyle name="60% - Énfasis1 2 4" xfId="12407" xr:uid="{00000000-0005-0000-0000-00003E320000}"/>
    <cellStyle name="60% - Énfasis1 3" xfId="12408" xr:uid="{00000000-0005-0000-0000-00003F320000}"/>
    <cellStyle name="60% - Énfasis1 4" xfId="12409" xr:uid="{00000000-0005-0000-0000-000040320000}"/>
    <cellStyle name="60% - Énfasis1 5" xfId="12410" xr:uid="{00000000-0005-0000-0000-000041320000}"/>
    <cellStyle name="60% - Énfasis1 6" xfId="12411" xr:uid="{00000000-0005-0000-0000-000042320000}"/>
    <cellStyle name="60% - Énfasis2" xfId="12412" xr:uid="{00000000-0005-0000-0000-000043320000}"/>
    <cellStyle name="60% - Énfasis2 2" xfId="12413" xr:uid="{00000000-0005-0000-0000-000044320000}"/>
    <cellStyle name="60% - Énfasis2 2 2" xfId="12414" xr:uid="{00000000-0005-0000-0000-000045320000}"/>
    <cellStyle name="60% - Énfasis2 2 3" xfId="12415" xr:uid="{00000000-0005-0000-0000-000046320000}"/>
    <cellStyle name="60% - Énfasis2 2 4" xfId="12416" xr:uid="{00000000-0005-0000-0000-000047320000}"/>
    <cellStyle name="60% - Énfasis2 3" xfId="12417" xr:uid="{00000000-0005-0000-0000-000048320000}"/>
    <cellStyle name="60% - Énfasis2 4" xfId="12418" xr:uid="{00000000-0005-0000-0000-000049320000}"/>
    <cellStyle name="60% - Énfasis2 5" xfId="12419" xr:uid="{00000000-0005-0000-0000-00004A320000}"/>
    <cellStyle name="60% - Énfasis2 6" xfId="12420" xr:uid="{00000000-0005-0000-0000-00004B320000}"/>
    <cellStyle name="60% - Énfasis3" xfId="12421" xr:uid="{00000000-0005-0000-0000-00004C320000}"/>
    <cellStyle name="60% - Énfasis3 2" xfId="12422" xr:uid="{00000000-0005-0000-0000-00004D320000}"/>
    <cellStyle name="60% - Énfasis3 2 2" xfId="12423" xr:uid="{00000000-0005-0000-0000-00004E320000}"/>
    <cellStyle name="60% - Énfasis3 2 3" xfId="12424" xr:uid="{00000000-0005-0000-0000-00004F320000}"/>
    <cellStyle name="60% - Énfasis3 2 4" xfId="12425" xr:uid="{00000000-0005-0000-0000-000050320000}"/>
    <cellStyle name="60% - Énfasis3 3" xfId="12426" xr:uid="{00000000-0005-0000-0000-000051320000}"/>
    <cellStyle name="60% - Énfasis3 4" xfId="12427" xr:uid="{00000000-0005-0000-0000-000052320000}"/>
    <cellStyle name="60% - Énfasis3 5" xfId="12428" xr:uid="{00000000-0005-0000-0000-000053320000}"/>
    <cellStyle name="60% - Énfasis3 6" xfId="12429" xr:uid="{00000000-0005-0000-0000-000054320000}"/>
    <cellStyle name="60% - Énfasis4" xfId="12430" xr:uid="{00000000-0005-0000-0000-000055320000}"/>
    <cellStyle name="60% - Énfasis4 2" xfId="12431" xr:uid="{00000000-0005-0000-0000-000056320000}"/>
    <cellStyle name="60% - Énfasis4 2 2" xfId="12432" xr:uid="{00000000-0005-0000-0000-000057320000}"/>
    <cellStyle name="60% - Énfasis4 2 3" xfId="12433" xr:uid="{00000000-0005-0000-0000-000058320000}"/>
    <cellStyle name="60% - Énfasis4 2 4" xfId="12434" xr:uid="{00000000-0005-0000-0000-000059320000}"/>
    <cellStyle name="60% - Énfasis4 3" xfId="12435" xr:uid="{00000000-0005-0000-0000-00005A320000}"/>
    <cellStyle name="60% - Énfasis4 4" xfId="12436" xr:uid="{00000000-0005-0000-0000-00005B320000}"/>
    <cellStyle name="60% - Énfasis4 5" xfId="12437" xr:uid="{00000000-0005-0000-0000-00005C320000}"/>
    <cellStyle name="60% - Énfasis4 6" xfId="12438" xr:uid="{00000000-0005-0000-0000-00005D320000}"/>
    <cellStyle name="60% - Énfasis5" xfId="12439" xr:uid="{00000000-0005-0000-0000-00005E320000}"/>
    <cellStyle name="60% - Énfasis5 2" xfId="12440" xr:uid="{00000000-0005-0000-0000-00005F320000}"/>
    <cellStyle name="60% - Énfasis5 2 2" xfId="12441" xr:uid="{00000000-0005-0000-0000-000060320000}"/>
    <cellStyle name="60% - Énfasis5 2 3" xfId="12442" xr:uid="{00000000-0005-0000-0000-000061320000}"/>
    <cellStyle name="60% - Énfasis5 2 4" xfId="12443" xr:uid="{00000000-0005-0000-0000-000062320000}"/>
    <cellStyle name="60% - Énfasis5 3" xfId="12444" xr:uid="{00000000-0005-0000-0000-000063320000}"/>
    <cellStyle name="60% - Énfasis5 4" xfId="12445" xr:uid="{00000000-0005-0000-0000-000064320000}"/>
    <cellStyle name="60% - Énfasis5 5" xfId="12446" xr:uid="{00000000-0005-0000-0000-000065320000}"/>
    <cellStyle name="60% - Énfasis5 6" xfId="12447" xr:uid="{00000000-0005-0000-0000-000066320000}"/>
    <cellStyle name="60% - Énfasis6" xfId="12448" xr:uid="{00000000-0005-0000-0000-000067320000}"/>
    <cellStyle name="60% - Énfasis6 2" xfId="12449" xr:uid="{00000000-0005-0000-0000-000068320000}"/>
    <cellStyle name="60% - Énfasis6 2 2" xfId="12450" xr:uid="{00000000-0005-0000-0000-000069320000}"/>
    <cellStyle name="60% - Énfasis6 2 3" xfId="12451" xr:uid="{00000000-0005-0000-0000-00006A320000}"/>
    <cellStyle name="60% - Énfasis6 2 4" xfId="12452" xr:uid="{00000000-0005-0000-0000-00006B320000}"/>
    <cellStyle name="60% - Énfasis6 3" xfId="12453" xr:uid="{00000000-0005-0000-0000-00006C320000}"/>
    <cellStyle name="60% - Énfasis6 4" xfId="12454" xr:uid="{00000000-0005-0000-0000-00006D320000}"/>
    <cellStyle name="60% - Énfasis6 5" xfId="12455" xr:uid="{00000000-0005-0000-0000-00006E320000}"/>
    <cellStyle name="60% - Énfasis6 6" xfId="12456" xr:uid="{00000000-0005-0000-0000-00006F320000}"/>
    <cellStyle name="60% - 강조색1" xfId="25084" xr:uid="{00000000-0005-0000-0000-000070320000}"/>
    <cellStyle name="60% - 강조색1 2" xfId="25085" xr:uid="{00000000-0005-0000-0000-000071320000}"/>
    <cellStyle name="60% - 강조색1 3" xfId="25086" xr:uid="{00000000-0005-0000-0000-000072320000}"/>
    <cellStyle name="60% - 강조색2" xfId="25087" xr:uid="{00000000-0005-0000-0000-000073320000}"/>
    <cellStyle name="60% - 강조색2 2" xfId="25088" xr:uid="{00000000-0005-0000-0000-000074320000}"/>
    <cellStyle name="60% - 강조색2 3" xfId="25089" xr:uid="{00000000-0005-0000-0000-000075320000}"/>
    <cellStyle name="60% - 강조색3" xfId="25090" xr:uid="{00000000-0005-0000-0000-000076320000}"/>
    <cellStyle name="60% - 강조색3 2" xfId="25091" xr:uid="{00000000-0005-0000-0000-000077320000}"/>
    <cellStyle name="60% - 강조색3 3" xfId="25092" xr:uid="{00000000-0005-0000-0000-000078320000}"/>
    <cellStyle name="60% - 강조색4" xfId="25093" xr:uid="{00000000-0005-0000-0000-000079320000}"/>
    <cellStyle name="60% - 강조색4 2" xfId="25094" xr:uid="{00000000-0005-0000-0000-00007A320000}"/>
    <cellStyle name="60% - 강조색4 3" xfId="25095" xr:uid="{00000000-0005-0000-0000-00007B320000}"/>
    <cellStyle name="60% - 강조색5" xfId="25096" xr:uid="{00000000-0005-0000-0000-00007C320000}"/>
    <cellStyle name="60% - 강조색5 2" xfId="25097" xr:uid="{00000000-0005-0000-0000-00007D320000}"/>
    <cellStyle name="60% - 강조색5 3" xfId="25098" xr:uid="{00000000-0005-0000-0000-00007E320000}"/>
    <cellStyle name="60% - 강조색6" xfId="25099" xr:uid="{00000000-0005-0000-0000-00007F320000}"/>
    <cellStyle name="60% - 강조색6 2" xfId="25100" xr:uid="{00000000-0005-0000-0000-000080320000}"/>
    <cellStyle name="60% - 강조색6 3" xfId="25101" xr:uid="{00000000-0005-0000-0000-000081320000}"/>
    <cellStyle name="60% - 强调文字颜色 1" xfId="12457" xr:uid="{00000000-0005-0000-0000-000082320000}"/>
    <cellStyle name="60% - 强调文字颜色 1 2" xfId="12458" xr:uid="{00000000-0005-0000-0000-000083320000}"/>
    <cellStyle name="60% - 强调文字颜色 1 2 2" xfId="12459" xr:uid="{00000000-0005-0000-0000-000084320000}"/>
    <cellStyle name="60% - 强调文字颜色 1 2 3" xfId="12460" xr:uid="{00000000-0005-0000-0000-000085320000}"/>
    <cellStyle name="60% - 强调文字颜色 1 2 4" xfId="12461" xr:uid="{00000000-0005-0000-0000-000086320000}"/>
    <cellStyle name="60% - 强调文字颜色 1 2 5" xfId="12462" xr:uid="{00000000-0005-0000-0000-000087320000}"/>
    <cellStyle name="60% - 强调文字颜色 1 3" xfId="12463" xr:uid="{00000000-0005-0000-0000-000088320000}"/>
    <cellStyle name="60% - 强调文字颜色 1 3 2" xfId="12464" xr:uid="{00000000-0005-0000-0000-000089320000}"/>
    <cellStyle name="60% - 强调文字颜色 1 3 3" xfId="12465" xr:uid="{00000000-0005-0000-0000-00008A320000}"/>
    <cellStyle name="60% - 强调文字颜色 1 4" xfId="12466" xr:uid="{00000000-0005-0000-0000-00008B320000}"/>
    <cellStyle name="60% - 强调文字颜色 1 5" xfId="12467" xr:uid="{00000000-0005-0000-0000-00008C320000}"/>
    <cellStyle name="60% - 强调文字颜色 1 6" xfId="12468" xr:uid="{00000000-0005-0000-0000-00008D320000}"/>
    <cellStyle name="60% - 强调文字颜色 1 7" xfId="12469" xr:uid="{00000000-0005-0000-0000-00008E320000}"/>
    <cellStyle name="60% - 强调文字颜色 2" xfId="12470" xr:uid="{00000000-0005-0000-0000-00008F320000}"/>
    <cellStyle name="60% - 强调文字颜色 2 2" xfId="12471" xr:uid="{00000000-0005-0000-0000-000090320000}"/>
    <cellStyle name="60% - 强调文字颜色 2 2 2" xfId="12472" xr:uid="{00000000-0005-0000-0000-000091320000}"/>
    <cellStyle name="60% - 强调文字颜色 2 2 3" xfId="12473" xr:uid="{00000000-0005-0000-0000-000092320000}"/>
    <cellStyle name="60% - 强调文字颜色 2 2 4" xfId="12474" xr:uid="{00000000-0005-0000-0000-000093320000}"/>
    <cellStyle name="60% - 强调文字颜色 2 2 5" xfId="12475" xr:uid="{00000000-0005-0000-0000-000094320000}"/>
    <cellStyle name="60% - 强调文字颜色 2 3" xfId="12476" xr:uid="{00000000-0005-0000-0000-000095320000}"/>
    <cellStyle name="60% - 强调文字颜色 2 3 2" xfId="12477" xr:uid="{00000000-0005-0000-0000-000096320000}"/>
    <cellStyle name="60% - 强调文字颜色 2 3 3" xfId="12478" xr:uid="{00000000-0005-0000-0000-000097320000}"/>
    <cellStyle name="60% - 强调文字颜色 2 4" xfId="12479" xr:uid="{00000000-0005-0000-0000-000098320000}"/>
    <cellStyle name="60% - 强调文字颜色 2 5" xfId="12480" xr:uid="{00000000-0005-0000-0000-000099320000}"/>
    <cellStyle name="60% - 强调文字颜色 2 6" xfId="12481" xr:uid="{00000000-0005-0000-0000-00009A320000}"/>
    <cellStyle name="60% - 强调文字颜色 2 7" xfId="12482" xr:uid="{00000000-0005-0000-0000-00009B320000}"/>
    <cellStyle name="60% - 强调文字颜色 3" xfId="12483" xr:uid="{00000000-0005-0000-0000-00009C320000}"/>
    <cellStyle name="60% - 强调文字颜色 3 2" xfId="12484" xr:uid="{00000000-0005-0000-0000-00009D320000}"/>
    <cellStyle name="60% - 强调文字颜色 3 2 2" xfId="12485" xr:uid="{00000000-0005-0000-0000-00009E320000}"/>
    <cellStyle name="60% - 强调文字颜色 3 2 3" xfId="12486" xr:uid="{00000000-0005-0000-0000-00009F320000}"/>
    <cellStyle name="60% - 强调文字颜色 3 2 4" xfId="12487" xr:uid="{00000000-0005-0000-0000-0000A0320000}"/>
    <cellStyle name="60% - 强调文字颜色 3 2 5" xfId="12488" xr:uid="{00000000-0005-0000-0000-0000A1320000}"/>
    <cellStyle name="60% - 强调文字颜色 3 3" xfId="12489" xr:uid="{00000000-0005-0000-0000-0000A2320000}"/>
    <cellStyle name="60% - 强调文字颜色 3 3 2" xfId="12490" xr:uid="{00000000-0005-0000-0000-0000A3320000}"/>
    <cellStyle name="60% - 强调文字颜色 3 3 3" xfId="12491" xr:uid="{00000000-0005-0000-0000-0000A4320000}"/>
    <cellStyle name="60% - 强调文字颜色 3 4" xfId="12492" xr:uid="{00000000-0005-0000-0000-0000A5320000}"/>
    <cellStyle name="60% - 强调文字颜色 3 5" xfId="12493" xr:uid="{00000000-0005-0000-0000-0000A6320000}"/>
    <cellStyle name="60% - 强调文字颜色 3 6" xfId="12494" xr:uid="{00000000-0005-0000-0000-0000A7320000}"/>
    <cellStyle name="60% - 强调文字颜色 3 7" xfId="12495" xr:uid="{00000000-0005-0000-0000-0000A8320000}"/>
    <cellStyle name="60% - 强调文字颜色 4" xfId="12496" xr:uid="{00000000-0005-0000-0000-0000A9320000}"/>
    <cellStyle name="60% - 强调文字颜色 4 2" xfId="12497" xr:uid="{00000000-0005-0000-0000-0000AA320000}"/>
    <cellStyle name="60% - 强调文字颜色 4 2 2" xfId="12498" xr:uid="{00000000-0005-0000-0000-0000AB320000}"/>
    <cellStyle name="60% - 强调文字颜色 4 2 3" xfId="12499" xr:uid="{00000000-0005-0000-0000-0000AC320000}"/>
    <cellStyle name="60% - 强调文字颜色 4 2 4" xfId="12500" xr:uid="{00000000-0005-0000-0000-0000AD320000}"/>
    <cellStyle name="60% - 强调文字颜色 4 2 5" xfId="12501" xr:uid="{00000000-0005-0000-0000-0000AE320000}"/>
    <cellStyle name="60% - 强调文字颜色 4 3" xfId="12502" xr:uid="{00000000-0005-0000-0000-0000AF320000}"/>
    <cellStyle name="60% - 强调文字颜色 4 3 2" xfId="12503" xr:uid="{00000000-0005-0000-0000-0000B0320000}"/>
    <cellStyle name="60% - 强调文字颜色 4 3 3" xfId="12504" xr:uid="{00000000-0005-0000-0000-0000B1320000}"/>
    <cellStyle name="60% - 强调文字颜色 4 4" xfId="12505" xr:uid="{00000000-0005-0000-0000-0000B2320000}"/>
    <cellStyle name="60% - 强调文字颜色 4 5" xfId="12506" xr:uid="{00000000-0005-0000-0000-0000B3320000}"/>
    <cellStyle name="60% - 强调文字颜色 4 6" xfId="12507" xr:uid="{00000000-0005-0000-0000-0000B4320000}"/>
    <cellStyle name="60% - 强调文字颜色 4 7" xfId="12508" xr:uid="{00000000-0005-0000-0000-0000B5320000}"/>
    <cellStyle name="60% - 强调文字颜色 5" xfId="12509" xr:uid="{00000000-0005-0000-0000-0000B6320000}"/>
    <cellStyle name="60% - 强调文字颜色 5 2" xfId="12510" xr:uid="{00000000-0005-0000-0000-0000B7320000}"/>
    <cellStyle name="60% - 强调文字颜色 5 2 2" xfId="12511" xr:uid="{00000000-0005-0000-0000-0000B8320000}"/>
    <cellStyle name="60% - 强调文字颜色 5 2 3" xfId="12512" xr:uid="{00000000-0005-0000-0000-0000B9320000}"/>
    <cellStyle name="60% - 强调文字颜色 5 2 4" xfId="12513" xr:uid="{00000000-0005-0000-0000-0000BA320000}"/>
    <cellStyle name="60% - 强调文字颜色 5 2 5" xfId="12514" xr:uid="{00000000-0005-0000-0000-0000BB320000}"/>
    <cellStyle name="60% - 强调文字颜色 5 3" xfId="12515" xr:uid="{00000000-0005-0000-0000-0000BC320000}"/>
    <cellStyle name="60% - 强调文字颜色 5 3 2" xfId="12516" xr:uid="{00000000-0005-0000-0000-0000BD320000}"/>
    <cellStyle name="60% - 强调文字颜色 5 3 3" xfId="12517" xr:uid="{00000000-0005-0000-0000-0000BE320000}"/>
    <cellStyle name="60% - 强调文字颜色 5 4" xfId="12518" xr:uid="{00000000-0005-0000-0000-0000BF320000}"/>
    <cellStyle name="60% - 强调文字颜色 5 5" xfId="12519" xr:uid="{00000000-0005-0000-0000-0000C0320000}"/>
    <cellStyle name="60% - 强调文字颜色 5 6" xfId="12520" xr:uid="{00000000-0005-0000-0000-0000C1320000}"/>
    <cellStyle name="60% - 强调文字颜色 5 7" xfId="12521" xr:uid="{00000000-0005-0000-0000-0000C2320000}"/>
    <cellStyle name="60% - 强调文字颜色 6" xfId="12522" xr:uid="{00000000-0005-0000-0000-0000C3320000}"/>
    <cellStyle name="60% - 强调文字颜色 6 2" xfId="12523" xr:uid="{00000000-0005-0000-0000-0000C4320000}"/>
    <cellStyle name="60% - 强调文字颜色 6 2 2" xfId="12524" xr:uid="{00000000-0005-0000-0000-0000C5320000}"/>
    <cellStyle name="60% - 强调文字颜色 6 2 3" xfId="12525" xr:uid="{00000000-0005-0000-0000-0000C6320000}"/>
    <cellStyle name="60% - 强调文字颜色 6 2 4" xfId="12526" xr:uid="{00000000-0005-0000-0000-0000C7320000}"/>
    <cellStyle name="60% - 强调文字颜色 6 2 5" xfId="12527" xr:uid="{00000000-0005-0000-0000-0000C8320000}"/>
    <cellStyle name="60% - 强调文字颜色 6 3" xfId="12528" xr:uid="{00000000-0005-0000-0000-0000C9320000}"/>
    <cellStyle name="60% - 强调文字颜色 6 3 2" xfId="12529" xr:uid="{00000000-0005-0000-0000-0000CA320000}"/>
    <cellStyle name="60% - 强调文字颜色 6 3 3" xfId="12530" xr:uid="{00000000-0005-0000-0000-0000CB320000}"/>
    <cellStyle name="60% - 强调文字颜色 6 4" xfId="12531" xr:uid="{00000000-0005-0000-0000-0000CC320000}"/>
    <cellStyle name="60% - 强调文字颜色 6 5" xfId="12532" xr:uid="{00000000-0005-0000-0000-0000CD320000}"/>
    <cellStyle name="60% - 强调文字颜色 6 6" xfId="12533" xr:uid="{00000000-0005-0000-0000-0000CE320000}"/>
    <cellStyle name="60% - 强调文字颜色 6 7" xfId="12534" xr:uid="{00000000-0005-0000-0000-0000CF320000}"/>
    <cellStyle name="Accent1 - 20%" xfId="12535" xr:uid="{00000000-0005-0000-0000-0000D0320000}"/>
    <cellStyle name="Accent1 - 20% 2" xfId="12536" xr:uid="{00000000-0005-0000-0000-0000D1320000}"/>
    <cellStyle name="Accent1 - 20% 3" xfId="12537" xr:uid="{00000000-0005-0000-0000-0000D2320000}"/>
    <cellStyle name="Accent1 - 20% 4" xfId="12538" xr:uid="{00000000-0005-0000-0000-0000D3320000}"/>
    <cellStyle name="Accent1 - 20% 5" xfId="12539" xr:uid="{00000000-0005-0000-0000-0000D4320000}"/>
    <cellStyle name="Accent1 - 40%" xfId="12540" xr:uid="{00000000-0005-0000-0000-0000D5320000}"/>
    <cellStyle name="Accent1 - 40% 2" xfId="12541" xr:uid="{00000000-0005-0000-0000-0000D6320000}"/>
    <cellStyle name="Accent1 - 40% 3" xfId="12542" xr:uid="{00000000-0005-0000-0000-0000D7320000}"/>
    <cellStyle name="Accent1 - 40% 4" xfId="12543" xr:uid="{00000000-0005-0000-0000-0000D8320000}"/>
    <cellStyle name="Accent1 - 40% 5" xfId="12544" xr:uid="{00000000-0005-0000-0000-0000D9320000}"/>
    <cellStyle name="Accent1 - 60%" xfId="12545" xr:uid="{00000000-0005-0000-0000-0000DA320000}"/>
    <cellStyle name="Accent1 - 60% 2" xfId="12546" xr:uid="{00000000-0005-0000-0000-0000DB320000}"/>
    <cellStyle name="Accent1 - 60% 3" xfId="12547" xr:uid="{00000000-0005-0000-0000-0000DC320000}"/>
    <cellStyle name="Accent1 - 60% 4" xfId="12548" xr:uid="{00000000-0005-0000-0000-0000DD320000}"/>
    <cellStyle name="Accent1 - 60% 5" xfId="12549" xr:uid="{00000000-0005-0000-0000-0000DE320000}"/>
    <cellStyle name="Accent1 10" xfId="12550" xr:uid="{00000000-0005-0000-0000-0000DF320000}"/>
    <cellStyle name="Accent1 10 2" xfId="12551" xr:uid="{00000000-0005-0000-0000-0000E0320000}"/>
    <cellStyle name="Accent1 10 3" xfId="12552" xr:uid="{00000000-0005-0000-0000-0000E1320000}"/>
    <cellStyle name="Accent1 10 4" xfId="12553" xr:uid="{00000000-0005-0000-0000-0000E2320000}"/>
    <cellStyle name="Accent1 11" xfId="12554" xr:uid="{00000000-0005-0000-0000-0000E3320000}"/>
    <cellStyle name="Accent1 11 2" xfId="12555" xr:uid="{00000000-0005-0000-0000-0000E4320000}"/>
    <cellStyle name="Accent1 11 3" xfId="12556" xr:uid="{00000000-0005-0000-0000-0000E5320000}"/>
    <cellStyle name="Accent1 11 4" xfId="12557" xr:uid="{00000000-0005-0000-0000-0000E6320000}"/>
    <cellStyle name="Accent1 12" xfId="12558" xr:uid="{00000000-0005-0000-0000-0000E7320000}"/>
    <cellStyle name="Accent1 12 2" xfId="12559" xr:uid="{00000000-0005-0000-0000-0000E8320000}"/>
    <cellStyle name="Accent1 12 3" xfId="12560" xr:uid="{00000000-0005-0000-0000-0000E9320000}"/>
    <cellStyle name="Accent1 12 4" xfId="12561" xr:uid="{00000000-0005-0000-0000-0000EA320000}"/>
    <cellStyle name="Accent1 13" xfId="12562" xr:uid="{00000000-0005-0000-0000-0000EB320000}"/>
    <cellStyle name="Accent1 13 2" xfId="12563" xr:uid="{00000000-0005-0000-0000-0000EC320000}"/>
    <cellStyle name="Accent1 13 3" xfId="12564" xr:uid="{00000000-0005-0000-0000-0000ED320000}"/>
    <cellStyle name="Accent1 13 4" xfId="12565" xr:uid="{00000000-0005-0000-0000-0000EE320000}"/>
    <cellStyle name="Accent1 14" xfId="12566" xr:uid="{00000000-0005-0000-0000-0000EF320000}"/>
    <cellStyle name="Accent1 14 2" xfId="12567" xr:uid="{00000000-0005-0000-0000-0000F0320000}"/>
    <cellStyle name="Accent1 14 3" xfId="12568" xr:uid="{00000000-0005-0000-0000-0000F1320000}"/>
    <cellStyle name="Accent1 14 4" xfId="12569" xr:uid="{00000000-0005-0000-0000-0000F2320000}"/>
    <cellStyle name="Accent1 15" xfId="12570" xr:uid="{00000000-0005-0000-0000-0000F3320000}"/>
    <cellStyle name="Accent1 15 2" xfId="12571" xr:uid="{00000000-0005-0000-0000-0000F4320000}"/>
    <cellStyle name="Accent1 15 3" xfId="12572" xr:uid="{00000000-0005-0000-0000-0000F5320000}"/>
    <cellStyle name="Accent1 15 4" xfId="12573" xr:uid="{00000000-0005-0000-0000-0000F6320000}"/>
    <cellStyle name="Accent1 16" xfId="12574" xr:uid="{00000000-0005-0000-0000-0000F7320000}"/>
    <cellStyle name="Accent1 16 2" xfId="12575" xr:uid="{00000000-0005-0000-0000-0000F8320000}"/>
    <cellStyle name="Accent1 16 3" xfId="12576" xr:uid="{00000000-0005-0000-0000-0000F9320000}"/>
    <cellStyle name="Accent1 16 4" xfId="12577" xr:uid="{00000000-0005-0000-0000-0000FA320000}"/>
    <cellStyle name="Accent1 17" xfId="12578" xr:uid="{00000000-0005-0000-0000-0000FB320000}"/>
    <cellStyle name="Accent1 17 2" xfId="12579" xr:uid="{00000000-0005-0000-0000-0000FC320000}"/>
    <cellStyle name="Accent1 17 3" xfId="12580" xr:uid="{00000000-0005-0000-0000-0000FD320000}"/>
    <cellStyle name="Accent1 17 4" xfId="12581" xr:uid="{00000000-0005-0000-0000-0000FE320000}"/>
    <cellStyle name="Accent1 18" xfId="12582" xr:uid="{00000000-0005-0000-0000-0000FF320000}"/>
    <cellStyle name="Accent1 18 2" xfId="12583" xr:uid="{00000000-0005-0000-0000-000000330000}"/>
    <cellStyle name="Accent1 18 3" xfId="12584" xr:uid="{00000000-0005-0000-0000-000001330000}"/>
    <cellStyle name="Accent1 18 4" xfId="12585" xr:uid="{00000000-0005-0000-0000-000002330000}"/>
    <cellStyle name="Accent1 19" xfId="12586" xr:uid="{00000000-0005-0000-0000-000003330000}"/>
    <cellStyle name="Accent1 19 2" xfId="12587" xr:uid="{00000000-0005-0000-0000-000004330000}"/>
    <cellStyle name="Accent1 19 3" xfId="12588" xr:uid="{00000000-0005-0000-0000-000005330000}"/>
    <cellStyle name="Accent1 19 4" xfId="12589" xr:uid="{00000000-0005-0000-0000-000006330000}"/>
    <cellStyle name="Accent1 2" xfId="12590" xr:uid="{00000000-0005-0000-0000-000007330000}"/>
    <cellStyle name="Accent1 2 2" xfId="12591" xr:uid="{00000000-0005-0000-0000-000008330000}"/>
    <cellStyle name="Accent1 2 2 2" xfId="12592" xr:uid="{00000000-0005-0000-0000-000009330000}"/>
    <cellStyle name="Accent1 2 2 3" xfId="12593" xr:uid="{00000000-0005-0000-0000-00000A330000}"/>
    <cellStyle name="Accent1 2 2 4" xfId="12594" xr:uid="{00000000-0005-0000-0000-00000B330000}"/>
    <cellStyle name="Accent1 2 3" xfId="12595" xr:uid="{00000000-0005-0000-0000-00000C330000}"/>
    <cellStyle name="Accent1 2 3 2" xfId="12596" xr:uid="{00000000-0005-0000-0000-00000D330000}"/>
    <cellStyle name="Accent1 2 3 3" xfId="12597" xr:uid="{00000000-0005-0000-0000-00000E330000}"/>
    <cellStyle name="Accent1 2 3 4" xfId="12598" xr:uid="{00000000-0005-0000-0000-00000F330000}"/>
    <cellStyle name="Accent1 2 4" xfId="12599" xr:uid="{00000000-0005-0000-0000-000010330000}"/>
    <cellStyle name="Accent1 2 4 2" xfId="12600" xr:uid="{00000000-0005-0000-0000-000011330000}"/>
    <cellStyle name="Accent1 2 4 3" xfId="12601" xr:uid="{00000000-0005-0000-0000-000012330000}"/>
    <cellStyle name="Accent1 2 4 4" xfId="12602" xr:uid="{00000000-0005-0000-0000-000013330000}"/>
    <cellStyle name="Accent1 2 5" xfId="12603" xr:uid="{00000000-0005-0000-0000-000014330000}"/>
    <cellStyle name="Accent1 2 6" xfId="12604" xr:uid="{00000000-0005-0000-0000-000015330000}"/>
    <cellStyle name="Accent1 2 7" xfId="12605" xr:uid="{00000000-0005-0000-0000-000016330000}"/>
    <cellStyle name="Accent1 2 8" xfId="12606" xr:uid="{00000000-0005-0000-0000-000017330000}"/>
    <cellStyle name="Accent1 20" xfId="12607" xr:uid="{00000000-0005-0000-0000-000018330000}"/>
    <cellStyle name="Accent1 20 2" xfId="12608" xr:uid="{00000000-0005-0000-0000-000019330000}"/>
    <cellStyle name="Accent1 20 3" xfId="12609" xr:uid="{00000000-0005-0000-0000-00001A330000}"/>
    <cellStyle name="Accent1 20 4" xfId="12610" xr:uid="{00000000-0005-0000-0000-00001B330000}"/>
    <cellStyle name="Accent1 20 5" xfId="12611" xr:uid="{00000000-0005-0000-0000-00001C330000}"/>
    <cellStyle name="Accent1 21" xfId="12612" xr:uid="{00000000-0005-0000-0000-00001D330000}"/>
    <cellStyle name="Accent1 21 2" xfId="12613" xr:uid="{00000000-0005-0000-0000-00001E330000}"/>
    <cellStyle name="Accent1 21 3" xfId="12614" xr:uid="{00000000-0005-0000-0000-00001F330000}"/>
    <cellStyle name="Accent1 21 4" xfId="12615" xr:uid="{00000000-0005-0000-0000-000020330000}"/>
    <cellStyle name="Accent1 21 5" xfId="12616" xr:uid="{00000000-0005-0000-0000-000021330000}"/>
    <cellStyle name="Accent1 22" xfId="12617" xr:uid="{00000000-0005-0000-0000-000022330000}"/>
    <cellStyle name="Accent1 22 2" xfId="12618" xr:uid="{00000000-0005-0000-0000-000023330000}"/>
    <cellStyle name="Accent1 22 3" xfId="12619" xr:uid="{00000000-0005-0000-0000-000024330000}"/>
    <cellStyle name="Accent1 22 4" xfId="12620" xr:uid="{00000000-0005-0000-0000-000025330000}"/>
    <cellStyle name="Accent1 22 5" xfId="12621" xr:uid="{00000000-0005-0000-0000-000026330000}"/>
    <cellStyle name="Accent1 23" xfId="12622" xr:uid="{00000000-0005-0000-0000-000027330000}"/>
    <cellStyle name="Accent1 23 2" xfId="12623" xr:uid="{00000000-0005-0000-0000-000028330000}"/>
    <cellStyle name="Accent1 23 3" xfId="12624" xr:uid="{00000000-0005-0000-0000-000029330000}"/>
    <cellStyle name="Accent1 23 4" xfId="12625" xr:uid="{00000000-0005-0000-0000-00002A330000}"/>
    <cellStyle name="Accent1 23 5" xfId="12626" xr:uid="{00000000-0005-0000-0000-00002B330000}"/>
    <cellStyle name="Accent1 24" xfId="12627" xr:uid="{00000000-0005-0000-0000-00002C330000}"/>
    <cellStyle name="Accent1 24 2" xfId="12628" xr:uid="{00000000-0005-0000-0000-00002D330000}"/>
    <cellStyle name="Accent1 24 3" xfId="12629" xr:uid="{00000000-0005-0000-0000-00002E330000}"/>
    <cellStyle name="Accent1 24 4" xfId="12630" xr:uid="{00000000-0005-0000-0000-00002F330000}"/>
    <cellStyle name="Accent1 24 5" xfId="12631" xr:uid="{00000000-0005-0000-0000-000030330000}"/>
    <cellStyle name="Accent1 25" xfId="12632" xr:uid="{00000000-0005-0000-0000-000031330000}"/>
    <cellStyle name="Accent1 25 2" xfId="12633" xr:uid="{00000000-0005-0000-0000-000032330000}"/>
    <cellStyle name="Accent1 25 3" xfId="12634" xr:uid="{00000000-0005-0000-0000-000033330000}"/>
    <cellStyle name="Accent1 25 4" xfId="12635" xr:uid="{00000000-0005-0000-0000-000034330000}"/>
    <cellStyle name="Accent1 25 5" xfId="12636" xr:uid="{00000000-0005-0000-0000-000035330000}"/>
    <cellStyle name="Accent1 26" xfId="12637" xr:uid="{00000000-0005-0000-0000-000036330000}"/>
    <cellStyle name="Accent1 26 2" xfId="12638" xr:uid="{00000000-0005-0000-0000-000037330000}"/>
    <cellStyle name="Accent1 26 3" xfId="12639" xr:uid="{00000000-0005-0000-0000-000038330000}"/>
    <cellStyle name="Accent1 26 4" xfId="12640" xr:uid="{00000000-0005-0000-0000-000039330000}"/>
    <cellStyle name="Accent1 26 5" xfId="12641" xr:uid="{00000000-0005-0000-0000-00003A330000}"/>
    <cellStyle name="Accent1 27" xfId="12642" xr:uid="{00000000-0005-0000-0000-00003B330000}"/>
    <cellStyle name="Accent1 27 2" xfId="12643" xr:uid="{00000000-0005-0000-0000-00003C330000}"/>
    <cellStyle name="Accent1 27 3" xfId="12644" xr:uid="{00000000-0005-0000-0000-00003D330000}"/>
    <cellStyle name="Accent1 27 4" xfId="12645" xr:uid="{00000000-0005-0000-0000-00003E330000}"/>
    <cellStyle name="Accent1 27 5" xfId="12646" xr:uid="{00000000-0005-0000-0000-00003F330000}"/>
    <cellStyle name="Accent1 28" xfId="12647" xr:uid="{00000000-0005-0000-0000-000040330000}"/>
    <cellStyle name="Accent1 28 2" xfId="12648" xr:uid="{00000000-0005-0000-0000-000041330000}"/>
    <cellStyle name="Accent1 28 3" xfId="12649" xr:uid="{00000000-0005-0000-0000-000042330000}"/>
    <cellStyle name="Accent1 28 4" xfId="12650" xr:uid="{00000000-0005-0000-0000-000043330000}"/>
    <cellStyle name="Accent1 29" xfId="12651" xr:uid="{00000000-0005-0000-0000-000044330000}"/>
    <cellStyle name="Accent1 29 2" xfId="12652" xr:uid="{00000000-0005-0000-0000-000045330000}"/>
    <cellStyle name="Accent1 29 3" xfId="12653" xr:uid="{00000000-0005-0000-0000-000046330000}"/>
    <cellStyle name="Accent1 29 4" xfId="12654" xr:uid="{00000000-0005-0000-0000-000047330000}"/>
    <cellStyle name="Accent1 3" xfId="12655" xr:uid="{00000000-0005-0000-0000-000048330000}"/>
    <cellStyle name="Accent1 3 2" xfId="12656" xr:uid="{00000000-0005-0000-0000-000049330000}"/>
    <cellStyle name="Accent1 3 2 2" xfId="12657" xr:uid="{00000000-0005-0000-0000-00004A330000}"/>
    <cellStyle name="Accent1 3 2 3" xfId="12658" xr:uid="{00000000-0005-0000-0000-00004B330000}"/>
    <cellStyle name="Accent1 3 2 4" xfId="12659" xr:uid="{00000000-0005-0000-0000-00004C330000}"/>
    <cellStyle name="Accent1 3 3" xfId="12660" xr:uid="{00000000-0005-0000-0000-00004D330000}"/>
    <cellStyle name="Accent1 3 3 2" xfId="12661" xr:uid="{00000000-0005-0000-0000-00004E330000}"/>
    <cellStyle name="Accent1 3 3 3" xfId="12662" xr:uid="{00000000-0005-0000-0000-00004F330000}"/>
    <cellStyle name="Accent1 3 3 4" xfId="12663" xr:uid="{00000000-0005-0000-0000-000050330000}"/>
    <cellStyle name="Accent1 3 4" xfId="12664" xr:uid="{00000000-0005-0000-0000-000051330000}"/>
    <cellStyle name="Accent1 3 4 2" xfId="12665" xr:uid="{00000000-0005-0000-0000-000052330000}"/>
    <cellStyle name="Accent1 3 4 3" xfId="12666" xr:uid="{00000000-0005-0000-0000-000053330000}"/>
    <cellStyle name="Accent1 3 4 4" xfId="12667" xr:uid="{00000000-0005-0000-0000-000054330000}"/>
    <cellStyle name="Accent1 3 5" xfId="12668" xr:uid="{00000000-0005-0000-0000-000055330000}"/>
    <cellStyle name="Accent1 3 6" xfId="12669" xr:uid="{00000000-0005-0000-0000-000056330000}"/>
    <cellStyle name="Accent1 3 7" xfId="12670" xr:uid="{00000000-0005-0000-0000-000057330000}"/>
    <cellStyle name="Accent1 3 8" xfId="12671" xr:uid="{00000000-0005-0000-0000-000058330000}"/>
    <cellStyle name="Accent1 30" xfId="12672" xr:uid="{00000000-0005-0000-0000-000059330000}"/>
    <cellStyle name="Accent1 31" xfId="12673" xr:uid="{00000000-0005-0000-0000-00005A330000}"/>
    <cellStyle name="Accent1 32" xfId="12674" xr:uid="{00000000-0005-0000-0000-00005B330000}"/>
    <cellStyle name="Accent1 33" xfId="12675" xr:uid="{00000000-0005-0000-0000-00005C330000}"/>
    <cellStyle name="Accent1 34" xfId="12676" xr:uid="{00000000-0005-0000-0000-00005D330000}"/>
    <cellStyle name="Accent1 35" xfId="12677" xr:uid="{00000000-0005-0000-0000-00005E330000}"/>
    <cellStyle name="Accent1 36" xfId="12678" xr:uid="{00000000-0005-0000-0000-00005F330000}"/>
    <cellStyle name="Accent1 37" xfId="12679" xr:uid="{00000000-0005-0000-0000-000060330000}"/>
    <cellStyle name="Accent1 38" xfId="12680" xr:uid="{00000000-0005-0000-0000-000061330000}"/>
    <cellStyle name="Accent1 39" xfId="12681" xr:uid="{00000000-0005-0000-0000-000062330000}"/>
    <cellStyle name="Accent1 4" xfId="12682" xr:uid="{00000000-0005-0000-0000-000063330000}"/>
    <cellStyle name="Accent1 4 2" xfId="12683" xr:uid="{00000000-0005-0000-0000-000064330000}"/>
    <cellStyle name="Accent1 4 3" xfId="12684" xr:uid="{00000000-0005-0000-0000-000065330000}"/>
    <cellStyle name="Accent1 4 4" xfId="12685" xr:uid="{00000000-0005-0000-0000-000066330000}"/>
    <cellStyle name="Accent1 4 5" xfId="12686" xr:uid="{00000000-0005-0000-0000-000067330000}"/>
    <cellStyle name="Accent1 4 6" xfId="12687" xr:uid="{00000000-0005-0000-0000-000068330000}"/>
    <cellStyle name="Accent1 5" xfId="12688" xr:uid="{00000000-0005-0000-0000-000069330000}"/>
    <cellStyle name="Accent1 5 2" xfId="12689" xr:uid="{00000000-0005-0000-0000-00006A330000}"/>
    <cellStyle name="Accent1 5 3" xfId="12690" xr:uid="{00000000-0005-0000-0000-00006B330000}"/>
    <cellStyle name="Accent1 5 4" xfId="12691" xr:uid="{00000000-0005-0000-0000-00006C330000}"/>
    <cellStyle name="Accent1 5 5" xfId="12692" xr:uid="{00000000-0005-0000-0000-00006D330000}"/>
    <cellStyle name="Accent1 5 6" xfId="12693" xr:uid="{00000000-0005-0000-0000-00006E330000}"/>
    <cellStyle name="Accent1 6" xfId="12694" xr:uid="{00000000-0005-0000-0000-00006F330000}"/>
    <cellStyle name="Accent1 6 2" xfId="12695" xr:uid="{00000000-0005-0000-0000-000070330000}"/>
    <cellStyle name="Accent1 6 3" xfId="12696" xr:uid="{00000000-0005-0000-0000-000071330000}"/>
    <cellStyle name="Accent1 6 4" xfId="12697" xr:uid="{00000000-0005-0000-0000-000072330000}"/>
    <cellStyle name="Accent1 6 5" xfId="12698" xr:uid="{00000000-0005-0000-0000-000073330000}"/>
    <cellStyle name="Accent1 6 6" xfId="12699" xr:uid="{00000000-0005-0000-0000-000074330000}"/>
    <cellStyle name="Accent1 7" xfId="12700" xr:uid="{00000000-0005-0000-0000-000075330000}"/>
    <cellStyle name="Accent1 7 2" xfId="12701" xr:uid="{00000000-0005-0000-0000-000076330000}"/>
    <cellStyle name="Accent1 7 3" xfId="12702" xr:uid="{00000000-0005-0000-0000-000077330000}"/>
    <cellStyle name="Accent1 7 4" xfId="12703" xr:uid="{00000000-0005-0000-0000-000078330000}"/>
    <cellStyle name="Accent1 7 5" xfId="12704" xr:uid="{00000000-0005-0000-0000-000079330000}"/>
    <cellStyle name="Accent1 7 6" xfId="12705" xr:uid="{00000000-0005-0000-0000-00007A330000}"/>
    <cellStyle name="Accent1 8" xfId="12706" xr:uid="{00000000-0005-0000-0000-00007B330000}"/>
    <cellStyle name="Accent1 8 2" xfId="12707" xr:uid="{00000000-0005-0000-0000-00007C330000}"/>
    <cellStyle name="Accent1 8 3" xfId="12708" xr:uid="{00000000-0005-0000-0000-00007D330000}"/>
    <cellStyle name="Accent1 8 4" xfId="12709" xr:uid="{00000000-0005-0000-0000-00007E330000}"/>
    <cellStyle name="Accent1 8 5" xfId="12710" xr:uid="{00000000-0005-0000-0000-00007F330000}"/>
    <cellStyle name="Accent1 8 6" xfId="12711" xr:uid="{00000000-0005-0000-0000-000080330000}"/>
    <cellStyle name="Accent1 9" xfId="12712" xr:uid="{00000000-0005-0000-0000-000081330000}"/>
    <cellStyle name="Accent1 9 2" xfId="12713" xr:uid="{00000000-0005-0000-0000-000082330000}"/>
    <cellStyle name="Accent1 9 3" xfId="12714" xr:uid="{00000000-0005-0000-0000-000083330000}"/>
    <cellStyle name="Accent1 9 4" xfId="12715" xr:uid="{00000000-0005-0000-0000-000084330000}"/>
    <cellStyle name="Accent2 - 20%" xfId="12716" xr:uid="{00000000-0005-0000-0000-000085330000}"/>
    <cellStyle name="Accent2 - 20% 2" xfId="12717" xr:uid="{00000000-0005-0000-0000-000086330000}"/>
    <cellStyle name="Accent2 - 20% 3" xfId="12718" xr:uid="{00000000-0005-0000-0000-000087330000}"/>
    <cellStyle name="Accent2 - 20% 4" xfId="12719" xr:uid="{00000000-0005-0000-0000-000088330000}"/>
    <cellStyle name="Accent2 - 20% 5" xfId="12720" xr:uid="{00000000-0005-0000-0000-000089330000}"/>
    <cellStyle name="Accent2 - 40%" xfId="12721" xr:uid="{00000000-0005-0000-0000-00008A330000}"/>
    <cellStyle name="Accent2 - 40% 2" xfId="12722" xr:uid="{00000000-0005-0000-0000-00008B330000}"/>
    <cellStyle name="Accent2 - 40% 3" xfId="12723" xr:uid="{00000000-0005-0000-0000-00008C330000}"/>
    <cellStyle name="Accent2 - 40% 4" xfId="12724" xr:uid="{00000000-0005-0000-0000-00008D330000}"/>
    <cellStyle name="Accent2 - 40% 5" xfId="12725" xr:uid="{00000000-0005-0000-0000-00008E330000}"/>
    <cellStyle name="Accent2 - 60%" xfId="12726" xr:uid="{00000000-0005-0000-0000-00008F330000}"/>
    <cellStyle name="Accent2 - 60% 2" xfId="12727" xr:uid="{00000000-0005-0000-0000-000090330000}"/>
    <cellStyle name="Accent2 - 60% 3" xfId="12728" xr:uid="{00000000-0005-0000-0000-000091330000}"/>
    <cellStyle name="Accent2 - 60% 4" xfId="12729" xr:uid="{00000000-0005-0000-0000-000092330000}"/>
    <cellStyle name="Accent2 - 60% 5" xfId="12730" xr:uid="{00000000-0005-0000-0000-000093330000}"/>
    <cellStyle name="Accent2 10" xfId="12731" xr:uid="{00000000-0005-0000-0000-000094330000}"/>
    <cellStyle name="Accent2 10 2" xfId="12732" xr:uid="{00000000-0005-0000-0000-000095330000}"/>
    <cellStyle name="Accent2 10 3" xfId="12733" xr:uid="{00000000-0005-0000-0000-000096330000}"/>
    <cellStyle name="Accent2 10 4" xfId="12734" xr:uid="{00000000-0005-0000-0000-000097330000}"/>
    <cellStyle name="Accent2 11" xfId="12735" xr:uid="{00000000-0005-0000-0000-000098330000}"/>
    <cellStyle name="Accent2 11 2" xfId="12736" xr:uid="{00000000-0005-0000-0000-000099330000}"/>
    <cellStyle name="Accent2 11 3" xfId="12737" xr:uid="{00000000-0005-0000-0000-00009A330000}"/>
    <cellStyle name="Accent2 11 4" xfId="12738" xr:uid="{00000000-0005-0000-0000-00009B330000}"/>
    <cellStyle name="Accent2 12" xfId="12739" xr:uid="{00000000-0005-0000-0000-00009C330000}"/>
    <cellStyle name="Accent2 12 2" xfId="12740" xr:uid="{00000000-0005-0000-0000-00009D330000}"/>
    <cellStyle name="Accent2 12 3" xfId="12741" xr:uid="{00000000-0005-0000-0000-00009E330000}"/>
    <cellStyle name="Accent2 12 4" xfId="12742" xr:uid="{00000000-0005-0000-0000-00009F330000}"/>
    <cellStyle name="Accent2 13" xfId="12743" xr:uid="{00000000-0005-0000-0000-0000A0330000}"/>
    <cellStyle name="Accent2 13 2" xfId="12744" xr:uid="{00000000-0005-0000-0000-0000A1330000}"/>
    <cellStyle name="Accent2 13 3" xfId="12745" xr:uid="{00000000-0005-0000-0000-0000A2330000}"/>
    <cellStyle name="Accent2 13 4" xfId="12746" xr:uid="{00000000-0005-0000-0000-0000A3330000}"/>
    <cellStyle name="Accent2 14" xfId="12747" xr:uid="{00000000-0005-0000-0000-0000A4330000}"/>
    <cellStyle name="Accent2 14 2" xfId="12748" xr:uid="{00000000-0005-0000-0000-0000A5330000}"/>
    <cellStyle name="Accent2 14 3" xfId="12749" xr:uid="{00000000-0005-0000-0000-0000A6330000}"/>
    <cellStyle name="Accent2 14 4" xfId="12750" xr:uid="{00000000-0005-0000-0000-0000A7330000}"/>
    <cellStyle name="Accent2 15" xfId="12751" xr:uid="{00000000-0005-0000-0000-0000A8330000}"/>
    <cellStyle name="Accent2 15 2" xfId="12752" xr:uid="{00000000-0005-0000-0000-0000A9330000}"/>
    <cellStyle name="Accent2 15 3" xfId="12753" xr:uid="{00000000-0005-0000-0000-0000AA330000}"/>
    <cellStyle name="Accent2 15 4" xfId="12754" xr:uid="{00000000-0005-0000-0000-0000AB330000}"/>
    <cellStyle name="Accent2 16" xfId="12755" xr:uid="{00000000-0005-0000-0000-0000AC330000}"/>
    <cellStyle name="Accent2 16 2" xfId="12756" xr:uid="{00000000-0005-0000-0000-0000AD330000}"/>
    <cellStyle name="Accent2 16 3" xfId="12757" xr:uid="{00000000-0005-0000-0000-0000AE330000}"/>
    <cellStyle name="Accent2 16 4" xfId="12758" xr:uid="{00000000-0005-0000-0000-0000AF330000}"/>
    <cellStyle name="Accent2 17" xfId="12759" xr:uid="{00000000-0005-0000-0000-0000B0330000}"/>
    <cellStyle name="Accent2 17 2" xfId="12760" xr:uid="{00000000-0005-0000-0000-0000B1330000}"/>
    <cellStyle name="Accent2 17 3" xfId="12761" xr:uid="{00000000-0005-0000-0000-0000B2330000}"/>
    <cellStyle name="Accent2 17 4" xfId="12762" xr:uid="{00000000-0005-0000-0000-0000B3330000}"/>
    <cellStyle name="Accent2 18" xfId="12763" xr:uid="{00000000-0005-0000-0000-0000B4330000}"/>
    <cellStyle name="Accent2 18 2" xfId="12764" xr:uid="{00000000-0005-0000-0000-0000B5330000}"/>
    <cellStyle name="Accent2 18 3" xfId="12765" xr:uid="{00000000-0005-0000-0000-0000B6330000}"/>
    <cellStyle name="Accent2 18 4" xfId="12766" xr:uid="{00000000-0005-0000-0000-0000B7330000}"/>
    <cellStyle name="Accent2 19" xfId="12767" xr:uid="{00000000-0005-0000-0000-0000B8330000}"/>
    <cellStyle name="Accent2 19 2" xfId="12768" xr:uid="{00000000-0005-0000-0000-0000B9330000}"/>
    <cellStyle name="Accent2 19 3" xfId="12769" xr:uid="{00000000-0005-0000-0000-0000BA330000}"/>
    <cellStyle name="Accent2 19 4" xfId="12770" xr:uid="{00000000-0005-0000-0000-0000BB330000}"/>
    <cellStyle name="Accent2 2" xfId="12771" xr:uid="{00000000-0005-0000-0000-0000BC330000}"/>
    <cellStyle name="Accent2 2 2" xfId="12772" xr:uid="{00000000-0005-0000-0000-0000BD330000}"/>
    <cellStyle name="Accent2 2 2 2" xfId="12773" xr:uid="{00000000-0005-0000-0000-0000BE330000}"/>
    <cellStyle name="Accent2 2 2 3" xfId="12774" xr:uid="{00000000-0005-0000-0000-0000BF330000}"/>
    <cellStyle name="Accent2 2 2 4" xfId="12775" xr:uid="{00000000-0005-0000-0000-0000C0330000}"/>
    <cellStyle name="Accent2 2 3" xfId="12776" xr:uid="{00000000-0005-0000-0000-0000C1330000}"/>
    <cellStyle name="Accent2 2 3 2" xfId="12777" xr:uid="{00000000-0005-0000-0000-0000C2330000}"/>
    <cellStyle name="Accent2 2 3 3" xfId="12778" xr:uid="{00000000-0005-0000-0000-0000C3330000}"/>
    <cellStyle name="Accent2 2 3 4" xfId="12779" xr:uid="{00000000-0005-0000-0000-0000C4330000}"/>
    <cellStyle name="Accent2 2 4" xfId="12780" xr:uid="{00000000-0005-0000-0000-0000C5330000}"/>
    <cellStyle name="Accent2 2 4 2" xfId="12781" xr:uid="{00000000-0005-0000-0000-0000C6330000}"/>
    <cellStyle name="Accent2 2 4 3" xfId="12782" xr:uid="{00000000-0005-0000-0000-0000C7330000}"/>
    <cellStyle name="Accent2 2 4 4" xfId="12783" xr:uid="{00000000-0005-0000-0000-0000C8330000}"/>
    <cellStyle name="Accent2 2 5" xfId="12784" xr:uid="{00000000-0005-0000-0000-0000C9330000}"/>
    <cellStyle name="Accent2 2 6" xfId="12785" xr:uid="{00000000-0005-0000-0000-0000CA330000}"/>
    <cellStyle name="Accent2 2 7" xfId="12786" xr:uid="{00000000-0005-0000-0000-0000CB330000}"/>
    <cellStyle name="Accent2 2 8" xfId="12787" xr:uid="{00000000-0005-0000-0000-0000CC330000}"/>
    <cellStyle name="Accent2 20" xfId="12788" xr:uid="{00000000-0005-0000-0000-0000CD330000}"/>
    <cellStyle name="Accent2 20 2" xfId="12789" xr:uid="{00000000-0005-0000-0000-0000CE330000}"/>
    <cellStyle name="Accent2 20 3" xfId="12790" xr:uid="{00000000-0005-0000-0000-0000CF330000}"/>
    <cellStyle name="Accent2 20 4" xfId="12791" xr:uid="{00000000-0005-0000-0000-0000D0330000}"/>
    <cellStyle name="Accent2 20 5" xfId="12792" xr:uid="{00000000-0005-0000-0000-0000D1330000}"/>
    <cellStyle name="Accent2 21" xfId="12793" xr:uid="{00000000-0005-0000-0000-0000D2330000}"/>
    <cellStyle name="Accent2 21 2" xfId="12794" xr:uid="{00000000-0005-0000-0000-0000D3330000}"/>
    <cellStyle name="Accent2 21 3" xfId="12795" xr:uid="{00000000-0005-0000-0000-0000D4330000}"/>
    <cellStyle name="Accent2 21 4" xfId="12796" xr:uid="{00000000-0005-0000-0000-0000D5330000}"/>
    <cellStyle name="Accent2 21 5" xfId="12797" xr:uid="{00000000-0005-0000-0000-0000D6330000}"/>
    <cellStyle name="Accent2 22" xfId="12798" xr:uid="{00000000-0005-0000-0000-0000D7330000}"/>
    <cellStyle name="Accent2 22 2" xfId="12799" xr:uid="{00000000-0005-0000-0000-0000D8330000}"/>
    <cellStyle name="Accent2 22 3" xfId="12800" xr:uid="{00000000-0005-0000-0000-0000D9330000}"/>
    <cellStyle name="Accent2 22 4" xfId="12801" xr:uid="{00000000-0005-0000-0000-0000DA330000}"/>
    <cellStyle name="Accent2 22 5" xfId="12802" xr:uid="{00000000-0005-0000-0000-0000DB330000}"/>
    <cellStyle name="Accent2 23" xfId="12803" xr:uid="{00000000-0005-0000-0000-0000DC330000}"/>
    <cellStyle name="Accent2 23 2" xfId="12804" xr:uid="{00000000-0005-0000-0000-0000DD330000}"/>
    <cellStyle name="Accent2 23 3" xfId="12805" xr:uid="{00000000-0005-0000-0000-0000DE330000}"/>
    <cellStyle name="Accent2 23 4" xfId="12806" xr:uid="{00000000-0005-0000-0000-0000DF330000}"/>
    <cellStyle name="Accent2 23 5" xfId="12807" xr:uid="{00000000-0005-0000-0000-0000E0330000}"/>
    <cellStyle name="Accent2 24" xfId="12808" xr:uid="{00000000-0005-0000-0000-0000E1330000}"/>
    <cellStyle name="Accent2 24 2" xfId="12809" xr:uid="{00000000-0005-0000-0000-0000E2330000}"/>
    <cellStyle name="Accent2 24 3" xfId="12810" xr:uid="{00000000-0005-0000-0000-0000E3330000}"/>
    <cellStyle name="Accent2 24 4" xfId="12811" xr:uid="{00000000-0005-0000-0000-0000E4330000}"/>
    <cellStyle name="Accent2 24 5" xfId="12812" xr:uid="{00000000-0005-0000-0000-0000E5330000}"/>
    <cellStyle name="Accent2 25" xfId="12813" xr:uid="{00000000-0005-0000-0000-0000E6330000}"/>
    <cellStyle name="Accent2 25 2" xfId="12814" xr:uid="{00000000-0005-0000-0000-0000E7330000}"/>
    <cellStyle name="Accent2 25 3" xfId="12815" xr:uid="{00000000-0005-0000-0000-0000E8330000}"/>
    <cellStyle name="Accent2 25 4" xfId="12816" xr:uid="{00000000-0005-0000-0000-0000E9330000}"/>
    <cellStyle name="Accent2 25 5" xfId="12817" xr:uid="{00000000-0005-0000-0000-0000EA330000}"/>
    <cellStyle name="Accent2 26" xfId="12818" xr:uid="{00000000-0005-0000-0000-0000EB330000}"/>
    <cellStyle name="Accent2 26 2" xfId="12819" xr:uid="{00000000-0005-0000-0000-0000EC330000}"/>
    <cellStyle name="Accent2 26 3" xfId="12820" xr:uid="{00000000-0005-0000-0000-0000ED330000}"/>
    <cellStyle name="Accent2 26 4" xfId="12821" xr:uid="{00000000-0005-0000-0000-0000EE330000}"/>
    <cellStyle name="Accent2 26 5" xfId="12822" xr:uid="{00000000-0005-0000-0000-0000EF330000}"/>
    <cellStyle name="Accent2 27" xfId="12823" xr:uid="{00000000-0005-0000-0000-0000F0330000}"/>
    <cellStyle name="Accent2 27 2" xfId="12824" xr:uid="{00000000-0005-0000-0000-0000F1330000}"/>
    <cellStyle name="Accent2 27 3" xfId="12825" xr:uid="{00000000-0005-0000-0000-0000F2330000}"/>
    <cellStyle name="Accent2 27 4" xfId="12826" xr:uid="{00000000-0005-0000-0000-0000F3330000}"/>
    <cellStyle name="Accent2 27 5" xfId="12827" xr:uid="{00000000-0005-0000-0000-0000F4330000}"/>
    <cellStyle name="Accent2 28" xfId="12828" xr:uid="{00000000-0005-0000-0000-0000F5330000}"/>
    <cellStyle name="Accent2 28 2" xfId="12829" xr:uid="{00000000-0005-0000-0000-0000F6330000}"/>
    <cellStyle name="Accent2 28 3" xfId="12830" xr:uid="{00000000-0005-0000-0000-0000F7330000}"/>
    <cellStyle name="Accent2 28 4" xfId="12831" xr:uid="{00000000-0005-0000-0000-0000F8330000}"/>
    <cellStyle name="Accent2 29" xfId="12832" xr:uid="{00000000-0005-0000-0000-0000F9330000}"/>
    <cellStyle name="Accent2 29 2" xfId="12833" xr:uid="{00000000-0005-0000-0000-0000FA330000}"/>
    <cellStyle name="Accent2 29 3" xfId="12834" xr:uid="{00000000-0005-0000-0000-0000FB330000}"/>
    <cellStyle name="Accent2 29 4" xfId="12835" xr:uid="{00000000-0005-0000-0000-0000FC330000}"/>
    <cellStyle name="Accent2 3" xfId="12836" xr:uid="{00000000-0005-0000-0000-0000FD330000}"/>
    <cellStyle name="Accent2 3 2" xfId="12837" xr:uid="{00000000-0005-0000-0000-0000FE330000}"/>
    <cellStyle name="Accent2 3 2 2" xfId="12838" xr:uid="{00000000-0005-0000-0000-0000FF330000}"/>
    <cellStyle name="Accent2 3 2 3" xfId="12839" xr:uid="{00000000-0005-0000-0000-000000340000}"/>
    <cellStyle name="Accent2 3 2 4" xfId="12840" xr:uid="{00000000-0005-0000-0000-000001340000}"/>
    <cellStyle name="Accent2 3 3" xfId="12841" xr:uid="{00000000-0005-0000-0000-000002340000}"/>
    <cellStyle name="Accent2 3 3 2" xfId="12842" xr:uid="{00000000-0005-0000-0000-000003340000}"/>
    <cellStyle name="Accent2 3 3 3" xfId="12843" xr:uid="{00000000-0005-0000-0000-000004340000}"/>
    <cellStyle name="Accent2 3 3 4" xfId="12844" xr:uid="{00000000-0005-0000-0000-000005340000}"/>
    <cellStyle name="Accent2 3 4" xfId="12845" xr:uid="{00000000-0005-0000-0000-000006340000}"/>
    <cellStyle name="Accent2 3 4 2" xfId="12846" xr:uid="{00000000-0005-0000-0000-000007340000}"/>
    <cellStyle name="Accent2 3 4 3" xfId="12847" xr:uid="{00000000-0005-0000-0000-000008340000}"/>
    <cellStyle name="Accent2 3 4 4" xfId="12848" xr:uid="{00000000-0005-0000-0000-000009340000}"/>
    <cellStyle name="Accent2 3 5" xfId="12849" xr:uid="{00000000-0005-0000-0000-00000A340000}"/>
    <cellStyle name="Accent2 3 6" xfId="12850" xr:uid="{00000000-0005-0000-0000-00000B340000}"/>
    <cellStyle name="Accent2 3 7" xfId="12851" xr:uid="{00000000-0005-0000-0000-00000C340000}"/>
    <cellStyle name="Accent2 3 8" xfId="12852" xr:uid="{00000000-0005-0000-0000-00000D340000}"/>
    <cellStyle name="Accent2 30" xfId="12853" xr:uid="{00000000-0005-0000-0000-00000E340000}"/>
    <cellStyle name="Accent2 31" xfId="12854" xr:uid="{00000000-0005-0000-0000-00000F340000}"/>
    <cellStyle name="Accent2 32" xfId="12855" xr:uid="{00000000-0005-0000-0000-000010340000}"/>
    <cellStyle name="Accent2 33" xfId="12856" xr:uid="{00000000-0005-0000-0000-000011340000}"/>
    <cellStyle name="Accent2 34" xfId="12857" xr:uid="{00000000-0005-0000-0000-000012340000}"/>
    <cellStyle name="Accent2 35" xfId="12858" xr:uid="{00000000-0005-0000-0000-000013340000}"/>
    <cellStyle name="Accent2 36" xfId="12859" xr:uid="{00000000-0005-0000-0000-000014340000}"/>
    <cellStyle name="Accent2 37" xfId="12860" xr:uid="{00000000-0005-0000-0000-000015340000}"/>
    <cellStyle name="Accent2 38" xfId="12861" xr:uid="{00000000-0005-0000-0000-000016340000}"/>
    <cellStyle name="Accent2 39" xfId="12862" xr:uid="{00000000-0005-0000-0000-000017340000}"/>
    <cellStyle name="Accent2 4" xfId="12863" xr:uid="{00000000-0005-0000-0000-000018340000}"/>
    <cellStyle name="Accent2 4 2" xfId="12864" xr:uid="{00000000-0005-0000-0000-000019340000}"/>
    <cellStyle name="Accent2 4 3" xfId="12865" xr:uid="{00000000-0005-0000-0000-00001A340000}"/>
    <cellStyle name="Accent2 4 4" xfId="12866" xr:uid="{00000000-0005-0000-0000-00001B340000}"/>
    <cellStyle name="Accent2 4 5" xfId="12867" xr:uid="{00000000-0005-0000-0000-00001C340000}"/>
    <cellStyle name="Accent2 4 6" xfId="12868" xr:uid="{00000000-0005-0000-0000-00001D340000}"/>
    <cellStyle name="Accent2 5" xfId="12869" xr:uid="{00000000-0005-0000-0000-00001E340000}"/>
    <cellStyle name="Accent2 5 2" xfId="12870" xr:uid="{00000000-0005-0000-0000-00001F340000}"/>
    <cellStyle name="Accent2 5 3" xfId="12871" xr:uid="{00000000-0005-0000-0000-000020340000}"/>
    <cellStyle name="Accent2 5 4" xfId="12872" xr:uid="{00000000-0005-0000-0000-000021340000}"/>
    <cellStyle name="Accent2 5 5" xfId="12873" xr:uid="{00000000-0005-0000-0000-000022340000}"/>
    <cellStyle name="Accent2 5 6" xfId="12874" xr:uid="{00000000-0005-0000-0000-000023340000}"/>
    <cellStyle name="Accent2 6" xfId="12875" xr:uid="{00000000-0005-0000-0000-000024340000}"/>
    <cellStyle name="Accent2 6 2" xfId="12876" xr:uid="{00000000-0005-0000-0000-000025340000}"/>
    <cellStyle name="Accent2 6 3" xfId="12877" xr:uid="{00000000-0005-0000-0000-000026340000}"/>
    <cellStyle name="Accent2 6 4" xfId="12878" xr:uid="{00000000-0005-0000-0000-000027340000}"/>
    <cellStyle name="Accent2 6 5" xfId="12879" xr:uid="{00000000-0005-0000-0000-000028340000}"/>
    <cellStyle name="Accent2 6 6" xfId="12880" xr:uid="{00000000-0005-0000-0000-000029340000}"/>
    <cellStyle name="Accent2 7" xfId="12881" xr:uid="{00000000-0005-0000-0000-00002A340000}"/>
    <cellStyle name="Accent2 7 2" xfId="12882" xr:uid="{00000000-0005-0000-0000-00002B340000}"/>
    <cellStyle name="Accent2 7 3" xfId="12883" xr:uid="{00000000-0005-0000-0000-00002C340000}"/>
    <cellStyle name="Accent2 7 4" xfId="12884" xr:uid="{00000000-0005-0000-0000-00002D340000}"/>
    <cellStyle name="Accent2 7 5" xfId="12885" xr:uid="{00000000-0005-0000-0000-00002E340000}"/>
    <cellStyle name="Accent2 7 6" xfId="12886" xr:uid="{00000000-0005-0000-0000-00002F340000}"/>
    <cellStyle name="Accent2 8" xfId="12887" xr:uid="{00000000-0005-0000-0000-000030340000}"/>
    <cellStyle name="Accent2 8 2" xfId="12888" xr:uid="{00000000-0005-0000-0000-000031340000}"/>
    <cellStyle name="Accent2 8 3" xfId="12889" xr:uid="{00000000-0005-0000-0000-000032340000}"/>
    <cellStyle name="Accent2 8 4" xfId="12890" xr:uid="{00000000-0005-0000-0000-000033340000}"/>
    <cellStyle name="Accent2 8 5" xfId="12891" xr:uid="{00000000-0005-0000-0000-000034340000}"/>
    <cellStyle name="Accent2 8 6" xfId="12892" xr:uid="{00000000-0005-0000-0000-000035340000}"/>
    <cellStyle name="Accent2 9" xfId="12893" xr:uid="{00000000-0005-0000-0000-000036340000}"/>
    <cellStyle name="Accent2 9 2" xfId="12894" xr:uid="{00000000-0005-0000-0000-000037340000}"/>
    <cellStyle name="Accent2 9 3" xfId="12895" xr:uid="{00000000-0005-0000-0000-000038340000}"/>
    <cellStyle name="Accent2 9 4" xfId="12896" xr:uid="{00000000-0005-0000-0000-000039340000}"/>
    <cellStyle name="Accent3 - 20%" xfId="12897" xr:uid="{00000000-0005-0000-0000-00003A340000}"/>
    <cellStyle name="Accent3 - 20% 2" xfId="12898" xr:uid="{00000000-0005-0000-0000-00003B340000}"/>
    <cellStyle name="Accent3 - 20% 3" xfId="12899" xr:uid="{00000000-0005-0000-0000-00003C340000}"/>
    <cellStyle name="Accent3 - 20% 4" xfId="12900" xr:uid="{00000000-0005-0000-0000-00003D340000}"/>
    <cellStyle name="Accent3 - 20% 5" xfId="12901" xr:uid="{00000000-0005-0000-0000-00003E340000}"/>
    <cellStyle name="Accent3 - 40%" xfId="12902" xr:uid="{00000000-0005-0000-0000-00003F340000}"/>
    <cellStyle name="Accent3 - 40% 2" xfId="12903" xr:uid="{00000000-0005-0000-0000-000040340000}"/>
    <cellStyle name="Accent3 - 40% 3" xfId="12904" xr:uid="{00000000-0005-0000-0000-000041340000}"/>
    <cellStyle name="Accent3 - 40% 4" xfId="12905" xr:uid="{00000000-0005-0000-0000-000042340000}"/>
    <cellStyle name="Accent3 - 40% 5" xfId="12906" xr:uid="{00000000-0005-0000-0000-000043340000}"/>
    <cellStyle name="Accent3 - 60%" xfId="12907" xr:uid="{00000000-0005-0000-0000-000044340000}"/>
    <cellStyle name="Accent3 - 60% 2" xfId="12908" xr:uid="{00000000-0005-0000-0000-000045340000}"/>
    <cellStyle name="Accent3 - 60% 3" xfId="12909" xr:uid="{00000000-0005-0000-0000-000046340000}"/>
    <cellStyle name="Accent3 - 60% 4" xfId="12910" xr:uid="{00000000-0005-0000-0000-000047340000}"/>
    <cellStyle name="Accent3 - 60% 5" xfId="12911" xr:uid="{00000000-0005-0000-0000-000048340000}"/>
    <cellStyle name="Accent3 10" xfId="12912" xr:uid="{00000000-0005-0000-0000-000049340000}"/>
    <cellStyle name="Accent3 10 2" xfId="12913" xr:uid="{00000000-0005-0000-0000-00004A340000}"/>
    <cellStyle name="Accent3 10 3" xfId="12914" xr:uid="{00000000-0005-0000-0000-00004B340000}"/>
    <cellStyle name="Accent3 10 4" xfId="12915" xr:uid="{00000000-0005-0000-0000-00004C340000}"/>
    <cellStyle name="Accent3 11" xfId="12916" xr:uid="{00000000-0005-0000-0000-00004D340000}"/>
    <cellStyle name="Accent3 11 2" xfId="12917" xr:uid="{00000000-0005-0000-0000-00004E340000}"/>
    <cellStyle name="Accent3 11 3" xfId="12918" xr:uid="{00000000-0005-0000-0000-00004F340000}"/>
    <cellStyle name="Accent3 11 4" xfId="12919" xr:uid="{00000000-0005-0000-0000-000050340000}"/>
    <cellStyle name="Accent3 12" xfId="12920" xr:uid="{00000000-0005-0000-0000-000051340000}"/>
    <cellStyle name="Accent3 12 2" xfId="12921" xr:uid="{00000000-0005-0000-0000-000052340000}"/>
    <cellStyle name="Accent3 12 3" xfId="12922" xr:uid="{00000000-0005-0000-0000-000053340000}"/>
    <cellStyle name="Accent3 12 4" xfId="12923" xr:uid="{00000000-0005-0000-0000-000054340000}"/>
    <cellStyle name="Accent3 13" xfId="12924" xr:uid="{00000000-0005-0000-0000-000055340000}"/>
    <cellStyle name="Accent3 13 2" xfId="12925" xr:uid="{00000000-0005-0000-0000-000056340000}"/>
    <cellStyle name="Accent3 13 3" xfId="12926" xr:uid="{00000000-0005-0000-0000-000057340000}"/>
    <cellStyle name="Accent3 13 4" xfId="12927" xr:uid="{00000000-0005-0000-0000-000058340000}"/>
    <cellStyle name="Accent3 14" xfId="12928" xr:uid="{00000000-0005-0000-0000-000059340000}"/>
    <cellStyle name="Accent3 14 2" xfId="12929" xr:uid="{00000000-0005-0000-0000-00005A340000}"/>
    <cellStyle name="Accent3 14 3" xfId="12930" xr:uid="{00000000-0005-0000-0000-00005B340000}"/>
    <cellStyle name="Accent3 14 4" xfId="12931" xr:uid="{00000000-0005-0000-0000-00005C340000}"/>
    <cellStyle name="Accent3 15" xfId="12932" xr:uid="{00000000-0005-0000-0000-00005D340000}"/>
    <cellStyle name="Accent3 15 2" xfId="12933" xr:uid="{00000000-0005-0000-0000-00005E340000}"/>
    <cellStyle name="Accent3 15 3" xfId="12934" xr:uid="{00000000-0005-0000-0000-00005F340000}"/>
    <cellStyle name="Accent3 15 4" xfId="12935" xr:uid="{00000000-0005-0000-0000-000060340000}"/>
    <cellStyle name="Accent3 16" xfId="12936" xr:uid="{00000000-0005-0000-0000-000061340000}"/>
    <cellStyle name="Accent3 16 2" xfId="12937" xr:uid="{00000000-0005-0000-0000-000062340000}"/>
    <cellStyle name="Accent3 16 3" xfId="12938" xr:uid="{00000000-0005-0000-0000-000063340000}"/>
    <cellStyle name="Accent3 16 4" xfId="12939" xr:uid="{00000000-0005-0000-0000-000064340000}"/>
    <cellStyle name="Accent3 17" xfId="12940" xr:uid="{00000000-0005-0000-0000-000065340000}"/>
    <cellStyle name="Accent3 17 2" xfId="12941" xr:uid="{00000000-0005-0000-0000-000066340000}"/>
    <cellStyle name="Accent3 17 3" xfId="12942" xr:uid="{00000000-0005-0000-0000-000067340000}"/>
    <cellStyle name="Accent3 17 4" xfId="12943" xr:uid="{00000000-0005-0000-0000-000068340000}"/>
    <cellStyle name="Accent3 18" xfId="12944" xr:uid="{00000000-0005-0000-0000-000069340000}"/>
    <cellStyle name="Accent3 18 2" xfId="12945" xr:uid="{00000000-0005-0000-0000-00006A340000}"/>
    <cellStyle name="Accent3 18 3" xfId="12946" xr:uid="{00000000-0005-0000-0000-00006B340000}"/>
    <cellStyle name="Accent3 18 4" xfId="12947" xr:uid="{00000000-0005-0000-0000-00006C340000}"/>
    <cellStyle name="Accent3 19" xfId="12948" xr:uid="{00000000-0005-0000-0000-00006D340000}"/>
    <cellStyle name="Accent3 19 2" xfId="12949" xr:uid="{00000000-0005-0000-0000-00006E340000}"/>
    <cellStyle name="Accent3 19 3" xfId="12950" xr:uid="{00000000-0005-0000-0000-00006F340000}"/>
    <cellStyle name="Accent3 19 4" xfId="12951" xr:uid="{00000000-0005-0000-0000-000070340000}"/>
    <cellStyle name="Accent3 2" xfId="12952" xr:uid="{00000000-0005-0000-0000-000071340000}"/>
    <cellStyle name="Accent3 2 2" xfId="12953" xr:uid="{00000000-0005-0000-0000-000072340000}"/>
    <cellStyle name="Accent3 2 2 2" xfId="12954" xr:uid="{00000000-0005-0000-0000-000073340000}"/>
    <cellStyle name="Accent3 2 2 3" xfId="12955" xr:uid="{00000000-0005-0000-0000-000074340000}"/>
    <cellStyle name="Accent3 2 2 4" xfId="12956" xr:uid="{00000000-0005-0000-0000-000075340000}"/>
    <cellStyle name="Accent3 2 3" xfId="12957" xr:uid="{00000000-0005-0000-0000-000076340000}"/>
    <cellStyle name="Accent3 2 3 2" xfId="12958" xr:uid="{00000000-0005-0000-0000-000077340000}"/>
    <cellStyle name="Accent3 2 3 3" xfId="12959" xr:uid="{00000000-0005-0000-0000-000078340000}"/>
    <cellStyle name="Accent3 2 3 4" xfId="12960" xr:uid="{00000000-0005-0000-0000-000079340000}"/>
    <cellStyle name="Accent3 2 4" xfId="12961" xr:uid="{00000000-0005-0000-0000-00007A340000}"/>
    <cellStyle name="Accent3 2 4 2" xfId="12962" xr:uid="{00000000-0005-0000-0000-00007B340000}"/>
    <cellStyle name="Accent3 2 4 3" xfId="12963" xr:uid="{00000000-0005-0000-0000-00007C340000}"/>
    <cellStyle name="Accent3 2 4 4" xfId="12964" xr:uid="{00000000-0005-0000-0000-00007D340000}"/>
    <cellStyle name="Accent3 2 5" xfId="12965" xr:uid="{00000000-0005-0000-0000-00007E340000}"/>
    <cellStyle name="Accent3 2 6" xfId="12966" xr:uid="{00000000-0005-0000-0000-00007F340000}"/>
    <cellStyle name="Accent3 2 7" xfId="12967" xr:uid="{00000000-0005-0000-0000-000080340000}"/>
    <cellStyle name="Accent3 2 8" xfId="12968" xr:uid="{00000000-0005-0000-0000-000081340000}"/>
    <cellStyle name="Accent3 20" xfId="12969" xr:uid="{00000000-0005-0000-0000-000082340000}"/>
    <cellStyle name="Accent3 20 2" xfId="12970" xr:uid="{00000000-0005-0000-0000-000083340000}"/>
    <cellStyle name="Accent3 20 3" xfId="12971" xr:uid="{00000000-0005-0000-0000-000084340000}"/>
    <cellStyle name="Accent3 20 4" xfId="12972" xr:uid="{00000000-0005-0000-0000-000085340000}"/>
    <cellStyle name="Accent3 20 5" xfId="12973" xr:uid="{00000000-0005-0000-0000-000086340000}"/>
    <cellStyle name="Accent3 21" xfId="12974" xr:uid="{00000000-0005-0000-0000-000087340000}"/>
    <cellStyle name="Accent3 21 2" xfId="12975" xr:uid="{00000000-0005-0000-0000-000088340000}"/>
    <cellStyle name="Accent3 21 3" xfId="12976" xr:uid="{00000000-0005-0000-0000-000089340000}"/>
    <cellStyle name="Accent3 21 4" xfId="12977" xr:uid="{00000000-0005-0000-0000-00008A340000}"/>
    <cellStyle name="Accent3 21 5" xfId="12978" xr:uid="{00000000-0005-0000-0000-00008B340000}"/>
    <cellStyle name="Accent3 22" xfId="12979" xr:uid="{00000000-0005-0000-0000-00008C340000}"/>
    <cellStyle name="Accent3 22 2" xfId="12980" xr:uid="{00000000-0005-0000-0000-00008D340000}"/>
    <cellStyle name="Accent3 22 3" xfId="12981" xr:uid="{00000000-0005-0000-0000-00008E340000}"/>
    <cellStyle name="Accent3 22 4" xfId="12982" xr:uid="{00000000-0005-0000-0000-00008F340000}"/>
    <cellStyle name="Accent3 22 5" xfId="12983" xr:uid="{00000000-0005-0000-0000-000090340000}"/>
    <cellStyle name="Accent3 23" xfId="12984" xr:uid="{00000000-0005-0000-0000-000091340000}"/>
    <cellStyle name="Accent3 23 2" xfId="12985" xr:uid="{00000000-0005-0000-0000-000092340000}"/>
    <cellStyle name="Accent3 23 3" xfId="12986" xr:uid="{00000000-0005-0000-0000-000093340000}"/>
    <cellStyle name="Accent3 23 4" xfId="12987" xr:uid="{00000000-0005-0000-0000-000094340000}"/>
    <cellStyle name="Accent3 23 5" xfId="12988" xr:uid="{00000000-0005-0000-0000-000095340000}"/>
    <cellStyle name="Accent3 24" xfId="12989" xr:uid="{00000000-0005-0000-0000-000096340000}"/>
    <cellStyle name="Accent3 24 2" xfId="12990" xr:uid="{00000000-0005-0000-0000-000097340000}"/>
    <cellStyle name="Accent3 24 3" xfId="12991" xr:uid="{00000000-0005-0000-0000-000098340000}"/>
    <cellStyle name="Accent3 24 4" xfId="12992" xr:uid="{00000000-0005-0000-0000-000099340000}"/>
    <cellStyle name="Accent3 24 5" xfId="12993" xr:uid="{00000000-0005-0000-0000-00009A340000}"/>
    <cellStyle name="Accent3 25" xfId="12994" xr:uid="{00000000-0005-0000-0000-00009B340000}"/>
    <cellStyle name="Accent3 25 2" xfId="12995" xr:uid="{00000000-0005-0000-0000-00009C340000}"/>
    <cellStyle name="Accent3 25 3" xfId="12996" xr:uid="{00000000-0005-0000-0000-00009D340000}"/>
    <cellStyle name="Accent3 25 4" xfId="12997" xr:uid="{00000000-0005-0000-0000-00009E340000}"/>
    <cellStyle name="Accent3 25 5" xfId="12998" xr:uid="{00000000-0005-0000-0000-00009F340000}"/>
    <cellStyle name="Accent3 26" xfId="12999" xr:uid="{00000000-0005-0000-0000-0000A0340000}"/>
    <cellStyle name="Accent3 26 2" xfId="13000" xr:uid="{00000000-0005-0000-0000-0000A1340000}"/>
    <cellStyle name="Accent3 26 3" xfId="13001" xr:uid="{00000000-0005-0000-0000-0000A2340000}"/>
    <cellStyle name="Accent3 26 4" xfId="13002" xr:uid="{00000000-0005-0000-0000-0000A3340000}"/>
    <cellStyle name="Accent3 26 5" xfId="13003" xr:uid="{00000000-0005-0000-0000-0000A4340000}"/>
    <cellStyle name="Accent3 27" xfId="13004" xr:uid="{00000000-0005-0000-0000-0000A5340000}"/>
    <cellStyle name="Accent3 27 2" xfId="13005" xr:uid="{00000000-0005-0000-0000-0000A6340000}"/>
    <cellStyle name="Accent3 27 3" xfId="13006" xr:uid="{00000000-0005-0000-0000-0000A7340000}"/>
    <cellStyle name="Accent3 27 4" xfId="13007" xr:uid="{00000000-0005-0000-0000-0000A8340000}"/>
    <cellStyle name="Accent3 27 5" xfId="13008" xr:uid="{00000000-0005-0000-0000-0000A9340000}"/>
    <cellStyle name="Accent3 28" xfId="13009" xr:uid="{00000000-0005-0000-0000-0000AA340000}"/>
    <cellStyle name="Accent3 28 2" xfId="13010" xr:uid="{00000000-0005-0000-0000-0000AB340000}"/>
    <cellStyle name="Accent3 28 3" xfId="13011" xr:uid="{00000000-0005-0000-0000-0000AC340000}"/>
    <cellStyle name="Accent3 28 4" xfId="13012" xr:uid="{00000000-0005-0000-0000-0000AD340000}"/>
    <cellStyle name="Accent3 29" xfId="13013" xr:uid="{00000000-0005-0000-0000-0000AE340000}"/>
    <cellStyle name="Accent3 29 2" xfId="13014" xr:uid="{00000000-0005-0000-0000-0000AF340000}"/>
    <cellStyle name="Accent3 29 3" xfId="13015" xr:uid="{00000000-0005-0000-0000-0000B0340000}"/>
    <cellStyle name="Accent3 29 4" xfId="13016" xr:uid="{00000000-0005-0000-0000-0000B1340000}"/>
    <cellStyle name="Accent3 3" xfId="13017" xr:uid="{00000000-0005-0000-0000-0000B2340000}"/>
    <cellStyle name="Accent3 3 2" xfId="13018" xr:uid="{00000000-0005-0000-0000-0000B3340000}"/>
    <cellStyle name="Accent3 3 2 2" xfId="13019" xr:uid="{00000000-0005-0000-0000-0000B4340000}"/>
    <cellStyle name="Accent3 3 2 3" xfId="13020" xr:uid="{00000000-0005-0000-0000-0000B5340000}"/>
    <cellStyle name="Accent3 3 2 4" xfId="13021" xr:uid="{00000000-0005-0000-0000-0000B6340000}"/>
    <cellStyle name="Accent3 3 3" xfId="13022" xr:uid="{00000000-0005-0000-0000-0000B7340000}"/>
    <cellStyle name="Accent3 3 3 2" xfId="13023" xr:uid="{00000000-0005-0000-0000-0000B8340000}"/>
    <cellStyle name="Accent3 3 3 3" xfId="13024" xr:uid="{00000000-0005-0000-0000-0000B9340000}"/>
    <cellStyle name="Accent3 3 3 4" xfId="13025" xr:uid="{00000000-0005-0000-0000-0000BA340000}"/>
    <cellStyle name="Accent3 3 4" xfId="13026" xr:uid="{00000000-0005-0000-0000-0000BB340000}"/>
    <cellStyle name="Accent3 3 4 2" xfId="13027" xr:uid="{00000000-0005-0000-0000-0000BC340000}"/>
    <cellStyle name="Accent3 3 4 3" xfId="13028" xr:uid="{00000000-0005-0000-0000-0000BD340000}"/>
    <cellStyle name="Accent3 3 4 4" xfId="13029" xr:uid="{00000000-0005-0000-0000-0000BE340000}"/>
    <cellStyle name="Accent3 3 5" xfId="13030" xr:uid="{00000000-0005-0000-0000-0000BF340000}"/>
    <cellStyle name="Accent3 3 6" xfId="13031" xr:uid="{00000000-0005-0000-0000-0000C0340000}"/>
    <cellStyle name="Accent3 3 7" xfId="13032" xr:uid="{00000000-0005-0000-0000-0000C1340000}"/>
    <cellStyle name="Accent3 3 8" xfId="13033" xr:uid="{00000000-0005-0000-0000-0000C2340000}"/>
    <cellStyle name="Accent3 30" xfId="13034" xr:uid="{00000000-0005-0000-0000-0000C3340000}"/>
    <cellStyle name="Accent3 31" xfId="13035" xr:uid="{00000000-0005-0000-0000-0000C4340000}"/>
    <cellStyle name="Accent3 32" xfId="13036" xr:uid="{00000000-0005-0000-0000-0000C5340000}"/>
    <cellStyle name="Accent3 33" xfId="13037" xr:uid="{00000000-0005-0000-0000-0000C6340000}"/>
    <cellStyle name="Accent3 34" xfId="13038" xr:uid="{00000000-0005-0000-0000-0000C7340000}"/>
    <cellStyle name="Accent3 35" xfId="13039" xr:uid="{00000000-0005-0000-0000-0000C8340000}"/>
    <cellStyle name="Accent3 36" xfId="13040" xr:uid="{00000000-0005-0000-0000-0000C9340000}"/>
    <cellStyle name="Accent3 37" xfId="13041" xr:uid="{00000000-0005-0000-0000-0000CA340000}"/>
    <cellStyle name="Accent3 38" xfId="13042" xr:uid="{00000000-0005-0000-0000-0000CB340000}"/>
    <cellStyle name="Accent3 39" xfId="13043" xr:uid="{00000000-0005-0000-0000-0000CC340000}"/>
    <cellStyle name="Accent3 4" xfId="13044" xr:uid="{00000000-0005-0000-0000-0000CD340000}"/>
    <cellStyle name="Accent3 4 2" xfId="13045" xr:uid="{00000000-0005-0000-0000-0000CE340000}"/>
    <cellStyle name="Accent3 4 3" xfId="13046" xr:uid="{00000000-0005-0000-0000-0000CF340000}"/>
    <cellStyle name="Accent3 4 4" xfId="13047" xr:uid="{00000000-0005-0000-0000-0000D0340000}"/>
    <cellStyle name="Accent3 4 5" xfId="13048" xr:uid="{00000000-0005-0000-0000-0000D1340000}"/>
    <cellStyle name="Accent3 4 6" xfId="13049" xr:uid="{00000000-0005-0000-0000-0000D2340000}"/>
    <cellStyle name="Accent3 5" xfId="13050" xr:uid="{00000000-0005-0000-0000-0000D3340000}"/>
    <cellStyle name="Accent3 5 2" xfId="13051" xr:uid="{00000000-0005-0000-0000-0000D4340000}"/>
    <cellStyle name="Accent3 5 3" xfId="13052" xr:uid="{00000000-0005-0000-0000-0000D5340000}"/>
    <cellStyle name="Accent3 5 4" xfId="13053" xr:uid="{00000000-0005-0000-0000-0000D6340000}"/>
    <cellStyle name="Accent3 5 5" xfId="13054" xr:uid="{00000000-0005-0000-0000-0000D7340000}"/>
    <cellStyle name="Accent3 5 6" xfId="13055" xr:uid="{00000000-0005-0000-0000-0000D8340000}"/>
    <cellStyle name="Accent3 6" xfId="13056" xr:uid="{00000000-0005-0000-0000-0000D9340000}"/>
    <cellStyle name="Accent3 6 2" xfId="13057" xr:uid="{00000000-0005-0000-0000-0000DA340000}"/>
    <cellStyle name="Accent3 6 3" xfId="13058" xr:uid="{00000000-0005-0000-0000-0000DB340000}"/>
    <cellStyle name="Accent3 6 4" xfId="13059" xr:uid="{00000000-0005-0000-0000-0000DC340000}"/>
    <cellStyle name="Accent3 6 5" xfId="13060" xr:uid="{00000000-0005-0000-0000-0000DD340000}"/>
    <cellStyle name="Accent3 6 6" xfId="13061" xr:uid="{00000000-0005-0000-0000-0000DE340000}"/>
    <cellStyle name="Accent3 7" xfId="13062" xr:uid="{00000000-0005-0000-0000-0000DF340000}"/>
    <cellStyle name="Accent3 7 2" xfId="13063" xr:uid="{00000000-0005-0000-0000-0000E0340000}"/>
    <cellStyle name="Accent3 7 3" xfId="13064" xr:uid="{00000000-0005-0000-0000-0000E1340000}"/>
    <cellStyle name="Accent3 7 4" xfId="13065" xr:uid="{00000000-0005-0000-0000-0000E2340000}"/>
    <cellStyle name="Accent3 7 5" xfId="13066" xr:uid="{00000000-0005-0000-0000-0000E3340000}"/>
    <cellStyle name="Accent3 7 6" xfId="13067" xr:uid="{00000000-0005-0000-0000-0000E4340000}"/>
    <cellStyle name="Accent3 8" xfId="13068" xr:uid="{00000000-0005-0000-0000-0000E5340000}"/>
    <cellStyle name="Accent3 8 2" xfId="13069" xr:uid="{00000000-0005-0000-0000-0000E6340000}"/>
    <cellStyle name="Accent3 8 3" xfId="13070" xr:uid="{00000000-0005-0000-0000-0000E7340000}"/>
    <cellStyle name="Accent3 8 4" xfId="13071" xr:uid="{00000000-0005-0000-0000-0000E8340000}"/>
    <cellStyle name="Accent3 8 5" xfId="13072" xr:uid="{00000000-0005-0000-0000-0000E9340000}"/>
    <cellStyle name="Accent3 8 6" xfId="13073" xr:uid="{00000000-0005-0000-0000-0000EA340000}"/>
    <cellStyle name="Accent3 9" xfId="13074" xr:uid="{00000000-0005-0000-0000-0000EB340000}"/>
    <cellStyle name="Accent3 9 2" xfId="13075" xr:uid="{00000000-0005-0000-0000-0000EC340000}"/>
    <cellStyle name="Accent3 9 3" xfId="13076" xr:uid="{00000000-0005-0000-0000-0000ED340000}"/>
    <cellStyle name="Accent3 9 4" xfId="13077" xr:uid="{00000000-0005-0000-0000-0000EE340000}"/>
    <cellStyle name="Accent4 - 20%" xfId="13078" xr:uid="{00000000-0005-0000-0000-0000EF340000}"/>
    <cellStyle name="Accent4 - 20% 2" xfId="13079" xr:uid="{00000000-0005-0000-0000-0000F0340000}"/>
    <cellStyle name="Accent4 - 20% 3" xfId="13080" xr:uid="{00000000-0005-0000-0000-0000F1340000}"/>
    <cellStyle name="Accent4 - 20% 4" xfId="13081" xr:uid="{00000000-0005-0000-0000-0000F2340000}"/>
    <cellStyle name="Accent4 - 20% 5" xfId="13082" xr:uid="{00000000-0005-0000-0000-0000F3340000}"/>
    <cellStyle name="Accent4 - 40%" xfId="13083" xr:uid="{00000000-0005-0000-0000-0000F4340000}"/>
    <cellStyle name="Accent4 - 40% 2" xfId="13084" xr:uid="{00000000-0005-0000-0000-0000F5340000}"/>
    <cellStyle name="Accent4 - 40% 3" xfId="13085" xr:uid="{00000000-0005-0000-0000-0000F6340000}"/>
    <cellStyle name="Accent4 - 40% 4" xfId="13086" xr:uid="{00000000-0005-0000-0000-0000F7340000}"/>
    <cellStyle name="Accent4 - 40% 5" xfId="13087" xr:uid="{00000000-0005-0000-0000-0000F8340000}"/>
    <cellStyle name="Accent4 - 60%" xfId="13088" xr:uid="{00000000-0005-0000-0000-0000F9340000}"/>
    <cellStyle name="Accent4 - 60% 2" xfId="13089" xr:uid="{00000000-0005-0000-0000-0000FA340000}"/>
    <cellStyle name="Accent4 - 60% 3" xfId="13090" xr:uid="{00000000-0005-0000-0000-0000FB340000}"/>
    <cellStyle name="Accent4 - 60% 4" xfId="13091" xr:uid="{00000000-0005-0000-0000-0000FC340000}"/>
    <cellStyle name="Accent4 - 60% 5" xfId="13092" xr:uid="{00000000-0005-0000-0000-0000FD340000}"/>
    <cellStyle name="Accent4 10" xfId="13093" xr:uid="{00000000-0005-0000-0000-0000FE340000}"/>
    <cellStyle name="Accent4 10 2" xfId="13094" xr:uid="{00000000-0005-0000-0000-0000FF340000}"/>
    <cellStyle name="Accent4 10 3" xfId="13095" xr:uid="{00000000-0005-0000-0000-000000350000}"/>
    <cellStyle name="Accent4 10 4" xfId="13096" xr:uid="{00000000-0005-0000-0000-000001350000}"/>
    <cellStyle name="Accent4 11" xfId="13097" xr:uid="{00000000-0005-0000-0000-000002350000}"/>
    <cellStyle name="Accent4 11 2" xfId="13098" xr:uid="{00000000-0005-0000-0000-000003350000}"/>
    <cellStyle name="Accent4 11 3" xfId="13099" xr:uid="{00000000-0005-0000-0000-000004350000}"/>
    <cellStyle name="Accent4 11 4" xfId="13100" xr:uid="{00000000-0005-0000-0000-000005350000}"/>
    <cellStyle name="Accent4 12" xfId="13101" xr:uid="{00000000-0005-0000-0000-000006350000}"/>
    <cellStyle name="Accent4 12 2" xfId="13102" xr:uid="{00000000-0005-0000-0000-000007350000}"/>
    <cellStyle name="Accent4 12 3" xfId="13103" xr:uid="{00000000-0005-0000-0000-000008350000}"/>
    <cellStyle name="Accent4 12 4" xfId="13104" xr:uid="{00000000-0005-0000-0000-000009350000}"/>
    <cellStyle name="Accent4 13" xfId="13105" xr:uid="{00000000-0005-0000-0000-00000A350000}"/>
    <cellStyle name="Accent4 13 2" xfId="13106" xr:uid="{00000000-0005-0000-0000-00000B350000}"/>
    <cellStyle name="Accent4 13 3" xfId="13107" xr:uid="{00000000-0005-0000-0000-00000C350000}"/>
    <cellStyle name="Accent4 13 4" xfId="13108" xr:uid="{00000000-0005-0000-0000-00000D350000}"/>
    <cellStyle name="Accent4 14" xfId="13109" xr:uid="{00000000-0005-0000-0000-00000E350000}"/>
    <cellStyle name="Accent4 14 2" xfId="13110" xr:uid="{00000000-0005-0000-0000-00000F350000}"/>
    <cellStyle name="Accent4 14 3" xfId="13111" xr:uid="{00000000-0005-0000-0000-000010350000}"/>
    <cellStyle name="Accent4 14 4" xfId="13112" xr:uid="{00000000-0005-0000-0000-000011350000}"/>
    <cellStyle name="Accent4 15" xfId="13113" xr:uid="{00000000-0005-0000-0000-000012350000}"/>
    <cellStyle name="Accent4 15 2" xfId="13114" xr:uid="{00000000-0005-0000-0000-000013350000}"/>
    <cellStyle name="Accent4 15 3" xfId="13115" xr:uid="{00000000-0005-0000-0000-000014350000}"/>
    <cellStyle name="Accent4 15 4" xfId="13116" xr:uid="{00000000-0005-0000-0000-000015350000}"/>
    <cellStyle name="Accent4 16" xfId="13117" xr:uid="{00000000-0005-0000-0000-000016350000}"/>
    <cellStyle name="Accent4 16 2" xfId="13118" xr:uid="{00000000-0005-0000-0000-000017350000}"/>
    <cellStyle name="Accent4 16 3" xfId="13119" xr:uid="{00000000-0005-0000-0000-000018350000}"/>
    <cellStyle name="Accent4 16 4" xfId="13120" xr:uid="{00000000-0005-0000-0000-000019350000}"/>
    <cellStyle name="Accent4 17" xfId="13121" xr:uid="{00000000-0005-0000-0000-00001A350000}"/>
    <cellStyle name="Accent4 17 2" xfId="13122" xr:uid="{00000000-0005-0000-0000-00001B350000}"/>
    <cellStyle name="Accent4 17 3" xfId="13123" xr:uid="{00000000-0005-0000-0000-00001C350000}"/>
    <cellStyle name="Accent4 17 4" xfId="13124" xr:uid="{00000000-0005-0000-0000-00001D350000}"/>
    <cellStyle name="Accent4 18" xfId="13125" xr:uid="{00000000-0005-0000-0000-00001E350000}"/>
    <cellStyle name="Accent4 18 2" xfId="13126" xr:uid="{00000000-0005-0000-0000-00001F350000}"/>
    <cellStyle name="Accent4 18 3" xfId="13127" xr:uid="{00000000-0005-0000-0000-000020350000}"/>
    <cellStyle name="Accent4 18 4" xfId="13128" xr:uid="{00000000-0005-0000-0000-000021350000}"/>
    <cellStyle name="Accent4 19" xfId="13129" xr:uid="{00000000-0005-0000-0000-000022350000}"/>
    <cellStyle name="Accent4 19 2" xfId="13130" xr:uid="{00000000-0005-0000-0000-000023350000}"/>
    <cellStyle name="Accent4 19 3" xfId="13131" xr:uid="{00000000-0005-0000-0000-000024350000}"/>
    <cellStyle name="Accent4 19 4" xfId="13132" xr:uid="{00000000-0005-0000-0000-000025350000}"/>
    <cellStyle name="Accent4 2" xfId="13133" xr:uid="{00000000-0005-0000-0000-000026350000}"/>
    <cellStyle name="Accent4 2 2" xfId="13134" xr:uid="{00000000-0005-0000-0000-000027350000}"/>
    <cellStyle name="Accent4 2 2 2" xfId="13135" xr:uid="{00000000-0005-0000-0000-000028350000}"/>
    <cellStyle name="Accent4 2 2 3" xfId="13136" xr:uid="{00000000-0005-0000-0000-000029350000}"/>
    <cellStyle name="Accent4 2 2 4" xfId="13137" xr:uid="{00000000-0005-0000-0000-00002A350000}"/>
    <cellStyle name="Accent4 2 3" xfId="13138" xr:uid="{00000000-0005-0000-0000-00002B350000}"/>
    <cellStyle name="Accent4 2 3 2" xfId="13139" xr:uid="{00000000-0005-0000-0000-00002C350000}"/>
    <cellStyle name="Accent4 2 3 3" xfId="13140" xr:uid="{00000000-0005-0000-0000-00002D350000}"/>
    <cellStyle name="Accent4 2 3 4" xfId="13141" xr:uid="{00000000-0005-0000-0000-00002E350000}"/>
    <cellStyle name="Accent4 2 4" xfId="13142" xr:uid="{00000000-0005-0000-0000-00002F350000}"/>
    <cellStyle name="Accent4 2 4 2" xfId="13143" xr:uid="{00000000-0005-0000-0000-000030350000}"/>
    <cellStyle name="Accent4 2 4 3" xfId="13144" xr:uid="{00000000-0005-0000-0000-000031350000}"/>
    <cellStyle name="Accent4 2 4 4" xfId="13145" xr:uid="{00000000-0005-0000-0000-000032350000}"/>
    <cellStyle name="Accent4 2 5" xfId="13146" xr:uid="{00000000-0005-0000-0000-000033350000}"/>
    <cellStyle name="Accent4 2 6" xfId="13147" xr:uid="{00000000-0005-0000-0000-000034350000}"/>
    <cellStyle name="Accent4 2 7" xfId="13148" xr:uid="{00000000-0005-0000-0000-000035350000}"/>
    <cellStyle name="Accent4 2 8" xfId="13149" xr:uid="{00000000-0005-0000-0000-000036350000}"/>
    <cellStyle name="Accent4 20" xfId="13150" xr:uid="{00000000-0005-0000-0000-000037350000}"/>
    <cellStyle name="Accent4 20 2" xfId="13151" xr:uid="{00000000-0005-0000-0000-000038350000}"/>
    <cellStyle name="Accent4 20 3" xfId="13152" xr:uid="{00000000-0005-0000-0000-000039350000}"/>
    <cellStyle name="Accent4 20 4" xfId="13153" xr:uid="{00000000-0005-0000-0000-00003A350000}"/>
    <cellStyle name="Accent4 20 5" xfId="13154" xr:uid="{00000000-0005-0000-0000-00003B350000}"/>
    <cellStyle name="Accent4 21" xfId="13155" xr:uid="{00000000-0005-0000-0000-00003C350000}"/>
    <cellStyle name="Accent4 21 2" xfId="13156" xr:uid="{00000000-0005-0000-0000-00003D350000}"/>
    <cellStyle name="Accent4 21 3" xfId="13157" xr:uid="{00000000-0005-0000-0000-00003E350000}"/>
    <cellStyle name="Accent4 21 4" xfId="13158" xr:uid="{00000000-0005-0000-0000-00003F350000}"/>
    <cellStyle name="Accent4 21 5" xfId="13159" xr:uid="{00000000-0005-0000-0000-000040350000}"/>
    <cellStyle name="Accent4 22" xfId="13160" xr:uid="{00000000-0005-0000-0000-000041350000}"/>
    <cellStyle name="Accent4 22 2" xfId="13161" xr:uid="{00000000-0005-0000-0000-000042350000}"/>
    <cellStyle name="Accent4 22 3" xfId="13162" xr:uid="{00000000-0005-0000-0000-000043350000}"/>
    <cellStyle name="Accent4 22 4" xfId="13163" xr:uid="{00000000-0005-0000-0000-000044350000}"/>
    <cellStyle name="Accent4 22 5" xfId="13164" xr:uid="{00000000-0005-0000-0000-000045350000}"/>
    <cellStyle name="Accent4 23" xfId="13165" xr:uid="{00000000-0005-0000-0000-000046350000}"/>
    <cellStyle name="Accent4 23 2" xfId="13166" xr:uid="{00000000-0005-0000-0000-000047350000}"/>
    <cellStyle name="Accent4 23 3" xfId="13167" xr:uid="{00000000-0005-0000-0000-000048350000}"/>
    <cellStyle name="Accent4 23 4" xfId="13168" xr:uid="{00000000-0005-0000-0000-000049350000}"/>
    <cellStyle name="Accent4 23 5" xfId="13169" xr:uid="{00000000-0005-0000-0000-00004A350000}"/>
    <cellStyle name="Accent4 24" xfId="13170" xr:uid="{00000000-0005-0000-0000-00004B350000}"/>
    <cellStyle name="Accent4 24 2" xfId="13171" xr:uid="{00000000-0005-0000-0000-00004C350000}"/>
    <cellStyle name="Accent4 24 3" xfId="13172" xr:uid="{00000000-0005-0000-0000-00004D350000}"/>
    <cellStyle name="Accent4 24 4" xfId="13173" xr:uid="{00000000-0005-0000-0000-00004E350000}"/>
    <cellStyle name="Accent4 24 5" xfId="13174" xr:uid="{00000000-0005-0000-0000-00004F350000}"/>
    <cellStyle name="Accent4 25" xfId="13175" xr:uid="{00000000-0005-0000-0000-000050350000}"/>
    <cellStyle name="Accent4 25 2" xfId="13176" xr:uid="{00000000-0005-0000-0000-000051350000}"/>
    <cellStyle name="Accent4 25 3" xfId="13177" xr:uid="{00000000-0005-0000-0000-000052350000}"/>
    <cellStyle name="Accent4 25 4" xfId="13178" xr:uid="{00000000-0005-0000-0000-000053350000}"/>
    <cellStyle name="Accent4 25 5" xfId="13179" xr:uid="{00000000-0005-0000-0000-000054350000}"/>
    <cellStyle name="Accent4 26" xfId="13180" xr:uid="{00000000-0005-0000-0000-000055350000}"/>
    <cellStyle name="Accent4 26 2" xfId="13181" xr:uid="{00000000-0005-0000-0000-000056350000}"/>
    <cellStyle name="Accent4 26 3" xfId="13182" xr:uid="{00000000-0005-0000-0000-000057350000}"/>
    <cellStyle name="Accent4 26 4" xfId="13183" xr:uid="{00000000-0005-0000-0000-000058350000}"/>
    <cellStyle name="Accent4 26 5" xfId="13184" xr:uid="{00000000-0005-0000-0000-000059350000}"/>
    <cellStyle name="Accent4 27" xfId="13185" xr:uid="{00000000-0005-0000-0000-00005A350000}"/>
    <cellStyle name="Accent4 27 2" xfId="13186" xr:uid="{00000000-0005-0000-0000-00005B350000}"/>
    <cellStyle name="Accent4 27 3" xfId="13187" xr:uid="{00000000-0005-0000-0000-00005C350000}"/>
    <cellStyle name="Accent4 27 4" xfId="13188" xr:uid="{00000000-0005-0000-0000-00005D350000}"/>
    <cellStyle name="Accent4 27 5" xfId="13189" xr:uid="{00000000-0005-0000-0000-00005E350000}"/>
    <cellStyle name="Accent4 28" xfId="13190" xr:uid="{00000000-0005-0000-0000-00005F350000}"/>
    <cellStyle name="Accent4 28 2" xfId="13191" xr:uid="{00000000-0005-0000-0000-000060350000}"/>
    <cellStyle name="Accent4 28 3" xfId="13192" xr:uid="{00000000-0005-0000-0000-000061350000}"/>
    <cellStyle name="Accent4 28 4" xfId="13193" xr:uid="{00000000-0005-0000-0000-000062350000}"/>
    <cellStyle name="Accent4 29" xfId="13194" xr:uid="{00000000-0005-0000-0000-000063350000}"/>
    <cellStyle name="Accent4 29 2" xfId="13195" xr:uid="{00000000-0005-0000-0000-000064350000}"/>
    <cellStyle name="Accent4 29 3" xfId="13196" xr:uid="{00000000-0005-0000-0000-000065350000}"/>
    <cellStyle name="Accent4 29 4" xfId="13197" xr:uid="{00000000-0005-0000-0000-000066350000}"/>
    <cellStyle name="Accent4 3" xfId="13198" xr:uid="{00000000-0005-0000-0000-000067350000}"/>
    <cellStyle name="Accent4 3 2" xfId="13199" xr:uid="{00000000-0005-0000-0000-000068350000}"/>
    <cellStyle name="Accent4 3 2 2" xfId="13200" xr:uid="{00000000-0005-0000-0000-000069350000}"/>
    <cellStyle name="Accent4 3 2 3" xfId="13201" xr:uid="{00000000-0005-0000-0000-00006A350000}"/>
    <cellStyle name="Accent4 3 2 4" xfId="13202" xr:uid="{00000000-0005-0000-0000-00006B350000}"/>
    <cellStyle name="Accent4 3 3" xfId="13203" xr:uid="{00000000-0005-0000-0000-00006C350000}"/>
    <cellStyle name="Accent4 3 3 2" xfId="13204" xr:uid="{00000000-0005-0000-0000-00006D350000}"/>
    <cellStyle name="Accent4 3 3 3" xfId="13205" xr:uid="{00000000-0005-0000-0000-00006E350000}"/>
    <cellStyle name="Accent4 3 3 4" xfId="13206" xr:uid="{00000000-0005-0000-0000-00006F350000}"/>
    <cellStyle name="Accent4 3 4" xfId="13207" xr:uid="{00000000-0005-0000-0000-000070350000}"/>
    <cellStyle name="Accent4 3 4 2" xfId="13208" xr:uid="{00000000-0005-0000-0000-000071350000}"/>
    <cellStyle name="Accent4 3 4 3" xfId="13209" xr:uid="{00000000-0005-0000-0000-000072350000}"/>
    <cellStyle name="Accent4 3 4 4" xfId="13210" xr:uid="{00000000-0005-0000-0000-000073350000}"/>
    <cellStyle name="Accent4 3 5" xfId="13211" xr:uid="{00000000-0005-0000-0000-000074350000}"/>
    <cellStyle name="Accent4 3 6" xfId="13212" xr:uid="{00000000-0005-0000-0000-000075350000}"/>
    <cellStyle name="Accent4 3 7" xfId="13213" xr:uid="{00000000-0005-0000-0000-000076350000}"/>
    <cellStyle name="Accent4 3 8" xfId="13214" xr:uid="{00000000-0005-0000-0000-000077350000}"/>
    <cellStyle name="Accent4 30" xfId="13215" xr:uid="{00000000-0005-0000-0000-000078350000}"/>
    <cellStyle name="Accent4 31" xfId="13216" xr:uid="{00000000-0005-0000-0000-000079350000}"/>
    <cellStyle name="Accent4 32" xfId="13217" xr:uid="{00000000-0005-0000-0000-00007A350000}"/>
    <cellStyle name="Accent4 33" xfId="13218" xr:uid="{00000000-0005-0000-0000-00007B350000}"/>
    <cellStyle name="Accent4 34" xfId="13219" xr:uid="{00000000-0005-0000-0000-00007C350000}"/>
    <cellStyle name="Accent4 35" xfId="13220" xr:uid="{00000000-0005-0000-0000-00007D350000}"/>
    <cellStyle name="Accent4 36" xfId="13221" xr:uid="{00000000-0005-0000-0000-00007E350000}"/>
    <cellStyle name="Accent4 37" xfId="13222" xr:uid="{00000000-0005-0000-0000-00007F350000}"/>
    <cellStyle name="Accent4 38" xfId="13223" xr:uid="{00000000-0005-0000-0000-000080350000}"/>
    <cellStyle name="Accent4 39" xfId="13224" xr:uid="{00000000-0005-0000-0000-000081350000}"/>
    <cellStyle name="Accent4 4" xfId="13225" xr:uid="{00000000-0005-0000-0000-000082350000}"/>
    <cellStyle name="Accent4 4 2" xfId="13226" xr:uid="{00000000-0005-0000-0000-000083350000}"/>
    <cellStyle name="Accent4 4 3" xfId="13227" xr:uid="{00000000-0005-0000-0000-000084350000}"/>
    <cellStyle name="Accent4 4 4" xfId="13228" xr:uid="{00000000-0005-0000-0000-000085350000}"/>
    <cellStyle name="Accent4 4 5" xfId="13229" xr:uid="{00000000-0005-0000-0000-000086350000}"/>
    <cellStyle name="Accent4 4 6" xfId="13230" xr:uid="{00000000-0005-0000-0000-000087350000}"/>
    <cellStyle name="Accent4 5" xfId="13231" xr:uid="{00000000-0005-0000-0000-000088350000}"/>
    <cellStyle name="Accent4 5 2" xfId="13232" xr:uid="{00000000-0005-0000-0000-000089350000}"/>
    <cellStyle name="Accent4 5 3" xfId="13233" xr:uid="{00000000-0005-0000-0000-00008A350000}"/>
    <cellStyle name="Accent4 5 4" xfId="13234" xr:uid="{00000000-0005-0000-0000-00008B350000}"/>
    <cellStyle name="Accent4 5 5" xfId="13235" xr:uid="{00000000-0005-0000-0000-00008C350000}"/>
    <cellStyle name="Accent4 5 6" xfId="13236" xr:uid="{00000000-0005-0000-0000-00008D350000}"/>
    <cellStyle name="Accent4 6" xfId="13237" xr:uid="{00000000-0005-0000-0000-00008E350000}"/>
    <cellStyle name="Accent4 6 2" xfId="13238" xr:uid="{00000000-0005-0000-0000-00008F350000}"/>
    <cellStyle name="Accent4 6 3" xfId="13239" xr:uid="{00000000-0005-0000-0000-000090350000}"/>
    <cellStyle name="Accent4 6 4" xfId="13240" xr:uid="{00000000-0005-0000-0000-000091350000}"/>
    <cellStyle name="Accent4 6 5" xfId="13241" xr:uid="{00000000-0005-0000-0000-000092350000}"/>
    <cellStyle name="Accent4 6 6" xfId="13242" xr:uid="{00000000-0005-0000-0000-000093350000}"/>
    <cellStyle name="Accent4 7" xfId="13243" xr:uid="{00000000-0005-0000-0000-000094350000}"/>
    <cellStyle name="Accent4 7 2" xfId="13244" xr:uid="{00000000-0005-0000-0000-000095350000}"/>
    <cellStyle name="Accent4 7 3" xfId="13245" xr:uid="{00000000-0005-0000-0000-000096350000}"/>
    <cellStyle name="Accent4 7 4" xfId="13246" xr:uid="{00000000-0005-0000-0000-000097350000}"/>
    <cellStyle name="Accent4 7 5" xfId="13247" xr:uid="{00000000-0005-0000-0000-000098350000}"/>
    <cellStyle name="Accent4 7 6" xfId="13248" xr:uid="{00000000-0005-0000-0000-000099350000}"/>
    <cellStyle name="Accent4 8" xfId="13249" xr:uid="{00000000-0005-0000-0000-00009A350000}"/>
    <cellStyle name="Accent4 8 2" xfId="13250" xr:uid="{00000000-0005-0000-0000-00009B350000}"/>
    <cellStyle name="Accent4 8 3" xfId="13251" xr:uid="{00000000-0005-0000-0000-00009C350000}"/>
    <cellStyle name="Accent4 8 4" xfId="13252" xr:uid="{00000000-0005-0000-0000-00009D350000}"/>
    <cellStyle name="Accent4 8 5" xfId="13253" xr:uid="{00000000-0005-0000-0000-00009E350000}"/>
    <cellStyle name="Accent4 8 6" xfId="13254" xr:uid="{00000000-0005-0000-0000-00009F350000}"/>
    <cellStyle name="Accent4 9" xfId="13255" xr:uid="{00000000-0005-0000-0000-0000A0350000}"/>
    <cellStyle name="Accent4 9 2" xfId="13256" xr:uid="{00000000-0005-0000-0000-0000A1350000}"/>
    <cellStyle name="Accent4 9 3" xfId="13257" xr:uid="{00000000-0005-0000-0000-0000A2350000}"/>
    <cellStyle name="Accent4 9 4" xfId="13258" xr:uid="{00000000-0005-0000-0000-0000A3350000}"/>
    <cellStyle name="Accent5 - 20%" xfId="13259" xr:uid="{00000000-0005-0000-0000-0000A4350000}"/>
    <cellStyle name="Accent5 - 20% 2" xfId="13260" xr:uid="{00000000-0005-0000-0000-0000A5350000}"/>
    <cellStyle name="Accent5 - 20% 3" xfId="13261" xr:uid="{00000000-0005-0000-0000-0000A6350000}"/>
    <cellStyle name="Accent5 - 20% 4" xfId="13262" xr:uid="{00000000-0005-0000-0000-0000A7350000}"/>
    <cellStyle name="Accent5 - 20% 5" xfId="13263" xr:uid="{00000000-0005-0000-0000-0000A8350000}"/>
    <cellStyle name="Accent5 - 40%" xfId="13264" xr:uid="{00000000-0005-0000-0000-0000A9350000}"/>
    <cellStyle name="Accent5 - 40% 2" xfId="13265" xr:uid="{00000000-0005-0000-0000-0000AA350000}"/>
    <cellStyle name="Accent5 - 40% 3" xfId="13266" xr:uid="{00000000-0005-0000-0000-0000AB350000}"/>
    <cellStyle name="Accent5 - 40% 4" xfId="13267" xr:uid="{00000000-0005-0000-0000-0000AC350000}"/>
    <cellStyle name="Accent5 - 40% 5" xfId="13268" xr:uid="{00000000-0005-0000-0000-0000AD350000}"/>
    <cellStyle name="Accent5 - 60%" xfId="13269" xr:uid="{00000000-0005-0000-0000-0000AE350000}"/>
    <cellStyle name="Accent5 - 60% 2" xfId="13270" xr:uid="{00000000-0005-0000-0000-0000AF350000}"/>
    <cellStyle name="Accent5 - 60% 3" xfId="13271" xr:uid="{00000000-0005-0000-0000-0000B0350000}"/>
    <cellStyle name="Accent5 - 60% 4" xfId="13272" xr:uid="{00000000-0005-0000-0000-0000B1350000}"/>
    <cellStyle name="Accent5 - 60% 5" xfId="13273" xr:uid="{00000000-0005-0000-0000-0000B2350000}"/>
    <cellStyle name="Accent5 10" xfId="13274" xr:uid="{00000000-0005-0000-0000-0000B3350000}"/>
    <cellStyle name="Accent5 10 2" xfId="13275" xr:uid="{00000000-0005-0000-0000-0000B4350000}"/>
    <cellStyle name="Accent5 10 3" xfId="13276" xr:uid="{00000000-0005-0000-0000-0000B5350000}"/>
    <cellStyle name="Accent5 10 4" xfId="13277" xr:uid="{00000000-0005-0000-0000-0000B6350000}"/>
    <cellStyle name="Accent5 11" xfId="13278" xr:uid="{00000000-0005-0000-0000-0000B7350000}"/>
    <cellStyle name="Accent5 11 2" xfId="13279" xr:uid="{00000000-0005-0000-0000-0000B8350000}"/>
    <cellStyle name="Accent5 11 3" xfId="13280" xr:uid="{00000000-0005-0000-0000-0000B9350000}"/>
    <cellStyle name="Accent5 11 4" xfId="13281" xr:uid="{00000000-0005-0000-0000-0000BA350000}"/>
    <cellStyle name="Accent5 12" xfId="13282" xr:uid="{00000000-0005-0000-0000-0000BB350000}"/>
    <cellStyle name="Accent5 12 2" xfId="13283" xr:uid="{00000000-0005-0000-0000-0000BC350000}"/>
    <cellStyle name="Accent5 12 3" xfId="13284" xr:uid="{00000000-0005-0000-0000-0000BD350000}"/>
    <cellStyle name="Accent5 12 4" xfId="13285" xr:uid="{00000000-0005-0000-0000-0000BE350000}"/>
    <cellStyle name="Accent5 13" xfId="13286" xr:uid="{00000000-0005-0000-0000-0000BF350000}"/>
    <cellStyle name="Accent5 13 2" xfId="13287" xr:uid="{00000000-0005-0000-0000-0000C0350000}"/>
    <cellStyle name="Accent5 13 3" xfId="13288" xr:uid="{00000000-0005-0000-0000-0000C1350000}"/>
    <cellStyle name="Accent5 13 4" xfId="13289" xr:uid="{00000000-0005-0000-0000-0000C2350000}"/>
    <cellStyle name="Accent5 14" xfId="13290" xr:uid="{00000000-0005-0000-0000-0000C3350000}"/>
    <cellStyle name="Accent5 14 2" xfId="13291" xr:uid="{00000000-0005-0000-0000-0000C4350000}"/>
    <cellStyle name="Accent5 14 3" xfId="13292" xr:uid="{00000000-0005-0000-0000-0000C5350000}"/>
    <cellStyle name="Accent5 14 4" xfId="13293" xr:uid="{00000000-0005-0000-0000-0000C6350000}"/>
    <cellStyle name="Accent5 15" xfId="13294" xr:uid="{00000000-0005-0000-0000-0000C7350000}"/>
    <cellStyle name="Accent5 15 2" xfId="13295" xr:uid="{00000000-0005-0000-0000-0000C8350000}"/>
    <cellStyle name="Accent5 15 3" xfId="13296" xr:uid="{00000000-0005-0000-0000-0000C9350000}"/>
    <cellStyle name="Accent5 15 4" xfId="13297" xr:uid="{00000000-0005-0000-0000-0000CA350000}"/>
    <cellStyle name="Accent5 16" xfId="13298" xr:uid="{00000000-0005-0000-0000-0000CB350000}"/>
    <cellStyle name="Accent5 16 2" xfId="13299" xr:uid="{00000000-0005-0000-0000-0000CC350000}"/>
    <cellStyle name="Accent5 16 3" xfId="13300" xr:uid="{00000000-0005-0000-0000-0000CD350000}"/>
    <cellStyle name="Accent5 16 4" xfId="13301" xr:uid="{00000000-0005-0000-0000-0000CE350000}"/>
    <cellStyle name="Accent5 17" xfId="13302" xr:uid="{00000000-0005-0000-0000-0000CF350000}"/>
    <cellStyle name="Accent5 17 2" xfId="13303" xr:uid="{00000000-0005-0000-0000-0000D0350000}"/>
    <cellStyle name="Accent5 17 3" xfId="13304" xr:uid="{00000000-0005-0000-0000-0000D1350000}"/>
    <cellStyle name="Accent5 17 4" xfId="13305" xr:uid="{00000000-0005-0000-0000-0000D2350000}"/>
    <cellStyle name="Accent5 18" xfId="13306" xr:uid="{00000000-0005-0000-0000-0000D3350000}"/>
    <cellStyle name="Accent5 18 2" xfId="13307" xr:uid="{00000000-0005-0000-0000-0000D4350000}"/>
    <cellStyle name="Accent5 18 3" xfId="13308" xr:uid="{00000000-0005-0000-0000-0000D5350000}"/>
    <cellStyle name="Accent5 18 4" xfId="13309" xr:uid="{00000000-0005-0000-0000-0000D6350000}"/>
    <cellStyle name="Accent5 19" xfId="13310" xr:uid="{00000000-0005-0000-0000-0000D7350000}"/>
    <cellStyle name="Accent5 19 2" xfId="13311" xr:uid="{00000000-0005-0000-0000-0000D8350000}"/>
    <cellStyle name="Accent5 19 3" xfId="13312" xr:uid="{00000000-0005-0000-0000-0000D9350000}"/>
    <cellStyle name="Accent5 19 4" xfId="13313" xr:uid="{00000000-0005-0000-0000-0000DA350000}"/>
    <cellStyle name="Accent5 2" xfId="13314" xr:uid="{00000000-0005-0000-0000-0000DB350000}"/>
    <cellStyle name="Accent5 2 2" xfId="13315" xr:uid="{00000000-0005-0000-0000-0000DC350000}"/>
    <cellStyle name="Accent5 2 2 2" xfId="13316" xr:uid="{00000000-0005-0000-0000-0000DD350000}"/>
    <cellStyle name="Accent5 2 2 3" xfId="13317" xr:uid="{00000000-0005-0000-0000-0000DE350000}"/>
    <cellStyle name="Accent5 2 2 4" xfId="13318" xr:uid="{00000000-0005-0000-0000-0000DF350000}"/>
    <cellStyle name="Accent5 2 3" xfId="13319" xr:uid="{00000000-0005-0000-0000-0000E0350000}"/>
    <cellStyle name="Accent5 2 3 2" xfId="13320" xr:uid="{00000000-0005-0000-0000-0000E1350000}"/>
    <cellStyle name="Accent5 2 3 3" xfId="13321" xr:uid="{00000000-0005-0000-0000-0000E2350000}"/>
    <cellStyle name="Accent5 2 3 4" xfId="13322" xr:uid="{00000000-0005-0000-0000-0000E3350000}"/>
    <cellStyle name="Accent5 2 4" xfId="13323" xr:uid="{00000000-0005-0000-0000-0000E4350000}"/>
    <cellStyle name="Accent5 2 4 2" xfId="13324" xr:uid="{00000000-0005-0000-0000-0000E5350000}"/>
    <cellStyle name="Accent5 2 4 3" xfId="13325" xr:uid="{00000000-0005-0000-0000-0000E6350000}"/>
    <cellStyle name="Accent5 2 4 4" xfId="13326" xr:uid="{00000000-0005-0000-0000-0000E7350000}"/>
    <cellStyle name="Accent5 2 5" xfId="13327" xr:uid="{00000000-0005-0000-0000-0000E8350000}"/>
    <cellStyle name="Accent5 2 6" xfId="13328" xr:uid="{00000000-0005-0000-0000-0000E9350000}"/>
    <cellStyle name="Accent5 2 7" xfId="13329" xr:uid="{00000000-0005-0000-0000-0000EA350000}"/>
    <cellStyle name="Accent5 2 8" xfId="13330" xr:uid="{00000000-0005-0000-0000-0000EB350000}"/>
    <cellStyle name="Accent5 20" xfId="13331" xr:uid="{00000000-0005-0000-0000-0000EC350000}"/>
    <cellStyle name="Accent5 20 2" xfId="13332" xr:uid="{00000000-0005-0000-0000-0000ED350000}"/>
    <cellStyle name="Accent5 20 3" xfId="13333" xr:uid="{00000000-0005-0000-0000-0000EE350000}"/>
    <cellStyle name="Accent5 20 4" xfId="13334" xr:uid="{00000000-0005-0000-0000-0000EF350000}"/>
    <cellStyle name="Accent5 20 5" xfId="13335" xr:uid="{00000000-0005-0000-0000-0000F0350000}"/>
    <cellStyle name="Accent5 21" xfId="13336" xr:uid="{00000000-0005-0000-0000-0000F1350000}"/>
    <cellStyle name="Accent5 21 2" xfId="13337" xr:uid="{00000000-0005-0000-0000-0000F2350000}"/>
    <cellStyle name="Accent5 21 3" xfId="13338" xr:uid="{00000000-0005-0000-0000-0000F3350000}"/>
    <cellStyle name="Accent5 21 4" xfId="13339" xr:uid="{00000000-0005-0000-0000-0000F4350000}"/>
    <cellStyle name="Accent5 21 5" xfId="13340" xr:uid="{00000000-0005-0000-0000-0000F5350000}"/>
    <cellStyle name="Accent5 22" xfId="13341" xr:uid="{00000000-0005-0000-0000-0000F6350000}"/>
    <cellStyle name="Accent5 22 2" xfId="13342" xr:uid="{00000000-0005-0000-0000-0000F7350000}"/>
    <cellStyle name="Accent5 22 3" xfId="13343" xr:uid="{00000000-0005-0000-0000-0000F8350000}"/>
    <cellStyle name="Accent5 22 4" xfId="13344" xr:uid="{00000000-0005-0000-0000-0000F9350000}"/>
    <cellStyle name="Accent5 22 5" xfId="13345" xr:uid="{00000000-0005-0000-0000-0000FA350000}"/>
    <cellStyle name="Accent5 23" xfId="13346" xr:uid="{00000000-0005-0000-0000-0000FB350000}"/>
    <cellStyle name="Accent5 23 2" xfId="13347" xr:uid="{00000000-0005-0000-0000-0000FC350000}"/>
    <cellStyle name="Accent5 23 3" xfId="13348" xr:uid="{00000000-0005-0000-0000-0000FD350000}"/>
    <cellStyle name="Accent5 23 4" xfId="13349" xr:uid="{00000000-0005-0000-0000-0000FE350000}"/>
    <cellStyle name="Accent5 23 5" xfId="13350" xr:uid="{00000000-0005-0000-0000-0000FF350000}"/>
    <cellStyle name="Accent5 24" xfId="13351" xr:uid="{00000000-0005-0000-0000-000000360000}"/>
    <cellStyle name="Accent5 24 2" xfId="13352" xr:uid="{00000000-0005-0000-0000-000001360000}"/>
    <cellStyle name="Accent5 24 3" xfId="13353" xr:uid="{00000000-0005-0000-0000-000002360000}"/>
    <cellStyle name="Accent5 24 4" xfId="13354" xr:uid="{00000000-0005-0000-0000-000003360000}"/>
    <cellStyle name="Accent5 24 5" xfId="13355" xr:uid="{00000000-0005-0000-0000-000004360000}"/>
    <cellStyle name="Accent5 25" xfId="13356" xr:uid="{00000000-0005-0000-0000-000005360000}"/>
    <cellStyle name="Accent5 25 2" xfId="13357" xr:uid="{00000000-0005-0000-0000-000006360000}"/>
    <cellStyle name="Accent5 25 3" xfId="13358" xr:uid="{00000000-0005-0000-0000-000007360000}"/>
    <cellStyle name="Accent5 25 4" xfId="13359" xr:uid="{00000000-0005-0000-0000-000008360000}"/>
    <cellStyle name="Accent5 25 5" xfId="13360" xr:uid="{00000000-0005-0000-0000-000009360000}"/>
    <cellStyle name="Accent5 26" xfId="13361" xr:uid="{00000000-0005-0000-0000-00000A360000}"/>
    <cellStyle name="Accent5 26 2" xfId="13362" xr:uid="{00000000-0005-0000-0000-00000B360000}"/>
    <cellStyle name="Accent5 26 3" xfId="13363" xr:uid="{00000000-0005-0000-0000-00000C360000}"/>
    <cellStyle name="Accent5 26 4" xfId="13364" xr:uid="{00000000-0005-0000-0000-00000D360000}"/>
    <cellStyle name="Accent5 26 5" xfId="13365" xr:uid="{00000000-0005-0000-0000-00000E360000}"/>
    <cellStyle name="Accent5 27" xfId="13366" xr:uid="{00000000-0005-0000-0000-00000F360000}"/>
    <cellStyle name="Accent5 27 2" xfId="13367" xr:uid="{00000000-0005-0000-0000-000010360000}"/>
    <cellStyle name="Accent5 27 3" xfId="13368" xr:uid="{00000000-0005-0000-0000-000011360000}"/>
    <cellStyle name="Accent5 27 4" xfId="13369" xr:uid="{00000000-0005-0000-0000-000012360000}"/>
    <cellStyle name="Accent5 27 5" xfId="13370" xr:uid="{00000000-0005-0000-0000-000013360000}"/>
    <cellStyle name="Accent5 28" xfId="13371" xr:uid="{00000000-0005-0000-0000-000014360000}"/>
    <cellStyle name="Accent5 28 2" xfId="13372" xr:uid="{00000000-0005-0000-0000-000015360000}"/>
    <cellStyle name="Accent5 28 3" xfId="13373" xr:uid="{00000000-0005-0000-0000-000016360000}"/>
    <cellStyle name="Accent5 28 4" xfId="13374" xr:uid="{00000000-0005-0000-0000-000017360000}"/>
    <cellStyle name="Accent5 29" xfId="13375" xr:uid="{00000000-0005-0000-0000-000018360000}"/>
    <cellStyle name="Accent5 29 2" xfId="13376" xr:uid="{00000000-0005-0000-0000-000019360000}"/>
    <cellStyle name="Accent5 29 3" xfId="13377" xr:uid="{00000000-0005-0000-0000-00001A360000}"/>
    <cellStyle name="Accent5 29 4" xfId="13378" xr:uid="{00000000-0005-0000-0000-00001B360000}"/>
    <cellStyle name="Accent5 3" xfId="13379" xr:uid="{00000000-0005-0000-0000-00001C360000}"/>
    <cellStyle name="Accent5 3 2" xfId="13380" xr:uid="{00000000-0005-0000-0000-00001D360000}"/>
    <cellStyle name="Accent5 3 2 2" xfId="13381" xr:uid="{00000000-0005-0000-0000-00001E360000}"/>
    <cellStyle name="Accent5 3 2 3" xfId="13382" xr:uid="{00000000-0005-0000-0000-00001F360000}"/>
    <cellStyle name="Accent5 3 2 4" xfId="13383" xr:uid="{00000000-0005-0000-0000-000020360000}"/>
    <cellStyle name="Accent5 3 3" xfId="13384" xr:uid="{00000000-0005-0000-0000-000021360000}"/>
    <cellStyle name="Accent5 3 3 2" xfId="13385" xr:uid="{00000000-0005-0000-0000-000022360000}"/>
    <cellStyle name="Accent5 3 3 3" xfId="13386" xr:uid="{00000000-0005-0000-0000-000023360000}"/>
    <cellStyle name="Accent5 3 3 4" xfId="13387" xr:uid="{00000000-0005-0000-0000-000024360000}"/>
    <cellStyle name="Accent5 3 4" xfId="13388" xr:uid="{00000000-0005-0000-0000-000025360000}"/>
    <cellStyle name="Accent5 3 4 2" xfId="13389" xr:uid="{00000000-0005-0000-0000-000026360000}"/>
    <cellStyle name="Accent5 3 4 3" xfId="13390" xr:uid="{00000000-0005-0000-0000-000027360000}"/>
    <cellStyle name="Accent5 3 4 4" xfId="13391" xr:uid="{00000000-0005-0000-0000-000028360000}"/>
    <cellStyle name="Accent5 3 5" xfId="13392" xr:uid="{00000000-0005-0000-0000-000029360000}"/>
    <cellStyle name="Accent5 3 6" xfId="13393" xr:uid="{00000000-0005-0000-0000-00002A360000}"/>
    <cellStyle name="Accent5 3 7" xfId="13394" xr:uid="{00000000-0005-0000-0000-00002B360000}"/>
    <cellStyle name="Accent5 3 8" xfId="13395" xr:uid="{00000000-0005-0000-0000-00002C360000}"/>
    <cellStyle name="Accent5 30" xfId="13396" xr:uid="{00000000-0005-0000-0000-00002D360000}"/>
    <cellStyle name="Accent5 31" xfId="13397" xr:uid="{00000000-0005-0000-0000-00002E360000}"/>
    <cellStyle name="Accent5 32" xfId="13398" xr:uid="{00000000-0005-0000-0000-00002F360000}"/>
    <cellStyle name="Accent5 33" xfId="13399" xr:uid="{00000000-0005-0000-0000-000030360000}"/>
    <cellStyle name="Accent5 34" xfId="13400" xr:uid="{00000000-0005-0000-0000-000031360000}"/>
    <cellStyle name="Accent5 35" xfId="13401" xr:uid="{00000000-0005-0000-0000-000032360000}"/>
    <cellStyle name="Accent5 36" xfId="13402" xr:uid="{00000000-0005-0000-0000-000033360000}"/>
    <cellStyle name="Accent5 37" xfId="13403" xr:uid="{00000000-0005-0000-0000-000034360000}"/>
    <cellStyle name="Accent5 38" xfId="13404" xr:uid="{00000000-0005-0000-0000-000035360000}"/>
    <cellStyle name="Accent5 39" xfId="13405" xr:uid="{00000000-0005-0000-0000-000036360000}"/>
    <cellStyle name="Accent5 4" xfId="13406" xr:uid="{00000000-0005-0000-0000-000037360000}"/>
    <cellStyle name="Accent5 4 2" xfId="13407" xr:uid="{00000000-0005-0000-0000-000038360000}"/>
    <cellStyle name="Accent5 4 3" xfId="13408" xr:uid="{00000000-0005-0000-0000-000039360000}"/>
    <cellStyle name="Accent5 4 4" xfId="13409" xr:uid="{00000000-0005-0000-0000-00003A360000}"/>
    <cellStyle name="Accent5 4 5" xfId="13410" xr:uid="{00000000-0005-0000-0000-00003B360000}"/>
    <cellStyle name="Accent5 5" xfId="13411" xr:uid="{00000000-0005-0000-0000-00003C360000}"/>
    <cellStyle name="Accent5 5 2" xfId="13412" xr:uid="{00000000-0005-0000-0000-00003D360000}"/>
    <cellStyle name="Accent5 5 3" xfId="13413" xr:uid="{00000000-0005-0000-0000-00003E360000}"/>
    <cellStyle name="Accent5 5 4" xfId="13414" xr:uid="{00000000-0005-0000-0000-00003F360000}"/>
    <cellStyle name="Accent5 5 5" xfId="13415" xr:uid="{00000000-0005-0000-0000-000040360000}"/>
    <cellStyle name="Accent5 6" xfId="13416" xr:uid="{00000000-0005-0000-0000-000041360000}"/>
    <cellStyle name="Accent5 6 2" xfId="13417" xr:uid="{00000000-0005-0000-0000-000042360000}"/>
    <cellStyle name="Accent5 6 3" xfId="13418" xr:uid="{00000000-0005-0000-0000-000043360000}"/>
    <cellStyle name="Accent5 6 4" xfId="13419" xr:uid="{00000000-0005-0000-0000-000044360000}"/>
    <cellStyle name="Accent5 6 5" xfId="13420" xr:uid="{00000000-0005-0000-0000-000045360000}"/>
    <cellStyle name="Accent5 7" xfId="13421" xr:uid="{00000000-0005-0000-0000-000046360000}"/>
    <cellStyle name="Accent5 7 2" xfId="13422" xr:uid="{00000000-0005-0000-0000-000047360000}"/>
    <cellStyle name="Accent5 7 3" xfId="13423" xr:uid="{00000000-0005-0000-0000-000048360000}"/>
    <cellStyle name="Accent5 7 4" xfId="13424" xr:uid="{00000000-0005-0000-0000-000049360000}"/>
    <cellStyle name="Accent5 7 5" xfId="13425" xr:uid="{00000000-0005-0000-0000-00004A360000}"/>
    <cellStyle name="Accent5 8" xfId="13426" xr:uid="{00000000-0005-0000-0000-00004B360000}"/>
    <cellStyle name="Accent5 8 2" xfId="13427" xr:uid="{00000000-0005-0000-0000-00004C360000}"/>
    <cellStyle name="Accent5 8 3" xfId="13428" xr:uid="{00000000-0005-0000-0000-00004D360000}"/>
    <cellStyle name="Accent5 8 4" xfId="13429" xr:uid="{00000000-0005-0000-0000-00004E360000}"/>
    <cellStyle name="Accent5 8 5" xfId="13430" xr:uid="{00000000-0005-0000-0000-00004F360000}"/>
    <cellStyle name="Accent5 9" xfId="13431" xr:uid="{00000000-0005-0000-0000-000050360000}"/>
    <cellStyle name="Accent5 9 2" xfId="13432" xr:uid="{00000000-0005-0000-0000-000051360000}"/>
    <cellStyle name="Accent5 9 3" xfId="13433" xr:uid="{00000000-0005-0000-0000-000052360000}"/>
    <cellStyle name="Accent5 9 4" xfId="13434" xr:uid="{00000000-0005-0000-0000-000053360000}"/>
    <cellStyle name="Accent6 - 20%" xfId="13435" xr:uid="{00000000-0005-0000-0000-000054360000}"/>
    <cellStyle name="Accent6 - 20% 2" xfId="13436" xr:uid="{00000000-0005-0000-0000-000055360000}"/>
    <cellStyle name="Accent6 - 20% 3" xfId="13437" xr:uid="{00000000-0005-0000-0000-000056360000}"/>
    <cellStyle name="Accent6 - 20% 4" xfId="13438" xr:uid="{00000000-0005-0000-0000-000057360000}"/>
    <cellStyle name="Accent6 - 20% 5" xfId="13439" xr:uid="{00000000-0005-0000-0000-000058360000}"/>
    <cellStyle name="Accent6 - 40%" xfId="13440" xr:uid="{00000000-0005-0000-0000-000059360000}"/>
    <cellStyle name="Accent6 - 40% 2" xfId="13441" xr:uid="{00000000-0005-0000-0000-00005A360000}"/>
    <cellStyle name="Accent6 - 40% 3" xfId="13442" xr:uid="{00000000-0005-0000-0000-00005B360000}"/>
    <cellStyle name="Accent6 - 40% 4" xfId="13443" xr:uid="{00000000-0005-0000-0000-00005C360000}"/>
    <cellStyle name="Accent6 - 40% 5" xfId="13444" xr:uid="{00000000-0005-0000-0000-00005D360000}"/>
    <cellStyle name="Accent6 - 60%" xfId="13445" xr:uid="{00000000-0005-0000-0000-00005E360000}"/>
    <cellStyle name="Accent6 - 60% 2" xfId="13446" xr:uid="{00000000-0005-0000-0000-00005F360000}"/>
    <cellStyle name="Accent6 - 60% 3" xfId="13447" xr:uid="{00000000-0005-0000-0000-000060360000}"/>
    <cellStyle name="Accent6 - 60% 4" xfId="13448" xr:uid="{00000000-0005-0000-0000-000061360000}"/>
    <cellStyle name="Accent6 - 60% 5" xfId="13449" xr:uid="{00000000-0005-0000-0000-000062360000}"/>
    <cellStyle name="Accent6 10" xfId="13450" xr:uid="{00000000-0005-0000-0000-000063360000}"/>
    <cellStyle name="Accent6 10 2" xfId="13451" xr:uid="{00000000-0005-0000-0000-000064360000}"/>
    <cellStyle name="Accent6 10 3" xfId="13452" xr:uid="{00000000-0005-0000-0000-000065360000}"/>
    <cellStyle name="Accent6 10 4" xfId="13453" xr:uid="{00000000-0005-0000-0000-000066360000}"/>
    <cellStyle name="Accent6 11" xfId="13454" xr:uid="{00000000-0005-0000-0000-000067360000}"/>
    <cellStyle name="Accent6 11 2" xfId="13455" xr:uid="{00000000-0005-0000-0000-000068360000}"/>
    <cellStyle name="Accent6 11 3" xfId="13456" xr:uid="{00000000-0005-0000-0000-000069360000}"/>
    <cellStyle name="Accent6 11 4" xfId="13457" xr:uid="{00000000-0005-0000-0000-00006A360000}"/>
    <cellStyle name="Accent6 12" xfId="13458" xr:uid="{00000000-0005-0000-0000-00006B360000}"/>
    <cellStyle name="Accent6 12 2" xfId="13459" xr:uid="{00000000-0005-0000-0000-00006C360000}"/>
    <cellStyle name="Accent6 12 3" xfId="13460" xr:uid="{00000000-0005-0000-0000-00006D360000}"/>
    <cellStyle name="Accent6 12 4" xfId="13461" xr:uid="{00000000-0005-0000-0000-00006E360000}"/>
    <cellStyle name="Accent6 13" xfId="13462" xr:uid="{00000000-0005-0000-0000-00006F360000}"/>
    <cellStyle name="Accent6 13 2" xfId="13463" xr:uid="{00000000-0005-0000-0000-000070360000}"/>
    <cellStyle name="Accent6 13 3" xfId="13464" xr:uid="{00000000-0005-0000-0000-000071360000}"/>
    <cellStyle name="Accent6 13 4" xfId="13465" xr:uid="{00000000-0005-0000-0000-000072360000}"/>
    <cellStyle name="Accent6 14" xfId="13466" xr:uid="{00000000-0005-0000-0000-000073360000}"/>
    <cellStyle name="Accent6 14 2" xfId="13467" xr:uid="{00000000-0005-0000-0000-000074360000}"/>
    <cellStyle name="Accent6 14 3" xfId="13468" xr:uid="{00000000-0005-0000-0000-000075360000}"/>
    <cellStyle name="Accent6 14 4" xfId="13469" xr:uid="{00000000-0005-0000-0000-000076360000}"/>
    <cellStyle name="Accent6 15" xfId="13470" xr:uid="{00000000-0005-0000-0000-000077360000}"/>
    <cellStyle name="Accent6 15 2" xfId="13471" xr:uid="{00000000-0005-0000-0000-000078360000}"/>
    <cellStyle name="Accent6 15 3" xfId="13472" xr:uid="{00000000-0005-0000-0000-000079360000}"/>
    <cellStyle name="Accent6 15 4" xfId="13473" xr:uid="{00000000-0005-0000-0000-00007A360000}"/>
    <cellStyle name="Accent6 16" xfId="13474" xr:uid="{00000000-0005-0000-0000-00007B360000}"/>
    <cellStyle name="Accent6 16 2" xfId="13475" xr:uid="{00000000-0005-0000-0000-00007C360000}"/>
    <cellStyle name="Accent6 16 3" xfId="13476" xr:uid="{00000000-0005-0000-0000-00007D360000}"/>
    <cellStyle name="Accent6 16 4" xfId="13477" xr:uid="{00000000-0005-0000-0000-00007E360000}"/>
    <cellStyle name="Accent6 17" xfId="13478" xr:uid="{00000000-0005-0000-0000-00007F360000}"/>
    <cellStyle name="Accent6 17 2" xfId="13479" xr:uid="{00000000-0005-0000-0000-000080360000}"/>
    <cellStyle name="Accent6 17 3" xfId="13480" xr:uid="{00000000-0005-0000-0000-000081360000}"/>
    <cellStyle name="Accent6 17 4" xfId="13481" xr:uid="{00000000-0005-0000-0000-000082360000}"/>
    <cellStyle name="Accent6 18" xfId="13482" xr:uid="{00000000-0005-0000-0000-000083360000}"/>
    <cellStyle name="Accent6 18 2" xfId="13483" xr:uid="{00000000-0005-0000-0000-000084360000}"/>
    <cellStyle name="Accent6 18 3" xfId="13484" xr:uid="{00000000-0005-0000-0000-000085360000}"/>
    <cellStyle name="Accent6 18 4" xfId="13485" xr:uid="{00000000-0005-0000-0000-000086360000}"/>
    <cellStyle name="Accent6 19" xfId="13486" xr:uid="{00000000-0005-0000-0000-000087360000}"/>
    <cellStyle name="Accent6 19 2" xfId="13487" xr:uid="{00000000-0005-0000-0000-000088360000}"/>
    <cellStyle name="Accent6 19 3" xfId="13488" xr:uid="{00000000-0005-0000-0000-000089360000}"/>
    <cellStyle name="Accent6 19 4" xfId="13489" xr:uid="{00000000-0005-0000-0000-00008A360000}"/>
    <cellStyle name="Accent6 2" xfId="13490" xr:uid="{00000000-0005-0000-0000-00008B360000}"/>
    <cellStyle name="Accent6 2 2" xfId="13491" xr:uid="{00000000-0005-0000-0000-00008C360000}"/>
    <cellStyle name="Accent6 2 2 2" xfId="13492" xr:uid="{00000000-0005-0000-0000-00008D360000}"/>
    <cellStyle name="Accent6 2 2 3" xfId="13493" xr:uid="{00000000-0005-0000-0000-00008E360000}"/>
    <cellStyle name="Accent6 2 2 4" xfId="13494" xr:uid="{00000000-0005-0000-0000-00008F360000}"/>
    <cellStyle name="Accent6 2 3" xfId="13495" xr:uid="{00000000-0005-0000-0000-000090360000}"/>
    <cellStyle name="Accent6 2 3 2" xfId="13496" xr:uid="{00000000-0005-0000-0000-000091360000}"/>
    <cellStyle name="Accent6 2 3 3" xfId="13497" xr:uid="{00000000-0005-0000-0000-000092360000}"/>
    <cellStyle name="Accent6 2 3 4" xfId="13498" xr:uid="{00000000-0005-0000-0000-000093360000}"/>
    <cellStyle name="Accent6 2 4" xfId="13499" xr:uid="{00000000-0005-0000-0000-000094360000}"/>
    <cellStyle name="Accent6 2 4 2" xfId="13500" xr:uid="{00000000-0005-0000-0000-000095360000}"/>
    <cellStyle name="Accent6 2 4 3" xfId="13501" xr:uid="{00000000-0005-0000-0000-000096360000}"/>
    <cellStyle name="Accent6 2 4 4" xfId="13502" xr:uid="{00000000-0005-0000-0000-000097360000}"/>
    <cellStyle name="Accent6 2 5" xfId="13503" xr:uid="{00000000-0005-0000-0000-000098360000}"/>
    <cellStyle name="Accent6 2 6" xfId="13504" xr:uid="{00000000-0005-0000-0000-000099360000}"/>
    <cellStyle name="Accent6 2 7" xfId="13505" xr:uid="{00000000-0005-0000-0000-00009A360000}"/>
    <cellStyle name="Accent6 2 8" xfId="13506" xr:uid="{00000000-0005-0000-0000-00009B360000}"/>
    <cellStyle name="Accent6 20" xfId="13507" xr:uid="{00000000-0005-0000-0000-00009C360000}"/>
    <cellStyle name="Accent6 20 2" xfId="13508" xr:uid="{00000000-0005-0000-0000-00009D360000}"/>
    <cellStyle name="Accent6 20 3" xfId="13509" xr:uid="{00000000-0005-0000-0000-00009E360000}"/>
    <cellStyle name="Accent6 20 4" xfId="13510" xr:uid="{00000000-0005-0000-0000-00009F360000}"/>
    <cellStyle name="Accent6 20 5" xfId="13511" xr:uid="{00000000-0005-0000-0000-0000A0360000}"/>
    <cellStyle name="Accent6 21" xfId="13512" xr:uid="{00000000-0005-0000-0000-0000A1360000}"/>
    <cellStyle name="Accent6 21 2" xfId="13513" xr:uid="{00000000-0005-0000-0000-0000A2360000}"/>
    <cellStyle name="Accent6 21 3" xfId="13514" xr:uid="{00000000-0005-0000-0000-0000A3360000}"/>
    <cellStyle name="Accent6 21 4" xfId="13515" xr:uid="{00000000-0005-0000-0000-0000A4360000}"/>
    <cellStyle name="Accent6 21 5" xfId="13516" xr:uid="{00000000-0005-0000-0000-0000A5360000}"/>
    <cellStyle name="Accent6 22" xfId="13517" xr:uid="{00000000-0005-0000-0000-0000A6360000}"/>
    <cellStyle name="Accent6 22 2" xfId="13518" xr:uid="{00000000-0005-0000-0000-0000A7360000}"/>
    <cellStyle name="Accent6 22 3" xfId="13519" xr:uid="{00000000-0005-0000-0000-0000A8360000}"/>
    <cellStyle name="Accent6 22 4" xfId="13520" xr:uid="{00000000-0005-0000-0000-0000A9360000}"/>
    <cellStyle name="Accent6 22 5" xfId="13521" xr:uid="{00000000-0005-0000-0000-0000AA360000}"/>
    <cellStyle name="Accent6 23" xfId="13522" xr:uid="{00000000-0005-0000-0000-0000AB360000}"/>
    <cellStyle name="Accent6 23 2" xfId="13523" xr:uid="{00000000-0005-0000-0000-0000AC360000}"/>
    <cellStyle name="Accent6 23 3" xfId="13524" xr:uid="{00000000-0005-0000-0000-0000AD360000}"/>
    <cellStyle name="Accent6 23 4" xfId="13525" xr:uid="{00000000-0005-0000-0000-0000AE360000}"/>
    <cellStyle name="Accent6 23 5" xfId="13526" xr:uid="{00000000-0005-0000-0000-0000AF360000}"/>
    <cellStyle name="Accent6 24" xfId="13527" xr:uid="{00000000-0005-0000-0000-0000B0360000}"/>
    <cellStyle name="Accent6 24 2" xfId="13528" xr:uid="{00000000-0005-0000-0000-0000B1360000}"/>
    <cellStyle name="Accent6 24 3" xfId="13529" xr:uid="{00000000-0005-0000-0000-0000B2360000}"/>
    <cellStyle name="Accent6 24 4" xfId="13530" xr:uid="{00000000-0005-0000-0000-0000B3360000}"/>
    <cellStyle name="Accent6 24 5" xfId="13531" xr:uid="{00000000-0005-0000-0000-0000B4360000}"/>
    <cellStyle name="Accent6 25" xfId="13532" xr:uid="{00000000-0005-0000-0000-0000B5360000}"/>
    <cellStyle name="Accent6 25 2" xfId="13533" xr:uid="{00000000-0005-0000-0000-0000B6360000}"/>
    <cellStyle name="Accent6 25 3" xfId="13534" xr:uid="{00000000-0005-0000-0000-0000B7360000}"/>
    <cellStyle name="Accent6 25 4" xfId="13535" xr:uid="{00000000-0005-0000-0000-0000B8360000}"/>
    <cellStyle name="Accent6 25 5" xfId="13536" xr:uid="{00000000-0005-0000-0000-0000B9360000}"/>
    <cellStyle name="Accent6 26" xfId="13537" xr:uid="{00000000-0005-0000-0000-0000BA360000}"/>
    <cellStyle name="Accent6 26 2" xfId="13538" xr:uid="{00000000-0005-0000-0000-0000BB360000}"/>
    <cellStyle name="Accent6 26 3" xfId="13539" xr:uid="{00000000-0005-0000-0000-0000BC360000}"/>
    <cellStyle name="Accent6 26 4" xfId="13540" xr:uid="{00000000-0005-0000-0000-0000BD360000}"/>
    <cellStyle name="Accent6 26 5" xfId="13541" xr:uid="{00000000-0005-0000-0000-0000BE360000}"/>
    <cellStyle name="Accent6 27" xfId="13542" xr:uid="{00000000-0005-0000-0000-0000BF360000}"/>
    <cellStyle name="Accent6 27 2" xfId="13543" xr:uid="{00000000-0005-0000-0000-0000C0360000}"/>
    <cellStyle name="Accent6 27 3" xfId="13544" xr:uid="{00000000-0005-0000-0000-0000C1360000}"/>
    <cellStyle name="Accent6 27 4" xfId="13545" xr:uid="{00000000-0005-0000-0000-0000C2360000}"/>
    <cellStyle name="Accent6 27 5" xfId="13546" xr:uid="{00000000-0005-0000-0000-0000C3360000}"/>
    <cellStyle name="Accent6 28" xfId="13547" xr:uid="{00000000-0005-0000-0000-0000C4360000}"/>
    <cellStyle name="Accent6 28 2" xfId="13548" xr:uid="{00000000-0005-0000-0000-0000C5360000}"/>
    <cellStyle name="Accent6 28 3" xfId="13549" xr:uid="{00000000-0005-0000-0000-0000C6360000}"/>
    <cellStyle name="Accent6 28 4" xfId="13550" xr:uid="{00000000-0005-0000-0000-0000C7360000}"/>
    <cellStyle name="Accent6 29" xfId="13551" xr:uid="{00000000-0005-0000-0000-0000C8360000}"/>
    <cellStyle name="Accent6 29 2" xfId="13552" xr:uid="{00000000-0005-0000-0000-0000C9360000}"/>
    <cellStyle name="Accent6 29 3" xfId="13553" xr:uid="{00000000-0005-0000-0000-0000CA360000}"/>
    <cellStyle name="Accent6 29 4" xfId="13554" xr:uid="{00000000-0005-0000-0000-0000CB360000}"/>
    <cellStyle name="Accent6 3" xfId="13555" xr:uid="{00000000-0005-0000-0000-0000CC360000}"/>
    <cellStyle name="Accent6 3 2" xfId="13556" xr:uid="{00000000-0005-0000-0000-0000CD360000}"/>
    <cellStyle name="Accent6 3 2 2" xfId="13557" xr:uid="{00000000-0005-0000-0000-0000CE360000}"/>
    <cellStyle name="Accent6 3 2 3" xfId="13558" xr:uid="{00000000-0005-0000-0000-0000CF360000}"/>
    <cellStyle name="Accent6 3 2 4" xfId="13559" xr:uid="{00000000-0005-0000-0000-0000D0360000}"/>
    <cellStyle name="Accent6 3 3" xfId="13560" xr:uid="{00000000-0005-0000-0000-0000D1360000}"/>
    <cellStyle name="Accent6 3 3 2" xfId="13561" xr:uid="{00000000-0005-0000-0000-0000D2360000}"/>
    <cellStyle name="Accent6 3 3 3" xfId="13562" xr:uid="{00000000-0005-0000-0000-0000D3360000}"/>
    <cellStyle name="Accent6 3 3 4" xfId="13563" xr:uid="{00000000-0005-0000-0000-0000D4360000}"/>
    <cellStyle name="Accent6 3 4" xfId="13564" xr:uid="{00000000-0005-0000-0000-0000D5360000}"/>
    <cellStyle name="Accent6 3 4 2" xfId="13565" xr:uid="{00000000-0005-0000-0000-0000D6360000}"/>
    <cellStyle name="Accent6 3 4 3" xfId="13566" xr:uid="{00000000-0005-0000-0000-0000D7360000}"/>
    <cellStyle name="Accent6 3 4 4" xfId="13567" xr:uid="{00000000-0005-0000-0000-0000D8360000}"/>
    <cellStyle name="Accent6 3 5" xfId="13568" xr:uid="{00000000-0005-0000-0000-0000D9360000}"/>
    <cellStyle name="Accent6 3 6" xfId="13569" xr:uid="{00000000-0005-0000-0000-0000DA360000}"/>
    <cellStyle name="Accent6 3 7" xfId="13570" xr:uid="{00000000-0005-0000-0000-0000DB360000}"/>
    <cellStyle name="Accent6 3 8" xfId="13571" xr:uid="{00000000-0005-0000-0000-0000DC360000}"/>
    <cellStyle name="Accent6 30" xfId="13572" xr:uid="{00000000-0005-0000-0000-0000DD360000}"/>
    <cellStyle name="Accent6 31" xfId="13573" xr:uid="{00000000-0005-0000-0000-0000DE360000}"/>
    <cellStyle name="Accent6 32" xfId="13574" xr:uid="{00000000-0005-0000-0000-0000DF360000}"/>
    <cellStyle name="Accent6 33" xfId="13575" xr:uid="{00000000-0005-0000-0000-0000E0360000}"/>
    <cellStyle name="Accent6 34" xfId="13576" xr:uid="{00000000-0005-0000-0000-0000E1360000}"/>
    <cellStyle name="Accent6 35" xfId="13577" xr:uid="{00000000-0005-0000-0000-0000E2360000}"/>
    <cellStyle name="Accent6 36" xfId="13578" xr:uid="{00000000-0005-0000-0000-0000E3360000}"/>
    <cellStyle name="Accent6 37" xfId="13579" xr:uid="{00000000-0005-0000-0000-0000E4360000}"/>
    <cellStyle name="Accent6 38" xfId="13580" xr:uid="{00000000-0005-0000-0000-0000E5360000}"/>
    <cellStyle name="Accent6 39" xfId="13581" xr:uid="{00000000-0005-0000-0000-0000E6360000}"/>
    <cellStyle name="Accent6 4" xfId="13582" xr:uid="{00000000-0005-0000-0000-0000E7360000}"/>
    <cellStyle name="Accent6 4 2" xfId="13583" xr:uid="{00000000-0005-0000-0000-0000E8360000}"/>
    <cellStyle name="Accent6 4 3" xfId="13584" xr:uid="{00000000-0005-0000-0000-0000E9360000}"/>
    <cellStyle name="Accent6 4 4" xfId="13585" xr:uid="{00000000-0005-0000-0000-0000EA360000}"/>
    <cellStyle name="Accent6 4 5" xfId="13586" xr:uid="{00000000-0005-0000-0000-0000EB360000}"/>
    <cellStyle name="Accent6 4 6" xfId="13587" xr:uid="{00000000-0005-0000-0000-0000EC360000}"/>
    <cellStyle name="Accent6 5" xfId="13588" xr:uid="{00000000-0005-0000-0000-0000ED360000}"/>
    <cellStyle name="Accent6 5 2" xfId="13589" xr:uid="{00000000-0005-0000-0000-0000EE360000}"/>
    <cellStyle name="Accent6 5 3" xfId="13590" xr:uid="{00000000-0005-0000-0000-0000EF360000}"/>
    <cellStyle name="Accent6 5 4" xfId="13591" xr:uid="{00000000-0005-0000-0000-0000F0360000}"/>
    <cellStyle name="Accent6 5 5" xfId="13592" xr:uid="{00000000-0005-0000-0000-0000F1360000}"/>
    <cellStyle name="Accent6 5 6" xfId="13593" xr:uid="{00000000-0005-0000-0000-0000F2360000}"/>
    <cellStyle name="Accent6 6" xfId="13594" xr:uid="{00000000-0005-0000-0000-0000F3360000}"/>
    <cellStyle name="Accent6 6 2" xfId="13595" xr:uid="{00000000-0005-0000-0000-0000F4360000}"/>
    <cellStyle name="Accent6 6 3" xfId="13596" xr:uid="{00000000-0005-0000-0000-0000F5360000}"/>
    <cellStyle name="Accent6 6 4" xfId="13597" xr:uid="{00000000-0005-0000-0000-0000F6360000}"/>
    <cellStyle name="Accent6 6 5" xfId="13598" xr:uid="{00000000-0005-0000-0000-0000F7360000}"/>
    <cellStyle name="Accent6 6 6" xfId="13599" xr:uid="{00000000-0005-0000-0000-0000F8360000}"/>
    <cellStyle name="Accent6 7" xfId="13600" xr:uid="{00000000-0005-0000-0000-0000F9360000}"/>
    <cellStyle name="Accent6 7 2" xfId="13601" xr:uid="{00000000-0005-0000-0000-0000FA360000}"/>
    <cellStyle name="Accent6 7 3" xfId="13602" xr:uid="{00000000-0005-0000-0000-0000FB360000}"/>
    <cellStyle name="Accent6 7 4" xfId="13603" xr:uid="{00000000-0005-0000-0000-0000FC360000}"/>
    <cellStyle name="Accent6 7 5" xfId="13604" xr:uid="{00000000-0005-0000-0000-0000FD360000}"/>
    <cellStyle name="Accent6 7 6" xfId="13605" xr:uid="{00000000-0005-0000-0000-0000FE360000}"/>
    <cellStyle name="Accent6 8" xfId="13606" xr:uid="{00000000-0005-0000-0000-0000FF360000}"/>
    <cellStyle name="Accent6 8 2" xfId="13607" xr:uid="{00000000-0005-0000-0000-000000370000}"/>
    <cellStyle name="Accent6 8 3" xfId="13608" xr:uid="{00000000-0005-0000-0000-000001370000}"/>
    <cellStyle name="Accent6 8 4" xfId="13609" xr:uid="{00000000-0005-0000-0000-000002370000}"/>
    <cellStyle name="Accent6 8 5" xfId="13610" xr:uid="{00000000-0005-0000-0000-000003370000}"/>
    <cellStyle name="Accent6 8 6" xfId="13611" xr:uid="{00000000-0005-0000-0000-000004370000}"/>
    <cellStyle name="Accent6 9" xfId="13612" xr:uid="{00000000-0005-0000-0000-000005370000}"/>
    <cellStyle name="Accent6 9 2" xfId="13613" xr:uid="{00000000-0005-0000-0000-000006370000}"/>
    <cellStyle name="Accent6 9 3" xfId="13614" xr:uid="{00000000-0005-0000-0000-000007370000}"/>
    <cellStyle name="Accent6 9 4" xfId="13615" xr:uid="{00000000-0005-0000-0000-000008370000}"/>
    <cellStyle name="Accts" xfId="13616" xr:uid="{00000000-0005-0000-0000-000009370000}"/>
    <cellStyle name="Accts [0]" xfId="13617" xr:uid="{00000000-0005-0000-0000-00000A370000}"/>
    <cellStyle name="Accts [0] 2" xfId="13618" xr:uid="{00000000-0005-0000-0000-00000B370000}"/>
    <cellStyle name="Accts [0] 3" xfId="13619" xr:uid="{00000000-0005-0000-0000-00000C370000}"/>
    <cellStyle name="Accts [0] 4" xfId="13620" xr:uid="{00000000-0005-0000-0000-00000D370000}"/>
    <cellStyle name="Accts [0] 5" xfId="13621" xr:uid="{00000000-0005-0000-0000-00000E370000}"/>
    <cellStyle name="Accts [2]" xfId="13622" xr:uid="{00000000-0005-0000-0000-00000F370000}"/>
    <cellStyle name="Accts [2] 2" xfId="13623" xr:uid="{00000000-0005-0000-0000-000010370000}"/>
    <cellStyle name="Accts [2] 3" xfId="13624" xr:uid="{00000000-0005-0000-0000-000011370000}"/>
    <cellStyle name="Accts [2] 4" xfId="13625" xr:uid="{00000000-0005-0000-0000-000012370000}"/>
    <cellStyle name="Accts [2] 5" xfId="13626" xr:uid="{00000000-0005-0000-0000-000013370000}"/>
    <cellStyle name="Accts 10" xfId="13627" xr:uid="{00000000-0005-0000-0000-000014370000}"/>
    <cellStyle name="Accts 11" xfId="13628" xr:uid="{00000000-0005-0000-0000-000015370000}"/>
    <cellStyle name="Accts 12" xfId="13629" xr:uid="{00000000-0005-0000-0000-000016370000}"/>
    <cellStyle name="Accts 2" xfId="13630" xr:uid="{00000000-0005-0000-0000-000017370000}"/>
    <cellStyle name="Accts 3" xfId="13631" xr:uid="{00000000-0005-0000-0000-000018370000}"/>
    <cellStyle name="Accts 4" xfId="13632" xr:uid="{00000000-0005-0000-0000-000019370000}"/>
    <cellStyle name="Accts 5" xfId="13633" xr:uid="{00000000-0005-0000-0000-00001A370000}"/>
    <cellStyle name="Accts 6" xfId="13634" xr:uid="{00000000-0005-0000-0000-00001B370000}"/>
    <cellStyle name="Accts 7" xfId="13635" xr:uid="{00000000-0005-0000-0000-00001C370000}"/>
    <cellStyle name="Accts 8" xfId="13636" xr:uid="{00000000-0005-0000-0000-00001D370000}"/>
    <cellStyle name="Accts 9" xfId="13637" xr:uid="{00000000-0005-0000-0000-00001E370000}"/>
    <cellStyle name="Accts_090115 Red  Green Flags Dic 2k8" xfId="13638" xr:uid="{00000000-0005-0000-0000-00001F370000}"/>
    <cellStyle name="active" xfId="13639" xr:uid="{00000000-0005-0000-0000-000020370000}"/>
    <cellStyle name="active 2" xfId="13640" xr:uid="{00000000-0005-0000-0000-000021370000}"/>
    <cellStyle name="active 3" xfId="13641" xr:uid="{00000000-0005-0000-0000-000022370000}"/>
    <cellStyle name="active 4" xfId="13642" xr:uid="{00000000-0005-0000-0000-000023370000}"/>
    <cellStyle name="active 5" xfId="13643" xr:uid="{00000000-0005-0000-0000-000024370000}"/>
    <cellStyle name="Actual Date" xfId="13644" xr:uid="{00000000-0005-0000-0000-000025370000}"/>
    <cellStyle name="Actual Date 2" xfId="13645" xr:uid="{00000000-0005-0000-0000-000026370000}"/>
    <cellStyle name="Actual Date 2 2" xfId="13646" xr:uid="{00000000-0005-0000-0000-000027370000}"/>
    <cellStyle name="Actual Date 2 3" xfId="13647" xr:uid="{00000000-0005-0000-0000-000028370000}"/>
    <cellStyle name="Actual Date 2 4" xfId="13648" xr:uid="{00000000-0005-0000-0000-000029370000}"/>
    <cellStyle name="Actual Date 3" xfId="13649" xr:uid="{00000000-0005-0000-0000-00002A370000}"/>
    <cellStyle name="Actual Date 4" xfId="13650" xr:uid="{00000000-0005-0000-0000-00002B370000}"/>
    <cellStyle name="Actual Date 5" xfId="13651" xr:uid="{00000000-0005-0000-0000-00002C370000}"/>
    <cellStyle name="Actual Date 6" xfId="13652" xr:uid="{00000000-0005-0000-0000-00002D370000}"/>
    <cellStyle name="After Percent" xfId="13653" xr:uid="{00000000-0005-0000-0000-00002E370000}"/>
    <cellStyle name="After Percent 2" xfId="13654" xr:uid="{00000000-0005-0000-0000-00002F370000}"/>
    <cellStyle name="After Percent 3" xfId="13655" xr:uid="{00000000-0005-0000-0000-000030370000}"/>
    <cellStyle name="After Percent 4" xfId="13656" xr:uid="{00000000-0005-0000-0000-000031370000}"/>
    <cellStyle name="Akcent 1" xfId="25102" xr:uid="{00000000-0005-0000-0000-000032370000}"/>
    <cellStyle name="Akcent 1 2" xfId="25103" xr:uid="{00000000-0005-0000-0000-000033370000}"/>
    <cellStyle name="Akcent 1 3" xfId="25104" xr:uid="{00000000-0005-0000-0000-000034370000}"/>
    <cellStyle name="Akcent 2" xfId="25105" xr:uid="{00000000-0005-0000-0000-000035370000}"/>
    <cellStyle name="Akcent 2 2" xfId="25106" xr:uid="{00000000-0005-0000-0000-000036370000}"/>
    <cellStyle name="Akcent 2 3" xfId="25107" xr:uid="{00000000-0005-0000-0000-000037370000}"/>
    <cellStyle name="Akcent 3" xfId="25108" xr:uid="{00000000-0005-0000-0000-000038370000}"/>
    <cellStyle name="Akcent 3 2" xfId="25109" xr:uid="{00000000-0005-0000-0000-000039370000}"/>
    <cellStyle name="Akcent 3 3" xfId="25110" xr:uid="{00000000-0005-0000-0000-00003A370000}"/>
    <cellStyle name="Akcent 4" xfId="25111" xr:uid="{00000000-0005-0000-0000-00003B370000}"/>
    <cellStyle name="Akcent 4 2" xfId="25112" xr:uid="{00000000-0005-0000-0000-00003C370000}"/>
    <cellStyle name="Akcent 4 3" xfId="25113" xr:uid="{00000000-0005-0000-0000-00003D370000}"/>
    <cellStyle name="Akcent 5" xfId="25114" xr:uid="{00000000-0005-0000-0000-00003E370000}"/>
    <cellStyle name="Akcent 5 2" xfId="25115" xr:uid="{00000000-0005-0000-0000-00003F370000}"/>
    <cellStyle name="Akcent 5 3" xfId="25116" xr:uid="{00000000-0005-0000-0000-000040370000}"/>
    <cellStyle name="Akcent 6" xfId="25117" xr:uid="{00000000-0005-0000-0000-000041370000}"/>
    <cellStyle name="Akcent 6 2" xfId="25118" xr:uid="{00000000-0005-0000-0000-000042370000}"/>
    <cellStyle name="Akcent 6 3" xfId="25119" xr:uid="{00000000-0005-0000-0000-000043370000}"/>
    <cellStyle name="AutoFormat-Optionen 2" xfId="13657" xr:uid="{00000000-0005-0000-0000-000044370000}"/>
    <cellStyle name="Avertissement" xfId="13658" xr:uid="{00000000-0005-0000-0000-000045370000}"/>
    <cellStyle name="Bad 10" xfId="13659" xr:uid="{00000000-0005-0000-0000-000046370000}"/>
    <cellStyle name="Bad 10 2" xfId="13660" xr:uid="{00000000-0005-0000-0000-000047370000}"/>
    <cellStyle name="Bad 10 3" xfId="13661" xr:uid="{00000000-0005-0000-0000-000048370000}"/>
    <cellStyle name="Bad 10 4" xfId="13662" xr:uid="{00000000-0005-0000-0000-000049370000}"/>
    <cellStyle name="Bad 11" xfId="13663" xr:uid="{00000000-0005-0000-0000-00004A370000}"/>
    <cellStyle name="Bad 11 2" xfId="13664" xr:uid="{00000000-0005-0000-0000-00004B370000}"/>
    <cellStyle name="Bad 11 3" xfId="13665" xr:uid="{00000000-0005-0000-0000-00004C370000}"/>
    <cellStyle name="Bad 11 4" xfId="13666" xr:uid="{00000000-0005-0000-0000-00004D370000}"/>
    <cellStyle name="Bad 12" xfId="13667" xr:uid="{00000000-0005-0000-0000-00004E370000}"/>
    <cellStyle name="Bad 12 2" xfId="13668" xr:uid="{00000000-0005-0000-0000-00004F370000}"/>
    <cellStyle name="Bad 12 3" xfId="13669" xr:uid="{00000000-0005-0000-0000-000050370000}"/>
    <cellStyle name="Bad 12 4" xfId="13670" xr:uid="{00000000-0005-0000-0000-000051370000}"/>
    <cellStyle name="Bad 13" xfId="13671" xr:uid="{00000000-0005-0000-0000-000052370000}"/>
    <cellStyle name="Bad 13 2" xfId="13672" xr:uid="{00000000-0005-0000-0000-000053370000}"/>
    <cellStyle name="Bad 13 3" xfId="13673" xr:uid="{00000000-0005-0000-0000-000054370000}"/>
    <cellStyle name="Bad 13 4" xfId="13674" xr:uid="{00000000-0005-0000-0000-000055370000}"/>
    <cellStyle name="Bad 14" xfId="13675" xr:uid="{00000000-0005-0000-0000-000056370000}"/>
    <cellStyle name="Bad 14 2" xfId="13676" xr:uid="{00000000-0005-0000-0000-000057370000}"/>
    <cellStyle name="Bad 14 3" xfId="13677" xr:uid="{00000000-0005-0000-0000-000058370000}"/>
    <cellStyle name="Bad 14 4" xfId="13678" xr:uid="{00000000-0005-0000-0000-000059370000}"/>
    <cellStyle name="Bad 15" xfId="13679" xr:uid="{00000000-0005-0000-0000-00005A370000}"/>
    <cellStyle name="Bad 15 2" xfId="13680" xr:uid="{00000000-0005-0000-0000-00005B370000}"/>
    <cellStyle name="Bad 15 3" xfId="13681" xr:uid="{00000000-0005-0000-0000-00005C370000}"/>
    <cellStyle name="Bad 15 4" xfId="13682" xr:uid="{00000000-0005-0000-0000-00005D370000}"/>
    <cellStyle name="Bad 16" xfId="13683" xr:uid="{00000000-0005-0000-0000-00005E370000}"/>
    <cellStyle name="Bad 16 2" xfId="13684" xr:uid="{00000000-0005-0000-0000-00005F370000}"/>
    <cellStyle name="Bad 16 3" xfId="13685" xr:uid="{00000000-0005-0000-0000-000060370000}"/>
    <cellStyle name="Bad 16 4" xfId="13686" xr:uid="{00000000-0005-0000-0000-000061370000}"/>
    <cellStyle name="Bad 17" xfId="13687" xr:uid="{00000000-0005-0000-0000-000062370000}"/>
    <cellStyle name="Bad 17 2" xfId="13688" xr:uid="{00000000-0005-0000-0000-000063370000}"/>
    <cellStyle name="Bad 17 3" xfId="13689" xr:uid="{00000000-0005-0000-0000-000064370000}"/>
    <cellStyle name="Bad 17 4" xfId="13690" xr:uid="{00000000-0005-0000-0000-000065370000}"/>
    <cellStyle name="Bad 18" xfId="13691" xr:uid="{00000000-0005-0000-0000-000066370000}"/>
    <cellStyle name="Bad 18 2" xfId="13692" xr:uid="{00000000-0005-0000-0000-000067370000}"/>
    <cellStyle name="Bad 18 3" xfId="13693" xr:uid="{00000000-0005-0000-0000-000068370000}"/>
    <cellStyle name="Bad 18 4" xfId="13694" xr:uid="{00000000-0005-0000-0000-000069370000}"/>
    <cellStyle name="Bad 19" xfId="13695" xr:uid="{00000000-0005-0000-0000-00006A370000}"/>
    <cellStyle name="Bad 19 2" xfId="13696" xr:uid="{00000000-0005-0000-0000-00006B370000}"/>
    <cellStyle name="Bad 19 3" xfId="13697" xr:uid="{00000000-0005-0000-0000-00006C370000}"/>
    <cellStyle name="Bad 19 4" xfId="13698" xr:uid="{00000000-0005-0000-0000-00006D370000}"/>
    <cellStyle name="Bad 2" xfId="13699" xr:uid="{00000000-0005-0000-0000-00006E370000}"/>
    <cellStyle name="Bad 2 2" xfId="13700" xr:uid="{00000000-0005-0000-0000-00006F370000}"/>
    <cellStyle name="Bad 2 2 2" xfId="13701" xr:uid="{00000000-0005-0000-0000-000070370000}"/>
    <cellStyle name="Bad 2 2 3" xfId="13702" xr:uid="{00000000-0005-0000-0000-000071370000}"/>
    <cellStyle name="Bad 2 2 4" xfId="13703" xr:uid="{00000000-0005-0000-0000-000072370000}"/>
    <cellStyle name="Bad 2 3" xfId="13704" xr:uid="{00000000-0005-0000-0000-000073370000}"/>
    <cellStyle name="Bad 2 3 2" xfId="13705" xr:uid="{00000000-0005-0000-0000-000074370000}"/>
    <cellStyle name="Bad 2 3 3" xfId="13706" xr:uid="{00000000-0005-0000-0000-000075370000}"/>
    <cellStyle name="Bad 2 3 4" xfId="13707" xr:uid="{00000000-0005-0000-0000-000076370000}"/>
    <cellStyle name="Bad 2 4" xfId="13708" xr:uid="{00000000-0005-0000-0000-000077370000}"/>
    <cellStyle name="Bad 2 4 2" xfId="13709" xr:uid="{00000000-0005-0000-0000-000078370000}"/>
    <cellStyle name="Bad 2 4 3" xfId="13710" xr:uid="{00000000-0005-0000-0000-000079370000}"/>
    <cellStyle name="Bad 2 4 4" xfId="13711" xr:uid="{00000000-0005-0000-0000-00007A370000}"/>
    <cellStyle name="Bad 2 5" xfId="13712" xr:uid="{00000000-0005-0000-0000-00007B370000}"/>
    <cellStyle name="Bad 2 6" xfId="13713" xr:uid="{00000000-0005-0000-0000-00007C370000}"/>
    <cellStyle name="Bad 2 7" xfId="13714" xr:uid="{00000000-0005-0000-0000-00007D370000}"/>
    <cellStyle name="Bad 2 8" xfId="13715" xr:uid="{00000000-0005-0000-0000-00007E370000}"/>
    <cellStyle name="Bad 20" xfId="13716" xr:uid="{00000000-0005-0000-0000-00007F370000}"/>
    <cellStyle name="Bad 20 2" xfId="13717" xr:uid="{00000000-0005-0000-0000-000080370000}"/>
    <cellStyle name="Bad 20 3" xfId="13718" xr:uid="{00000000-0005-0000-0000-000081370000}"/>
    <cellStyle name="Bad 20 4" xfId="13719" xr:uid="{00000000-0005-0000-0000-000082370000}"/>
    <cellStyle name="Bad 21" xfId="13720" xr:uid="{00000000-0005-0000-0000-000083370000}"/>
    <cellStyle name="Bad 21 2" xfId="13721" xr:uid="{00000000-0005-0000-0000-000084370000}"/>
    <cellStyle name="Bad 21 3" xfId="13722" xr:uid="{00000000-0005-0000-0000-000085370000}"/>
    <cellStyle name="Bad 21 4" xfId="13723" xr:uid="{00000000-0005-0000-0000-000086370000}"/>
    <cellStyle name="Bad 22" xfId="13724" xr:uid="{00000000-0005-0000-0000-000087370000}"/>
    <cellStyle name="Bad 22 2" xfId="13725" xr:uid="{00000000-0005-0000-0000-000088370000}"/>
    <cellStyle name="Bad 22 3" xfId="13726" xr:uid="{00000000-0005-0000-0000-000089370000}"/>
    <cellStyle name="Bad 22 4" xfId="13727" xr:uid="{00000000-0005-0000-0000-00008A370000}"/>
    <cellStyle name="Bad 23" xfId="13728" xr:uid="{00000000-0005-0000-0000-00008B370000}"/>
    <cellStyle name="Bad 23 2" xfId="13729" xr:uid="{00000000-0005-0000-0000-00008C370000}"/>
    <cellStyle name="Bad 23 3" xfId="13730" xr:uid="{00000000-0005-0000-0000-00008D370000}"/>
    <cellStyle name="Bad 23 4" xfId="13731" xr:uid="{00000000-0005-0000-0000-00008E370000}"/>
    <cellStyle name="Bad 24" xfId="13732" xr:uid="{00000000-0005-0000-0000-00008F370000}"/>
    <cellStyle name="Bad 24 2" xfId="13733" xr:uid="{00000000-0005-0000-0000-000090370000}"/>
    <cellStyle name="Bad 24 3" xfId="13734" xr:uid="{00000000-0005-0000-0000-000091370000}"/>
    <cellStyle name="Bad 24 4" xfId="13735" xr:uid="{00000000-0005-0000-0000-000092370000}"/>
    <cellStyle name="Bad 25" xfId="13736" xr:uid="{00000000-0005-0000-0000-000093370000}"/>
    <cellStyle name="Bad 25 2" xfId="13737" xr:uid="{00000000-0005-0000-0000-000094370000}"/>
    <cellStyle name="Bad 25 3" xfId="13738" xr:uid="{00000000-0005-0000-0000-000095370000}"/>
    <cellStyle name="Bad 25 4" xfId="13739" xr:uid="{00000000-0005-0000-0000-000096370000}"/>
    <cellStyle name="Bad 26" xfId="13740" xr:uid="{00000000-0005-0000-0000-000097370000}"/>
    <cellStyle name="Bad 26 2" xfId="13741" xr:uid="{00000000-0005-0000-0000-000098370000}"/>
    <cellStyle name="Bad 26 3" xfId="13742" xr:uid="{00000000-0005-0000-0000-000099370000}"/>
    <cellStyle name="Bad 26 4" xfId="13743" xr:uid="{00000000-0005-0000-0000-00009A370000}"/>
    <cellStyle name="Bad 27" xfId="13744" xr:uid="{00000000-0005-0000-0000-00009B370000}"/>
    <cellStyle name="Bad 27 2" xfId="13745" xr:uid="{00000000-0005-0000-0000-00009C370000}"/>
    <cellStyle name="Bad 27 3" xfId="13746" xr:uid="{00000000-0005-0000-0000-00009D370000}"/>
    <cellStyle name="Bad 27 4" xfId="13747" xr:uid="{00000000-0005-0000-0000-00009E370000}"/>
    <cellStyle name="Bad 28" xfId="13748" xr:uid="{00000000-0005-0000-0000-00009F370000}"/>
    <cellStyle name="Bad 28 2" xfId="13749" xr:uid="{00000000-0005-0000-0000-0000A0370000}"/>
    <cellStyle name="Bad 28 3" xfId="13750" xr:uid="{00000000-0005-0000-0000-0000A1370000}"/>
    <cellStyle name="Bad 28 4" xfId="13751" xr:uid="{00000000-0005-0000-0000-0000A2370000}"/>
    <cellStyle name="Bad 29" xfId="13752" xr:uid="{00000000-0005-0000-0000-0000A3370000}"/>
    <cellStyle name="Bad 29 2" xfId="13753" xr:uid="{00000000-0005-0000-0000-0000A4370000}"/>
    <cellStyle name="Bad 29 3" xfId="13754" xr:uid="{00000000-0005-0000-0000-0000A5370000}"/>
    <cellStyle name="Bad 29 4" xfId="13755" xr:uid="{00000000-0005-0000-0000-0000A6370000}"/>
    <cellStyle name="Bad 3" xfId="13756" xr:uid="{00000000-0005-0000-0000-0000A7370000}"/>
    <cellStyle name="Bad 3 2" xfId="13757" xr:uid="{00000000-0005-0000-0000-0000A8370000}"/>
    <cellStyle name="Bad 3 2 2" xfId="13758" xr:uid="{00000000-0005-0000-0000-0000A9370000}"/>
    <cellStyle name="Bad 3 2 3" xfId="13759" xr:uid="{00000000-0005-0000-0000-0000AA370000}"/>
    <cellStyle name="Bad 3 2 4" xfId="13760" xr:uid="{00000000-0005-0000-0000-0000AB370000}"/>
    <cellStyle name="Bad 3 3" xfId="13761" xr:uid="{00000000-0005-0000-0000-0000AC370000}"/>
    <cellStyle name="Bad 3 3 2" xfId="13762" xr:uid="{00000000-0005-0000-0000-0000AD370000}"/>
    <cellStyle name="Bad 3 3 3" xfId="13763" xr:uid="{00000000-0005-0000-0000-0000AE370000}"/>
    <cellStyle name="Bad 3 3 4" xfId="13764" xr:uid="{00000000-0005-0000-0000-0000AF370000}"/>
    <cellStyle name="Bad 3 4" xfId="13765" xr:uid="{00000000-0005-0000-0000-0000B0370000}"/>
    <cellStyle name="Bad 3 4 2" xfId="13766" xr:uid="{00000000-0005-0000-0000-0000B1370000}"/>
    <cellStyle name="Bad 3 4 3" xfId="13767" xr:uid="{00000000-0005-0000-0000-0000B2370000}"/>
    <cellStyle name="Bad 3 4 4" xfId="13768" xr:uid="{00000000-0005-0000-0000-0000B3370000}"/>
    <cellStyle name="Bad 3 5" xfId="13769" xr:uid="{00000000-0005-0000-0000-0000B4370000}"/>
    <cellStyle name="Bad 3 6" xfId="13770" xr:uid="{00000000-0005-0000-0000-0000B5370000}"/>
    <cellStyle name="Bad 3 7" xfId="13771" xr:uid="{00000000-0005-0000-0000-0000B6370000}"/>
    <cellStyle name="Bad 3 8" xfId="13772" xr:uid="{00000000-0005-0000-0000-0000B7370000}"/>
    <cellStyle name="Bad 30" xfId="13773" xr:uid="{00000000-0005-0000-0000-0000B8370000}"/>
    <cellStyle name="Bad 31" xfId="13774" xr:uid="{00000000-0005-0000-0000-0000B9370000}"/>
    <cellStyle name="Bad 32" xfId="13775" xr:uid="{00000000-0005-0000-0000-0000BA370000}"/>
    <cellStyle name="Bad 4" xfId="13776" xr:uid="{00000000-0005-0000-0000-0000BB370000}"/>
    <cellStyle name="Bad 4 2" xfId="13777" xr:uid="{00000000-0005-0000-0000-0000BC370000}"/>
    <cellStyle name="Bad 4 3" xfId="13778" xr:uid="{00000000-0005-0000-0000-0000BD370000}"/>
    <cellStyle name="Bad 4 4" xfId="13779" xr:uid="{00000000-0005-0000-0000-0000BE370000}"/>
    <cellStyle name="Bad 4 5" xfId="13780" xr:uid="{00000000-0005-0000-0000-0000BF370000}"/>
    <cellStyle name="Bad 4 6" xfId="13781" xr:uid="{00000000-0005-0000-0000-0000C0370000}"/>
    <cellStyle name="Bad 5" xfId="13782" xr:uid="{00000000-0005-0000-0000-0000C1370000}"/>
    <cellStyle name="Bad 5 2" xfId="13783" xr:uid="{00000000-0005-0000-0000-0000C2370000}"/>
    <cellStyle name="Bad 5 3" xfId="13784" xr:uid="{00000000-0005-0000-0000-0000C3370000}"/>
    <cellStyle name="Bad 5 4" xfId="13785" xr:uid="{00000000-0005-0000-0000-0000C4370000}"/>
    <cellStyle name="Bad 5 5" xfId="13786" xr:uid="{00000000-0005-0000-0000-0000C5370000}"/>
    <cellStyle name="Bad 5 6" xfId="13787" xr:uid="{00000000-0005-0000-0000-0000C6370000}"/>
    <cellStyle name="Bad 6" xfId="13788" xr:uid="{00000000-0005-0000-0000-0000C7370000}"/>
    <cellStyle name="Bad 6 2" xfId="13789" xr:uid="{00000000-0005-0000-0000-0000C8370000}"/>
    <cellStyle name="Bad 6 3" xfId="13790" xr:uid="{00000000-0005-0000-0000-0000C9370000}"/>
    <cellStyle name="Bad 6 4" xfId="13791" xr:uid="{00000000-0005-0000-0000-0000CA370000}"/>
    <cellStyle name="Bad 6 5" xfId="13792" xr:uid="{00000000-0005-0000-0000-0000CB370000}"/>
    <cellStyle name="Bad 6 6" xfId="13793" xr:uid="{00000000-0005-0000-0000-0000CC370000}"/>
    <cellStyle name="Bad 7" xfId="13794" xr:uid="{00000000-0005-0000-0000-0000CD370000}"/>
    <cellStyle name="Bad 7 2" xfId="13795" xr:uid="{00000000-0005-0000-0000-0000CE370000}"/>
    <cellStyle name="Bad 7 3" xfId="13796" xr:uid="{00000000-0005-0000-0000-0000CF370000}"/>
    <cellStyle name="Bad 7 4" xfId="13797" xr:uid="{00000000-0005-0000-0000-0000D0370000}"/>
    <cellStyle name="Bad 7 5" xfId="13798" xr:uid="{00000000-0005-0000-0000-0000D1370000}"/>
    <cellStyle name="Bad 7 6" xfId="13799" xr:uid="{00000000-0005-0000-0000-0000D2370000}"/>
    <cellStyle name="Bad 8" xfId="13800" xr:uid="{00000000-0005-0000-0000-0000D3370000}"/>
    <cellStyle name="Bad 8 2" xfId="13801" xr:uid="{00000000-0005-0000-0000-0000D4370000}"/>
    <cellStyle name="Bad 8 3" xfId="13802" xr:uid="{00000000-0005-0000-0000-0000D5370000}"/>
    <cellStyle name="Bad 8 4" xfId="13803" xr:uid="{00000000-0005-0000-0000-0000D6370000}"/>
    <cellStyle name="Bad 8 5" xfId="13804" xr:uid="{00000000-0005-0000-0000-0000D7370000}"/>
    <cellStyle name="Bad 8 6" xfId="13805" xr:uid="{00000000-0005-0000-0000-0000D8370000}"/>
    <cellStyle name="Bad 9" xfId="13806" xr:uid="{00000000-0005-0000-0000-0000D9370000}"/>
    <cellStyle name="Bad 9 2" xfId="13807" xr:uid="{00000000-0005-0000-0000-0000DA370000}"/>
    <cellStyle name="Bad 9 3" xfId="13808" xr:uid="{00000000-0005-0000-0000-0000DB370000}"/>
    <cellStyle name="Bad 9 4" xfId="13809" xr:uid="{00000000-0005-0000-0000-0000DC370000}"/>
    <cellStyle name="base" xfId="13810" xr:uid="{00000000-0005-0000-0000-0000DD370000}"/>
    <cellStyle name="base 2" xfId="13811" xr:uid="{00000000-0005-0000-0000-0000DE370000}"/>
    <cellStyle name="base 3" xfId="13812" xr:uid="{00000000-0005-0000-0000-0000DF370000}"/>
    <cellStyle name="base 4" xfId="13813" xr:uid="{00000000-0005-0000-0000-0000E0370000}"/>
    <cellStyle name="base 5" xfId="13814" xr:uid="{00000000-0005-0000-0000-0000E1370000}"/>
    <cellStyle name="Black" xfId="13815" xr:uid="{00000000-0005-0000-0000-0000E2370000}"/>
    <cellStyle name="Black 2" xfId="13816" xr:uid="{00000000-0005-0000-0000-0000E3370000}"/>
    <cellStyle name="Black 3" xfId="13817" xr:uid="{00000000-0005-0000-0000-0000E4370000}"/>
    <cellStyle name="Black 4" xfId="13818" xr:uid="{00000000-0005-0000-0000-0000E5370000}"/>
    <cellStyle name="Blue" xfId="13819" xr:uid="{00000000-0005-0000-0000-0000E6370000}"/>
    <cellStyle name="Blue 2" xfId="13820" xr:uid="{00000000-0005-0000-0000-0000E7370000}"/>
    <cellStyle name="Blue 3" xfId="13821" xr:uid="{00000000-0005-0000-0000-0000E8370000}"/>
    <cellStyle name="Blue 4" xfId="13822" xr:uid="{00000000-0005-0000-0000-0000E9370000}"/>
    <cellStyle name="Blue 5" xfId="13823" xr:uid="{00000000-0005-0000-0000-0000EA370000}"/>
    <cellStyle name="Body" xfId="13824" xr:uid="{00000000-0005-0000-0000-0000EB370000}"/>
    <cellStyle name="Body 2" xfId="13825" xr:uid="{00000000-0005-0000-0000-0000EC370000}"/>
    <cellStyle name="Body 3" xfId="13826" xr:uid="{00000000-0005-0000-0000-0000ED370000}"/>
    <cellStyle name="Body 4" xfId="13827" xr:uid="{00000000-0005-0000-0000-0000EE370000}"/>
    <cellStyle name="Body 5" xfId="13828" xr:uid="{00000000-0005-0000-0000-0000EF370000}"/>
    <cellStyle name="Bold" xfId="13829" xr:uid="{00000000-0005-0000-0000-0000F0370000}"/>
    <cellStyle name="Bold 2" xfId="13830" xr:uid="{00000000-0005-0000-0000-0000F1370000}"/>
    <cellStyle name="Bold 3" xfId="13831" xr:uid="{00000000-0005-0000-0000-0000F2370000}"/>
    <cellStyle name="Bold 4" xfId="13832" xr:uid="{00000000-0005-0000-0000-0000F3370000}"/>
    <cellStyle name="Bold 5" xfId="13833" xr:uid="{00000000-0005-0000-0000-0000F4370000}"/>
    <cellStyle name="Bold 6" xfId="13834" xr:uid="{00000000-0005-0000-0000-0000F5370000}"/>
    <cellStyle name="Border Heavy" xfId="13835" xr:uid="{00000000-0005-0000-0000-0000F6370000}"/>
    <cellStyle name="Border Heavy 2" xfId="13836" xr:uid="{00000000-0005-0000-0000-0000F7370000}"/>
    <cellStyle name="Border Heavy 3" xfId="13837" xr:uid="{00000000-0005-0000-0000-0000F8370000}"/>
    <cellStyle name="Border Heavy 4" xfId="13838" xr:uid="{00000000-0005-0000-0000-0000F9370000}"/>
    <cellStyle name="Border Heavy 5" xfId="13839" xr:uid="{00000000-0005-0000-0000-0000FA370000}"/>
    <cellStyle name="Border Thin" xfId="13840" xr:uid="{00000000-0005-0000-0000-0000FB370000}"/>
    <cellStyle name="Border Thin 2" xfId="13841" xr:uid="{00000000-0005-0000-0000-0000FC370000}"/>
    <cellStyle name="Border Thin 3" xfId="13842" xr:uid="{00000000-0005-0000-0000-0000FD370000}"/>
    <cellStyle name="Border Thin 4" xfId="13843" xr:uid="{00000000-0005-0000-0000-0000FE370000}"/>
    <cellStyle name="Border Thin 5" xfId="13844" xr:uid="{00000000-0005-0000-0000-0000FF370000}"/>
    <cellStyle name="Buena" xfId="13845" xr:uid="{00000000-0005-0000-0000-000000380000}"/>
    <cellStyle name="Buena 2" xfId="13846" xr:uid="{00000000-0005-0000-0000-000001380000}"/>
    <cellStyle name="Buena 2 2" xfId="13847" xr:uid="{00000000-0005-0000-0000-000002380000}"/>
    <cellStyle name="Buena 2 3" xfId="13848" xr:uid="{00000000-0005-0000-0000-000003380000}"/>
    <cellStyle name="Buena 2 4" xfId="13849" xr:uid="{00000000-0005-0000-0000-000004380000}"/>
    <cellStyle name="Buena 3" xfId="13850" xr:uid="{00000000-0005-0000-0000-000005380000}"/>
    <cellStyle name="Buena 4" xfId="13851" xr:uid="{00000000-0005-0000-0000-000006380000}"/>
    <cellStyle name="Buena 5" xfId="13852" xr:uid="{00000000-0005-0000-0000-000007380000}"/>
    <cellStyle name="Buena 6" xfId="13853" xr:uid="{00000000-0005-0000-0000-000008380000}"/>
    <cellStyle name="Business Description" xfId="13854" xr:uid="{00000000-0005-0000-0000-000009380000}"/>
    <cellStyle name="Business Description 2" xfId="13855" xr:uid="{00000000-0005-0000-0000-00000A380000}"/>
    <cellStyle name="Business Description 3" xfId="13856" xr:uid="{00000000-0005-0000-0000-00000B380000}"/>
    <cellStyle name="Business Description 4" xfId="13857" xr:uid="{00000000-0005-0000-0000-00000C380000}"/>
    <cellStyle name="Business Description 5" xfId="13858" xr:uid="{00000000-0005-0000-0000-00000D380000}"/>
    <cellStyle name="Calc Currency (0)" xfId="13859" xr:uid="{00000000-0005-0000-0000-00000E380000}"/>
    <cellStyle name="Calc Currency (0) 2" xfId="13860" xr:uid="{00000000-0005-0000-0000-00000F380000}"/>
    <cellStyle name="Calc Currency (0) 2 2" xfId="13861" xr:uid="{00000000-0005-0000-0000-000010380000}"/>
    <cellStyle name="Calc Currency (0) 2 3" xfId="13862" xr:uid="{00000000-0005-0000-0000-000011380000}"/>
    <cellStyle name="Calc Currency (0) 2 4" xfId="13863" xr:uid="{00000000-0005-0000-0000-000012380000}"/>
    <cellStyle name="Calc Currency (0) 3" xfId="13864" xr:uid="{00000000-0005-0000-0000-000013380000}"/>
    <cellStyle name="Calc Currency (0) 4" xfId="13865" xr:uid="{00000000-0005-0000-0000-000014380000}"/>
    <cellStyle name="Calc Currency (0) 5" xfId="13866" xr:uid="{00000000-0005-0000-0000-000015380000}"/>
    <cellStyle name="Calc Currency (0) 6" xfId="13867" xr:uid="{00000000-0005-0000-0000-000016380000}"/>
    <cellStyle name="Calc Currency (0) 7" xfId="13868" xr:uid="{00000000-0005-0000-0000-000017380000}"/>
    <cellStyle name="Calc Currency (0) 8" xfId="13869" xr:uid="{00000000-0005-0000-0000-000018380000}"/>
    <cellStyle name="Calc Currency (2)" xfId="13870" xr:uid="{00000000-0005-0000-0000-000019380000}"/>
    <cellStyle name="Calc Currency (2) 2" xfId="13871" xr:uid="{00000000-0005-0000-0000-00001A380000}"/>
    <cellStyle name="Calc Currency (2) 3" xfId="13872" xr:uid="{00000000-0005-0000-0000-00001B380000}"/>
    <cellStyle name="Calc Currency (2) 4" xfId="13873" xr:uid="{00000000-0005-0000-0000-00001C380000}"/>
    <cellStyle name="Calc Currency (2) 5" xfId="13874" xr:uid="{00000000-0005-0000-0000-00001D380000}"/>
    <cellStyle name="Calc Percent (0)" xfId="13875" xr:uid="{00000000-0005-0000-0000-00001E380000}"/>
    <cellStyle name="Calc Percent (0) 2" xfId="13876" xr:uid="{00000000-0005-0000-0000-00001F380000}"/>
    <cellStyle name="Calc Percent (0) 3" xfId="13877" xr:uid="{00000000-0005-0000-0000-000020380000}"/>
    <cellStyle name="Calc Percent (0) 4" xfId="13878" xr:uid="{00000000-0005-0000-0000-000021380000}"/>
    <cellStyle name="Calc Percent (1)" xfId="13879" xr:uid="{00000000-0005-0000-0000-000022380000}"/>
    <cellStyle name="Calc Percent (1) 2" xfId="13880" xr:uid="{00000000-0005-0000-0000-000023380000}"/>
    <cellStyle name="Calc Percent (1) 3" xfId="13881" xr:uid="{00000000-0005-0000-0000-000024380000}"/>
    <cellStyle name="Calc Percent (1) 4" xfId="13882" xr:uid="{00000000-0005-0000-0000-000025380000}"/>
    <cellStyle name="Calc Percent (2)" xfId="13883" xr:uid="{00000000-0005-0000-0000-000026380000}"/>
    <cellStyle name="Calc Percent (2) 2" xfId="13884" xr:uid="{00000000-0005-0000-0000-000027380000}"/>
    <cellStyle name="Calc Percent (2) 3" xfId="13885" xr:uid="{00000000-0005-0000-0000-000028380000}"/>
    <cellStyle name="Calc Percent (2) 4" xfId="13886" xr:uid="{00000000-0005-0000-0000-000029380000}"/>
    <cellStyle name="Calc Percent (2) 5" xfId="13887" xr:uid="{00000000-0005-0000-0000-00002A380000}"/>
    <cellStyle name="Calc Units (0)" xfId="13888" xr:uid="{00000000-0005-0000-0000-00002B380000}"/>
    <cellStyle name="Calc Units (0) 2" xfId="13889" xr:uid="{00000000-0005-0000-0000-00002C380000}"/>
    <cellStyle name="Calc Units (0) 3" xfId="13890" xr:uid="{00000000-0005-0000-0000-00002D380000}"/>
    <cellStyle name="Calc Units (0) 4" xfId="13891" xr:uid="{00000000-0005-0000-0000-00002E380000}"/>
    <cellStyle name="Calc Units (1)" xfId="13892" xr:uid="{00000000-0005-0000-0000-00002F380000}"/>
    <cellStyle name="Calc Units (1) 2" xfId="13893" xr:uid="{00000000-0005-0000-0000-000030380000}"/>
    <cellStyle name="Calc Units (1) 3" xfId="13894" xr:uid="{00000000-0005-0000-0000-000031380000}"/>
    <cellStyle name="Calc Units (1) 4" xfId="13895" xr:uid="{00000000-0005-0000-0000-000032380000}"/>
    <cellStyle name="Calc Units (1) 5" xfId="13896" xr:uid="{00000000-0005-0000-0000-000033380000}"/>
    <cellStyle name="Calc Units (2)" xfId="13897" xr:uid="{00000000-0005-0000-0000-000034380000}"/>
    <cellStyle name="Calc Units (2) 2" xfId="13898" xr:uid="{00000000-0005-0000-0000-000035380000}"/>
    <cellStyle name="Calc Units (2) 3" xfId="13899" xr:uid="{00000000-0005-0000-0000-000036380000}"/>
    <cellStyle name="Calc Units (2) 4" xfId="13900" xr:uid="{00000000-0005-0000-0000-000037380000}"/>
    <cellStyle name="Calc Units (2) 5" xfId="13901" xr:uid="{00000000-0005-0000-0000-000038380000}"/>
    <cellStyle name="Calcul" xfId="13902" xr:uid="{00000000-0005-0000-0000-000039380000}"/>
    <cellStyle name="Calculation 10" xfId="13903" xr:uid="{00000000-0005-0000-0000-00003A380000}"/>
    <cellStyle name="Calculation 10 2" xfId="13904" xr:uid="{00000000-0005-0000-0000-00003B380000}"/>
    <cellStyle name="Calculation 10 3" xfId="13905" xr:uid="{00000000-0005-0000-0000-00003C380000}"/>
    <cellStyle name="Calculation 10 4" xfId="13906" xr:uid="{00000000-0005-0000-0000-00003D380000}"/>
    <cellStyle name="Calculation 11" xfId="13907" xr:uid="{00000000-0005-0000-0000-00003E380000}"/>
    <cellStyle name="Calculation 11 2" xfId="13908" xr:uid="{00000000-0005-0000-0000-00003F380000}"/>
    <cellStyle name="Calculation 11 3" xfId="13909" xr:uid="{00000000-0005-0000-0000-000040380000}"/>
    <cellStyle name="Calculation 11 4" xfId="13910" xr:uid="{00000000-0005-0000-0000-000041380000}"/>
    <cellStyle name="Calculation 12" xfId="13911" xr:uid="{00000000-0005-0000-0000-000042380000}"/>
    <cellStyle name="Calculation 12 2" xfId="13912" xr:uid="{00000000-0005-0000-0000-000043380000}"/>
    <cellStyle name="Calculation 12 3" xfId="13913" xr:uid="{00000000-0005-0000-0000-000044380000}"/>
    <cellStyle name="Calculation 12 4" xfId="13914" xr:uid="{00000000-0005-0000-0000-000045380000}"/>
    <cellStyle name="Calculation 13" xfId="13915" xr:uid="{00000000-0005-0000-0000-000046380000}"/>
    <cellStyle name="Calculation 13 2" xfId="13916" xr:uid="{00000000-0005-0000-0000-000047380000}"/>
    <cellStyle name="Calculation 13 3" xfId="13917" xr:uid="{00000000-0005-0000-0000-000048380000}"/>
    <cellStyle name="Calculation 13 4" xfId="13918" xr:uid="{00000000-0005-0000-0000-000049380000}"/>
    <cellStyle name="Calculation 14" xfId="13919" xr:uid="{00000000-0005-0000-0000-00004A380000}"/>
    <cellStyle name="Calculation 14 2" xfId="13920" xr:uid="{00000000-0005-0000-0000-00004B380000}"/>
    <cellStyle name="Calculation 14 3" xfId="13921" xr:uid="{00000000-0005-0000-0000-00004C380000}"/>
    <cellStyle name="Calculation 14 4" xfId="13922" xr:uid="{00000000-0005-0000-0000-00004D380000}"/>
    <cellStyle name="Calculation 15" xfId="13923" xr:uid="{00000000-0005-0000-0000-00004E380000}"/>
    <cellStyle name="Calculation 15 2" xfId="13924" xr:uid="{00000000-0005-0000-0000-00004F380000}"/>
    <cellStyle name="Calculation 15 3" xfId="13925" xr:uid="{00000000-0005-0000-0000-000050380000}"/>
    <cellStyle name="Calculation 15 4" xfId="13926" xr:uid="{00000000-0005-0000-0000-000051380000}"/>
    <cellStyle name="Calculation 16" xfId="13927" xr:uid="{00000000-0005-0000-0000-000052380000}"/>
    <cellStyle name="Calculation 16 2" xfId="13928" xr:uid="{00000000-0005-0000-0000-000053380000}"/>
    <cellStyle name="Calculation 16 3" xfId="13929" xr:uid="{00000000-0005-0000-0000-000054380000}"/>
    <cellStyle name="Calculation 16 4" xfId="13930" xr:uid="{00000000-0005-0000-0000-000055380000}"/>
    <cellStyle name="Calculation 17" xfId="13931" xr:uid="{00000000-0005-0000-0000-000056380000}"/>
    <cellStyle name="Calculation 17 2" xfId="13932" xr:uid="{00000000-0005-0000-0000-000057380000}"/>
    <cellStyle name="Calculation 17 3" xfId="13933" xr:uid="{00000000-0005-0000-0000-000058380000}"/>
    <cellStyle name="Calculation 17 4" xfId="13934" xr:uid="{00000000-0005-0000-0000-000059380000}"/>
    <cellStyle name="Calculation 18" xfId="13935" xr:uid="{00000000-0005-0000-0000-00005A380000}"/>
    <cellStyle name="Calculation 18 2" xfId="13936" xr:uid="{00000000-0005-0000-0000-00005B380000}"/>
    <cellStyle name="Calculation 18 3" xfId="13937" xr:uid="{00000000-0005-0000-0000-00005C380000}"/>
    <cellStyle name="Calculation 18 4" xfId="13938" xr:uid="{00000000-0005-0000-0000-00005D380000}"/>
    <cellStyle name="Calculation 19" xfId="13939" xr:uid="{00000000-0005-0000-0000-00005E380000}"/>
    <cellStyle name="Calculation 19 2" xfId="13940" xr:uid="{00000000-0005-0000-0000-00005F380000}"/>
    <cellStyle name="Calculation 19 3" xfId="13941" xr:uid="{00000000-0005-0000-0000-000060380000}"/>
    <cellStyle name="Calculation 19 4" xfId="13942" xr:uid="{00000000-0005-0000-0000-000061380000}"/>
    <cellStyle name="Calculation 2" xfId="13943" xr:uid="{00000000-0005-0000-0000-000062380000}"/>
    <cellStyle name="Calculation 2 2" xfId="13944" xr:uid="{00000000-0005-0000-0000-000063380000}"/>
    <cellStyle name="Calculation 2 2 2" xfId="13945" xr:uid="{00000000-0005-0000-0000-000064380000}"/>
    <cellStyle name="Calculation 2 2 3" xfId="13946" xr:uid="{00000000-0005-0000-0000-000065380000}"/>
    <cellStyle name="Calculation 2 2 4" xfId="13947" xr:uid="{00000000-0005-0000-0000-000066380000}"/>
    <cellStyle name="Calculation 2 3" xfId="13948" xr:uid="{00000000-0005-0000-0000-000067380000}"/>
    <cellStyle name="Calculation 2 3 2" xfId="13949" xr:uid="{00000000-0005-0000-0000-000068380000}"/>
    <cellStyle name="Calculation 2 3 3" xfId="13950" xr:uid="{00000000-0005-0000-0000-000069380000}"/>
    <cellStyle name="Calculation 2 3 4" xfId="13951" xr:uid="{00000000-0005-0000-0000-00006A380000}"/>
    <cellStyle name="Calculation 2 4" xfId="13952" xr:uid="{00000000-0005-0000-0000-00006B380000}"/>
    <cellStyle name="Calculation 2 4 2" xfId="13953" xr:uid="{00000000-0005-0000-0000-00006C380000}"/>
    <cellStyle name="Calculation 2 4 3" xfId="13954" xr:uid="{00000000-0005-0000-0000-00006D380000}"/>
    <cellStyle name="Calculation 2 4 4" xfId="13955" xr:uid="{00000000-0005-0000-0000-00006E380000}"/>
    <cellStyle name="Calculation 2 5" xfId="13956" xr:uid="{00000000-0005-0000-0000-00006F380000}"/>
    <cellStyle name="Calculation 2 6" xfId="13957" xr:uid="{00000000-0005-0000-0000-000070380000}"/>
    <cellStyle name="Calculation 2 7" xfId="13958" xr:uid="{00000000-0005-0000-0000-000071380000}"/>
    <cellStyle name="Calculation 2 8" xfId="13959" xr:uid="{00000000-0005-0000-0000-000072380000}"/>
    <cellStyle name="Calculation 20" xfId="13960" xr:uid="{00000000-0005-0000-0000-000073380000}"/>
    <cellStyle name="Calculation 20 2" xfId="13961" xr:uid="{00000000-0005-0000-0000-000074380000}"/>
    <cellStyle name="Calculation 20 3" xfId="13962" xr:uid="{00000000-0005-0000-0000-000075380000}"/>
    <cellStyle name="Calculation 20 4" xfId="13963" xr:uid="{00000000-0005-0000-0000-000076380000}"/>
    <cellStyle name="Calculation 21" xfId="13964" xr:uid="{00000000-0005-0000-0000-000077380000}"/>
    <cellStyle name="Calculation 21 2" xfId="13965" xr:uid="{00000000-0005-0000-0000-000078380000}"/>
    <cellStyle name="Calculation 21 3" xfId="13966" xr:uid="{00000000-0005-0000-0000-000079380000}"/>
    <cellStyle name="Calculation 21 4" xfId="13967" xr:uid="{00000000-0005-0000-0000-00007A380000}"/>
    <cellStyle name="Calculation 22" xfId="13968" xr:uid="{00000000-0005-0000-0000-00007B380000}"/>
    <cellStyle name="Calculation 22 2" xfId="13969" xr:uid="{00000000-0005-0000-0000-00007C380000}"/>
    <cellStyle name="Calculation 22 3" xfId="13970" xr:uid="{00000000-0005-0000-0000-00007D380000}"/>
    <cellStyle name="Calculation 22 4" xfId="13971" xr:uid="{00000000-0005-0000-0000-00007E380000}"/>
    <cellStyle name="Calculation 23" xfId="13972" xr:uid="{00000000-0005-0000-0000-00007F380000}"/>
    <cellStyle name="Calculation 23 2" xfId="13973" xr:uid="{00000000-0005-0000-0000-000080380000}"/>
    <cellStyle name="Calculation 23 3" xfId="13974" xr:uid="{00000000-0005-0000-0000-000081380000}"/>
    <cellStyle name="Calculation 23 4" xfId="13975" xr:uid="{00000000-0005-0000-0000-000082380000}"/>
    <cellStyle name="Calculation 24" xfId="13976" xr:uid="{00000000-0005-0000-0000-000083380000}"/>
    <cellStyle name="Calculation 24 2" xfId="13977" xr:uid="{00000000-0005-0000-0000-000084380000}"/>
    <cellStyle name="Calculation 24 3" xfId="13978" xr:uid="{00000000-0005-0000-0000-000085380000}"/>
    <cellStyle name="Calculation 24 4" xfId="13979" xr:uid="{00000000-0005-0000-0000-000086380000}"/>
    <cellStyle name="Calculation 25" xfId="13980" xr:uid="{00000000-0005-0000-0000-000087380000}"/>
    <cellStyle name="Calculation 25 2" xfId="13981" xr:uid="{00000000-0005-0000-0000-000088380000}"/>
    <cellStyle name="Calculation 25 3" xfId="13982" xr:uid="{00000000-0005-0000-0000-000089380000}"/>
    <cellStyle name="Calculation 25 4" xfId="13983" xr:uid="{00000000-0005-0000-0000-00008A380000}"/>
    <cellStyle name="Calculation 26" xfId="13984" xr:uid="{00000000-0005-0000-0000-00008B380000}"/>
    <cellStyle name="Calculation 26 2" xfId="13985" xr:uid="{00000000-0005-0000-0000-00008C380000}"/>
    <cellStyle name="Calculation 26 3" xfId="13986" xr:uid="{00000000-0005-0000-0000-00008D380000}"/>
    <cellStyle name="Calculation 26 4" xfId="13987" xr:uid="{00000000-0005-0000-0000-00008E380000}"/>
    <cellStyle name="Calculation 27" xfId="13988" xr:uid="{00000000-0005-0000-0000-00008F380000}"/>
    <cellStyle name="Calculation 27 2" xfId="13989" xr:uid="{00000000-0005-0000-0000-000090380000}"/>
    <cellStyle name="Calculation 27 3" xfId="13990" xr:uid="{00000000-0005-0000-0000-000091380000}"/>
    <cellStyle name="Calculation 27 4" xfId="13991" xr:uid="{00000000-0005-0000-0000-000092380000}"/>
    <cellStyle name="Calculation 28" xfId="13992" xr:uid="{00000000-0005-0000-0000-000093380000}"/>
    <cellStyle name="Calculation 28 2" xfId="13993" xr:uid="{00000000-0005-0000-0000-000094380000}"/>
    <cellStyle name="Calculation 28 3" xfId="13994" xr:uid="{00000000-0005-0000-0000-000095380000}"/>
    <cellStyle name="Calculation 28 4" xfId="13995" xr:uid="{00000000-0005-0000-0000-000096380000}"/>
    <cellStyle name="Calculation 29" xfId="13996" xr:uid="{00000000-0005-0000-0000-000097380000}"/>
    <cellStyle name="Calculation 29 2" xfId="13997" xr:uid="{00000000-0005-0000-0000-000098380000}"/>
    <cellStyle name="Calculation 29 3" xfId="13998" xr:uid="{00000000-0005-0000-0000-000099380000}"/>
    <cellStyle name="Calculation 29 4" xfId="13999" xr:uid="{00000000-0005-0000-0000-00009A380000}"/>
    <cellStyle name="Calculation 29 5" xfId="14000" xr:uid="{00000000-0005-0000-0000-00009B380000}"/>
    <cellStyle name="Calculation 3" xfId="14001" xr:uid="{00000000-0005-0000-0000-00009C380000}"/>
    <cellStyle name="Calculation 3 2" xfId="14002" xr:uid="{00000000-0005-0000-0000-00009D380000}"/>
    <cellStyle name="Calculation 3 2 2" xfId="14003" xr:uid="{00000000-0005-0000-0000-00009E380000}"/>
    <cellStyle name="Calculation 3 2 3" xfId="14004" xr:uid="{00000000-0005-0000-0000-00009F380000}"/>
    <cellStyle name="Calculation 3 2 4" xfId="14005" xr:uid="{00000000-0005-0000-0000-0000A0380000}"/>
    <cellStyle name="Calculation 3 3" xfId="14006" xr:uid="{00000000-0005-0000-0000-0000A1380000}"/>
    <cellStyle name="Calculation 3 3 2" xfId="14007" xr:uid="{00000000-0005-0000-0000-0000A2380000}"/>
    <cellStyle name="Calculation 3 3 3" xfId="14008" xr:uid="{00000000-0005-0000-0000-0000A3380000}"/>
    <cellStyle name="Calculation 3 3 4" xfId="14009" xr:uid="{00000000-0005-0000-0000-0000A4380000}"/>
    <cellStyle name="Calculation 3 4" xfId="14010" xr:uid="{00000000-0005-0000-0000-0000A5380000}"/>
    <cellStyle name="Calculation 3 4 2" xfId="14011" xr:uid="{00000000-0005-0000-0000-0000A6380000}"/>
    <cellStyle name="Calculation 3 4 3" xfId="14012" xr:uid="{00000000-0005-0000-0000-0000A7380000}"/>
    <cellStyle name="Calculation 3 4 4" xfId="14013" xr:uid="{00000000-0005-0000-0000-0000A8380000}"/>
    <cellStyle name="Calculation 3 5" xfId="14014" xr:uid="{00000000-0005-0000-0000-0000A9380000}"/>
    <cellStyle name="Calculation 3 6" xfId="14015" xr:uid="{00000000-0005-0000-0000-0000AA380000}"/>
    <cellStyle name="Calculation 3 7" xfId="14016" xr:uid="{00000000-0005-0000-0000-0000AB380000}"/>
    <cellStyle name="Calculation 3 8" xfId="14017" xr:uid="{00000000-0005-0000-0000-0000AC380000}"/>
    <cellStyle name="Calculation 30" xfId="14018" xr:uid="{00000000-0005-0000-0000-0000AD380000}"/>
    <cellStyle name="Calculation 30 2" xfId="14019" xr:uid="{00000000-0005-0000-0000-0000AE380000}"/>
    <cellStyle name="Calculation 31" xfId="14020" xr:uid="{00000000-0005-0000-0000-0000AF380000}"/>
    <cellStyle name="Calculation 32" xfId="14021" xr:uid="{00000000-0005-0000-0000-0000B0380000}"/>
    <cellStyle name="Calculation 33" xfId="14022" xr:uid="{00000000-0005-0000-0000-0000B1380000}"/>
    <cellStyle name="Calculation 34" xfId="14023" xr:uid="{00000000-0005-0000-0000-0000B2380000}"/>
    <cellStyle name="Calculation 4" xfId="14024" xr:uid="{00000000-0005-0000-0000-0000B3380000}"/>
    <cellStyle name="Calculation 4 2" xfId="14025" xr:uid="{00000000-0005-0000-0000-0000B4380000}"/>
    <cellStyle name="Calculation 4 3" xfId="14026" xr:uid="{00000000-0005-0000-0000-0000B5380000}"/>
    <cellStyle name="Calculation 4 4" xfId="14027" xr:uid="{00000000-0005-0000-0000-0000B6380000}"/>
    <cellStyle name="Calculation 4 5" xfId="14028" xr:uid="{00000000-0005-0000-0000-0000B7380000}"/>
    <cellStyle name="Calculation 4 6" xfId="14029" xr:uid="{00000000-0005-0000-0000-0000B8380000}"/>
    <cellStyle name="Calculation 5" xfId="14030" xr:uid="{00000000-0005-0000-0000-0000B9380000}"/>
    <cellStyle name="Calculation 5 2" xfId="14031" xr:uid="{00000000-0005-0000-0000-0000BA380000}"/>
    <cellStyle name="Calculation 5 3" xfId="14032" xr:uid="{00000000-0005-0000-0000-0000BB380000}"/>
    <cellStyle name="Calculation 5 4" xfId="14033" xr:uid="{00000000-0005-0000-0000-0000BC380000}"/>
    <cellStyle name="Calculation 5 5" xfId="14034" xr:uid="{00000000-0005-0000-0000-0000BD380000}"/>
    <cellStyle name="Calculation 5 6" xfId="14035" xr:uid="{00000000-0005-0000-0000-0000BE380000}"/>
    <cellStyle name="Calculation 6" xfId="14036" xr:uid="{00000000-0005-0000-0000-0000BF380000}"/>
    <cellStyle name="Calculation 6 2" xfId="14037" xr:uid="{00000000-0005-0000-0000-0000C0380000}"/>
    <cellStyle name="Calculation 6 3" xfId="14038" xr:uid="{00000000-0005-0000-0000-0000C1380000}"/>
    <cellStyle name="Calculation 6 4" xfId="14039" xr:uid="{00000000-0005-0000-0000-0000C2380000}"/>
    <cellStyle name="Calculation 6 5" xfId="14040" xr:uid="{00000000-0005-0000-0000-0000C3380000}"/>
    <cellStyle name="Calculation 6 6" xfId="14041" xr:uid="{00000000-0005-0000-0000-0000C4380000}"/>
    <cellStyle name="Calculation 7" xfId="14042" xr:uid="{00000000-0005-0000-0000-0000C5380000}"/>
    <cellStyle name="Calculation 7 2" xfId="14043" xr:uid="{00000000-0005-0000-0000-0000C6380000}"/>
    <cellStyle name="Calculation 7 3" xfId="14044" xr:uid="{00000000-0005-0000-0000-0000C7380000}"/>
    <cellStyle name="Calculation 7 4" xfId="14045" xr:uid="{00000000-0005-0000-0000-0000C8380000}"/>
    <cellStyle name="Calculation 7 5" xfId="14046" xr:uid="{00000000-0005-0000-0000-0000C9380000}"/>
    <cellStyle name="Calculation 7 6" xfId="14047" xr:uid="{00000000-0005-0000-0000-0000CA380000}"/>
    <cellStyle name="Calculation 8" xfId="14048" xr:uid="{00000000-0005-0000-0000-0000CB380000}"/>
    <cellStyle name="Calculation 8 2" xfId="14049" xr:uid="{00000000-0005-0000-0000-0000CC380000}"/>
    <cellStyle name="Calculation 8 3" xfId="14050" xr:uid="{00000000-0005-0000-0000-0000CD380000}"/>
    <cellStyle name="Calculation 8 4" xfId="14051" xr:uid="{00000000-0005-0000-0000-0000CE380000}"/>
    <cellStyle name="Calculation 8 5" xfId="14052" xr:uid="{00000000-0005-0000-0000-0000CF380000}"/>
    <cellStyle name="Calculation 8 6" xfId="14053" xr:uid="{00000000-0005-0000-0000-0000D0380000}"/>
    <cellStyle name="Calculation 9" xfId="14054" xr:uid="{00000000-0005-0000-0000-0000D1380000}"/>
    <cellStyle name="Calculation 9 2" xfId="14055" xr:uid="{00000000-0005-0000-0000-0000D2380000}"/>
    <cellStyle name="Calculation 9 3" xfId="14056" xr:uid="{00000000-0005-0000-0000-0000D3380000}"/>
    <cellStyle name="Calculation 9 4" xfId="14057" xr:uid="{00000000-0005-0000-0000-0000D4380000}"/>
    <cellStyle name="Cálculo" xfId="14058" xr:uid="{00000000-0005-0000-0000-0000D5380000}"/>
    <cellStyle name="Cálculo 2" xfId="14059" xr:uid="{00000000-0005-0000-0000-0000D6380000}"/>
    <cellStyle name="Cálculo 2 2" xfId="14060" xr:uid="{00000000-0005-0000-0000-0000D7380000}"/>
    <cellStyle name="Cálculo 2 3" xfId="14061" xr:uid="{00000000-0005-0000-0000-0000D8380000}"/>
    <cellStyle name="Cálculo 2 4" xfId="14062" xr:uid="{00000000-0005-0000-0000-0000D9380000}"/>
    <cellStyle name="Cálculo 2 5" xfId="14063" xr:uid="{00000000-0005-0000-0000-0000DA380000}"/>
    <cellStyle name="Cálculo 3" xfId="14064" xr:uid="{00000000-0005-0000-0000-0000DB380000}"/>
    <cellStyle name="Cálculo 3 2" xfId="14065" xr:uid="{00000000-0005-0000-0000-0000DC380000}"/>
    <cellStyle name="Cálculo 3 3" xfId="14066" xr:uid="{00000000-0005-0000-0000-0000DD380000}"/>
    <cellStyle name="Cálculo 3 4" xfId="14067" xr:uid="{00000000-0005-0000-0000-0000DE380000}"/>
    <cellStyle name="Cálculo 4" xfId="14068" xr:uid="{00000000-0005-0000-0000-0000DF380000}"/>
    <cellStyle name="Cálculo 5" xfId="14069" xr:uid="{00000000-0005-0000-0000-0000E0380000}"/>
    <cellStyle name="Cálculo 6" xfId="14070" xr:uid="{00000000-0005-0000-0000-0000E1380000}"/>
    <cellStyle name="Cálculo 7" xfId="14071" xr:uid="{00000000-0005-0000-0000-0000E2380000}"/>
    <cellStyle name="Celda de comprobación" xfId="14072" xr:uid="{00000000-0005-0000-0000-0000E3380000}"/>
    <cellStyle name="Celda de comprobación 2" xfId="14073" xr:uid="{00000000-0005-0000-0000-0000E4380000}"/>
    <cellStyle name="Celda de comprobación 2 2" xfId="14074" xr:uid="{00000000-0005-0000-0000-0000E5380000}"/>
    <cellStyle name="Celda de comprobación 2 3" xfId="14075" xr:uid="{00000000-0005-0000-0000-0000E6380000}"/>
    <cellStyle name="Celda de comprobación 2 4" xfId="14076" xr:uid="{00000000-0005-0000-0000-0000E7380000}"/>
    <cellStyle name="Celda de comprobación 3" xfId="14077" xr:uid="{00000000-0005-0000-0000-0000E8380000}"/>
    <cellStyle name="Celda de comprobación 4" xfId="14078" xr:uid="{00000000-0005-0000-0000-0000E9380000}"/>
    <cellStyle name="Celda de comprobación 5" xfId="14079" xr:uid="{00000000-0005-0000-0000-0000EA380000}"/>
    <cellStyle name="Celda de comprobación 6" xfId="14080" xr:uid="{00000000-0005-0000-0000-0000EB380000}"/>
    <cellStyle name="Celda vinculada" xfId="14081" xr:uid="{00000000-0005-0000-0000-0000EC380000}"/>
    <cellStyle name="Celda vinculada 2" xfId="14082" xr:uid="{00000000-0005-0000-0000-0000ED380000}"/>
    <cellStyle name="Celda vinculada 2 2" xfId="14083" xr:uid="{00000000-0005-0000-0000-0000EE380000}"/>
    <cellStyle name="Celda vinculada 2 3" xfId="14084" xr:uid="{00000000-0005-0000-0000-0000EF380000}"/>
    <cellStyle name="Celda vinculada 2 4" xfId="14085" xr:uid="{00000000-0005-0000-0000-0000F0380000}"/>
    <cellStyle name="Celda vinculada 3" xfId="14086" xr:uid="{00000000-0005-0000-0000-0000F1380000}"/>
    <cellStyle name="Celda vinculada 4" xfId="14087" xr:uid="{00000000-0005-0000-0000-0000F2380000}"/>
    <cellStyle name="Celda vinculada 5" xfId="14088" xr:uid="{00000000-0005-0000-0000-0000F3380000}"/>
    <cellStyle name="Celda vinculada 6" xfId="14089" xr:uid="{00000000-0005-0000-0000-0000F4380000}"/>
    <cellStyle name="Cellule liée" xfId="14090" xr:uid="{00000000-0005-0000-0000-0000F5380000}"/>
    <cellStyle name="Center" xfId="14091" xr:uid="{00000000-0005-0000-0000-0000F6380000}"/>
    <cellStyle name="Center 2" xfId="14092" xr:uid="{00000000-0005-0000-0000-0000F7380000}"/>
    <cellStyle name="Center 2 2" xfId="14093" xr:uid="{00000000-0005-0000-0000-0000F8380000}"/>
    <cellStyle name="Center 2 3" xfId="14094" xr:uid="{00000000-0005-0000-0000-0000F9380000}"/>
    <cellStyle name="Center 2 4" xfId="14095" xr:uid="{00000000-0005-0000-0000-0000FA380000}"/>
    <cellStyle name="Center 3" xfId="14096" xr:uid="{00000000-0005-0000-0000-0000FB380000}"/>
    <cellStyle name="Center 4" xfId="14097" xr:uid="{00000000-0005-0000-0000-0000FC380000}"/>
    <cellStyle name="Center 5" xfId="14098" xr:uid="{00000000-0005-0000-0000-0000FD380000}"/>
    <cellStyle name="Check Cell 10" xfId="14099" xr:uid="{00000000-0005-0000-0000-0000FE380000}"/>
    <cellStyle name="Check Cell 10 2" xfId="14100" xr:uid="{00000000-0005-0000-0000-0000FF380000}"/>
    <cellStyle name="Check Cell 10 3" xfId="14101" xr:uid="{00000000-0005-0000-0000-000000390000}"/>
    <cellStyle name="Check Cell 10 4" xfId="14102" xr:uid="{00000000-0005-0000-0000-000001390000}"/>
    <cellStyle name="Check Cell 11" xfId="14103" xr:uid="{00000000-0005-0000-0000-000002390000}"/>
    <cellStyle name="Check Cell 11 2" xfId="14104" xr:uid="{00000000-0005-0000-0000-000003390000}"/>
    <cellStyle name="Check Cell 11 3" xfId="14105" xr:uid="{00000000-0005-0000-0000-000004390000}"/>
    <cellStyle name="Check Cell 11 4" xfId="14106" xr:uid="{00000000-0005-0000-0000-000005390000}"/>
    <cellStyle name="Check Cell 12" xfId="14107" xr:uid="{00000000-0005-0000-0000-000006390000}"/>
    <cellStyle name="Check Cell 12 2" xfId="14108" xr:uid="{00000000-0005-0000-0000-000007390000}"/>
    <cellStyle name="Check Cell 12 3" xfId="14109" xr:uid="{00000000-0005-0000-0000-000008390000}"/>
    <cellStyle name="Check Cell 12 4" xfId="14110" xr:uid="{00000000-0005-0000-0000-000009390000}"/>
    <cellStyle name="Check Cell 13" xfId="14111" xr:uid="{00000000-0005-0000-0000-00000A390000}"/>
    <cellStyle name="Check Cell 13 2" xfId="14112" xr:uid="{00000000-0005-0000-0000-00000B390000}"/>
    <cellStyle name="Check Cell 13 3" xfId="14113" xr:uid="{00000000-0005-0000-0000-00000C390000}"/>
    <cellStyle name="Check Cell 13 4" xfId="14114" xr:uid="{00000000-0005-0000-0000-00000D390000}"/>
    <cellStyle name="Check Cell 14" xfId="14115" xr:uid="{00000000-0005-0000-0000-00000E390000}"/>
    <cellStyle name="Check Cell 14 2" xfId="14116" xr:uid="{00000000-0005-0000-0000-00000F390000}"/>
    <cellStyle name="Check Cell 14 3" xfId="14117" xr:uid="{00000000-0005-0000-0000-000010390000}"/>
    <cellStyle name="Check Cell 14 4" xfId="14118" xr:uid="{00000000-0005-0000-0000-000011390000}"/>
    <cellStyle name="Check Cell 15" xfId="14119" xr:uid="{00000000-0005-0000-0000-000012390000}"/>
    <cellStyle name="Check Cell 15 2" xfId="14120" xr:uid="{00000000-0005-0000-0000-000013390000}"/>
    <cellStyle name="Check Cell 15 3" xfId="14121" xr:uid="{00000000-0005-0000-0000-000014390000}"/>
    <cellStyle name="Check Cell 15 4" xfId="14122" xr:uid="{00000000-0005-0000-0000-000015390000}"/>
    <cellStyle name="Check Cell 16" xfId="14123" xr:uid="{00000000-0005-0000-0000-000016390000}"/>
    <cellStyle name="Check Cell 16 2" xfId="14124" xr:uid="{00000000-0005-0000-0000-000017390000}"/>
    <cellStyle name="Check Cell 16 3" xfId="14125" xr:uid="{00000000-0005-0000-0000-000018390000}"/>
    <cellStyle name="Check Cell 16 4" xfId="14126" xr:uid="{00000000-0005-0000-0000-000019390000}"/>
    <cellStyle name="Check Cell 17" xfId="14127" xr:uid="{00000000-0005-0000-0000-00001A390000}"/>
    <cellStyle name="Check Cell 17 2" xfId="14128" xr:uid="{00000000-0005-0000-0000-00001B390000}"/>
    <cellStyle name="Check Cell 17 3" xfId="14129" xr:uid="{00000000-0005-0000-0000-00001C390000}"/>
    <cellStyle name="Check Cell 17 4" xfId="14130" xr:uid="{00000000-0005-0000-0000-00001D390000}"/>
    <cellStyle name="Check Cell 18" xfId="14131" xr:uid="{00000000-0005-0000-0000-00001E390000}"/>
    <cellStyle name="Check Cell 18 2" xfId="14132" xr:uid="{00000000-0005-0000-0000-00001F390000}"/>
    <cellStyle name="Check Cell 18 3" xfId="14133" xr:uid="{00000000-0005-0000-0000-000020390000}"/>
    <cellStyle name="Check Cell 18 4" xfId="14134" xr:uid="{00000000-0005-0000-0000-000021390000}"/>
    <cellStyle name="Check Cell 19" xfId="14135" xr:uid="{00000000-0005-0000-0000-000022390000}"/>
    <cellStyle name="Check Cell 19 2" xfId="14136" xr:uid="{00000000-0005-0000-0000-000023390000}"/>
    <cellStyle name="Check Cell 19 3" xfId="14137" xr:uid="{00000000-0005-0000-0000-000024390000}"/>
    <cellStyle name="Check Cell 19 4" xfId="14138" xr:uid="{00000000-0005-0000-0000-000025390000}"/>
    <cellStyle name="Check Cell 2" xfId="14139" xr:uid="{00000000-0005-0000-0000-000026390000}"/>
    <cellStyle name="Check Cell 2 2" xfId="14140" xr:uid="{00000000-0005-0000-0000-000027390000}"/>
    <cellStyle name="Check Cell 2 2 2" xfId="14141" xr:uid="{00000000-0005-0000-0000-000028390000}"/>
    <cellStyle name="Check Cell 2 2 3" xfId="14142" xr:uid="{00000000-0005-0000-0000-000029390000}"/>
    <cellStyle name="Check Cell 2 2 4" xfId="14143" xr:uid="{00000000-0005-0000-0000-00002A390000}"/>
    <cellStyle name="Check Cell 2 3" xfId="14144" xr:uid="{00000000-0005-0000-0000-00002B390000}"/>
    <cellStyle name="Check Cell 2 3 2" xfId="14145" xr:uid="{00000000-0005-0000-0000-00002C390000}"/>
    <cellStyle name="Check Cell 2 3 3" xfId="14146" xr:uid="{00000000-0005-0000-0000-00002D390000}"/>
    <cellStyle name="Check Cell 2 3 4" xfId="14147" xr:uid="{00000000-0005-0000-0000-00002E390000}"/>
    <cellStyle name="Check Cell 2 4" xfId="14148" xr:uid="{00000000-0005-0000-0000-00002F390000}"/>
    <cellStyle name="Check Cell 2 4 2" xfId="14149" xr:uid="{00000000-0005-0000-0000-000030390000}"/>
    <cellStyle name="Check Cell 2 4 3" xfId="14150" xr:uid="{00000000-0005-0000-0000-000031390000}"/>
    <cellStyle name="Check Cell 2 4 4" xfId="14151" xr:uid="{00000000-0005-0000-0000-000032390000}"/>
    <cellStyle name="Check Cell 2 5" xfId="14152" xr:uid="{00000000-0005-0000-0000-000033390000}"/>
    <cellStyle name="Check Cell 2 6" xfId="14153" xr:uid="{00000000-0005-0000-0000-000034390000}"/>
    <cellStyle name="Check Cell 2 7" xfId="14154" xr:uid="{00000000-0005-0000-0000-000035390000}"/>
    <cellStyle name="Check Cell 2 8" xfId="14155" xr:uid="{00000000-0005-0000-0000-000036390000}"/>
    <cellStyle name="Check Cell 20" xfId="14156" xr:uid="{00000000-0005-0000-0000-000037390000}"/>
    <cellStyle name="Check Cell 20 2" xfId="14157" xr:uid="{00000000-0005-0000-0000-000038390000}"/>
    <cellStyle name="Check Cell 20 3" xfId="14158" xr:uid="{00000000-0005-0000-0000-000039390000}"/>
    <cellStyle name="Check Cell 20 4" xfId="14159" xr:uid="{00000000-0005-0000-0000-00003A390000}"/>
    <cellStyle name="Check Cell 21" xfId="14160" xr:uid="{00000000-0005-0000-0000-00003B390000}"/>
    <cellStyle name="Check Cell 21 2" xfId="14161" xr:uid="{00000000-0005-0000-0000-00003C390000}"/>
    <cellStyle name="Check Cell 21 3" xfId="14162" xr:uid="{00000000-0005-0000-0000-00003D390000}"/>
    <cellStyle name="Check Cell 21 4" xfId="14163" xr:uid="{00000000-0005-0000-0000-00003E390000}"/>
    <cellStyle name="Check Cell 22" xfId="14164" xr:uid="{00000000-0005-0000-0000-00003F390000}"/>
    <cellStyle name="Check Cell 22 2" xfId="14165" xr:uid="{00000000-0005-0000-0000-000040390000}"/>
    <cellStyle name="Check Cell 22 3" xfId="14166" xr:uid="{00000000-0005-0000-0000-000041390000}"/>
    <cellStyle name="Check Cell 22 4" xfId="14167" xr:uid="{00000000-0005-0000-0000-000042390000}"/>
    <cellStyle name="Check Cell 23" xfId="14168" xr:uid="{00000000-0005-0000-0000-000043390000}"/>
    <cellStyle name="Check Cell 23 2" xfId="14169" xr:uid="{00000000-0005-0000-0000-000044390000}"/>
    <cellStyle name="Check Cell 23 3" xfId="14170" xr:uid="{00000000-0005-0000-0000-000045390000}"/>
    <cellStyle name="Check Cell 23 4" xfId="14171" xr:uid="{00000000-0005-0000-0000-000046390000}"/>
    <cellStyle name="Check Cell 24" xfId="14172" xr:uid="{00000000-0005-0000-0000-000047390000}"/>
    <cellStyle name="Check Cell 24 2" xfId="14173" xr:uid="{00000000-0005-0000-0000-000048390000}"/>
    <cellStyle name="Check Cell 24 3" xfId="14174" xr:uid="{00000000-0005-0000-0000-000049390000}"/>
    <cellStyle name="Check Cell 24 4" xfId="14175" xr:uid="{00000000-0005-0000-0000-00004A390000}"/>
    <cellStyle name="Check Cell 25" xfId="14176" xr:uid="{00000000-0005-0000-0000-00004B390000}"/>
    <cellStyle name="Check Cell 25 2" xfId="14177" xr:uid="{00000000-0005-0000-0000-00004C390000}"/>
    <cellStyle name="Check Cell 25 3" xfId="14178" xr:uid="{00000000-0005-0000-0000-00004D390000}"/>
    <cellStyle name="Check Cell 25 4" xfId="14179" xr:uid="{00000000-0005-0000-0000-00004E390000}"/>
    <cellStyle name="Check Cell 26" xfId="14180" xr:uid="{00000000-0005-0000-0000-00004F390000}"/>
    <cellStyle name="Check Cell 26 2" xfId="14181" xr:uid="{00000000-0005-0000-0000-000050390000}"/>
    <cellStyle name="Check Cell 26 3" xfId="14182" xr:uid="{00000000-0005-0000-0000-000051390000}"/>
    <cellStyle name="Check Cell 26 4" xfId="14183" xr:uid="{00000000-0005-0000-0000-000052390000}"/>
    <cellStyle name="Check Cell 27" xfId="14184" xr:uid="{00000000-0005-0000-0000-000053390000}"/>
    <cellStyle name="Check Cell 27 2" xfId="14185" xr:uid="{00000000-0005-0000-0000-000054390000}"/>
    <cellStyle name="Check Cell 27 3" xfId="14186" xr:uid="{00000000-0005-0000-0000-000055390000}"/>
    <cellStyle name="Check Cell 27 4" xfId="14187" xr:uid="{00000000-0005-0000-0000-000056390000}"/>
    <cellStyle name="Check Cell 28" xfId="14188" xr:uid="{00000000-0005-0000-0000-000057390000}"/>
    <cellStyle name="Check Cell 28 2" xfId="14189" xr:uid="{00000000-0005-0000-0000-000058390000}"/>
    <cellStyle name="Check Cell 28 3" xfId="14190" xr:uid="{00000000-0005-0000-0000-000059390000}"/>
    <cellStyle name="Check Cell 28 4" xfId="14191" xr:uid="{00000000-0005-0000-0000-00005A390000}"/>
    <cellStyle name="Check Cell 29" xfId="14192" xr:uid="{00000000-0005-0000-0000-00005B390000}"/>
    <cellStyle name="Check Cell 29 2" xfId="14193" xr:uid="{00000000-0005-0000-0000-00005C390000}"/>
    <cellStyle name="Check Cell 29 3" xfId="14194" xr:uid="{00000000-0005-0000-0000-00005D390000}"/>
    <cellStyle name="Check Cell 29 4" xfId="14195" xr:uid="{00000000-0005-0000-0000-00005E390000}"/>
    <cellStyle name="Check Cell 3" xfId="14196" xr:uid="{00000000-0005-0000-0000-00005F390000}"/>
    <cellStyle name="Check Cell 3 2" xfId="14197" xr:uid="{00000000-0005-0000-0000-000060390000}"/>
    <cellStyle name="Check Cell 3 2 2" xfId="14198" xr:uid="{00000000-0005-0000-0000-000061390000}"/>
    <cellStyle name="Check Cell 3 2 3" xfId="14199" xr:uid="{00000000-0005-0000-0000-000062390000}"/>
    <cellStyle name="Check Cell 3 2 4" xfId="14200" xr:uid="{00000000-0005-0000-0000-000063390000}"/>
    <cellStyle name="Check Cell 3 3" xfId="14201" xr:uid="{00000000-0005-0000-0000-000064390000}"/>
    <cellStyle name="Check Cell 3 3 2" xfId="14202" xr:uid="{00000000-0005-0000-0000-000065390000}"/>
    <cellStyle name="Check Cell 3 3 3" xfId="14203" xr:uid="{00000000-0005-0000-0000-000066390000}"/>
    <cellStyle name="Check Cell 3 3 4" xfId="14204" xr:uid="{00000000-0005-0000-0000-000067390000}"/>
    <cellStyle name="Check Cell 3 4" xfId="14205" xr:uid="{00000000-0005-0000-0000-000068390000}"/>
    <cellStyle name="Check Cell 3 4 2" xfId="14206" xr:uid="{00000000-0005-0000-0000-000069390000}"/>
    <cellStyle name="Check Cell 3 4 3" xfId="14207" xr:uid="{00000000-0005-0000-0000-00006A390000}"/>
    <cellStyle name="Check Cell 3 4 4" xfId="14208" xr:uid="{00000000-0005-0000-0000-00006B390000}"/>
    <cellStyle name="Check Cell 3 5" xfId="14209" xr:uid="{00000000-0005-0000-0000-00006C390000}"/>
    <cellStyle name="Check Cell 3 6" xfId="14210" xr:uid="{00000000-0005-0000-0000-00006D390000}"/>
    <cellStyle name="Check Cell 3 7" xfId="14211" xr:uid="{00000000-0005-0000-0000-00006E390000}"/>
    <cellStyle name="Check Cell 3 8" xfId="14212" xr:uid="{00000000-0005-0000-0000-00006F390000}"/>
    <cellStyle name="Check Cell 30" xfId="14213" xr:uid="{00000000-0005-0000-0000-000070390000}"/>
    <cellStyle name="Check Cell 31" xfId="14214" xr:uid="{00000000-0005-0000-0000-000071390000}"/>
    <cellStyle name="Check Cell 32" xfId="14215" xr:uid="{00000000-0005-0000-0000-000072390000}"/>
    <cellStyle name="Check Cell 4" xfId="14216" xr:uid="{00000000-0005-0000-0000-000073390000}"/>
    <cellStyle name="Check Cell 4 2" xfId="14217" xr:uid="{00000000-0005-0000-0000-000074390000}"/>
    <cellStyle name="Check Cell 4 3" xfId="14218" xr:uid="{00000000-0005-0000-0000-000075390000}"/>
    <cellStyle name="Check Cell 4 4" xfId="14219" xr:uid="{00000000-0005-0000-0000-000076390000}"/>
    <cellStyle name="Check Cell 4 5" xfId="14220" xr:uid="{00000000-0005-0000-0000-000077390000}"/>
    <cellStyle name="Check Cell 5" xfId="14221" xr:uid="{00000000-0005-0000-0000-000078390000}"/>
    <cellStyle name="Check Cell 5 2" xfId="14222" xr:uid="{00000000-0005-0000-0000-000079390000}"/>
    <cellStyle name="Check Cell 5 3" xfId="14223" xr:uid="{00000000-0005-0000-0000-00007A390000}"/>
    <cellStyle name="Check Cell 5 4" xfId="14224" xr:uid="{00000000-0005-0000-0000-00007B390000}"/>
    <cellStyle name="Check Cell 5 5" xfId="14225" xr:uid="{00000000-0005-0000-0000-00007C390000}"/>
    <cellStyle name="Check Cell 6" xfId="14226" xr:uid="{00000000-0005-0000-0000-00007D390000}"/>
    <cellStyle name="Check Cell 6 2" xfId="14227" xr:uid="{00000000-0005-0000-0000-00007E390000}"/>
    <cellStyle name="Check Cell 6 3" xfId="14228" xr:uid="{00000000-0005-0000-0000-00007F390000}"/>
    <cellStyle name="Check Cell 6 4" xfId="14229" xr:uid="{00000000-0005-0000-0000-000080390000}"/>
    <cellStyle name="Check Cell 6 5" xfId="14230" xr:uid="{00000000-0005-0000-0000-000081390000}"/>
    <cellStyle name="Check Cell 7" xfId="14231" xr:uid="{00000000-0005-0000-0000-000082390000}"/>
    <cellStyle name="Check Cell 7 2" xfId="14232" xr:uid="{00000000-0005-0000-0000-000083390000}"/>
    <cellStyle name="Check Cell 7 3" xfId="14233" xr:uid="{00000000-0005-0000-0000-000084390000}"/>
    <cellStyle name="Check Cell 7 4" xfId="14234" xr:uid="{00000000-0005-0000-0000-000085390000}"/>
    <cellStyle name="Check Cell 7 5" xfId="14235" xr:uid="{00000000-0005-0000-0000-000086390000}"/>
    <cellStyle name="Check Cell 8" xfId="14236" xr:uid="{00000000-0005-0000-0000-000087390000}"/>
    <cellStyle name="Check Cell 8 2" xfId="14237" xr:uid="{00000000-0005-0000-0000-000088390000}"/>
    <cellStyle name="Check Cell 8 3" xfId="14238" xr:uid="{00000000-0005-0000-0000-000089390000}"/>
    <cellStyle name="Check Cell 8 4" xfId="14239" xr:uid="{00000000-0005-0000-0000-00008A390000}"/>
    <cellStyle name="Check Cell 8 5" xfId="14240" xr:uid="{00000000-0005-0000-0000-00008B390000}"/>
    <cellStyle name="Check Cell 9" xfId="14241" xr:uid="{00000000-0005-0000-0000-00008C390000}"/>
    <cellStyle name="Check Cell 9 2" xfId="14242" xr:uid="{00000000-0005-0000-0000-00008D390000}"/>
    <cellStyle name="Check Cell 9 3" xfId="14243" xr:uid="{00000000-0005-0000-0000-00008E390000}"/>
    <cellStyle name="Check Cell 9 4" xfId="14244" xr:uid="{00000000-0005-0000-0000-00008F390000}"/>
    <cellStyle name="Co. Names" xfId="14245" xr:uid="{00000000-0005-0000-0000-000090390000}"/>
    <cellStyle name="Co. Names 2" xfId="14246" xr:uid="{00000000-0005-0000-0000-000091390000}"/>
    <cellStyle name="Co. Names 3" xfId="14247" xr:uid="{00000000-0005-0000-0000-000092390000}"/>
    <cellStyle name="Co. Names 4" xfId="14248" xr:uid="{00000000-0005-0000-0000-000093390000}"/>
    <cellStyle name="Co. Names 5" xfId="14249" xr:uid="{00000000-0005-0000-0000-000094390000}"/>
    <cellStyle name="COL HEADINGS" xfId="14250" xr:uid="{00000000-0005-0000-0000-000095390000}"/>
    <cellStyle name="COL HEADINGS 2" xfId="14251" xr:uid="{00000000-0005-0000-0000-000096390000}"/>
    <cellStyle name="COL HEADINGS 2 2" xfId="14252" xr:uid="{00000000-0005-0000-0000-000097390000}"/>
    <cellStyle name="COL HEADINGS 2 3" xfId="14253" xr:uid="{00000000-0005-0000-0000-000098390000}"/>
    <cellStyle name="COL HEADINGS 2 4" xfId="14254" xr:uid="{00000000-0005-0000-0000-000099390000}"/>
    <cellStyle name="COL HEADINGS 3" xfId="14255" xr:uid="{00000000-0005-0000-0000-00009A390000}"/>
    <cellStyle name="COL HEADINGS 4" xfId="14256" xr:uid="{00000000-0005-0000-0000-00009B390000}"/>
    <cellStyle name="COL HEADINGS 5" xfId="14257" xr:uid="{00000000-0005-0000-0000-00009C390000}"/>
    <cellStyle name="Colhead_left" xfId="14258" xr:uid="{00000000-0005-0000-0000-00009D390000}"/>
    <cellStyle name="Comma" xfId="1" builtinId="3"/>
    <cellStyle name="Comma  - Style1" xfId="14259" xr:uid="{00000000-0005-0000-0000-00009F390000}"/>
    <cellStyle name="Comma  - Style1 2" xfId="14260" xr:uid="{00000000-0005-0000-0000-0000A0390000}"/>
    <cellStyle name="Comma  - Style1 2 2" xfId="14261" xr:uid="{00000000-0005-0000-0000-0000A1390000}"/>
    <cellStyle name="Comma  - Style1 2 3" xfId="14262" xr:uid="{00000000-0005-0000-0000-0000A2390000}"/>
    <cellStyle name="Comma  - Style1 2 4" xfId="14263" xr:uid="{00000000-0005-0000-0000-0000A3390000}"/>
    <cellStyle name="Comma  - Style1 3" xfId="14264" xr:uid="{00000000-0005-0000-0000-0000A4390000}"/>
    <cellStyle name="Comma  - Style1 3 2" xfId="14265" xr:uid="{00000000-0005-0000-0000-0000A5390000}"/>
    <cellStyle name="Comma  - Style1 3 3" xfId="14266" xr:uid="{00000000-0005-0000-0000-0000A6390000}"/>
    <cellStyle name="Comma  - Style1 3 4" xfId="14267" xr:uid="{00000000-0005-0000-0000-0000A7390000}"/>
    <cellStyle name="Comma  - Style1 4" xfId="14268" xr:uid="{00000000-0005-0000-0000-0000A8390000}"/>
    <cellStyle name="Comma  - Style1 5" xfId="14269" xr:uid="{00000000-0005-0000-0000-0000A9390000}"/>
    <cellStyle name="Comma  - Style1 6" xfId="14270" xr:uid="{00000000-0005-0000-0000-0000AA390000}"/>
    <cellStyle name="Comma  - Style2" xfId="14271" xr:uid="{00000000-0005-0000-0000-0000AB390000}"/>
    <cellStyle name="Comma  - Style2 2" xfId="14272" xr:uid="{00000000-0005-0000-0000-0000AC390000}"/>
    <cellStyle name="Comma  - Style2 2 2" xfId="14273" xr:uid="{00000000-0005-0000-0000-0000AD390000}"/>
    <cellStyle name="Comma  - Style2 2 3" xfId="14274" xr:uid="{00000000-0005-0000-0000-0000AE390000}"/>
    <cellStyle name="Comma  - Style2 2 4" xfId="14275" xr:uid="{00000000-0005-0000-0000-0000AF390000}"/>
    <cellStyle name="Comma  - Style2 3" xfId="14276" xr:uid="{00000000-0005-0000-0000-0000B0390000}"/>
    <cellStyle name="Comma  - Style2 3 2" xfId="14277" xr:uid="{00000000-0005-0000-0000-0000B1390000}"/>
    <cellStyle name="Comma  - Style2 3 3" xfId="14278" xr:uid="{00000000-0005-0000-0000-0000B2390000}"/>
    <cellStyle name="Comma  - Style2 3 4" xfId="14279" xr:uid="{00000000-0005-0000-0000-0000B3390000}"/>
    <cellStyle name="Comma  - Style2 4" xfId="14280" xr:uid="{00000000-0005-0000-0000-0000B4390000}"/>
    <cellStyle name="Comma  - Style2 5" xfId="14281" xr:uid="{00000000-0005-0000-0000-0000B5390000}"/>
    <cellStyle name="Comma  - Style2 6" xfId="14282" xr:uid="{00000000-0005-0000-0000-0000B6390000}"/>
    <cellStyle name="Comma  - Style3" xfId="14283" xr:uid="{00000000-0005-0000-0000-0000B7390000}"/>
    <cellStyle name="Comma  - Style3 2" xfId="14284" xr:uid="{00000000-0005-0000-0000-0000B8390000}"/>
    <cellStyle name="Comma  - Style3 2 2" xfId="14285" xr:uid="{00000000-0005-0000-0000-0000B9390000}"/>
    <cellStyle name="Comma  - Style3 2 3" xfId="14286" xr:uid="{00000000-0005-0000-0000-0000BA390000}"/>
    <cellStyle name="Comma  - Style3 2 4" xfId="14287" xr:uid="{00000000-0005-0000-0000-0000BB390000}"/>
    <cellStyle name="Comma  - Style3 3" xfId="14288" xr:uid="{00000000-0005-0000-0000-0000BC390000}"/>
    <cellStyle name="Comma  - Style3 3 2" xfId="14289" xr:uid="{00000000-0005-0000-0000-0000BD390000}"/>
    <cellStyle name="Comma  - Style3 3 3" xfId="14290" xr:uid="{00000000-0005-0000-0000-0000BE390000}"/>
    <cellStyle name="Comma  - Style3 3 4" xfId="14291" xr:uid="{00000000-0005-0000-0000-0000BF390000}"/>
    <cellStyle name="Comma  - Style3 4" xfId="14292" xr:uid="{00000000-0005-0000-0000-0000C0390000}"/>
    <cellStyle name="Comma  - Style3 5" xfId="14293" xr:uid="{00000000-0005-0000-0000-0000C1390000}"/>
    <cellStyle name="Comma  - Style3 6" xfId="14294" xr:uid="{00000000-0005-0000-0000-0000C2390000}"/>
    <cellStyle name="Comma  - Style4" xfId="14295" xr:uid="{00000000-0005-0000-0000-0000C3390000}"/>
    <cellStyle name="Comma  - Style4 2" xfId="14296" xr:uid="{00000000-0005-0000-0000-0000C4390000}"/>
    <cellStyle name="Comma  - Style4 2 2" xfId="14297" xr:uid="{00000000-0005-0000-0000-0000C5390000}"/>
    <cellStyle name="Comma  - Style4 2 3" xfId="14298" xr:uid="{00000000-0005-0000-0000-0000C6390000}"/>
    <cellStyle name="Comma  - Style4 2 4" xfId="14299" xr:uid="{00000000-0005-0000-0000-0000C7390000}"/>
    <cellStyle name="Comma  - Style4 3" xfId="14300" xr:uid="{00000000-0005-0000-0000-0000C8390000}"/>
    <cellStyle name="Comma  - Style4 3 2" xfId="14301" xr:uid="{00000000-0005-0000-0000-0000C9390000}"/>
    <cellStyle name="Comma  - Style4 3 3" xfId="14302" xr:uid="{00000000-0005-0000-0000-0000CA390000}"/>
    <cellStyle name="Comma  - Style4 3 4" xfId="14303" xr:uid="{00000000-0005-0000-0000-0000CB390000}"/>
    <cellStyle name="Comma  - Style4 4" xfId="14304" xr:uid="{00000000-0005-0000-0000-0000CC390000}"/>
    <cellStyle name="Comma  - Style4 5" xfId="14305" xr:uid="{00000000-0005-0000-0000-0000CD390000}"/>
    <cellStyle name="Comma  - Style4 6" xfId="14306" xr:uid="{00000000-0005-0000-0000-0000CE390000}"/>
    <cellStyle name="Comma  - Style5" xfId="14307" xr:uid="{00000000-0005-0000-0000-0000CF390000}"/>
    <cellStyle name="Comma  - Style5 2" xfId="14308" xr:uid="{00000000-0005-0000-0000-0000D0390000}"/>
    <cellStyle name="Comma  - Style5 2 2" xfId="14309" xr:uid="{00000000-0005-0000-0000-0000D1390000}"/>
    <cellStyle name="Comma  - Style5 2 3" xfId="14310" xr:uid="{00000000-0005-0000-0000-0000D2390000}"/>
    <cellStyle name="Comma  - Style5 2 4" xfId="14311" xr:uid="{00000000-0005-0000-0000-0000D3390000}"/>
    <cellStyle name="Comma  - Style5 3" xfId="14312" xr:uid="{00000000-0005-0000-0000-0000D4390000}"/>
    <cellStyle name="Comma  - Style5 3 2" xfId="14313" xr:uid="{00000000-0005-0000-0000-0000D5390000}"/>
    <cellStyle name="Comma  - Style5 3 3" xfId="14314" xr:uid="{00000000-0005-0000-0000-0000D6390000}"/>
    <cellStyle name="Comma  - Style5 3 4" xfId="14315" xr:uid="{00000000-0005-0000-0000-0000D7390000}"/>
    <cellStyle name="Comma  - Style5 4" xfId="14316" xr:uid="{00000000-0005-0000-0000-0000D8390000}"/>
    <cellStyle name="Comma  - Style5 5" xfId="14317" xr:uid="{00000000-0005-0000-0000-0000D9390000}"/>
    <cellStyle name="Comma  - Style5 6" xfId="14318" xr:uid="{00000000-0005-0000-0000-0000DA390000}"/>
    <cellStyle name="Comma  - Style6" xfId="14319" xr:uid="{00000000-0005-0000-0000-0000DB390000}"/>
    <cellStyle name="Comma  - Style6 2" xfId="14320" xr:uid="{00000000-0005-0000-0000-0000DC390000}"/>
    <cellStyle name="Comma  - Style6 2 2" xfId="14321" xr:uid="{00000000-0005-0000-0000-0000DD390000}"/>
    <cellStyle name="Comma  - Style6 2 3" xfId="14322" xr:uid="{00000000-0005-0000-0000-0000DE390000}"/>
    <cellStyle name="Comma  - Style6 2 4" xfId="14323" xr:uid="{00000000-0005-0000-0000-0000DF390000}"/>
    <cellStyle name="Comma  - Style6 3" xfId="14324" xr:uid="{00000000-0005-0000-0000-0000E0390000}"/>
    <cellStyle name="Comma  - Style6 3 2" xfId="14325" xr:uid="{00000000-0005-0000-0000-0000E1390000}"/>
    <cellStyle name="Comma  - Style6 3 3" xfId="14326" xr:uid="{00000000-0005-0000-0000-0000E2390000}"/>
    <cellStyle name="Comma  - Style6 3 4" xfId="14327" xr:uid="{00000000-0005-0000-0000-0000E3390000}"/>
    <cellStyle name="Comma  - Style6 4" xfId="14328" xr:uid="{00000000-0005-0000-0000-0000E4390000}"/>
    <cellStyle name="Comma  - Style6 5" xfId="14329" xr:uid="{00000000-0005-0000-0000-0000E5390000}"/>
    <cellStyle name="Comma  - Style6 6" xfId="14330" xr:uid="{00000000-0005-0000-0000-0000E6390000}"/>
    <cellStyle name="Comma  - Style7" xfId="14331" xr:uid="{00000000-0005-0000-0000-0000E7390000}"/>
    <cellStyle name="Comma  - Style7 2" xfId="14332" xr:uid="{00000000-0005-0000-0000-0000E8390000}"/>
    <cellStyle name="Comma  - Style7 2 2" xfId="14333" xr:uid="{00000000-0005-0000-0000-0000E9390000}"/>
    <cellStyle name="Comma  - Style7 2 3" xfId="14334" xr:uid="{00000000-0005-0000-0000-0000EA390000}"/>
    <cellStyle name="Comma  - Style7 2 4" xfId="14335" xr:uid="{00000000-0005-0000-0000-0000EB390000}"/>
    <cellStyle name="Comma  - Style7 3" xfId="14336" xr:uid="{00000000-0005-0000-0000-0000EC390000}"/>
    <cellStyle name="Comma  - Style7 3 2" xfId="14337" xr:uid="{00000000-0005-0000-0000-0000ED390000}"/>
    <cellStyle name="Comma  - Style7 3 3" xfId="14338" xr:uid="{00000000-0005-0000-0000-0000EE390000}"/>
    <cellStyle name="Comma  - Style7 3 4" xfId="14339" xr:uid="{00000000-0005-0000-0000-0000EF390000}"/>
    <cellStyle name="Comma  - Style7 4" xfId="14340" xr:uid="{00000000-0005-0000-0000-0000F0390000}"/>
    <cellStyle name="Comma  - Style7 5" xfId="14341" xr:uid="{00000000-0005-0000-0000-0000F1390000}"/>
    <cellStyle name="Comma  - Style7 6" xfId="14342" xr:uid="{00000000-0005-0000-0000-0000F2390000}"/>
    <cellStyle name="Comma  - Style8" xfId="14343" xr:uid="{00000000-0005-0000-0000-0000F3390000}"/>
    <cellStyle name="Comma  - Style8 2" xfId="14344" xr:uid="{00000000-0005-0000-0000-0000F4390000}"/>
    <cellStyle name="Comma  - Style8 2 2" xfId="14345" xr:uid="{00000000-0005-0000-0000-0000F5390000}"/>
    <cellStyle name="Comma  - Style8 2 3" xfId="14346" xr:uid="{00000000-0005-0000-0000-0000F6390000}"/>
    <cellStyle name="Comma  - Style8 2 4" xfId="14347" xr:uid="{00000000-0005-0000-0000-0000F7390000}"/>
    <cellStyle name="Comma  - Style8 3" xfId="14348" xr:uid="{00000000-0005-0000-0000-0000F8390000}"/>
    <cellStyle name="Comma  - Style8 3 2" xfId="14349" xr:uid="{00000000-0005-0000-0000-0000F9390000}"/>
    <cellStyle name="Comma  - Style8 3 3" xfId="14350" xr:uid="{00000000-0005-0000-0000-0000FA390000}"/>
    <cellStyle name="Comma  - Style8 3 4" xfId="14351" xr:uid="{00000000-0005-0000-0000-0000FB390000}"/>
    <cellStyle name="Comma  - Style8 4" xfId="14352" xr:uid="{00000000-0005-0000-0000-0000FC390000}"/>
    <cellStyle name="Comma  - Style8 5" xfId="14353" xr:uid="{00000000-0005-0000-0000-0000FD390000}"/>
    <cellStyle name="Comma  - Style8 6" xfId="14354" xr:uid="{00000000-0005-0000-0000-0000FE390000}"/>
    <cellStyle name="Comma (1)" xfId="14355" xr:uid="{00000000-0005-0000-0000-0000FF390000}"/>
    <cellStyle name="Comma (1) 2" xfId="14356" xr:uid="{00000000-0005-0000-0000-0000003A0000}"/>
    <cellStyle name="Comma (1) 3" xfId="14357" xr:uid="{00000000-0005-0000-0000-0000013A0000}"/>
    <cellStyle name="Comma (1) 4" xfId="14358" xr:uid="{00000000-0005-0000-0000-0000023A0000}"/>
    <cellStyle name="Comma [00]" xfId="14359" xr:uid="{00000000-0005-0000-0000-0000033A0000}"/>
    <cellStyle name="Comma [00] 2" xfId="14360" xr:uid="{00000000-0005-0000-0000-0000043A0000}"/>
    <cellStyle name="Comma [00] 3" xfId="14361" xr:uid="{00000000-0005-0000-0000-0000053A0000}"/>
    <cellStyle name="Comma [00] 4" xfId="14362" xr:uid="{00000000-0005-0000-0000-0000063A0000}"/>
    <cellStyle name="Comma [1]" xfId="14363" xr:uid="{00000000-0005-0000-0000-0000073A0000}"/>
    <cellStyle name="Comma [1] 2" xfId="14364" xr:uid="{00000000-0005-0000-0000-0000083A0000}"/>
    <cellStyle name="Comma [1] 3" xfId="14365" xr:uid="{00000000-0005-0000-0000-0000093A0000}"/>
    <cellStyle name="Comma [1] 4" xfId="14366" xr:uid="{00000000-0005-0000-0000-00000A3A0000}"/>
    <cellStyle name="Comma [1] 5" xfId="14367" xr:uid="{00000000-0005-0000-0000-00000B3A0000}"/>
    <cellStyle name="Comma 10" xfId="14368" xr:uid="{00000000-0005-0000-0000-00000C3A0000}"/>
    <cellStyle name="Comma 10 2" xfId="14369" xr:uid="{00000000-0005-0000-0000-00000D3A0000}"/>
    <cellStyle name="Comma 10 2 2" xfId="14370" xr:uid="{00000000-0005-0000-0000-00000E3A0000}"/>
    <cellStyle name="Comma 10 2 3" xfId="14371" xr:uid="{00000000-0005-0000-0000-00000F3A0000}"/>
    <cellStyle name="Comma 10 2 4" xfId="14372" xr:uid="{00000000-0005-0000-0000-0000103A0000}"/>
    <cellStyle name="Comma 10 2 5" xfId="14373" xr:uid="{00000000-0005-0000-0000-0000113A0000}"/>
    <cellStyle name="Comma 10 3" xfId="14374" xr:uid="{00000000-0005-0000-0000-0000123A0000}"/>
    <cellStyle name="Comma 10 3 2" xfId="14375" xr:uid="{00000000-0005-0000-0000-0000133A0000}"/>
    <cellStyle name="Comma 10 3 3" xfId="14376" xr:uid="{00000000-0005-0000-0000-0000143A0000}"/>
    <cellStyle name="Comma 10 3 4" xfId="14377" xr:uid="{00000000-0005-0000-0000-0000153A0000}"/>
    <cellStyle name="Comma 10 3 5" xfId="14378" xr:uid="{00000000-0005-0000-0000-0000163A0000}"/>
    <cellStyle name="Comma 10 4" xfId="14379" xr:uid="{00000000-0005-0000-0000-0000173A0000}"/>
    <cellStyle name="Comma 10 5" xfId="14380" xr:uid="{00000000-0005-0000-0000-0000183A0000}"/>
    <cellStyle name="Comma 10 6" xfId="14381" xr:uid="{00000000-0005-0000-0000-0000193A0000}"/>
    <cellStyle name="Comma 10 7" xfId="14382" xr:uid="{00000000-0005-0000-0000-00001A3A0000}"/>
    <cellStyle name="Comma 10 8" xfId="14383" xr:uid="{00000000-0005-0000-0000-00001B3A0000}"/>
    <cellStyle name="Comma 10 9" xfId="14384" xr:uid="{00000000-0005-0000-0000-00001C3A0000}"/>
    <cellStyle name="Comma 11" xfId="14385" xr:uid="{00000000-0005-0000-0000-00001D3A0000}"/>
    <cellStyle name="Comma 11 2" xfId="14386" xr:uid="{00000000-0005-0000-0000-00001E3A0000}"/>
    <cellStyle name="Comma 11 2 2" xfId="14387" xr:uid="{00000000-0005-0000-0000-00001F3A0000}"/>
    <cellStyle name="Comma 11 2 3" xfId="14388" xr:uid="{00000000-0005-0000-0000-0000203A0000}"/>
    <cellStyle name="Comma 11 2 4" xfId="14389" xr:uid="{00000000-0005-0000-0000-0000213A0000}"/>
    <cellStyle name="Comma 11 2 5" xfId="14390" xr:uid="{00000000-0005-0000-0000-0000223A0000}"/>
    <cellStyle name="Comma 11 3" xfId="14391" xr:uid="{00000000-0005-0000-0000-0000233A0000}"/>
    <cellStyle name="Comma 11 4" xfId="14392" xr:uid="{00000000-0005-0000-0000-0000243A0000}"/>
    <cellStyle name="Comma 11 5" xfId="14393" xr:uid="{00000000-0005-0000-0000-0000253A0000}"/>
    <cellStyle name="Comma 11 6" xfId="14394" xr:uid="{00000000-0005-0000-0000-0000263A0000}"/>
    <cellStyle name="Comma 11 7" xfId="14395" xr:uid="{00000000-0005-0000-0000-0000273A0000}"/>
    <cellStyle name="Comma 11 8" xfId="14396" xr:uid="{00000000-0005-0000-0000-0000283A0000}"/>
    <cellStyle name="Comma 12" xfId="14397" xr:uid="{00000000-0005-0000-0000-0000293A0000}"/>
    <cellStyle name="Comma 12 2" xfId="14398" xr:uid="{00000000-0005-0000-0000-00002A3A0000}"/>
    <cellStyle name="Comma 12 2 2" xfId="14399" xr:uid="{00000000-0005-0000-0000-00002B3A0000}"/>
    <cellStyle name="Comma 12 2 3" xfId="14400" xr:uid="{00000000-0005-0000-0000-00002C3A0000}"/>
    <cellStyle name="Comma 12 2 4" xfId="14401" xr:uid="{00000000-0005-0000-0000-00002D3A0000}"/>
    <cellStyle name="Comma 12 2 5" xfId="14402" xr:uid="{00000000-0005-0000-0000-00002E3A0000}"/>
    <cellStyle name="Comma 12 3" xfId="14403" xr:uid="{00000000-0005-0000-0000-00002F3A0000}"/>
    <cellStyle name="Comma 12 4" xfId="14404" xr:uid="{00000000-0005-0000-0000-0000303A0000}"/>
    <cellStyle name="Comma 12 5" xfId="14405" xr:uid="{00000000-0005-0000-0000-0000313A0000}"/>
    <cellStyle name="Comma 12 6" xfId="14406" xr:uid="{00000000-0005-0000-0000-0000323A0000}"/>
    <cellStyle name="Comma 12 7" xfId="14407" xr:uid="{00000000-0005-0000-0000-0000333A0000}"/>
    <cellStyle name="Comma 13" xfId="14408" xr:uid="{00000000-0005-0000-0000-0000343A0000}"/>
    <cellStyle name="Comma 13 2" xfId="14409" xr:uid="{00000000-0005-0000-0000-0000353A0000}"/>
    <cellStyle name="Comma 13 2 2" xfId="14410" xr:uid="{00000000-0005-0000-0000-0000363A0000}"/>
    <cellStyle name="Comma 13 2 3" xfId="14411" xr:uid="{00000000-0005-0000-0000-0000373A0000}"/>
    <cellStyle name="Comma 13 2 4" xfId="14412" xr:uid="{00000000-0005-0000-0000-0000383A0000}"/>
    <cellStyle name="Comma 13 2 5" xfId="14413" xr:uid="{00000000-0005-0000-0000-0000393A0000}"/>
    <cellStyle name="Comma 13 3" xfId="14414" xr:uid="{00000000-0005-0000-0000-00003A3A0000}"/>
    <cellStyle name="Comma 13 4" xfId="14415" xr:uid="{00000000-0005-0000-0000-00003B3A0000}"/>
    <cellStyle name="Comma 13 5" xfId="14416" xr:uid="{00000000-0005-0000-0000-00003C3A0000}"/>
    <cellStyle name="Comma 13 6" xfId="14417" xr:uid="{00000000-0005-0000-0000-00003D3A0000}"/>
    <cellStyle name="Comma 14" xfId="14418" xr:uid="{00000000-0005-0000-0000-00003E3A0000}"/>
    <cellStyle name="Comma 14 2" xfId="14419" xr:uid="{00000000-0005-0000-0000-00003F3A0000}"/>
    <cellStyle name="Comma 14 2 2" xfId="14420" xr:uid="{00000000-0005-0000-0000-0000403A0000}"/>
    <cellStyle name="Comma 14 2 3" xfId="14421" xr:uid="{00000000-0005-0000-0000-0000413A0000}"/>
    <cellStyle name="Comma 14 2 4" xfId="14422" xr:uid="{00000000-0005-0000-0000-0000423A0000}"/>
    <cellStyle name="Comma 14 2 5" xfId="14423" xr:uid="{00000000-0005-0000-0000-0000433A0000}"/>
    <cellStyle name="Comma 14 3" xfId="14424" xr:uid="{00000000-0005-0000-0000-0000443A0000}"/>
    <cellStyle name="Comma 14 3 2" xfId="14425" xr:uid="{00000000-0005-0000-0000-0000453A0000}"/>
    <cellStyle name="Comma 14 3 2 2" xfId="14426" xr:uid="{00000000-0005-0000-0000-0000463A0000}"/>
    <cellStyle name="Comma 14 3 2 3" xfId="14427" xr:uid="{00000000-0005-0000-0000-0000473A0000}"/>
    <cellStyle name="Comma 14 3 2 4" xfId="14428" xr:uid="{00000000-0005-0000-0000-0000483A0000}"/>
    <cellStyle name="Comma 14 3 3" xfId="14429" xr:uid="{00000000-0005-0000-0000-0000493A0000}"/>
    <cellStyle name="Comma 14 3 4" xfId="14430" xr:uid="{00000000-0005-0000-0000-00004A3A0000}"/>
    <cellStyle name="Comma 14 3 5" xfId="14431" xr:uid="{00000000-0005-0000-0000-00004B3A0000}"/>
    <cellStyle name="Comma 14 3 6" xfId="14432" xr:uid="{00000000-0005-0000-0000-00004C3A0000}"/>
    <cellStyle name="Comma 14 3 7" xfId="14433" xr:uid="{00000000-0005-0000-0000-00004D3A0000}"/>
    <cellStyle name="Comma 14 4" xfId="14434" xr:uid="{00000000-0005-0000-0000-00004E3A0000}"/>
    <cellStyle name="Comma 14 4 2" xfId="14435" xr:uid="{00000000-0005-0000-0000-00004F3A0000}"/>
    <cellStyle name="Comma 14 4 3" xfId="14436" xr:uid="{00000000-0005-0000-0000-0000503A0000}"/>
    <cellStyle name="Comma 14 4 4" xfId="14437" xr:uid="{00000000-0005-0000-0000-0000513A0000}"/>
    <cellStyle name="Comma 14 5" xfId="14438" xr:uid="{00000000-0005-0000-0000-0000523A0000}"/>
    <cellStyle name="Comma 14 6" xfId="14439" xr:uid="{00000000-0005-0000-0000-0000533A0000}"/>
    <cellStyle name="Comma 14 7" xfId="14440" xr:uid="{00000000-0005-0000-0000-0000543A0000}"/>
    <cellStyle name="Comma 14 8" xfId="14441" xr:uid="{00000000-0005-0000-0000-0000553A0000}"/>
    <cellStyle name="Comma 15" xfId="14442" xr:uid="{00000000-0005-0000-0000-0000563A0000}"/>
    <cellStyle name="Comma 15 2" xfId="14443" xr:uid="{00000000-0005-0000-0000-0000573A0000}"/>
    <cellStyle name="Comma 15 2 2" xfId="14444" xr:uid="{00000000-0005-0000-0000-0000583A0000}"/>
    <cellStyle name="Comma 15 2 3" xfId="14445" xr:uid="{00000000-0005-0000-0000-0000593A0000}"/>
    <cellStyle name="Comma 15 2 4" xfId="14446" xr:uid="{00000000-0005-0000-0000-00005A3A0000}"/>
    <cellStyle name="Comma 15 2 5" xfId="14447" xr:uid="{00000000-0005-0000-0000-00005B3A0000}"/>
    <cellStyle name="Comma 15 3" xfId="14448" xr:uid="{00000000-0005-0000-0000-00005C3A0000}"/>
    <cellStyle name="Comma 15 4" xfId="14449" xr:uid="{00000000-0005-0000-0000-00005D3A0000}"/>
    <cellStyle name="Comma 15 5" xfId="14450" xr:uid="{00000000-0005-0000-0000-00005E3A0000}"/>
    <cellStyle name="Comma 15 6" xfId="14451" xr:uid="{00000000-0005-0000-0000-00005F3A0000}"/>
    <cellStyle name="Comma 16" xfId="14452" xr:uid="{00000000-0005-0000-0000-0000603A0000}"/>
    <cellStyle name="Comma 16 2" xfId="14453" xr:uid="{00000000-0005-0000-0000-0000613A0000}"/>
    <cellStyle name="Comma 16 2 2" xfId="14454" xr:uid="{00000000-0005-0000-0000-0000623A0000}"/>
    <cellStyle name="Comma 16 2 3" xfId="14455" xr:uid="{00000000-0005-0000-0000-0000633A0000}"/>
    <cellStyle name="Comma 16 2 4" xfId="14456" xr:uid="{00000000-0005-0000-0000-0000643A0000}"/>
    <cellStyle name="Comma 16 2 5" xfId="14457" xr:uid="{00000000-0005-0000-0000-0000653A0000}"/>
    <cellStyle name="Comma 16 3" xfId="14458" xr:uid="{00000000-0005-0000-0000-0000663A0000}"/>
    <cellStyle name="Comma 16 3 2" xfId="14459" xr:uid="{00000000-0005-0000-0000-0000673A0000}"/>
    <cellStyle name="Comma 16 3 3" xfId="14460" xr:uid="{00000000-0005-0000-0000-0000683A0000}"/>
    <cellStyle name="Comma 16 3 4" xfId="14461" xr:uid="{00000000-0005-0000-0000-0000693A0000}"/>
    <cellStyle name="Comma 16 4" xfId="14462" xr:uid="{00000000-0005-0000-0000-00006A3A0000}"/>
    <cellStyle name="Comma 16 5" xfId="14463" xr:uid="{00000000-0005-0000-0000-00006B3A0000}"/>
    <cellStyle name="Comma 16 6" xfId="14464" xr:uid="{00000000-0005-0000-0000-00006C3A0000}"/>
    <cellStyle name="Comma 16 7" xfId="14465" xr:uid="{00000000-0005-0000-0000-00006D3A0000}"/>
    <cellStyle name="Comma 17" xfId="14466" xr:uid="{00000000-0005-0000-0000-00006E3A0000}"/>
    <cellStyle name="Comma 17 2" xfId="14467" xr:uid="{00000000-0005-0000-0000-00006F3A0000}"/>
    <cellStyle name="Comma 17 2 2" xfId="14468" xr:uid="{00000000-0005-0000-0000-0000703A0000}"/>
    <cellStyle name="Comma 17 2 3" xfId="14469" xr:uid="{00000000-0005-0000-0000-0000713A0000}"/>
    <cellStyle name="Comma 17 2 4" xfId="14470" xr:uid="{00000000-0005-0000-0000-0000723A0000}"/>
    <cellStyle name="Comma 17 2 5" xfId="14471" xr:uid="{00000000-0005-0000-0000-0000733A0000}"/>
    <cellStyle name="Comma 17 3" xfId="14472" xr:uid="{00000000-0005-0000-0000-0000743A0000}"/>
    <cellStyle name="Comma 17 3 2" xfId="14473" xr:uid="{00000000-0005-0000-0000-0000753A0000}"/>
    <cellStyle name="Comma 17 3 3" xfId="14474" xr:uid="{00000000-0005-0000-0000-0000763A0000}"/>
    <cellStyle name="Comma 17 3 4" xfId="14475" xr:uid="{00000000-0005-0000-0000-0000773A0000}"/>
    <cellStyle name="Comma 17 4" xfId="14476" xr:uid="{00000000-0005-0000-0000-0000783A0000}"/>
    <cellStyle name="Comma 17 5" xfId="14477" xr:uid="{00000000-0005-0000-0000-0000793A0000}"/>
    <cellStyle name="Comma 17 6" xfId="14478" xr:uid="{00000000-0005-0000-0000-00007A3A0000}"/>
    <cellStyle name="Comma 17 7" xfId="14479" xr:uid="{00000000-0005-0000-0000-00007B3A0000}"/>
    <cellStyle name="Comma 18" xfId="14480" xr:uid="{00000000-0005-0000-0000-00007C3A0000}"/>
    <cellStyle name="Comma 18 2" xfId="14481" xr:uid="{00000000-0005-0000-0000-00007D3A0000}"/>
    <cellStyle name="Comma 18 2 2" xfId="14482" xr:uid="{00000000-0005-0000-0000-00007E3A0000}"/>
    <cellStyle name="Comma 18 2 3" xfId="14483" xr:uid="{00000000-0005-0000-0000-00007F3A0000}"/>
    <cellStyle name="Comma 18 2 4" xfId="14484" xr:uid="{00000000-0005-0000-0000-0000803A0000}"/>
    <cellStyle name="Comma 18 2 5" xfId="14485" xr:uid="{00000000-0005-0000-0000-0000813A0000}"/>
    <cellStyle name="Comma 18 3" xfId="14486" xr:uid="{00000000-0005-0000-0000-0000823A0000}"/>
    <cellStyle name="Comma 18 3 2" xfId="14487" xr:uid="{00000000-0005-0000-0000-0000833A0000}"/>
    <cellStyle name="Comma 18 3 3" xfId="14488" xr:uid="{00000000-0005-0000-0000-0000843A0000}"/>
    <cellStyle name="Comma 18 3 4" xfId="14489" xr:uid="{00000000-0005-0000-0000-0000853A0000}"/>
    <cellStyle name="Comma 18 4" xfId="14490" xr:uid="{00000000-0005-0000-0000-0000863A0000}"/>
    <cellStyle name="Comma 18 5" xfId="14491" xr:uid="{00000000-0005-0000-0000-0000873A0000}"/>
    <cellStyle name="Comma 18 6" xfId="14492" xr:uid="{00000000-0005-0000-0000-0000883A0000}"/>
    <cellStyle name="Comma 19" xfId="14493" xr:uid="{00000000-0005-0000-0000-0000893A0000}"/>
    <cellStyle name="Comma 19 2" xfId="14494" xr:uid="{00000000-0005-0000-0000-00008A3A0000}"/>
    <cellStyle name="Comma 19 2 2" xfId="14495" xr:uid="{00000000-0005-0000-0000-00008B3A0000}"/>
    <cellStyle name="Comma 19 2 3" xfId="14496" xr:uid="{00000000-0005-0000-0000-00008C3A0000}"/>
    <cellStyle name="Comma 19 2 4" xfId="14497" xr:uid="{00000000-0005-0000-0000-00008D3A0000}"/>
    <cellStyle name="Comma 19 2 5" xfId="14498" xr:uid="{00000000-0005-0000-0000-00008E3A0000}"/>
    <cellStyle name="Comma 19 3" xfId="14499" xr:uid="{00000000-0005-0000-0000-00008F3A0000}"/>
    <cellStyle name="Comma 19 3 2" xfId="14500" xr:uid="{00000000-0005-0000-0000-0000903A0000}"/>
    <cellStyle name="Comma 19 3 3" xfId="14501" xr:uid="{00000000-0005-0000-0000-0000913A0000}"/>
    <cellStyle name="Comma 19 3 4" xfId="14502" xr:uid="{00000000-0005-0000-0000-0000923A0000}"/>
    <cellStyle name="Comma 19 4" xfId="14503" xr:uid="{00000000-0005-0000-0000-0000933A0000}"/>
    <cellStyle name="Comma 19 5" xfId="14504" xr:uid="{00000000-0005-0000-0000-0000943A0000}"/>
    <cellStyle name="Comma 19 6" xfId="14505" xr:uid="{00000000-0005-0000-0000-0000953A0000}"/>
    <cellStyle name="Comma 2" xfId="14506" xr:uid="{00000000-0005-0000-0000-0000963A0000}"/>
    <cellStyle name="Comma 2 10" xfId="14507" xr:uid="{00000000-0005-0000-0000-0000973A0000}"/>
    <cellStyle name="Comma 2 10 2" xfId="14508" xr:uid="{00000000-0005-0000-0000-0000983A0000}"/>
    <cellStyle name="Comma 2 11" xfId="14509" xr:uid="{00000000-0005-0000-0000-0000993A0000}"/>
    <cellStyle name="Comma 2 11 2" xfId="14510" xr:uid="{00000000-0005-0000-0000-00009A3A0000}"/>
    <cellStyle name="Comma 2 12" xfId="14511" xr:uid="{00000000-0005-0000-0000-00009B3A0000}"/>
    <cellStyle name="Comma 2 12 2" xfId="14512" xr:uid="{00000000-0005-0000-0000-00009C3A0000}"/>
    <cellStyle name="Comma 2 13" xfId="14513" xr:uid="{00000000-0005-0000-0000-00009D3A0000}"/>
    <cellStyle name="Comma 2 14" xfId="14514" xr:uid="{00000000-0005-0000-0000-00009E3A0000}"/>
    <cellStyle name="Comma 2 2" xfId="14515" xr:uid="{00000000-0005-0000-0000-00009F3A0000}"/>
    <cellStyle name="Comma 2 2 2" xfId="14516" xr:uid="{00000000-0005-0000-0000-0000A03A0000}"/>
    <cellStyle name="Comma 2 2 2 2" xfId="14517" xr:uid="{00000000-0005-0000-0000-0000A13A0000}"/>
    <cellStyle name="Comma 2 2 2 3" xfId="14518" xr:uid="{00000000-0005-0000-0000-0000A23A0000}"/>
    <cellStyle name="Comma 2 2 2 4" xfId="14519" xr:uid="{00000000-0005-0000-0000-0000A33A0000}"/>
    <cellStyle name="Comma 2 2 2 5" xfId="14520" xr:uid="{00000000-0005-0000-0000-0000A43A0000}"/>
    <cellStyle name="Comma 2 2 3" xfId="14521" xr:uid="{00000000-0005-0000-0000-0000A53A0000}"/>
    <cellStyle name="Comma 2 2 3 2" xfId="14522" xr:uid="{00000000-0005-0000-0000-0000A63A0000}"/>
    <cellStyle name="Comma 2 2 3 3" xfId="14523" xr:uid="{00000000-0005-0000-0000-0000A73A0000}"/>
    <cellStyle name="Comma 2 2 3 4" xfId="14524" xr:uid="{00000000-0005-0000-0000-0000A83A0000}"/>
    <cellStyle name="Comma 2 2 4" xfId="14525" xr:uid="{00000000-0005-0000-0000-0000A93A0000}"/>
    <cellStyle name="Comma 2 2 5" xfId="14526" xr:uid="{00000000-0005-0000-0000-0000AA3A0000}"/>
    <cellStyle name="Comma 2 2 6" xfId="14527" xr:uid="{00000000-0005-0000-0000-0000AB3A0000}"/>
    <cellStyle name="Comma 2 3" xfId="14528" xr:uid="{00000000-0005-0000-0000-0000AC3A0000}"/>
    <cellStyle name="Comma 2 3 2" xfId="14529" xr:uid="{00000000-0005-0000-0000-0000AD3A0000}"/>
    <cellStyle name="Comma 2 3 2 2" xfId="14530" xr:uid="{00000000-0005-0000-0000-0000AE3A0000}"/>
    <cellStyle name="Comma 2 3 2 3" xfId="14531" xr:uid="{00000000-0005-0000-0000-0000AF3A0000}"/>
    <cellStyle name="Comma 2 3 2 4" xfId="14532" xr:uid="{00000000-0005-0000-0000-0000B03A0000}"/>
    <cellStyle name="Comma 2 3 2 5" xfId="14533" xr:uid="{00000000-0005-0000-0000-0000B13A0000}"/>
    <cellStyle name="Comma 2 3 3" xfId="14534" xr:uid="{00000000-0005-0000-0000-0000B23A0000}"/>
    <cellStyle name="Comma 2 3 4" xfId="14535" xr:uid="{00000000-0005-0000-0000-0000B33A0000}"/>
    <cellStyle name="Comma 2 3 5" xfId="14536" xr:uid="{00000000-0005-0000-0000-0000B43A0000}"/>
    <cellStyle name="Comma 2 3 6" xfId="14537" xr:uid="{00000000-0005-0000-0000-0000B53A0000}"/>
    <cellStyle name="Comma 2 3 7" xfId="14538" xr:uid="{00000000-0005-0000-0000-0000B63A0000}"/>
    <cellStyle name="Comma 2 3 8" xfId="14539" xr:uid="{00000000-0005-0000-0000-0000B73A0000}"/>
    <cellStyle name="Comma 2 4" xfId="14540" xr:uid="{00000000-0005-0000-0000-0000B83A0000}"/>
    <cellStyle name="Comma 2 4 2" xfId="14541" xr:uid="{00000000-0005-0000-0000-0000B93A0000}"/>
    <cellStyle name="Comma 2 4 3" xfId="14542" xr:uid="{00000000-0005-0000-0000-0000BA3A0000}"/>
    <cellStyle name="Comma 2 4 4" xfId="14543" xr:uid="{00000000-0005-0000-0000-0000BB3A0000}"/>
    <cellStyle name="Comma 2 4 5" xfId="14544" xr:uid="{00000000-0005-0000-0000-0000BC3A0000}"/>
    <cellStyle name="Comma 2 4 6" xfId="14545" xr:uid="{00000000-0005-0000-0000-0000BD3A0000}"/>
    <cellStyle name="Comma 2 5" xfId="14546" xr:uid="{00000000-0005-0000-0000-0000BE3A0000}"/>
    <cellStyle name="Comma 2 5 2" xfId="14547" xr:uid="{00000000-0005-0000-0000-0000BF3A0000}"/>
    <cellStyle name="Comma 2 5 2 2" xfId="14548" xr:uid="{00000000-0005-0000-0000-0000C03A0000}"/>
    <cellStyle name="Comma 2 5 2 3" xfId="14549" xr:uid="{00000000-0005-0000-0000-0000C13A0000}"/>
    <cellStyle name="Comma 2 5 2 4" xfId="14550" xr:uid="{00000000-0005-0000-0000-0000C23A0000}"/>
    <cellStyle name="Comma 2 5 2 5" xfId="14551" xr:uid="{00000000-0005-0000-0000-0000C33A0000}"/>
    <cellStyle name="Comma 2 5 3" xfId="14552" xr:uid="{00000000-0005-0000-0000-0000C43A0000}"/>
    <cellStyle name="Comma 2 5 4" xfId="14553" xr:uid="{00000000-0005-0000-0000-0000C53A0000}"/>
    <cellStyle name="Comma 2 5 5" xfId="14554" xr:uid="{00000000-0005-0000-0000-0000C63A0000}"/>
    <cellStyle name="Comma 2 5 6" xfId="14555" xr:uid="{00000000-0005-0000-0000-0000C73A0000}"/>
    <cellStyle name="Comma 2 6" xfId="14556" xr:uid="{00000000-0005-0000-0000-0000C83A0000}"/>
    <cellStyle name="Comma 2 6 2" xfId="14557" xr:uid="{00000000-0005-0000-0000-0000C93A0000}"/>
    <cellStyle name="Comma 2 6 3" xfId="14558" xr:uid="{00000000-0005-0000-0000-0000CA3A0000}"/>
    <cellStyle name="Comma 2 6 4" xfId="14559" xr:uid="{00000000-0005-0000-0000-0000CB3A0000}"/>
    <cellStyle name="Comma 2 6 5" xfId="14560" xr:uid="{00000000-0005-0000-0000-0000CC3A0000}"/>
    <cellStyle name="Comma 2 6 6" xfId="14561" xr:uid="{00000000-0005-0000-0000-0000CD3A0000}"/>
    <cellStyle name="Comma 2 7" xfId="14562" xr:uid="{00000000-0005-0000-0000-0000CE3A0000}"/>
    <cellStyle name="Comma 2 7 2" xfId="14563" xr:uid="{00000000-0005-0000-0000-0000CF3A0000}"/>
    <cellStyle name="Comma 2 7 3" xfId="14564" xr:uid="{00000000-0005-0000-0000-0000D03A0000}"/>
    <cellStyle name="Comma 2 7 4" xfId="14565" xr:uid="{00000000-0005-0000-0000-0000D13A0000}"/>
    <cellStyle name="Comma 2 7 5" xfId="14566" xr:uid="{00000000-0005-0000-0000-0000D23A0000}"/>
    <cellStyle name="Comma 2 8" xfId="14567" xr:uid="{00000000-0005-0000-0000-0000D33A0000}"/>
    <cellStyle name="Comma 2 8 2" xfId="14568" xr:uid="{00000000-0005-0000-0000-0000D43A0000}"/>
    <cellStyle name="Comma 2 8 3" xfId="14569" xr:uid="{00000000-0005-0000-0000-0000D53A0000}"/>
    <cellStyle name="Comma 2 8 4" xfId="14570" xr:uid="{00000000-0005-0000-0000-0000D63A0000}"/>
    <cellStyle name="Comma 2 8 5" xfId="14571" xr:uid="{00000000-0005-0000-0000-0000D73A0000}"/>
    <cellStyle name="Comma 2 9" xfId="14572" xr:uid="{00000000-0005-0000-0000-0000D83A0000}"/>
    <cellStyle name="Comma 2 9 2" xfId="14573" xr:uid="{00000000-0005-0000-0000-0000D93A0000}"/>
    <cellStyle name="Comma 2 9 3" xfId="14574" xr:uid="{00000000-0005-0000-0000-0000DA3A0000}"/>
    <cellStyle name="Comma 2 9 4" xfId="14575" xr:uid="{00000000-0005-0000-0000-0000DB3A0000}"/>
    <cellStyle name="Comma 2 9 5" xfId="14576" xr:uid="{00000000-0005-0000-0000-0000DC3A0000}"/>
    <cellStyle name="Comma 2_MX-636 ST Cloud 02-25-10" xfId="25120" xr:uid="{00000000-0005-0000-0000-0000DD3A0000}"/>
    <cellStyle name="Comma 20" xfId="14577" xr:uid="{00000000-0005-0000-0000-0000DE3A0000}"/>
    <cellStyle name="Comma 20 2" xfId="14578" xr:uid="{00000000-0005-0000-0000-0000DF3A0000}"/>
    <cellStyle name="Comma 20 2 2" xfId="14579" xr:uid="{00000000-0005-0000-0000-0000E03A0000}"/>
    <cellStyle name="Comma 20 2 3" xfId="14580" xr:uid="{00000000-0005-0000-0000-0000E13A0000}"/>
    <cellStyle name="Comma 20 2 4" xfId="14581" xr:uid="{00000000-0005-0000-0000-0000E23A0000}"/>
    <cellStyle name="Comma 20 2 5" xfId="14582" xr:uid="{00000000-0005-0000-0000-0000E33A0000}"/>
    <cellStyle name="Comma 20 3" xfId="14583" xr:uid="{00000000-0005-0000-0000-0000E43A0000}"/>
    <cellStyle name="Comma 20 3 2" xfId="14584" xr:uid="{00000000-0005-0000-0000-0000E53A0000}"/>
    <cellStyle name="Comma 20 3 3" xfId="14585" xr:uid="{00000000-0005-0000-0000-0000E63A0000}"/>
    <cellStyle name="Comma 20 3 4" xfId="14586" xr:uid="{00000000-0005-0000-0000-0000E73A0000}"/>
    <cellStyle name="Comma 20 4" xfId="14587" xr:uid="{00000000-0005-0000-0000-0000E83A0000}"/>
    <cellStyle name="Comma 20 5" xfId="14588" xr:uid="{00000000-0005-0000-0000-0000E93A0000}"/>
    <cellStyle name="Comma 20 6" xfId="14589" xr:uid="{00000000-0005-0000-0000-0000EA3A0000}"/>
    <cellStyle name="Comma 21" xfId="14590" xr:uid="{00000000-0005-0000-0000-0000EB3A0000}"/>
    <cellStyle name="Comma 21 2" xfId="14591" xr:uid="{00000000-0005-0000-0000-0000EC3A0000}"/>
    <cellStyle name="Comma 21 2 2" xfId="14592" xr:uid="{00000000-0005-0000-0000-0000ED3A0000}"/>
    <cellStyle name="Comma 21 2 3" xfId="14593" xr:uid="{00000000-0005-0000-0000-0000EE3A0000}"/>
    <cellStyle name="Comma 21 2 4" xfId="14594" xr:uid="{00000000-0005-0000-0000-0000EF3A0000}"/>
    <cellStyle name="Comma 21 2 5" xfId="14595" xr:uid="{00000000-0005-0000-0000-0000F03A0000}"/>
    <cellStyle name="Comma 21 3" xfId="14596" xr:uid="{00000000-0005-0000-0000-0000F13A0000}"/>
    <cellStyle name="Comma 21 4" xfId="14597" xr:uid="{00000000-0005-0000-0000-0000F23A0000}"/>
    <cellStyle name="Comma 21 5" xfId="14598" xr:uid="{00000000-0005-0000-0000-0000F33A0000}"/>
    <cellStyle name="Comma 21 6" xfId="14599" xr:uid="{00000000-0005-0000-0000-0000F43A0000}"/>
    <cellStyle name="Comma 22" xfId="14600" xr:uid="{00000000-0005-0000-0000-0000F53A0000}"/>
    <cellStyle name="Comma 22 2" xfId="14601" xr:uid="{00000000-0005-0000-0000-0000F63A0000}"/>
    <cellStyle name="Comma 22 2 2" xfId="14602" xr:uid="{00000000-0005-0000-0000-0000F73A0000}"/>
    <cellStyle name="Comma 22 2 3" xfId="14603" xr:uid="{00000000-0005-0000-0000-0000F83A0000}"/>
    <cellStyle name="Comma 22 2 4" xfId="14604" xr:uid="{00000000-0005-0000-0000-0000F93A0000}"/>
    <cellStyle name="Comma 22 2 5" xfId="14605" xr:uid="{00000000-0005-0000-0000-0000FA3A0000}"/>
    <cellStyle name="Comma 22 3" xfId="14606" xr:uid="{00000000-0005-0000-0000-0000FB3A0000}"/>
    <cellStyle name="Comma 22 4" xfId="14607" xr:uid="{00000000-0005-0000-0000-0000FC3A0000}"/>
    <cellStyle name="Comma 22 5" xfId="14608" xr:uid="{00000000-0005-0000-0000-0000FD3A0000}"/>
    <cellStyle name="Comma 22 6" xfId="14609" xr:uid="{00000000-0005-0000-0000-0000FE3A0000}"/>
    <cellStyle name="Comma 23" xfId="14610" xr:uid="{00000000-0005-0000-0000-0000FF3A0000}"/>
    <cellStyle name="Comma 23 2" xfId="14611" xr:uid="{00000000-0005-0000-0000-0000003B0000}"/>
    <cellStyle name="Comma 23 2 2" xfId="14612" xr:uid="{00000000-0005-0000-0000-0000013B0000}"/>
    <cellStyle name="Comma 23 2 3" xfId="14613" xr:uid="{00000000-0005-0000-0000-0000023B0000}"/>
    <cellStyle name="Comma 23 2 4" xfId="14614" xr:uid="{00000000-0005-0000-0000-0000033B0000}"/>
    <cellStyle name="Comma 23 2 5" xfId="14615" xr:uid="{00000000-0005-0000-0000-0000043B0000}"/>
    <cellStyle name="Comma 23 3" xfId="14616" xr:uid="{00000000-0005-0000-0000-0000053B0000}"/>
    <cellStyle name="Comma 23 4" xfId="14617" xr:uid="{00000000-0005-0000-0000-0000063B0000}"/>
    <cellStyle name="Comma 23 5" xfId="14618" xr:uid="{00000000-0005-0000-0000-0000073B0000}"/>
    <cellStyle name="Comma 23 6" xfId="14619" xr:uid="{00000000-0005-0000-0000-0000083B0000}"/>
    <cellStyle name="Comma 24" xfId="14620" xr:uid="{00000000-0005-0000-0000-0000093B0000}"/>
    <cellStyle name="Comma 24 2" xfId="14621" xr:uid="{00000000-0005-0000-0000-00000A3B0000}"/>
    <cellStyle name="Comma 24 2 2" xfId="14622" xr:uid="{00000000-0005-0000-0000-00000B3B0000}"/>
    <cellStyle name="Comma 24 2 3" xfId="14623" xr:uid="{00000000-0005-0000-0000-00000C3B0000}"/>
    <cellStyle name="Comma 24 2 4" xfId="14624" xr:uid="{00000000-0005-0000-0000-00000D3B0000}"/>
    <cellStyle name="Comma 24 2 5" xfId="14625" xr:uid="{00000000-0005-0000-0000-00000E3B0000}"/>
    <cellStyle name="Comma 24 3" xfId="14626" xr:uid="{00000000-0005-0000-0000-00000F3B0000}"/>
    <cellStyle name="Comma 24 4" xfId="14627" xr:uid="{00000000-0005-0000-0000-0000103B0000}"/>
    <cellStyle name="Comma 24 5" xfId="14628" xr:uid="{00000000-0005-0000-0000-0000113B0000}"/>
    <cellStyle name="Comma 24 6" xfId="14629" xr:uid="{00000000-0005-0000-0000-0000123B0000}"/>
    <cellStyle name="Comma 25" xfId="14630" xr:uid="{00000000-0005-0000-0000-0000133B0000}"/>
    <cellStyle name="Comma 25 2" xfId="14631" xr:uid="{00000000-0005-0000-0000-0000143B0000}"/>
    <cellStyle name="Comma 25 2 2" xfId="14632" xr:uid="{00000000-0005-0000-0000-0000153B0000}"/>
    <cellStyle name="Comma 25 2 3" xfId="14633" xr:uid="{00000000-0005-0000-0000-0000163B0000}"/>
    <cellStyle name="Comma 25 2 4" xfId="14634" xr:uid="{00000000-0005-0000-0000-0000173B0000}"/>
    <cellStyle name="Comma 25 2 5" xfId="14635" xr:uid="{00000000-0005-0000-0000-0000183B0000}"/>
    <cellStyle name="Comma 25 3" xfId="14636" xr:uid="{00000000-0005-0000-0000-0000193B0000}"/>
    <cellStyle name="Comma 25 4" xfId="14637" xr:uid="{00000000-0005-0000-0000-00001A3B0000}"/>
    <cellStyle name="Comma 25 5" xfId="14638" xr:uid="{00000000-0005-0000-0000-00001B3B0000}"/>
    <cellStyle name="Comma 25 6" xfId="14639" xr:uid="{00000000-0005-0000-0000-00001C3B0000}"/>
    <cellStyle name="Comma 26" xfId="14640" xr:uid="{00000000-0005-0000-0000-00001D3B0000}"/>
    <cellStyle name="Comma 26 2" xfId="14641" xr:uid="{00000000-0005-0000-0000-00001E3B0000}"/>
    <cellStyle name="Comma 26 2 2" xfId="14642" xr:uid="{00000000-0005-0000-0000-00001F3B0000}"/>
    <cellStyle name="Comma 26 2 3" xfId="14643" xr:uid="{00000000-0005-0000-0000-0000203B0000}"/>
    <cellStyle name="Comma 26 2 4" xfId="14644" xr:uid="{00000000-0005-0000-0000-0000213B0000}"/>
    <cellStyle name="Comma 26 2 5" xfId="14645" xr:uid="{00000000-0005-0000-0000-0000223B0000}"/>
    <cellStyle name="Comma 26 3" xfId="14646" xr:uid="{00000000-0005-0000-0000-0000233B0000}"/>
    <cellStyle name="Comma 26 4" xfId="14647" xr:uid="{00000000-0005-0000-0000-0000243B0000}"/>
    <cellStyle name="Comma 26 5" xfId="14648" xr:uid="{00000000-0005-0000-0000-0000253B0000}"/>
    <cellStyle name="Comma 26 6" xfId="14649" xr:uid="{00000000-0005-0000-0000-0000263B0000}"/>
    <cellStyle name="Comma 27" xfId="14650" xr:uid="{00000000-0005-0000-0000-0000273B0000}"/>
    <cellStyle name="Comma 27 2" xfId="14651" xr:uid="{00000000-0005-0000-0000-0000283B0000}"/>
    <cellStyle name="Comma 27 2 2" xfId="14652" xr:uid="{00000000-0005-0000-0000-0000293B0000}"/>
    <cellStyle name="Comma 27 2 3" xfId="14653" xr:uid="{00000000-0005-0000-0000-00002A3B0000}"/>
    <cellStyle name="Comma 27 2 4" xfId="14654" xr:uid="{00000000-0005-0000-0000-00002B3B0000}"/>
    <cellStyle name="Comma 27 2 5" xfId="14655" xr:uid="{00000000-0005-0000-0000-00002C3B0000}"/>
    <cellStyle name="Comma 27 3" xfId="14656" xr:uid="{00000000-0005-0000-0000-00002D3B0000}"/>
    <cellStyle name="Comma 27 4" xfId="14657" xr:uid="{00000000-0005-0000-0000-00002E3B0000}"/>
    <cellStyle name="Comma 27 5" xfId="14658" xr:uid="{00000000-0005-0000-0000-00002F3B0000}"/>
    <cellStyle name="Comma 28" xfId="14659" xr:uid="{00000000-0005-0000-0000-0000303B0000}"/>
    <cellStyle name="Comma 28 2" xfId="14660" xr:uid="{00000000-0005-0000-0000-0000313B0000}"/>
    <cellStyle name="Comma 28 2 2" xfId="14661" xr:uid="{00000000-0005-0000-0000-0000323B0000}"/>
    <cellStyle name="Comma 28 2 3" xfId="14662" xr:uid="{00000000-0005-0000-0000-0000333B0000}"/>
    <cellStyle name="Comma 28 2 4" xfId="14663" xr:uid="{00000000-0005-0000-0000-0000343B0000}"/>
    <cellStyle name="Comma 28 2 5" xfId="14664" xr:uid="{00000000-0005-0000-0000-0000353B0000}"/>
    <cellStyle name="Comma 28 3" xfId="14665" xr:uid="{00000000-0005-0000-0000-0000363B0000}"/>
    <cellStyle name="Comma 28 4" xfId="14666" xr:uid="{00000000-0005-0000-0000-0000373B0000}"/>
    <cellStyle name="Comma 28 5" xfId="14667" xr:uid="{00000000-0005-0000-0000-0000383B0000}"/>
    <cellStyle name="Comma 29" xfId="14668" xr:uid="{00000000-0005-0000-0000-0000393B0000}"/>
    <cellStyle name="Comma 29 2" xfId="14669" xr:uid="{00000000-0005-0000-0000-00003A3B0000}"/>
    <cellStyle name="Comma 29 3" xfId="14670" xr:uid="{00000000-0005-0000-0000-00003B3B0000}"/>
    <cellStyle name="Comma 29 4" xfId="14671" xr:uid="{00000000-0005-0000-0000-00003C3B0000}"/>
    <cellStyle name="Comma 3" xfId="14672" xr:uid="{00000000-0005-0000-0000-00003D3B0000}"/>
    <cellStyle name="Comma 3 2" xfId="14673" xr:uid="{00000000-0005-0000-0000-00003E3B0000}"/>
    <cellStyle name="Comma 3 2 2" xfId="14674" xr:uid="{00000000-0005-0000-0000-00003F3B0000}"/>
    <cellStyle name="Comma 3 2 3" xfId="14675" xr:uid="{00000000-0005-0000-0000-0000403B0000}"/>
    <cellStyle name="Comma 3 2 4" xfId="14676" xr:uid="{00000000-0005-0000-0000-0000413B0000}"/>
    <cellStyle name="Comma 3 2 5" xfId="14677" xr:uid="{00000000-0005-0000-0000-0000423B0000}"/>
    <cellStyle name="Comma 3 2 6" xfId="14678" xr:uid="{00000000-0005-0000-0000-0000433B0000}"/>
    <cellStyle name="Comma 3 3" xfId="14679" xr:uid="{00000000-0005-0000-0000-0000443B0000}"/>
    <cellStyle name="Comma 3 3 2" xfId="14680" xr:uid="{00000000-0005-0000-0000-0000453B0000}"/>
    <cellStyle name="Comma 3 3 2 2" xfId="14681" xr:uid="{00000000-0005-0000-0000-0000463B0000}"/>
    <cellStyle name="Comma 3 3 2 2 2" xfId="14682" xr:uid="{00000000-0005-0000-0000-0000473B0000}"/>
    <cellStyle name="Comma 3 3 2 2 3" xfId="14683" xr:uid="{00000000-0005-0000-0000-0000483B0000}"/>
    <cellStyle name="Comma 3 3 2 2 4" xfId="14684" xr:uid="{00000000-0005-0000-0000-0000493B0000}"/>
    <cellStyle name="Comma 3 3 2 2 5" xfId="14685" xr:uid="{00000000-0005-0000-0000-00004A3B0000}"/>
    <cellStyle name="Comma 3 3 2 3" xfId="14686" xr:uid="{00000000-0005-0000-0000-00004B3B0000}"/>
    <cellStyle name="Comma 3 3 2 4" xfId="14687" xr:uid="{00000000-0005-0000-0000-00004C3B0000}"/>
    <cellStyle name="Comma 3 3 2 5" xfId="14688" xr:uid="{00000000-0005-0000-0000-00004D3B0000}"/>
    <cellStyle name="Comma 3 3 2 6" xfId="14689" xr:uid="{00000000-0005-0000-0000-00004E3B0000}"/>
    <cellStyle name="Comma 3 3 3" xfId="14690" xr:uid="{00000000-0005-0000-0000-00004F3B0000}"/>
    <cellStyle name="Comma 3 3 4" xfId="14691" xr:uid="{00000000-0005-0000-0000-0000503B0000}"/>
    <cellStyle name="Comma 3 3 5" xfId="14692" xr:uid="{00000000-0005-0000-0000-0000513B0000}"/>
    <cellStyle name="Comma 3 4" xfId="14693" xr:uid="{00000000-0005-0000-0000-0000523B0000}"/>
    <cellStyle name="Comma 3 4 2" xfId="14694" xr:uid="{00000000-0005-0000-0000-0000533B0000}"/>
    <cellStyle name="Comma 3 4 3" xfId="14695" xr:uid="{00000000-0005-0000-0000-0000543B0000}"/>
    <cellStyle name="Comma 3 4 4" xfId="14696" xr:uid="{00000000-0005-0000-0000-0000553B0000}"/>
    <cellStyle name="Comma 3 5" xfId="14697" xr:uid="{00000000-0005-0000-0000-0000563B0000}"/>
    <cellStyle name="Comma 3 5 2" xfId="25121" xr:uid="{00000000-0005-0000-0000-0000573B0000}"/>
    <cellStyle name="Comma 3 6" xfId="14698" xr:uid="{00000000-0005-0000-0000-0000583B0000}"/>
    <cellStyle name="Comma 3 7" xfId="14699" xr:uid="{00000000-0005-0000-0000-0000593B0000}"/>
    <cellStyle name="Comma 3 8" xfId="14700" xr:uid="{00000000-0005-0000-0000-00005A3B0000}"/>
    <cellStyle name="Comma 30" xfId="14701" xr:uid="{00000000-0005-0000-0000-00005B3B0000}"/>
    <cellStyle name="Comma 30 2" xfId="14702" xr:uid="{00000000-0005-0000-0000-00005C3B0000}"/>
    <cellStyle name="Comma 30 3" xfId="14703" xr:uid="{00000000-0005-0000-0000-00005D3B0000}"/>
    <cellStyle name="Comma 30 4" xfId="14704" xr:uid="{00000000-0005-0000-0000-00005E3B0000}"/>
    <cellStyle name="Comma 31" xfId="14705" xr:uid="{00000000-0005-0000-0000-00005F3B0000}"/>
    <cellStyle name="Comma 31 2" xfId="14706" xr:uid="{00000000-0005-0000-0000-0000603B0000}"/>
    <cellStyle name="Comma 31 3" xfId="14707" xr:uid="{00000000-0005-0000-0000-0000613B0000}"/>
    <cellStyle name="Comma 31 4" xfId="14708" xr:uid="{00000000-0005-0000-0000-0000623B0000}"/>
    <cellStyle name="Comma 32" xfId="14709" xr:uid="{00000000-0005-0000-0000-0000633B0000}"/>
    <cellStyle name="Comma 32 2" xfId="14710" xr:uid="{00000000-0005-0000-0000-0000643B0000}"/>
    <cellStyle name="Comma 32 3" xfId="14711" xr:uid="{00000000-0005-0000-0000-0000653B0000}"/>
    <cellStyle name="Comma 32 4" xfId="14712" xr:uid="{00000000-0005-0000-0000-0000663B0000}"/>
    <cellStyle name="Comma 33" xfId="14713" xr:uid="{00000000-0005-0000-0000-0000673B0000}"/>
    <cellStyle name="Comma 34" xfId="14714" xr:uid="{00000000-0005-0000-0000-0000683B0000}"/>
    <cellStyle name="Comma 34 2" xfId="14715" xr:uid="{00000000-0005-0000-0000-0000693B0000}"/>
    <cellStyle name="Comma 34 3" xfId="14716" xr:uid="{00000000-0005-0000-0000-00006A3B0000}"/>
    <cellStyle name="Comma 34 4" xfId="14717" xr:uid="{00000000-0005-0000-0000-00006B3B0000}"/>
    <cellStyle name="Comma 35" xfId="14718" xr:uid="{00000000-0005-0000-0000-00006C3B0000}"/>
    <cellStyle name="Comma 35 2" xfId="14719" xr:uid="{00000000-0005-0000-0000-00006D3B0000}"/>
    <cellStyle name="Comma 35 3" xfId="14720" xr:uid="{00000000-0005-0000-0000-00006E3B0000}"/>
    <cellStyle name="Comma 36" xfId="14721" xr:uid="{00000000-0005-0000-0000-00006F3B0000}"/>
    <cellStyle name="Comma 36 2" xfId="14722" xr:uid="{00000000-0005-0000-0000-0000703B0000}"/>
    <cellStyle name="Comma 36 3" xfId="14723" xr:uid="{00000000-0005-0000-0000-0000713B0000}"/>
    <cellStyle name="Comma 37" xfId="14724" xr:uid="{00000000-0005-0000-0000-0000723B0000}"/>
    <cellStyle name="Comma 37 2" xfId="14725" xr:uid="{00000000-0005-0000-0000-0000733B0000}"/>
    <cellStyle name="Comma 37 3" xfId="14726" xr:uid="{00000000-0005-0000-0000-0000743B0000}"/>
    <cellStyle name="Comma 38" xfId="14727" xr:uid="{00000000-0005-0000-0000-0000753B0000}"/>
    <cellStyle name="Comma 38 2" xfId="14728" xr:uid="{00000000-0005-0000-0000-0000763B0000}"/>
    <cellStyle name="Comma 38 3" xfId="14729" xr:uid="{00000000-0005-0000-0000-0000773B0000}"/>
    <cellStyle name="Comma 39" xfId="14730" xr:uid="{00000000-0005-0000-0000-0000783B0000}"/>
    <cellStyle name="Comma 39 2" xfId="14731" xr:uid="{00000000-0005-0000-0000-0000793B0000}"/>
    <cellStyle name="Comma 39 3" xfId="14732" xr:uid="{00000000-0005-0000-0000-00007A3B0000}"/>
    <cellStyle name="Comma 4" xfId="14733" xr:uid="{00000000-0005-0000-0000-00007B3B0000}"/>
    <cellStyle name="Comma 4 2" xfId="14734" xr:uid="{00000000-0005-0000-0000-00007C3B0000}"/>
    <cellStyle name="Comma 4 2 2" xfId="14735" xr:uid="{00000000-0005-0000-0000-00007D3B0000}"/>
    <cellStyle name="Comma 4 2 2 2" xfId="14736" xr:uid="{00000000-0005-0000-0000-00007E3B0000}"/>
    <cellStyle name="Comma 4 2 2 3" xfId="14737" xr:uid="{00000000-0005-0000-0000-00007F3B0000}"/>
    <cellStyle name="Comma 4 2 2 4" xfId="14738" xr:uid="{00000000-0005-0000-0000-0000803B0000}"/>
    <cellStyle name="Comma 4 2 2 5" xfId="14739" xr:uid="{00000000-0005-0000-0000-0000813B0000}"/>
    <cellStyle name="Comma 4 2 2 6" xfId="14740" xr:uid="{00000000-0005-0000-0000-0000823B0000}"/>
    <cellStyle name="Comma 4 2 3" xfId="14741" xr:uid="{00000000-0005-0000-0000-0000833B0000}"/>
    <cellStyle name="Comma 4 2 3 2" xfId="14742" xr:uid="{00000000-0005-0000-0000-0000843B0000}"/>
    <cellStyle name="Comma 4 2 3 3" xfId="14743" xr:uid="{00000000-0005-0000-0000-0000853B0000}"/>
    <cellStyle name="Comma 4 2 3 4" xfId="14744" xr:uid="{00000000-0005-0000-0000-0000863B0000}"/>
    <cellStyle name="Comma 4 2 4" xfId="14745" xr:uid="{00000000-0005-0000-0000-0000873B0000}"/>
    <cellStyle name="Comma 4 2 5" xfId="14746" xr:uid="{00000000-0005-0000-0000-0000883B0000}"/>
    <cellStyle name="Comma 4 2 6" xfId="14747" xr:uid="{00000000-0005-0000-0000-0000893B0000}"/>
    <cellStyle name="Comma 4 2 7" xfId="14748" xr:uid="{00000000-0005-0000-0000-00008A3B0000}"/>
    <cellStyle name="Comma 4 3" xfId="14749" xr:uid="{00000000-0005-0000-0000-00008B3B0000}"/>
    <cellStyle name="Comma 4 3 2" xfId="14750" xr:uid="{00000000-0005-0000-0000-00008C3B0000}"/>
    <cellStyle name="Comma 4 3 3" xfId="14751" xr:uid="{00000000-0005-0000-0000-00008D3B0000}"/>
    <cellStyle name="Comma 4 3 4" xfId="14752" xr:uid="{00000000-0005-0000-0000-00008E3B0000}"/>
    <cellStyle name="Comma 4 4" xfId="14753" xr:uid="{00000000-0005-0000-0000-00008F3B0000}"/>
    <cellStyle name="Comma 4 4 2" xfId="14754" xr:uid="{00000000-0005-0000-0000-0000903B0000}"/>
    <cellStyle name="Comma 4 4 3" xfId="14755" xr:uid="{00000000-0005-0000-0000-0000913B0000}"/>
    <cellStyle name="Comma 4 4 4" xfId="14756" xr:uid="{00000000-0005-0000-0000-0000923B0000}"/>
    <cellStyle name="Comma 4 5" xfId="14757" xr:uid="{00000000-0005-0000-0000-0000933B0000}"/>
    <cellStyle name="Comma 4 6" xfId="14758" xr:uid="{00000000-0005-0000-0000-0000943B0000}"/>
    <cellStyle name="Comma 4 7" xfId="14759" xr:uid="{00000000-0005-0000-0000-0000953B0000}"/>
    <cellStyle name="Comma 40" xfId="14760" xr:uid="{00000000-0005-0000-0000-0000963B0000}"/>
    <cellStyle name="Comma 40 2" xfId="14761" xr:uid="{00000000-0005-0000-0000-0000973B0000}"/>
    <cellStyle name="Comma 40 3" xfId="14762" xr:uid="{00000000-0005-0000-0000-0000983B0000}"/>
    <cellStyle name="Comma 41" xfId="14763" xr:uid="{00000000-0005-0000-0000-0000993B0000}"/>
    <cellStyle name="Comma 41 2" xfId="14764" xr:uid="{00000000-0005-0000-0000-00009A3B0000}"/>
    <cellStyle name="Comma 41 3" xfId="14765" xr:uid="{00000000-0005-0000-0000-00009B3B0000}"/>
    <cellStyle name="Comma 42" xfId="14766" xr:uid="{00000000-0005-0000-0000-00009C3B0000}"/>
    <cellStyle name="Comma 42 2" xfId="14767" xr:uid="{00000000-0005-0000-0000-00009D3B0000}"/>
    <cellStyle name="Comma 42 2 2" xfId="14768" xr:uid="{00000000-0005-0000-0000-00009E3B0000}"/>
    <cellStyle name="Comma 42 3" xfId="14769" xr:uid="{00000000-0005-0000-0000-00009F3B0000}"/>
    <cellStyle name="Comma 43" xfId="14770" xr:uid="{00000000-0005-0000-0000-0000A03B0000}"/>
    <cellStyle name="Comma 43 2" xfId="14771" xr:uid="{00000000-0005-0000-0000-0000A13B0000}"/>
    <cellStyle name="Comma 43 3" xfId="14772" xr:uid="{00000000-0005-0000-0000-0000A23B0000}"/>
    <cellStyle name="Comma 44" xfId="14773" xr:uid="{00000000-0005-0000-0000-0000A33B0000}"/>
    <cellStyle name="Comma 44 2" xfId="14774" xr:uid="{00000000-0005-0000-0000-0000A43B0000}"/>
    <cellStyle name="Comma 44 3" xfId="14775" xr:uid="{00000000-0005-0000-0000-0000A53B0000}"/>
    <cellStyle name="Comma 45" xfId="14776" xr:uid="{00000000-0005-0000-0000-0000A63B0000}"/>
    <cellStyle name="Comma 45 2" xfId="14777" xr:uid="{00000000-0005-0000-0000-0000A73B0000}"/>
    <cellStyle name="Comma 45 2 2" xfId="14778" xr:uid="{00000000-0005-0000-0000-0000A83B0000}"/>
    <cellStyle name="Comma 45 2 2 2" xfId="14779" xr:uid="{00000000-0005-0000-0000-0000A93B0000}"/>
    <cellStyle name="Comma 45 2 2 3" xfId="14780" xr:uid="{00000000-0005-0000-0000-0000AA3B0000}"/>
    <cellStyle name="Comma 45 2 2 4" xfId="14781" xr:uid="{00000000-0005-0000-0000-0000AB3B0000}"/>
    <cellStyle name="Comma 45 2 3" xfId="14782" xr:uid="{00000000-0005-0000-0000-0000AC3B0000}"/>
    <cellStyle name="Comma 45 2 4" xfId="14783" xr:uid="{00000000-0005-0000-0000-0000AD3B0000}"/>
    <cellStyle name="Comma 45 2 5" xfId="14784" xr:uid="{00000000-0005-0000-0000-0000AE3B0000}"/>
    <cellStyle name="Comma 45 2 6" xfId="14785" xr:uid="{00000000-0005-0000-0000-0000AF3B0000}"/>
    <cellStyle name="Comma 45 2 7" xfId="14786" xr:uid="{00000000-0005-0000-0000-0000B03B0000}"/>
    <cellStyle name="Comma 45 3" xfId="14787" xr:uid="{00000000-0005-0000-0000-0000B13B0000}"/>
    <cellStyle name="Comma 45 4" xfId="14788" xr:uid="{00000000-0005-0000-0000-0000B23B0000}"/>
    <cellStyle name="Comma 46" xfId="14789" xr:uid="{00000000-0005-0000-0000-0000B33B0000}"/>
    <cellStyle name="Comma 46 2" xfId="14790" xr:uid="{00000000-0005-0000-0000-0000B43B0000}"/>
    <cellStyle name="Comma 46 3" xfId="14791" xr:uid="{00000000-0005-0000-0000-0000B53B0000}"/>
    <cellStyle name="Comma 47" xfId="14792" xr:uid="{00000000-0005-0000-0000-0000B63B0000}"/>
    <cellStyle name="Comma 47 2" xfId="14793" xr:uid="{00000000-0005-0000-0000-0000B73B0000}"/>
    <cellStyle name="Comma 47 2 2" xfId="14794" xr:uid="{00000000-0005-0000-0000-0000B83B0000}"/>
    <cellStyle name="Comma 47 2 2 2" xfId="14795" xr:uid="{00000000-0005-0000-0000-0000B93B0000}"/>
    <cellStyle name="Comma 47 2 2 3" xfId="14796" xr:uid="{00000000-0005-0000-0000-0000BA3B0000}"/>
    <cellStyle name="Comma 47 2 2 4" xfId="14797" xr:uid="{00000000-0005-0000-0000-0000BB3B0000}"/>
    <cellStyle name="Comma 47 2 3" xfId="14798" xr:uid="{00000000-0005-0000-0000-0000BC3B0000}"/>
    <cellStyle name="Comma 47 2 4" xfId="14799" xr:uid="{00000000-0005-0000-0000-0000BD3B0000}"/>
    <cellStyle name="Comma 47 2 5" xfId="14800" xr:uid="{00000000-0005-0000-0000-0000BE3B0000}"/>
    <cellStyle name="Comma 47 2 6" xfId="14801" xr:uid="{00000000-0005-0000-0000-0000BF3B0000}"/>
    <cellStyle name="Comma 47 2 7" xfId="14802" xr:uid="{00000000-0005-0000-0000-0000C03B0000}"/>
    <cellStyle name="Comma 47 3" xfId="14803" xr:uid="{00000000-0005-0000-0000-0000C13B0000}"/>
    <cellStyle name="Comma 47 4" xfId="14804" xr:uid="{00000000-0005-0000-0000-0000C23B0000}"/>
    <cellStyle name="Comma 48" xfId="14805" xr:uid="{00000000-0005-0000-0000-0000C33B0000}"/>
    <cellStyle name="Comma 48 2" xfId="14806" xr:uid="{00000000-0005-0000-0000-0000C43B0000}"/>
    <cellStyle name="Comma 48 3" xfId="14807" xr:uid="{00000000-0005-0000-0000-0000C53B0000}"/>
    <cellStyle name="Comma 49" xfId="14808" xr:uid="{00000000-0005-0000-0000-0000C63B0000}"/>
    <cellStyle name="Comma 49 2" xfId="14809" xr:uid="{00000000-0005-0000-0000-0000C73B0000}"/>
    <cellStyle name="Comma 49 2 2" xfId="14810" xr:uid="{00000000-0005-0000-0000-0000C83B0000}"/>
    <cellStyle name="Comma 49 2 2 2" xfId="14811" xr:uid="{00000000-0005-0000-0000-0000C93B0000}"/>
    <cellStyle name="Comma 49 2 2 3" xfId="14812" xr:uid="{00000000-0005-0000-0000-0000CA3B0000}"/>
    <cellStyle name="Comma 49 2 2 4" xfId="14813" xr:uid="{00000000-0005-0000-0000-0000CB3B0000}"/>
    <cellStyle name="Comma 49 2 3" xfId="14814" xr:uid="{00000000-0005-0000-0000-0000CC3B0000}"/>
    <cellStyle name="Comma 49 2 4" xfId="14815" xr:uid="{00000000-0005-0000-0000-0000CD3B0000}"/>
    <cellStyle name="Comma 49 2 5" xfId="14816" xr:uid="{00000000-0005-0000-0000-0000CE3B0000}"/>
    <cellStyle name="Comma 49 2 6" xfId="14817" xr:uid="{00000000-0005-0000-0000-0000CF3B0000}"/>
    <cellStyle name="Comma 49 2 7" xfId="14818" xr:uid="{00000000-0005-0000-0000-0000D03B0000}"/>
    <cellStyle name="Comma 49 3" xfId="14819" xr:uid="{00000000-0005-0000-0000-0000D13B0000}"/>
    <cellStyle name="Comma 49 4" xfId="14820" xr:uid="{00000000-0005-0000-0000-0000D23B0000}"/>
    <cellStyle name="Comma 5" xfId="14821" xr:uid="{00000000-0005-0000-0000-0000D33B0000}"/>
    <cellStyle name="Comma 5 2" xfId="14822" xr:uid="{00000000-0005-0000-0000-0000D43B0000}"/>
    <cellStyle name="Comma 5 2 2" xfId="14823" xr:uid="{00000000-0005-0000-0000-0000D53B0000}"/>
    <cellStyle name="Comma 5 2 3" xfId="14824" xr:uid="{00000000-0005-0000-0000-0000D63B0000}"/>
    <cellStyle name="Comma 5 2 4" xfId="14825" xr:uid="{00000000-0005-0000-0000-0000D73B0000}"/>
    <cellStyle name="Comma 5 2 5" xfId="14826" xr:uid="{00000000-0005-0000-0000-0000D83B0000}"/>
    <cellStyle name="Comma 5 3" xfId="14827" xr:uid="{00000000-0005-0000-0000-0000D93B0000}"/>
    <cellStyle name="Comma 5 3 2" xfId="14828" xr:uid="{00000000-0005-0000-0000-0000DA3B0000}"/>
    <cellStyle name="Comma 5 3 3" xfId="14829" xr:uid="{00000000-0005-0000-0000-0000DB3B0000}"/>
    <cellStyle name="Comma 5 3 4" xfId="14830" xr:uid="{00000000-0005-0000-0000-0000DC3B0000}"/>
    <cellStyle name="Comma 5 3 5" xfId="14831" xr:uid="{00000000-0005-0000-0000-0000DD3B0000}"/>
    <cellStyle name="Comma 5 4" xfId="14832" xr:uid="{00000000-0005-0000-0000-0000DE3B0000}"/>
    <cellStyle name="Comma 5 4 2" xfId="14833" xr:uid="{00000000-0005-0000-0000-0000DF3B0000}"/>
    <cellStyle name="Comma 5 4 3" xfId="14834" xr:uid="{00000000-0005-0000-0000-0000E03B0000}"/>
    <cellStyle name="Comma 5 4 4" xfId="14835" xr:uid="{00000000-0005-0000-0000-0000E13B0000}"/>
    <cellStyle name="Comma 5 4 5" xfId="14836" xr:uid="{00000000-0005-0000-0000-0000E23B0000}"/>
    <cellStyle name="Comma 5 5" xfId="14837" xr:uid="{00000000-0005-0000-0000-0000E33B0000}"/>
    <cellStyle name="Comma 5 6" xfId="14838" xr:uid="{00000000-0005-0000-0000-0000E43B0000}"/>
    <cellStyle name="Comma 5 7" xfId="14839" xr:uid="{00000000-0005-0000-0000-0000E53B0000}"/>
    <cellStyle name="Comma 5 8" xfId="14840" xr:uid="{00000000-0005-0000-0000-0000E63B0000}"/>
    <cellStyle name="Comma 50" xfId="14841" xr:uid="{00000000-0005-0000-0000-0000E73B0000}"/>
    <cellStyle name="Comma 50 2" xfId="14842" xr:uid="{00000000-0005-0000-0000-0000E83B0000}"/>
    <cellStyle name="Comma 50 3" xfId="14843" xr:uid="{00000000-0005-0000-0000-0000E93B0000}"/>
    <cellStyle name="Comma 51" xfId="14844" xr:uid="{00000000-0005-0000-0000-0000EA3B0000}"/>
    <cellStyle name="Comma 51 2" xfId="14845" xr:uid="{00000000-0005-0000-0000-0000EB3B0000}"/>
    <cellStyle name="Comma 51 3" xfId="14846" xr:uid="{00000000-0005-0000-0000-0000EC3B0000}"/>
    <cellStyle name="Comma 52" xfId="14847" xr:uid="{00000000-0005-0000-0000-0000ED3B0000}"/>
    <cellStyle name="Comma 52 2" xfId="14848" xr:uid="{00000000-0005-0000-0000-0000EE3B0000}"/>
    <cellStyle name="Comma 52 3" xfId="14849" xr:uid="{00000000-0005-0000-0000-0000EF3B0000}"/>
    <cellStyle name="Comma 53" xfId="14850" xr:uid="{00000000-0005-0000-0000-0000F03B0000}"/>
    <cellStyle name="Comma 54" xfId="14851" xr:uid="{00000000-0005-0000-0000-0000F13B0000}"/>
    <cellStyle name="Comma 55" xfId="14852" xr:uid="{00000000-0005-0000-0000-0000F23B0000}"/>
    <cellStyle name="Comma 56" xfId="14853" xr:uid="{00000000-0005-0000-0000-0000F33B0000}"/>
    <cellStyle name="Comma 57" xfId="14854" xr:uid="{00000000-0005-0000-0000-0000F43B0000}"/>
    <cellStyle name="Comma 58" xfId="14855" xr:uid="{00000000-0005-0000-0000-0000F53B0000}"/>
    <cellStyle name="Comma 59" xfId="14856" xr:uid="{00000000-0005-0000-0000-0000F63B0000}"/>
    <cellStyle name="Comma 6" xfId="14857" xr:uid="{00000000-0005-0000-0000-0000F73B0000}"/>
    <cellStyle name="Comma 6 2" xfId="14858" xr:uid="{00000000-0005-0000-0000-0000F83B0000}"/>
    <cellStyle name="Comma 6 2 2" xfId="14859" xr:uid="{00000000-0005-0000-0000-0000F93B0000}"/>
    <cellStyle name="Comma 6 2 3" xfId="14860" xr:uid="{00000000-0005-0000-0000-0000FA3B0000}"/>
    <cellStyle name="Comma 6 2 4" xfId="14861" xr:uid="{00000000-0005-0000-0000-0000FB3B0000}"/>
    <cellStyle name="Comma 6 2 5" xfId="14862" xr:uid="{00000000-0005-0000-0000-0000FC3B0000}"/>
    <cellStyle name="Comma 6 3" xfId="14863" xr:uid="{00000000-0005-0000-0000-0000FD3B0000}"/>
    <cellStyle name="Comma 6 3 2" xfId="14864" xr:uid="{00000000-0005-0000-0000-0000FE3B0000}"/>
    <cellStyle name="Comma 6 3 3" xfId="14865" xr:uid="{00000000-0005-0000-0000-0000FF3B0000}"/>
    <cellStyle name="Comma 6 3 4" xfId="14866" xr:uid="{00000000-0005-0000-0000-0000003C0000}"/>
    <cellStyle name="Comma 6 4" xfId="14867" xr:uid="{00000000-0005-0000-0000-0000013C0000}"/>
    <cellStyle name="Comma 6 5" xfId="14868" xr:uid="{00000000-0005-0000-0000-0000023C0000}"/>
    <cellStyle name="Comma 6 6" xfId="14869" xr:uid="{00000000-0005-0000-0000-0000033C0000}"/>
    <cellStyle name="Comma 6 7" xfId="14870" xr:uid="{00000000-0005-0000-0000-0000043C0000}"/>
    <cellStyle name="Comma 60" xfId="14871" xr:uid="{00000000-0005-0000-0000-0000053C0000}"/>
    <cellStyle name="Comma 61" xfId="14872" xr:uid="{00000000-0005-0000-0000-0000063C0000}"/>
    <cellStyle name="Comma 62" xfId="14873" xr:uid="{00000000-0005-0000-0000-0000073C0000}"/>
    <cellStyle name="Comma 63" xfId="14874" xr:uid="{00000000-0005-0000-0000-0000083C0000}"/>
    <cellStyle name="Comma 64" xfId="14875" xr:uid="{00000000-0005-0000-0000-0000093C0000}"/>
    <cellStyle name="Comma 65" xfId="14876" xr:uid="{00000000-0005-0000-0000-00000A3C0000}"/>
    <cellStyle name="Comma 66" xfId="14877" xr:uid="{00000000-0005-0000-0000-00000B3C0000}"/>
    <cellStyle name="Comma 67" xfId="14878" xr:uid="{00000000-0005-0000-0000-00000C3C0000}"/>
    <cellStyle name="Comma 68" xfId="14879" xr:uid="{00000000-0005-0000-0000-00000D3C0000}"/>
    <cellStyle name="Comma 69" xfId="14880" xr:uid="{00000000-0005-0000-0000-00000E3C0000}"/>
    <cellStyle name="Comma 7" xfId="14881" xr:uid="{00000000-0005-0000-0000-00000F3C0000}"/>
    <cellStyle name="Comma 7 2" xfId="14882" xr:uid="{00000000-0005-0000-0000-0000103C0000}"/>
    <cellStyle name="Comma 7 2 2" xfId="14883" xr:uid="{00000000-0005-0000-0000-0000113C0000}"/>
    <cellStyle name="Comma 7 2 3" xfId="14884" xr:uid="{00000000-0005-0000-0000-0000123C0000}"/>
    <cellStyle name="Comma 7 2 4" xfId="14885" xr:uid="{00000000-0005-0000-0000-0000133C0000}"/>
    <cellStyle name="Comma 7 2 5" xfId="14886" xr:uid="{00000000-0005-0000-0000-0000143C0000}"/>
    <cellStyle name="Comma 7 3" xfId="14887" xr:uid="{00000000-0005-0000-0000-0000153C0000}"/>
    <cellStyle name="Comma 7 4" xfId="14888" xr:uid="{00000000-0005-0000-0000-0000163C0000}"/>
    <cellStyle name="Comma 7 5" xfId="14889" xr:uid="{00000000-0005-0000-0000-0000173C0000}"/>
    <cellStyle name="Comma 7 6" xfId="14890" xr:uid="{00000000-0005-0000-0000-0000183C0000}"/>
    <cellStyle name="Comma 7 7" xfId="14891" xr:uid="{00000000-0005-0000-0000-0000193C0000}"/>
    <cellStyle name="Comma 70" xfId="14892" xr:uid="{00000000-0005-0000-0000-00001A3C0000}"/>
    <cellStyle name="Comma 71" xfId="14893" xr:uid="{00000000-0005-0000-0000-00001B3C0000}"/>
    <cellStyle name="Comma 72" xfId="14894" xr:uid="{00000000-0005-0000-0000-00001C3C0000}"/>
    <cellStyle name="Comma 73" xfId="14895" xr:uid="{00000000-0005-0000-0000-00001D3C0000}"/>
    <cellStyle name="Comma 74" xfId="14896" xr:uid="{00000000-0005-0000-0000-00001E3C0000}"/>
    <cellStyle name="Comma 75" xfId="14897" xr:uid="{00000000-0005-0000-0000-00001F3C0000}"/>
    <cellStyle name="Comma 76" xfId="14898" xr:uid="{00000000-0005-0000-0000-0000203C0000}"/>
    <cellStyle name="Comma 77" xfId="14899" xr:uid="{00000000-0005-0000-0000-0000213C0000}"/>
    <cellStyle name="Comma 78" xfId="14900" xr:uid="{00000000-0005-0000-0000-0000223C0000}"/>
    <cellStyle name="Comma 8" xfId="14901" xr:uid="{00000000-0005-0000-0000-0000233C0000}"/>
    <cellStyle name="Comma 8 2" xfId="14902" xr:uid="{00000000-0005-0000-0000-0000243C0000}"/>
    <cellStyle name="Comma 8 2 2" xfId="14903" xr:uid="{00000000-0005-0000-0000-0000253C0000}"/>
    <cellStyle name="Comma 8 2 2 2" xfId="14904" xr:uid="{00000000-0005-0000-0000-0000263C0000}"/>
    <cellStyle name="Comma 8 2 2 2 2" xfId="14905" xr:uid="{00000000-0005-0000-0000-0000273C0000}"/>
    <cellStyle name="Comma 8 2 2 2 2 2" xfId="14906" xr:uid="{00000000-0005-0000-0000-0000283C0000}"/>
    <cellStyle name="Comma 8 2 2 2 2 3" xfId="14907" xr:uid="{00000000-0005-0000-0000-0000293C0000}"/>
    <cellStyle name="Comma 8 2 2 2 2 4" xfId="14908" xr:uid="{00000000-0005-0000-0000-00002A3C0000}"/>
    <cellStyle name="Comma 8 2 2 2 3" xfId="14909" xr:uid="{00000000-0005-0000-0000-00002B3C0000}"/>
    <cellStyle name="Comma 8 2 2 2 4" xfId="14910" xr:uid="{00000000-0005-0000-0000-00002C3C0000}"/>
    <cellStyle name="Comma 8 2 2 2 5" xfId="14911" xr:uid="{00000000-0005-0000-0000-00002D3C0000}"/>
    <cellStyle name="Comma 8 2 2 3" xfId="14912" xr:uid="{00000000-0005-0000-0000-00002E3C0000}"/>
    <cellStyle name="Comma 8 2 2 4" xfId="14913" xr:uid="{00000000-0005-0000-0000-00002F3C0000}"/>
    <cellStyle name="Comma 8 2 2 5" xfId="14914" xr:uid="{00000000-0005-0000-0000-0000303C0000}"/>
    <cellStyle name="Comma 8 2 2 6" xfId="14915" xr:uid="{00000000-0005-0000-0000-0000313C0000}"/>
    <cellStyle name="Comma 8 2 3" xfId="14916" xr:uid="{00000000-0005-0000-0000-0000323C0000}"/>
    <cellStyle name="Comma 8 2 3 2" xfId="14917" xr:uid="{00000000-0005-0000-0000-0000333C0000}"/>
    <cellStyle name="Comma 8 2 3 3" xfId="14918" xr:uid="{00000000-0005-0000-0000-0000343C0000}"/>
    <cellStyle name="Comma 8 2 3 4" xfId="14919" xr:uid="{00000000-0005-0000-0000-0000353C0000}"/>
    <cellStyle name="Comma 8 2 4" xfId="14920" xr:uid="{00000000-0005-0000-0000-0000363C0000}"/>
    <cellStyle name="Comma 8 2 5" xfId="14921" xr:uid="{00000000-0005-0000-0000-0000373C0000}"/>
    <cellStyle name="Comma 8 2 6" xfId="14922" xr:uid="{00000000-0005-0000-0000-0000383C0000}"/>
    <cellStyle name="Comma 8 2 7" xfId="14923" xr:uid="{00000000-0005-0000-0000-0000393C0000}"/>
    <cellStyle name="Comma 8 3" xfId="14924" xr:uid="{00000000-0005-0000-0000-00003A3C0000}"/>
    <cellStyle name="Comma 8 4" xfId="14925" xr:uid="{00000000-0005-0000-0000-00003B3C0000}"/>
    <cellStyle name="Comma 8 5" xfId="14926" xr:uid="{00000000-0005-0000-0000-00003C3C0000}"/>
    <cellStyle name="Comma 8 6" xfId="14927" xr:uid="{00000000-0005-0000-0000-00003D3C0000}"/>
    <cellStyle name="Comma 9" xfId="14928" xr:uid="{00000000-0005-0000-0000-00003E3C0000}"/>
    <cellStyle name="Comma 9 2" xfId="14929" xr:uid="{00000000-0005-0000-0000-00003F3C0000}"/>
    <cellStyle name="Comma 9 2 2" xfId="14930" xr:uid="{00000000-0005-0000-0000-0000403C0000}"/>
    <cellStyle name="Comma 9 2 3" xfId="14931" xr:uid="{00000000-0005-0000-0000-0000413C0000}"/>
    <cellStyle name="Comma 9 2 4" xfId="14932" xr:uid="{00000000-0005-0000-0000-0000423C0000}"/>
    <cellStyle name="Comma 9 2 5" xfId="14933" xr:uid="{00000000-0005-0000-0000-0000433C0000}"/>
    <cellStyle name="Comma 9 3" xfId="14934" xr:uid="{00000000-0005-0000-0000-0000443C0000}"/>
    <cellStyle name="Comma 9 4" xfId="14935" xr:uid="{00000000-0005-0000-0000-0000453C0000}"/>
    <cellStyle name="Comma 9 5" xfId="14936" xr:uid="{00000000-0005-0000-0000-0000463C0000}"/>
    <cellStyle name="Comma 9 6" xfId="14937" xr:uid="{00000000-0005-0000-0000-0000473C0000}"/>
    <cellStyle name="Comma 9 7" xfId="14938" xr:uid="{00000000-0005-0000-0000-0000483C0000}"/>
    <cellStyle name="Comma0" xfId="14939" xr:uid="{00000000-0005-0000-0000-0000493C0000}"/>
    <cellStyle name="Comma0 - Style1" xfId="14940" xr:uid="{00000000-0005-0000-0000-00004A3C0000}"/>
    <cellStyle name="Comma0 - Style1 2" xfId="14941" xr:uid="{00000000-0005-0000-0000-00004B3C0000}"/>
    <cellStyle name="Comma0 - Style1 3" xfId="14942" xr:uid="{00000000-0005-0000-0000-00004C3C0000}"/>
    <cellStyle name="Comma0 - Style1 4" xfId="14943" xr:uid="{00000000-0005-0000-0000-00004D3C0000}"/>
    <cellStyle name="Comma0 10" xfId="14944" xr:uid="{00000000-0005-0000-0000-00004E3C0000}"/>
    <cellStyle name="Comma0 11" xfId="14945" xr:uid="{00000000-0005-0000-0000-00004F3C0000}"/>
    <cellStyle name="Comma0 12" xfId="14946" xr:uid="{00000000-0005-0000-0000-0000503C0000}"/>
    <cellStyle name="Comma0 13" xfId="14947" xr:uid="{00000000-0005-0000-0000-0000513C0000}"/>
    <cellStyle name="Comma0 2" xfId="14948" xr:uid="{00000000-0005-0000-0000-0000523C0000}"/>
    <cellStyle name="Comma0 2 2" xfId="14949" xr:uid="{00000000-0005-0000-0000-0000533C0000}"/>
    <cellStyle name="Comma0 2 3" xfId="14950" xr:uid="{00000000-0005-0000-0000-0000543C0000}"/>
    <cellStyle name="Comma0 2 4" xfId="14951" xr:uid="{00000000-0005-0000-0000-0000553C0000}"/>
    <cellStyle name="Comma0 3" xfId="14952" xr:uid="{00000000-0005-0000-0000-0000563C0000}"/>
    <cellStyle name="Comma0 3 2" xfId="14953" xr:uid="{00000000-0005-0000-0000-0000573C0000}"/>
    <cellStyle name="Comma0 3 3" xfId="14954" xr:uid="{00000000-0005-0000-0000-0000583C0000}"/>
    <cellStyle name="Comma0 3 4" xfId="14955" xr:uid="{00000000-0005-0000-0000-0000593C0000}"/>
    <cellStyle name="Comma0 4" xfId="14956" xr:uid="{00000000-0005-0000-0000-00005A3C0000}"/>
    <cellStyle name="Comma0 5" xfId="14957" xr:uid="{00000000-0005-0000-0000-00005B3C0000}"/>
    <cellStyle name="Comma0 6" xfId="14958" xr:uid="{00000000-0005-0000-0000-00005C3C0000}"/>
    <cellStyle name="Comma0 7" xfId="14959" xr:uid="{00000000-0005-0000-0000-00005D3C0000}"/>
    <cellStyle name="Comma0 8" xfId="14960" xr:uid="{00000000-0005-0000-0000-00005E3C0000}"/>
    <cellStyle name="Comma0 9" xfId="14961" xr:uid="{00000000-0005-0000-0000-00005F3C0000}"/>
    <cellStyle name="Commentaire" xfId="14962" xr:uid="{00000000-0005-0000-0000-0000603C0000}"/>
    <cellStyle name="Compressed" xfId="14963" xr:uid="{00000000-0005-0000-0000-0000613C0000}"/>
    <cellStyle name="Compressed 2" xfId="14964" xr:uid="{00000000-0005-0000-0000-0000623C0000}"/>
    <cellStyle name="Compressed 2 2" xfId="14965" xr:uid="{00000000-0005-0000-0000-0000633C0000}"/>
    <cellStyle name="Compressed 2 3" xfId="14966" xr:uid="{00000000-0005-0000-0000-0000643C0000}"/>
    <cellStyle name="Compressed 2 4" xfId="14967" xr:uid="{00000000-0005-0000-0000-0000653C0000}"/>
    <cellStyle name="Compressed 3" xfId="14968" xr:uid="{00000000-0005-0000-0000-0000663C0000}"/>
    <cellStyle name="Compressed 4" xfId="14969" xr:uid="{00000000-0005-0000-0000-0000673C0000}"/>
    <cellStyle name="Compressed 5" xfId="14970" xr:uid="{00000000-0005-0000-0000-0000683C0000}"/>
    <cellStyle name="Compressed 6" xfId="14971" xr:uid="{00000000-0005-0000-0000-0000693C0000}"/>
    <cellStyle name="Copied" xfId="14972" xr:uid="{00000000-0005-0000-0000-00006A3C0000}"/>
    <cellStyle name="Copied 2" xfId="14973" xr:uid="{00000000-0005-0000-0000-00006B3C0000}"/>
    <cellStyle name="Copied 3" xfId="14974" xr:uid="{00000000-0005-0000-0000-00006C3C0000}"/>
    <cellStyle name="Copied 4" xfId="14975" xr:uid="{00000000-0005-0000-0000-00006D3C0000}"/>
    <cellStyle name="Copied 5" xfId="14976" xr:uid="{00000000-0005-0000-0000-00006E3C0000}"/>
    <cellStyle name="Currency [00]" xfId="14977" xr:uid="{00000000-0005-0000-0000-00006F3C0000}"/>
    <cellStyle name="Currency [00] 2" xfId="14978" xr:uid="{00000000-0005-0000-0000-0000703C0000}"/>
    <cellStyle name="Currency [00] 3" xfId="14979" xr:uid="{00000000-0005-0000-0000-0000713C0000}"/>
    <cellStyle name="Currency [00] 4" xfId="14980" xr:uid="{00000000-0005-0000-0000-0000723C0000}"/>
    <cellStyle name="Currency [00] 5" xfId="14981" xr:uid="{00000000-0005-0000-0000-0000733C0000}"/>
    <cellStyle name="Currency [1]" xfId="14982" xr:uid="{00000000-0005-0000-0000-0000743C0000}"/>
    <cellStyle name="Currency [1] 2" xfId="14983" xr:uid="{00000000-0005-0000-0000-0000753C0000}"/>
    <cellStyle name="Currency [1] 3" xfId="14984" xr:uid="{00000000-0005-0000-0000-0000763C0000}"/>
    <cellStyle name="Currency [1] 4" xfId="14985" xr:uid="{00000000-0005-0000-0000-0000773C0000}"/>
    <cellStyle name="Currency [2]" xfId="14986" xr:uid="{00000000-0005-0000-0000-0000783C0000}"/>
    <cellStyle name="Currency [2] 2" xfId="14987" xr:uid="{00000000-0005-0000-0000-0000793C0000}"/>
    <cellStyle name="Currency [2] 2 2" xfId="14988" xr:uid="{00000000-0005-0000-0000-00007A3C0000}"/>
    <cellStyle name="Currency [2] 3" xfId="14989" xr:uid="{00000000-0005-0000-0000-00007B3C0000}"/>
    <cellStyle name="Currency [2] 3 2" xfId="14990" xr:uid="{00000000-0005-0000-0000-00007C3C0000}"/>
    <cellStyle name="Currency [2] 4" xfId="14991" xr:uid="{00000000-0005-0000-0000-00007D3C0000}"/>
    <cellStyle name="Currency [2] 5" xfId="14992" xr:uid="{00000000-0005-0000-0000-00007E3C0000}"/>
    <cellStyle name="Currency [2] 6" xfId="14993" xr:uid="{00000000-0005-0000-0000-00007F3C0000}"/>
    <cellStyle name="Currency [2] 7" xfId="14994" xr:uid="{00000000-0005-0000-0000-0000803C0000}"/>
    <cellStyle name="Currency 10" xfId="14995" xr:uid="{00000000-0005-0000-0000-0000813C0000}"/>
    <cellStyle name="Currency 10 2" xfId="14996" xr:uid="{00000000-0005-0000-0000-0000823C0000}"/>
    <cellStyle name="Currency 10 2 2" xfId="14997" xr:uid="{00000000-0005-0000-0000-0000833C0000}"/>
    <cellStyle name="Currency 10 2 3" xfId="14998" xr:uid="{00000000-0005-0000-0000-0000843C0000}"/>
    <cellStyle name="Currency 10 2 4" xfId="14999" xr:uid="{00000000-0005-0000-0000-0000853C0000}"/>
    <cellStyle name="Currency 10 3" xfId="15000" xr:uid="{00000000-0005-0000-0000-0000863C0000}"/>
    <cellStyle name="Currency 10 4" xfId="15001" xr:uid="{00000000-0005-0000-0000-0000873C0000}"/>
    <cellStyle name="Currency 10 5" xfId="15002" xr:uid="{00000000-0005-0000-0000-0000883C0000}"/>
    <cellStyle name="Currency 10 6" xfId="15003" xr:uid="{00000000-0005-0000-0000-0000893C0000}"/>
    <cellStyle name="Currency 10 7" xfId="15004" xr:uid="{00000000-0005-0000-0000-00008A3C0000}"/>
    <cellStyle name="Currency 10 8" xfId="15005" xr:uid="{00000000-0005-0000-0000-00008B3C0000}"/>
    <cellStyle name="Currency 11" xfId="15006" xr:uid="{00000000-0005-0000-0000-00008C3C0000}"/>
    <cellStyle name="Currency 11 2" xfId="15007" xr:uid="{00000000-0005-0000-0000-00008D3C0000}"/>
    <cellStyle name="Currency 11 2 2" xfId="15008" xr:uid="{00000000-0005-0000-0000-00008E3C0000}"/>
    <cellStyle name="Currency 11 2 3" xfId="15009" xr:uid="{00000000-0005-0000-0000-00008F3C0000}"/>
    <cellStyle name="Currency 11 2 4" xfId="15010" xr:uid="{00000000-0005-0000-0000-0000903C0000}"/>
    <cellStyle name="Currency 11 3" xfId="15011" xr:uid="{00000000-0005-0000-0000-0000913C0000}"/>
    <cellStyle name="Currency 11 4" xfId="15012" xr:uid="{00000000-0005-0000-0000-0000923C0000}"/>
    <cellStyle name="Currency 11 5" xfId="15013" xr:uid="{00000000-0005-0000-0000-0000933C0000}"/>
    <cellStyle name="Currency 11 6" xfId="15014" xr:uid="{00000000-0005-0000-0000-0000943C0000}"/>
    <cellStyle name="Currency 12" xfId="15015" xr:uid="{00000000-0005-0000-0000-0000953C0000}"/>
    <cellStyle name="Currency 12 2" xfId="15016" xr:uid="{00000000-0005-0000-0000-0000963C0000}"/>
    <cellStyle name="Currency 12 2 2" xfId="15017" xr:uid="{00000000-0005-0000-0000-0000973C0000}"/>
    <cellStyle name="Currency 12 2 3" xfId="15018" xr:uid="{00000000-0005-0000-0000-0000983C0000}"/>
    <cellStyle name="Currency 12 2 4" xfId="15019" xr:uid="{00000000-0005-0000-0000-0000993C0000}"/>
    <cellStyle name="Currency 12 3" xfId="15020" xr:uid="{00000000-0005-0000-0000-00009A3C0000}"/>
    <cellStyle name="Currency 12 4" xfId="15021" xr:uid="{00000000-0005-0000-0000-00009B3C0000}"/>
    <cellStyle name="Currency 12 5" xfId="15022" xr:uid="{00000000-0005-0000-0000-00009C3C0000}"/>
    <cellStyle name="Currency 12 6" xfId="15023" xr:uid="{00000000-0005-0000-0000-00009D3C0000}"/>
    <cellStyle name="Currency 13" xfId="15024" xr:uid="{00000000-0005-0000-0000-00009E3C0000}"/>
    <cellStyle name="Currency 13 2" xfId="15025" xr:uid="{00000000-0005-0000-0000-00009F3C0000}"/>
    <cellStyle name="Currency 13 2 2" xfId="15026" xr:uid="{00000000-0005-0000-0000-0000A03C0000}"/>
    <cellStyle name="Currency 13 2 3" xfId="15027" xr:uid="{00000000-0005-0000-0000-0000A13C0000}"/>
    <cellStyle name="Currency 13 2 4" xfId="15028" xr:uid="{00000000-0005-0000-0000-0000A23C0000}"/>
    <cellStyle name="Currency 13 3" xfId="15029" xr:uid="{00000000-0005-0000-0000-0000A33C0000}"/>
    <cellStyle name="Currency 13 4" xfId="15030" xr:uid="{00000000-0005-0000-0000-0000A43C0000}"/>
    <cellStyle name="Currency 13 5" xfId="15031" xr:uid="{00000000-0005-0000-0000-0000A53C0000}"/>
    <cellStyle name="Currency 13 6" xfId="15032" xr:uid="{00000000-0005-0000-0000-0000A63C0000}"/>
    <cellStyle name="Currency 14" xfId="15033" xr:uid="{00000000-0005-0000-0000-0000A73C0000}"/>
    <cellStyle name="Currency 14 2" xfId="15034" xr:uid="{00000000-0005-0000-0000-0000A83C0000}"/>
    <cellStyle name="Currency 14 3" xfId="15035" xr:uid="{00000000-0005-0000-0000-0000A93C0000}"/>
    <cellStyle name="Currency 14 4" xfId="15036" xr:uid="{00000000-0005-0000-0000-0000AA3C0000}"/>
    <cellStyle name="Currency 14 5" xfId="15037" xr:uid="{00000000-0005-0000-0000-0000AB3C0000}"/>
    <cellStyle name="Currency 15" xfId="15038" xr:uid="{00000000-0005-0000-0000-0000AC3C0000}"/>
    <cellStyle name="Currency 15 2" xfId="15039" xr:uid="{00000000-0005-0000-0000-0000AD3C0000}"/>
    <cellStyle name="Currency 15 2 2" xfId="15040" xr:uid="{00000000-0005-0000-0000-0000AE3C0000}"/>
    <cellStyle name="Currency 15 2 3" xfId="15041" xr:uid="{00000000-0005-0000-0000-0000AF3C0000}"/>
    <cellStyle name="Currency 15 2 4" xfId="15042" xr:uid="{00000000-0005-0000-0000-0000B03C0000}"/>
    <cellStyle name="Currency 15 3" xfId="15043" xr:uid="{00000000-0005-0000-0000-0000B13C0000}"/>
    <cellStyle name="Currency 15 4" xfId="15044" xr:uid="{00000000-0005-0000-0000-0000B23C0000}"/>
    <cellStyle name="Currency 15 5" xfId="15045" xr:uid="{00000000-0005-0000-0000-0000B33C0000}"/>
    <cellStyle name="Currency 16" xfId="15046" xr:uid="{00000000-0005-0000-0000-0000B43C0000}"/>
    <cellStyle name="Currency 16 2" xfId="15047" xr:uid="{00000000-0005-0000-0000-0000B53C0000}"/>
    <cellStyle name="Currency 16 3" xfId="15048" xr:uid="{00000000-0005-0000-0000-0000B63C0000}"/>
    <cellStyle name="Currency 16 4" xfId="15049" xr:uid="{00000000-0005-0000-0000-0000B73C0000}"/>
    <cellStyle name="Currency 16 5" xfId="15050" xr:uid="{00000000-0005-0000-0000-0000B83C0000}"/>
    <cellStyle name="Currency 17" xfId="15051" xr:uid="{00000000-0005-0000-0000-0000B93C0000}"/>
    <cellStyle name="Currency 17 2" xfId="15052" xr:uid="{00000000-0005-0000-0000-0000BA3C0000}"/>
    <cellStyle name="Currency 17 3" xfId="15053" xr:uid="{00000000-0005-0000-0000-0000BB3C0000}"/>
    <cellStyle name="Currency 17 4" xfId="15054" xr:uid="{00000000-0005-0000-0000-0000BC3C0000}"/>
    <cellStyle name="Currency 17 5" xfId="15055" xr:uid="{00000000-0005-0000-0000-0000BD3C0000}"/>
    <cellStyle name="Currency 18" xfId="15056" xr:uid="{00000000-0005-0000-0000-0000BE3C0000}"/>
    <cellStyle name="Currency 18 2" xfId="15057" xr:uid="{00000000-0005-0000-0000-0000BF3C0000}"/>
    <cellStyle name="Currency 18 3" xfId="15058" xr:uid="{00000000-0005-0000-0000-0000C03C0000}"/>
    <cellStyle name="Currency 18 4" xfId="15059" xr:uid="{00000000-0005-0000-0000-0000C13C0000}"/>
    <cellStyle name="Currency 18 5" xfId="15060" xr:uid="{00000000-0005-0000-0000-0000C23C0000}"/>
    <cellStyle name="Currency 19" xfId="15061" xr:uid="{00000000-0005-0000-0000-0000C33C0000}"/>
    <cellStyle name="Currency 19 2" xfId="15062" xr:uid="{00000000-0005-0000-0000-0000C43C0000}"/>
    <cellStyle name="Currency 19 3" xfId="15063" xr:uid="{00000000-0005-0000-0000-0000C53C0000}"/>
    <cellStyle name="Currency 19 4" xfId="15064" xr:uid="{00000000-0005-0000-0000-0000C63C0000}"/>
    <cellStyle name="Currency 19 5" xfId="15065" xr:uid="{00000000-0005-0000-0000-0000C73C0000}"/>
    <cellStyle name="Currency 2" xfId="15066" xr:uid="{00000000-0005-0000-0000-0000C83C0000}"/>
    <cellStyle name="Currency 2 10" xfId="15067" xr:uid="{00000000-0005-0000-0000-0000C93C0000}"/>
    <cellStyle name="Currency 2 10 2" xfId="15068" xr:uid="{00000000-0005-0000-0000-0000CA3C0000}"/>
    <cellStyle name="Currency 2 11" xfId="15069" xr:uid="{00000000-0005-0000-0000-0000CB3C0000}"/>
    <cellStyle name="Currency 2 11 2" xfId="15070" xr:uid="{00000000-0005-0000-0000-0000CC3C0000}"/>
    <cellStyle name="Currency 2 12" xfId="15071" xr:uid="{00000000-0005-0000-0000-0000CD3C0000}"/>
    <cellStyle name="Currency 2 12 2" xfId="15072" xr:uid="{00000000-0005-0000-0000-0000CE3C0000}"/>
    <cellStyle name="Currency 2 13" xfId="15073" xr:uid="{00000000-0005-0000-0000-0000CF3C0000}"/>
    <cellStyle name="Currency 2 2" xfId="15074" xr:uid="{00000000-0005-0000-0000-0000D03C0000}"/>
    <cellStyle name="Currency 2 2 2" xfId="15075" xr:uid="{00000000-0005-0000-0000-0000D13C0000}"/>
    <cellStyle name="Currency 2 2 2 2" xfId="15076" xr:uid="{00000000-0005-0000-0000-0000D23C0000}"/>
    <cellStyle name="Currency 2 2 2 3" xfId="15077" xr:uid="{00000000-0005-0000-0000-0000D33C0000}"/>
    <cellStyle name="Currency 2 2 2 4" xfId="15078" xr:uid="{00000000-0005-0000-0000-0000D43C0000}"/>
    <cellStyle name="Currency 2 2 3" xfId="15079" xr:uid="{00000000-0005-0000-0000-0000D53C0000}"/>
    <cellStyle name="Currency 2 2 3 2" xfId="15080" xr:uid="{00000000-0005-0000-0000-0000D63C0000}"/>
    <cellStyle name="Currency 2 2 3 3" xfId="15081" xr:uid="{00000000-0005-0000-0000-0000D73C0000}"/>
    <cellStyle name="Currency 2 2 3 4" xfId="15082" xr:uid="{00000000-0005-0000-0000-0000D83C0000}"/>
    <cellStyle name="Currency 2 2 4" xfId="15083" xr:uid="{00000000-0005-0000-0000-0000D93C0000}"/>
    <cellStyle name="Currency 2 2 4 2" xfId="15084" xr:uid="{00000000-0005-0000-0000-0000DA3C0000}"/>
    <cellStyle name="Currency 2 2 4 3" xfId="15085" xr:uid="{00000000-0005-0000-0000-0000DB3C0000}"/>
    <cellStyle name="Currency 2 2 4 4" xfId="15086" xr:uid="{00000000-0005-0000-0000-0000DC3C0000}"/>
    <cellStyle name="Currency 2 2 5" xfId="15087" xr:uid="{00000000-0005-0000-0000-0000DD3C0000}"/>
    <cellStyle name="Currency 2 2 5 2" xfId="15088" xr:uid="{00000000-0005-0000-0000-0000DE3C0000}"/>
    <cellStyle name="Currency 2 2 5 3" xfId="15089" xr:uid="{00000000-0005-0000-0000-0000DF3C0000}"/>
    <cellStyle name="Currency 2 2 5 4" xfId="15090" xr:uid="{00000000-0005-0000-0000-0000E03C0000}"/>
    <cellStyle name="Currency 2 2 6" xfId="15091" xr:uid="{00000000-0005-0000-0000-0000E13C0000}"/>
    <cellStyle name="Currency 2 2 7" xfId="15092" xr:uid="{00000000-0005-0000-0000-0000E23C0000}"/>
    <cellStyle name="Currency 2 2 8" xfId="15093" xr:uid="{00000000-0005-0000-0000-0000E33C0000}"/>
    <cellStyle name="Currency 2 3" xfId="15094" xr:uid="{00000000-0005-0000-0000-0000E43C0000}"/>
    <cellStyle name="Currency 2 3 2" xfId="15095" xr:uid="{00000000-0005-0000-0000-0000E53C0000}"/>
    <cellStyle name="Currency 2 3 2 2" xfId="15096" xr:uid="{00000000-0005-0000-0000-0000E63C0000}"/>
    <cellStyle name="Currency 2 3 2 3" xfId="15097" xr:uid="{00000000-0005-0000-0000-0000E73C0000}"/>
    <cellStyle name="Currency 2 3 2 4" xfId="15098" xr:uid="{00000000-0005-0000-0000-0000E83C0000}"/>
    <cellStyle name="Currency 2 3 3" xfId="15099" xr:uid="{00000000-0005-0000-0000-0000E93C0000}"/>
    <cellStyle name="Currency 2 3 4" xfId="15100" xr:uid="{00000000-0005-0000-0000-0000EA3C0000}"/>
    <cellStyle name="Currency 2 3 5" xfId="15101" xr:uid="{00000000-0005-0000-0000-0000EB3C0000}"/>
    <cellStyle name="Currency 2 3 6" xfId="15102" xr:uid="{00000000-0005-0000-0000-0000EC3C0000}"/>
    <cellStyle name="Currency 2 4" xfId="15103" xr:uid="{00000000-0005-0000-0000-0000ED3C0000}"/>
    <cellStyle name="Currency 2 4 2" xfId="15104" xr:uid="{00000000-0005-0000-0000-0000EE3C0000}"/>
    <cellStyle name="Currency 2 4 3" xfId="15105" xr:uid="{00000000-0005-0000-0000-0000EF3C0000}"/>
    <cellStyle name="Currency 2 4 4" xfId="15106" xr:uid="{00000000-0005-0000-0000-0000F03C0000}"/>
    <cellStyle name="Currency 2 4 5" xfId="15107" xr:uid="{00000000-0005-0000-0000-0000F13C0000}"/>
    <cellStyle name="Currency 2 4 6" xfId="15108" xr:uid="{00000000-0005-0000-0000-0000F23C0000}"/>
    <cellStyle name="Currency 2 5" xfId="15109" xr:uid="{00000000-0005-0000-0000-0000F33C0000}"/>
    <cellStyle name="Currency 2 5 2" xfId="15110" xr:uid="{00000000-0005-0000-0000-0000F43C0000}"/>
    <cellStyle name="Currency 2 5 3" xfId="15111" xr:uid="{00000000-0005-0000-0000-0000F53C0000}"/>
    <cellStyle name="Currency 2 5 4" xfId="15112" xr:uid="{00000000-0005-0000-0000-0000F63C0000}"/>
    <cellStyle name="Currency 2 5 5" xfId="15113" xr:uid="{00000000-0005-0000-0000-0000F73C0000}"/>
    <cellStyle name="Currency 2 6" xfId="15114" xr:uid="{00000000-0005-0000-0000-0000F83C0000}"/>
    <cellStyle name="Currency 2 6 2" xfId="15115" xr:uid="{00000000-0005-0000-0000-0000F93C0000}"/>
    <cellStyle name="Currency 2 6 3" xfId="15116" xr:uid="{00000000-0005-0000-0000-0000FA3C0000}"/>
    <cellStyle name="Currency 2 6 4" xfId="15117" xr:uid="{00000000-0005-0000-0000-0000FB3C0000}"/>
    <cellStyle name="Currency 2 6 5" xfId="15118" xr:uid="{00000000-0005-0000-0000-0000FC3C0000}"/>
    <cellStyle name="Currency 2 7" xfId="15119" xr:uid="{00000000-0005-0000-0000-0000FD3C0000}"/>
    <cellStyle name="Currency 2 7 2" xfId="15120" xr:uid="{00000000-0005-0000-0000-0000FE3C0000}"/>
    <cellStyle name="Currency 2 7 3" xfId="15121" xr:uid="{00000000-0005-0000-0000-0000FF3C0000}"/>
    <cellStyle name="Currency 2 7 4" xfId="15122" xr:uid="{00000000-0005-0000-0000-0000003D0000}"/>
    <cellStyle name="Currency 2 7 5" xfId="15123" xr:uid="{00000000-0005-0000-0000-0000013D0000}"/>
    <cellStyle name="Currency 2 8" xfId="15124" xr:uid="{00000000-0005-0000-0000-0000023D0000}"/>
    <cellStyle name="Currency 2 8 2" xfId="15125" xr:uid="{00000000-0005-0000-0000-0000033D0000}"/>
    <cellStyle name="Currency 2 9" xfId="15126" xr:uid="{00000000-0005-0000-0000-0000043D0000}"/>
    <cellStyle name="Currency 2 9 2" xfId="15127" xr:uid="{00000000-0005-0000-0000-0000053D0000}"/>
    <cellStyle name="Currency 20" xfId="15128" xr:uid="{00000000-0005-0000-0000-0000063D0000}"/>
    <cellStyle name="Currency 20 2" xfId="15129" xr:uid="{00000000-0005-0000-0000-0000073D0000}"/>
    <cellStyle name="Currency 20 3" xfId="15130" xr:uid="{00000000-0005-0000-0000-0000083D0000}"/>
    <cellStyle name="Currency 20 4" xfId="15131" xr:uid="{00000000-0005-0000-0000-0000093D0000}"/>
    <cellStyle name="Currency 20 5" xfId="15132" xr:uid="{00000000-0005-0000-0000-00000A3D0000}"/>
    <cellStyle name="Currency 21" xfId="15133" xr:uid="{00000000-0005-0000-0000-00000B3D0000}"/>
    <cellStyle name="Currency 21 2" xfId="15134" xr:uid="{00000000-0005-0000-0000-00000C3D0000}"/>
    <cellStyle name="Currency 21 3" xfId="15135" xr:uid="{00000000-0005-0000-0000-00000D3D0000}"/>
    <cellStyle name="Currency 21 4" xfId="15136" xr:uid="{00000000-0005-0000-0000-00000E3D0000}"/>
    <cellStyle name="Currency 21 5" xfId="15137" xr:uid="{00000000-0005-0000-0000-00000F3D0000}"/>
    <cellStyle name="Currency 22" xfId="15138" xr:uid="{00000000-0005-0000-0000-0000103D0000}"/>
    <cellStyle name="Currency 22 2" xfId="15139" xr:uid="{00000000-0005-0000-0000-0000113D0000}"/>
    <cellStyle name="Currency 22 3" xfId="15140" xr:uid="{00000000-0005-0000-0000-0000123D0000}"/>
    <cellStyle name="Currency 22 4" xfId="15141" xr:uid="{00000000-0005-0000-0000-0000133D0000}"/>
    <cellStyle name="Currency 23" xfId="15142" xr:uid="{00000000-0005-0000-0000-0000143D0000}"/>
    <cellStyle name="Currency 23 2" xfId="15143" xr:uid="{00000000-0005-0000-0000-0000153D0000}"/>
    <cellStyle name="Currency 23 3" xfId="15144" xr:uid="{00000000-0005-0000-0000-0000163D0000}"/>
    <cellStyle name="Currency 23 4" xfId="15145" xr:uid="{00000000-0005-0000-0000-0000173D0000}"/>
    <cellStyle name="Currency 24" xfId="15146" xr:uid="{00000000-0005-0000-0000-0000183D0000}"/>
    <cellStyle name="Currency 24 2" xfId="15147" xr:uid="{00000000-0005-0000-0000-0000193D0000}"/>
    <cellStyle name="Currency 24 3" xfId="15148" xr:uid="{00000000-0005-0000-0000-00001A3D0000}"/>
    <cellStyle name="Currency 24 4" xfId="15149" xr:uid="{00000000-0005-0000-0000-00001B3D0000}"/>
    <cellStyle name="Currency 25" xfId="15150" xr:uid="{00000000-0005-0000-0000-00001C3D0000}"/>
    <cellStyle name="Currency 25 2" xfId="15151" xr:uid="{00000000-0005-0000-0000-00001D3D0000}"/>
    <cellStyle name="Currency 25 3" xfId="15152" xr:uid="{00000000-0005-0000-0000-00001E3D0000}"/>
    <cellStyle name="Currency 26" xfId="15153" xr:uid="{00000000-0005-0000-0000-00001F3D0000}"/>
    <cellStyle name="Currency 26 2" xfId="15154" xr:uid="{00000000-0005-0000-0000-0000203D0000}"/>
    <cellStyle name="Currency 26 3" xfId="15155" xr:uid="{00000000-0005-0000-0000-0000213D0000}"/>
    <cellStyle name="Currency 27" xfId="15156" xr:uid="{00000000-0005-0000-0000-0000223D0000}"/>
    <cellStyle name="Currency 27 2" xfId="15157" xr:uid="{00000000-0005-0000-0000-0000233D0000}"/>
    <cellStyle name="Currency 27 3" xfId="15158" xr:uid="{00000000-0005-0000-0000-0000243D0000}"/>
    <cellStyle name="Currency 28" xfId="15159" xr:uid="{00000000-0005-0000-0000-0000253D0000}"/>
    <cellStyle name="Currency 28 2" xfId="15160" xr:uid="{00000000-0005-0000-0000-0000263D0000}"/>
    <cellStyle name="Currency 28 3" xfId="15161" xr:uid="{00000000-0005-0000-0000-0000273D0000}"/>
    <cellStyle name="Currency 29" xfId="15162" xr:uid="{00000000-0005-0000-0000-0000283D0000}"/>
    <cellStyle name="Currency 29 2" xfId="15163" xr:uid="{00000000-0005-0000-0000-0000293D0000}"/>
    <cellStyle name="Currency 29 3" xfId="15164" xr:uid="{00000000-0005-0000-0000-00002A3D0000}"/>
    <cellStyle name="Currency 3" xfId="15165" xr:uid="{00000000-0005-0000-0000-00002B3D0000}"/>
    <cellStyle name="Currency 3 2" xfId="15166" xr:uid="{00000000-0005-0000-0000-00002C3D0000}"/>
    <cellStyle name="Currency 3 2 2" xfId="15167" xr:uid="{00000000-0005-0000-0000-00002D3D0000}"/>
    <cellStyle name="Currency 3 2 3" xfId="15168" xr:uid="{00000000-0005-0000-0000-00002E3D0000}"/>
    <cellStyle name="Currency 3 2 4" xfId="15169" xr:uid="{00000000-0005-0000-0000-00002F3D0000}"/>
    <cellStyle name="Currency 3 2 5" xfId="15170" xr:uid="{00000000-0005-0000-0000-0000303D0000}"/>
    <cellStyle name="Currency 3 2 6" xfId="15171" xr:uid="{00000000-0005-0000-0000-0000313D0000}"/>
    <cellStyle name="Currency 3 3" xfId="15172" xr:uid="{00000000-0005-0000-0000-0000323D0000}"/>
    <cellStyle name="Currency 3 3 2" xfId="15173" xr:uid="{00000000-0005-0000-0000-0000333D0000}"/>
    <cellStyle name="Currency 3 3 3" xfId="15174" xr:uid="{00000000-0005-0000-0000-0000343D0000}"/>
    <cellStyle name="Currency 3 3 4" xfId="15175" xr:uid="{00000000-0005-0000-0000-0000353D0000}"/>
    <cellStyle name="Currency 3 4" xfId="15176" xr:uid="{00000000-0005-0000-0000-0000363D0000}"/>
    <cellStyle name="Currency 3 5" xfId="15177" xr:uid="{00000000-0005-0000-0000-0000373D0000}"/>
    <cellStyle name="Currency 3 6" xfId="15178" xr:uid="{00000000-0005-0000-0000-0000383D0000}"/>
    <cellStyle name="Currency 3 7" xfId="15179" xr:uid="{00000000-0005-0000-0000-0000393D0000}"/>
    <cellStyle name="Currency 30" xfId="15180" xr:uid="{00000000-0005-0000-0000-00003A3D0000}"/>
    <cellStyle name="Currency 30 2" xfId="15181" xr:uid="{00000000-0005-0000-0000-00003B3D0000}"/>
    <cellStyle name="Currency 30 3" xfId="15182" xr:uid="{00000000-0005-0000-0000-00003C3D0000}"/>
    <cellStyle name="Currency 31" xfId="15183" xr:uid="{00000000-0005-0000-0000-00003D3D0000}"/>
    <cellStyle name="Currency 31 2" xfId="15184" xr:uid="{00000000-0005-0000-0000-00003E3D0000}"/>
    <cellStyle name="Currency 31 3" xfId="15185" xr:uid="{00000000-0005-0000-0000-00003F3D0000}"/>
    <cellStyle name="Currency 32" xfId="15186" xr:uid="{00000000-0005-0000-0000-0000403D0000}"/>
    <cellStyle name="Currency 33" xfId="15187" xr:uid="{00000000-0005-0000-0000-0000413D0000}"/>
    <cellStyle name="Currency 34" xfId="15188" xr:uid="{00000000-0005-0000-0000-0000423D0000}"/>
    <cellStyle name="Currency 35" xfId="15189" xr:uid="{00000000-0005-0000-0000-0000433D0000}"/>
    <cellStyle name="Currency 36" xfId="15190" xr:uid="{00000000-0005-0000-0000-0000443D0000}"/>
    <cellStyle name="Currency 37" xfId="15191" xr:uid="{00000000-0005-0000-0000-0000453D0000}"/>
    <cellStyle name="Currency 38" xfId="15192" xr:uid="{00000000-0005-0000-0000-0000463D0000}"/>
    <cellStyle name="Currency 39" xfId="15193" xr:uid="{00000000-0005-0000-0000-0000473D0000}"/>
    <cellStyle name="Currency 4" xfId="15194" xr:uid="{00000000-0005-0000-0000-0000483D0000}"/>
    <cellStyle name="Currency 4 2" xfId="15195" xr:uid="{00000000-0005-0000-0000-0000493D0000}"/>
    <cellStyle name="Currency 4 2 2" xfId="15196" xr:uid="{00000000-0005-0000-0000-00004A3D0000}"/>
    <cellStyle name="Currency 4 2 2 2" xfId="15197" xr:uid="{00000000-0005-0000-0000-00004B3D0000}"/>
    <cellStyle name="Currency 4 2 2 3" xfId="15198" xr:uid="{00000000-0005-0000-0000-00004C3D0000}"/>
    <cellStyle name="Currency 4 2 2 4" xfId="15199" xr:uid="{00000000-0005-0000-0000-00004D3D0000}"/>
    <cellStyle name="Currency 4 2 2 5" xfId="15200" xr:uid="{00000000-0005-0000-0000-00004E3D0000}"/>
    <cellStyle name="Currency 4 2 2 6" xfId="15201" xr:uid="{00000000-0005-0000-0000-00004F3D0000}"/>
    <cellStyle name="Currency 4 2 3" xfId="15202" xr:uid="{00000000-0005-0000-0000-0000503D0000}"/>
    <cellStyle name="Currency 4 2 3 2" xfId="15203" xr:uid="{00000000-0005-0000-0000-0000513D0000}"/>
    <cellStyle name="Currency 4 2 3 3" xfId="15204" xr:uid="{00000000-0005-0000-0000-0000523D0000}"/>
    <cellStyle name="Currency 4 2 3 4" xfId="15205" xr:uid="{00000000-0005-0000-0000-0000533D0000}"/>
    <cellStyle name="Currency 4 2 3 5" xfId="15206" xr:uid="{00000000-0005-0000-0000-0000543D0000}"/>
    <cellStyle name="Currency 4 2 4" xfId="15207" xr:uid="{00000000-0005-0000-0000-0000553D0000}"/>
    <cellStyle name="Currency 4 2 4 2" xfId="15208" xr:uid="{00000000-0005-0000-0000-0000563D0000}"/>
    <cellStyle name="Currency 4 2 4 3" xfId="15209" xr:uid="{00000000-0005-0000-0000-0000573D0000}"/>
    <cellStyle name="Currency 4 2 4 4" xfId="15210" xr:uid="{00000000-0005-0000-0000-0000583D0000}"/>
    <cellStyle name="Currency 4 2 4 5" xfId="15211" xr:uid="{00000000-0005-0000-0000-0000593D0000}"/>
    <cellStyle name="Currency 4 2 5" xfId="15212" xr:uid="{00000000-0005-0000-0000-00005A3D0000}"/>
    <cellStyle name="Currency 4 2 5 2" xfId="15213" xr:uid="{00000000-0005-0000-0000-00005B3D0000}"/>
    <cellStyle name="Currency 4 2 5 3" xfId="15214" xr:uid="{00000000-0005-0000-0000-00005C3D0000}"/>
    <cellStyle name="Currency 4 2 5 4" xfId="15215" xr:uid="{00000000-0005-0000-0000-00005D3D0000}"/>
    <cellStyle name="Currency 4 2 6" xfId="15216" xr:uid="{00000000-0005-0000-0000-00005E3D0000}"/>
    <cellStyle name="Currency 4 2 7" xfId="15217" xr:uid="{00000000-0005-0000-0000-00005F3D0000}"/>
    <cellStyle name="Currency 4 2 8" xfId="15218" xr:uid="{00000000-0005-0000-0000-0000603D0000}"/>
    <cellStyle name="Currency 4 2 9" xfId="15219" xr:uid="{00000000-0005-0000-0000-0000613D0000}"/>
    <cellStyle name="Currency 4 3" xfId="15220" xr:uid="{00000000-0005-0000-0000-0000623D0000}"/>
    <cellStyle name="Currency 4 3 2" xfId="15221" xr:uid="{00000000-0005-0000-0000-0000633D0000}"/>
    <cellStyle name="Currency 4 3 3" xfId="15222" xr:uid="{00000000-0005-0000-0000-0000643D0000}"/>
    <cellStyle name="Currency 4 3 4" xfId="15223" xr:uid="{00000000-0005-0000-0000-0000653D0000}"/>
    <cellStyle name="Currency 4 3 5" xfId="15224" xr:uid="{00000000-0005-0000-0000-0000663D0000}"/>
    <cellStyle name="Currency 4 4" xfId="15225" xr:uid="{00000000-0005-0000-0000-0000673D0000}"/>
    <cellStyle name="Currency 4 5" xfId="15226" xr:uid="{00000000-0005-0000-0000-0000683D0000}"/>
    <cellStyle name="Currency 4 6" xfId="15227" xr:uid="{00000000-0005-0000-0000-0000693D0000}"/>
    <cellStyle name="Currency 4 7" xfId="15228" xr:uid="{00000000-0005-0000-0000-00006A3D0000}"/>
    <cellStyle name="Currency 4_Final ACE form" xfId="15229" xr:uid="{00000000-0005-0000-0000-00006B3D0000}"/>
    <cellStyle name="Currency 40" xfId="15230" xr:uid="{00000000-0005-0000-0000-00006C3D0000}"/>
    <cellStyle name="Currency 41" xfId="15231" xr:uid="{00000000-0005-0000-0000-00006D3D0000}"/>
    <cellStyle name="Currency 42" xfId="15232" xr:uid="{00000000-0005-0000-0000-00006E3D0000}"/>
    <cellStyle name="Currency 43" xfId="15233" xr:uid="{00000000-0005-0000-0000-00006F3D0000}"/>
    <cellStyle name="Currency 43 2" xfId="15234" xr:uid="{00000000-0005-0000-0000-0000703D0000}"/>
    <cellStyle name="Currency 44" xfId="15235" xr:uid="{00000000-0005-0000-0000-0000713D0000}"/>
    <cellStyle name="Currency 45" xfId="15236" xr:uid="{00000000-0005-0000-0000-0000723D0000}"/>
    <cellStyle name="Currency 46" xfId="15237" xr:uid="{00000000-0005-0000-0000-0000733D0000}"/>
    <cellStyle name="Currency 47" xfId="15238" xr:uid="{00000000-0005-0000-0000-0000743D0000}"/>
    <cellStyle name="Currency 48" xfId="15239" xr:uid="{00000000-0005-0000-0000-0000753D0000}"/>
    <cellStyle name="Currency 49" xfId="15240" xr:uid="{00000000-0005-0000-0000-0000763D0000}"/>
    <cellStyle name="Currency 5" xfId="15241" xr:uid="{00000000-0005-0000-0000-0000773D0000}"/>
    <cellStyle name="Currency 5 2" xfId="15242" xr:uid="{00000000-0005-0000-0000-0000783D0000}"/>
    <cellStyle name="Currency 5 2 2" xfId="15243" xr:uid="{00000000-0005-0000-0000-0000793D0000}"/>
    <cellStyle name="Currency 5 2 2 2" xfId="15244" xr:uid="{00000000-0005-0000-0000-00007A3D0000}"/>
    <cellStyle name="Currency 5 2 2 3" xfId="15245" xr:uid="{00000000-0005-0000-0000-00007B3D0000}"/>
    <cellStyle name="Currency 5 2 2 4" xfId="15246" xr:uid="{00000000-0005-0000-0000-00007C3D0000}"/>
    <cellStyle name="Currency 5 2 3" xfId="15247" xr:uid="{00000000-0005-0000-0000-00007D3D0000}"/>
    <cellStyle name="Currency 5 2 4" xfId="15248" xr:uid="{00000000-0005-0000-0000-00007E3D0000}"/>
    <cellStyle name="Currency 5 2 5" xfId="15249" xr:uid="{00000000-0005-0000-0000-00007F3D0000}"/>
    <cellStyle name="Currency 5 3" xfId="15250" xr:uid="{00000000-0005-0000-0000-0000803D0000}"/>
    <cellStyle name="Currency 5 3 2" xfId="15251" xr:uid="{00000000-0005-0000-0000-0000813D0000}"/>
    <cellStyle name="Currency 5 3 3" xfId="15252" xr:uid="{00000000-0005-0000-0000-0000823D0000}"/>
    <cellStyle name="Currency 5 3 4" xfId="15253" xr:uid="{00000000-0005-0000-0000-0000833D0000}"/>
    <cellStyle name="Currency 5 4" xfId="15254" xr:uid="{00000000-0005-0000-0000-0000843D0000}"/>
    <cellStyle name="Currency 5 5" xfId="15255" xr:uid="{00000000-0005-0000-0000-0000853D0000}"/>
    <cellStyle name="Currency 5 6" xfId="15256" xr:uid="{00000000-0005-0000-0000-0000863D0000}"/>
    <cellStyle name="Currency 5 7" xfId="15257" xr:uid="{00000000-0005-0000-0000-0000873D0000}"/>
    <cellStyle name="Currency 6" xfId="15258" xr:uid="{00000000-0005-0000-0000-0000883D0000}"/>
    <cellStyle name="Currency 6 2" xfId="15259" xr:uid="{00000000-0005-0000-0000-0000893D0000}"/>
    <cellStyle name="Currency 6 2 2" xfId="15260" xr:uid="{00000000-0005-0000-0000-00008A3D0000}"/>
    <cellStyle name="Currency 6 2 2 2" xfId="15261" xr:uid="{00000000-0005-0000-0000-00008B3D0000}"/>
    <cellStyle name="Currency 6 2 2 2 2" xfId="15262" xr:uid="{00000000-0005-0000-0000-00008C3D0000}"/>
    <cellStyle name="Currency 6 2 2 2 3" xfId="15263" xr:uid="{00000000-0005-0000-0000-00008D3D0000}"/>
    <cellStyle name="Currency 6 2 2 2 4" xfId="15264" xr:uid="{00000000-0005-0000-0000-00008E3D0000}"/>
    <cellStyle name="Currency 6 2 2 3" xfId="15265" xr:uid="{00000000-0005-0000-0000-00008F3D0000}"/>
    <cellStyle name="Currency 6 2 2 3 2" xfId="15266" xr:uid="{00000000-0005-0000-0000-0000903D0000}"/>
    <cellStyle name="Currency 6 2 2 3 3" xfId="15267" xr:uid="{00000000-0005-0000-0000-0000913D0000}"/>
    <cellStyle name="Currency 6 2 2 3 4" xfId="15268" xr:uid="{00000000-0005-0000-0000-0000923D0000}"/>
    <cellStyle name="Currency 6 2 2 4" xfId="15269" xr:uid="{00000000-0005-0000-0000-0000933D0000}"/>
    <cellStyle name="Currency 6 2 2 5" xfId="15270" xr:uid="{00000000-0005-0000-0000-0000943D0000}"/>
    <cellStyle name="Currency 6 2 2 6" xfId="15271" xr:uid="{00000000-0005-0000-0000-0000953D0000}"/>
    <cellStyle name="Currency 6 2 3" xfId="15272" xr:uid="{00000000-0005-0000-0000-0000963D0000}"/>
    <cellStyle name="Currency 6 2 3 2" xfId="15273" xr:uid="{00000000-0005-0000-0000-0000973D0000}"/>
    <cellStyle name="Currency 6 2 3 3" xfId="15274" xr:uid="{00000000-0005-0000-0000-0000983D0000}"/>
    <cellStyle name="Currency 6 2 3 4" xfId="15275" xr:uid="{00000000-0005-0000-0000-0000993D0000}"/>
    <cellStyle name="Currency 6 2 4" xfId="15276" xr:uid="{00000000-0005-0000-0000-00009A3D0000}"/>
    <cellStyle name="Currency 6 2 4 2" xfId="15277" xr:uid="{00000000-0005-0000-0000-00009B3D0000}"/>
    <cellStyle name="Currency 6 2 4 3" xfId="15278" xr:uid="{00000000-0005-0000-0000-00009C3D0000}"/>
    <cellStyle name="Currency 6 2 4 4" xfId="15279" xr:uid="{00000000-0005-0000-0000-00009D3D0000}"/>
    <cellStyle name="Currency 6 2 5" xfId="15280" xr:uid="{00000000-0005-0000-0000-00009E3D0000}"/>
    <cellStyle name="Currency 6 2 6" xfId="15281" xr:uid="{00000000-0005-0000-0000-00009F3D0000}"/>
    <cellStyle name="Currency 6 2 7" xfId="15282" xr:uid="{00000000-0005-0000-0000-0000A03D0000}"/>
    <cellStyle name="Currency 6 3" xfId="15283" xr:uid="{00000000-0005-0000-0000-0000A13D0000}"/>
    <cellStyle name="Currency 6 3 2" xfId="15284" xr:uid="{00000000-0005-0000-0000-0000A23D0000}"/>
    <cellStyle name="Currency 6 3 3" xfId="15285" xr:uid="{00000000-0005-0000-0000-0000A33D0000}"/>
    <cellStyle name="Currency 6 3 4" xfId="15286" xr:uid="{00000000-0005-0000-0000-0000A43D0000}"/>
    <cellStyle name="Currency 6 4" xfId="15287" xr:uid="{00000000-0005-0000-0000-0000A53D0000}"/>
    <cellStyle name="Currency 6 4 2" xfId="15288" xr:uid="{00000000-0005-0000-0000-0000A63D0000}"/>
    <cellStyle name="Currency 6 4 3" xfId="15289" xr:uid="{00000000-0005-0000-0000-0000A73D0000}"/>
    <cellStyle name="Currency 6 4 4" xfId="15290" xr:uid="{00000000-0005-0000-0000-0000A83D0000}"/>
    <cellStyle name="Currency 6 5" xfId="15291" xr:uid="{00000000-0005-0000-0000-0000A93D0000}"/>
    <cellStyle name="Currency 7" xfId="15292" xr:uid="{00000000-0005-0000-0000-0000AA3D0000}"/>
    <cellStyle name="Currency 7 10" xfId="15293" xr:uid="{00000000-0005-0000-0000-0000AB3D0000}"/>
    <cellStyle name="Currency 7 2" xfId="15294" xr:uid="{00000000-0005-0000-0000-0000AC3D0000}"/>
    <cellStyle name="Currency 7 2 2" xfId="15295" xr:uid="{00000000-0005-0000-0000-0000AD3D0000}"/>
    <cellStyle name="Currency 7 2 2 2" xfId="15296" xr:uid="{00000000-0005-0000-0000-0000AE3D0000}"/>
    <cellStyle name="Currency 7 2 2 3" xfId="15297" xr:uid="{00000000-0005-0000-0000-0000AF3D0000}"/>
    <cellStyle name="Currency 7 2 2 4" xfId="15298" xr:uid="{00000000-0005-0000-0000-0000B03D0000}"/>
    <cellStyle name="Currency 7 2 3" xfId="15299" xr:uid="{00000000-0005-0000-0000-0000B13D0000}"/>
    <cellStyle name="Currency 7 2 4" xfId="15300" xr:uid="{00000000-0005-0000-0000-0000B23D0000}"/>
    <cellStyle name="Currency 7 2 5" xfId="15301" xr:uid="{00000000-0005-0000-0000-0000B33D0000}"/>
    <cellStyle name="Currency 7 2 6" xfId="15302" xr:uid="{00000000-0005-0000-0000-0000B43D0000}"/>
    <cellStyle name="Currency 7 2 7" xfId="15303" xr:uid="{00000000-0005-0000-0000-0000B53D0000}"/>
    <cellStyle name="Currency 7 3" xfId="15304" xr:uid="{00000000-0005-0000-0000-0000B63D0000}"/>
    <cellStyle name="Currency 7 3 2" xfId="15305" xr:uid="{00000000-0005-0000-0000-0000B73D0000}"/>
    <cellStyle name="Currency 7 3 2 2" xfId="15306" xr:uid="{00000000-0005-0000-0000-0000B83D0000}"/>
    <cellStyle name="Currency 7 3 2 2 2" xfId="15307" xr:uid="{00000000-0005-0000-0000-0000B93D0000}"/>
    <cellStyle name="Currency 7 3 2 2 3" xfId="15308" xr:uid="{00000000-0005-0000-0000-0000BA3D0000}"/>
    <cellStyle name="Currency 7 3 2 2 4" xfId="15309" xr:uid="{00000000-0005-0000-0000-0000BB3D0000}"/>
    <cellStyle name="Currency 7 3 2 3" xfId="15310" xr:uid="{00000000-0005-0000-0000-0000BC3D0000}"/>
    <cellStyle name="Currency 7 3 2 4" xfId="15311" xr:uid="{00000000-0005-0000-0000-0000BD3D0000}"/>
    <cellStyle name="Currency 7 3 2 5" xfId="15312" xr:uid="{00000000-0005-0000-0000-0000BE3D0000}"/>
    <cellStyle name="Currency 7 3 3" xfId="15313" xr:uid="{00000000-0005-0000-0000-0000BF3D0000}"/>
    <cellStyle name="Currency 7 3 4" xfId="15314" xr:uid="{00000000-0005-0000-0000-0000C03D0000}"/>
    <cellStyle name="Currency 7 3 5" xfId="15315" xr:uid="{00000000-0005-0000-0000-0000C13D0000}"/>
    <cellStyle name="Currency 7 4" xfId="15316" xr:uid="{00000000-0005-0000-0000-0000C23D0000}"/>
    <cellStyle name="Currency 7 4 2" xfId="15317" xr:uid="{00000000-0005-0000-0000-0000C33D0000}"/>
    <cellStyle name="Currency 7 4 2 2" xfId="15318" xr:uid="{00000000-0005-0000-0000-0000C43D0000}"/>
    <cellStyle name="Currency 7 4 3" xfId="15319" xr:uid="{00000000-0005-0000-0000-0000C53D0000}"/>
    <cellStyle name="Currency 7 5" xfId="15320" xr:uid="{00000000-0005-0000-0000-0000C63D0000}"/>
    <cellStyle name="Currency 7 6" xfId="15321" xr:uid="{00000000-0005-0000-0000-0000C73D0000}"/>
    <cellStyle name="Currency 7 7" xfId="15322" xr:uid="{00000000-0005-0000-0000-0000C83D0000}"/>
    <cellStyle name="Currency 7 8" xfId="15323" xr:uid="{00000000-0005-0000-0000-0000C93D0000}"/>
    <cellStyle name="Currency 7 9" xfId="15324" xr:uid="{00000000-0005-0000-0000-0000CA3D0000}"/>
    <cellStyle name="Currency 8" xfId="15325" xr:uid="{00000000-0005-0000-0000-0000CB3D0000}"/>
    <cellStyle name="Currency 8 2" xfId="15326" xr:uid="{00000000-0005-0000-0000-0000CC3D0000}"/>
    <cellStyle name="Currency 8 3" xfId="15327" xr:uid="{00000000-0005-0000-0000-0000CD3D0000}"/>
    <cellStyle name="Currency 8 4" xfId="15328" xr:uid="{00000000-0005-0000-0000-0000CE3D0000}"/>
    <cellStyle name="Currency 8 5" xfId="15329" xr:uid="{00000000-0005-0000-0000-0000CF3D0000}"/>
    <cellStyle name="Currency 8 6" xfId="15330" xr:uid="{00000000-0005-0000-0000-0000D03D0000}"/>
    <cellStyle name="Currency 8 7" xfId="15331" xr:uid="{00000000-0005-0000-0000-0000D13D0000}"/>
    <cellStyle name="Currency 8 8" xfId="15332" xr:uid="{00000000-0005-0000-0000-0000D23D0000}"/>
    <cellStyle name="Currency 9" xfId="15333" xr:uid="{00000000-0005-0000-0000-0000D33D0000}"/>
    <cellStyle name="Currency 9 2" xfId="15334" xr:uid="{00000000-0005-0000-0000-0000D43D0000}"/>
    <cellStyle name="Currency 9 2 2" xfId="15335" xr:uid="{00000000-0005-0000-0000-0000D53D0000}"/>
    <cellStyle name="Currency 9 2 3" xfId="15336" xr:uid="{00000000-0005-0000-0000-0000D63D0000}"/>
    <cellStyle name="Currency 9 2 4" xfId="15337" xr:uid="{00000000-0005-0000-0000-0000D73D0000}"/>
    <cellStyle name="Currency 9 3" xfId="15338" xr:uid="{00000000-0005-0000-0000-0000D83D0000}"/>
    <cellStyle name="Currency 9 4" xfId="15339" xr:uid="{00000000-0005-0000-0000-0000D93D0000}"/>
    <cellStyle name="Currency 9 5" xfId="15340" xr:uid="{00000000-0005-0000-0000-0000DA3D0000}"/>
    <cellStyle name="Currency 9 6" xfId="15341" xr:uid="{00000000-0005-0000-0000-0000DB3D0000}"/>
    <cellStyle name="Currency Per Share" xfId="15342" xr:uid="{00000000-0005-0000-0000-0000DC3D0000}"/>
    <cellStyle name="Currency Per Share 2" xfId="15343" xr:uid="{00000000-0005-0000-0000-0000DD3D0000}"/>
    <cellStyle name="Currency Per Share 3" xfId="15344" xr:uid="{00000000-0005-0000-0000-0000DE3D0000}"/>
    <cellStyle name="Currency Per Share 4" xfId="15345" xr:uid="{00000000-0005-0000-0000-0000DF3D0000}"/>
    <cellStyle name="Currency0" xfId="15346" xr:uid="{00000000-0005-0000-0000-0000E03D0000}"/>
    <cellStyle name="Currency0 2" xfId="15347" xr:uid="{00000000-0005-0000-0000-0000E13D0000}"/>
    <cellStyle name="Currency0 2 2" xfId="15348" xr:uid="{00000000-0005-0000-0000-0000E23D0000}"/>
    <cellStyle name="Currency0 2 3" xfId="15349" xr:uid="{00000000-0005-0000-0000-0000E33D0000}"/>
    <cellStyle name="Currency0 2 4" xfId="15350" xr:uid="{00000000-0005-0000-0000-0000E43D0000}"/>
    <cellStyle name="Currency0 3" xfId="15351" xr:uid="{00000000-0005-0000-0000-0000E53D0000}"/>
    <cellStyle name="Currency0 4" xfId="15352" xr:uid="{00000000-0005-0000-0000-0000E63D0000}"/>
    <cellStyle name="Currency0 5" xfId="15353" xr:uid="{00000000-0005-0000-0000-0000E73D0000}"/>
    <cellStyle name="Currency0 6" xfId="15354" xr:uid="{00000000-0005-0000-0000-0000E83D0000}"/>
    <cellStyle name="Currency0 7" xfId="15355" xr:uid="{00000000-0005-0000-0000-0000E93D0000}"/>
    <cellStyle name="Currency0 8" xfId="15356" xr:uid="{00000000-0005-0000-0000-0000EA3D0000}"/>
    <cellStyle name="Currsmall" xfId="15357" xr:uid="{00000000-0005-0000-0000-0000EB3D0000}"/>
    <cellStyle name="Currsmall 2" xfId="15358" xr:uid="{00000000-0005-0000-0000-0000EC3D0000}"/>
    <cellStyle name="Currsmall 3" xfId="15359" xr:uid="{00000000-0005-0000-0000-0000ED3D0000}"/>
    <cellStyle name="Currsmall 4" xfId="15360" xr:uid="{00000000-0005-0000-0000-0000EE3D0000}"/>
    <cellStyle name="d" xfId="15361" xr:uid="{00000000-0005-0000-0000-0000EF3D0000}"/>
    <cellStyle name="d 2" xfId="15362" xr:uid="{00000000-0005-0000-0000-0000F03D0000}"/>
    <cellStyle name="d 3" xfId="15363" xr:uid="{00000000-0005-0000-0000-0000F13D0000}"/>
    <cellStyle name="d 4" xfId="15364" xr:uid="{00000000-0005-0000-0000-0000F23D0000}"/>
    <cellStyle name="d_yield" xfId="15365" xr:uid="{00000000-0005-0000-0000-0000F33D0000}"/>
    <cellStyle name="d_yield 2" xfId="15366" xr:uid="{00000000-0005-0000-0000-0000F43D0000}"/>
    <cellStyle name="d_yield 3" xfId="15367" xr:uid="{00000000-0005-0000-0000-0000F53D0000}"/>
    <cellStyle name="d_yield 4" xfId="15368" xr:uid="{00000000-0005-0000-0000-0000F63D0000}"/>
    <cellStyle name="d_yield 5" xfId="15369" xr:uid="{00000000-0005-0000-0000-0000F73D0000}"/>
    <cellStyle name="d_yield_090105 CAPEX J1 J4" xfId="15370" xr:uid="{00000000-0005-0000-0000-0000F83D0000}"/>
    <cellStyle name="d_yield_090105 CAPEX J1 J4 2" xfId="15371" xr:uid="{00000000-0005-0000-0000-0000F93D0000}"/>
    <cellStyle name="d_yield_090105 CAPEX J1 J4 3" xfId="15372" xr:uid="{00000000-0005-0000-0000-0000FA3D0000}"/>
    <cellStyle name="d_yield_090105 CAPEX J1 J4 4" xfId="15373" xr:uid="{00000000-0005-0000-0000-0000FB3D0000}"/>
    <cellStyle name="d_yield_090105 CAPEX J1 J4 5" xfId="15374" xr:uid="{00000000-0005-0000-0000-0000FC3D0000}"/>
    <cellStyle name="d_yield_090203 OH LAB 08 VS 09 CON AHORROS J1 J4 ENVIAR" xfId="15375" xr:uid="{00000000-0005-0000-0000-0000FD3D0000}"/>
    <cellStyle name="d_yield_090203 OH LAB 08 VS 09 CON AHORROS J1 J4 ENVIAR 2" xfId="15376" xr:uid="{00000000-0005-0000-0000-0000FE3D0000}"/>
    <cellStyle name="d_yield_090203 OH LAB 08 VS 09 CON AHORROS J1 J4 ENVIAR 3" xfId="15377" xr:uid="{00000000-0005-0000-0000-0000FF3D0000}"/>
    <cellStyle name="d_yield_090203 OH LAB 08 VS 09 CON AHORROS J1 J4 ENVIAR 4" xfId="15378" xr:uid="{00000000-0005-0000-0000-0000003E0000}"/>
    <cellStyle name="d_yield_090203 OH LAB 08 VS 09 CON AHORROS J1 J4 ENVIAR 5" xfId="15379" xr:uid="{00000000-0005-0000-0000-0000013E0000}"/>
    <cellStyle name="d_yield_AHORROS FORMATO SIX SIGMA POR JUAN" xfId="15380" xr:uid="{00000000-0005-0000-0000-0000023E0000}"/>
    <cellStyle name="d_yield_AHORROS FORMATO SIX SIGMA POR JUAN 2" xfId="15381" xr:uid="{00000000-0005-0000-0000-0000033E0000}"/>
    <cellStyle name="d_yield_AHORROS FORMATO SIX SIGMA POR JUAN 3" xfId="15382" xr:uid="{00000000-0005-0000-0000-0000043E0000}"/>
    <cellStyle name="d_yield_AHORROS FORMATO SIX SIGMA POR JUAN 4" xfId="15383" xr:uid="{00000000-0005-0000-0000-0000053E0000}"/>
    <cellStyle name="d_yield_AHORROS FORMATO SIX SIGMA POR JUAN 5" xfId="15384" xr:uid="{00000000-0005-0000-0000-0000063E0000}"/>
    <cellStyle name="d_yield_Book4" xfId="15385" xr:uid="{00000000-0005-0000-0000-0000073E0000}"/>
    <cellStyle name="d_yield_Book4 2" xfId="15386" xr:uid="{00000000-0005-0000-0000-0000083E0000}"/>
    <cellStyle name="d_yield_Book4 3" xfId="15387" xr:uid="{00000000-0005-0000-0000-0000093E0000}"/>
    <cellStyle name="d_yield_Book4 4" xfId="15388" xr:uid="{00000000-0005-0000-0000-00000A3E0000}"/>
    <cellStyle name="d_yield_Book4 5" xfId="15389" xr:uid="{00000000-0005-0000-0000-00000B3E0000}"/>
    <cellStyle name="d_yield_Budget IS 2009 IM" xfId="15390" xr:uid="{00000000-0005-0000-0000-00000C3E0000}"/>
    <cellStyle name="d_yield_Budget IS 2009 IM 2" xfId="15391" xr:uid="{00000000-0005-0000-0000-00000D3E0000}"/>
    <cellStyle name="d_yield_Budget IS 2009 IM 3" xfId="15392" xr:uid="{00000000-0005-0000-0000-00000E3E0000}"/>
    <cellStyle name="d_yield_Budget IS 2009 IM 4" xfId="15393" xr:uid="{00000000-0005-0000-0000-00000F3E0000}"/>
    <cellStyle name="d_yield_Budget IS 2009 IM 5" xfId="15394" xr:uid="{00000000-0005-0000-0000-0000103E0000}"/>
    <cellStyle name="d_yield_CCRD-muse -2" xfId="15395" xr:uid="{00000000-0005-0000-0000-0000113E0000}"/>
    <cellStyle name="d_yield_CCRD-muse -2 2" xfId="15396" xr:uid="{00000000-0005-0000-0000-0000123E0000}"/>
    <cellStyle name="d_yield_CCRD-muse -2 3" xfId="15397" xr:uid="{00000000-0005-0000-0000-0000133E0000}"/>
    <cellStyle name="d_yield_CCRD-muse -2 4" xfId="15398" xr:uid="{00000000-0005-0000-0000-0000143E0000}"/>
    <cellStyle name="d_yield_CCRD-muse -2 5" xfId="15399" xr:uid="{00000000-0005-0000-0000-0000153E0000}"/>
    <cellStyle name="d_yield_CCRD-muse -2_090105 CAPEX J1 J4" xfId="15400" xr:uid="{00000000-0005-0000-0000-0000163E0000}"/>
    <cellStyle name="d_yield_CCRD-muse -2_090105 CAPEX J1 J4 2" xfId="15401" xr:uid="{00000000-0005-0000-0000-0000173E0000}"/>
    <cellStyle name="d_yield_CCRD-muse -2_090105 CAPEX J1 J4 3" xfId="15402" xr:uid="{00000000-0005-0000-0000-0000183E0000}"/>
    <cellStyle name="d_yield_CCRD-muse -2_090105 CAPEX J1 J4 4" xfId="15403" xr:uid="{00000000-0005-0000-0000-0000193E0000}"/>
    <cellStyle name="d_yield_CCRD-muse -2_090105 CAPEX J1 J4 5" xfId="15404" xr:uid="{00000000-0005-0000-0000-00001A3E0000}"/>
    <cellStyle name="d_yield_CCRD-muse -2_090203 OH LAB 08 VS 09 CON AHORROS J1 J4 ENVIAR" xfId="15405" xr:uid="{00000000-0005-0000-0000-00001B3E0000}"/>
    <cellStyle name="d_yield_CCRD-muse -2_090203 OH LAB 08 VS 09 CON AHORROS J1 J4 ENVIAR 2" xfId="15406" xr:uid="{00000000-0005-0000-0000-00001C3E0000}"/>
    <cellStyle name="d_yield_CCRD-muse -2_090203 OH LAB 08 VS 09 CON AHORROS J1 J4 ENVIAR 3" xfId="15407" xr:uid="{00000000-0005-0000-0000-00001D3E0000}"/>
    <cellStyle name="d_yield_CCRD-muse -2_090203 OH LAB 08 VS 09 CON AHORROS J1 J4 ENVIAR 4" xfId="15408" xr:uid="{00000000-0005-0000-0000-00001E3E0000}"/>
    <cellStyle name="d_yield_CCRD-muse -2_090203 OH LAB 08 VS 09 CON AHORROS J1 J4 ENVIAR 5" xfId="15409" xr:uid="{00000000-0005-0000-0000-00001F3E0000}"/>
    <cellStyle name="d_yield_CCRD-muse -2_AHORROS FORMATO SIX SIGMA POR JUAN" xfId="15410" xr:uid="{00000000-0005-0000-0000-0000203E0000}"/>
    <cellStyle name="d_yield_CCRD-muse -2_AHORROS FORMATO SIX SIGMA POR JUAN 2" xfId="15411" xr:uid="{00000000-0005-0000-0000-0000213E0000}"/>
    <cellStyle name="d_yield_CCRD-muse -2_AHORROS FORMATO SIX SIGMA POR JUAN 3" xfId="15412" xr:uid="{00000000-0005-0000-0000-0000223E0000}"/>
    <cellStyle name="d_yield_CCRD-muse -2_AHORROS FORMATO SIX SIGMA POR JUAN 4" xfId="15413" xr:uid="{00000000-0005-0000-0000-0000233E0000}"/>
    <cellStyle name="d_yield_CCRD-muse -2_AHORROS FORMATO SIX SIGMA POR JUAN 5" xfId="15414" xr:uid="{00000000-0005-0000-0000-0000243E0000}"/>
    <cellStyle name="d_yield_CCRD-muse -2_Book4" xfId="15415" xr:uid="{00000000-0005-0000-0000-0000253E0000}"/>
    <cellStyle name="d_yield_CCRD-muse -2_Book4 2" xfId="15416" xr:uid="{00000000-0005-0000-0000-0000263E0000}"/>
    <cellStyle name="d_yield_CCRD-muse -2_Book4 3" xfId="15417" xr:uid="{00000000-0005-0000-0000-0000273E0000}"/>
    <cellStyle name="d_yield_CCRD-muse -2_Book4 4" xfId="15418" xr:uid="{00000000-0005-0000-0000-0000283E0000}"/>
    <cellStyle name="d_yield_CCRD-muse -2_Book4 5" xfId="15419" xr:uid="{00000000-0005-0000-0000-0000293E0000}"/>
    <cellStyle name="d_yield_CCRD-muse -2_Budget IS 2009 IM" xfId="15420" xr:uid="{00000000-0005-0000-0000-00002A3E0000}"/>
    <cellStyle name="d_yield_CCRD-muse -2_Budget IS 2009 IM 2" xfId="15421" xr:uid="{00000000-0005-0000-0000-00002B3E0000}"/>
    <cellStyle name="d_yield_CCRD-muse -2_Budget IS 2009 IM 3" xfId="15422" xr:uid="{00000000-0005-0000-0000-00002C3E0000}"/>
    <cellStyle name="d_yield_CCRD-muse -2_Budget IS 2009 IM 4" xfId="15423" xr:uid="{00000000-0005-0000-0000-00002D3E0000}"/>
    <cellStyle name="d_yield_CCRD-muse -2_Budget IS 2009 IM 5" xfId="15424" xr:uid="{00000000-0005-0000-0000-00002E3E0000}"/>
    <cellStyle name="d_yield_CCRD-muse -2_Cost Reduction v-plants v2 ultimo" xfId="15425" xr:uid="{00000000-0005-0000-0000-00002F3E0000}"/>
    <cellStyle name="d_yield_CCRD-muse -2_Cost Reduction v-plants v2 ultimo 2" xfId="15426" xr:uid="{00000000-0005-0000-0000-0000303E0000}"/>
    <cellStyle name="d_yield_CCRD-muse -2_Cost Reduction v-plants v2 ultimo 3" xfId="15427" xr:uid="{00000000-0005-0000-0000-0000313E0000}"/>
    <cellStyle name="d_yield_CCRD-muse -2_Cost Reduction v-plants v2 ultimo 4" xfId="15428" xr:uid="{00000000-0005-0000-0000-0000323E0000}"/>
    <cellStyle name="d_yield_CCRD-muse -2_Cost Reduction v-plants v2 ultimo 5" xfId="15429" xr:uid="{00000000-0005-0000-0000-0000333E0000}"/>
    <cellStyle name="d_yield_CCRD-muse -2_Q1 Forecast rMat1 (Mitch)" xfId="15430" xr:uid="{00000000-0005-0000-0000-0000343E0000}"/>
    <cellStyle name="d_yield_CCRD-muse -2_Q1 Forecast rMat1 (Mitch) 2" xfId="15431" xr:uid="{00000000-0005-0000-0000-0000353E0000}"/>
    <cellStyle name="d_yield_CCRD-muse -2_Q1 Forecast rMat1 (Mitch) 3" xfId="15432" xr:uid="{00000000-0005-0000-0000-0000363E0000}"/>
    <cellStyle name="d_yield_CCRD-muse -2_Q1 Forecast rMat1 (Mitch) 4" xfId="15433" xr:uid="{00000000-0005-0000-0000-0000373E0000}"/>
    <cellStyle name="d_yield_CCRD-muse -2_Q1 Forecast rMat1 (Mitch) 5" xfId="15434" xr:uid="{00000000-0005-0000-0000-0000383E0000}"/>
    <cellStyle name="d_yield_CCRD-muse -2_Q1 Forecast rMat1 (Mitch)_1" xfId="15435" xr:uid="{00000000-0005-0000-0000-0000393E0000}"/>
    <cellStyle name="d_yield_CCRD-muse -2_Q1 Forecast rMat1 (Mitch)_1 2" xfId="15436" xr:uid="{00000000-0005-0000-0000-00003A3E0000}"/>
    <cellStyle name="d_yield_CCRD-muse -2_Q1 Forecast rMat1 (Mitch)_1 3" xfId="15437" xr:uid="{00000000-0005-0000-0000-00003B3E0000}"/>
    <cellStyle name="d_yield_CCRD-muse -2_Q1 Forecast rMat1 (Mitch)_1 4" xfId="15438" xr:uid="{00000000-0005-0000-0000-00003C3E0000}"/>
    <cellStyle name="d_yield_CCRD-muse -2_Q1 Forecast rMat1 (Mitch)_1 5" xfId="15439" xr:uid="{00000000-0005-0000-0000-00003D3E0000}"/>
    <cellStyle name="d_yield_CCRD-muse -2_Q1 Forecast rMat1 (Mitch)_2" xfId="15440" xr:uid="{00000000-0005-0000-0000-00003E3E0000}"/>
    <cellStyle name="d_yield_CCRD-muse -2_Q1 Forecast rMat1 (Mitch)_2 2" xfId="15441" xr:uid="{00000000-0005-0000-0000-00003F3E0000}"/>
    <cellStyle name="d_yield_CCRD-muse -2_Q1 Forecast rMat1 (Mitch)_2 3" xfId="15442" xr:uid="{00000000-0005-0000-0000-0000403E0000}"/>
    <cellStyle name="d_yield_CCRD-muse -2_Q1 Forecast rMat1 (Mitch)_2 4" xfId="15443" xr:uid="{00000000-0005-0000-0000-0000413E0000}"/>
    <cellStyle name="d_yield_CCRD-muse -2_Q1 Forecast rMat1 (Mitch)_2 5" xfId="15444" xr:uid="{00000000-0005-0000-0000-0000423E0000}"/>
    <cellStyle name="d_yield_CCRD-muse -2_Xl0000320" xfId="15445" xr:uid="{00000000-0005-0000-0000-0000433E0000}"/>
    <cellStyle name="d_yield_CCRD-muse -2_Xl0000320 2" xfId="15446" xr:uid="{00000000-0005-0000-0000-0000443E0000}"/>
    <cellStyle name="d_yield_CCRD-muse -2_Xl0000320 3" xfId="15447" xr:uid="{00000000-0005-0000-0000-0000453E0000}"/>
    <cellStyle name="d_yield_CCRD-muse -2_Xl0000320 4" xfId="15448" xr:uid="{00000000-0005-0000-0000-0000463E0000}"/>
    <cellStyle name="d_yield_CCRD-muse -2_Xl0000320 5" xfId="15449" xr:uid="{00000000-0005-0000-0000-0000473E0000}"/>
    <cellStyle name="d_yield_CCRD-muse -2_Xl0000326" xfId="15450" xr:uid="{00000000-0005-0000-0000-0000483E0000}"/>
    <cellStyle name="d_yield_CCRD-muse -2_Xl0000326 2" xfId="15451" xr:uid="{00000000-0005-0000-0000-0000493E0000}"/>
    <cellStyle name="d_yield_CCRD-muse -2_Xl0000326 3" xfId="15452" xr:uid="{00000000-0005-0000-0000-00004A3E0000}"/>
    <cellStyle name="d_yield_CCRD-muse -2_Xl0000326 4" xfId="15453" xr:uid="{00000000-0005-0000-0000-00004B3E0000}"/>
    <cellStyle name="d_yield_CCRD-muse -2_Xl0000326 5" xfId="15454" xr:uid="{00000000-0005-0000-0000-00004C3E0000}"/>
    <cellStyle name="d_yield_Cost Reduction v-plants v2 ultimo" xfId="15455" xr:uid="{00000000-0005-0000-0000-00004D3E0000}"/>
    <cellStyle name="d_yield_Cost Reduction v-plants v2 ultimo 2" xfId="15456" xr:uid="{00000000-0005-0000-0000-00004E3E0000}"/>
    <cellStyle name="d_yield_Cost Reduction v-plants v2 ultimo 3" xfId="15457" xr:uid="{00000000-0005-0000-0000-00004F3E0000}"/>
    <cellStyle name="d_yield_Cost Reduction v-plants v2 ultimo 4" xfId="15458" xr:uid="{00000000-0005-0000-0000-0000503E0000}"/>
    <cellStyle name="d_yield_Cost Reduction v-plants v2 ultimo 5" xfId="15459" xr:uid="{00000000-0005-0000-0000-0000513E0000}"/>
    <cellStyle name="d_yield_DCF-Valuation Support" xfId="15460" xr:uid="{00000000-0005-0000-0000-0000523E0000}"/>
    <cellStyle name="d_yield_DCF-Valuation Support 2" xfId="15461" xr:uid="{00000000-0005-0000-0000-0000533E0000}"/>
    <cellStyle name="d_yield_DCF-Valuation Support 3" xfId="15462" xr:uid="{00000000-0005-0000-0000-0000543E0000}"/>
    <cellStyle name="d_yield_DCF-Valuation Support 4" xfId="15463" xr:uid="{00000000-0005-0000-0000-0000553E0000}"/>
    <cellStyle name="d_yield_DCF-Valuation Support 5" xfId="15464" xr:uid="{00000000-0005-0000-0000-0000563E0000}"/>
    <cellStyle name="d_yield_DCF-Valuation Support_090105 CAPEX J1 J4" xfId="15465" xr:uid="{00000000-0005-0000-0000-0000573E0000}"/>
    <cellStyle name="d_yield_DCF-Valuation Support_090105 CAPEX J1 J4 2" xfId="15466" xr:uid="{00000000-0005-0000-0000-0000583E0000}"/>
    <cellStyle name="d_yield_DCF-Valuation Support_090105 CAPEX J1 J4 3" xfId="15467" xr:uid="{00000000-0005-0000-0000-0000593E0000}"/>
    <cellStyle name="d_yield_DCF-Valuation Support_090105 CAPEX J1 J4 4" xfId="15468" xr:uid="{00000000-0005-0000-0000-00005A3E0000}"/>
    <cellStyle name="d_yield_DCF-Valuation Support_090105 CAPEX J1 J4 5" xfId="15469" xr:uid="{00000000-0005-0000-0000-00005B3E0000}"/>
    <cellStyle name="d_yield_DCF-Valuation Support_090203 OH LAB 08 VS 09 CON AHORROS J1 J4 ENVIAR" xfId="15470" xr:uid="{00000000-0005-0000-0000-00005C3E0000}"/>
    <cellStyle name="d_yield_DCF-Valuation Support_090203 OH LAB 08 VS 09 CON AHORROS J1 J4 ENVIAR 2" xfId="15471" xr:uid="{00000000-0005-0000-0000-00005D3E0000}"/>
    <cellStyle name="d_yield_DCF-Valuation Support_090203 OH LAB 08 VS 09 CON AHORROS J1 J4 ENVIAR 3" xfId="15472" xr:uid="{00000000-0005-0000-0000-00005E3E0000}"/>
    <cellStyle name="d_yield_DCF-Valuation Support_090203 OH LAB 08 VS 09 CON AHORROS J1 J4 ENVIAR 4" xfId="15473" xr:uid="{00000000-0005-0000-0000-00005F3E0000}"/>
    <cellStyle name="d_yield_DCF-Valuation Support_090203 OH LAB 08 VS 09 CON AHORROS J1 J4 ENVIAR 5" xfId="15474" xr:uid="{00000000-0005-0000-0000-0000603E0000}"/>
    <cellStyle name="d_yield_DCF-Valuation Support_AHORROS FORMATO SIX SIGMA POR JUAN" xfId="15475" xr:uid="{00000000-0005-0000-0000-0000613E0000}"/>
    <cellStyle name="d_yield_DCF-Valuation Support_AHORROS FORMATO SIX SIGMA POR JUAN 2" xfId="15476" xr:uid="{00000000-0005-0000-0000-0000623E0000}"/>
    <cellStyle name="d_yield_DCF-Valuation Support_AHORROS FORMATO SIX SIGMA POR JUAN 3" xfId="15477" xr:uid="{00000000-0005-0000-0000-0000633E0000}"/>
    <cellStyle name="d_yield_DCF-Valuation Support_AHORROS FORMATO SIX SIGMA POR JUAN 4" xfId="15478" xr:uid="{00000000-0005-0000-0000-0000643E0000}"/>
    <cellStyle name="d_yield_DCF-Valuation Support_AHORROS FORMATO SIX SIGMA POR JUAN 5" xfId="15479" xr:uid="{00000000-0005-0000-0000-0000653E0000}"/>
    <cellStyle name="d_yield_DCF-Valuation Support_Book4" xfId="15480" xr:uid="{00000000-0005-0000-0000-0000663E0000}"/>
    <cellStyle name="d_yield_DCF-Valuation Support_Book4 2" xfId="15481" xr:uid="{00000000-0005-0000-0000-0000673E0000}"/>
    <cellStyle name="d_yield_DCF-Valuation Support_Book4 3" xfId="15482" xr:uid="{00000000-0005-0000-0000-0000683E0000}"/>
    <cellStyle name="d_yield_DCF-Valuation Support_Book4 4" xfId="15483" xr:uid="{00000000-0005-0000-0000-0000693E0000}"/>
    <cellStyle name="d_yield_DCF-Valuation Support_Book4 5" xfId="15484" xr:uid="{00000000-0005-0000-0000-00006A3E0000}"/>
    <cellStyle name="d_yield_DCF-Valuation Support_Budget IS 2009 IM" xfId="15485" xr:uid="{00000000-0005-0000-0000-00006B3E0000}"/>
    <cellStyle name="d_yield_DCF-Valuation Support_Budget IS 2009 IM 2" xfId="15486" xr:uid="{00000000-0005-0000-0000-00006C3E0000}"/>
    <cellStyle name="d_yield_DCF-Valuation Support_Budget IS 2009 IM 3" xfId="15487" xr:uid="{00000000-0005-0000-0000-00006D3E0000}"/>
    <cellStyle name="d_yield_DCF-Valuation Support_Budget IS 2009 IM 4" xfId="15488" xr:uid="{00000000-0005-0000-0000-00006E3E0000}"/>
    <cellStyle name="d_yield_DCF-Valuation Support_Budget IS 2009 IM 5" xfId="15489" xr:uid="{00000000-0005-0000-0000-00006F3E0000}"/>
    <cellStyle name="d_yield_DCF-Valuation Support_Cost Reduction v-plants v2 ultimo" xfId="15490" xr:uid="{00000000-0005-0000-0000-0000703E0000}"/>
    <cellStyle name="d_yield_DCF-Valuation Support_Cost Reduction v-plants v2 ultimo 2" xfId="15491" xr:uid="{00000000-0005-0000-0000-0000713E0000}"/>
    <cellStyle name="d_yield_DCF-Valuation Support_Cost Reduction v-plants v2 ultimo 3" xfId="15492" xr:uid="{00000000-0005-0000-0000-0000723E0000}"/>
    <cellStyle name="d_yield_DCF-Valuation Support_Cost Reduction v-plants v2 ultimo 4" xfId="15493" xr:uid="{00000000-0005-0000-0000-0000733E0000}"/>
    <cellStyle name="d_yield_DCF-Valuation Support_Cost Reduction v-plants v2 ultimo 5" xfId="15494" xr:uid="{00000000-0005-0000-0000-0000743E0000}"/>
    <cellStyle name="d_yield_DCF-Valuation Support_Q1 Forecast rMat1 (Mitch)" xfId="15495" xr:uid="{00000000-0005-0000-0000-0000753E0000}"/>
    <cellStyle name="d_yield_DCF-Valuation Support_Q1 Forecast rMat1 (Mitch) 2" xfId="15496" xr:uid="{00000000-0005-0000-0000-0000763E0000}"/>
    <cellStyle name="d_yield_DCF-Valuation Support_Q1 Forecast rMat1 (Mitch) 3" xfId="15497" xr:uid="{00000000-0005-0000-0000-0000773E0000}"/>
    <cellStyle name="d_yield_DCF-Valuation Support_Q1 Forecast rMat1 (Mitch) 4" xfId="15498" xr:uid="{00000000-0005-0000-0000-0000783E0000}"/>
    <cellStyle name="d_yield_DCF-Valuation Support_Q1 Forecast rMat1 (Mitch) 5" xfId="15499" xr:uid="{00000000-0005-0000-0000-0000793E0000}"/>
    <cellStyle name="d_yield_DCF-Valuation Support_Q1 Forecast rMat1 (Mitch)_1" xfId="15500" xr:uid="{00000000-0005-0000-0000-00007A3E0000}"/>
    <cellStyle name="d_yield_DCF-Valuation Support_Q1 Forecast rMat1 (Mitch)_1 2" xfId="15501" xr:uid="{00000000-0005-0000-0000-00007B3E0000}"/>
    <cellStyle name="d_yield_DCF-Valuation Support_Q1 Forecast rMat1 (Mitch)_1 3" xfId="15502" xr:uid="{00000000-0005-0000-0000-00007C3E0000}"/>
    <cellStyle name="d_yield_DCF-Valuation Support_Q1 Forecast rMat1 (Mitch)_1 4" xfId="15503" xr:uid="{00000000-0005-0000-0000-00007D3E0000}"/>
    <cellStyle name="d_yield_DCF-Valuation Support_Q1 Forecast rMat1 (Mitch)_1 5" xfId="15504" xr:uid="{00000000-0005-0000-0000-00007E3E0000}"/>
    <cellStyle name="d_yield_DCF-Valuation Support_Q1 Forecast rMat1 (Mitch)_2" xfId="15505" xr:uid="{00000000-0005-0000-0000-00007F3E0000}"/>
    <cellStyle name="d_yield_DCF-Valuation Support_Q1 Forecast rMat1 (Mitch)_2 2" xfId="15506" xr:uid="{00000000-0005-0000-0000-0000803E0000}"/>
    <cellStyle name="d_yield_DCF-Valuation Support_Q1 Forecast rMat1 (Mitch)_2 3" xfId="15507" xr:uid="{00000000-0005-0000-0000-0000813E0000}"/>
    <cellStyle name="d_yield_DCF-Valuation Support_Q1 Forecast rMat1 (Mitch)_2 4" xfId="15508" xr:uid="{00000000-0005-0000-0000-0000823E0000}"/>
    <cellStyle name="d_yield_DCF-Valuation Support_Q1 Forecast rMat1 (Mitch)_2 5" xfId="15509" xr:uid="{00000000-0005-0000-0000-0000833E0000}"/>
    <cellStyle name="d_yield_DCF-Valuation Support_Xl0000320" xfId="15510" xr:uid="{00000000-0005-0000-0000-0000843E0000}"/>
    <cellStyle name="d_yield_DCF-Valuation Support_Xl0000320 2" xfId="15511" xr:uid="{00000000-0005-0000-0000-0000853E0000}"/>
    <cellStyle name="d_yield_DCF-Valuation Support_Xl0000320 3" xfId="15512" xr:uid="{00000000-0005-0000-0000-0000863E0000}"/>
    <cellStyle name="d_yield_DCF-Valuation Support_Xl0000320 4" xfId="15513" xr:uid="{00000000-0005-0000-0000-0000873E0000}"/>
    <cellStyle name="d_yield_DCF-Valuation Support_Xl0000320 5" xfId="15514" xr:uid="{00000000-0005-0000-0000-0000883E0000}"/>
    <cellStyle name="d_yield_DCF-Valuation Support_Xl0000326" xfId="15515" xr:uid="{00000000-0005-0000-0000-0000893E0000}"/>
    <cellStyle name="d_yield_DCF-Valuation Support_Xl0000326 2" xfId="15516" xr:uid="{00000000-0005-0000-0000-00008A3E0000}"/>
    <cellStyle name="d_yield_DCF-Valuation Support_Xl0000326 3" xfId="15517" xr:uid="{00000000-0005-0000-0000-00008B3E0000}"/>
    <cellStyle name="d_yield_DCF-Valuation Support_Xl0000326 4" xfId="15518" xr:uid="{00000000-0005-0000-0000-00008C3E0000}"/>
    <cellStyle name="d_yield_DCF-Valuation Support_Xl0000326 5" xfId="15519" xr:uid="{00000000-0005-0000-0000-00008D3E0000}"/>
    <cellStyle name="d_yield_ICOS-INC" xfId="15520" xr:uid="{00000000-0005-0000-0000-00008E3E0000}"/>
    <cellStyle name="d_yield_ICOS-INC (2)" xfId="15521" xr:uid="{00000000-0005-0000-0000-00008F3E0000}"/>
    <cellStyle name="d_yield_ICOS-INC (2) 2" xfId="15522" xr:uid="{00000000-0005-0000-0000-0000903E0000}"/>
    <cellStyle name="d_yield_ICOS-INC (2) 3" xfId="15523" xr:uid="{00000000-0005-0000-0000-0000913E0000}"/>
    <cellStyle name="d_yield_ICOS-INC (2) 4" xfId="15524" xr:uid="{00000000-0005-0000-0000-0000923E0000}"/>
    <cellStyle name="d_yield_ICOS-INC (2) 5" xfId="15525" xr:uid="{00000000-0005-0000-0000-0000933E0000}"/>
    <cellStyle name="d_yield_ICOS-INC (2) 6" xfId="15526" xr:uid="{00000000-0005-0000-0000-0000943E0000}"/>
    <cellStyle name="d_yield_ICOS-INC (2)_090105 CAPEX J1 J4" xfId="15527" xr:uid="{00000000-0005-0000-0000-0000953E0000}"/>
    <cellStyle name="d_yield_ICOS-INC (2)_090105 CAPEX J1 J4 2" xfId="15528" xr:uid="{00000000-0005-0000-0000-0000963E0000}"/>
    <cellStyle name="d_yield_ICOS-INC (2)_090105 CAPEX J1 J4 3" xfId="15529" xr:uid="{00000000-0005-0000-0000-0000973E0000}"/>
    <cellStyle name="d_yield_ICOS-INC (2)_090105 CAPEX J1 J4 4" xfId="15530" xr:uid="{00000000-0005-0000-0000-0000983E0000}"/>
    <cellStyle name="d_yield_ICOS-INC (2)_090105 CAPEX J1 J4 5" xfId="15531" xr:uid="{00000000-0005-0000-0000-0000993E0000}"/>
    <cellStyle name="d_yield_ICOS-INC (2)_090105 CAPEX J1 J4 6" xfId="15532" xr:uid="{00000000-0005-0000-0000-00009A3E0000}"/>
    <cellStyle name="d_yield_ICOS-INC (2)_090203 OH LAB 08 VS 09 CON AHORROS J1 J4 ENVIAR" xfId="15533" xr:uid="{00000000-0005-0000-0000-00009B3E0000}"/>
    <cellStyle name="d_yield_ICOS-INC (2)_090203 OH LAB 08 VS 09 CON AHORROS J1 J4 ENVIAR 2" xfId="15534" xr:uid="{00000000-0005-0000-0000-00009C3E0000}"/>
    <cellStyle name="d_yield_ICOS-INC (2)_090203 OH LAB 08 VS 09 CON AHORROS J1 J4 ENVIAR 3" xfId="15535" xr:uid="{00000000-0005-0000-0000-00009D3E0000}"/>
    <cellStyle name="d_yield_ICOS-INC (2)_090203 OH LAB 08 VS 09 CON AHORROS J1 J4 ENVIAR 4" xfId="15536" xr:uid="{00000000-0005-0000-0000-00009E3E0000}"/>
    <cellStyle name="d_yield_ICOS-INC (2)_090203 OH LAB 08 VS 09 CON AHORROS J1 J4 ENVIAR 5" xfId="15537" xr:uid="{00000000-0005-0000-0000-00009F3E0000}"/>
    <cellStyle name="d_yield_ICOS-INC (2)_090203 OH LAB 08 VS 09 CON AHORROS J1 J4 ENVIAR 6" xfId="15538" xr:uid="{00000000-0005-0000-0000-0000A03E0000}"/>
    <cellStyle name="d_yield_ICOS-INC (2)_AHORROS FORMATO SIX SIGMA POR JUAN" xfId="15539" xr:uid="{00000000-0005-0000-0000-0000A13E0000}"/>
    <cellStyle name="d_yield_ICOS-INC (2)_AHORROS FORMATO SIX SIGMA POR JUAN 2" xfId="15540" xr:uid="{00000000-0005-0000-0000-0000A23E0000}"/>
    <cellStyle name="d_yield_ICOS-INC (2)_AHORROS FORMATO SIX SIGMA POR JUAN 3" xfId="15541" xr:uid="{00000000-0005-0000-0000-0000A33E0000}"/>
    <cellStyle name="d_yield_ICOS-INC (2)_AHORROS FORMATO SIX SIGMA POR JUAN 4" xfId="15542" xr:uid="{00000000-0005-0000-0000-0000A43E0000}"/>
    <cellStyle name="d_yield_ICOS-INC (2)_AHORROS FORMATO SIX SIGMA POR JUAN 5" xfId="15543" xr:uid="{00000000-0005-0000-0000-0000A53E0000}"/>
    <cellStyle name="d_yield_ICOS-INC (2)_AHORROS FORMATO SIX SIGMA POR JUAN 6" xfId="15544" xr:uid="{00000000-0005-0000-0000-0000A63E0000}"/>
    <cellStyle name="d_yield_ICOS-INC (2)_Book4" xfId="15545" xr:uid="{00000000-0005-0000-0000-0000A73E0000}"/>
    <cellStyle name="d_yield_ICOS-INC (2)_Book4 2" xfId="15546" xr:uid="{00000000-0005-0000-0000-0000A83E0000}"/>
    <cellStyle name="d_yield_ICOS-INC (2)_Book4 3" xfId="15547" xr:uid="{00000000-0005-0000-0000-0000A93E0000}"/>
    <cellStyle name="d_yield_ICOS-INC (2)_Book4 4" xfId="15548" xr:uid="{00000000-0005-0000-0000-0000AA3E0000}"/>
    <cellStyle name="d_yield_ICOS-INC (2)_Book4 5" xfId="15549" xr:uid="{00000000-0005-0000-0000-0000AB3E0000}"/>
    <cellStyle name="d_yield_ICOS-INC (2)_Book4 6" xfId="15550" xr:uid="{00000000-0005-0000-0000-0000AC3E0000}"/>
    <cellStyle name="d_yield_ICOS-INC (2)_Budget IS 2009 IM" xfId="15551" xr:uid="{00000000-0005-0000-0000-0000AD3E0000}"/>
    <cellStyle name="d_yield_ICOS-INC (2)_Budget IS 2009 IM 2" xfId="15552" xr:uid="{00000000-0005-0000-0000-0000AE3E0000}"/>
    <cellStyle name="d_yield_ICOS-INC (2)_Budget IS 2009 IM 3" xfId="15553" xr:uid="{00000000-0005-0000-0000-0000AF3E0000}"/>
    <cellStyle name="d_yield_ICOS-INC (2)_Budget IS 2009 IM 4" xfId="15554" xr:uid="{00000000-0005-0000-0000-0000B03E0000}"/>
    <cellStyle name="d_yield_ICOS-INC (2)_Budget IS 2009 IM 5" xfId="15555" xr:uid="{00000000-0005-0000-0000-0000B13E0000}"/>
    <cellStyle name="d_yield_ICOS-INC (2)_Budget IS 2009 IM 6" xfId="15556" xr:uid="{00000000-0005-0000-0000-0000B23E0000}"/>
    <cellStyle name="d_yield_ICOS-INC (2)_Cost Reduction v-plants v2 ultimo" xfId="15557" xr:uid="{00000000-0005-0000-0000-0000B33E0000}"/>
    <cellStyle name="d_yield_ICOS-INC (2)_Cost Reduction v-plants v2 ultimo 2" xfId="15558" xr:uid="{00000000-0005-0000-0000-0000B43E0000}"/>
    <cellStyle name="d_yield_ICOS-INC (2)_Cost Reduction v-plants v2 ultimo 3" xfId="15559" xr:uid="{00000000-0005-0000-0000-0000B53E0000}"/>
    <cellStyle name="d_yield_ICOS-INC (2)_Cost Reduction v-plants v2 ultimo 4" xfId="15560" xr:uid="{00000000-0005-0000-0000-0000B63E0000}"/>
    <cellStyle name="d_yield_ICOS-INC (2)_Cost Reduction v-plants v2 ultimo 5" xfId="15561" xr:uid="{00000000-0005-0000-0000-0000B73E0000}"/>
    <cellStyle name="d_yield_ICOS-INC (2)_Cost Reduction v-plants v2 ultimo 6" xfId="15562" xr:uid="{00000000-0005-0000-0000-0000B83E0000}"/>
    <cellStyle name="d_yield_ICOS-INC (2)_Q1 Forecast rMat1 (Mitch)" xfId="15563" xr:uid="{00000000-0005-0000-0000-0000B93E0000}"/>
    <cellStyle name="d_yield_ICOS-INC (2)_Q1 Forecast rMat1 (Mitch) 2" xfId="15564" xr:uid="{00000000-0005-0000-0000-0000BA3E0000}"/>
    <cellStyle name="d_yield_ICOS-INC (2)_Q1 Forecast rMat1 (Mitch) 3" xfId="15565" xr:uid="{00000000-0005-0000-0000-0000BB3E0000}"/>
    <cellStyle name="d_yield_ICOS-INC (2)_Q1 Forecast rMat1 (Mitch) 4" xfId="15566" xr:uid="{00000000-0005-0000-0000-0000BC3E0000}"/>
    <cellStyle name="d_yield_ICOS-INC (2)_Q1 Forecast rMat1 (Mitch) 5" xfId="15567" xr:uid="{00000000-0005-0000-0000-0000BD3E0000}"/>
    <cellStyle name="d_yield_ICOS-INC (2)_Q1 Forecast rMat1 (Mitch) 6" xfId="15568" xr:uid="{00000000-0005-0000-0000-0000BE3E0000}"/>
    <cellStyle name="d_yield_ICOS-INC (2)_Q1 Forecast rMat1 (Mitch)_1" xfId="15569" xr:uid="{00000000-0005-0000-0000-0000BF3E0000}"/>
    <cellStyle name="d_yield_ICOS-INC (2)_Q1 Forecast rMat1 (Mitch)_1 2" xfId="15570" xr:uid="{00000000-0005-0000-0000-0000C03E0000}"/>
    <cellStyle name="d_yield_ICOS-INC (2)_Q1 Forecast rMat1 (Mitch)_1 3" xfId="15571" xr:uid="{00000000-0005-0000-0000-0000C13E0000}"/>
    <cellStyle name="d_yield_ICOS-INC (2)_Q1 Forecast rMat1 (Mitch)_1 4" xfId="15572" xr:uid="{00000000-0005-0000-0000-0000C23E0000}"/>
    <cellStyle name="d_yield_ICOS-INC (2)_Q1 Forecast rMat1 (Mitch)_1 5" xfId="15573" xr:uid="{00000000-0005-0000-0000-0000C33E0000}"/>
    <cellStyle name="d_yield_ICOS-INC (2)_Q1 Forecast rMat1 (Mitch)_1 6" xfId="15574" xr:uid="{00000000-0005-0000-0000-0000C43E0000}"/>
    <cellStyle name="d_yield_ICOS-INC (2)_Q1 Forecast rMat1 (Mitch)_2" xfId="15575" xr:uid="{00000000-0005-0000-0000-0000C53E0000}"/>
    <cellStyle name="d_yield_ICOS-INC (2)_Q1 Forecast rMat1 (Mitch)_2 2" xfId="15576" xr:uid="{00000000-0005-0000-0000-0000C63E0000}"/>
    <cellStyle name="d_yield_ICOS-INC (2)_Q1 Forecast rMat1 (Mitch)_2 3" xfId="15577" xr:uid="{00000000-0005-0000-0000-0000C73E0000}"/>
    <cellStyle name="d_yield_ICOS-INC (2)_Q1 Forecast rMat1 (Mitch)_2 4" xfId="15578" xr:uid="{00000000-0005-0000-0000-0000C83E0000}"/>
    <cellStyle name="d_yield_ICOS-INC (2)_Q1 Forecast rMat1 (Mitch)_2 5" xfId="15579" xr:uid="{00000000-0005-0000-0000-0000C93E0000}"/>
    <cellStyle name="d_yield_ICOS-INC (2)_Q1 Forecast rMat1 (Mitch)_2 6" xfId="15580" xr:uid="{00000000-0005-0000-0000-0000CA3E0000}"/>
    <cellStyle name="d_yield_ICOS-INC (2)_Xl0000320" xfId="15581" xr:uid="{00000000-0005-0000-0000-0000CB3E0000}"/>
    <cellStyle name="d_yield_ICOS-INC (2)_Xl0000320 2" xfId="15582" xr:uid="{00000000-0005-0000-0000-0000CC3E0000}"/>
    <cellStyle name="d_yield_ICOS-INC (2)_Xl0000320 3" xfId="15583" xr:uid="{00000000-0005-0000-0000-0000CD3E0000}"/>
    <cellStyle name="d_yield_ICOS-INC (2)_Xl0000320 4" xfId="15584" xr:uid="{00000000-0005-0000-0000-0000CE3E0000}"/>
    <cellStyle name="d_yield_ICOS-INC (2)_Xl0000320 5" xfId="15585" xr:uid="{00000000-0005-0000-0000-0000CF3E0000}"/>
    <cellStyle name="d_yield_ICOS-INC (2)_Xl0000320 6" xfId="15586" xr:uid="{00000000-0005-0000-0000-0000D03E0000}"/>
    <cellStyle name="d_yield_ICOS-INC (2)_Xl0000326" xfId="15587" xr:uid="{00000000-0005-0000-0000-0000D13E0000}"/>
    <cellStyle name="d_yield_ICOS-INC (2)_Xl0000326 2" xfId="15588" xr:uid="{00000000-0005-0000-0000-0000D23E0000}"/>
    <cellStyle name="d_yield_ICOS-INC (2)_Xl0000326 3" xfId="15589" xr:uid="{00000000-0005-0000-0000-0000D33E0000}"/>
    <cellStyle name="d_yield_ICOS-INC (2)_Xl0000326 4" xfId="15590" xr:uid="{00000000-0005-0000-0000-0000D43E0000}"/>
    <cellStyle name="d_yield_ICOS-INC (2)_Xl0000326 5" xfId="15591" xr:uid="{00000000-0005-0000-0000-0000D53E0000}"/>
    <cellStyle name="d_yield_ICOS-INC (2)_Xl0000326 6" xfId="15592" xr:uid="{00000000-0005-0000-0000-0000D63E0000}"/>
    <cellStyle name="d_yield_ICOS-INC 10" xfId="15593" xr:uid="{00000000-0005-0000-0000-0000D73E0000}"/>
    <cellStyle name="d_yield_ICOS-INC 11" xfId="15594" xr:uid="{00000000-0005-0000-0000-0000D83E0000}"/>
    <cellStyle name="d_yield_ICOS-INC 12" xfId="15595" xr:uid="{00000000-0005-0000-0000-0000D93E0000}"/>
    <cellStyle name="d_yield_ICOS-INC 13" xfId="15596" xr:uid="{00000000-0005-0000-0000-0000DA3E0000}"/>
    <cellStyle name="d_yield_ICOS-INC 2" xfId="15597" xr:uid="{00000000-0005-0000-0000-0000DB3E0000}"/>
    <cellStyle name="d_yield_ICOS-INC 3" xfId="15598" xr:uid="{00000000-0005-0000-0000-0000DC3E0000}"/>
    <cellStyle name="d_yield_ICOS-INC 4" xfId="15599" xr:uid="{00000000-0005-0000-0000-0000DD3E0000}"/>
    <cellStyle name="d_yield_ICOS-INC 5" xfId="15600" xr:uid="{00000000-0005-0000-0000-0000DE3E0000}"/>
    <cellStyle name="d_yield_ICOS-INC 6" xfId="15601" xr:uid="{00000000-0005-0000-0000-0000DF3E0000}"/>
    <cellStyle name="d_yield_ICOS-INC 7" xfId="15602" xr:uid="{00000000-0005-0000-0000-0000E03E0000}"/>
    <cellStyle name="d_yield_ICOS-INC 8" xfId="15603" xr:uid="{00000000-0005-0000-0000-0000E13E0000}"/>
    <cellStyle name="d_yield_ICOS-INC 9" xfId="15604" xr:uid="{00000000-0005-0000-0000-0000E23E0000}"/>
    <cellStyle name="d_yield_ICOS-INC_090105 CAPEX J1 J4" xfId="15605" xr:uid="{00000000-0005-0000-0000-0000E33E0000}"/>
    <cellStyle name="d_yield_ICOS-INC_090105 CAPEX J1 J4 2" xfId="15606" xr:uid="{00000000-0005-0000-0000-0000E43E0000}"/>
    <cellStyle name="d_yield_ICOS-INC_090105 CAPEX J1 J4 3" xfId="15607" xr:uid="{00000000-0005-0000-0000-0000E53E0000}"/>
    <cellStyle name="d_yield_ICOS-INC_090105 CAPEX J1 J4 4" xfId="15608" xr:uid="{00000000-0005-0000-0000-0000E63E0000}"/>
    <cellStyle name="d_yield_ICOS-INC_090105 CAPEX J1 J4 5" xfId="15609" xr:uid="{00000000-0005-0000-0000-0000E73E0000}"/>
    <cellStyle name="d_yield_ICOS-INC_090105 CAPEX J1 J4 6" xfId="15610" xr:uid="{00000000-0005-0000-0000-0000E83E0000}"/>
    <cellStyle name="d_yield_ICOS-INC_090203 OH LAB 08 VS 09 CON AHORROS J1 J4 ENVIAR" xfId="15611" xr:uid="{00000000-0005-0000-0000-0000E93E0000}"/>
    <cellStyle name="d_yield_ICOS-INC_090203 OH LAB 08 VS 09 CON AHORROS J1 J4 ENVIAR 2" xfId="15612" xr:uid="{00000000-0005-0000-0000-0000EA3E0000}"/>
    <cellStyle name="d_yield_ICOS-INC_090203 OH LAB 08 VS 09 CON AHORROS J1 J4 ENVIAR 3" xfId="15613" xr:uid="{00000000-0005-0000-0000-0000EB3E0000}"/>
    <cellStyle name="d_yield_ICOS-INC_090203 OH LAB 08 VS 09 CON AHORROS J1 J4 ENVIAR 4" xfId="15614" xr:uid="{00000000-0005-0000-0000-0000EC3E0000}"/>
    <cellStyle name="d_yield_ICOS-INC_090203 OH LAB 08 VS 09 CON AHORROS J1 J4 ENVIAR 5" xfId="15615" xr:uid="{00000000-0005-0000-0000-0000ED3E0000}"/>
    <cellStyle name="d_yield_ICOS-INC_090203 OH LAB 08 VS 09 CON AHORROS J1 J4 ENVIAR 6" xfId="15616" xr:uid="{00000000-0005-0000-0000-0000EE3E0000}"/>
    <cellStyle name="d_yield_ICOS-INC_AHORROS FORMATO SIX SIGMA POR JUAN" xfId="15617" xr:uid="{00000000-0005-0000-0000-0000EF3E0000}"/>
    <cellStyle name="d_yield_ICOS-INC_AHORROS FORMATO SIX SIGMA POR JUAN 2" xfId="15618" xr:uid="{00000000-0005-0000-0000-0000F03E0000}"/>
    <cellStyle name="d_yield_ICOS-INC_AHORROS FORMATO SIX SIGMA POR JUAN 3" xfId="15619" xr:uid="{00000000-0005-0000-0000-0000F13E0000}"/>
    <cellStyle name="d_yield_ICOS-INC_AHORROS FORMATO SIX SIGMA POR JUAN 4" xfId="15620" xr:uid="{00000000-0005-0000-0000-0000F23E0000}"/>
    <cellStyle name="d_yield_ICOS-INC_AHORROS FORMATO SIX SIGMA POR JUAN 5" xfId="15621" xr:uid="{00000000-0005-0000-0000-0000F33E0000}"/>
    <cellStyle name="d_yield_ICOS-INC_AHORROS FORMATO SIX SIGMA POR JUAN 6" xfId="15622" xr:uid="{00000000-0005-0000-0000-0000F43E0000}"/>
    <cellStyle name="d_yield_ICOS-INC_Book4" xfId="15623" xr:uid="{00000000-0005-0000-0000-0000F53E0000}"/>
    <cellStyle name="d_yield_ICOS-INC_Book4 2" xfId="15624" xr:uid="{00000000-0005-0000-0000-0000F63E0000}"/>
    <cellStyle name="d_yield_ICOS-INC_Book4 3" xfId="15625" xr:uid="{00000000-0005-0000-0000-0000F73E0000}"/>
    <cellStyle name="d_yield_ICOS-INC_Book4 4" xfId="15626" xr:uid="{00000000-0005-0000-0000-0000F83E0000}"/>
    <cellStyle name="d_yield_ICOS-INC_Book4 5" xfId="15627" xr:uid="{00000000-0005-0000-0000-0000F93E0000}"/>
    <cellStyle name="d_yield_ICOS-INC_Book4 6" xfId="15628" xr:uid="{00000000-0005-0000-0000-0000FA3E0000}"/>
    <cellStyle name="d_yield_ICOS-INC_Budget IS 2009 IM" xfId="15629" xr:uid="{00000000-0005-0000-0000-0000FB3E0000}"/>
    <cellStyle name="d_yield_ICOS-INC_Budget IS 2009 IM 2" xfId="15630" xr:uid="{00000000-0005-0000-0000-0000FC3E0000}"/>
    <cellStyle name="d_yield_ICOS-INC_Budget IS 2009 IM 3" xfId="15631" xr:uid="{00000000-0005-0000-0000-0000FD3E0000}"/>
    <cellStyle name="d_yield_ICOS-INC_Budget IS 2009 IM 4" xfId="15632" xr:uid="{00000000-0005-0000-0000-0000FE3E0000}"/>
    <cellStyle name="d_yield_ICOS-INC_Budget IS 2009 IM 5" xfId="15633" xr:uid="{00000000-0005-0000-0000-0000FF3E0000}"/>
    <cellStyle name="d_yield_ICOS-INC_Budget IS 2009 IM 6" xfId="15634" xr:uid="{00000000-0005-0000-0000-0000003F0000}"/>
    <cellStyle name="d_yield_ICOS-INC_Cost Reduction v-plants v2 ultimo" xfId="15635" xr:uid="{00000000-0005-0000-0000-0000013F0000}"/>
    <cellStyle name="d_yield_ICOS-INC_Cost Reduction v-plants v2 ultimo 2" xfId="15636" xr:uid="{00000000-0005-0000-0000-0000023F0000}"/>
    <cellStyle name="d_yield_ICOS-INC_Cost Reduction v-plants v2 ultimo 3" xfId="15637" xr:uid="{00000000-0005-0000-0000-0000033F0000}"/>
    <cellStyle name="d_yield_ICOS-INC_Cost Reduction v-plants v2 ultimo 4" xfId="15638" xr:uid="{00000000-0005-0000-0000-0000043F0000}"/>
    <cellStyle name="d_yield_ICOS-INC_Cost Reduction v-plants v2 ultimo 5" xfId="15639" xr:uid="{00000000-0005-0000-0000-0000053F0000}"/>
    <cellStyle name="d_yield_ICOS-INC_Cost Reduction v-plants v2 ultimo 6" xfId="15640" xr:uid="{00000000-0005-0000-0000-0000063F0000}"/>
    <cellStyle name="d_yield_ICOS-INC_Q1 Forecast rMat1 (Mitch)" xfId="15641" xr:uid="{00000000-0005-0000-0000-0000073F0000}"/>
    <cellStyle name="d_yield_ICOS-INC_Q1 Forecast rMat1 (Mitch) 2" xfId="15642" xr:uid="{00000000-0005-0000-0000-0000083F0000}"/>
    <cellStyle name="d_yield_ICOS-INC_Q1 Forecast rMat1 (Mitch) 3" xfId="15643" xr:uid="{00000000-0005-0000-0000-0000093F0000}"/>
    <cellStyle name="d_yield_ICOS-INC_Q1 Forecast rMat1 (Mitch) 4" xfId="15644" xr:uid="{00000000-0005-0000-0000-00000A3F0000}"/>
    <cellStyle name="d_yield_ICOS-INC_Q1 Forecast rMat1 (Mitch) 5" xfId="15645" xr:uid="{00000000-0005-0000-0000-00000B3F0000}"/>
    <cellStyle name="d_yield_ICOS-INC_Q1 Forecast rMat1 (Mitch) 6" xfId="15646" xr:uid="{00000000-0005-0000-0000-00000C3F0000}"/>
    <cellStyle name="d_yield_ICOS-INC_Q1 Forecast rMat1 (Mitch)_1" xfId="15647" xr:uid="{00000000-0005-0000-0000-00000D3F0000}"/>
    <cellStyle name="d_yield_ICOS-INC_Q1 Forecast rMat1 (Mitch)_1 2" xfId="15648" xr:uid="{00000000-0005-0000-0000-00000E3F0000}"/>
    <cellStyle name="d_yield_ICOS-INC_Q1 Forecast rMat1 (Mitch)_1 3" xfId="15649" xr:uid="{00000000-0005-0000-0000-00000F3F0000}"/>
    <cellStyle name="d_yield_ICOS-INC_Q1 Forecast rMat1 (Mitch)_1 4" xfId="15650" xr:uid="{00000000-0005-0000-0000-0000103F0000}"/>
    <cellStyle name="d_yield_ICOS-INC_Q1 Forecast rMat1 (Mitch)_1 5" xfId="15651" xr:uid="{00000000-0005-0000-0000-0000113F0000}"/>
    <cellStyle name="d_yield_ICOS-INC_Q1 Forecast rMat1 (Mitch)_1 6" xfId="15652" xr:uid="{00000000-0005-0000-0000-0000123F0000}"/>
    <cellStyle name="d_yield_ICOS-INC_Q1 Forecast rMat1 (Mitch)_2" xfId="15653" xr:uid="{00000000-0005-0000-0000-0000133F0000}"/>
    <cellStyle name="d_yield_ICOS-INC_Q1 Forecast rMat1 (Mitch)_2 2" xfId="15654" xr:uid="{00000000-0005-0000-0000-0000143F0000}"/>
    <cellStyle name="d_yield_ICOS-INC_Q1 Forecast rMat1 (Mitch)_2 3" xfId="15655" xr:uid="{00000000-0005-0000-0000-0000153F0000}"/>
    <cellStyle name="d_yield_ICOS-INC_Q1 Forecast rMat1 (Mitch)_2 4" xfId="15656" xr:uid="{00000000-0005-0000-0000-0000163F0000}"/>
    <cellStyle name="d_yield_ICOS-INC_Q1 Forecast rMat1 (Mitch)_2 5" xfId="15657" xr:uid="{00000000-0005-0000-0000-0000173F0000}"/>
    <cellStyle name="d_yield_ICOS-INC_Q1 Forecast rMat1 (Mitch)_2 6" xfId="15658" xr:uid="{00000000-0005-0000-0000-0000183F0000}"/>
    <cellStyle name="d_yield_ICOS-INC_Xl0000320" xfId="15659" xr:uid="{00000000-0005-0000-0000-0000193F0000}"/>
    <cellStyle name="d_yield_ICOS-INC_Xl0000320 2" xfId="15660" xr:uid="{00000000-0005-0000-0000-00001A3F0000}"/>
    <cellStyle name="d_yield_ICOS-INC_Xl0000320 3" xfId="15661" xr:uid="{00000000-0005-0000-0000-00001B3F0000}"/>
    <cellStyle name="d_yield_ICOS-INC_Xl0000320 4" xfId="15662" xr:uid="{00000000-0005-0000-0000-00001C3F0000}"/>
    <cellStyle name="d_yield_ICOS-INC_Xl0000320 5" xfId="15663" xr:uid="{00000000-0005-0000-0000-00001D3F0000}"/>
    <cellStyle name="d_yield_ICOS-INC_Xl0000320 6" xfId="15664" xr:uid="{00000000-0005-0000-0000-00001E3F0000}"/>
    <cellStyle name="d_yield_ICOS-INC_Xl0000326" xfId="15665" xr:uid="{00000000-0005-0000-0000-00001F3F0000}"/>
    <cellStyle name="d_yield_ICOS-INC_Xl0000326 2" xfId="15666" xr:uid="{00000000-0005-0000-0000-0000203F0000}"/>
    <cellStyle name="d_yield_ICOS-INC_Xl0000326 3" xfId="15667" xr:uid="{00000000-0005-0000-0000-0000213F0000}"/>
    <cellStyle name="d_yield_ICOS-INC_Xl0000326 4" xfId="15668" xr:uid="{00000000-0005-0000-0000-0000223F0000}"/>
    <cellStyle name="d_yield_ICOS-INC_Xl0000326 5" xfId="15669" xr:uid="{00000000-0005-0000-0000-0000233F0000}"/>
    <cellStyle name="d_yield_ICOS-INC_Xl0000326 6" xfId="15670" xr:uid="{00000000-0005-0000-0000-0000243F0000}"/>
    <cellStyle name="d_yield_Merger Model16.xls Chart 1" xfId="15671" xr:uid="{00000000-0005-0000-0000-0000253F0000}"/>
    <cellStyle name="d_yield_Merger Model16.xls Chart 1 2" xfId="15672" xr:uid="{00000000-0005-0000-0000-0000263F0000}"/>
    <cellStyle name="d_yield_Merger Model16.xls Chart 1 3" xfId="15673" xr:uid="{00000000-0005-0000-0000-0000273F0000}"/>
    <cellStyle name="d_yield_Merger Model16.xls Chart 1 4" xfId="15674" xr:uid="{00000000-0005-0000-0000-0000283F0000}"/>
    <cellStyle name="d_yield_Merger Model16.xls Chart 1 5" xfId="15675" xr:uid="{00000000-0005-0000-0000-0000293F0000}"/>
    <cellStyle name="d_yield_Merger Model16.xls Chart 1_090105 CAPEX J1 J4" xfId="15676" xr:uid="{00000000-0005-0000-0000-00002A3F0000}"/>
    <cellStyle name="d_yield_Merger Model16.xls Chart 1_090105 CAPEX J1 J4 2" xfId="15677" xr:uid="{00000000-0005-0000-0000-00002B3F0000}"/>
    <cellStyle name="d_yield_Merger Model16.xls Chart 1_090105 CAPEX J1 J4 3" xfId="15678" xr:uid="{00000000-0005-0000-0000-00002C3F0000}"/>
    <cellStyle name="d_yield_Merger Model16.xls Chart 1_090105 CAPEX J1 J4 4" xfId="15679" xr:uid="{00000000-0005-0000-0000-00002D3F0000}"/>
    <cellStyle name="d_yield_Merger Model16.xls Chart 1_090105 CAPEX J1 J4 5" xfId="15680" xr:uid="{00000000-0005-0000-0000-00002E3F0000}"/>
    <cellStyle name="d_yield_Merger Model16.xls Chart 1_090203 OH LAB 08 VS 09 CON AHORROS J1 J4 ENVIAR" xfId="15681" xr:uid="{00000000-0005-0000-0000-00002F3F0000}"/>
    <cellStyle name="d_yield_Merger Model16.xls Chart 1_090203 OH LAB 08 VS 09 CON AHORROS J1 J4 ENVIAR 2" xfId="15682" xr:uid="{00000000-0005-0000-0000-0000303F0000}"/>
    <cellStyle name="d_yield_Merger Model16.xls Chart 1_090203 OH LAB 08 VS 09 CON AHORROS J1 J4 ENVIAR 3" xfId="15683" xr:uid="{00000000-0005-0000-0000-0000313F0000}"/>
    <cellStyle name="d_yield_Merger Model16.xls Chart 1_090203 OH LAB 08 VS 09 CON AHORROS J1 J4 ENVIAR 4" xfId="15684" xr:uid="{00000000-0005-0000-0000-0000323F0000}"/>
    <cellStyle name="d_yield_Merger Model16.xls Chart 1_090203 OH LAB 08 VS 09 CON AHORROS J1 J4 ENVIAR 5" xfId="15685" xr:uid="{00000000-0005-0000-0000-0000333F0000}"/>
    <cellStyle name="d_yield_Merger Model16.xls Chart 1_AHORROS FORMATO SIX SIGMA POR JUAN" xfId="15686" xr:uid="{00000000-0005-0000-0000-0000343F0000}"/>
    <cellStyle name="d_yield_Merger Model16.xls Chart 1_AHORROS FORMATO SIX SIGMA POR JUAN 2" xfId="15687" xr:uid="{00000000-0005-0000-0000-0000353F0000}"/>
    <cellStyle name="d_yield_Merger Model16.xls Chart 1_AHORROS FORMATO SIX SIGMA POR JUAN 3" xfId="15688" xr:uid="{00000000-0005-0000-0000-0000363F0000}"/>
    <cellStyle name="d_yield_Merger Model16.xls Chart 1_AHORROS FORMATO SIX SIGMA POR JUAN 4" xfId="15689" xr:uid="{00000000-0005-0000-0000-0000373F0000}"/>
    <cellStyle name="d_yield_Merger Model16.xls Chart 1_AHORROS FORMATO SIX SIGMA POR JUAN 5" xfId="15690" xr:uid="{00000000-0005-0000-0000-0000383F0000}"/>
    <cellStyle name="d_yield_Merger Model16.xls Chart 1_Book4" xfId="15691" xr:uid="{00000000-0005-0000-0000-0000393F0000}"/>
    <cellStyle name="d_yield_Merger Model16.xls Chart 1_Book4 2" xfId="15692" xr:uid="{00000000-0005-0000-0000-00003A3F0000}"/>
    <cellStyle name="d_yield_Merger Model16.xls Chart 1_Book4 3" xfId="15693" xr:uid="{00000000-0005-0000-0000-00003B3F0000}"/>
    <cellStyle name="d_yield_Merger Model16.xls Chart 1_Book4 4" xfId="15694" xr:uid="{00000000-0005-0000-0000-00003C3F0000}"/>
    <cellStyle name="d_yield_Merger Model16.xls Chart 1_Book4 5" xfId="15695" xr:uid="{00000000-0005-0000-0000-00003D3F0000}"/>
    <cellStyle name="d_yield_Merger Model16.xls Chart 1_Budget IS 2009 IM" xfId="15696" xr:uid="{00000000-0005-0000-0000-00003E3F0000}"/>
    <cellStyle name="d_yield_Merger Model16.xls Chart 1_Budget IS 2009 IM 2" xfId="15697" xr:uid="{00000000-0005-0000-0000-00003F3F0000}"/>
    <cellStyle name="d_yield_Merger Model16.xls Chart 1_Budget IS 2009 IM 3" xfId="15698" xr:uid="{00000000-0005-0000-0000-0000403F0000}"/>
    <cellStyle name="d_yield_Merger Model16.xls Chart 1_Budget IS 2009 IM 4" xfId="15699" xr:uid="{00000000-0005-0000-0000-0000413F0000}"/>
    <cellStyle name="d_yield_Merger Model16.xls Chart 1_Budget IS 2009 IM 5" xfId="15700" xr:uid="{00000000-0005-0000-0000-0000423F0000}"/>
    <cellStyle name="d_yield_Merger Model16.xls Chart 1_Cost Reduction v-plants v2 ultimo" xfId="15701" xr:uid="{00000000-0005-0000-0000-0000433F0000}"/>
    <cellStyle name="d_yield_Merger Model16.xls Chart 1_Cost Reduction v-plants v2 ultimo 2" xfId="15702" xr:uid="{00000000-0005-0000-0000-0000443F0000}"/>
    <cellStyle name="d_yield_Merger Model16.xls Chart 1_Cost Reduction v-plants v2 ultimo 3" xfId="15703" xr:uid="{00000000-0005-0000-0000-0000453F0000}"/>
    <cellStyle name="d_yield_Merger Model16.xls Chart 1_Cost Reduction v-plants v2 ultimo 4" xfId="15704" xr:uid="{00000000-0005-0000-0000-0000463F0000}"/>
    <cellStyle name="d_yield_Merger Model16.xls Chart 1_Cost Reduction v-plants v2 ultimo 5" xfId="15705" xr:uid="{00000000-0005-0000-0000-0000473F0000}"/>
    <cellStyle name="d_yield_Merger Model16.xls Chart 1_Q1 Forecast rMat1 (Mitch)" xfId="15706" xr:uid="{00000000-0005-0000-0000-0000483F0000}"/>
    <cellStyle name="d_yield_Merger Model16.xls Chart 1_Q1 Forecast rMat1 (Mitch) 2" xfId="15707" xr:uid="{00000000-0005-0000-0000-0000493F0000}"/>
    <cellStyle name="d_yield_Merger Model16.xls Chart 1_Q1 Forecast rMat1 (Mitch) 3" xfId="15708" xr:uid="{00000000-0005-0000-0000-00004A3F0000}"/>
    <cellStyle name="d_yield_Merger Model16.xls Chart 1_Q1 Forecast rMat1 (Mitch) 4" xfId="15709" xr:uid="{00000000-0005-0000-0000-00004B3F0000}"/>
    <cellStyle name="d_yield_Merger Model16.xls Chart 1_Q1 Forecast rMat1 (Mitch) 5" xfId="15710" xr:uid="{00000000-0005-0000-0000-00004C3F0000}"/>
    <cellStyle name="d_yield_Merger Model16.xls Chart 1_Q1 Forecast rMat1 (Mitch)_1" xfId="15711" xr:uid="{00000000-0005-0000-0000-00004D3F0000}"/>
    <cellStyle name="d_yield_Merger Model16.xls Chart 1_Q1 Forecast rMat1 (Mitch)_1 2" xfId="15712" xr:uid="{00000000-0005-0000-0000-00004E3F0000}"/>
    <cellStyle name="d_yield_Merger Model16.xls Chart 1_Q1 Forecast rMat1 (Mitch)_1 3" xfId="15713" xr:uid="{00000000-0005-0000-0000-00004F3F0000}"/>
    <cellStyle name="d_yield_Merger Model16.xls Chart 1_Q1 Forecast rMat1 (Mitch)_1 4" xfId="15714" xr:uid="{00000000-0005-0000-0000-0000503F0000}"/>
    <cellStyle name="d_yield_Merger Model16.xls Chart 1_Q1 Forecast rMat1 (Mitch)_1 5" xfId="15715" xr:uid="{00000000-0005-0000-0000-0000513F0000}"/>
    <cellStyle name="d_yield_Merger Model16.xls Chart 1_Q1 Forecast rMat1 (Mitch)_2" xfId="15716" xr:uid="{00000000-0005-0000-0000-0000523F0000}"/>
    <cellStyle name="d_yield_Merger Model16.xls Chart 1_Q1 Forecast rMat1 (Mitch)_2 2" xfId="15717" xr:uid="{00000000-0005-0000-0000-0000533F0000}"/>
    <cellStyle name="d_yield_Merger Model16.xls Chart 1_Q1 Forecast rMat1 (Mitch)_2 3" xfId="15718" xr:uid="{00000000-0005-0000-0000-0000543F0000}"/>
    <cellStyle name="d_yield_Merger Model16.xls Chart 1_Q1 Forecast rMat1 (Mitch)_2 4" xfId="15719" xr:uid="{00000000-0005-0000-0000-0000553F0000}"/>
    <cellStyle name="d_yield_Merger Model16.xls Chart 1_Q1 Forecast rMat1 (Mitch)_2 5" xfId="15720" xr:uid="{00000000-0005-0000-0000-0000563F0000}"/>
    <cellStyle name="d_yield_Merger Model16.xls Chart 1_Xl0000320" xfId="15721" xr:uid="{00000000-0005-0000-0000-0000573F0000}"/>
    <cellStyle name="d_yield_Merger Model16.xls Chart 1_Xl0000320 2" xfId="15722" xr:uid="{00000000-0005-0000-0000-0000583F0000}"/>
    <cellStyle name="d_yield_Merger Model16.xls Chart 1_Xl0000320 3" xfId="15723" xr:uid="{00000000-0005-0000-0000-0000593F0000}"/>
    <cellStyle name="d_yield_Merger Model16.xls Chart 1_Xl0000320 4" xfId="15724" xr:uid="{00000000-0005-0000-0000-00005A3F0000}"/>
    <cellStyle name="d_yield_Merger Model16.xls Chart 1_Xl0000320 5" xfId="15725" xr:uid="{00000000-0005-0000-0000-00005B3F0000}"/>
    <cellStyle name="d_yield_Merger Model16.xls Chart 1_Xl0000326" xfId="15726" xr:uid="{00000000-0005-0000-0000-00005C3F0000}"/>
    <cellStyle name="d_yield_Merger Model16.xls Chart 1_Xl0000326 2" xfId="15727" xr:uid="{00000000-0005-0000-0000-00005D3F0000}"/>
    <cellStyle name="d_yield_Merger Model16.xls Chart 1_Xl0000326 3" xfId="15728" xr:uid="{00000000-0005-0000-0000-00005E3F0000}"/>
    <cellStyle name="d_yield_Merger Model16.xls Chart 1_Xl0000326 4" xfId="15729" xr:uid="{00000000-0005-0000-0000-00005F3F0000}"/>
    <cellStyle name="d_yield_Merger Model16.xls Chart 1_Xl0000326 5" xfId="15730" xr:uid="{00000000-0005-0000-0000-0000603F0000}"/>
    <cellStyle name="d_yield_Merger Model34b" xfId="15731" xr:uid="{00000000-0005-0000-0000-0000613F0000}"/>
    <cellStyle name="d_yield_Merger Model34b 2" xfId="15732" xr:uid="{00000000-0005-0000-0000-0000623F0000}"/>
    <cellStyle name="d_yield_Merger Model34b 3" xfId="15733" xr:uid="{00000000-0005-0000-0000-0000633F0000}"/>
    <cellStyle name="d_yield_Merger Model34b 4" xfId="15734" xr:uid="{00000000-0005-0000-0000-0000643F0000}"/>
    <cellStyle name="d_yield_Merger Model34b_090105 CAPEX J1 J4" xfId="15735" xr:uid="{00000000-0005-0000-0000-0000653F0000}"/>
    <cellStyle name="d_yield_Merger Model34b_090105 CAPEX J1 J4 2" xfId="15736" xr:uid="{00000000-0005-0000-0000-0000663F0000}"/>
    <cellStyle name="d_yield_Merger Model34b_090105 CAPEX J1 J4 3" xfId="15737" xr:uid="{00000000-0005-0000-0000-0000673F0000}"/>
    <cellStyle name="d_yield_Merger Model34b_090105 CAPEX J1 J4 4" xfId="15738" xr:uid="{00000000-0005-0000-0000-0000683F0000}"/>
    <cellStyle name="d_yield_Merger Model34b_090203 OH LAB 08 VS 09 CON AHORROS J1 J4 ENVIAR" xfId="15739" xr:uid="{00000000-0005-0000-0000-0000693F0000}"/>
    <cellStyle name="d_yield_Merger Model34b_090203 OH LAB 08 VS 09 CON AHORROS J1 J4 ENVIAR 2" xfId="15740" xr:uid="{00000000-0005-0000-0000-00006A3F0000}"/>
    <cellStyle name="d_yield_Merger Model34b_090203 OH LAB 08 VS 09 CON AHORROS J1 J4 ENVIAR 3" xfId="15741" xr:uid="{00000000-0005-0000-0000-00006B3F0000}"/>
    <cellStyle name="d_yield_Merger Model34b_090203 OH LAB 08 VS 09 CON AHORROS J1 J4 ENVIAR 4" xfId="15742" xr:uid="{00000000-0005-0000-0000-00006C3F0000}"/>
    <cellStyle name="d_yield_Merger Model34b_AHORROS FORMATO SIX SIGMA POR JUAN" xfId="15743" xr:uid="{00000000-0005-0000-0000-00006D3F0000}"/>
    <cellStyle name="d_yield_Merger Model34b_AHORROS FORMATO SIX SIGMA POR JUAN 2" xfId="15744" xr:uid="{00000000-0005-0000-0000-00006E3F0000}"/>
    <cellStyle name="d_yield_Merger Model34b_AHORROS FORMATO SIX SIGMA POR JUAN 3" xfId="15745" xr:uid="{00000000-0005-0000-0000-00006F3F0000}"/>
    <cellStyle name="d_yield_Merger Model34b_AHORROS FORMATO SIX SIGMA POR JUAN 4" xfId="15746" xr:uid="{00000000-0005-0000-0000-0000703F0000}"/>
    <cellStyle name="d_yield_Merger Model34b_Book4" xfId="15747" xr:uid="{00000000-0005-0000-0000-0000713F0000}"/>
    <cellStyle name="d_yield_Merger Model34b_Book4 2" xfId="15748" xr:uid="{00000000-0005-0000-0000-0000723F0000}"/>
    <cellStyle name="d_yield_Merger Model34b_Book4 3" xfId="15749" xr:uid="{00000000-0005-0000-0000-0000733F0000}"/>
    <cellStyle name="d_yield_Merger Model34b_Book4 4" xfId="15750" xr:uid="{00000000-0005-0000-0000-0000743F0000}"/>
    <cellStyle name="d_yield_Merger Model34b_Budget IS 2009 IM" xfId="15751" xr:uid="{00000000-0005-0000-0000-0000753F0000}"/>
    <cellStyle name="d_yield_Merger Model34b_Budget IS 2009 IM 2" xfId="15752" xr:uid="{00000000-0005-0000-0000-0000763F0000}"/>
    <cellStyle name="d_yield_Merger Model34b_Budget IS 2009 IM 3" xfId="15753" xr:uid="{00000000-0005-0000-0000-0000773F0000}"/>
    <cellStyle name="d_yield_Merger Model34b_Budget IS 2009 IM 4" xfId="15754" xr:uid="{00000000-0005-0000-0000-0000783F0000}"/>
    <cellStyle name="d_yield_Merger Model34b_Cost Reduction v-plants v2 ultimo" xfId="15755" xr:uid="{00000000-0005-0000-0000-0000793F0000}"/>
    <cellStyle name="d_yield_Merger Model34b_Cost Reduction v-plants v2 ultimo 2" xfId="15756" xr:uid="{00000000-0005-0000-0000-00007A3F0000}"/>
    <cellStyle name="d_yield_Merger Model34b_Cost Reduction v-plants v2 ultimo 3" xfId="15757" xr:uid="{00000000-0005-0000-0000-00007B3F0000}"/>
    <cellStyle name="d_yield_Merger Model34b_Cost Reduction v-plants v2 ultimo 4" xfId="15758" xr:uid="{00000000-0005-0000-0000-00007C3F0000}"/>
    <cellStyle name="d_yield_Merger Model34b_Q1 Forecast rMat1 (Mitch)" xfId="15759" xr:uid="{00000000-0005-0000-0000-00007D3F0000}"/>
    <cellStyle name="d_yield_Merger Model34b_Q1 Forecast rMat1 (Mitch) 2" xfId="15760" xr:uid="{00000000-0005-0000-0000-00007E3F0000}"/>
    <cellStyle name="d_yield_Merger Model34b_Q1 Forecast rMat1 (Mitch) 3" xfId="15761" xr:uid="{00000000-0005-0000-0000-00007F3F0000}"/>
    <cellStyle name="d_yield_Merger Model34b_Q1 Forecast rMat1 (Mitch) 4" xfId="15762" xr:uid="{00000000-0005-0000-0000-0000803F0000}"/>
    <cellStyle name="d_yield_Merger Model34b_Q1 Forecast rMat1 (Mitch)_1" xfId="15763" xr:uid="{00000000-0005-0000-0000-0000813F0000}"/>
    <cellStyle name="d_yield_Merger Model34b_Q1 Forecast rMat1 (Mitch)_1 2" xfId="15764" xr:uid="{00000000-0005-0000-0000-0000823F0000}"/>
    <cellStyle name="d_yield_Merger Model34b_Q1 Forecast rMat1 (Mitch)_1 3" xfId="15765" xr:uid="{00000000-0005-0000-0000-0000833F0000}"/>
    <cellStyle name="d_yield_Merger Model34b_Q1 Forecast rMat1 (Mitch)_1 4" xfId="15766" xr:uid="{00000000-0005-0000-0000-0000843F0000}"/>
    <cellStyle name="d_yield_Merger Model34b_Q1 Forecast rMat1 (Mitch)_2" xfId="15767" xr:uid="{00000000-0005-0000-0000-0000853F0000}"/>
    <cellStyle name="d_yield_Merger Model34b_Q1 Forecast rMat1 (Mitch)_2 2" xfId="15768" xr:uid="{00000000-0005-0000-0000-0000863F0000}"/>
    <cellStyle name="d_yield_Merger Model34b_Q1 Forecast rMat1 (Mitch)_2 3" xfId="15769" xr:uid="{00000000-0005-0000-0000-0000873F0000}"/>
    <cellStyle name="d_yield_Merger Model34b_Q1 Forecast rMat1 (Mitch)_2 4" xfId="15770" xr:uid="{00000000-0005-0000-0000-0000883F0000}"/>
    <cellStyle name="d_yield_Merger Model34b_Xl0000320" xfId="15771" xr:uid="{00000000-0005-0000-0000-0000893F0000}"/>
    <cellStyle name="d_yield_Merger Model34b_Xl0000320 2" xfId="15772" xr:uid="{00000000-0005-0000-0000-00008A3F0000}"/>
    <cellStyle name="d_yield_Merger Model34b_Xl0000320 3" xfId="15773" xr:uid="{00000000-0005-0000-0000-00008B3F0000}"/>
    <cellStyle name="d_yield_Merger Model34b_Xl0000320 4" xfId="15774" xr:uid="{00000000-0005-0000-0000-00008C3F0000}"/>
    <cellStyle name="d_yield_Merger Model34b_Xl0000326" xfId="15775" xr:uid="{00000000-0005-0000-0000-00008D3F0000}"/>
    <cellStyle name="d_yield_Merger Model34b_Xl0000326 2" xfId="15776" xr:uid="{00000000-0005-0000-0000-00008E3F0000}"/>
    <cellStyle name="d_yield_Merger Model34b_Xl0000326 3" xfId="15777" xr:uid="{00000000-0005-0000-0000-00008F3F0000}"/>
    <cellStyle name="d_yield_Merger Model34b_Xl0000326 4" xfId="15778" xr:uid="{00000000-0005-0000-0000-0000903F0000}"/>
    <cellStyle name="d_yield_MKS 7.29 Valuation" xfId="15779" xr:uid="{00000000-0005-0000-0000-0000913F0000}"/>
    <cellStyle name="d_yield_MKS 7.29 Valuation 2" xfId="15780" xr:uid="{00000000-0005-0000-0000-0000923F0000}"/>
    <cellStyle name="d_yield_MKS 7.29 Valuation 3" xfId="15781" xr:uid="{00000000-0005-0000-0000-0000933F0000}"/>
    <cellStyle name="d_yield_MKS 7.29 Valuation 4" xfId="15782" xr:uid="{00000000-0005-0000-0000-0000943F0000}"/>
    <cellStyle name="d_yield_MKS 7.29 Valuation 5" xfId="15783" xr:uid="{00000000-0005-0000-0000-0000953F0000}"/>
    <cellStyle name="d_yield_MKS 7.29 Valuation 6" xfId="15784" xr:uid="{00000000-0005-0000-0000-0000963F0000}"/>
    <cellStyle name="d_yield_MKS 7.29 Valuation_090105 CAPEX J1 J4" xfId="15785" xr:uid="{00000000-0005-0000-0000-0000973F0000}"/>
    <cellStyle name="d_yield_MKS 7.29 Valuation_090105 CAPEX J1 J4 2" xfId="15786" xr:uid="{00000000-0005-0000-0000-0000983F0000}"/>
    <cellStyle name="d_yield_MKS 7.29 Valuation_090105 CAPEX J1 J4 3" xfId="15787" xr:uid="{00000000-0005-0000-0000-0000993F0000}"/>
    <cellStyle name="d_yield_MKS 7.29 Valuation_090105 CAPEX J1 J4 4" xfId="15788" xr:uid="{00000000-0005-0000-0000-00009A3F0000}"/>
    <cellStyle name="d_yield_MKS 7.29 Valuation_090105 CAPEX J1 J4 5" xfId="15789" xr:uid="{00000000-0005-0000-0000-00009B3F0000}"/>
    <cellStyle name="d_yield_MKS 7.29 Valuation_090105 CAPEX J1 J4 6" xfId="15790" xr:uid="{00000000-0005-0000-0000-00009C3F0000}"/>
    <cellStyle name="d_yield_MKS 7.29 Valuation_090203 OH LAB 08 VS 09 CON AHORROS J1 J4 ENVIAR" xfId="15791" xr:uid="{00000000-0005-0000-0000-00009D3F0000}"/>
    <cellStyle name="d_yield_MKS 7.29 Valuation_090203 OH LAB 08 VS 09 CON AHORROS J1 J4 ENVIAR 2" xfId="15792" xr:uid="{00000000-0005-0000-0000-00009E3F0000}"/>
    <cellStyle name="d_yield_MKS 7.29 Valuation_090203 OH LAB 08 VS 09 CON AHORROS J1 J4 ENVIAR 3" xfId="15793" xr:uid="{00000000-0005-0000-0000-00009F3F0000}"/>
    <cellStyle name="d_yield_MKS 7.29 Valuation_090203 OH LAB 08 VS 09 CON AHORROS J1 J4 ENVIAR 4" xfId="15794" xr:uid="{00000000-0005-0000-0000-0000A03F0000}"/>
    <cellStyle name="d_yield_MKS 7.29 Valuation_090203 OH LAB 08 VS 09 CON AHORROS J1 J4 ENVIAR 5" xfId="15795" xr:uid="{00000000-0005-0000-0000-0000A13F0000}"/>
    <cellStyle name="d_yield_MKS 7.29 Valuation_090203 OH LAB 08 VS 09 CON AHORROS J1 J4 ENVIAR 6" xfId="15796" xr:uid="{00000000-0005-0000-0000-0000A23F0000}"/>
    <cellStyle name="d_yield_MKS 7.29 Valuation_AHORROS FORMATO SIX SIGMA POR JUAN" xfId="15797" xr:uid="{00000000-0005-0000-0000-0000A33F0000}"/>
    <cellStyle name="d_yield_MKS 7.29 Valuation_AHORROS FORMATO SIX SIGMA POR JUAN 2" xfId="15798" xr:uid="{00000000-0005-0000-0000-0000A43F0000}"/>
    <cellStyle name="d_yield_MKS 7.29 Valuation_AHORROS FORMATO SIX SIGMA POR JUAN 3" xfId="15799" xr:uid="{00000000-0005-0000-0000-0000A53F0000}"/>
    <cellStyle name="d_yield_MKS 7.29 Valuation_AHORROS FORMATO SIX SIGMA POR JUAN 4" xfId="15800" xr:uid="{00000000-0005-0000-0000-0000A63F0000}"/>
    <cellStyle name="d_yield_MKS 7.29 Valuation_AHORROS FORMATO SIX SIGMA POR JUAN 5" xfId="15801" xr:uid="{00000000-0005-0000-0000-0000A73F0000}"/>
    <cellStyle name="d_yield_MKS 7.29 Valuation_AHORROS FORMATO SIX SIGMA POR JUAN 6" xfId="15802" xr:uid="{00000000-0005-0000-0000-0000A83F0000}"/>
    <cellStyle name="d_yield_MKS 7.29 Valuation_Book4" xfId="15803" xr:uid="{00000000-0005-0000-0000-0000A93F0000}"/>
    <cellStyle name="d_yield_MKS 7.29 Valuation_Book4 2" xfId="15804" xr:uid="{00000000-0005-0000-0000-0000AA3F0000}"/>
    <cellStyle name="d_yield_MKS 7.29 Valuation_Book4 3" xfId="15805" xr:uid="{00000000-0005-0000-0000-0000AB3F0000}"/>
    <cellStyle name="d_yield_MKS 7.29 Valuation_Book4 4" xfId="15806" xr:uid="{00000000-0005-0000-0000-0000AC3F0000}"/>
    <cellStyle name="d_yield_MKS 7.29 Valuation_Book4 5" xfId="15807" xr:uid="{00000000-0005-0000-0000-0000AD3F0000}"/>
    <cellStyle name="d_yield_MKS 7.29 Valuation_Book4 6" xfId="15808" xr:uid="{00000000-0005-0000-0000-0000AE3F0000}"/>
    <cellStyle name="d_yield_MKS 7.29 Valuation_Budget IS 2009 IM" xfId="15809" xr:uid="{00000000-0005-0000-0000-0000AF3F0000}"/>
    <cellStyle name="d_yield_MKS 7.29 Valuation_Budget IS 2009 IM 2" xfId="15810" xr:uid="{00000000-0005-0000-0000-0000B03F0000}"/>
    <cellStyle name="d_yield_MKS 7.29 Valuation_Budget IS 2009 IM 3" xfId="15811" xr:uid="{00000000-0005-0000-0000-0000B13F0000}"/>
    <cellStyle name="d_yield_MKS 7.29 Valuation_Budget IS 2009 IM 4" xfId="15812" xr:uid="{00000000-0005-0000-0000-0000B23F0000}"/>
    <cellStyle name="d_yield_MKS 7.29 Valuation_Budget IS 2009 IM 5" xfId="15813" xr:uid="{00000000-0005-0000-0000-0000B33F0000}"/>
    <cellStyle name="d_yield_MKS 7.29 Valuation_Budget IS 2009 IM 6" xfId="15814" xr:uid="{00000000-0005-0000-0000-0000B43F0000}"/>
    <cellStyle name="d_yield_MKS 7.29 Valuation_Cost Reduction v-plants v2 ultimo" xfId="15815" xr:uid="{00000000-0005-0000-0000-0000B53F0000}"/>
    <cellStyle name="d_yield_MKS 7.29 Valuation_Cost Reduction v-plants v2 ultimo 2" xfId="15816" xr:uid="{00000000-0005-0000-0000-0000B63F0000}"/>
    <cellStyle name="d_yield_MKS 7.29 Valuation_Cost Reduction v-plants v2 ultimo 3" xfId="15817" xr:uid="{00000000-0005-0000-0000-0000B73F0000}"/>
    <cellStyle name="d_yield_MKS 7.29 Valuation_Cost Reduction v-plants v2 ultimo 4" xfId="15818" xr:uid="{00000000-0005-0000-0000-0000B83F0000}"/>
    <cellStyle name="d_yield_MKS 7.29 Valuation_Cost Reduction v-plants v2 ultimo 5" xfId="15819" xr:uid="{00000000-0005-0000-0000-0000B93F0000}"/>
    <cellStyle name="d_yield_MKS 7.29 Valuation_Cost Reduction v-plants v2 ultimo 6" xfId="15820" xr:uid="{00000000-0005-0000-0000-0000BA3F0000}"/>
    <cellStyle name="d_yield_MKS 7.29 Valuation_Q1 Forecast rMat1 (Mitch)" xfId="15821" xr:uid="{00000000-0005-0000-0000-0000BB3F0000}"/>
    <cellStyle name="d_yield_MKS 7.29 Valuation_Q1 Forecast rMat1 (Mitch) 2" xfId="15822" xr:uid="{00000000-0005-0000-0000-0000BC3F0000}"/>
    <cellStyle name="d_yield_MKS 7.29 Valuation_Q1 Forecast rMat1 (Mitch) 3" xfId="15823" xr:uid="{00000000-0005-0000-0000-0000BD3F0000}"/>
    <cellStyle name="d_yield_MKS 7.29 Valuation_Q1 Forecast rMat1 (Mitch) 4" xfId="15824" xr:uid="{00000000-0005-0000-0000-0000BE3F0000}"/>
    <cellStyle name="d_yield_MKS 7.29 Valuation_Q1 Forecast rMat1 (Mitch) 5" xfId="15825" xr:uid="{00000000-0005-0000-0000-0000BF3F0000}"/>
    <cellStyle name="d_yield_MKS 7.29 Valuation_Q1 Forecast rMat1 (Mitch) 6" xfId="15826" xr:uid="{00000000-0005-0000-0000-0000C03F0000}"/>
    <cellStyle name="d_yield_MKS 7.29 Valuation_Q1 Forecast rMat1 (Mitch)_1" xfId="15827" xr:uid="{00000000-0005-0000-0000-0000C13F0000}"/>
    <cellStyle name="d_yield_MKS 7.29 Valuation_Q1 Forecast rMat1 (Mitch)_1 2" xfId="15828" xr:uid="{00000000-0005-0000-0000-0000C23F0000}"/>
    <cellStyle name="d_yield_MKS 7.29 Valuation_Q1 Forecast rMat1 (Mitch)_1 3" xfId="15829" xr:uid="{00000000-0005-0000-0000-0000C33F0000}"/>
    <cellStyle name="d_yield_MKS 7.29 Valuation_Q1 Forecast rMat1 (Mitch)_1 4" xfId="15830" xr:uid="{00000000-0005-0000-0000-0000C43F0000}"/>
    <cellStyle name="d_yield_MKS 7.29 Valuation_Q1 Forecast rMat1 (Mitch)_1 5" xfId="15831" xr:uid="{00000000-0005-0000-0000-0000C53F0000}"/>
    <cellStyle name="d_yield_MKS 7.29 Valuation_Q1 Forecast rMat1 (Mitch)_1 6" xfId="15832" xr:uid="{00000000-0005-0000-0000-0000C63F0000}"/>
    <cellStyle name="d_yield_MKS 7.29 Valuation_Q1 Forecast rMat1 (Mitch)_2" xfId="15833" xr:uid="{00000000-0005-0000-0000-0000C73F0000}"/>
    <cellStyle name="d_yield_MKS 7.29 Valuation_Q1 Forecast rMat1 (Mitch)_2 2" xfId="15834" xr:uid="{00000000-0005-0000-0000-0000C83F0000}"/>
    <cellStyle name="d_yield_MKS 7.29 Valuation_Q1 Forecast rMat1 (Mitch)_2 3" xfId="15835" xr:uid="{00000000-0005-0000-0000-0000C93F0000}"/>
    <cellStyle name="d_yield_MKS 7.29 Valuation_Q1 Forecast rMat1 (Mitch)_2 4" xfId="15836" xr:uid="{00000000-0005-0000-0000-0000CA3F0000}"/>
    <cellStyle name="d_yield_MKS 7.29 Valuation_Q1 Forecast rMat1 (Mitch)_2 5" xfId="15837" xr:uid="{00000000-0005-0000-0000-0000CB3F0000}"/>
    <cellStyle name="d_yield_MKS 7.29 Valuation_Q1 Forecast rMat1 (Mitch)_2 6" xfId="15838" xr:uid="{00000000-0005-0000-0000-0000CC3F0000}"/>
    <cellStyle name="d_yield_MKS 7.29 Valuation_Xl0000320" xfId="15839" xr:uid="{00000000-0005-0000-0000-0000CD3F0000}"/>
    <cellStyle name="d_yield_MKS 7.29 Valuation_Xl0000320 2" xfId="15840" xr:uid="{00000000-0005-0000-0000-0000CE3F0000}"/>
    <cellStyle name="d_yield_MKS 7.29 Valuation_Xl0000320 3" xfId="15841" xr:uid="{00000000-0005-0000-0000-0000CF3F0000}"/>
    <cellStyle name="d_yield_MKS 7.29 Valuation_Xl0000320 4" xfId="15842" xr:uid="{00000000-0005-0000-0000-0000D03F0000}"/>
    <cellStyle name="d_yield_MKS 7.29 Valuation_Xl0000320 5" xfId="15843" xr:uid="{00000000-0005-0000-0000-0000D13F0000}"/>
    <cellStyle name="d_yield_MKS 7.29 Valuation_Xl0000320 6" xfId="15844" xr:uid="{00000000-0005-0000-0000-0000D23F0000}"/>
    <cellStyle name="d_yield_MKS 7.29 Valuation_Xl0000326" xfId="15845" xr:uid="{00000000-0005-0000-0000-0000D33F0000}"/>
    <cellStyle name="d_yield_MKS 7.29 Valuation_Xl0000326 2" xfId="15846" xr:uid="{00000000-0005-0000-0000-0000D43F0000}"/>
    <cellStyle name="d_yield_MKS 7.29 Valuation_Xl0000326 3" xfId="15847" xr:uid="{00000000-0005-0000-0000-0000D53F0000}"/>
    <cellStyle name="d_yield_MKS 7.29 Valuation_Xl0000326 4" xfId="15848" xr:uid="{00000000-0005-0000-0000-0000D63F0000}"/>
    <cellStyle name="d_yield_MKS 7.29 Valuation_Xl0000326 5" xfId="15849" xr:uid="{00000000-0005-0000-0000-0000D73F0000}"/>
    <cellStyle name="d_yield_MKS 7.29 Valuation_Xl0000326 6" xfId="15850" xr:uid="{00000000-0005-0000-0000-0000D83F0000}"/>
    <cellStyle name="d_yield_Q1 Forecast rMat1 (Mitch)" xfId="15851" xr:uid="{00000000-0005-0000-0000-0000D93F0000}"/>
    <cellStyle name="d_yield_Q1 Forecast rMat1 (Mitch) 2" xfId="15852" xr:uid="{00000000-0005-0000-0000-0000DA3F0000}"/>
    <cellStyle name="d_yield_Q1 Forecast rMat1 (Mitch) 3" xfId="15853" xr:uid="{00000000-0005-0000-0000-0000DB3F0000}"/>
    <cellStyle name="d_yield_Q1 Forecast rMat1 (Mitch) 4" xfId="15854" xr:uid="{00000000-0005-0000-0000-0000DC3F0000}"/>
    <cellStyle name="d_yield_Q1 Forecast rMat1 (Mitch) 5" xfId="15855" xr:uid="{00000000-0005-0000-0000-0000DD3F0000}"/>
    <cellStyle name="d_yield_Q1 Forecast rMat1 (Mitch)_1" xfId="15856" xr:uid="{00000000-0005-0000-0000-0000DE3F0000}"/>
    <cellStyle name="d_yield_Q1 Forecast rMat1 (Mitch)_1 2" xfId="15857" xr:uid="{00000000-0005-0000-0000-0000DF3F0000}"/>
    <cellStyle name="d_yield_Q1 Forecast rMat1 (Mitch)_1 3" xfId="15858" xr:uid="{00000000-0005-0000-0000-0000E03F0000}"/>
    <cellStyle name="d_yield_Q1 Forecast rMat1 (Mitch)_1 4" xfId="15859" xr:uid="{00000000-0005-0000-0000-0000E13F0000}"/>
    <cellStyle name="d_yield_Q1 Forecast rMat1 (Mitch)_1 5" xfId="15860" xr:uid="{00000000-0005-0000-0000-0000E23F0000}"/>
    <cellStyle name="d_yield_Q1 Forecast rMat1 (Mitch)_2" xfId="15861" xr:uid="{00000000-0005-0000-0000-0000E33F0000}"/>
    <cellStyle name="d_yield_Q1 Forecast rMat1 (Mitch)_2 2" xfId="15862" xr:uid="{00000000-0005-0000-0000-0000E43F0000}"/>
    <cellStyle name="d_yield_Q1 Forecast rMat1 (Mitch)_2 3" xfId="15863" xr:uid="{00000000-0005-0000-0000-0000E53F0000}"/>
    <cellStyle name="d_yield_Q1 Forecast rMat1 (Mitch)_2 4" xfId="15864" xr:uid="{00000000-0005-0000-0000-0000E63F0000}"/>
    <cellStyle name="d_yield_Q1 Forecast rMat1 (Mitch)_2 5" xfId="15865" xr:uid="{00000000-0005-0000-0000-0000E73F0000}"/>
    <cellStyle name="d_yield_Xl0000320" xfId="15866" xr:uid="{00000000-0005-0000-0000-0000E83F0000}"/>
    <cellStyle name="d_yield_Xl0000320 2" xfId="15867" xr:uid="{00000000-0005-0000-0000-0000E93F0000}"/>
    <cellStyle name="d_yield_Xl0000320 3" xfId="15868" xr:uid="{00000000-0005-0000-0000-0000EA3F0000}"/>
    <cellStyle name="d_yield_Xl0000320 4" xfId="15869" xr:uid="{00000000-0005-0000-0000-0000EB3F0000}"/>
    <cellStyle name="d_yield_Xl0000320 5" xfId="15870" xr:uid="{00000000-0005-0000-0000-0000EC3F0000}"/>
    <cellStyle name="d_yield_Xl0000326" xfId="15871" xr:uid="{00000000-0005-0000-0000-0000ED3F0000}"/>
    <cellStyle name="d_yield_Xl0000326 2" xfId="15872" xr:uid="{00000000-0005-0000-0000-0000EE3F0000}"/>
    <cellStyle name="d_yield_Xl0000326 3" xfId="15873" xr:uid="{00000000-0005-0000-0000-0000EF3F0000}"/>
    <cellStyle name="d_yield_Xl0000326 4" xfId="15874" xr:uid="{00000000-0005-0000-0000-0000F03F0000}"/>
    <cellStyle name="d_yield_Xl0000326 5" xfId="15875" xr:uid="{00000000-0005-0000-0000-0000F13F0000}"/>
    <cellStyle name="Dane wejściowe" xfId="25122" xr:uid="{00000000-0005-0000-0000-0000F23F0000}"/>
    <cellStyle name="Dane wejściowe 2" xfId="25123" xr:uid="{00000000-0005-0000-0000-0000F33F0000}"/>
    <cellStyle name="Dane wejściowe 3" xfId="25124" xr:uid="{00000000-0005-0000-0000-0000F43F0000}"/>
    <cellStyle name="Dane wyjściowe" xfId="25125" xr:uid="{00000000-0005-0000-0000-0000F53F0000}"/>
    <cellStyle name="Dane wyjściowe 2" xfId="25126" xr:uid="{00000000-0005-0000-0000-0000F63F0000}"/>
    <cellStyle name="Dane wyjściowe 3" xfId="25127" xr:uid="{00000000-0005-0000-0000-0000F73F0000}"/>
    <cellStyle name="data" xfId="15876" xr:uid="{00000000-0005-0000-0000-0000F83F0000}"/>
    <cellStyle name="data 2" xfId="15877" xr:uid="{00000000-0005-0000-0000-0000F93F0000}"/>
    <cellStyle name="data 3" xfId="15878" xr:uid="{00000000-0005-0000-0000-0000FA3F0000}"/>
    <cellStyle name="data 4" xfId="15879" xr:uid="{00000000-0005-0000-0000-0000FB3F0000}"/>
    <cellStyle name="data 5" xfId="15880" xr:uid="{00000000-0005-0000-0000-0000FC3F0000}"/>
    <cellStyle name="Date" xfId="15881" xr:uid="{00000000-0005-0000-0000-0000FD3F0000}"/>
    <cellStyle name="Date 2" xfId="15882" xr:uid="{00000000-0005-0000-0000-0000FE3F0000}"/>
    <cellStyle name="Date 2 2" xfId="15883" xr:uid="{00000000-0005-0000-0000-0000FF3F0000}"/>
    <cellStyle name="Date 2 3" xfId="15884" xr:uid="{00000000-0005-0000-0000-000000400000}"/>
    <cellStyle name="Date 2 4" xfId="15885" xr:uid="{00000000-0005-0000-0000-000001400000}"/>
    <cellStyle name="Date 3" xfId="15886" xr:uid="{00000000-0005-0000-0000-000002400000}"/>
    <cellStyle name="Date 4" xfId="15887" xr:uid="{00000000-0005-0000-0000-000003400000}"/>
    <cellStyle name="Date 5" xfId="15888" xr:uid="{00000000-0005-0000-0000-000004400000}"/>
    <cellStyle name="Date Short" xfId="15889" xr:uid="{00000000-0005-0000-0000-000005400000}"/>
    <cellStyle name="Date Short 2" xfId="15890" xr:uid="{00000000-0005-0000-0000-000006400000}"/>
    <cellStyle name="Date Short 3" xfId="15891" xr:uid="{00000000-0005-0000-0000-000007400000}"/>
    <cellStyle name="Date Short 4" xfId="15892" xr:uid="{00000000-0005-0000-0000-000008400000}"/>
    <cellStyle name="Date_090105 CAPEX J1 J4" xfId="15893" xr:uid="{00000000-0005-0000-0000-000009400000}"/>
    <cellStyle name="Dezimal [0]" xfId="15894" xr:uid="{00000000-0005-0000-0000-00000A400000}"/>
    <cellStyle name="Dezimal [0] 2" xfId="15895" xr:uid="{00000000-0005-0000-0000-00000B400000}"/>
    <cellStyle name="Dezimal [0] 3" xfId="15896" xr:uid="{00000000-0005-0000-0000-00000C400000}"/>
    <cellStyle name="Dezimal [0] 4" xfId="15897" xr:uid="{00000000-0005-0000-0000-00000D400000}"/>
    <cellStyle name="Dezimal_Abfrage_CS Stand" xfId="15898" xr:uid="{00000000-0005-0000-0000-00000E400000}"/>
    <cellStyle name="Diseño" xfId="15899" xr:uid="{00000000-0005-0000-0000-00000F400000}"/>
    <cellStyle name="Diseño 2" xfId="15900" xr:uid="{00000000-0005-0000-0000-000010400000}"/>
    <cellStyle name="Diseño 3" xfId="15901" xr:uid="{00000000-0005-0000-0000-000011400000}"/>
    <cellStyle name="Dobre" xfId="25128" xr:uid="{00000000-0005-0000-0000-000012400000}"/>
    <cellStyle name="Dobre 2" xfId="25129" xr:uid="{00000000-0005-0000-0000-000013400000}"/>
    <cellStyle name="Dobre 3" xfId="25130" xr:uid="{00000000-0005-0000-0000-000014400000}"/>
    <cellStyle name="Dollars" xfId="15902" xr:uid="{00000000-0005-0000-0000-000015400000}"/>
    <cellStyle name="Dollars 2" xfId="15903" xr:uid="{00000000-0005-0000-0000-000016400000}"/>
    <cellStyle name="Dollars 3" xfId="15904" xr:uid="{00000000-0005-0000-0000-000017400000}"/>
    <cellStyle name="Dollars 4" xfId="15905" xr:uid="{00000000-0005-0000-0000-000018400000}"/>
    <cellStyle name="double underline" xfId="15906" xr:uid="{00000000-0005-0000-0000-000019400000}"/>
    <cellStyle name="double underline 2" xfId="15907" xr:uid="{00000000-0005-0000-0000-00001A400000}"/>
    <cellStyle name="double underline 3" xfId="15908" xr:uid="{00000000-0005-0000-0000-00001B400000}"/>
    <cellStyle name="double underline 4" xfId="15909" xr:uid="{00000000-0005-0000-0000-00001C400000}"/>
    <cellStyle name="dp*Accent" xfId="15910" xr:uid="{00000000-0005-0000-0000-00001D400000}"/>
    <cellStyle name="dp*Accent 2" xfId="15911" xr:uid="{00000000-0005-0000-0000-00001E400000}"/>
    <cellStyle name="dp*Accent 3" xfId="15912" xr:uid="{00000000-0005-0000-0000-00001F400000}"/>
    <cellStyle name="dp*Accent 4" xfId="15913" xr:uid="{00000000-0005-0000-0000-000020400000}"/>
    <cellStyle name="dp*ChartSubTitle" xfId="15914" xr:uid="{00000000-0005-0000-0000-000021400000}"/>
    <cellStyle name="dp*ChartSubTitle 2" xfId="15915" xr:uid="{00000000-0005-0000-0000-000022400000}"/>
    <cellStyle name="dp*ChartSubTitle 3" xfId="15916" xr:uid="{00000000-0005-0000-0000-000023400000}"/>
    <cellStyle name="dp*ChartSubTitle 4" xfId="15917" xr:uid="{00000000-0005-0000-0000-000024400000}"/>
    <cellStyle name="dp*ChartTitle" xfId="15918" xr:uid="{00000000-0005-0000-0000-000025400000}"/>
    <cellStyle name="dp*ChartTitle 2" xfId="15919" xr:uid="{00000000-0005-0000-0000-000026400000}"/>
    <cellStyle name="dp*ChartTitle 3" xfId="15920" xr:uid="{00000000-0005-0000-0000-000027400000}"/>
    <cellStyle name="dp*ChartTitle 4" xfId="15921" xr:uid="{00000000-0005-0000-0000-000028400000}"/>
    <cellStyle name="dp*ColumnHeading1" xfId="15922" xr:uid="{00000000-0005-0000-0000-000029400000}"/>
    <cellStyle name="dp*ColumnHeading1 2" xfId="15923" xr:uid="{00000000-0005-0000-0000-00002A400000}"/>
    <cellStyle name="dp*ColumnHeading1 3" xfId="15924" xr:uid="{00000000-0005-0000-0000-00002B400000}"/>
    <cellStyle name="dp*ColumnHeading1 4" xfId="15925" xr:uid="{00000000-0005-0000-0000-00002C400000}"/>
    <cellStyle name="dp*ColumnHeading2" xfId="15926" xr:uid="{00000000-0005-0000-0000-00002D400000}"/>
    <cellStyle name="dp*ColumnHeading2 2" xfId="15927" xr:uid="{00000000-0005-0000-0000-00002E400000}"/>
    <cellStyle name="dp*ColumnHeading2 3" xfId="15928" xr:uid="{00000000-0005-0000-0000-00002F400000}"/>
    <cellStyle name="dp*ColumnHeading2 4" xfId="15929" xr:uid="{00000000-0005-0000-0000-000030400000}"/>
    <cellStyle name="dp*ColumnHeadingDate" xfId="15930" xr:uid="{00000000-0005-0000-0000-000031400000}"/>
    <cellStyle name="dp*ColumnHeadingDate 2" xfId="15931" xr:uid="{00000000-0005-0000-0000-000032400000}"/>
    <cellStyle name="dp*ColumnHeadingDate 3" xfId="15932" xr:uid="{00000000-0005-0000-0000-000033400000}"/>
    <cellStyle name="dp*ColumnHeadingDate 4" xfId="15933" xr:uid="{00000000-0005-0000-0000-000034400000}"/>
    <cellStyle name="dp*FiscalDate" xfId="15934" xr:uid="{00000000-0005-0000-0000-000035400000}"/>
    <cellStyle name="dp*FiscalDate 2" xfId="15935" xr:uid="{00000000-0005-0000-0000-000036400000}"/>
    <cellStyle name="dp*FiscalDate 3" xfId="15936" xr:uid="{00000000-0005-0000-0000-000037400000}"/>
    <cellStyle name="dp*FiscalDate 4" xfId="15937" xr:uid="{00000000-0005-0000-0000-000038400000}"/>
    <cellStyle name="dp*Footnote" xfId="15938" xr:uid="{00000000-0005-0000-0000-000039400000}"/>
    <cellStyle name="dp*Footnote 2" xfId="15939" xr:uid="{00000000-0005-0000-0000-00003A400000}"/>
    <cellStyle name="dp*Footnote 3" xfId="15940" xr:uid="{00000000-0005-0000-0000-00003B400000}"/>
    <cellStyle name="dp*Footnote 4" xfId="15941" xr:uid="{00000000-0005-0000-0000-00003C400000}"/>
    <cellStyle name="dp*Information" xfId="15942" xr:uid="{00000000-0005-0000-0000-00003D400000}"/>
    <cellStyle name="dp*Information 2" xfId="15943" xr:uid="{00000000-0005-0000-0000-00003E400000}"/>
    <cellStyle name="dp*Information 3" xfId="15944" xr:uid="{00000000-0005-0000-0000-00003F400000}"/>
    <cellStyle name="dp*Information 4" xfId="15945" xr:uid="{00000000-0005-0000-0000-000040400000}"/>
    <cellStyle name="dp*LabelItalics" xfId="15946" xr:uid="{00000000-0005-0000-0000-000041400000}"/>
    <cellStyle name="dp*LabelItalics 2" xfId="15947" xr:uid="{00000000-0005-0000-0000-000042400000}"/>
    <cellStyle name="dp*LabelItalics 3" xfId="15948" xr:uid="{00000000-0005-0000-0000-000043400000}"/>
    <cellStyle name="dp*LabelItalics 4" xfId="15949" xr:uid="{00000000-0005-0000-0000-000044400000}"/>
    <cellStyle name="dp*LabelItalicsLineAbove" xfId="15950" xr:uid="{00000000-0005-0000-0000-000045400000}"/>
    <cellStyle name="dp*LabelItalicsLineAbove 2" xfId="15951" xr:uid="{00000000-0005-0000-0000-000046400000}"/>
    <cellStyle name="dp*LabelItalicsLineAbove 3" xfId="15952" xr:uid="{00000000-0005-0000-0000-000047400000}"/>
    <cellStyle name="dp*LabelItalicsLineAbove 4" xfId="15953" xr:uid="{00000000-0005-0000-0000-000048400000}"/>
    <cellStyle name="dp*LabelLine" xfId="15954" xr:uid="{00000000-0005-0000-0000-000049400000}"/>
    <cellStyle name="dp*LabelLine 2" xfId="15955" xr:uid="{00000000-0005-0000-0000-00004A400000}"/>
    <cellStyle name="dp*LabelLine 3" xfId="15956" xr:uid="{00000000-0005-0000-0000-00004B400000}"/>
    <cellStyle name="dp*LabelLine 4" xfId="15957" xr:uid="{00000000-0005-0000-0000-00004C400000}"/>
    <cellStyle name="dp*LabelLine 5" xfId="15958" xr:uid="{00000000-0005-0000-0000-00004D400000}"/>
    <cellStyle name="dp*Labels" xfId="15959" xr:uid="{00000000-0005-0000-0000-00004E400000}"/>
    <cellStyle name="dp*Labels 2" xfId="15960" xr:uid="{00000000-0005-0000-0000-00004F400000}"/>
    <cellStyle name="dp*Labels 3" xfId="15961" xr:uid="{00000000-0005-0000-0000-000050400000}"/>
    <cellStyle name="dp*Labels 4" xfId="15962" xr:uid="{00000000-0005-0000-0000-000051400000}"/>
    <cellStyle name="dp*Normal" xfId="15963" xr:uid="{00000000-0005-0000-0000-000052400000}"/>
    <cellStyle name="dp*Normal 2" xfId="15964" xr:uid="{00000000-0005-0000-0000-000053400000}"/>
    <cellStyle name="dp*Normal 3" xfId="15965" xr:uid="{00000000-0005-0000-0000-000054400000}"/>
    <cellStyle name="dp*Normal 4" xfId="15966" xr:uid="{00000000-0005-0000-0000-000055400000}"/>
    <cellStyle name="dp*NormalCurrency1Dec." xfId="15967" xr:uid="{00000000-0005-0000-0000-000056400000}"/>
    <cellStyle name="dp*NormalCurrency1Dec. 2" xfId="15968" xr:uid="{00000000-0005-0000-0000-000057400000}"/>
    <cellStyle name="dp*NormalCurrency1Dec. 3" xfId="15969" xr:uid="{00000000-0005-0000-0000-000058400000}"/>
    <cellStyle name="dp*NormalCurrency1Dec. 4" xfId="15970" xr:uid="{00000000-0005-0000-0000-000059400000}"/>
    <cellStyle name="dp*NormalCurrency2Dec." xfId="15971" xr:uid="{00000000-0005-0000-0000-00005A400000}"/>
    <cellStyle name="dp*NormalCurrency2Dec. 2" xfId="15972" xr:uid="{00000000-0005-0000-0000-00005B400000}"/>
    <cellStyle name="dp*NormalCurrency2Dec. 3" xfId="15973" xr:uid="{00000000-0005-0000-0000-00005C400000}"/>
    <cellStyle name="dp*NormalCurrency2Dec. 4" xfId="15974" xr:uid="{00000000-0005-0000-0000-00005D400000}"/>
    <cellStyle name="dp*Number%Italics" xfId="15975" xr:uid="{00000000-0005-0000-0000-00005E400000}"/>
    <cellStyle name="dp*Number%Italics 2" xfId="15976" xr:uid="{00000000-0005-0000-0000-00005F400000}"/>
    <cellStyle name="dp*Number%Italics 3" xfId="15977" xr:uid="{00000000-0005-0000-0000-000060400000}"/>
    <cellStyle name="dp*Number%Italics 4" xfId="15978" xr:uid="{00000000-0005-0000-0000-000061400000}"/>
    <cellStyle name="dp*Number%ItalicsLineAbove" xfId="15979" xr:uid="{00000000-0005-0000-0000-000062400000}"/>
    <cellStyle name="dp*Number%ItalicsLineAbove 2" xfId="15980" xr:uid="{00000000-0005-0000-0000-000063400000}"/>
    <cellStyle name="dp*Number%ItalicsLineAbove 2 2" xfId="15981" xr:uid="{00000000-0005-0000-0000-000064400000}"/>
    <cellStyle name="dp*Number%ItalicsLineAbove 2 3" xfId="15982" xr:uid="{00000000-0005-0000-0000-000065400000}"/>
    <cellStyle name="dp*Number%ItalicsLineAbove 2 4" xfId="15983" xr:uid="{00000000-0005-0000-0000-000066400000}"/>
    <cellStyle name="dp*Number%ItalicsLineAbove 2 5" xfId="15984" xr:uid="{00000000-0005-0000-0000-000067400000}"/>
    <cellStyle name="dp*Number%ItalicsLineAbove 3" xfId="15985" xr:uid="{00000000-0005-0000-0000-000068400000}"/>
    <cellStyle name="dp*Number%ItalicsLineAbove 3 2" xfId="15986" xr:uid="{00000000-0005-0000-0000-000069400000}"/>
    <cellStyle name="dp*Number%ItalicsLineAbove 4" xfId="15987" xr:uid="{00000000-0005-0000-0000-00006A400000}"/>
    <cellStyle name="dp*Number%ItalicsLineAbove 5" xfId="15988" xr:uid="{00000000-0005-0000-0000-00006B400000}"/>
    <cellStyle name="dp*Number%ItalicsLineAbove 6" xfId="15989" xr:uid="{00000000-0005-0000-0000-00006C400000}"/>
    <cellStyle name="dp*Number%ItalicsLineAbove 7" xfId="15990" xr:uid="{00000000-0005-0000-0000-00006D400000}"/>
    <cellStyle name="dp*NumberCurrencyLine" xfId="15991" xr:uid="{00000000-0005-0000-0000-00006E400000}"/>
    <cellStyle name="dp*NumberCurrencyLine 2" xfId="15992" xr:uid="{00000000-0005-0000-0000-00006F400000}"/>
    <cellStyle name="dp*NumberCurrencyLine 3" xfId="15993" xr:uid="{00000000-0005-0000-0000-000070400000}"/>
    <cellStyle name="dp*NumberCurrencyLine 4" xfId="15994" xr:uid="{00000000-0005-0000-0000-000071400000}"/>
    <cellStyle name="dp*NumberGeneral" xfId="15995" xr:uid="{00000000-0005-0000-0000-000072400000}"/>
    <cellStyle name="dp*NumberGeneral 2" xfId="15996" xr:uid="{00000000-0005-0000-0000-000073400000}"/>
    <cellStyle name="dp*NumberGeneral 3" xfId="15997" xr:uid="{00000000-0005-0000-0000-000074400000}"/>
    <cellStyle name="dp*NumberGeneral 4" xfId="15998" xr:uid="{00000000-0005-0000-0000-000075400000}"/>
    <cellStyle name="dp*NumberGeneral2Dec." xfId="15999" xr:uid="{00000000-0005-0000-0000-000076400000}"/>
    <cellStyle name="dp*NumberGeneral2Dec. 2" xfId="16000" xr:uid="{00000000-0005-0000-0000-000077400000}"/>
    <cellStyle name="dp*NumberGeneral2Dec. 3" xfId="16001" xr:uid="{00000000-0005-0000-0000-000078400000}"/>
    <cellStyle name="dp*NumberGeneral2Dec. 4" xfId="16002" xr:uid="{00000000-0005-0000-0000-000079400000}"/>
    <cellStyle name="dp*NumberLine" xfId="16003" xr:uid="{00000000-0005-0000-0000-00007A400000}"/>
    <cellStyle name="dp*NumberLine 2" xfId="16004" xr:uid="{00000000-0005-0000-0000-00007B400000}"/>
    <cellStyle name="dp*NumberLine 3" xfId="16005" xr:uid="{00000000-0005-0000-0000-00007C400000}"/>
    <cellStyle name="dp*NumberLine 4" xfId="16006" xr:uid="{00000000-0005-0000-0000-00007D400000}"/>
    <cellStyle name="dp*NumberLine 5" xfId="16007" xr:uid="{00000000-0005-0000-0000-00007E400000}"/>
    <cellStyle name="dp*NumberLineEPS" xfId="16008" xr:uid="{00000000-0005-0000-0000-00007F400000}"/>
    <cellStyle name="dp*NumberLineEPS 2" xfId="16009" xr:uid="{00000000-0005-0000-0000-000080400000}"/>
    <cellStyle name="dp*NumberLineEPS 3" xfId="16010" xr:uid="{00000000-0005-0000-0000-000081400000}"/>
    <cellStyle name="dp*NumberLineEPS 4" xfId="16011" xr:uid="{00000000-0005-0000-0000-000082400000}"/>
    <cellStyle name="dp*NumberLineEPS 5" xfId="16012" xr:uid="{00000000-0005-0000-0000-000083400000}"/>
    <cellStyle name="dp*NumberSpecial" xfId="16013" xr:uid="{00000000-0005-0000-0000-000084400000}"/>
    <cellStyle name="dp*NumberSpecial 2" xfId="16014" xr:uid="{00000000-0005-0000-0000-000085400000}"/>
    <cellStyle name="dp*NumberSpecial 3" xfId="16015" xr:uid="{00000000-0005-0000-0000-000086400000}"/>
    <cellStyle name="dp*NumberSpecial 4" xfId="16016" xr:uid="{00000000-0005-0000-0000-000087400000}"/>
    <cellStyle name="dp*RatioX" xfId="16017" xr:uid="{00000000-0005-0000-0000-000088400000}"/>
    <cellStyle name="dp*RatioX 2" xfId="16018" xr:uid="{00000000-0005-0000-0000-000089400000}"/>
    <cellStyle name="dp*RatioX 3" xfId="16019" xr:uid="{00000000-0005-0000-0000-00008A400000}"/>
    <cellStyle name="dp*RatioX 4" xfId="16020" xr:uid="{00000000-0005-0000-0000-00008B400000}"/>
    <cellStyle name="dp*SeriesName" xfId="16021" xr:uid="{00000000-0005-0000-0000-00008C400000}"/>
    <cellStyle name="dp*SeriesName 2" xfId="16022" xr:uid="{00000000-0005-0000-0000-00008D400000}"/>
    <cellStyle name="dp*SeriesName 3" xfId="16023" xr:uid="{00000000-0005-0000-0000-00008E400000}"/>
    <cellStyle name="dp*SeriesName 4" xfId="16024" xr:uid="{00000000-0005-0000-0000-00008F400000}"/>
    <cellStyle name="dp*SheetSubTitle" xfId="16025" xr:uid="{00000000-0005-0000-0000-000090400000}"/>
    <cellStyle name="dp*SheetSubTitle 2" xfId="16026" xr:uid="{00000000-0005-0000-0000-000091400000}"/>
    <cellStyle name="dp*SheetSubTitle 3" xfId="16027" xr:uid="{00000000-0005-0000-0000-000092400000}"/>
    <cellStyle name="dp*SheetSubTitle 4" xfId="16028" xr:uid="{00000000-0005-0000-0000-000093400000}"/>
    <cellStyle name="dp*SheetSubTitle 5" xfId="16029" xr:uid="{00000000-0005-0000-0000-000094400000}"/>
    <cellStyle name="dp*SheetTitle" xfId="16030" xr:uid="{00000000-0005-0000-0000-000095400000}"/>
    <cellStyle name="dp*SheetTitle 2" xfId="16031" xr:uid="{00000000-0005-0000-0000-000096400000}"/>
    <cellStyle name="dp*SheetTitle 3" xfId="16032" xr:uid="{00000000-0005-0000-0000-000097400000}"/>
    <cellStyle name="dp*SheetTitle 4" xfId="16033" xr:uid="{00000000-0005-0000-0000-000098400000}"/>
    <cellStyle name="dp*SubTitle" xfId="16034" xr:uid="{00000000-0005-0000-0000-000099400000}"/>
    <cellStyle name="dp*SubTitle 2" xfId="16035" xr:uid="{00000000-0005-0000-0000-00009A400000}"/>
    <cellStyle name="dp*SubTitle 3" xfId="16036" xr:uid="{00000000-0005-0000-0000-00009B400000}"/>
    <cellStyle name="dp*SubTitle 4" xfId="16037" xr:uid="{00000000-0005-0000-0000-00009C400000}"/>
    <cellStyle name="dp*ThickLineAbove" xfId="16038" xr:uid="{00000000-0005-0000-0000-00009D400000}"/>
    <cellStyle name="dp*ThickLineAbove 2" xfId="16039" xr:uid="{00000000-0005-0000-0000-00009E400000}"/>
    <cellStyle name="dp*ThickLineAbove 3" xfId="16040" xr:uid="{00000000-0005-0000-0000-00009F400000}"/>
    <cellStyle name="dp*ThickLineAbove 4" xfId="16041" xr:uid="{00000000-0005-0000-0000-0000A0400000}"/>
    <cellStyle name="dp*ThickLineBelow" xfId="16042" xr:uid="{00000000-0005-0000-0000-0000A1400000}"/>
    <cellStyle name="dp*ThickLineBelow 2" xfId="16043" xr:uid="{00000000-0005-0000-0000-0000A2400000}"/>
    <cellStyle name="dp*ThickLineBelow 3" xfId="16044" xr:uid="{00000000-0005-0000-0000-0000A3400000}"/>
    <cellStyle name="dp*ThickLineBelow 4" xfId="16045" xr:uid="{00000000-0005-0000-0000-0000A4400000}"/>
    <cellStyle name="dp*ThinLineAbove" xfId="16046" xr:uid="{00000000-0005-0000-0000-0000A5400000}"/>
    <cellStyle name="dp*ThinLineAbove 2" xfId="16047" xr:uid="{00000000-0005-0000-0000-0000A6400000}"/>
    <cellStyle name="dp*ThinLineAbove 2 2" xfId="16048" xr:uid="{00000000-0005-0000-0000-0000A7400000}"/>
    <cellStyle name="dp*ThinLineAbove 2 3" xfId="16049" xr:uid="{00000000-0005-0000-0000-0000A8400000}"/>
    <cellStyle name="dp*ThinLineAbove 2 4" xfId="16050" xr:uid="{00000000-0005-0000-0000-0000A9400000}"/>
    <cellStyle name="dp*ThinLineAbove 2 5" xfId="16051" xr:uid="{00000000-0005-0000-0000-0000AA400000}"/>
    <cellStyle name="dp*ThinLineAbove 3" xfId="16052" xr:uid="{00000000-0005-0000-0000-0000AB400000}"/>
    <cellStyle name="dp*ThinLineAbove 3 2" xfId="16053" xr:uid="{00000000-0005-0000-0000-0000AC400000}"/>
    <cellStyle name="dp*ThinLineAbove 4" xfId="16054" xr:uid="{00000000-0005-0000-0000-0000AD400000}"/>
    <cellStyle name="dp*ThinLineAbove 5" xfId="16055" xr:uid="{00000000-0005-0000-0000-0000AE400000}"/>
    <cellStyle name="dp*ThinLineAbove 6" xfId="16056" xr:uid="{00000000-0005-0000-0000-0000AF400000}"/>
    <cellStyle name="dp*ThinLineAbove 7" xfId="16057" xr:uid="{00000000-0005-0000-0000-0000B0400000}"/>
    <cellStyle name="dp*ThinLineBelow" xfId="16058" xr:uid="{00000000-0005-0000-0000-0000B1400000}"/>
    <cellStyle name="dp*ThinLineBelow 2" xfId="16059" xr:uid="{00000000-0005-0000-0000-0000B2400000}"/>
    <cellStyle name="dp*ThinLineBelow 3" xfId="16060" xr:uid="{00000000-0005-0000-0000-0000B3400000}"/>
    <cellStyle name="dp*ThinLineBelow 4" xfId="16061" xr:uid="{00000000-0005-0000-0000-0000B4400000}"/>
    <cellStyle name="dp*XAxisTitle" xfId="16062" xr:uid="{00000000-0005-0000-0000-0000B5400000}"/>
    <cellStyle name="dp*XAxisTitle 2" xfId="16063" xr:uid="{00000000-0005-0000-0000-0000B6400000}"/>
    <cellStyle name="dp*XAxisTitle 3" xfId="16064" xr:uid="{00000000-0005-0000-0000-0000B7400000}"/>
    <cellStyle name="dp*XAxisTitle 4" xfId="16065" xr:uid="{00000000-0005-0000-0000-0000B8400000}"/>
    <cellStyle name="dp*Y2AxisTitle" xfId="16066" xr:uid="{00000000-0005-0000-0000-0000B9400000}"/>
    <cellStyle name="dp*Y2AxisTitle 2" xfId="16067" xr:uid="{00000000-0005-0000-0000-0000BA400000}"/>
    <cellStyle name="dp*Y2AxisTitle 3" xfId="16068" xr:uid="{00000000-0005-0000-0000-0000BB400000}"/>
    <cellStyle name="dp*Y2AxisTitle 4" xfId="16069" xr:uid="{00000000-0005-0000-0000-0000BC400000}"/>
    <cellStyle name="dp*YAxisTitle" xfId="16070" xr:uid="{00000000-0005-0000-0000-0000BD400000}"/>
    <cellStyle name="dp*YAxisTitle 2" xfId="16071" xr:uid="{00000000-0005-0000-0000-0000BE400000}"/>
    <cellStyle name="dp*YAxisTitle 3" xfId="16072" xr:uid="{00000000-0005-0000-0000-0000BF400000}"/>
    <cellStyle name="dp*YAxisTitle 4" xfId="16073" xr:uid="{00000000-0005-0000-0000-0000C0400000}"/>
    <cellStyle name="Emphasis 1" xfId="16074" xr:uid="{00000000-0005-0000-0000-0000C1400000}"/>
    <cellStyle name="Emphasis 1 2" xfId="16075" xr:uid="{00000000-0005-0000-0000-0000C2400000}"/>
    <cellStyle name="Emphasis 1 3" xfId="16076" xr:uid="{00000000-0005-0000-0000-0000C3400000}"/>
    <cellStyle name="Emphasis 1 4" xfId="16077" xr:uid="{00000000-0005-0000-0000-0000C4400000}"/>
    <cellStyle name="Emphasis 1 5" xfId="16078" xr:uid="{00000000-0005-0000-0000-0000C5400000}"/>
    <cellStyle name="Emphasis 2" xfId="16079" xr:uid="{00000000-0005-0000-0000-0000C6400000}"/>
    <cellStyle name="Emphasis 2 2" xfId="16080" xr:uid="{00000000-0005-0000-0000-0000C7400000}"/>
    <cellStyle name="Emphasis 2 3" xfId="16081" xr:uid="{00000000-0005-0000-0000-0000C8400000}"/>
    <cellStyle name="Emphasis 2 4" xfId="16082" xr:uid="{00000000-0005-0000-0000-0000C9400000}"/>
    <cellStyle name="Emphasis 2 5" xfId="16083" xr:uid="{00000000-0005-0000-0000-0000CA400000}"/>
    <cellStyle name="Emphasis 3" xfId="16084" xr:uid="{00000000-0005-0000-0000-0000CB400000}"/>
    <cellStyle name="Emphasis 3 2" xfId="16085" xr:uid="{00000000-0005-0000-0000-0000CC400000}"/>
    <cellStyle name="Emphasis 3 3" xfId="16086" xr:uid="{00000000-0005-0000-0000-0000CD400000}"/>
    <cellStyle name="Emphasis 3 4" xfId="16087" xr:uid="{00000000-0005-0000-0000-0000CE400000}"/>
    <cellStyle name="Emphasis 3 5" xfId="16088" xr:uid="{00000000-0005-0000-0000-0000CF400000}"/>
    <cellStyle name="Encabezado 4" xfId="16089" xr:uid="{00000000-0005-0000-0000-0000D0400000}"/>
    <cellStyle name="Encabezado 4 2" xfId="16090" xr:uid="{00000000-0005-0000-0000-0000D1400000}"/>
    <cellStyle name="Encabezado 4 2 2" xfId="16091" xr:uid="{00000000-0005-0000-0000-0000D2400000}"/>
    <cellStyle name="Encabezado 4 2 3" xfId="16092" xr:uid="{00000000-0005-0000-0000-0000D3400000}"/>
    <cellStyle name="Encabezado 4 2 4" xfId="16093" xr:uid="{00000000-0005-0000-0000-0000D4400000}"/>
    <cellStyle name="Encabezado 4 3" xfId="16094" xr:uid="{00000000-0005-0000-0000-0000D5400000}"/>
    <cellStyle name="Encabezado 4 4" xfId="16095" xr:uid="{00000000-0005-0000-0000-0000D6400000}"/>
    <cellStyle name="Encabezado 4 5" xfId="16096" xr:uid="{00000000-0005-0000-0000-0000D7400000}"/>
    <cellStyle name="Encabezado 4 6" xfId="16097" xr:uid="{00000000-0005-0000-0000-0000D8400000}"/>
    <cellStyle name="Énfasis1" xfId="16098" xr:uid="{00000000-0005-0000-0000-0000D9400000}"/>
    <cellStyle name="Énfasis1 2" xfId="16099" xr:uid="{00000000-0005-0000-0000-0000DA400000}"/>
    <cellStyle name="Énfasis1 2 2" xfId="16100" xr:uid="{00000000-0005-0000-0000-0000DB400000}"/>
    <cellStyle name="Énfasis1 2 3" xfId="16101" xr:uid="{00000000-0005-0000-0000-0000DC400000}"/>
    <cellStyle name="Énfasis1 2 4" xfId="16102" xr:uid="{00000000-0005-0000-0000-0000DD400000}"/>
    <cellStyle name="Énfasis1 3" xfId="16103" xr:uid="{00000000-0005-0000-0000-0000DE400000}"/>
    <cellStyle name="Énfasis1 4" xfId="16104" xr:uid="{00000000-0005-0000-0000-0000DF400000}"/>
    <cellStyle name="Énfasis1 5" xfId="16105" xr:uid="{00000000-0005-0000-0000-0000E0400000}"/>
    <cellStyle name="Énfasis1 6" xfId="16106" xr:uid="{00000000-0005-0000-0000-0000E1400000}"/>
    <cellStyle name="Énfasis2" xfId="16107" xr:uid="{00000000-0005-0000-0000-0000E2400000}"/>
    <cellStyle name="Énfasis2 2" xfId="16108" xr:uid="{00000000-0005-0000-0000-0000E3400000}"/>
    <cellStyle name="Énfasis2 2 2" xfId="16109" xr:uid="{00000000-0005-0000-0000-0000E4400000}"/>
    <cellStyle name="Énfasis2 2 3" xfId="16110" xr:uid="{00000000-0005-0000-0000-0000E5400000}"/>
    <cellStyle name="Énfasis2 2 4" xfId="16111" xr:uid="{00000000-0005-0000-0000-0000E6400000}"/>
    <cellStyle name="Énfasis2 3" xfId="16112" xr:uid="{00000000-0005-0000-0000-0000E7400000}"/>
    <cellStyle name="Énfasis2 4" xfId="16113" xr:uid="{00000000-0005-0000-0000-0000E8400000}"/>
    <cellStyle name="Énfasis2 5" xfId="16114" xr:uid="{00000000-0005-0000-0000-0000E9400000}"/>
    <cellStyle name="Énfasis2 6" xfId="16115" xr:uid="{00000000-0005-0000-0000-0000EA400000}"/>
    <cellStyle name="Énfasis3" xfId="16116" xr:uid="{00000000-0005-0000-0000-0000EB400000}"/>
    <cellStyle name="Énfasis3 2" xfId="16117" xr:uid="{00000000-0005-0000-0000-0000EC400000}"/>
    <cellStyle name="Énfasis3 2 2" xfId="16118" xr:uid="{00000000-0005-0000-0000-0000ED400000}"/>
    <cellStyle name="Énfasis3 2 3" xfId="16119" xr:uid="{00000000-0005-0000-0000-0000EE400000}"/>
    <cellStyle name="Énfasis3 2 4" xfId="16120" xr:uid="{00000000-0005-0000-0000-0000EF400000}"/>
    <cellStyle name="Énfasis3 3" xfId="16121" xr:uid="{00000000-0005-0000-0000-0000F0400000}"/>
    <cellStyle name="Énfasis3 4" xfId="16122" xr:uid="{00000000-0005-0000-0000-0000F1400000}"/>
    <cellStyle name="Énfasis3 5" xfId="16123" xr:uid="{00000000-0005-0000-0000-0000F2400000}"/>
    <cellStyle name="Énfasis3 6" xfId="16124" xr:uid="{00000000-0005-0000-0000-0000F3400000}"/>
    <cellStyle name="Énfasis4" xfId="16125" xr:uid="{00000000-0005-0000-0000-0000F4400000}"/>
    <cellStyle name="Énfasis4 2" xfId="16126" xr:uid="{00000000-0005-0000-0000-0000F5400000}"/>
    <cellStyle name="Énfasis4 2 2" xfId="16127" xr:uid="{00000000-0005-0000-0000-0000F6400000}"/>
    <cellStyle name="Énfasis4 2 3" xfId="16128" xr:uid="{00000000-0005-0000-0000-0000F7400000}"/>
    <cellStyle name="Énfasis4 2 4" xfId="16129" xr:uid="{00000000-0005-0000-0000-0000F8400000}"/>
    <cellStyle name="Énfasis4 3" xfId="16130" xr:uid="{00000000-0005-0000-0000-0000F9400000}"/>
    <cellStyle name="Énfasis4 4" xfId="16131" xr:uid="{00000000-0005-0000-0000-0000FA400000}"/>
    <cellStyle name="Énfasis4 5" xfId="16132" xr:uid="{00000000-0005-0000-0000-0000FB400000}"/>
    <cellStyle name="Énfasis4 6" xfId="16133" xr:uid="{00000000-0005-0000-0000-0000FC400000}"/>
    <cellStyle name="Énfasis5" xfId="16134" xr:uid="{00000000-0005-0000-0000-0000FD400000}"/>
    <cellStyle name="Énfasis5 2" xfId="16135" xr:uid="{00000000-0005-0000-0000-0000FE400000}"/>
    <cellStyle name="Énfasis5 2 2" xfId="16136" xr:uid="{00000000-0005-0000-0000-0000FF400000}"/>
    <cellStyle name="Énfasis5 2 3" xfId="16137" xr:uid="{00000000-0005-0000-0000-000000410000}"/>
    <cellStyle name="Énfasis5 2 4" xfId="16138" xr:uid="{00000000-0005-0000-0000-000001410000}"/>
    <cellStyle name="Énfasis5 3" xfId="16139" xr:uid="{00000000-0005-0000-0000-000002410000}"/>
    <cellStyle name="Énfasis5 4" xfId="16140" xr:uid="{00000000-0005-0000-0000-000003410000}"/>
    <cellStyle name="Énfasis5 5" xfId="16141" xr:uid="{00000000-0005-0000-0000-000004410000}"/>
    <cellStyle name="Énfasis5 6" xfId="16142" xr:uid="{00000000-0005-0000-0000-000005410000}"/>
    <cellStyle name="Énfasis6" xfId="16143" xr:uid="{00000000-0005-0000-0000-000006410000}"/>
    <cellStyle name="Énfasis6 2" xfId="16144" xr:uid="{00000000-0005-0000-0000-000007410000}"/>
    <cellStyle name="Énfasis6 2 2" xfId="16145" xr:uid="{00000000-0005-0000-0000-000008410000}"/>
    <cellStyle name="Énfasis6 2 3" xfId="16146" xr:uid="{00000000-0005-0000-0000-000009410000}"/>
    <cellStyle name="Énfasis6 2 4" xfId="16147" xr:uid="{00000000-0005-0000-0000-00000A410000}"/>
    <cellStyle name="Énfasis6 3" xfId="16148" xr:uid="{00000000-0005-0000-0000-00000B410000}"/>
    <cellStyle name="Énfasis6 4" xfId="16149" xr:uid="{00000000-0005-0000-0000-00000C410000}"/>
    <cellStyle name="Énfasis6 5" xfId="16150" xr:uid="{00000000-0005-0000-0000-00000D410000}"/>
    <cellStyle name="Énfasis6 6" xfId="16151" xr:uid="{00000000-0005-0000-0000-00000E410000}"/>
    <cellStyle name="Enter Currency (0)" xfId="16152" xr:uid="{00000000-0005-0000-0000-00000F410000}"/>
    <cellStyle name="Enter Currency (0) 2" xfId="16153" xr:uid="{00000000-0005-0000-0000-000010410000}"/>
    <cellStyle name="Enter Currency (0) 3" xfId="16154" xr:uid="{00000000-0005-0000-0000-000011410000}"/>
    <cellStyle name="Enter Currency (0) 4" xfId="16155" xr:uid="{00000000-0005-0000-0000-000012410000}"/>
    <cellStyle name="Enter Currency (2)" xfId="16156" xr:uid="{00000000-0005-0000-0000-000013410000}"/>
    <cellStyle name="Enter Currency (2) 2" xfId="16157" xr:uid="{00000000-0005-0000-0000-000014410000}"/>
    <cellStyle name="Enter Currency (2) 3" xfId="16158" xr:uid="{00000000-0005-0000-0000-000015410000}"/>
    <cellStyle name="Enter Currency (2) 4" xfId="16159" xr:uid="{00000000-0005-0000-0000-000016410000}"/>
    <cellStyle name="Enter Currency (2) 5" xfId="16160" xr:uid="{00000000-0005-0000-0000-000017410000}"/>
    <cellStyle name="Enter Units (0)" xfId="16161" xr:uid="{00000000-0005-0000-0000-000018410000}"/>
    <cellStyle name="Enter Units (0) 2" xfId="16162" xr:uid="{00000000-0005-0000-0000-000019410000}"/>
    <cellStyle name="Enter Units (0) 3" xfId="16163" xr:uid="{00000000-0005-0000-0000-00001A410000}"/>
    <cellStyle name="Enter Units (0) 4" xfId="16164" xr:uid="{00000000-0005-0000-0000-00001B410000}"/>
    <cellStyle name="Enter Units (1)" xfId="16165" xr:uid="{00000000-0005-0000-0000-00001C410000}"/>
    <cellStyle name="Enter Units (1) 2" xfId="16166" xr:uid="{00000000-0005-0000-0000-00001D410000}"/>
    <cellStyle name="Enter Units (1) 3" xfId="16167" xr:uid="{00000000-0005-0000-0000-00001E410000}"/>
    <cellStyle name="Enter Units (1) 4" xfId="16168" xr:uid="{00000000-0005-0000-0000-00001F410000}"/>
    <cellStyle name="Enter Units (1) 5" xfId="16169" xr:uid="{00000000-0005-0000-0000-000020410000}"/>
    <cellStyle name="Enter Units (2)" xfId="16170" xr:uid="{00000000-0005-0000-0000-000021410000}"/>
    <cellStyle name="Enter Units (2) 2" xfId="16171" xr:uid="{00000000-0005-0000-0000-000022410000}"/>
    <cellStyle name="Enter Units (2) 3" xfId="16172" xr:uid="{00000000-0005-0000-0000-000023410000}"/>
    <cellStyle name="Enter Units (2) 4" xfId="16173" xr:uid="{00000000-0005-0000-0000-000024410000}"/>
    <cellStyle name="Enter Units (2) 5" xfId="16174" xr:uid="{00000000-0005-0000-0000-000025410000}"/>
    <cellStyle name="Entered" xfId="16175" xr:uid="{00000000-0005-0000-0000-000026410000}"/>
    <cellStyle name="Entered 2" xfId="16176" xr:uid="{00000000-0005-0000-0000-000027410000}"/>
    <cellStyle name="Entered 3" xfId="16177" xr:uid="{00000000-0005-0000-0000-000028410000}"/>
    <cellStyle name="Entered 4" xfId="16178" xr:uid="{00000000-0005-0000-0000-000029410000}"/>
    <cellStyle name="Entered 5" xfId="16179" xr:uid="{00000000-0005-0000-0000-00002A410000}"/>
    <cellStyle name="Entrada" xfId="16180" xr:uid="{00000000-0005-0000-0000-00002B410000}"/>
    <cellStyle name="Entrada 2" xfId="16181" xr:uid="{00000000-0005-0000-0000-00002C410000}"/>
    <cellStyle name="Entrada 2 2" xfId="16182" xr:uid="{00000000-0005-0000-0000-00002D410000}"/>
    <cellStyle name="Entrada 2 3" xfId="16183" xr:uid="{00000000-0005-0000-0000-00002E410000}"/>
    <cellStyle name="Entrada 2 4" xfId="16184" xr:uid="{00000000-0005-0000-0000-00002F410000}"/>
    <cellStyle name="Entrada 2 5" xfId="16185" xr:uid="{00000000-0005-0000-0000-000030410000}"/>
    <cellStyle name="Entrada 3" xfId="16186" xr:uid="{00000000-0005-0000-0000-000031410000}"/>
    <cellStyle name="Entrada 3 2" xfId="16187" xr:uid="{00000000-0005-0000-0000-000032410000}"/>
    <cellStyle name="Entrada 3 3" xfId="16188" xr:uid="{00000000-0005-0000-0000-000033410000}"/>
    <cellStyle name="Entrada 3 4" xfId="16189" xr:uid="{00000000-0005-0000-0000-000034410000}"/>
    <cellStyle name="Entrada 4" xfId="16190" xr:uid="{00000000-0005-0000-0000-000035410000}"/>
    <cellStyle name="Entrada 5" xfId="16191" xr:uid="{00000000-0005-0000-0000-000036410000}"/>
    <cellStyle name="Entrada 6" xfId="16192" xr:uid="{00000000-0005-0000-0000-000037410000}"/>
    <cellStyle name="Entrada 7" xfId="16193" xr:uid="{00000000-0005-0000-0000-000038410000}"/>
    <cellStyle name="Entrée" xfId="16194" xr:uid="{00000000-0005-0000-0000-000039410000}"/>
    <cellStyle name="eps" xfId="16195" xr:uid="{00000000-0005-0000-0000-00003A410000}"/>
    <cellStyle name="eps 2" xfId="16196" xr:uid="{00000000-0005-0000-0000-00003B410000}"/>
    <cellStyle name="eps 3" xfId="16197" xr:uid="{00000000-0005-0000-0000-00003C410000}"/>
    <cellStyle name="eps 4" xfId="16198" xr:uid="{00000000-0005-0000-0000-00003D410000}"/>
    <cellStyle name="eps 5" xfId="16199" xr:uid="{00000000-0005-0000-0000-00003E410000}"/>
    <cellStyle name="eps$" xfId="16200" xr:uid="{00000000-0005-0000-0000-00003F410000}"/>
    <cellStyle name="eps$ 2" xfId="16201" xr:uid="{00000000-0005-0000-0000-000040410000}"/>
    <cellStyle name="eps$ 3" xfId="16202" xr:uid="{00000000-0005-0000-0000-000041410000}"/>
    <cellStyle name="eps$ 4" xfId="16203" xr:uid="{00000000-0005-0000-0000-000042410000}"/>
    <cellStyle name="eps$ 5" xfId="16204" xr:uid="{00000000-0005-0000-0000-000043410000}"/>
    <cellStyle name="eps$A" xfId="16205" xr:uid="{00000000-0005-0000-0000-000044410000}"/>
    <cellStyle name="eps$A 2" xfId="16206" xr:uid="{00000000-0005-0000-0000-000045410000}"/>
    <cellStyle name="eps$A 3" xfId="16207" xr:uid="{00000000-0005-0000-0000-000046410000}"/>
    <cellStyle name="eps$A 4" xfId="16208" xr:uid="{00000000-0005-0000-0000-000047410000}"/>
    <cellStyle name="eps$A 5" xfId="16209" xr:uid="{00000000-0005-0000-0000-000048410000}"/>
    <cellStyle name="eps$E" xfId="16210" xr:uid="{00000000-0005-0000-0000-000049410000}"/>
    <cellStyle name="eps$E 2" xfId="16211" xr:uid="{00000000-0005-0000-0000-00004A410000}"/>
    <cellStyle name="eps$E 3" xfId="16212" xr:uid="{00000000-0005-0000-0000-00004B410000}"/>
    <cellStyle name="eps$E 4" xfId="16213" xr:uid="{00000000-0005-0000-0000-00004C410000}"/>
    <cellStyle name="eps$E 5" xfId="16214" xr:uid="{00000000-0005-0000-0000-00004D410000}"/>
    <cellStyle name="eps_DCF-Valuation Support" xfId="16215" xr:uid="{00000000-0005-0000-0000-00004E410000}"/>
    <cellStyle name="epsA" xfId="16216" xr:uid="{00000000-0005-0000-0000-00004F410000}"/>
    <cellStyle name="epsA 2" xfId="16217" xr:uid="{00000000-0005-0000-0000-000050410000}"/>
    <cellStyle name="epsA 3" xfId="16218" xr:uid="{00000000-0005-0000-0000-000051410000}"/>
    <cellStyle name="epsA 4" xfId="16219" xr:uid="{00000000-0005-0000-0000-000052410000}"/>
    <cellStyle name="epsA 5" xfId="16220" xr:uid="{00000000-0005-0000-0000-000053410000}"/>
    <cellStyle name="epsE" xfId="16221" xr:uid="{00000000-0005-0000-0000-000054410000}"/>
    <cellStyle name="epsE 2" xfId="16222" xr:uid="{00000000-0005-0000-0000-000055410000}"/>
    <cellStyle name="epsE 3" xfId="16223" xr:uid="{00000000-0005-0000-0000-000056410000}"/>
    <cellStyle name="epsE 4" xfId="16224" xr:uid="{00000000-0005-0000-0000-000057410000}"/>
    <cellStyle name="epsE 5" xfId="16225" xr:uid="{00000000-0005-0000-0000-000058410000}"/>
    <cellStyle name="Euro" xfId="16226" xr:uid="{00000000-0005-0000-0000-000059410000}"/>
    <cellStyle name="Euro 2" xfId="16227" xr:uid="{00000000-0005-0000-0000-00005A410000}"/>
    <cellStyle name="Euro 3" xfId="16228" xr:uid="{00000000-0005-0000-0000-00005B410000}"/>
    <cellStyle name="Euro 4" xfId="16229" xr:uid="{00000000-0005-0000-0000-00005C410000}"/>
    <cellStyle name="Euro 5" xfId="16230" xr:uid="{00000000-0005-0000-0000-00005D410000}"/>
    <cellStyle name="ExchangeRatio" xfId="16231" xr:uid="{00000000-0005-0000-0000-00005E410000}"/>
    <cellStyle name="ExchangeRatio 2" xfId="16232" xr:uid="{00000000-0005-0000-0000-00005F410000}"/>
    <cellStyle name="ExchangeRatio 2 2" xfId="16233" xr:uid="{00000000-0005-0000-0000-000060410000}"/>
    <cellStyle name="ExchangeRatio 2 3" xfId="16234" xr:uid="{00000000-0005-0000-0000-000061410000}"/>
    <cellStyle name="ExchangeRatio 2 4" xfId="16235" xr:uid="{00000000-0005-0000-0000-000062410000}"/>
    <cellStyle name="ExchangeRatio 2 5" xfId="16236" xr:uid="{00000000-0005-0000-0000-000063410000}"/>
    <cellStyle name="ExchangeRatio 3" xfId="16237" xr:uid="{00000000-0005-0000-0000-000064410000}"/>
    <cellStyle name="ExchangeRatio 3 2" xfId="16238" xr:uid="{00000000-0005-0000-0000-000065410000}"/>
    <cellStyle name="ExchangeRatio 4" xfId="16239" xr:uid="{00000000-0005-0000-0000-000066410000}"/>
    <cellStyle name="ExchangeRatio 5" xfId="16240" xr:uid="{00000000-0005-0000-0000-000067410000}"/>
    <cellStyle name="ExchangeRatio 6" xfId="16241" xr:uid="{00000000-0005-0000-0000-000068410000}"/>
    <cellStyle name="ExchangeRatio 7" xfId="16242" xr:uid="{00000000-0005-0000-0000-000069410000}"/>
    <cellStyle name="Explanatory Text 10" xfId="16243" xr:uid="{00000000-0005-0000-0000-00006A410000}"/>
    <cellStyle name="Explanatory Text 10 2" xfId="16244" xr:uid="{00000000-0005-0000-0000-00006B410000}"/>
    <cellStyle name="Explanatory Text 10 3" xfId="16245" xr:uid="{00000000-0005-0000-0000-00006C410000}"/>
    <cellStyle name="Explanatory Text 10 4" xfId="16246" xr:uid="{00000000-0005-0000-0000-00006D410000}"/>
    <cellStyle name="Explanatory Text 11" xfId="16247" xr:uid="{00000000-0005-0000-0000-00006E410000}"/>
    <cellStyle name="Explanatory Text 11 2" xfId="16248" xr:uid="{00000000-0005-0000-0000-00006F410000}"/>
    <cellStyle name="Explanatory Text 11 3" xfId="16249" xr:uid="{00000000-0005-0000-0000-000070410000}"/>
    <cellStyle name="Explanatory Text 11 4" xfId="16250" xr:uid="{00000000-0005-0000-0000-000071410000}"/>
    <cellStyle name="Explanatory Text 12" xfId="16251" xr:uid="{00000000-0005-0000-0000-000072410000}"/>
    <cellStyle name="Explanatory Text 12 2" xfId="16252" xr:uid="{00000000-0005-0000-0000-000073410000}"/>
    <cellStyle name="Explanatory Text 12 3" xfId="16253" xr:uid="{00000000-0005-0000-0000-000074410000}"/>
    <cellStyle name="Explanatory Text 12 4" xfId="16254" xr:uid="{00000000-0005-0000-0000-000075410000}"/>
    <cellStyle name="Explanatory Text 13" xfId="16255" xr:uid="{00000000-0005-0000-0000-000076410000}"/>
    <cellStyle name="Explanatory Text 13 2" xfId="16256" xr:uid="{00000000-0005-0000-0000-000077410000}"/>
    <cellStyle name="Explanatory Text 13 3" xfId="16257" xr:uid="{00000000-0005-0000-0000-000078410000}"/>
    <cellStyle name="Explanatory Text 13 4" xfId="16258" xr:uid="{00000000-0005-0000-0000-000079410000}"/>
    <cellStyle name="Explanatory Text 14" xfId="16259" xr:uid="{00000000-0005-0000-0000-00007A410000}"/>
    <cellStyle name="Explanatory Text 14 2" xfId="16260" xr:uid="{00000000-0005-0000-0000-00007B410000}"/>
    <cellStyle name="Explanatory Text 14 3" xfId="16261" xr:uid="{00000000-0005-0000-0000-00007C410000}"/>
    <cellStyle name="Explanatory Text 14 4" xfId="16262" xr:uid="{00000000-0005-0000-0000-00007D410000}"/>
    <cellStyle name="Explanatory Text 15" xfId="16263" xr:uid="{00000000-0005-0000-0000-00007E410000}"/>
    <cellStyle name="Explanatory Text 15 2" xfId="16264" xr:uid="{00000000-0005-0000-0000-00007F410000}"/>
    <cellStyle name="Explanatory Text 15 3" xfId="16265" xr:uid="{00000000-0005-0000-0000-000080410000}"/>
    <cellStyle name="Explanatory Text 15 4" xfId="16266" xr:uid="{00000000-0005-0000-0000-000081410000}"/>
    <cellStyle name="Explanatory Text 16" xfId="16267" xr:uid="{00000000-0005-0000-0000-000082410000}"/>
    <cellStyle name="Explanatory Text 16 2" xfId="16268" xr:uid="{00000000-0005-0000-0000-000083410000}"/>
    <cellStyle name="Explanatory Text 16 3" xfId="16269" xr:uid="{00000000-0005-0000-0000-000084410000}"/>
    <cellStyle name="Explanatory Text 16 4" xfId="16270" xr:uid="{00000000-0005-0000-0000-000085410000}"/>
    <cellStyle name="Explanatory Text 17" xfId="16271" xr:uid="{00000000-0005-0000-0000-000086410000}"/>
    <cellStyle name="Explanatory Text 17 2" xfId="16272" xr:uid="{00000000-0005-0000-0000-000087410000}"/>
    <cellStyle name="Explanatory Text 17 3" xfId="16273" xr:uid="{00000000-0005-0000-0000-000088410000}"/>
    <cellStyle name="Explanatory Text 17 4" xfId="16274" xr:uid="{00000000-0005-0000-0000-000089410000}"/>
    <cellStyle name="Explanatory Text 18" xfId="16275" xr:uid="{00000000-0005-0000-0000-00008A410000}"/>
    <cellStyle name="Explanatory Text 18 2" xfId="16276" xr:uid="{00000000-0005-0000-0000-00008B410000}"/>
    <cellStyle name="Explanatory Text 18 3" xfId="16277" xr:uid="{00000000-0005-0000-0000-00008C410000}"/>
    <cellStyle name="Explanatory Text 18 4" xfId="16278" xr:uid="{00000000-0005-0000-0000-00008D410000}"/>
    <cellStyle name="Explanatory Text 19" xfId="16279" xr:uid="{00000000-0005-0000-0000-00008E410000}"/>
    <cellStyle name="Explanatory Text 19 2" xfId="16280" xr:uid="{00000000-0005-0000-0000-00008F410000}"/>
    <cellStyle name="Explanatory Text 19 3" xfId="16281" xr:uid="{00000000-0005-0000-0000-000090410000}"/>
    <cellStyle name="Explanatory Text 19 4" xfId="16282" xr:uid="{00000000-0005-0000-0000-000091410000}"/>
    <cellStyle name="Explanatory Text 2" xfId="16283" xr:uid="{00000000-0005-0000-0000-000092410000}"/>
    <cellStyle name="Explanatory Text 2 2" xfId="16284" xr:uid="{00000000-0005-0000-0000-000093410000}"/>
    <cellStyle name="Explanatory Text 2 2 2" xfId="16285" xr:uid="{00000000-0005-0000-0000-000094410000}"/>
    <cellStyle name="Explanatory Text 2 2 3" xfId="16286" xr:uid="{00000000-0005-0000-0000-000095410000}"/>
    <cellStyle name="Explanatory Text 2 2 4" xfId="16287" xr:uid="{00000000-0005-0000-0000-000096410000}"/>
    <cellStyle name="Explanatory Text 2 3" xfId="16288" xr:uid="{00000000-0005-0000-0000-000097410000}"/>
    <cellStyle name="Explanatory Text 2 3 2" xfId="16289" xr:uid="{00000000-0005-0000-0000-000098410000}"/>
    <cellStyle name="Explanatory Text 2 3 3" xfId="16290" xr:uid="{00000000-0005-0000-0000-000099410000}"/>
    <cellStyle name="Explanatory Text 2 3 4" xfId="16291" xr:uid="{00000000-0005-0000-0000-00009A410000}"/>
    <cellStyle name="Explanatory Text 2 4" xfId="16292" xr:uid="{00000000-0005-0000-0000-00009B410000}"/>
    <cellStyle name="Explanatory Text 2 4 2" xfId="16293" xr:uid="{00000000-0005-0000-0000-00009C410000}"/>
    <cellStyle name="Explanatory Text 2 4 3" xfId="16294" xr:uid="{00000000-0005-0000-0000-00009D410000}"/>
    <cellStyle name="Explanatory Text 2 4 4" xfId="16295" xr:uid="{00000000-0005-0000-0000-00009E410000}"/>
    <cellStyle name="Explanatory Text 2 5" xfId="16296" xr:uid="{00000000-0005-0000-0000-00009F410000}"/>
    <cellStyle name="Explanatory Text 2 6" xfId="16297" xr:uid="{00000000-0005-0000-0000-0000A0410000}"/>
    <cellStyle name="Explanatory Text 2 7" xfId="16298" xr:uid="{00000000-0005-0000-0000-0000A1410000}"/>
    <cellStyle name="Explanatory Text 2 8" xfId="16299" xr:uid="{00000000-0005-0000-0000-0000A2410000}"/>
    <cellStyle name="Explanatory Text 20" xfId="16300" xr:uid="{00000000-0005-0000-0000-0000A3410000}"/>
    <cellStyle name="Explanatory Text 20 2" xfId="16301" xr:uid="{00000000-0005-0000-0000-0000A4410000}"/>
    <cellStyle name="Explanatory Text 20 3" xfId="16302" xr:uid="{00000000-0005-0000-0000-0000A5410000}"/>
    <cellStyle name="Explanatory Text 20 4" xfId="16303" xr:uid="{00000000-0005-0000-0000-0000A6410000}"/>
    <cellStyle name="Explanatory Text 21" xfId="16304" xr:uid="{00000000-0005-0000-0000-0000A7410000}"/>
    <cellStyle name="Explanatory Text 21 2" xfId="16305" xr:uid="{00000000-0005-0000-0000-0000A8410000}"/>
    <cellStyle name="Explanatory Text 21 3" xfId="16306" xr:uid="{00000000-0005-0000-0000-0000A9410000}"/>
    <cellStyle name="Explanatory Text 21 4" xfId="16307" xr:uid="{00000000-0005-0000-0000-0000AA410000}"/>
    <cellStyle name="Explanatory Text 22" xfId="16308" xr:uid="{00000000-0005-0000-0000-0000AB410000}"/>
    <cellStyle name="Explanatory Text 22 2" xfId="16309" xr:uid="{00000000-0005-0000-0000-0000AC410000}"/>
    <cellStyle name="Explanatory Text 22 3" xfId="16310" xr:uid="{00000000-0005-0000-0000-0000AD410000}"/>
    <cellStyle name="Explanatory Text 22 4" xfId="16311" xr:uid="{00000000-0005-0000-0000-0000AE410000}"/>
    <cellStyle name="Explanatory Text 23" xfId="16312" xr:uid="{00000000-0005-0000-0000-0000AF410000}"/>
    <cellStyle name="Explanatory Text 23 2" xfId="16313" xr:uid="{00000000-0005-0000-0000-0000B0410000}"/>
    <cellStyle name="Explanatory Text 23 3" xfId="16314" xr:uid="{00000000-0005-0000-0000-0000B1410000}"/>
    <cellStyle name="Explanatory Text 23 4" xfId="16315" xr:uid="{00000000-0005-0000-0000-0000B2410000}"/>
    <cellStyle name="Explanatory Text 24" xfId="16316" xr:uid="{00000000-0005-0000-0000-0000B3410000}"/>
    <cellStyle name="Explanatory Text 24 2" xfId="16317" xr:uid="{00000000-0005-0000-0000-0000B4410000}"/>
    <cellStyle name="Explanatory Text 24 3" xfId="16318" xr:uid="{00000000-0005-0000-0000-0000B5410000}"/>
    <cellStyle name="Explanatory Text 24 4" xfId="16319" xr:uid="{00000000-0005-0000-0000-0000B6410000}"/>
    <cellStyle name="Explanatory Text 25" xfId="16320" xr:uid="{00000000-0005-0000-0000-0000B7410000}"/>
    <cellStyle name="Explanatory Text 25 2" xfId="16321" xr:uid="{00000000-0005-0000-0000-0000B8410000}"/>
    <cellStyle name="Explanatory Text 25 3" xfId="16322" xr:uid="{00000000-0005-0000-0000-0000B9410000}"/>
    <cellStyle name="Explanatory Text 25 4" xfId="16323" xr:uid="{00000000-0005-0000-0000-0000BA410000}"/>
    <cellStyle name="Explanatory Text 26" xfId="16324" xr:uid="{00000000-0005-0000-0000-0000BB410000}"/>
    <cellStyle name="Explanatory Text 26 2" xfId="16325" xr:uid="{00000000-0005-0000-0000-0000BC410000}"/>
    <cellStyle name="Explanatory Text 26 3" xfId="16326" xr:uid="{00000000-0005-0000-0000-0000BD410000}"/>
    <cellStyle name="Explanatory Text 26 4" xfId="16327" xr:uid="{00000000-0005-0000-0000-0000BE410000}"/>
    <cellStyle name="Explanatory Text 27" xfId="16328" xr:uid="{00000000-0005-0000-0000-0000BF410000}"/>
    <cellStyle name="Explanatory Text 27 2" xfId="16329" xr:uid="{00000000-0005-0000-0000-0000C0410000}"/>
    <cellStyle name="Explanatory Text 27 3" xfId="16330" xr:uid="{00000000-0005-0000-0000-0000C1410000}"/>
    <cellStyle name="Explanatory Text 27 4" xfId="16331" xr:uid="{00000000-0005-0000-0000-0000C2410000}"/>
    <cellStyle name="Explanatory Text 28" xfId="16332" xr:uid="{00000000-0005-0000-0000-0000C3410000}"/>
    <cellStyle name="Explanatory Text 28 2" xfId="16333" xr:uid="{00000000-0005-0000-0000-0000C4410000}"/>
    <cellStyle name="Explanatory Text 28 3" xfId="16334" xr:uid="{00000000-0005-0000-0000-0000C5410000}"/>
    <cellStyle name="Explanatory Text 28 4" xfId="16335" xr:uid="{00000000-0005-0000-0000-0000C6410000}"/>
    <cellStyle name="Explanatory Text 29" xfId="16336" xr:uid="{00000000-0005-0000-0000-0000C7410000}"/>
    <cellStyle name="Explanatory Text 29 2" xfId="16337" xr:uid="{00000000-0005-0000-0000-0000C8410000}"/>
    <cellStyle name="Explanatory Text 29 3" xfId="16338" xr:uid="{00000000-0005-0000-0000-0000C9410000}"/>
    <cellStyle name="Explanatory Text 29 4" xfId="16339" xr:uid="{00000000-0005-0000-0000-0000CA410000}"/>
    <cellStyle name="Explanatory Text 3" xfId="16340" xr:uid="{00000000-0005-0000-0000-0000CB410000}"/>
    <cellStyle name="Explanatory Text 3 2" xfId="16341" xr:uid="{00000000-0005-0000-0000-0000CC410000}"/>
    <cellStyle name="Explanatory Text 3 2 2" xfId="16342" xr:uid="{00000000-0005-0000-0000-0000CD410000}"/>
    <cellStyle name="Explanatory Text 3 2 3" xfId="16343" xr:uid="{00000000-0005-0000-0000-0000CE410000}"/>
    <cellStyle name="Explanatory Text 3 2 4" xfId="16344" xr:uid="{00000000-0005-0000-0000-0000CF410000}"/>
    <cellStyle name="Explanatory Text 3 3" xfId="16345" xr:uid="{00000000-0005-0000-0000-0000D0410000}"/>
    <cellStyle name="Explanatory Text 3 3 2" xfId="16346" xr:uid="{00000000-0005-0000-0000-0000D1410000}"/>
    <cellStyle name="Explanatory Text 3 3 3" xfId="16347" xr:uid="{00000000-0005-0000-0000-0000D2410000}"/>
    <cellStyle name="Explanatory Text 3 3 4" xfId="16348" xr:uid="{00000000-0005-0000-0000-0000D3410000}"/>
    <cellStyle name="Explanatory Text 3 4" xfId="16349" xr:uid="{00000000-0005-0000-0000-0000D4410000}"/>
    <cellStyle name="Explanatory Text 3 4 2" xfId="16350" xr:uid="{00000000-0005-0000-0000-0000D5410000}"/>
    <cellStyle name="Explanatory Text 3 4 3" xfId="16351" xr:uid="{00000000-0005-0000-0000-0000D6410000}"/>
    <cellStyle name="Explanatory Text 3 4 4" xfId="16352" xr:uid="{00000000-0005-0000-0000-0000D7410000}"/>
    <cellStyle name="Explanatory Text 3 5" xfId="16353" xr:uid="{00000000-0005-0000-0000-0000D8410000}"/>
    <cellStyle name="Explanatory Text 3 6" xfId="16354" xr:uid="{00000000-0005-0000-0000-0000D9410000}"/>
    <cellStyle name="Explanatory Text 3 7" xfId="16355" xr:uid="{00000000-0005-0000-0000-0000DA410000}"/>
    <cellStyle name="Explanatory Text 3 8" xfId="16356" xr:uid="{00000000-0005-0000-0000-0000DB410000}"/>
    <cellStyle name="Explanatory Text 30" xfId="16357" xr:uid="{00000000-0005-0000-0000-0000DC410000}"/>
    <cellStyle name="Explanatory Text 31" xfId="16358" xr:uid="{00000000-0005-0000-0000-0000DD410000}"/>
    <cellStyle name="Explanatory Text 32" xfId="16359" xr:uid="{00000000-0005-0000-0000-0000DE410000}"/>
    <cellStyle name="Explanatory Text 4" xfId="16360" xr:uid="{00000000-0005-0000-0000-0000DF410000}"/>
    <cellStyle name="Explanatory Text 4 2" xfId="16361" xr:uid="{00000000-0005-0000-0000-0000E0410000}"/>
    <cellStyle name="Explanatory Text 4 3" xfId="16362" xr:uid="{00000000-0005-0000-0000-0000E1410000}"/>
    <cellStyle name="Explanatory Text 4 4" xfId="16363" xr:uid="{00000000-0005-0000-0000-0000E2410000}"/>
    <cellStyle name="Explanatory Text 4 5" xfId="16364" xr:uid="{00000000-0005-0000-0000-0000E3410000}"/>
    <cellStyle name="Explanatory Text 5" xfId="16365" xr:uid="{00000000-0005-0000-0000-0000E4410000}"/>
    <cellStyle name="Explanatory Text 5 2" xfId="16366" xr:uid="{00000000-0005-0000-0000-0000E5410000}"/>
    <cellStyle name="Explanatory Text 5 3" xfId="16367" xr:uid="{00000000-0005-0000-0000-0000E6410000}"/>
    <cellStyle name="Explanatory Text 5 4" xfId="16368" xr:uid="{00000000-0005-0000-0000-0000E7410000}"/>
    <cellStyle name="Explanatory Text 5 5" xfId="16369" xr:uid="{00000000-0005-0000-0000-0000E8410000}"/>
    <cellStyle name="Explanatory Text 6" xfId="16370" xr:uid="{00000000-0005-0000-0000-0000E9410000}"/>
    <cellStyle name="Explanatory Text 6 2" xfId="16371" xr:uid="{00000000-0005-0000-0000-0000EA410000}"/>
    <cellStyle name="Explanatory Text 6 3" xfId="16372" xr:uid="{00000000-0005-0000-0000-0000EB410000}"/>
    <cellStyle name="Explanatory Text 6 4" xfId="16373" xr:uid="{00000000-0005-0000-0000-0000EC410000}"/>
    <cellStyle name="Explanatory Text 6 5" xfId="16374" xr:uid="{00000000-0005-0000-0000-0000ED410000}"/>
    <cellStyle name="Explanatory Text 7" xfId="16375" xr:uid="{00000000-0005-0000-0000-0000EE410000}"/>
    <cellStyle name="Explanatory Text 7 2" xfId="16376" xr:uid="{00000000-0005-0000-0000-0000EF410000}"/>
    <cellStyle name="Explanatory Text 7 3" xfId="16377" xr:uid="{00000000-0005-0000-0000-0000F0410000}"/>
    <cellStyle name="Explanatory Text 7 4" xfId="16378" xr:uid="{00000000-0005-0000-0000-0000F1410000}"/>
    <cellStyle name="Explanatory Text 7 5" xfId="16379" xr:uid="{00000000-0005-0000-0000-0000F2410000}"/>
    <cellStyle name="Explanatory Text 8" xfId="16380" xr:uid="{00000000-0005-0000-0000-0000F3410000}"/>
    <cellStyle name="Explanatory Text 8 2" xfId="16381" xr:uid="{00000000-0005-0000-0000-0000F4410000}"/>
    <cellStyle name="Explanatory Text 8 3" xfId="16382" xr:uid="{00000000-0005-0000-0000-0000F5410000}"/>
    <cellStyle name="Explanatory Text 8 4" xfId="16383" xr:uid="{00000000-0005-0000-0000-0000F6410000}"/>
    <cellStyle name="Explanatory Text 8 5" xfId="16384" xr:uid="{00000000-0005-0000-0000-0000F7410000}"/>
    <cellStyle name="Explanatory Text 9" xfId="16385" xr:uid="{00000000-0005-0000-0000-0000F8410000}"/>
    <cellStyle name="Explanatory Text 9 2" xfId="16386" xr:uid="{00000000-0005-0000-0000-0000F9410000}"/>
    <cellStyle name="Explanatory Text 9 3" xfId="16387" xr:uid="{00000000-0005-0000-0000-0000FA410000}"/>
    <cellStyle name="Explanatory Text 9 4" xfId="16388" xr:uid="{00000000-0005-0000-0000-0000FB410000}"/>
    <cellStyle name="Fixed" xfId="16389" xr:uid="{00000000-0005-0000-0000-0000FC410000}"/>
    <cellStyle name="Fixed 2" xfId="16390" xr:uid="{00000000-0005-0000-0000-0000FD410000}"/>
    <cellStyle name="Fixed 2 2" xfId="16391" xr:uid="{00000000-0005-0000-0000-0000FE410000}"/>
    <cellStyle name="Fixed 2 3" xfId="16392" xr:uid="{00000000-0005-0000-0000-0000FF410000}"/>
    <cellStyle name="Fixed 2 4" xfId="16393" xr:uid="{00000000-0005-0000-0000-000000420000}"/>
    <cellStyle name="Fixed 3" xfId="16394" xr:uid="{00000000-0005-0000-0000-000001420000}"/>
    <cellStyle name="Fixed 4" xfId="16395" xr:uid="{00000000-0005-0000-0000-000002420000}"/>
    <cellStyle name="Fixed 5" xfId="16396" xr:uid="{00000000-0005-0000-0000-000003420000}"/>
    <cellStyle name="Fixlong" xfId="16397" xr:uid="{00000000-0005-0000-0000-000004420000}"/>
    <cellStyle name="Fixlong 2" xfId="16398" xr:uid="{00000000-0005-0000-0000-000005420000}"/>
    <cellStyle name="Fixlong 3" xfId="16399" xr:uid="{00000000-0005-0000-0000-000006420000}"/>
    <cellStyle name="Fixlong 4" xfId="16400" xr:uid="{00000000-0005-0000-0000-000007420000}"/>
    <cellStyle name="Footnote" xfId="16401" xr:uid="{00000000-0005-0000-0000-000008420000}"/>
    <cellStyle name="Footnote 2" xfId="16402" xr:uid="{00000000-0005-0000-0000-000009420000}"/>
    <cellStyle name="Footnote 3" xfId="16403" xr:uid="{00000000-0005-0000-0000-00000A420000}"/>
    <cellStyle name="Footnote 4" xfId="16404" xr:uid="{00000000-0005-0000-0000-00000B420000}"/>
    <cellStyle name="Footnote 5" xfId="16405" xr:uid="{00000000-0005-0000-0000-00000C420000}"/>
    <cellStyle name="Footnote 6" xfId="16406" xr:uid="{00000000-0005-0000-0000-00000D420000}"/>
    <cellStyle name="Footnotes" xfId="16407" xr:uid="{00000000-0005-0000-0000-00000E420000}"/>
    <cellStyle name="Footnotes 2" xfId="16408" xr:uid="{00000000-0005-0000-0000-00000F420000}"/>
    <cellStyle name="Footnotes 3" xfId="16409" xr:uid="{00000000-0005-0000-0000-000010420000}"/>
    <cellStyle name="Footnotes 4" xfId="16410" xr:uid="{00000000-0005-0000-0000-000011420000}"/>
    <cellStyle name="Footnotes 5" xfId="16411" xr:uid="{00000000-0005-0000-0000-000012420000}"/>
    <cellStyle name="fy_eps$" xfId="16412" xr:uid="{00000000-0005-0000-0000-000013420000}"/>
    <cellStyle name="g_rate" xfId="16413" xr:uid="{00000000-0005-0000-0000-000014420000}"/>
    <cellStyle name="g_rate 2" xfId="16414" xr:uid="{00000000-0005-0000-0000-000015420000}"/>
    <cellStyle name="g_rate 3" xfId="16415" xr:uid="{00000000-0005-0000-0000-000016420000}"/>
    <cellStyle name="g_rate 4" xfId="16416" xr:uid="{00000000-0005-0000-0000-000017420000}"/>
    <cellStyle name="g_rate 5" xfId="16417" xr:uid="{00000000-0005-0000-0000-000018420000}"/>
    <cellStyle name="g_rate 6" xfId="16418" xr:uid="{00000000-0005-0000-0000-000019420000}"/>
    <cellStyle name="g_rate_090105 CAPEX J1 J4" xfId="16419" xr:uid="{00000000-0005-0000-0000-00001A420000}"/>
    <cellStyle name="g_rate_090105 CAPEX J1 J4 2" xfId="16420" xr:uid="{00000000-0005-0000-0000-00001B420000}"/>
    <cellStyle name="g_rate_090105 CAPEX J1 J4 3" xfId="16421" xr:uid="{00000000-0005-0000-0000-00001C420000}"/>
    <cellStyle name="g_rate_090105 CAPEX J1 J4 4" xfId="16422" xr:uid="{00000000-0005-0000-0000-00001D420000}"/>
    <cellStyle name="g_rate_090105 CAPEX J1 J4 5" xfId="16423" xr:uid="{00000000-0005-0000-0000-00001E420000}"/>
    <cellStyle name="g_rate_090105 CAPEX J1 J4 6" xfId="16424" xr:uid="{00000000-0005-0000-0000-00001F420000}"/>
    <cellStyle name="g_rate_090203 OH LAB 08 VS 09 CON AHORROS J1 J4 ENVIAR" xfId="16425" xr:uid="{00000000-0005-0000-0000-000020420000}"/>
    <cellStyle name="g_rate_090203 OH LAB 08 VS 09 CON AHORROS J1 J4 ENVIAR 2" xfId="16426" xr:uid="{00000000-0005-0000-0000-000021420000}"/>
    <cellStyle name="g_rate_090203 OH LAB 08 VS 09 CON AHORROS J1 J4 ENVIAR 3" xfId="16427" xr:uid="{00000000-0005-0000-0000-000022420000}"/>
    <cellStyle name="g_rate_090203 OH LAB 08 VS 09 CON AHORROS J1 J4 ENVIAR 4" xfId="16428" xr:uid="{00000000-0005-0000-0000-000023420000}"/>
    <cellStyle name="g_rate_090203 OH LAB 08 VS 09 CON AHORROS J1 J4 ENVIAR 5" xfId="16429" xr:uid="{00000000-0005-0000-0000-000024420000}"/>
    <cellStyle name="g_rate_090203 OH LAB 08 VS 09 CON AHORROS J1 J4 ENVIAR 6" xfId="16430" xr:uid="{00000000-0005-0000-0000-000025420000}"/>
    <cellStyle name="g_rate_AHORROS FORMATO SIX SIGMA POR JUAN" xfId="16431" xr:uid="{00000000-0005-0000-0000-000026420000}"/>
    <cellStyle name="g_rate_AHORROS FORMATO SIX SIGMA POR JUAN 2" xfId="16432" xr:uid="{00000000-0005-0000-0000-000027420000}"/>
    <cellStyle name="g_rate_AHORROS FORMATO SIX SIGMA POR JUAN 3" xfId="16433" xr:uid="{00000000-0005-0000-0000-000028420000}"/>
    <cellStyle name="g_rate_AHORROS FORMATO SIX SIGMA POR JUAN 4" xfId="16434" xr:uid="{00000000-0005-0000-0000-000029420000}"/>
    <cellStyle name="g_rate_AHORROS FORMATO SIX SIGMA POR JUAN 5" xfId="16435" xr:uid="{00000000-0005-0000-0000-00002A420000}"/>
    <cellStyle name="g_rate_AHORROS FORMATO SIX SIGMA POR JUAN 6" xfId="16436" xr:uid="{00000000-0005-0000-0000-00002B420000}"/>
    <cellStyle name="g_rate_Book4" xfId="16437" xr:uid="{00000000-0005-0000-0000-00002C420000}"/>
    <cellStyle name="g_rate_Book4 2" xfId="16438" xr:uid="{00000000-0005-0000-0000-00002D420000}"/>
    <cellStyle name="g_rate_Book4 3" xfId="16439" xr:uid="{00000000-0005-0000-0000-00002E420000}"/>
    <cellStyle name="g_rate_Book4 4" xfId="16440" xr:uid="{00000000-0005-0000-0000-00002F420000}"/>
    <cellStyle name="g_rate_Book4 5" xfId="16441" xr:uid="{00000000-0005-0000-0000-000030420000}"/>
    <cellStyle name="g_rate_Book4 6" xfId="16442" xr:uid="{00000000-0005-0000-0000-000031420000}"/>
    <cellStyle name="g_rate_Budget IS 2009 IM" xfId="16443" xr:uid="{00000000-0005-0000-0000-000032420000}"/>
    <cellStyle name="g_rate_Budget IS 2009 IM 2" xfId="16444" xr:uid="{00000000-0005-0000-0000-000033420000}"/>
    <cellStyle name="g_rate_Budget IS 2009 IM 3" xfId="16445" xr:uid="{00000000-0005-0000-0000-000034420000}"/>
    <cellStyle name="g_rate_Budget IS 2009 IM 4" xfId="16446" xr:uid="{00000000-0005-0000-0000-000035420000}"/>
    <cellStyle name="g_rate_Budget IS 2009 IM 5" xfId="16447" xr:uid="{00000000-0005-0000-0000-000036420000}"/>
    <cellStyle name="g_rate_Budget IS 2009 IM 6" xfId="16448" xr:uid="{00000000-0005-0000-0000-000037420000}"/>
    <cellStyle name="g_rate_Cost Reduction v-plants v2 ultimo" xfId="16449" xr:uid="{00000000-0005-0000-0000-000038420000}"/>
    <cellStyle name="g_rate_Cost Reduction v-plants v2 ultimo 2" xfId="16450" xr:uid="{00000000-0005-0000-0000-000039420000}"/>
    <cellStyle name="g_rate_Cost Reduction v-plants v2 ultimo 3" xfId="16451" xr:uid="{00000000-0005-0000-0000-00003A420000}"/>
    <cellStyle name="g_rate_Cost Reduction v-plants v2 ultimo 4" xfId="16452" xr:uid="{00000000-0005-0000-0000-00003B420000}"/>
    <cellStyle name="g_rate_Cost Reduction v-plants v2 ultimo 5" xfId="16453" xr:uid="{00000000-0005-0000-0000-00003C420000}"/>
    <cellStyle name="g_rate_Cost Reduction v-plants v2 ultimo 6" xfId="16454" xr:uid="{00000000-0005-0000-0000-00003D420000}"/>
    <cellStyle name="g_rate_DCF-Valuation Support" xfId="16455" xr:uid="{00000000-0005-0000-0000-00003E420000}"/>
    <cellStyle name="g_rate_DCF-Valuation Support 2" xfId="16456" xr:uid="{00000000-0005-0000-0000-00003F420000}"/>
    <cellStyle name="g_rate_DCF-Valuation Support 3" xfId="16457" xr:uid="{00000000-0005-0000-0000-000040420000}"/>
    <cellStyle name="g_rate_DCF-Valuation Support 4" xfId="16458" xr:uid="{00000000-0005-0000-0000-000041420000}"/>
    <cellStyle name="g_rate_DCF-Valuation Support 5" xfId="16459" xr:uid="{00000000-0005-0000-0000-000042420000}"/>
    <cellStyle name="g_rate_DCF-Valuation Support 6" xfId="16460" xr:uid="{00000000-0005-0000-0000-000043420000}"/>
    <cellStyle name="g_rate_DCF-Valuation Support_090105 CAPEX J1 J4" xfId="16461" xr:uid="{00000000-0005-0000-0000-000044420000}"/>
    <cellStyle name="g_rate_DCF-Valuation Support_090105 CAPEX J1 J4 2" xfId="16462" xr:uid="{00000000-0005-0000-0000-000045420000}"/>
    <cellStyle name="g_rate_DCF-Valuation Support_090105 CAPEX J1 J4 3" xfId="16463" xr:uid="{00000000-0005-0000-0000-000046420000}"/>
    <cellStyle name="g_rate_DCF-Valuation Support_090105 CAPEX J1 J4 4" xfId="16464" xr:uid="{00000000-0005-0000-0000-000047420000}"/>
    <cellStyle name="g_rate_DCF-Valuation Support_090105 CAPEX J1 J4 5" xfId="16465" xr:uid="{00000000-0005-0000-0000-000048420000}"/>
    <cellStyle name="g_rate_DCF-Valuation Support_090105 CAPEX J1 J4 6" xfId="16466" xr:uid="{00000000-0005-0000-0000-000049420000}"/>
    <cellStyle name="g_rate_DCF-Valuation Support_090203 OH LAB 08 VS 09 CON AHORROS J1 J4 ENVIAR" xfId="16467" xr:uid="{00000000-0005-0000-0000-00004A420000}"/>
    <cellStyle name="g_rate_DCF-Valuation Support_090203 OH LAB 08 VS 09 CON AHORROS J1 J4 ENVIAR 2" xfId="16468" xr:uid="{00000000-0005-0000-0000-00004B420000}"/>
    <cellStyle name="g_rate_DCF-Valuation Support_090203 OH LAB 08 VS 09 CON AHORROS J1 J4 ENVIAR 3" xfId="16469" xr:uid="{00000000-0005-0000-0000-00004C420000}"/>
    <cellStyle name="g_rate_DCF-Valuation Support_090203 OH LAB 08 VS 09 CON AHORROS J1 J4 ENVIAR 4" xfId="16470" xr:uid="{00000000-0005-0000-0000-00004D420000}"/>
    <cellStyle name="g_rate_DCF-Valuation Support_090203 OH LAB 08 VS 09 CON AHORROS J1 J4 ENVIAR 5" xfId="16471" xr:uid="{00000000-0005-0000-0000-00004E420000}"/>
    <cellStyle name="g_rate_DCF-Valuation Support_090203 OH LAB 08 VS 09 CON AHORROS J1 J4 ENVIAR 6" xfId="16472" xr:uid="{00000000-0005-0000-0000-00004F420000}"/>
    <cellStyle name="g_rate_DCF-Valuation Support_AHORROS FORMATO SIX SIGMA POR JUAN" xfId="16473" xr:uid="{00000000-0005-0000-0000-000050420000}"/>
    <cellStyle name="g_rate_DCF-Valuation Support_AHORROS FORMATO SIX SIGMA POR JUAN 2" xfId="16474" xr:uid="{00000000-0005-0000-0000-000051420000}"/>
    <cellStyle name="g_rate_DCF-Valuation Support_AHORROS FORMATO SIX SIGMA POR JUAN 3" xfId="16475" xr:uid="{00000000-0005-0000-0000-000052420000}"/>
    <cellStyle name="g_rate_DCF-Valuation Support_AHORROS FORMATO SIX SIGMA POR JUAN 4" xfId="16476" xr:uid="{00000000-0005-0000-0000-000053420000}"/>
    <cellStyle name="g_rate_DCF-Valuation Support_AHORROS FORMATO SIX SIGMA POR JUAN 5" xfId="16477" xr:uid="{00000000-0005-0000-0000-000054420000}"/>
    <cellStyle name="g_rate_DCF-Valuation Support_AHORROS FORMATO SIX SIGMA POR JUAN 6" xfId="16478" xr:uid="{00000000-0005-0000-0000-000055420000}"/>
    <cellStyle name="g_rate_DCF-Valuation Support_Book4" xfId="16479" xr:uid="{00000000-0005-0000-0000-000056420000}"/>
    <cellStyle name="g_rate_DCF-Valuation Support_Book4 2" xfId="16480" xr:uid="{00000000-0005-0000-0000-000057420000}"/>
    <cellStyle name="g_rate_DCF-Valuation Support_Book4 3" xfId="16481" xr:uid="{00000000-0005-0000-0000-000058420000}"/>
    <cellStyle name="g_rate_DCF-Valuation Support_Book4 4" xfId="16482" xr:uid="{00000000-0005-0000-0000-000059420000}"/>
    <cellStyle name="g_rate_DCF-Valuation Support_Book4 5" xfId="16483" xr:uid="{00000000-0005-0000-0000-00005A420000}"/>
    <cellStyle name="g_rate_DCF-Valuation Support_Book4 6" xfId="16484" xr:uid="{00000000-0005-0000-0000-00005B420000}"/>
    <cellStyle name="g_rate_DCF-Valuation Support_Budget IS 2009 IM" xfId="16485" xr:uid="{00000000-0005-0000-0000-00005C420000}"/>
    <cellStyle name="g_rate_DCF-Valuation Support_Budget IS 2009 IM 2" xfId="16486" xr:uid="{00000000-0005-0000-0000-00005D420000}"/>
    <cellStyle name="g_rate_DCF-Valuation Support_Budget IS 2009 IM 3" xfId="16487" xr:uid="{00000000-0005-0000-0000-00005E420000}"/>
    <cellStyle name="g_rate_DCF-Valuation Support_Budget IS 2009 IM 4" xfId="16488" xr:uid="{00000000-0005-0000-0000-00005F420000}"/>
    <cellStyle name="g_rate_DCF-Valuation Support_Budget IS 2009 IM 5" xfId="16489" xr:uid="{00000000-0005-0000-0000-000060420000}"/>
    <cellStyle name="g_rate_DCF-Valuation Support_Budget IS 2009 IM 6" xfId="16490" xr:uid="{00000000-0005-0000-0000-000061420000}"/>
    <cellStyle name="g_rate_DCF-Valuation Support_Cost Reduction v-plants v2 ultimo" xfId="16491" xr:uid="{00000000-0005-0000-0000-000062420000}"/>
    <cellStyle name="g_rate_DCF-Valuation Support_Cost Reduction v-plants v2 ultimo 2" xfId="16492" xr:uid="{00000000-0005-0000-0000-000063420000}"/>
    <cellStyle name="g_rate_DCF-Valuation Support_Cost Reduction v-plants v2 ultimo 3" xfId="16493" xr:uid="{00000000-0005-0000-0000-000064420000}"/>
    <cellStyle name="g_rate_DCF-Valuation Support_Cost Reduction v-plants v2 ultimo 4" xfId="16494" xr:uid="{00000000-0005-0000-0000-000065420000}"/>
    <cellStyle name="g_rate_DCF-Valuation Support_Cost Reduction v-plants v2 ultimo 5" xfId="16495" xr:uid="{00000000-0005-0000-0000-000066420000}"/>
    <cellStyle name="g_rate_DCF-Valuation Support_Cost Reduction v-plants v2 ultimo 6" xfId="16496" xr:uid="{00000000-0005-0000-0000-000067420000}"/>
    <cellStyle name="g_rate_DCF-Valuation Support_Q1 Forecast rMat1 (Mitch)" xfId="16497" xr:uid="{00000000-0005-0000-0000-000068420000}"/>
    <cellStyle name="g_rate_DCF-Valuation Support_Q1 Forecast rMat1 (Mitch) 2" xfId="16498" xr:uid="{00000000-0005-0000-0000-000069420000}"/>
    <cellStyle name="g_rate_DCF-Valuation Support_Q1 Forecast rMat1 (Mitch) 3" xfId="16499" xr:uid="{00000000-0005-0000-0000-00006A420000}"/>
    <cellStyle name="g_rate_DCF-Valuation Support_Q1 Forecast rMat1 (Mitch) 4" xfId="16500" xr:uid="{00000000-0005-0000-0000-00006B420000}"/>
    <cellStyle name="g_rate_DCF-Valuation Support_Q1 Forecast rMat1 (Mitch) 5" xfId="16501" xr:uid="{00000000-0005-0000-0000-00006C420000}"/>
    <cellStyle name="g_rate_DCF-Valuation Support_Q1 Forecast rMat1 (Mitch) 6" xfId="16502" xr:uid="{00000000-0005-0000-0000-00006D420000}"/>
    <cellStyle name="g_rate_DCF-Valuation Support_Q1 Forecast rMat1 (Mitch)_1" xfId="16503" xr:uid="{00000000-0005-0000-0000-00006E420000}"/>
    <cellStyle name="g_rate_DCF-Valuation Support_Q1 Forecast rMat1 (Mitch)_1 2" xfId="16504" xr:uid="{00000000-0005-0000-0000-00006F420000}"/>
    <cellStyle name="g_rate_DCF-Valuation Support_Q1 Forecast rMat1 (Mitch)_1 3" xfId="16505" xr:uid="{00000000-0005-0000-0000-000070420000}"/>
    <cellStyle name="g_rate_DCF-Valuation Support_Q1 Forecast rMat1 (Mitch)_1 4" xfId="16506" xr:uid="{00000000-0005-0000-0000-000071420000}"/>
    <cellStyle name="g_rate_DCF-Valuation Support_Q1 Forecast rMat1 (Mitch)_1 5" xfId="16507" xr:uid="{00000000-0005-0000-0000-000072420000}"/>
    <cellStyle name="g_rate_DCF-Valuation Support_Q1 Forecast rMat1 (Mitch)_1 6" xfId="16508" xr:uid="{00000000-0005-0000-0000-000073420000}"/>
    <cellStyle name="g_rate_DCF-Valuation Support_Q1 Forecast rMat1 (Mitch)_2" xfId="16509" xr:uid="{00000000-0005-0000-0000-000074420000}"/>
    <cellStyle name="g_rate_DCF-Valuation Support_Q1 Forecast rMat1 (Mitch)_2 2" xfId="16510" xr:uid="{00000000-0005-0000-0000-000075420000}"/>
    <cellStyle name="g_rate_DCF-Valuation Support_Q1 Forecast rMat1 (Mitch)_2 3" xfId="16511" xr:uid="{00000000-0005-0000-0000-000076420000}"/>
    <cellStyle name="g_rate_DCF-Valuation Support_Q1 Forecast rMat1 (Mitch)_2 4" xfId="16512" xr:uid="{00000000-0005-0000-0000-000077420000}"/>
    <cellStyle name="g_rate_DCF-Valuation Support_Q1 Forecast rMat1 (Mitch)_2 5" xfId="16513" xr:uid="{00000000-0005-0000-0000-000078420000}"/>
    <cellStyle name="g_rate_DCF-Valuation Support_Q1 Forecast rMat1 (Mitch)_2 6" xfId="16514" xr:uid="{00000000-0005-0000-0000-000079420000}"/>
    <cellStyle name="g_rate_DCF-Valuation Support_Xl0000320" xfId="16515" xr:uid="{00000000-0005-0000-0000-00007A420000}"/>
    <cellStyle name="g_rate_DCF-Valuation Support_Xl0000320 2" xfId="16516" xr:uid="{00000000-0005-0000-0000-00007B420000}"/>
    <cellStyle name="g_rate_DCF-Valuation Support_Xl0000320 3" xfId="16517" xr:uid="{00000000-0005-0000-0000-00007C420000}"/>
    <cellStyle name="g_rate_DCF-Valuation Support_Xl0000320 4" xfId="16518" xr:uid="{00000000-0005-0000-0000-00007D420000}"/>
    <cellStyle name="g_rate_DCF-Valuation Support_Xl0000320 5" xfId="16519" xr:uid="{00000000-0005-0000-0000-00007E420000}"/>
    <cellStyle name="g_rate_DCF-Valuation Support_Xl0000320 6" xfId="16520" xr:uid="{00000000-0005-0000-0000-00007F420000}"/>
    <cellStyle name="g_rate_DCF-Valuation Support_Xl0000326" xfId="16521" xr:uid="{00000000-0005-0000-0000-000080420000}"/>
    <cellStyle name="g_rate_DCF-Valuation Support_Xl0000326 2" xfId="16522" xr:uid="{00000000-0005-0000-0000-000081420000}"/>
    <cellStyle name="g_rate_DCF-Valuation Support_Xl0000326 3" xfId="16523" xr:uid="{00000000-0005-0000-0000-000082420000}"/>
    <cellStyle name="g_rate_DCF-Valuation Support_Xl0000326 4" xfId="16524" xr:uid="{00000000-0005-0000-0000-000083420000}"/>
    <cellStyle name="g_rate_DCF-Valuation Support_Xl0000326 5" xfId="16525" xr:uid="{00000000-0005-0000-0000-000084420000}"/>
    <cellStyle name="g_rate_DCF-Valuation Support_Xl0000326 6" xfId="16526" xr:uid="{00000000-0005-0000-0000-000085420000}"/>
    <cellStyle name="g_rate_ICOS-INC" xfId="16527" xr:uid="{00000000-0005-0000-0000-000086420000}"/>
    <cellStyle name="g_rate_ICOS-INC (2)" xfId="16528" xr:uid="{00000000-0005-0000-0000-000087420000}"/>
    <cellStyle name="g_rate_ICOS-INC (2) 2" xfId="16529" xr:uid="{00000000-0005-0000-0000-000088420000}"/>
    <cellStyle name="g_rate_ICOS-INC (2) 3" xfId="16530" xr:uid="{00000000-0005-0000-0000-000089420000}"/>
    <cellStyle name="g_rate_ICOS-INC (2) 4" xfId="16531" xr:uid="{00000000-0005-0000-0000-00008A420000}"/>
    <cellStyle name="g_rate_ICOS-INC (2) 5" xfId="16532" xr:uid="{00000000-0005-0000-0000-00008B420000}"/>
    <cellStyle name="g_rate_ICOS-INC (2) 6" xfId="16533" xr:uid="{00000000-0005-0000-0000-00008C420000}"/>
    <cellStyle name="g_rate_ICOS-INC (2)_090105 CAPEX J1 J4" xfId="16534" xr:uid="{00000000-0005-0000-0000-00008D420000}"/>
    <cellStyle name="g_rate_ICOS-INC (2)_090105 CAPEX J1 J4 2" xfId="16535" xr:uid="{00000000-0005-0000-0000-00008E420000}"/>
    <cellStyle name="g_rate_ICOS-INC (2)_090105 CAPEX J1 J4 3" xfId="16536" xr:uid="{00000000-0005-0000-0000-00008F420000}"/>
    <cellStyle name="g_rate_ICOS-INC (2)_090105 CAPEX J1 J4 4" xfId="16537" xr:uid="{00000000-0005-0000-0000-000090420000}"/>
    <cellStyle name="g_rate_ICOS-INC (2)_090105 CAPEX J1 J4 5" xfId="16538" xr:uid="{00000000-0005-0000-0000-000091420000}"/>
    <cellStyle name="g_rate_ICOS-INC (2)_090105 CAPEX J1 J4 6" xfId="16539" xr:uid="{00000000-0005-0000-0000-000092420000}"/>
    <cellStyle name="g_rate_ICOS-INC (2)_090203 OH LAB 08 VS 09 CON AHORROS J1 J4 ENVIAR" xfId="16540" xr:uid="{00000000-0005-0000-0000-000093420000}"/>
    <cellStyle name="g_rate_ICOS-INC (2)_090203 OH LAB 08 VS 09 CON AHORROS J1 J4 ENVIAR 2" xfId="16541" xr:uid="{00000000-0005-0000-0000-000094420000}"/>
    <cellStyle name="g_rate_ICOS-INC (2)_090203 OH LAB 08 VS 09 CON AHORROS J1 J4 ENVIAR 3" xfId="16542" xr:uid="{00000000-0005-0000-0000-000095420000}"/>
    <cellStyle name="g_rate_ICOS-INC (2)_090203 OH LAB 08 VS 09 CON AHORROS J1 J4 ENVIAR 4" xfId="16543" xr:uid="{00000000-0005-0000-0000-000096420000}"/>
    <cellStyle name="g_rate_ICOS-INC (2)_090203 OH LAB 08 VS 09 CON AHORROS J1 J4 ENVIAR 5" xfId="16544" xr:uid="{00000000-0005-0000-0000-000097420000}"/>
    <cellStyle name="g_rate_ICOS-INC (2)_090203 OH LAB 08 VS 09 CON AHORROS J1 J4 ENVIAR 6" xfId="16545" xr:uid="{00000000-0005-0000-0000-000098420000}"/>
    <cellStyle name="g_rate_ICOS-INC (2)_AHORROS FORMATO SIX SIGMA POR JUAN" xfId="16546" xr:uid="{00000000-0005-0000-0000-000099420000}"/>
    <cellStyle name="g_rate_ICOS-INC (2)_AHORROS FORMATO SIX SIGMA POR JUAN 2" xfId="16547" xr:uid="{00000000-0005-0000-0000-00009A420000}"/>
    <cellStyle name="g_rate_ICOS-INC (2)_AHORROS FORMATO SIX SIGMA POR JUAN 3" xfId="16548" xr:uid="{00000000-0005-0000-0000-00009B420000}"/>
    <cellStyle name="g_rate_ICOS-INC (2)_AHORROS FORMATO SIX SIGMA POR JUAN 4" xfId="16549" xr:uid="{00000000-0005-0000-0000-00009C420000}"/>
    <cellStyle name="g_rate_ICOS-INC (2)_AHORROS FORMATO SIX SIGMA POR JUAN 5" xfId="16550" xr:uid="{00000000-0005-0000-0000-00009D420000}"/>
    <cellStyle name="g_rate_ICOS-INC (2)_AHORROS FORMATO SIX SIGMA POR JUAN 6" xfId="16551" xr:uid="{00000000-0005-0000-0000-00009E420000}"/>
    <cellStyle name="g_rate_ICOS-INC (2)_Book4" xfId="16552" xr:uid="{00000000-0005-0000-0000-00009F420000}"/>
    <cellStyle name="g_rate_ICOS-INC (2)_Book4 2" xfId="16553" xr:uid="{00000000-0005-0000-0000-0000A0420000}"/>
    <cellStyle name="g_rate_ICOS-INC (2)_Book4 3" xfId="16554" xr:uid="{00000000-0005-0000-0000-0000A1420000}"/>
    <cellStyle name="g_rate_ICOS-INC (2)_Book4 4" xfId="16555" xr:uid="{00000000-0005-0000-0000-0000A2420000}"/>
    <cellStyle name="g_rate_ICOS-INC (2)_Book4 5" xfId="16556" xr:uid="{00000000-0005-0000-0000-0000A3420000}"/>
    <cellStyle name="g_rate_ICOS-INC (2)_Book4 6" xfId="16557" xr:uid="{00000000-0005-0000-0000-0000A4420000}"/>
    <cellStyle name="g_rate_ICOS-INC (2)_Budget IS 2009 IM" xfId="16558" xr:uid="{00000000-0005-0000-0000-0000A5420000}"/>
    <cellStyle name="g_rate_ICOS-INC (2)_Budget IS 2009 IM 2" xfId="16559" xr:uid="{00000000-0005-0000-0000-0000A6420000}"/>
    <cellStyle name="g_rate_ICOS-INC (2)_Budget IS 2009 IM 3" xfId="16560" xr:uid="{00000000-0005-0000-0000-0000A7420000}"/>
    <cellStyle name="g_rate_ICOS-INC (2)_Budget IS 2009 IM 4" xfId="16561" xr:uid="{00000000-0005-0000-0000-0000A8420000}"/>
    <cellStyle name="g_rate_ICOS-INC (2)_Budget IS 2009 IM 5" xfId="16562" xr:uid="{00000000-0005-0000-0000-0000A9420000}"/>
    <cellStyle name="g_rate_ICOS-INC (2)_Budget IS 2009 IM 6" xfId="16563" xr:uid="{00000000-0005-0000-0000-0000AA420000}"/>
    <cellStyle name="g_rate_ICOS-INC (2)_Cost Reduction v-plants v2 ultimo" xfId="16564" xr:uid="{00000000-0005-0000-0000-0000AB420000}"/>
    <cellStyle name="g_rate_ICOS-INC (2)_Cost Reduction v-plants v2 ultimo 2" xfId="16565" xr:uid="{00000000-0005-0000-0000-0000AC420000}"/>
    <cellStyle name="g_rate_ICOS-INC (2)_Cost Reduction v-plants v2 ultimo 3" xfId="16566" xr:uid="{00000000-0005-0000-0000-0000AD420000}"/>
    <cellStyle name="g_rate_ICOS-INC (2)_Cost Reduction v-plants v2 ultimo 4" xfId="16567" xr:uid="{00000000-0005-0000-0000-0000AE420000}"/>
    <cellStyle name="g_rate_ICOS-INC (2)_Cost Reduction v-plants v2 ultimo 5" xfId="16568" xr:uid="{00000000-0005-0000-0000-0000AF420000}"/>
    <cellStyle name="g_rate_ICOS-INC (2)_Cost Reduction v-plants v2 ultimo 6" xfId="16569" xr:uid="{00000000-0005-0000-0000-0000B0420000}"/>
    <cellStyle name="g_rate_ICOS-INC (2)_Q1 Forecast rMat1 (Mitch)" xfId="16570" xr:uid="{00000000-0005-0000-0000-0000B1420000}"/>
    <cellStyle name="g_rate_ICOS-INC (2)_Q1 Forecast rMat1 (Mitch) 2" xfId="16571" xr:uid="{00000000-0005-0000-0000-0000B2420000}"/>
    <cellStyle name="g_rate_ICOS-INC (2)_Q1 Forecast rMat1 (Mitch) 3" xfId="16572" xr:uid="{00000000-0005-0000-0000-0000B3420000}"/>
    <cellStyle name="g_rate_ICOS-INC (2)_Q1 Forecast rMat1 (Mitch) 4" xfId="16573" xr:uid="{00000000-0005-0000-0000-0000B4420000}"/>
    <cellStyle name="g_rate_ICOS-INC (2)_Q1 Forecast rMat1 (Mitch) 5" xfId="16574" xr:uid="{00000000-0005-0000-0000-0000B5420000}"/>
    <cellStyle name="g_rate_ICOS-INC (2)_Q1 Forecast rMat1 (Mitch) 6" xfId="16575" xr:uid="{00000000-0005-0000-0000-0000B6420000}"/>
    <cellStyle name="g_rate_ICOS-INC (2)_Q1 Forecast rMat1 (Mitch)_1" xfId="16576" xr:uid="{00000000-0005-0000-0000-0000B7420000}"/>
    <cellStyle name="g_rate_ICOS-INC (2)_Q1 Forecast rMat1 (Mitch)_1 2" xfId="16577" xr:uid="{00000000-0005-0000-0000-0000B8420000}"/>
    <cellStyle name="g_rate_ICOS-INC (2)_Q1 Forecast rMat1 (Mitch)_1 3" xfId="16578" xr:uid="{00000000-0005-0000-0000-0000B9420000}"/>
    <cellStyle name="g_rate_ICOS-INC (2)_Q1 Forecast rMat1 (Mitch)_1 4" xfId="16579" xr:uid="{00000000-0005-0000-0000-0000BA420000}"/>
    <cellStyle name="g_rate_ICOS-INC (2)_Q1 Forecast rMat1 (Mitch)_1 5" xfId="16580" xr:uid="{00000000-0005-0000-0000-0000BB420000}"/>
    <cellStyle name="g_rate_ICOS-INC (2)_Q1 Forecast rMat1 (Mitch)_1 6" xfId="16581" xr:uid="{00000000-0005-0000-0000-0000BC420000}"/>
    <cellStyle name="g_rate_ICOS-INC (2)_Q1 Forecast rMat1 (Mitch)_2" xfId="16582" xr:uid="{00000000-0005-0000-0000-0000BD420000}"/>
    <cellStyle name="g_rate_ICOS-INC (2)_Q1 Forecast rMat1 (Mitch)_2 2" xfId="16583" xr:uid="{00000000-0005-0000-0000-0000BE420000}"/>
    <cellStyle name="g_rate_ICOS-INC (2)_Q1 Forecast rMat1 (Mitch)_2 3" xfId="16584" xr:uid="{00000000-0005-0000-0000-0000BF420000}"/>
    <cellStyle name="g_rate_ICOS-INC (2)_Q1 Forecast rMat1 (Mitch)_2 4" xfId="16585" xr:uid="{00000000-0005-0000-0000-0000C0420000}"/>
    <cellStyle name="g_rate_ICOS-INC (2)_Q1 Forecast rMat1 (Mitch)_2 5" xfId="16586" xr:uid="{00000000-0005-0000-0000-0000C1420000}"/>
    <cellStyle name="g_rate_ICOS-INC (2)_Q1 Forecast rMat1 (Mitch)_2 6" xfId="16587" xr:uid="{00000000-0005-0000-0000-0000C2420000}"/>
    <cellStyle name="g_rate_ICOS-INC (2)_Xl0000320" xfId="16588" xr:uid="{00000000-0005-0000-0000-0000C3420000}"/>
    <cellStyle name="g_rate_ICOS-INC (2)_Xl0000320 2" xfId="16589" xr:uid="{00000000-0005-0000-0000-0000C4420000}"/>
    <cellStyle name="g_rate_ICOS-INC (2)_Xl0000320 3" xfId="16590" xr:uid="{00000000-0005-0000-0000-0000C5420000}"/>
    <cellStyle name="g_rate_ICOS-INC (2)_Xl0000320 4" xfId="16591" xr:uid="{00000000-0005-0000-0000-0000C6420000}"/>
    <cellStyle name="g_rate_ICOS-INC (2)_Xl0000320 5" xfId="16592" xr:uid="{00000000-0005-0000-0000-0000C7420000}"/>
    <cellStyle name="g_rate_ICOS-INC (2)_Xl0000320 6" xfId="16593" xr:uid="{00000000-0005-0000-0000-0000C8420000}"/>
    <cellStyle name="g_rate_ICOS-INC (2)_Xl0000326" xfId="16594" xr:uid="{00000000-0005-0000-0000-0000C9420000}"/>
    <cellStyle name="g_rate_ICOS-INC (2)_Xl0000326 2" xfId="16595" xr:uid="{00000000-0005-0000-0000-0000CA420000}"/>
    <cellStyle name="g_rate_ICOS-INC (2)_Xl0000326 3" xfId="16596" xr:uid="{00000000-0005-0000-0000-0000CB420000}"/>
    <cellStyle name="g_rate_ICOS-INC (2)_Xl0000326 4" xfId="16597" xr:uid="{00000000-0005-0000-0000-0000CC420000}"/>
    <cellStyle name="g_rate_ICOS-INC (2)_Xl0000326 5" xfId="16598" xr:uid="{00000000-0005-0000-0000-0000CD420000}"/>
    <cellStyle name="g_rate_ICOS-INC (2)_Xl0000326 6" xfId="16599" xr:uid="{00000000-0005-0000-0000-0000CE420000}"/>
    <cellStyle name="g_rate_ICOS-INC 10" xfId="16600" xr:uid="{00000000-0005-0000-0000-0000CF420000}"/>
    <cellStyle name="g_rate_ICOS-INC 11" xfId="16601" xr:uid="{00000000-0005-0000-0000-0000D0420000}"/>
    <cellStyle name="g_rate_ICOS-INC 12" xfId="16602" xr:uid="{00000000-0005-0000-0000-0000D1420000}"/>
    <cellStyle name="g_rate_ICOS-INC 13" xfId="16603" xr:uid="{00000000-0005-0000-0000-0000D2420000}"/>
    <cellStyle name="g_rate_ICOS-INC 2" xfId="16604" xr:uid="{00000000-0005-0000-0000-0000D3420000}"/>
    <cellStyle name="g_rate_ICOS-INC 3" xfId="16605" xr:uid="{00000000-0005-0000-0000-0000D4420000}"/>
    <cellStyle name="g_rate_ICOS-INC 4" xfId="16606" xr:uid="{00000000-0005-0000-0000-0000D5420000}"/>
    <cellStyle name="g_rate_ICOS-INC 5" xfId="16607" xr:uid="{00000000-0005-0000-0000-0000D6420000}"/>
    <cellStyle name="g_rate_ICOS-INC 6" xfId="16608" xr:uid="{00000000-0005-0000-0000-0000D7420000}"/>
    <cellStyle name="g_rate_ICOS-INC 7" xfId="16609" xr:uid="{00000000-0005-0000-0000-0000D8420000}"/>
    <cellStyle name="g_rate_ICOS-INC 8" xfId="16610" xr:uid="{00000000-0005-0000-0000-0000D9420000}"/>
    <cellStyle name="g_rate_ICOS-INC 9" xfId="16611" xr:uid="{00000000-0005-0000-0000-0000DA420000}"/>
    <cellStyle name="g_rate_ICOS-INC_090105 CAPEX J1 J4" xfId="16612" xr:uid="{00000000-0005-0000-0000-0000DB420000}"/>
    <cellStyle name="g_rate_ICOS-INC_090105 CAPEX J1 J4 2" xfId="16613" xr:uid="{00000000-0005-0000-0000-0000DC420000}"/>
    <cellStyle name="g_rate_ICOS-INC_090105 CAPEX J1 J4 3" xfId="16614" xr:uid="{00000000-0005-0000-0000-0000DD420000}"/>
    <cellStyle name="g_rate_ICOS-INC_090105 CAPEX J1 J4 4" xfId="16615" xr:uid="{00000000-0005-0000-0000-0000DE420000}"/>
    <cellStyle name="g_rate_ICOS-INC_090105 CAPEX J1 J4 5" xfId="16616" xr:uid="{00000000-0005-0000-0000-0000DF420000}"/>
    <cellStyle name="g_rate_ICOS-INC_090105 CAPEX J1 J4 6" xfId="16617" xr:uid="{00000000-0005-0000-0000-0000E0420000}"/>
    <cellStyle name="g_rate_ICOS-INC_090203 OH LAB 08 VS 09 CON AHORROS J1 J4 ENVIAR" xfId="16618" xr:uid="{00000000-0005-0000-0000-0000E1420000}"/>
    <cellStyle name="g_rate_ICOS-INC_090203 OH LAB 08 VS 09 CON AHORROS J1 J4 ENVIAR 2" xfId="16619" xr:uid="{00000000-0005-0000-0000-0000E2420000}"/>
    <cellStyle name="g_rate_ICOS-INC_090203 OH LAB 08 VS 09 CON AHORROS J1 J4 ENVIAR 3" xfId="16620" xr:uid="{00000000-0005-0000-0000-0000E3420000}"/>
    <cellStyle name="g_rate_ICOS-INC_090203 OH LAB 08 VS 09 CON AHORROS J1 J4 ENVIAR 4" xfId="16621" xr:uid="{00000000-0005-0000-0000-0000E4420000}"/>
    <cellStyle name="g_rate_ICOS-INC_090203 OH LAB 08 VS 09 CON AHORROS J1 J4 ENVIAR 5" xfId="16622" xr:uid="{00000000-0005-0000-0000-0000E5420000}"/>
    <cellStyle name="g_rate_ICOS-INC_090203 OH LAB 08 VS 09 CON AHORROS J1 J4 ENVIAR 6" xfId="16623" xr:uid="{00000000-0005-0000-0000-0000E6420000}"/>
    <cellStyle name="g_rate_ICOS-INC_AHORROS FORMATO SIX SIGMA POR JUAN" xfId="16624" xr:uid="{00000000-0005-0000-0000-0000E7420000}"/>
    <cellStyle name="g_rate_ICOS-INC_AHORROS FORMATO SIX SIGMA POR JUAN 2" xfId="16625" xr:uid="{00000000-0005-0000-0000-0000E8420000}"/>
    <cellStyle name="g_rate_ICOS-INC_AHORROS FORMATO SIX SIGMA POR JUAN 3" xfId="16626" xr:uid="{00000000-0005-0000-0000-0000E9420000}"/>
    <cellStyle name="g_rate_ICOS-INC_AHORROS FORMATO SIX SIGMA POR JUAN 4" xfId="16627" xr:uid="{00000000-0005-0000-0000-0000EA420000}"/>
    <cellStyle name="g_rate_ICOS-INC_AHORROS FORMATO SIX SIGMA POR JUAN 5" xfId="16628" xr:uid="{00000000-0005-0000-0000-0000EB420000}"/>
    <cellStyle name="g_rate_ICOS-INC_AHORROS FORMATO SIX SIGMA POR JUAN 6" xfId="16629" xr:uid="{00000000-0005-0000-0000-0000EC420000}"/>
    <cellStyle name="g_rate_ICOS-INC_Book4" xfId="16630" xr:uid="{00000000-0005-0000-0000-0000ED420000}"/>
    <cellStyle name="g_rate_ICOS-INC_Book4 2" xfId="16631" xr:uid="{00000000-0005-0000-0000-0000EE420000}"/>
    <cellStyle name="g_rate_ICOS-INC_Book4 3" xfId="16632" xr:uid="{00000000-0005-0000-0000-0000EF420000}"/>
    <cellStyle name="g_rate_ICOS-INC_Book4 4" xfId="16633" xr:uid="{00000000-0005-0000-0000-0000F0420000}"/>
    <cellStyle name="g_rate_ICOS-INC_Book4 5" xfId="16634" xr:uid="{00000000-0005-0000-0000-0000F1420000}"/>
    <cellStyle name="g_rate_ICOS-INC_Book4 6" xfId="16635" xr:uid="{00000000-0005-0000-0000-0000F2420000}"/>
    <cellStyle name="g_rate_ICOS-INC_Budget IS 2009 IM" xfId="16636" xr:uid="{00000000-0005-0000-0000-0000F3420000}"/>
    <cellStyle name="g_rate_ICOS-INC_Budget IS 2009 IM 2" xfId="16637" xr:uid="{00000000-0005-0000-0000-0000F4420000}"/>
    <cellStyle name="g_rate_ICOS-INC_Budget IS 2009 IM 3" xfId="16638" xr:uid="{00000000-0005-0000-0000-0000F5420000}"/>
    <cellStyle name="g_rate_ICOS-INC_Budget IS 2009 IM 4" xfId="16639" xr:uid="{00000000-0005-0000-0000-0000F6420000}"/>
    <cellStyle name="g_rate_ICOS-INC_Budget IS 2009 IM 5" xfId="16640" xr:uid="{00000000-0005-0000-0000-0000F7420000}"/>
    <cellStyle name="g_rate_ICOS-INC_Budget IS 2009 IM 6" xfId="16641" xr:uid="{00000000-0005-0000-0000-0000F8420000}"/>
    <cellStyle name="g_rate_ICOS-INC_Cost Reduction v-plants v2 ultimo" xfId="16642" xr:uid="{00000000-0005-0000-0000-0000F9420000}"/>
    <cellStyle name="g_rate_ICOS-INC_Cost Reduction v-plants v2 ultimo 2" xfId="16643" xr:uid="{00000000-0005-0000-0000-0000FA420000}"/>
    <cellStyle name="g_rate_ICOS-INC_Cost Reduction v-plants v2 ultimo 3" xfId="16644" xr:uid="{00000000-0005-0000-0000-0000FB420000}"/>
    <cellStyle name="g_rate_ICOS-INC_Cost Reduction v-plants v2 ultimo 4" xfId="16645" xr:uid="{00000000-0005-0000-0000-0000FC420000}"/>
    <cellStyle name="g_rate_ICOS-INC_Cost Reduction v-plants v2 ultimo 5" xfId="16646" xr:uid="{00000000-0005-0000-0000-0000FD420000}"/>
    <cellStyle name="g_rate_ICOS-INC_Cost Reduction v-plants v2 ultimo 6" xfId="16647" xr:uid="{00000000-0005-0000-0000-0000FE420000}"/>
    <cellStyle name="g_rate_ICOS-INC_Q1 Forecast rMat1 (Mitch)" xfId="16648" xr:uid="{00000000-0005-0000-0000-0000FF420000}"/>
    <cellStyle name="g_rate_ICOS-INC_Q1 Forecast rMat1 (Mitch) 2" xfId="16649" xr:uid="{00000000-0005-0000-0000-000000430000}"/>
    <cellStyle name="g_rate_ICOS-INC_Q1 Forecast rMat1 (Mitch) 3" xfId="16650" xr:uid="{00000000-0005-0000-0000-000001430000}"/>
    <cellStyle name="g_rate_ICOS-INC_Q1 Forecast rMat1 (Mitch) 4" xfId="16651" xr:uid="{00000000-0005-0000-0000-000002430000}"/>
    <cellStyle name="g_rate_ICOS-INC_Q1 Forecast rMat1 (Mitch) 5" xfId="16652" xr:uid="{00000000-0005-0000-0000-000003430000}"/>
    <cellStyle name="g_rate_ICOS-INC_Q1 Forecast rMat1 (Mitch) 6" xfId="16653" xr:uid="{00000000-0005-0000-0000-000004430000}"/>
    <cellStyle name="g_rate_ICOS-INC_Q1 Forecast rMat1 (Mitch)_1" xfId="16654" xr:uid="{00000000-0005-0000-0000-000005430000}"/>
    <cellStyle name="g_rate_ICOS-INC_Q1 Forecast rMat1 (Mitch)_1 2" xfId="16655" xr:uid="{00000000-0005-0000-0000-000006430000}"/>
    <cellStyle name="g_rate_ICOS-INC_Q1 Forecast rMat1 (Mitch)_1 3" xfId="16656" xr:uid="{00000000-0005-0000-0000-000007430000}"/>
    <cellStyle name="g_rate_ICOS-INC_Q1 Forecast rMat1 (Mitch)_1 4" xfId="16657" xr:uid="{00000000-0005-0000-0000-000008430000}"/>
    <cellStyle name="g_rate_ICOS-INC_Q1 Forecast rMat1 (Mitch)_1 5" xfId="16658" xr:uid="{00000000-0005-0000-0000-000009430000}"/>
    <cellStyle name="g_rate_ICOS-INC_Q1 Forecast rMat1 (Mitch)_1 6" xfId="16659" xr:uid="{00000000-0005-0000-0000-00000A430000}"/>
    <cellStyle name="g_rate_ICOS-INC_Q1 Forecast rMat1 (Mitch)_2" xfId="16660" xr:uid="{00000000-0005-0000-0000-00000B430000}"/>
    <cellStyle name="g_rate_ICOS-INC_Q1 Forecast rMat1 (Mitch)_2 2" xfId="16661" xr:uid="{00000000-0005-0000-0000-00000C430000}"/>
    <cellStyle name="g_rate_ICOS-INC_Q1 Forecast rMat1 (Mitch)_2 3" xfId="16662" xr:uid="{00000000-0005-0000-0000-00000D430000}"/>
    <cellStyle name="g_rate_ICOS-INC_Q1 Forecast rMat1 (Mitch)_2 4" xfId="16663" xr:uid="{00000000-0005-0000-0000-00000E430000}"/>
    <cellStyle name="g_rate_ICOS-INC_Q1 Forecast rMat1 (Mitch)_2 5" xfId="16664" xr:uid="{00000000-0005-0000-0000-00000F430000}"/>
    <cellStyle name="g_rate_ICOS-INC_Q1 Forecast rMat1 (Mitch)_2 6" xfId="16665" xr:uid="{00000000-0005-0000-0000-000010430000}"/>
    <cellStyle name="g_rate_ICOS-INC_Xl0000320" xfId="16666" xr:uid="{00000000-0005-0000-0000-000011430000}"/>
    <cellStyle name="g_rate_ICOS-INC_Xl0000320 2" xfId="16667" xr:uid="{00000000-0005-0000-0000-000012430000}"/>
    <cellStyle name="g_rate_ICOS-INC_Xl0000320 3" xfId="16668" xr:uid="{00000000-0005-0000-0000-000013430000}"/>
    <cellStyle name="g_rate_ICOS-INC_Xl0000320 4" xfId="16669" xr:uid="{00000000-0005-0000-0000-000014430000}"/>
    <cellStyle name="g_rate_ICOS-INC_Xl0000320 5" xfId="16670" xr:uid="{00000000-0005-0000-0000-000015430000}"/>
    <cellStyle name="g_rate_ICOS-INC_Xl0000320 6" xfId="16671" xr:uid="{00000000-0005-0000-0000-000016430000}"/>
    <cellStyle name="g_rate_ICOS-INC_Xl0000326" xfId="16672" xr:uid="{00000000-0005-0000-0000-000017430000}"/>
    <cellStyle name="g_rate_ICOS-INC_Xl0000326 2" xfId="16673" xr:uid="{00000000-0005-0000-0000-000018430000}"/>
    <cellStyle name="g_rate_ICOS-INC_Xl0000326 3" xfId="16674" xr:uid="{00000000-0005-0000-0000-000019430000}"/>
    <cellStyle name="g_rate_ICOS-INC_Xl0000326 4" xfId="16675" xr:uid="{00000000-0005-0000-0000-00001A430000}"/>
    <cellStyle name="g_rate_ICOS-INC_Xl0000326 5" xfId="16676" xr:uid="{00000000-0005-0000-0000-00001B430000}"/>
    <cellStyle name="g_rate_ICOS-INC_Xl0000326 6" xfId="16677" xr:uid="{00000000-0005-0000-0000-00001C430000}"/>
    <cellStyle name="g_rate_Merger Model16.xls Chart 1" xfId="16678" xr:uid="{00000000-0005-0000-0000-00001D430000}"/>
    <cellStyle name="g_rate_Merger Model16.xls Chart 1 2" xfId="16679" xr:uid="{00000000-0005-0000-0000-00001E430000}"/>
    <cellStyle name="g_rate_Merger Model16.xls Chart 1 3" xfId="16680" xr:uid="{00000000-0005-0000-0000-00001F430000}"/>
    <cellStyle name="g_rate_Merger Model16.xls Chart 1 4" xfId="16681" xr:uid="{00000000-0005-0000-0000-000020430000}"/>
    <cellStyle name="g_rate_Merger Model16.xls Chart 1 5" xfId="16682" xr:uid="{00000000-0005-0000-0000-000021430000}"/>
    <cellStyle name="g_rate_Merger Model16.xls Chart 1 6" xfId="16683" xr:uid="{00000000-0005-0000-0000-000022430000}"/>
    <cellStyle name="g_rate_Merger Model16.xls Chart 1_090105 CAPEX J1 J4" xfId="16684" xr:uid="{00000000-0005-0000-0000-000023430000}"/>
    <cellStyle name="g_rate_Merger Model16.xls Chart 1_090105 CAPEX J1 J4 2" xfId="16685" xr:uid="{00000000-0005-0000-0000-000024430000}"/>
    <cellStyle name="g_rate_Merger Model16.xls Chart 1_090105 CAPEX J1 J4 3" xfId="16686" xr:uid="{00000000-0005-0000-0000-000025430000}"/>
    <cellStyle name="g_rate_Merger Model16.xls Chart 1_090105 CAPEX J1 J4 4" xfId="16687" xr:uid="{00000000-0005-0000-0000-000026430000}"/>
    <cellStyle name="g_rate_Merger Model16.xls Chart 1_090105 CAPEX J1 J4 5" xfId="16688" xr:uid="{00000000-0005-0000-0000-000027430000}"/>
    <cellStyle name="g_rate_Merger Model16.xls Chart 1_090105 CAPEX J1 J4 6" xfId="16689" xr:uid="{00000000-0005-0000-0000-000028430000}"/>
    <cellStyle name="g_rate_Merger Model16.xls Chart 1_090203 OH LAB 08 VS 09 CON AHORROS J1 J4 ENVIAR" xfId="16690" xr:uid="{00000000-0005-0000-0000-000029430000}"/>
    <cellStyle name="g_rate_Merger Model16.xls Chart 1_090203 OH LAB 08 VS 09 CON AHORROS J1 J4 ENVIAR 2" xfId="16691" xr:uid="{00000000-0005-0000-0000-00002A430000}"/>
    <cellStyle name="g_rate_Merger Model16.xls Chart 1_090203 OH LAB 08 VS 09 CON AHORROS J1 J4 ENVIAR 3" xfId="16692" xr:uid="{00000000-0005-0000-0000-00002B430000}"/>
    <cellStyle name="g_rate_Merger Model16.xls Chart 1_090203 OH LAB 08 VS 09 CON AHORROS J1 J4 ENVIAR 4" xfId="16693" xr:uid="{00000000-0005-0000-0000-00002C430000}"/>
    <cellStyle name="g_rate_Merger Model16.xls Chart 1_090203 OH LAB 08 VS 09 CON AHORROS J1 J4 ENVIAR 5" xfId="16694" xr:uid="{00000000-0005-0000-0000-00002D430000}"/>
    <cellStyle name="g_rate_Merger Model16.xls Chart 1_090203 OH LAB 08 VS 09 CON AHORROS J1 J4 ENVIAR 6" xfId="16695" xr:uid="{00000000-0005-0000-0000-00002E430000}"/>
    <cellStyle name="g_rate_Merger Model16.xls Chart 1_AHORROS FORMATO SIX SIGMA POR JUAN" xfId="16696" xr:uid="{00000000-0005-0000-0000-00002F430000}"/>
    <cellStyle name="g_rate_Merger Model16.xls Chart 1_AHORROS FORMATO SIX SIGMA POR JUAN 2" xfId="16697" xr:uid="{00000000-0005-0000-0000-000030430000}"/>
    <cellStyle name="g_rate_Merger Model16.xls Chart 1_AHORROS FORMATO SIX SIGMA POR JUAN 3" xfId="16698" xr:uid="{00000000-0005-0000-0000-000031430000}"/>
    <cellStyle name="g_rate_Merger Model16.xls Chart 1_AHORROS FORMATO SIX SIGMA POR JUAN 4" xfId="16699" xr:uid="{00000000-0005-0000-0000-000032430000}"/>
    <cellStyle name="g_rate_Merger Model16.xls Chart 1_AHORROS FORMATO SIX SIGMA POR JUAN 5" xfId="16700" xr:uid="{00000000-0005-0000-0000-000033430000}"/>
    <cellStyle name="g_rate_Merger Model16.xls Chart 1_AHORROS FORMATO SIX SIGMA POR JUAN 6" xfId="16701" xr:uid="{00000000-0005-0000-0000-000034430000}"/>
    <cellStyle name="g_rate_Merger Model16.xls Chart 1_Book4" xfId="16702" xr:uid="{00000000-0005-0000-0000-000035430000}"/>
    <cellStyle name="g_rate_Merger Model16.xls Chart 1_Book4 2" xfId="16703" xr:uid="{00000000-0005-0000-0000-000036430000}"/>
    <cellStyle name="g_rate_Merger Model16.xls Chart 1_Book4 3" xfId="16704" xr:uid="{00000000-0005-0000-0000-000037430000}"/>
    <cellStyle name="g_rate_Merger Model16.xls Chart 1_Book4 4" xfId="16705" xr:uid="{00000000-0005-0000-0000-000038430000}"/>
    <cellStyle name="g_rate_Merger Model16.xls Chart 1_Book4 5" xfId="16706" xr:uid="{00000000-0005-0000-0000-000039430000}"/>
    <cellStyle name="g_rate_Merger Model16.xls Chart 1_Book4 6" xfId="16707" xr:uid="{00000000-0005-0000-0000-00003A430000}"/>
    <cellStyle name="g_rate_Merger Model16.xls Chart 1_Budget IS 2009 IM" xfId="16708" xr:uid="{00000000-0005-0000-0000-00003B430000}"/>
    <cellStyle name="g_rate_Merger Model16.xls Chart 1_Budget IS 2009 IM 2" xfId="16709" xr:uid="{00000000-0005-0000-0000-00003C430000}"/>
    <cellStyle name="g_rate_Merger Model16.xls Chart 1_Budget IS 2009 IM 3" xfId="16710" xr:uid="{00000000-0005-0000-0000-00003D430000}"/>
    <cellStyle name="g_rate_Merger Model16.xls Chart 1_Budget IS 2009 IM 4" xfId="16711" xr:uid="{00000000-0005-0000-0000-00003E430000}"/>
    <cellStyle name="g_rate_Merger Model16.xls Chart 1_Budget IS 2009 IM 5" xfId="16712" xr:uid="{00000000-0005-0000-0000-00003F430000}"/>
    <cellStyle name="g_rate_Merger Model16.xls Chart 1_Budget IS 2009 IM 6" xfId="16713" xr:uid="{00000000-0005-0000-0000-000040430000}"/>
    <cellStyle name="g_rate_Merger Model16.xls Chart 1_Cost Reduction v-plants v2 ultimo" xfId="16714" xr:uid="{00000000-0005-0000-0000-000041430000}"/>
    <cellStyle name="g_rate_Merger Model16.xls Chart 1_Cost Reduction v-plants v2 ultimo 2" xfId="16715" xr:uid="{00000000-0005-0000-0000-000042430000}"/>
    <cellStyle name="g_rate_Merger Model16.xls Chart 1_Cost Reduction v-plants v2 ultimo 3" xfId="16716" xr:uid="{00000000-0005-0000-0000-000043430000}"/>
    <cellStyle name="g_rate_Merger Model16.xls Chart 1_Cost Reduction v-plants v2 ultimo 4" xfId="16717" xr:uid="{00000000-0005-0000-0000-000044430000}"/>
    <cellStyle name="g_rate_Merger Model16.xls Chart 1_Cost Reduction v-plants v2 ultimo 5" xfId="16718" xr:uid="{00000000-0005-0000-0000-000045430000}"/>
    <cellStyle name="g_rate_Merger Model16.xls Chart 1_Cost Reduction v-plants v2 ultimo 6" xfId="16719" xr:uid="{00000000-0005-0000-0000-000046430000}"/>
    <cellStyle name="g_rate_Merger Model16.xls Chart 1_Q1 Forecast rMat1 (Mitch)" xfId="16720" xr:uid="{00000000-0005-0000-0000-000047430000}"/>
    <cellStyle name="g_rate_Merger Model16.xls Chart 1_Q1 Forecast rMat1 (Mitch) 2" xfId="16721" xr:uid="{00000000-0005-0000-0000-000048430000}"/>
    <cellStyle name="g_rate_Merger Model16.xls Chart 1_Q1 Forecast rMat1 (Mitch) 3" xfId="16722" xr:uid="{00000000-0005-0000-0000-000049430000}"/>
    <cellStyle name="g_rate_Merger Model16.xls Chart 1_Q1 Forecast rMat1 (Mitch) 4" xfId="16723" xr:uid="{00000000-0005-0000-0000-00004A430000}"/>
    <cellStyle name="g_rate_Merger Model16.xls Chart 1_Q1 Forecast rMat1 (Mitch) 5" xfId="16724" xr:uid="{00000000-0005-0000-0000-00004B430000}"/>
    <cellStyle name="g_rate_Merger Model16.xls Chart 1_Q1 Forecast rMat1 (Mitch) 6" xfId="16725" xr:uid="{00000000-0005-0000-0000-00004C430000}"/>
    <cellStyle name="g_rate_Merger Model16.xls Chart 1_Q1 Forecast rMat1 (Mitch)_1" xfId="16726" xr:uid="{00000000-0005-0000-0000-00004D430000}"/>
    <cellStyle name="g_rate_Merger Model16.xls Chart 1_Q1 Forecast rMat1 (Mitch)_1 2" xfId="16727" xr:uid="{00000000-0005-0000-0000-00004E430000}"/>
    <cellStyle name="g_rate_Merger Model16.xls Chart 1_Q1 Forecast rMat1 (Mitch)_1 3" xfId="16728" xr:uid="{00000000-0005-0000-0000-00004F430000}"/>
    <cellStyle name="g_rate_Merger Model16.xls Chart 1_Q1 Forecast rMat1 (Mitch)_1 4" xfId="16729" xr:uid="{00000000-0005-0000-0000-000050430000}"/>
    <cellStyle name="g_rate_Merger Model16.xls Chart 1_Q1 Forecast rMat1 (Mitch)_1 5" xfId="16730" xr:uid="{00000000-0005-0000-0000-000051430000}"/>
    <cellStyle name="g_rate_Merger Model16.xls Chart 1_Q1 Forecast rMat1 (Mitch)_1 6" xfId="16731" xr:uid="{00000000-0005-0000-0000-000052430000}"/>
    <cellStyle name="g_rate_Merger Model16.xls Chart 1_Q1 Forecast rMat1 (Mitch)_2" xfId="16732" xr:uid="{00000000-0005-0000-0000-000053430000}"/>
    <cellStyle name="g_rate_Merger Model16.xls Chart 1_Q1 Forecast rMat1 (Mitch)_2 2" xfId="16733" xr:uid="{00000000-0005-0000-0000-000054430000}"/>
    <cellStyle name="g_rate_Merger Model16.xls Chart 1_Q1 Forecast rMat1 (Mitch)_2 3" xfId="16734" xr:uid="{00000000-0005-0000-0000-000055430000}"/>
    <cellStyle name="g_rate_Merger Model16.xls Chart 1_Q1 Forecast rMat1 (Mitch)_2 4" xfId="16735" xr:uid="{00000000-0005-0000-0000-000056430000}"/>
    <cellStyle name="g_rate_Merger Model16.xls Chart 1_Q1 Forecast rMat1 (Mitch)_2 5" xfId="16736" xr:uid="{00000000-0005-0000-0000-000057430000}"/>
    <cellStyle name="g_rate_Merger Model16.xls Chart 1_Q1 Forecast rMat1 (Mitch)_2 6" xfId="16737" xr:uid="{00000000-0005-0000-0000-000058430000}"/>
    <cellStyle name="g_rate_Merger Model16.xls Chart 1_Xl0000320" xfId="16738" xr:uid="{00000000-0005-0000-0000-000059430000}"/>
    <cellStyle name="g_rate_Merger Model16.xls Chart 1_Xl0000320 2" xfId="16739" xr:uid="{00000000-0005-0000-0000-00005A430000}"/>
    <cellStyle name="g_rate_Merger Model16.xls Chart 1_Xl0000320 3" xfId="16740" xr:uid="{00000000-0005-0000-0000-00005B430000}"/>
    <cellStyle name="g_rate_Merger Model16.xls Chart 1_Xl0000320 4" xfId="16741" xr:uid="{00000000-0005-0000-0000-00005C430000}"/>
    <cellStyle name="g_rate_Merger Model16.xls Chart 1_Xl0000320 5" xfId="16742" xr:uid="{00000000-0005-0000-0000-00005D430000}"/>
    <cellStyle name="g_rate_Merger Model16.xls Chart 1_Xl0000320 6" xfId="16743" xr:uid="{00000000-0005-0000-0000-00005E430000}"/>
    <cellStyle name="g_rate_Merger Model16.xls Chart 1_Xl0000326" xfId="16744" xr:uid="{00000000-0005-0000-0000-00005F430000}"/>
    <cellStyle name="g_rate_Merger Model16.xls Chart 1_Xl0000326 2" xfId="16745" xr:uid="{00000000-0005-0000-0000-000060430000}"/>
    <cellStyle name="g_rate_Merger Model16.xls Chart 1_Xl0000326 3" xfId="16746" xr:uid="{00000000-0005-0000-0000-000061430000}"/>
    <cellStyle name="g_rate_Merger Model16.xls Chart 1_Xl0000326 4" xfId="16747" xr:uid="{00000000-0005-0000-0000-000062430000}"/>
    <cellStyle name="g_rate_Merger Model16.xls Chart 1_Xl0000326 5" xfId="16748" xr:uid="{00000000-0005-0000-0000-000063430000}"/>
    <cellStyle name="g_rate_Merger Model16.xls Chart 1_Xl0000326 6" xfId="16749" xr:uid="{00000000-0005-0000-0000-000064430000}"/>
    <cellStyle name="g_rate_Merger Model34b" xfId="16750" xr:uid="{00000000-0005-0000-0000-000065430000}"/>
    <cellStyle name="g_rate_Merger Model34b 2" xfId="16751" xr:uid="{00000000-0005-0000-0000-000066430000}"/>
    <cellStyle name="g_rate_Merger Model34b 3" xfId="16752" xr:uid="{00000000-0005-0000-0000-000067430000}"/>
    <cellStyle name="g_rate_Merger Model34b 4" xfId="16753" xr:uid="{00000000-0005-0000-0000-000068430000}"/>
    <cellStyle name="g_rate_Merger Model34b_090105 CAPEX J1 J4" xfId="16754" xr:uid="{00000000-0005-0000-0000-000069430000}"/>
    <cellStyle name="g_rate_Merger Model34b_090105 CAPEX J1 J4 2" xfId="16755" xr:uid="{00000000-0005-0000-0000-00006A430000}"/>
    <cellStyle name="g_rate_Merger Model34b_090105 CAPEX J1 J4 3" xfId="16756" xr:uid="{00000000-0005-0000-0000-00006B430000}"/>
    <cellStyle name="g_rate_Merger Model34b_090105 CAPEX J1 J4 4" xfId="16757" xr:uid="{00000000-0005-0000-0000-00006C430000}"/>
    <cellStyle name="g_rate_Merger Model34b_090203 OH LAB 08 VS 09 CON AHORROS J1 J4 ENVIAR" xfId="16758" xr:uid="{00000000-0005-0000-0000-00006D430000}"/>
    <cellStyle name="g_rate_Merger Model34b_090203 OH LAB 08 VS 09 CON AHORROS J1 J4 ENVIAR 2" xfId="16759" xr:uid="{00000000-0005-0000-0000-00006E430000}"/>
    <cellStyle name="g_rate_Merger Model34b_090203 OH LAB 08 VS 09 CON AHORROS J1 J4 ENVIAR 3" xfId="16760" xr:uid="{00000000-0005-0000-0000-00006F430000}"/>
    <cellStyle name="g_rate_Merger Model34b_090203 OH LAB 08 VS 09 CON AHORROS J1 J4 ENVIAR 4" xfId="16761" xr:uid="{00000000-0005-0000-0000-000070430000}"/>
    <cellStyle name="g_rate_Merger Model34b_AHORROS FORMATO SIX SIGMA POR JUAN" xfId="16762" xr:uid="{00000000-0005-0000-0000-000071430000}"/>
    <cellStyle name="g_rate_Merger Model34b_AHORROS FORMATO SIX SIGMA POR JUAN 2" xfId="16763" xr:uid="{00000000-0005-0000-0000-000072430000}"/>
    <cellStyle name="g_rate_Merger Model34b_AHORROS FORMATO SIX SIGMA POR JUAN 3" xfId="16764" xr:uid="{00000000-0005-0000-0000-000073430000}"/>
    <cellStyle name="g_rate_Merger Model34b_AHORROS FORMATO SIX SIGMA POR JUAN 4" xfId="16765" xr:uid="{00000000-0005-0000-0000-000074430000}"/>
    <cellStyle name="g_rate_Merger Model34b_Book4" xfId="16766" xr:uid="{00000000-0005-0000-0000-000075430000}"/>
    <cellStyle name="g_rate_Merger Model34b_Book4 2" xfId="16767" xr:uid="{00000000-0005-0000-0000-000076430000}"/>
    <cellStyle name="g_rate_Merger Model34b_Book4 3" xfId="16768" xr:uid="{00000000-0005-0000-0000-000077430000}"/>
    <cellStyle name="g_rate_Merger Model34b_Book4 4" xfId="16769" xr:uid="{00000000-0005-0000-0000-000078430000}"/>
    <cellStyle name="g_rate_Merger Model34b_Budget IS 2009 IM" xfId="16770" xr:uid="{00000000-0005-0000-0000-000079430000}"/>
    <cellStyle name="g_rate_Merger Model34b_Budget IS 2009 IM 2" xfId="16771" xr:uid="{00000000-0005-0000-0000-00007A430000}"/>
    <cellStyle name="g_rate_Merger Model34b_Budget IS 2009 IM 3" xfId="16772" xr:uid="{00000000-0005-0000-0000-00007B430000}"/>
    <cellStyle name="g_rate_Merger Model34b_Budget IS 2009 IM 4" xfId="16773" xr:uid="{00000000-0005-0000-0000-00007C430000}"/>
    <cellStyle name="g_rate_Merger Model34b_Cost Reduction v-plants v2 ultimo" xfId="16774" xr:uid="{00000000-0005-0000-0000-00007D430000}"/>
    <cellStyle name="g_rate_Merger Model34b_Cost Reduction v-plants v2 ultimo 2" xfId="16775" xr:uid="{00000000-0005-0000-0000-00007E430000}"/>
    <cellStyle name="g_rate_Merger Model34b_Cost Reduction v-plants v2 ultimo 3" xfId="16776" xr:uid="{00000000-0005-0000-0000-00007F430000}"/>
    <cellStyle name="g_rate_Merger Model34b_Cost Reduction v-plants v2 ultimo 4" xfId="16777" xr:uid="{00000000-0005-0000-0000-000080430000}"/>
    <cellStyle name="g_rate_Merger Model34b_Q1 Forecast rMat1 (Mitch)" xfId="16778" xr:uid="{00000000-0005-0000-0000-000081430000}"/>
    <cellStyle name="g_rate_Merger Model34b_Q1 Forecast rMat1 (Mitch) 2" xfId="16779" xr:uid="{00000000-0005-0000-0000-000082430000}"/>
    <cellStyle name="g_rate_Merger Model34b_Q1 Forecast rMat1 (Mitch) 3" xfId="16780" xr:uid="{00000000-0005-0000-0000-000083430000}"/>
    <cellStyle name="g_rate_Merger Model34b_Q1 Forecast rMat1 (Mitch) 4" xfId="16781" xr:uid="{00000000-0005-0000-0000-000084430000}"/>
    <cellStyle name="g_rate_Merger Model34b_Q1 Forecast rMat1 (Mitch)_1" xfId="16782" xr:uid="{00000000-0005-0000-0000-000085430000}"/>
    <cellStyle name="g_rate_Merger Model34b_Q1 Forecast rMat1 (Mitch)_1 2" xfId="16783" xr:uid="{00000000-0005-0000-0000-000086430000}"/>
    <cellStyle name="g_rate_Merger Model34b_Q1 Forecast rMat1 (Mitch)_1 3" xfId="16784" xr:uid="{00000000-0005-0000-0000-000087430000}"/>
    <cellStyle name="g_rate_Merger Model34b_Q1 Forecast rMat1 (Mitch)_1 4" xfId="16785" xr:uid="{00000000-0005-0000-0000-000088430000}"/>
    <cellStyle name="g_rate_Merger Model34b_Q1 Forecast rMat1 (Mitch)_2" xfId="16786" xr:uid="{00000000-0005-0000-0000-000089430000}"/>
    <cellStyle name="g_rate_Merger Model34b_Q1 Forecast rMat1 (Mitch)_2 2" xfId="16787" xr:uid="{00000000-0005-0000-0000-00008A430000}"/>
    <cellStyle name="g_rate_Merger Model34b_Q1 Forecast rMat1 (Mitch)_2 3" xfId="16788" xr:uid="{00000000-0005-0000-0000-00008B430000}"/>
    <cellStyle name="g_rate_Merger Model34b_Q1 Forecast rMat1 (Mitch)_2 4" xfId="16789" xr:uid="{00000000-0005-0000-0000-00008C430000}"/>
    <cellStyle name="g_rate_Merger Model34b_Xl0000320" xfId="16790" xr:uid="{00000000-0005-0000-0000-00008D430000}"/>
    <cellStyle name="g_rate_Merger Model34b_Xl0000320 2" xfId="16791" xr:uid="{00000000-0005-0000-0000-00008E430000}"/>
    <cellStyle name="g_rate_Merger Model34b_Xl0000320 3" xfId="16792" xr:uid="{00000000-0005-0000-0000-00008F430000}"/>
    <cellStyle name="g_rate_Merger Model34b_Xl0000320 4" xfId="16793" xr:uid="{00000000-0005-0000-0000-000090430000}"/>
    <cellStyle name="g_rate_Merger Model34b_Xl0000326" xfId="16794" xr:uid="{00000000-0005-0000-0000-000091430000}"/>
    <cellStyle name="g_rate_Merger Model34b_Xl0000326 2" xfId="16795" xr:uid="{00000000-0005-0000-0000-000092430000}"/>
    <cellStyle name="g_rate_Merger Model34b_Xl0000326 3" xfId="16796" xr:uid="{00000000-0005-0000-0000-000093430000}"/>
    <cellStyle name="g_rate_Merger Model34b_Xl0000326 4" xfId="16797" xr:uid="{00000000-0005-0000-0000-000094430000}"/>
    <cellStyle name="g_rate_Q1 Forecast rMat1 (Mitch)" xfId="16798" xr:uid="{00000000-0005-0000-0000-000095430000}"/>
    <cellStyle name="g_rate_Q1 Forecast rMat1 (Mitch) 2" xfId="16799" xr:uid="{00000000-0005-0000-0000-000096430000}"/>
    <cellStyle name="g_rate_Q1 Forecast rMat1 (Mitch) 3" xfId="16800" xr:uid="{00000000-0005-0000-0000-000097430000}"/>
    <cellStyle name="g_rate_Q1 Forecast rMat1 (Mitch) 4" xfId="16801" xr:uid="{00000000-0005-0000-0000-000098430000}"/>
    <cellStyle name="g_rate_Q1 Forecast rMat1 (Mitch) 5" xfId="16802" xr:uid="{00000000-0005-0000-0000-000099430000}"/>
    <cellStyle name="g_rate_Q1 Forecast rMat1 (Mitch) 6" xfId="16803" xr:uid="{00000000-0005-0000-0000-00009A430000}"/>
    <cellStyle name="g_rate_Q1 Forecast rMat1 (Mitch)_1" xfId="16804" xr:uid="{00000000-0005-0000-0000-00009B430000}"/>
    <cellStyle name="g_rate_Q1 Forecast rMat1 (Mitch)_1 2" xfId="16805" xr:uid="{00000000-0005-0000-0000-00009C430000}"/>
    <cellStyle name="g_rate_Q1 Forecast rMat1 (Mitch)_1 3" xfId="16806" xr:uid="{00000000-0005-0000-0000-00009D430000}"/>
    <cellStyle name="g_rate_Q1 Forecast rMat1 (Mitch)_1 4" xfId="16807" xr:uid="{00000000-0005-0000-0000-00009E430000}"/>
    <cellStyle name="g_rate_Q1 Forecast rMat1 (Mitch)_1 5" xfId="16808" xr:uid="{00000000-0005-0000-0000-00009F430000}"/>
    <cellStyle name="g_rate_Q1 Forecast rMat1 (Mitch)_1 6" xfId="16809" xr:uid="{00000000-0005-0000-0000-0000A0430000}"/>
    <cellStyle name="g_rate_Q1 Forecast rMat1 (Mitch)_2" xfId="16810" xr:uid="{00000000-0005-0000-0000-0000A1430000}"/>
    <cellStyle name="g_rate_Q1 Forecast rMat1 (Mitch)_2 2" xfId="16811" xr:uid="{00000000-0005-0000-0000-0000A2430000}"/>
    <cellStyle name="g_rate_Q1 Forecast rMat1 (Mitch)_2 3" xfId="16812" xr:uid="{00000000-0005-0000-0000-0000A3430000}"/>
    <cellStyle name="g_rate_Q1 Forecast rMat1 (Mitch)_2 4" xfId="16813" xr:uid="{00000000-0005-0000-0000-0000A4430000}"/>
    <cellStyle name="g_rate_Q1 Forecast rMat1 (Mitch)_2 5" xfId="16814" xr:uid="{00000000-0005-0000-0000-0000A5430000}"/>
    <cellStyle name="g_rate_Q1 Forecast rMat1 (Mitch)_2 6" xfId="16815" xr:uid="{00000000-0005-0000-0000-0000A6430000}"/>
    <cellStyle name="g_rate_Xl0000320" xfId="16816" xr:uid="{00000000-0005-0000-0000-0000A7430000}"/>
    <cellStyle name="g_rate_Xl0000320 2" xfId="16817" xr:uid="{00000000-0005-0000-0000-0000A8430000}"/>
    <cellStyle name="g_rate_Xl0000320 3" xfId="16818" xr:uid="{00000000-0005-0000-0000-0000A9430000}"/>
    <cellStyle name="g_rate_Xl0000320 4" xfId="16819" xr:uid="{00000000-0005-0000-0000-0000AA430000}"/>
    <cellStyle name="g_rate_Xl0000320 5" xfId="16820" xr:uid="{00000000-0005-0000-0000-0000AB430000}"/>
    <cellStyle name="g_rate_Xl0000320 6" xfId="16821" xr:uid="{00000000-0005-0000-0000-0000AC430000}"/>
    <cellStyle name="g_rate_Xl0000326" xfId="16822" xr:uid="{00000000-0005-0000-0000-0000AD430000}"/>
    <cellStyle name="g_rate_Xl0000326 2" xfId="16823" xr:uid="{00000000-0005-0000-0000-0000AE430000}"/>
    <cellStyle name="g_rate_Xl0000326 3" xfId="16824" xr:uid="{00000000-0005-0000-0000-0000AF430000}"/>
    <cellStyle name="g_rate_Xl0000326 4" xfId="16825" xr:uid="{00000000-0005-0000-0000-0000B0430000}"/>
    <cellStyle name="g_rate_Xl0000326 5" xfId="16826" xr:uid="{00000000-0005-0000-0000-0000B1430000}"/>
    <cellStyle name="g_rate_Xl0000326 6" xfId="16827" xr:uid="{00000000-0005-0000-0000-0000B2430000}"/>
    <cellStyle name="Good 10" xfId="16828" xr:uid="{00000000-0005-0000-0000-0000B3430000}"/>
    <cellStyle name="Good 10 2" xfId="16829" xr:uid="{00000000-0005-0000-0000-0000B4430000}"/>
    <cellStyle name="Good 10 3" xfId="16830" xr:uid="{00000000-0005-0000-0000-0000B5430000}"/>
    <cellStyle name="Good 10 4" xfId="16831" xr:uid="{00000000-0005-0000-0000-0000B6430000}"/>
    <cellStyle name="Good 11" xfId="16832" xr:uid="{00000000-0005-0000-0000-0000B7430000}"/>
    <cellStyle name="Good 11 2" xfId="16833" xr:uid="{00000000-0005-0000-0000-0000B8430000}"/>
    <cellStyle name="Good 11 3" xfId="16834" xr:uid="{00000000-0005-0000-0000-0000B9430000}"/>
    <cellStyle name="Good 11 4" xfId="16835" xr:uid="{00000000-0005-0000-0000-0000BA430000}"/>
    <cellStyle name="Good 12" xfId="16836" xr:uid="{00000000-0005-0000-0000-0000BB430000}"/>
    <cellStyle name="Good 12 2" xfId="16837" xr:uid="{00000000-0005-0000-0000-0000BC430000}"/>
    <cellStyle name="Good 12 3" xfId="16838" xr:uid="{00000000-0005-0000-0000-0000BD430000}"/>
    <cellStyle name="Good 12 4" xfId="16839" xr:uid="{00000000-0005-0000-0000-0000BE430000}"/>
    <cellStyle name="Good 13" xfId="16840" xr:uid="{00000000-0005-0000-0000-0000BF430000}"/>
    <cellStyle name="Good 13 2" xfId="16841" xr:uid="{00000000-0005-0000-0000-0000C0430000}"/>
    <cellStyle name="Good 13 3" xfId="16842" xr:uid="{00000000-0005-0000-0000-0000C1430000}"/>
    <cellStyle name="Good 13 4" xfId="16843" xr:uid="{00000000-0005-0000-0000-0000C2430000}"/>
    <cellStyle name="Good 14" xfId="16844" xr:uid="{00000000-0005-0000-0000-0000C3430000}"/>
    <cellStyle name="Good 14 2" xfId="16845" xr:uid="{00000000-0005-0000-0000-0000C4430000}"/>
    <cellStyle name="Good 14 3" xfId="16846" xr:uid="{00000000-0005-0000-0000-0000C5430000}"/>
    <cellStyle name="Good 14 4" xfId="16847" xr:uid="{00000000-0005-0000-0000-0000C6430000}"/>
    <cellStyle name="Good 15" xfId="16848" xr:uid="{00000000-0005-0000-0000-0000C7430000}"/>
    <cellStyle name="Good 15 2" xfId="16849" xr:uid="{00000000-0005-0000-0000-0000C8430000}"/>
    <cellStyle name="Good 15 3" xfId="16850" xr:uid="{00000000-0005-0000-0000-0000C9430000}"/>
    <cellStyle name="Good 15 4" xfId="16851" xr:uid="{00000000-0005-0000-0000-0000CA430000}"/>
    <cellStyle name="Good 16" xfId="16852" xr:uid="{00000000-0005-0000-0000-0000CB430000}"/>
    <cellStyle name="Good 16 2" xfId="16853" xr:uid="{00000000-0005-0000-0000-0000CC430000}"/>
    <cellStyle name="Good 16 3" xfId="16854" xr:uid="{00000000-0005-0000-0000-0000CD430000}"/>
    <cellStyle name="Good 16 4" xfId="16855" xr:uid="{00000000-0005-0000-0000-0000CE430000}"/>
    <cellStyle name="Good 17" xfId="16856" xr:uid="{00000000-0005-0000-0000-0000CF430000}"/>
    <cellStyle name="Good 17 2" xfId="16857" xr:uid="{00000000-0005-0000-0000-0000D0430000}"/>
    <cellStyle name="Good 17 3" xfId="16858" xr:uid="{00000000-0005-0000-0000-0000D1430000}"/>
    <cellStyle name="Good 17 4" xfId="16859" xr:uid="{00000000-0005-0000-0000-0000D2430000}"/>
    <cellStyle name="Good 18" xfId="16860" xr:uid="{00000000-0005-0000-0000-0000D3430000}"/>
    <cellStyle name="Good 18 2" xfId="16861" xr:uid="{00000000-0005-0000-0000-0000D4430000}"/>
    <cellStyle name="Good 18 3" xfId="16862" xr:uid="{00000000-0005-0000-0000-0000D5430000}"/>
    <cellStyle name="Good 18 4" xfId="16863" xr:uid="{00000000-0005-0000-0000-0000D6430000}"/>
    <cellStyle name="Good 19" xfId="16864" xr:uid="{00000000-0005-0000-0000-0000D7430000}"/>
    <cellStyle name="Good 19 2" xfId="16865" xr:uid="{00000000-0005-0000-0000-0000D8430000}"/>
    <cellStyle name="Good 19 3" xfId="16866" xr:uid="{00000000-0005-0000-0000-0000D9430000}"/>
    <cellStyle name="Good 19 4" xfId="16867" xr:uid="{00000000-0005-0000-0000-0000DA430000}"/>
    <cellStyle name="Good 2" xfId="16868" xr:uid="{00000000-0005-0000-0000-0000DB430000}"/>
    <cellStyle name="Good 2 2" xfId="16869" xr:uid="{00000000-0005-0000-0000-0000DC430000}"/>
    <cellStyle name="Good 2 2 2" xfId="16870" xr:uid="{00000000-0005-0000-0000-0000DD430000}"/>
    <cellStyle name="Good 2 2 3" xfId="16871" xr:uid="{00000000-0005-0000-0000-0000DE430000}"/>
    <cellStyle name="Good 2 2 4" xfId="16872" xr:uid="{00000000-0005-0000-0000-0000DF430000}"/>
    <cellStyle name="Good 2 3" xfId="16873" xr:uid="{00000000-0005-0000-0000-0000E0430000}"/>
    <cellStyle name="Good 2 3 2" xfId="16874" xr:uid="{00000000-0005-0000-0000-0000E1430000}"/>
    <cellStyle name="Good 2 3 3" xfId="16875" xr:uid="{00000000-0005-0000-0000-0000E2430000}"/>
    <cellStyle name="Good 2 3 4" xfId="16876" xr:uid="{00000000-0005-0000-0000-0000E3430000}"/>
    <cellStyle name="Good 2 4" xfId="16877" xr:uid="{00000000-0005-0000-0000-0000E4430000}"/>
    <cellStyle name="Good 2 4 2" xfId="16878" xr:uid="{00000000-0005-0000-0000-0000E5430000}"/>
    <cellStyle name="Good 2 4 3" xfId="16879" xr:uid="{00000000-0005-0000-0000-0000E6430000}"/>
    <cellStyle name="Good 2 4 4" xfId="16880" xr:uid="{00000000-0005-0000-0000-0000E7430000}"/>
    <cellStyle name="Good 2 5" xfId="16881" xr:uid="{00000000-0005-0000-0000-0000E8430000}"/>
    <cellStyle name="Good 2 6" xfId="16882" xr:uid="{00000000-0005-0000-0000-0000E9430000}"/>
    <cellStyle name="Good 2 7" xfId="16883" xr:uid="{00000000-0005-0000-0000-0000EA430000}"/>
    <cellStyle name="Good 2 8" xfId="16884" xr:uid="{00000000-0005-0000-0000-0000EB430000}"/>
    <cellStyle name="Good 20" xfId="16885" xr:uid="{00000000-0005-0000-0000-0000EC430000}"/>
    <cellStyle name="Good 20 2" xfId="16886" xr:uid="{00000000-0005-0000-0000-0000ED430000}"/>
    <cellStyle name="Good 20 3" xfId="16887" xr:uid="{00000000-0005-0000-0000-0000EE430000}"/>
    <cellStyle name="Good 20 4" xfId="16888" xr:uid="{00000000-0005-0000-0000-0000EF430000}"/>
    <cellStyle name="Good 21" xfId="16889" xr:uid="{00000000-0005-0000-0000-0000F0430000}"/>
    <cellStyle name="Good 21 2" xfId="16890" xr:uid="{00000000-0005-0000-0000-0000F1430000}"/>
    <cellStyle name="Good 21 3" xfId="16891" xr:uid="{00000000-0005-0000-0000-0000F2430000}"/>
    <cellStyle name="Good 21 4" xfId="16892" xr:uid="{00000000-0005-0000-0000-0000F3430000}"/>
    <cellStyle name="Good 22" xfId="16893" xr:uid="{00000000-0005-0000-0000-0000F4430000}"/>
    <cellStyle name="Good 22 2" xfId="16894" xr:uid="{00000000-0005-0000-0000-0000F5430000}"/>
    <cellStyle name="Good 22 3" xfId="16895" xr:uid="{00000000-0005-0000-0000-0000F6430000}"/>
    <cellStyle name="Good 22 4" xfId="16896" xr:uid="{00000000-0005-0000-0000-0000F7430000}"/>
    <cellStyle name="Good 23" xfId="16897" xr:uid="{00000000-0005-0000-0000-0000F8430000}"/>
    <cellStyle name="Good 23 2" xfId="16898" xr:uid="{00000000-0005-0000-0000-0000F9430000}"/>
    <cellStyle name="Good 23 3" xfId="16899" xr:uid="{00000000-0005-0000-0000-0000FA430000}"/>
    <cellStyle name="Good 23 4" xfId="16900" xr:uid="{00000000-0005-0000-0000-0000FB430000}"/>
    <cellStyle name="Good 24" xfId="16901" xr:uid="{00000000-0005-0000-0000-0000FC430000}"/>
    <cellStyle name="Good 24 2" xfId="16902" xr:uid="{00000000-0005-0000-0000-0000FD430000}"/>
    <cellStyle name="Good 24 3" xfId="16903" xr:uid="{00000000-0005-0000-0000-0000FE430000}"/>
    <cellStyle name="Good 24 4" xfId="16904" xr:uid="{00000000-0005-0000-0000-0000FF430000}"/>
    <cellStyle name="Good 25" xfId="16905" xr:uid="{00000000-0005-0000-0000-000000440000}"/>
    <cellStyle name="Good 25 2" xfId="16906" xr:uid="{00000000-0005-0000-0000-000001440000}"/>
    <cellStyle name="Good 25 3" xfId="16907" xr:uid="{00000000-0005-0000-0000-000002440000}"/>
    <cellStyle name="Good 25 4" xfId="16908" xr:uid="{00000000-0005-0000-0000-000003440000}"/>
    <cellStyle name="Good 26" xfId="16909" xr:uid="{00000000-0005-0000-0000-000004440000}"/>
    <cellStyle name="Good 26 2" xfId="16910" xr:uid="{00000000-0005-0000-0000-000005440000}"/>
    <cellStyle name="Good 26 3" xfId="16911" xr:uid="{00000000-0005-0000-0000-000006440000}"/>
    <cellStyle name="Good 26 4" xfId="16912" xr:uid="{00000000-0005-0000-0000-000007440000}"/>
    <cellStyle name="Good 27" xfId="16913" xr:uid="{00000000-0005-0000-0000-000008440000}"/>
    <cellStyle name="Good 27 2" xfId="16914" xr:uid="{00000000-0005-0000-0000-000009440000}"/>
    <cellStyle name="Good 27 3" xfId="16915" xr:uid="{00000000-0005-0000-0000-00000A440000}"/>
    <cellStyle name="Good 27 4" xfId="16916" xr:uid="{00000000-0005-0000-0000-00000B440000}"/>
    <cellStyle name="Good 28" xfId="16917" xr:uid="{00000000-0005-0000-0000-00000C440000}"/>
    <cellStyle name="Good 28 2" xfId="16918" xr:uid="{00000000-0005-0000-0000-00000D440000}"/>
    <cellStyle name="Good 28 3" xfId="16919" xr:uid="{00000000-0005-0000-0000-00000E440000}"/>
    <cellStyle name="Good 28 4" xfId="16920" xr:uid="{00000000-0005-0000-0000-00000F440000}"/>
    <cellStyle name="Good 29" xfId="16921" xr:uid="{00000000-0005-0000-0000-000010440000}"/>
    <cellStyle name="Good 29 2" xfId="16922" xr:uid="{00000000-0005-0000-0000-000011440000}"/>
    <cellStyle name="Good 29 3" xfId="16923" xr:uid="{00000000-0005-0000-0000-000012440000}"/>
    <cellStyle name="Good 29 4" xfId="16924" xr:uid="{00000000-0005-0000-0000-000013440000}"/>
    <cellStyle name="Good 3" xfId="16925" xr:uid="{00000000-0005-0000-0000-000014440000}"/>
    <cellStyle name="Good 3 2" xfId="16926" xr:uid="{00000000-0005-0000-0000-000015440000}"/>
    <cellStyle name="Good 3 2 2" xfId="16927" xr:uid="{00000000-0005-0000-0000-000016440000}"/>
    <cellStyle name="Good 3 2 3" xfId="16928" xr:uid="{00000000-0005-0000-0000-000017440000}"/>
    <cellStyle name="Good 3 2 4" xfId="16929" xr:uid="{00000000-0005-0000-0000-000018440000}"/>
    <cellStyle name="Good 3 3" xfId="16930" xr:uid="{00000000-0005-0000-0000-000019440000}"/>
    <cellStyle name="Good 3 3 2" xfId="16931" xr:uid="{00000000-0005-0000-0000-00001A440000}"/>
    <cellStyle name="Good 3 3 3" xfId="16932" xr:uid="{00000000-0005-0000-0000-00001B440000}"/>
    <cellStyle name="Good 3 3 4" xfId="16933" xr:uid="{00000000-0005-0000-0000-00001C440000}"/>
    <cellStyle name="Good 3 4" xfId="16934" xr:uid="{00000000-0005-0000-0000-00001D440000}"/>
    <cellStyle name="Good 3 4 2" xfId="16935" xr:uid="{00000000-0005-0000-0000-00001E440000}"/>
    <cellStyle name="Good 3 4 3" xfId="16936" xr:uid="{00000000-0005-0000-0000-00001F440000}"/>
    <cellStyle name="Good 3 4 4" xfId="16937" xr:uid="{00000000-0005-0000-0000-000020440000}"/>
    <cellStyle name="Good 3 5" xfId="16938" xr:uid="{00000000-0005-0000-0000-000021440000}"/>
    <cellStyle name="Good 3 6" xfId="16939" xr:uid="{00000000-0005-0000-0000-000022440000}"/>
    <cellStyle name="Good 3 7" xfId="16940" xr:uid="{00000000-0005-0000-0000-000023440000}"/>
    <cellStyle name="Good 3 8" xfId="16941" xr:uid="{00000000-0005-0000-0000-000024440000}"/>
    <cellStyle name="Good 30" xfId="16942" xr:uid="{00000000-0005-0000-0000-000025440000}"/>
    <cellStyle name="Good 31" xfId="16943" xr:uid="{00000000-0005-0000-0000-000026440000}"/>
    <cellStyle name="Good 32" xfId="16944" xr:uid="{00000000-0005-0000-0000-000027440000}"/>
    <cellStyle name="Good 4" xfId="16945" xr:uid="{00000000-0005-0000-0000-000028440000}"/>
    <cellStyle name="Good 4 2" xfId="16946" xr:uid="{00000000-0005-0000-0000-000029440000}"/>
    <cellStyle name="Good 4 3" xfId="16947" xr:uid="{00000000-0005-0000-0000-00002A440000}"/>
    <cellStyle name="Good 4 4" xfId="16948" xr:uid="{00000000-0005-0000-0000-00002B440000}"/>
    <cellStyle name="Good 4 5" xfId="16949" xr:uid="{00000000-0005-0000-0000-00002C440000}"/>
    <cellStyle name="Good 4 6" xfId="16950" xr:uid="{00000000-0005-0000-0000-00002D440000}"/>
    <cellStyle name="Good 5" xfId="16951" xr:uid="{00000000-0005-0000-0000-00002E440000}"/>
    <cellStyle name="Good 5 2" xfId="16952" xr:uid="{00000000-0005-0000-0000-00002F440000}"/>
    <cellStyle name="Good 5 3" xfId="16953" xr:uid="{00000000-0005-0000-0000-000030440000}"/>
    <cellStyle name="Good 5 4" xfId="16954" xr:uid="{00000000-0005-0000-0000-000031440000}"/>
    <cellStyle name="Good 5 5" xfId="16955" xr:uid="{00000000-0005-0000-0000-000032440000}"/>
    <cellStyle name="Good 5 6" xfId="16956" xr:uid="{00000000-0005-0000-0000-000033440000}"/>
    <cellStyle name="Good 6" xfId="16957" xr:uid="{00000000-0005-0000-0000-000034440000}"/>
    <cellStyle name="Good 6 2" xfId="16958" xr:uid="{00000000-0005-0000-0000-000035440000}"/>
    <cellStyle name="Good 6 3" xfId="16959" xr:uid="{00000000-0005-0000-0000-000036440000}"/>
    <cellStyle name="Good 6 4" xfId="16960" xr:uid="{00000000-0005-0000-0000-000037440000}"/>
    <cellStyle name="Good 6 5" xfId="16961" xr:uid="{00000000-0005-0000-0000-000038440000}"/>
    <cellStyle name="Good 6 6" xfId="16962" xr:uid="{00000000-0005-0000-0000-000039440000}"/>
    <cellStyle name="Good 7" xfId="16963" xr:uid="{00000000-0005-0000-0000-00003A440000}"/>
    <cellStyle name="Good 7 2" xfId="16964" xr:uid="{00000000-0005-0000-0000-00003B440000}"/>
    <cellStyle name="Good 7 3" xfId="16965" xr:uid="{00000000-0005-0000-0000-00003C440000}"/>
    <cellStyle name="Good 7 4" xfId="16966" xr:uid="{00000000-0005-0000-0000-00003D440000}"/>
    <cellStyle name="Good 7 5" xfId="16967" xr:uid="{00000000-0005-0000-0000-00003E440000}"/>
    <cellStyle name="Good 7 6" xfId="16968" xr:uid="{00000000-0005-0000-0000-00003F440000}"/>
    <cellStyle name="Good 8" xfId="16969" xr:uid="{00000000-0005-0000-0000-000040440000}"/>
    <cellStyle name="Good 8 2" xfId="16970" xr:uid="{00000000-0005-0000-0000-000041440000}"/>
    <cellStyle name="Good 8 3" xfId="16971" xr:uid="{00000000-0005-0000-0000-000042440000}"/>
    <cellStyle name="Good 8 4" xfId="16972" xr:uid="{00000000-0005-0000-0000-000043440000}"/>
    <cellStyle name="Good 8 5" xfId="16973" xr:uid="{00000000-0005-0000-0000-000044440000}"/>
    <cellStyle name="Good 8 6" xfId="16974" xr:uid="{00000000-0005-0000-0000-000045440000}"/>
    <cellStyle name="Good 9" xfId="16975" xr:uid="{00000000-0005-0000-0000-000046440000}"/>
    <cellStyle name="Good 9 2" xfId="16976" xr:uid="{00000000-0005-0000-0000-000047440000}"/>
    <cellStyle name="Good 9 3" xfId="16977" xr:uid="{00000000-0005-0000-0000-000048440000}"/>
    <cellStyle name="Good 9 4" xfId="16978" xr:uid="{00000000-0005-0000-0000-000049440000}"/>
    <cellStyle name="Grey" xfId="16979" xr:uid="{00000000-0005-0000-0000-00004A440000}"/>
    <cellStyle name="Grey 10" xfId="16980" xr:uid="{00000000-0005-0000-0000-00004B440000}"/>
    <cellStyle name="Grey 2" xfId="16981" xr:uid="{00000000-0005-0000-0000-00004C440000}"/>
    <cellStyle name="Grey 2 2" xfId="16982" xr:uid="{00000000-0005-0000-0000-00004D440000}"/>
    <cellStyle name="Grey 2 2 2" xfId="16983" xr:uid="{00000000-0005-0000-0000-00004E440000}"/>
    <cellStyle name="Grey 2 2 3" xfId="16984" xr:uid="{00000000-0005-0000-0000-00004F440000}"/>
    <cellStyle name="Grey 2 2 4" xfId="16985" xr:uid="{00000000-0005-0000-0000-000050440000}"/>
    <cellStyle name="Grey 2 3" xfId="16986" xr:uid="{00000000-0005-0000-0000-000051440000}"/>
    <cellStyle name="Grey 2 4" xfId="16987" xr:uid="{00000000-0005-0000-0000-000052440000}"/>
    <cellStyle name="Grey 2 5" xfId="16988" xr:uid="{00000000-0005-0000-0000-000053440000}"/>
    <cellStyle name="Grey 2 6" xfId="16989" xr:uid="{00000000-0005-0000-0000-000054440000}"/>
    <cellStyle name="Grey 3" xfId="16990" xr:uid="{00000000-0005-0000-0000-000055440000}"/>
    <cellStyle name="Grey 3 2" xfId="16991" xr:uid="{00000000-0005-0000-0000-000056440000}"/>
    <cellStyle name="Grey 3 3" xfId="16992" xr:uid="{00000000-0005-0000-0000-000057440000}"/>
    <cellStyle name="Grey 3 4" xfId="16993" xr:uid="{00000000-0005-0000-0000-000058440000}"/>
    <cellStyle name="Grey 3 5" xfId="16994" xr:uid="{00000000-0005-0000-0000-000059440000}"/>
    <cellStyle name="Grey 4" xfId="16995" xr:uid="{00000000-0005-0000-0000-00005A440000}"/>
    <cellStyle name="Grey 4 2" xfId="16996" xr:uid="{00000000-0005-0000-0000-00005B440000}"/>
    <cellStyle name="Grey 4 3" xfId="16997" xr:uid="{00000000-0005-0000-0000-00005C440000}"/>
    <cellStyle name="Grey 4 4" xfId="16998" xr:uid="{00000000-0005-0000-0000-00005D440000}"/>
    <cellStyle name="Grey 4 5" xfId="16999" xr:uid="{00000000-0005-0000-0000-00005E440000}"/>
    <cellStyle name="Grey 5" xfId="17000" xr:uid="{00000000-0005-0000-0000-00005F440000}"/>
    <cellStyle name="Grey 5 2" xfId="17001" xr:uid="{00000000-0005-0000-0000-000060440000}"/>
    <cellStyle name="Grey 5 3" xfId="17002" xr:uid="{00000000-0005-0000-0000-000061440000}"/>
    <cellStyle name="Grey 5 4" xfId="17003" xr:uid="{00000000-0005-0000-0000-000062440000}"/>
    <cellStyle name="Grey 5 5" xfId="17004" xr:uid="{00000000-0005-0000-0000-000063440000}"/>
    <cellStyle name="Grey 6" xfId="17005" xr:uid="{00000000-0005-0000-0000-000064440000}"/>
    <cellStyle name="Grey 6 2" xfId="17006" xr:uid="{00000000-0005-0000-0000-000065440000}"/>
    <cellStyle name="Grey 6 3" xfId="17007" xr:uid="{00000000-0005-0000-0000-000066440000}"/>
    <cellStyle name="Grey 6 4" xfId="17008" xr:uid="{00000000-0005-0000-0000-000067440000}"/>
    <cellStyle name="Grey 6 5" xfId="17009" xr:uid="{00000000-0005-0000-0000-000068440000}"/>
    <cellStyle name="Grey 7" xfId="17010" xr:uid="{00000000-0005-0000-0000-000069440000}"/>
    <cellStyle name="Grey 8" xfId="17011" xr:uid="{00000000-0005-0000-0000-00006A440000}"/>
    <cellStyle name="Grey 9" xfId="17012" xr:uid="{00000000-0005-0000-0000-00006B440000}"/>
    <cellStyle name="HEADER" xfId="17013" xr:uid="{00000000-0005-0000-0000-00006C440000}"/>
    <cellStyle name="HEADER 2" xfId="17014" xr:uid="{00000000-0005-0000-0000-00006D440000}"/>
    <cellStyle name="HEADER 2 2" xfId="17015" xr:uid="{00000000-0005-0000-0000-00006E440000}"/>
    <cellStyle name="HEADER 2 3" xfId="17016" xr:uid="{00000000-0005-0000-0000-00006F440000}"/>
    <cellStyle name="HEADER 2 4" xfId="17017" xr:uid="{00000000-0005-0000-0000-000070440000}"/>
    <cellStyle name="HEADER 3" xfId="17018" xr:uid="{00000000-0005-0000-0000-000071440000}"/>
    <cellStyle name="HEADER 3 2" xfId="17019" xr:uid="{00000000-0005-0000-0000-000072440000}"/>
    <cellStyle name="HEADER 3 3" xfId="17020" xr:uid="{00000000-0005-0000-0000-000073440000}"/>
    <cellStyle name="HEADER 3 4" xfId="17021" xr:uid="{00000000-0005-0000-0000-000074440000}"/>
    <cellStyle name="HEADER 4" xfId="17022" xr:uid="{00000000-0005-0000-0000-000075440000}"/>
    <cellStyle name="HEADER 5" xfId="17023" xr:uid="{00000000-0005-0000-0000-000076440000}"/>
    <cellStyle name="HEADER 6" xfId="17024" xr:uid="{00000000-0005-0000-0000-000077440000}"/>
    <cellStyle name="Header1" xfId="17025" xr:uid="{00000000-0005-0000-0000-000078440000}"/>
    <cellStyle name="Header1 2" xfId="17026" xr:uid="{00000000-0005-0000-0000-000079440000}"/>
    <cellStyle name="Header1 2 2" xfId="17027" xr:uid="{00000000-0005-0000-0000-00007A440000}"/>
    <cellStyle name="Header1 2 3" xfId="17028" xr:uid="{00000000-0005-0000-0000-00007B440000}"/>
    <cellStyle name="Header1 2 4" xfId="17029" xr:uid="{00000000-0005-0000-0000-00007C440000}"/>
    <cellStyle name="Header1 3" xfId="17030" xr:uid="{00000000-0005-0000-0000-00007D440000}"/>
    <cellStyle name="Header1 4" xfId="17031" xr:uid="{00000000-0005-0000-0000-00007E440000}"/>
    <cellStyle name="Header1 5" xfId="17032" xr:uid="{00000000-0005-0000-0000-00007F440000}"/>
    <cellStyle name="Header1 6" xfId="17033" xr:uid="{00000000-0005-0000-0000-000080440000}"/>
    <cellStyle name="Header2" xfId="17034" xr:uid="{00000000-0005-0000-0000-000081440000}"/>
    <cellStyle name="Header2 2" xfId="17035" xr:uid="{00000000-0005-0000-0000-000082440000}"/>
    <cellStyle name="Header2 2 2" xfId="17036" xr:uid="{00000000-0005-0000-0000-000083440000}"/>
    <cellStyle name="Header2 2 2 2" xfId="17037" xr:uid="{00000000-0005-0000-0000-000084440000}"/>
    <cellStyle name="Header2 2 2 3" xfId="17038" xr:uid="{00000000-0005-0000-0000-000085440000}"/>
    <cellStyle name="Header2 2 2 4" xfId="17039" xr:uid="{00000000-0005-0000-0000-000086440000}"/>
    <cellStyle name="Header2 2 2 5" xfId="17040" xr:uid="{00000000-0005-0000-0000-000087440000}"/>
    <cellStyle name="Header2 2 3" xfId="17041" xr:uid="{00000000-0005-0000-0000-000088440000}"/>
    <cellStyle name="Header2 2 4" xfId="17042" xr:uid="{00000000-0005-0000-0000-000089440000}"/>
    <cellStyle name="Header2 2 5" xfId="17043" xr:uid="{00000000-0005-0000-0000-00008A440000}"/>
    <cellStyle name="Header2 2 6" xfId="17044" xr:uid="{00000000-0005-0000-0000-00008B440000}"/>
    <cellStyle name="Header2 3" xfId="17045" xr:uid="{00000000-0005-0000-0000-00008C440000}"/>
    <cellStyle name="Header2 3 2" xfId="17046" xr:uid="{00000000-0005-0000-0000-00008D440000}"/>
    <cellStyle name="Header2 3 2 2" xfId="17047" xr:uid="{00000000-0005-0000-0000-00008E440000}"/>
    <cellStyle name="Header2 3 2 3" xfId="17048" xr:uid="{00000000-0005-0000-0000-00008F440000}"/>
    <cellStyle name="Header2 3 2 4" xfId="17049" xr:uid="{00000000-0005-0000-0000-000090440000}"/>
    <cellStyle name="Header2 3 2 5" xfId="17050" xr:uid="{00000000-0005-0000-0000-000091440000}"/>
    <cellStyle name="Header2 3 3" xfId="17051" xr:uid="{00000000-0005-0000-0000-000092440000}"/>
    <cellStyle name="Header2 3 4" xfId="17052" xr:uid="{00000000-0005-0000-0000-000093440000}"/>
    <cellStyle name="Header2 3 5" xfId="17053" xr:uid="{00000000-0005-0000-0000-000094440000}"/>
    <cellStyle name="Header2 4" xfId="17054" xr:uid="{00000000-0005-0000-0000-000095440000}"/>
    <cellStyle name="Header2 4 2" xfId="17055" xr:uid="{00000000-0005-0000-0000-000096440000}"/>
    <cellStyle name="Header2 4 3" xfId="17056" xr:uid="{00000000-0005-0000-0000-000097440000}"/>
    <cellStyle name="Header2 4 4" xfId="17057" xr:uid="{00000000-0005-0000-0000-000098440000}"/>
    <cellStyle name="Header2 4 5" xfId="17058" xr:uid="{00000000-0005-0000-0000-000099440000}"/>
    <cellStyle name="Header2 5" xfId="17059" xr:uid="{00000000-0005-0000-0000-00009A440000}"/>
    <cellStyle name="Header2 5 2" xfId="17060" xr:uid="{00000000-0005-0000-0000-00009B440000}"/>
    <cellStyle name="Header2 5 3" xfId="17061" xr:uid="{00000000-0005-0000-0000-00009C440000}"/>
    <cellStyle name="Header2 5 4" xfId="17062" xr:uid="{00000000-0005-0000-0000-00009D440000}"/>
    <cellStyle name="Header2 6" xfId="17063" xr:uid="{00000000-0005-0000-0000-00009E440000}"/>
    <cellStyle name="Header2 7" xfId="17064" xr:uid="{00000000-0005-0000-0000-00009F440000}"/>
    <cellStyle name="Header2 8" xfId="17065" xr:uid="{00000000-0005-0000-0000-0000A0440000}"/>
    <cellStyle name="headers" xfId="17066" xr:uid="{00000000-0005-0000-0000-0000A1440000}"/>
    <cellStyle name="headers 2" xfId="17067" xr:uid="{00000000-0005-0000-0000-0000A2440000}"/>
    <cellStyle name="headers 3" xfId="17068" xr:uid="{00000000-0005-0000-0000-0000A3440000}"/>
    <cellStyle name="headers 4" xfId="17069" xr:uid="{00000000-0005-0000-0000-0000A4440000}"/>
    <cellStyle name="headers 5" xfId="17070" xr:uid="{00000000-0005-0000-0000-0000A5440000}"/>
    <cellStyle name="headers 6" xfId="17071" xr:uid="{00000000-0005-0000-0000-0000A6440000}"/>
    <cellStyle name="heading" xfId="17072" xr:uid="{00000000-0005-0000-0000-0000A7440000}"/>
    <cellStyle name="Heading 1 10" xfId="17073" xr:uid="{00000000-0005-0000-0000-0000A8440000}"/>
    <cellStyle name="Heading 1 10 2" xfId="17074" xr:uid="{00000000-0005-0000-0000-0000A9440000}"/>
    <cellStyle name="Heading 1 10 3" xfId="17075" xr:uid="{00000000-0005-0000-0000-0000AA440000}"/>
    <cellStyle name="Heading 1 10 4" xfId="17076" xr:uid="{00000000-0005-0000-0000-0000AB440000}"/>
    <cellStyle name="Heading 1 11" xfId="17077" xr:uid="{00000000-0005-0000-0000-0000AC440000}"/>
    <cellStyle name="Heading 1 11 2" xfId="17078" xr:uid="{00000000-0005-0000-0000-0000AD440000}"/>
    <cellStyle name="Heading 1 11 3" xfId="17079" xr:uid="{00000000-0005-0000-0000-0000AE440000}"/>
    <cellStyle name="Heading 1 11 4" xfId="17080" xr:uid="{00000000-0005-0000-0000-0000AF440000}"/>
    <cellStyle name="Heading 1 12" xfId="17081" xr:uid="{00000000-0005-0000-0000-0000B0440000}"/>
    <cellStyle name="Heading 1 12 2" xfId="17082" xr:uid="{00000000-0005-0000-0000-0000B1440000}"/>
    <cellStyle name="Heading 1 12 3" xfId="17083" xr:uid="{00000000-0005-0000-0000-0000B2440000}"/>
    <cellStyle name="Heading 1 12 4" xfId="17084" xr:uid="{00000000-0005-0000-0000-0000B3440000}"/>
    <cellStyle name="Heading 1 13" xfId="17085" xr:uid="{00000000-0005-0000-0000-0000B4440000}"/>
    <cellStyle name="Heading 1 13 2" xfId="17086" xr:uid="{00000000-0005-0000-0000-0000B5440000}"/>
    <cellStyle name="Heading 1 13 3" xfId="17087" xr:uid="{00000000-0005-0000-0000-0000B6440000}"/>
    <cellStyle name="Heading 1 13 4" xfId="17088" xr:uid="{00000000-0005-0000-0000-0000B7440000}"/>
    <cellStyle name="Heading 1 14" xfId="17089" xr:uid="{00000000-0005-0000-0000-0000B8440000}"/>
    <cellStyle name="Heading 1 14 2" xfId="17090" xr:uid="{00000000-0005-0000-0000-0000B9440000}"/>
    <cellStyle name="Heading 1 14 3" xfId="17091" xr:uid="{00000000-0005-0000-0000-0000BA440000}"/>
    <cellStyle name="Heading 1 14 4" xfId="17092" xr:uid="{00000000-0005-0000-0000-0000BB440000}"/>
    <cellStyle name="Heading 1 15" xfId="17093" xr:uid="{00000000-0005-0000-0000-0000BC440000}"/>
    <cellStyle name="Heading 1 15 2" xfId="17094" xr:uid="{00000000-0005-0000-0000-0000BD440000}"/>
    <cellStyle name="Heading 1 15 3" xfId="17095" xr:uid="{00000000-0005-0000-0000-0000BE440000}"/>
    <cellStyle name="Heading 1 15 4" xfId="17096" xr:uid="{00000000-0005-0000-0000-0000BF440000}"/>
    <cellStyle name="Heading 1 16" xfId="17097" xr:uid="{00000000-0005-0000-0000-0000C0440000}"/>
    <cellStyle name="Heading 1 16 2" xfId="17098" xr:uid="{00000000-0005-0000-0000-0000C1440000}"/>
    <cellStyle name="Heading 1 16 3" xfId="17099" xr:uid="{00000000-0005-0000-0000-0000C2440000}"/>
    <cellStyle name="Heading 1 16 4" xfId="17100" xr:uid="{00000000-0005-0000-0000-0000C3440000}"/>
    <cellStyle name="Heading 1 17" xfId="17101" xr:uid="{00000000-0005-0000-0000-0000C4440000}"/>
    <cellStyle name="Heading 1 17 2" xfId="17102" xr:uid="{00000000-0005-0000-0000-0000C5440000}"/>
    <cellStyle name="Heading 1 17 3" xfId="17103" xr:uid="{00000000-0005-0000-0000-0000C6440000}"/>
    <cellStyle name="Heading 1 17 4" xfId="17104" xr:uid="{00000000-0005-0000-0000-0000C7440000}"/>
    <cellStyle name="Heading 1 18" xfId="17105" xr:uid="{00000000-0005-0000-0000-0000C8440000}"/>
    <cellStyle name="Heading 1 18 2" xfId="17106" xr:uid="{00000000-0005-0000-0000-0000C9440000}"/>
    <cellStyle name="Heading 1 18 3" xfId="17107" xr:uid="{00000000-0005-0000-0000-0000CA440000}"/>
    <cellStyle name="Heading 1 18 4" xfId="17108" xr:uid="{00000000-0005-0000-0000-0000CB440000}"/>
    <cellStyle name="Heading 1 19" xfId="17109" xr:uid="{00000000-0005-0000-0000-0000CC440000}"/>
    <cellStyle name="Heading 1 19 2" xfId="17110" xr:uid="{00000000-0005-0000-0000-0000CD440000}"/>
    <cellStyle name="Heading 1 19 3" xfId="17111" xr:uid="{00000000-0005-0000-0000-0000CE440000}"/>
    <cellStyle name="Heading 1 19 4" xfId="17112" xr:uid="{00000000-0005-0000-0000-0000CF440000}"/>
    <cellStyle name="Heading 1 2" xfId="17113" xr:uid="{00000000-0005-0000-0000-0000D0440000}"/>
    <cellStyle name="Heading 1 2 2" xfId="17114" xr:uid="{00000000-0005-0000-0000-0000D1440000}"/>
    <cellStyle name="Heading 1 2 2 2" xfId="17115" xr:uid="{00000000-0005-0000-0000-0000D2440000}"/>
    <cellStyle name="Heading 1 2 2 3" xfId="17116" xr:uid="{00000000-0005-0000-0000-0000D3440000}"/>
    <cellStyle name="Heading 1 2 2 4" xfId="17117" xr:uid="{00000000-0005-0000-0000-0000D4440000}"/>
    <cellStyle name="Heading 1 2 2 5" xfId="17118" xr:uid="{00000000-0005-0000-0000-0000D5440000}"/>
    <cellStyle name="Heading 1 2 3" xfId="17119" xr:uid="{00000000-0005-0000-0000-0000D6440000}"/>
    <cellStyle name="Heading 1 2 3 2" xfId="17120" xr:uid="{00000000-0005-0000-0000-0000D7440000}"/>
    <cellStyle name="Heading 1 2 3 3" xfId="17121" xr:uid="{00000000-0005-0000-0000-0000D8440000}"/>
    <cellStyle name="Heading 1 2 3 4" xfId="17122" xr:uid="{00000000-0005-0000-0000-0000D9440000}"/>
    <cellStyle name="Heading 1 2 4" xfId="17123" xr:uid="{00000000-0005-0000-0000-0000DA440000}"/>
    <cellStyle name="Heading 1 2 4 2" xfId="17124" xr:uid="{00000000-0005-0000-0000-0000DB440000}"/>
    <cellStyle name="Heading 1 2 4 3" xfId="17125" xr:uid="{00000000-0005-0000-0000-0000DC440000}"/>
    <cellStyle name="Heading 1 2 4 4" xfId="17126" xr:uid="{00000000-0005-0000-0000-0000DD440000}"/>
    <cellStyle name="Heading 1 2 5" xfId="17127" xr:uid="{00000000-0005-0000-0000-0000DE440000}"/>
    <cellStyle name="Heading 1 2 6" xfId="17128" xr:uid="{00000000-0005-0000-0000-0000DF440000}"/>
    <cellStyle name="Heading 1 2 7" xfId="17129" xr:uid="{00000000-0005-0000-0000-0000E0440000}"/>
    <cellStyle name="Heading 1 20" xfId="17130" xr:uid="{00000000-0005-0000-0000-0000E1440000}"/>
    <cellStyle name="Heading 1 20 2" xfId="17131" xr:uid="{00000000-0005-0000-0000-0000E2440000}"/>
    <cellStyle name="Heading 1 20 3" xfId="17132" xr:uid="{00000000-0005-0000-0000-0000E3440000}"/>
    <cellStyle name="Heading 1 20 4" xfId="17133" xr:uid="{00000000-0005-0000-0000-0000E4440000}"/>
    <cellStyle name="Heading 1 21" xfId="17134" xr:uid="{00000000-0005-0000-0000-0000E5440000}"/>
    <cellStyle name="Heading 1 21 2" xfId="17135" xr:uid="{00000000-0005-0000-0000-0000E6440000}"/>
    <cellStyle name="Heading 1 21 3" xfId="17136" xr:uid="{00000000-0005-0000-0000-0000E7440000}"/>
    <cellStyle name="Heading 1 21 4" xfId="17137" xr:uid="{00000000-0005-0000-0000-0000E8440000}"/>
    <cellStyle name="Heading 1 22" xfId="17138" xr:uid="{00000000-0005-0000-0000-0000E9440000}"/>
    <cellStyle name="Heading 1 22 2" xfId="17139" xr:uid="{00000000-0005-0000-0000-0000EA440000}"/>
    <cellStyle name="Heading 1 22 3" xfId="17140" xr:uid="{00000000-0005-0000-0000-0000EB440000}"/>
    <cellStyle name="Heading 1 22 4" xfId="17141" xr:uid="{00000000-0005-0000-0000-0000EC440000}"/>
    <cellStyle name="Heading 1 23" xfId="17142" xr:uid="{00000000-0005-0000-0000-0000ED440000}"/>
    <cellStyle name="Heading 1 23 2" xfId="17143" xr:uid="{00000000-0005-0000-0000-0000EE440000}"/>
    <cellStyle name="Heading 1 23 3" xfId="17144" xr:uid="{00000000-0005-0000-0000-0000EF440000}"/>
    <cellStyle name="Heading 1 23 4" xfId="17145" xr:uid="{00000000-0005-0000-0000-0000F0440000}"/>
    <cellStyle name="Heading 1 24" xfId="17146" xr:uid="{00000000-0005-0000-0000-0000F1440000}"/>
    <cellStyle name="Heading 1 24 2" xfId="17147" xr:uid="{00000000-0005-0000-0000-0000F2440000}"/>
    <cellStyle name="Heading 1 24 3" xfId="17148" xr:uid="{00000000-0005-0000-0000-0000F3440000}"/>
    <cellStyle name="Heading 1 24 4" xfId="17149" xr:uid="{00000000-0005-0000-0000-0000F4440000}"/>
    <cellStyle name="Heading 1 25" xfId="17150" xr:uid="{00000000-0005-0000-0000-0000F5440000}"/>
    <cellStyle name="Heading 1 25 2" xfId="17151" xr:uid="{00000000-0005-0000-0000-0000F6440000}"/>
    <cellStyle name="Heading 1 25 3" xfId="17152" xr:uid="{00000000-0005-0000-0000-0000F7440000}"/>
    <cellStyle name="Heading 1 25 4" xfId="17153" xr:uid="{00000000-0005-0000-0000-0000F8440000}"/>
    <cellStyle name="Heading 1 26" xfId="17154" xr:uid="{00000000-0005-0000-0000-0000F9440000}"/>
    <cellStyle name="Heading 1 26 2" xfId="17155" xr:uid="{00000000-0005-0000-0000-0000FA440000}"/>
    <cellStyle name="Heading 1 26 3" xfId="17156" xr:uid="{00000000-0005-0000-0000-0000FB440000}"/>
    <cellStyle name="Heading 1 26 4" xfId="17157" xr:uid="{00000000-0005-0000-0000-0000FC440000}"/>
    <cellStyle name="Heading 1 27" xfId="17158" xr:uid="{00000000-0005-0000-0000-0000FD440000}"/>
    <cellStyle name="Heading 1 27 2" xfId="17159" xr:uid="{00000000-0005-0000-0000-0000FE440000}"/>
    <cellStyle name="Heading 1 27 3" xfId="17160" xr:uid="{00000000-0005-0000-0000-0000FF440000}"/>
    <cellStyle name="Heading 1 27 4" xfId="17161" xr:uid="{00000000-0005-0000-0000-000000450000}"/>
    <cellStyle name="Heading 1 28" xfId="17162" xr:uid="{00000000-0005-0000-0000-000001450000}"/>
    <cellStyle name="Heading 1 28 2" xfId="17163" xr:uid="{00000000-0005-0000-0000-000002450000}"/>
    <cellStyle name="Heading 1 28 3" xfId="17164" xr:uid="{00000000-0005-0000-0000-000003450000}"/>
    <cellStyle name="Heading 1 28 4" xfId="17165" xr:uid="{00000000-0005-0000-0000-000004450000}"/>
    <cellStyle name="Heading 1 29" xfId="17166" xr:uid="{00000000-0005-0000-0000-000005450000}"/>
    <cellStyle name="Heading 1 29 2" xfId="17167" xr:uid="{00000000-0005-0000-0000-000006450000}"/>
    <cellStyle name="Heading 1 29 3" xfId="17168" xr:uid="{00000000-0005-0000-0000-000007450000}"/>
    <cellStyle name="Heading 1 29 4" xfId="17169" xr:uid="{00000000-0005-0000-0000-000008450000}"/>
    <cellStyle name="Heading 1 3" xfId="17170" xr:uid="{00000000-0005-0000-0000-000009450000}"/>
    <cellStyle name="Heading 1 3 2" xfId="17171" xr:uid="{00000000-0005-0000-0000-00000A450000}"/>
    <cellStyle name="Heading 1 3 2 2" xfId="17172" xr:uid="{00000000-0005-0000-0000-00000B450000}"/>
    <cellStyle name="Heading 1 3 2 3" xfId="17173" xr:uid="{00000000-0005-0000-0000-00000C450000}"/>
    <cellStyle name="Heading 1 3 2 4" xfId="17174" xr:uid="{00000000-0005-0000-0000-00000D450000}"/>
    <cellStyle name="Heading 1 3 2 5" xfId="17175" xr:uid="{00000000-0005-0000-0000-00000E450000}"/>
    <cellStyle name="Heading 1 3 3" xfId="17176" xr:uid="{00000000-0005-0000-0000-00000F450000}"/>
    <cellStyle name="Heading 1 3 3 2" xfId="17177" xr:uid="{00000000-0005-0000-0000-000010450000}"/>
    <cellStyle name="Heading 1 3 3 3" xfId="17178" xr:uid="{00000000-0005-0000-0000-000011450000}"/>
    <cellStyle name="Heading 1 3 3 4" xfId="17179" xr:uid="{00000000-0005-0000-0000-000012450000}"/>
    <cellStyle name="Heading 1 3 4" xfId="17180" xr:uid="{00000000-0005-0000-0000-000013450000}"/>
    <cellStyle name="Heading 1 3 4 2" xfId="17181" xr:uid="{00000000-0005-0000-0000-000014450000}"/>
    <cellStyle name="Heading 1 3 4 3" xfId="17182" xr:uid="{00000000-0005-0000-0000-000015450000}"/>
    <cellStyle name="Heading 1 3 4 4" xfId="17183" xr:uid="{00000000-0005-0000-0000-000016450000}"/>
    <cellStyle name="Heading 1 3 5" xfId="17184" xr:uid="{00000000-0005-0000-0000-000017450000}"/>
    <cellStyle name="Heading 1 3 6" xfId="17185" xr:uid="{00000000-0005-0000-0000-000018450000}"/>
    <cellStyle name="Heading 1 3 7" xfId="17186" xr:uid="{00000000-0005-0000-0000-000019450000}"/>
    <cellStyle name="Heading 1 3 8" xfId="17187" xr:uid="{00000000-0005-0000-0000-00001A450000}"/>
    <cellStyle name="Heading 1 30" xfId="17188" xr:uid="{00000000-0005-0000-0000-00001B450000}"/>
    <cellStyle name="Heading 1 31" xfId="17189" xr:uid="{00000000-0005-0000-0000-00001C450000}"/>
    <cellStyle name="Heading 1 32" xfId="17190" xr:uid="{00000000-0005-0000-0000-00001D450000}"/>
    <cellStyle name="Heading 1 4" xfId="17191" xr:uid="{00000000-0005-0000-0000-00001E450000}"/>
    <cellStyle name="Heading 1 4 2" xfId="17192" xr:uid="{00000000-0005-0000-0000-00001F450000}"/>
    <cellStyle name="Heading 1 4 3" xfId="17193" xr:uid="{00000000-0005-0000-0000-000020450000}"/>
    <cellStyle name="Heading 1 4 4" xfId="17194" xr:uid="{00000000-0005-0000-0000-000021450000}"/>
    <cellStyle name="Heading 1 4 5" xfId="17195" xr:uid="{00000000-0005-0000-0000-000022450000}"/>
    <cellStyle name="Heading 1 4 6" xfId="17196" xr:uid="{00000000-0005-0000-0000-000023450000}"/>
    <cellStyle name="Heading 1 5" xfId="17197" xr:uid="{00000000-0005-0000-0000-000024450000}"/>
    <cellStyle name="Heading 1 5 2" xfId="17198" xr:uid="{00000000-0005-0000-0000-000025450000}"/>
    <cellStyle name="Heading 1 5 3" xfId="17199" xr:uid="{00000000-0005-0000-0000-000026450000}"/>
    <cellStyle name="Heading 1 5 4" xfId="17200" xr:uid="{00000000-0005-0000-0000-000027450000}"/>
    <cellStyle name="Heading 1 5 5" xfId="17201" xr:uid="{00000000-0005-0000-0000-000028450000}"/>
    <cellStyle name="Heading 1 5 6" xfId="17202" xr:uid="{00000000-0005-0000-0000-000029450000}"/>
    <cellStyle name="Heading 1 6" xfId="17203" xr:uid="{00000000-0005-0000-0000-00002A450000}"/>
    <cellStyle name="Heading 1 6 2" xfId="17204" xr:uid="{00000000-0005-0000-0000-00002B450000}"/>
    <cellStyle name="Heading 1 6 3" xfId="17205" xr:uid="{00000000-0005-0000-0000-00002C450000}"/>
    <cellStyle name="Heading 1 6 4" xfId="17206" xr:uid="{00000000-0005-0000-0000-00002D450000}"/>
    <cellStyle name="Heading 1 6 5" xfId="17207" xr:uid="{00000000-0005-0000-0000-00002E450000}"/>
    <cellStyle name="Heading 1 6 6" xfId="17208" xr:uid="{00000000-0005-0000-0000-00002F450000}"/>
    <cellStyle name="Heading 1 7" xfId="17209" xr:uid="{00000000-0005-0000-0000-000030450000}"/>
    <cellStyle name="Heading 1 7 2" xfId="17210" xr:uid="{00000000-0005-0000-0000-000031450000}"/>
    <cellStyle name="Heading 1 7 3" xfId="17211" xr:uid="{00000000-0005-0000-0000-000032450000}"/>
    <cellStyle name="Heading 1 7 4" xfId="17212" xr:uid="{00000000-0005-0000-0000-000033450000}"/>
    <cellStyle name="Heading 1 7 5" xfId="17213" xr:uid="{00000000-0005-0000-0000-000034450000}"/>
    <cellStyle name="Heading 1 7 6" xfId="17214" xr:uid="{00000000-0005-0000-0000-000035450000}"/>
    <cellStyle name="Heading 1 8" xfId="17215" xr:uid="{00000000-0005-0000-0000-000036450000}"/>
    <cellStyle name="Heading 1 8 2" xfId="17216" xr:uid="{00000000-0005-0000-0000-000037450000}"/>
    <cellStyle name="Heading 1 8 3" xfId="17217" xr:uid="{00000000-0005-0000-0000-000038450000}"/>
    <cellStyle name="Heading 1 8 4" xfId="17218" xr:uid="{00000000-0005-0000-0000-000039450000}"/>
    <cellStyle name="Heading 1 8 5" xfId="17219" xr:uid="{00000000-0005-0000-0000-00003A450000}"/>
    <cellStyle name="Heading 1 8 6" xfId="17220" xr:uid="{00000000-0005-0000-0000-00003B450000}"/>
    <cellStyle name="Heading 1 9" xfId="17221" xr:uid="{00000000-0005-0000-0000-00003C450000}"/>
    <cellStyle name="Heading 1 9 2" xfId="17222" xr:uid="{00000000-0005-0000-0000-00003D450000}"/>
    <cellStyle name="Heading 1 9 3" xfId="17223" xr:uid="{00000000-0005-0000-0000-00003E450000}"/>
    <cellStyle name="Heading 1 9 4" xfId="17224" xr:uid="{00000000-0005-0000-0000-00003F450000}"/>
    <cellStyle name="heading 10" xfId="17225" xr:uid="{00000000-0005-0000-0000-000040450000}"/>
    <cellStyle name="heading 11" xfId="17226" xr:uid="{00000000-0005-0000-0000-000041450000}"/>
    <cellStyle name="heading 12" xfId="17227" xr:uid="{00000000-0005-0000-0000-000042450000}"/>
    <cellStyle name="heading 13" xfId="17228" xr:uid="{00000000-0005-0000-0000-000043450000}"/>
    <cellStyle name="heading 14" xfId="17229" xr:uid="{00000000-0005-0000-0000-000044450000}"/>
    <cellStyle name="heading 15" xfId="17230" xr:uid="{00000000-0005-0000-0000-000045450000}"/>
    <cellStyle name="heading 16" xfId="17231" xr:uid="{00000000-0005-0000-0000-000046450000}"/>
    <cellStyle name="Heading 2 10" xfId="17232" xr:uid="{00000000-0005-0000-0000-000047450000}"/>
    <cellStyle name="Heading 2 10 2" xfId="17233" xr:uid="{00000000-0005-0000-0000-000048450000}"/>
    <cellStyle name="Heading 2 10 3" xfId="17234" xr:uid="{00000000-0005-0000-0000-000049450000}"/>
    <cellStyle name="Heading 2 10 4" xfId="17235" xr:uid="{00000000-0005-0000-0000-00004A450000}"/>
    <cellStyle name="Heading 2 11" xfId="17236" xr:uid="{00000000-0005-0000-0000-00004B450000}"/>
    <cellStyle name="Heading 2 11 2" xfId="17237" xr:uid="{00000000-0005-0000-0000-00004C450000}"/>
    <cellStyle name="Heading 2 11 3" xfId="17238" xr:uid="{00000000-0005-0000-0000-00004D450000}"/>
    <cellStyle name="Heading 2 11 4" xfId="17239" xr:uid="{00000000-0005-0000-0000-00004E450000}"/>
    <cellStyle name="Heading 2 12" xfId="17240" xr:uid="{00000000-0005-0000-0000-00004F450000}"/>
    <cellStyle name="Heading 2 12 2" xfId="17241" xr:uid="{00000000-0005-0000-0000-000050450000}"/>
    <cellStyle name="Heading 2 12 3" xfId="17242" xr:uid="{00000000-0005-0000-0000-000051450000}"/>
    <cellStyle name="Heading 2 12 4" xfId="17243" xr:uid="{00000000-0005-0000-0000-000052450000}"/>
    <cellStyle name="Heading 2 13" xfId="17244" xr:uid="{00000000-0005-0000-0000-000053450000}"/>
    <cellStyle name="Heading 2 13 2" xfId="17245" xr:uid="{00000000-0005-0000-0000-000054450000}"/>
    <cellStyle name="Heading 2 13 3" xfId="17246" xr:uid="{00000000-0005-0000-0000-000055450000}"/>
    <cellStyle name="Heading 2 13 4" xfId="17247" xr:uid="{00000000-0005-0000-0000-000056450000}"/>
    <cellStyle name="Heading 2 14" xfId="17248" xr:uid="{00000000-0005-0000-0000-000057450000}"/>
    <cellStyle name="Heading 2 14 2" xfId="17249" xr:uid="{00000000-0005-0000-0000-000058450000}"/>
    <cellStyle name="Heading 2 14 3" xfId="17250" xr:uid="{00000000-0005-0000-0000-000059450000}"/>
    <cellStyle name="Heading 2 14 4" xfId="17251" xr:uid="{00000000-0005-0000-0000-00005A450000}"/>
    <cellStyle name="Heading 2 15" xfId="17252" xr:uid="{00000000-0005-0000-0000-00005B450000}"/>
    <cellStyle name="Heading 2 15 2" xfId="17253" xr:uid="{00000000-0005-0000-0000-00005C450000}"/>
    <cellStyle name="Heading 2 15 3" xfId="17254" xr:uid="{00000000-0005-0000-0000-00005D450000}"/>
    <cellStyle name="Heading 2 15 4" xfId="17255" xr:uid="{00000000-0005-0000-0000-00005E450000}"/>
    <cellStyle name="Heading 2 16" xfId="17256" xr:uid="{00000000-0005-0000-0000-00005F450000}"/>
    <cellStyle name="Heading 2 16 2" xfId="17257" xr:uid="{00000000-0005-0000-0000-000060450000}"/>
    <cellStyle name="Heading 2 16 3" xfId="17258" xr:uid="{00000000-0005-0000-0000-000061450000}"/>
    <cellStyle name="Heading 2 16 4" xfId="17259" xr:uid="{00000000-0005-0000-0000-000062450000}"/>
    <cellStyle name="Heading 2 17" xfId="17260" xr:uid="{00000000-0005-0000-0000-000063450000}"/>
    <cellStyle name="Heading 2 17 2" xfId="17261" xr:uid="{00000000-0005-0000-0000-000064450000}"/>
    <cellStyle name="Heading 2 17 3" xfId="17262" xr:uid="{00000000-0005-0000-0000-000065450000}"/>
    <cellStyle name="Heading 2 17 4" xfId="17263" xr:uid="{00000000-0005-0000-0000-000066450000}"/>
    <cellStyle name="Heading 2 18" xfId="17264" xr:uid="{00000000-0005-0000-0000-000067450000}"/>
    <cellStyle name="Heading 2 18 2" xfId="17265" xr:uid="{00000000-0005-0000-0000-000068450000}"/>
    <cellStyle name="Heading 2 18 3" xfId="17266" xr:uid="{00000000-0005-0000-0000-000069450000}"/>
    <cellStyle name="Heading 2 18 4" xfId="17267" xr:uid="{00000000-0005-0000-0000-00006A450000}"/>
    <cellStyle name="Heading 2 19" xfId="17268" xr:uid="{00000000-0005-0000-0000-00006B450000}"/>
    <cellStyle name="Heading 2 19 2" xfId="17269" xr:uid="{00000000-0005-0000-0000-00006C450000}"/>
    <cellStyle name="Heading 2 19 3" xfId="17270" xr:uid="{00000000-0005-0000-0000-00006D450000}"/>
    <cellStyle name="Heading 2 19 4" xfId="17271" xr:uid="{00000000-0005-0000-0000-00006E450000}"/>
    <cellStyle name="Heading 2 2" xfId="17272" xr:uid="{00000000-0005-0000-0000-00006F450000}"/>
    <cellStyle name="Heading 2 2 2" xfId="17273" xr:uid="{00000000-0005-0000-0000-000070450000}"/>
    <cellStyle name="Heading 2 2 2 2" xfId="17274" xr:uid="{00000000-0005-0000-0000-000071450000}"/>
    <cellStyle name="Heading 2 2 2 3" xfId="17275" xr:uid="{00000000-0005-0000-0000-000072450000}"/>
    <cellStyle name="Heading 2 2 2 4" xfId="17276" xr:uid="{00000000-0005-0000-0000-000073450000}"/>
    <cellStyle name="Heading 2 2 2 5" xfId="17277" xr:uid="{00000000-0005-0000-0000-000074450000}"/>
    <cellStyle name="Heading 2 2 3" xfId="17278" xr:uid="{00000000-0005-0000-0000-000075450000}"/>
    <cellStyle name="Heading 2 2 3 2" xfId="17279" xr:uid="{00000000-0005-0000-0000-000076450000}"/>
    <cellStyle name="Heading 2 2 3 3" xfId="17280" xr:uid="{00000000-0005-0000-0000-000077450000}"/>
    <cellStyle name="Heading 2 2 3 4" xfId="17281" xr:uid="{00000000-0005-0000-0000-000078450000}"/>
    <cellStyle name="Heading 2 2 4" xfId="17282" xr:uid="{00000000-0005-0000-0000-000079450000}"/>
    <cellStyle name="Heading 2 2 4 2" xfId="17283" xr:uid="{00000000-0005-0000-0000-00007A450000}"/>
    <cellStyle name="Heading 2 2 4 3" xfId="17284" xr:uid="{00000000-0005-0000-0000-00007B450000}"/>
    <cellStyle name="Heading 2 2 4 4" xfId="17285" xr:uid="{00000000-0005-0000-0000-00007C450000}"/>
    <cellStyle name="Heading 2 2 5" xfId="17286" xr:uid="{00000000-0005-0000-0000-00007D450000}"/>
    <cellStyle name="Heading 2 2 6" xfId="17287" xr:uid="{00000000-0005-0000-0000-00007E450000}"/>
    <cellStyle name="Heading 2 2 7" xfId="17288" xr:uid="{00000000-0005-0000-0000-00007F450000}"/>
    <cellStyle name="Heading 2 20" xfId="17289" xr:uid="{00000000-0005-0000-0000-000080450000}"/>
    <cellStyle name="Heading 2 20 2" xfId="17290" xr:uid="{00000000-0005-0000-0000-000081450000}"/>
    <cellStyle name="Heading 2 20 3" xfId="17291" xr:uid="{00000000-0005-0000-0000-000082450000}"/>
    <cellStyle name="Heading 2 20 4" xfId="17292" xr:uid="{00000000-0005-0000-0000-000083450000}"/>
    <cellStyle name="Heading 2 21" xfId="17293" xr:uid="{00000000-0005-0000-0000-000084450000}"/>
    <cellStyle name="Heading 2 21 2" xfId="17294" xr:uid="{00000000-0005-0000-0000-000085450000}"/>
    <cellStyle name="Heading 2 21 3" xfId="17295" xr:uid="{00000000-0005-0000-0000-000086450000}"/>
    <cellStyle name="Heading 2 21 4" xfId="17296" xr:uid="{00000000-0005-0000-0000-000087450000}"/>
    <cellStyle name="Heading 2 22" xfId="17297" xr:uid="{00000000-0005-0000-0000-000088450000}"/>
    <cellStyle name="Heading 2 22 2" xfId="17298" xr:uid="{00000000-0005-0000-0000-000089450000}"/>
    <cellStyle name="Heading 2 22 3" xfId="17299" xr:uid="{00000000-0005-0000-0000-00008A450000}"/>
    <cellStyle name="Heading 2 22 4" xfId="17300" xr:uid="{00000000-0005-0000-0000-00008B450000}"/>
    <cellStyle name="Heading 2 23" xfId="17301" xr:uid="{00000000-0005-0000-0000-00008C450000}"/>
    <cellStyle name="Heading 2 23 2" xfId="17302" xr:uid="{00000000-0005-0000-0000-00008D450000}"/>
    <cellStyle name="Heading 2 23 3" xfId="17303" xr:uid="{00000000-0005-0000-0000-00008E450000}"/>
    <cellStyle name="Heading 2 23 4" xfId="17304" xr:uid="{00000000-0005-0000-0000-00008F450000}"/>
    <cellStyle name="Heading 2 24" xfId="17305" xr:uid="{00000000-0005-0000-0000-000090450000}"/>
    <cellStyle name="Heading 2 24 2" xfId="17306" xr:uid="{00000000-0005-0000-0000-000091450000}"/>
    <cellStyle name="Heading 2 24 3" xfId="17307" xr:uid="{00000000-0005-0000-0000-000092450000}"/>
    <cellStyle name="Heading 2 24 4" xfId="17308" xr:uid="{00000000-0005-0000-0000-000093450000}"/>
    <cellStyle name="Heading 2 25" xfId="17309" xr:uid="{00000000-0005-0000-0000-000094450000}"/>
    <cellStyle name="Heading 2 25 2" xfId="17310" xr:uid="{00000000-0005-0000-0000-000095450000}"/>
    <cellStyle name="Heading 2 25 3" xfId="17311" xr:uid="{00000000-0005-0000-0000-000096450000}"/>
    <cellStyle name="Heading 2 25 4" xfId="17312" xr:uid="{00000000-0005-0000-0000-000097450000}"/>
    <cellStyle name="Heading 2 26" xfId="17313" xr:uid="{00000000-0005-0000-0000-000098450000}"/>
    <cellStyle name="Heading 2 26 2" xfId="17314" xr:uid="{00000000-0005-0000-0000-000099450000}"/>
    <cellStyle name="Heading 2 26 3" xfId="17315" xr:uid="{00000000-0005-0000-0000-00009A450000}"/>
    <cellStyle name="Heading 2 26 4" xfId="17316" xr:uid="{00000000-0005-0000-0000-00009B450000}"/>
    <cellStyle name="Heading 2 27" xfId="17317" xr:uid="{00000000-0005-0000-0000-00009C450000}"/>
    <cellStyle name="Heading 2 27 2" xfId="17318" xr:uid="{00000000-0005-0000-0000-00009D450000}"/>
    <cellStyle name="Heading 2 27 3" xfId="17319" xr:uid="{00000000-0005-0000-0000-00009E450000}"/>
    <cellStyle name="Heading 2 27 4" xfId="17320" xr:uid="{00000000-0005-0000-0000-00009F450000}"/>
    <cellStyle name="Heading 2 28" xfId="17321" xr:uid="{00000000-0005-0000-0000-0000A0450000}"/>
    <cellStyle name="Heading 2 28 2" xfId="17322" xr:uid="{00000000-0005-0000-0000-0000A1450000}"/>
    <cellStyle name="Heading 2 28 3" xfId="17323" xr:uid="{00000000-0005-0000-0000-0000A2450000}"/>
    <cellStyle name="Heading 2 28 4" xfId="17324" xr:uid="{00000000-0005-0000-0000-0000A3450000}"/>
    <cellStyle name="Heading 2 29" xfId="17325" xr:uid="{00000000-0005-0000-0000-0000A4450000}"/>
    <cellStyle name="Heading 2 29 2" xfId="17326" xr:uid="{00000000-0005-0000-0000-0000A5450000}"/>
    <cellStyle name="Heading 2 29 3" xfId="17327" xr:uid="{00000000-0005-0000-0000-0000A6450000}"/>
    <cellStyle name="Heading 2 29 4" xfId="17328" xr:uid="{00000000-0005-0000-0000-0000A7450000}"/>
    <cellStyle name="Heading 2 3" xfId="17329" xr:uid="{00000000-0005-0000-0000-0000A8450000}"/>
    <cellStyle name="Heading 2 3 2" xfId="17330" xr:uid="{00000000-0005-0000-0000-0000A9450000}"/>
    <cellStyle name="Heading 2 3 2 2" xfId="17331" xr:uid="{00000000-0005-0000-0000-0000AA450000}"/>
    <cellStyle name="Heading 2 3 2 3" xfId="17332" xr:uid="{00000000-0005-0000-0000-0000AB450000}"/>
    <cellStyle name="Heading 2 3 2 4" xfId="17333" xr:uid="{00000000-0005-0000-0000-0000AC450000}"/>
    <cellStyle name="Heading 2 3 2 5" xfId="17334" xr:uid="{00000000-0005-0000-0000-0000AD450000}"/>
    <cellStyle name="Heading 2 3 3" xfId="17335" xr:uid="{00000000-0005-0000-0000-0000AE450000}"/>
    <cellStyle name="Heading 2 3 3 2" xfId="17336" xr:uid="{00000000-0005-0000-0000-0000AF450000}"/>
    <cellStyle name="Heading 2 3 3 3" xfId="17337" xr:uid="{00000000-0005-0000-0000-0000B0450000}"/>
    <cellStyle name="Heading 2 3 3 4" xfId="17338" xr:uid="{00000000-0005-0000-0000-0000B1450000}"/>
    <cellStyle name="Heading 2 3 4" xfId="17339" xr:uid="{00000000-0005-0000-0000-0000B2450000}"/>
    <cellStyle name="Heading 2 3 4 2" xfId="17340" xr:uid="{00000000-0005-0000-0000-0000B3450000}"/>
    <cellStyle name="Heading 2 3 4 3" xfId="17341" xr:uid="{00000000-0005-0000-0000-0000B4450000}"/>
    <cellStyle name="Heading 2 3 4 4" xfId="17342" xr:uid="{00000000-0005-0000-0000-0000B5450000}"/>
    <cellStyle name="Heading 2 3 5" xfId="17343" xr:uid="{00000000-0005-0000-0000-0000B6450000}"/>
    <cellStyle name="Heading 2 3 6" xfId="17344" xr:uid="{00000000-0005-0000-0000-0000B7450000}"/>
    <cellStyle name="Heading 2 3 7" xfId="17345" xr:uid="{00000000-0005-0000-0000-0000B8450000}"/>
    <cellStyle name="Heading 2 3 8" xfId="17346" xr:uid="{00000000-0005-0000-0000-0000B9450000}"/>
    <cellStyle name="Heading 2 30" xfId="17347" xr:uid="{00000000-0005-0000-0000-0000BA450000}"/>
    <cellStyle name="Heading 2 31" xfId="17348" xr:uid="{00000000-0005-0000-0000-0000BB450000}"/>
    <cellStyle name="Heading 2 32" xfId="17349" xr:uid="{00000000-0005-0000-0000-0000BC450000}"/>
    <cellStyle name="Heading 2 4" xfId="17350" xr:uid="{00000000-0005-0000-0000-0000BD450000}"/>
    <cellStyle name="Heading 2 4 2" xfId="17351" xr:uid="{00000000-0005-0000-0000-0000BE450000}"/>
    <cellStyle name="Heading 2 4 3" xfId="17352" xr:uid="{00000000-0005-0000-0000-0000BF450000}"/>
    <cellStyle name="Heading 2 4 4" xfId="17353" xr:uid="{00000000-0005-0000-0000-0000C0450000}"/>
    <cellStyle name="Heading 2 4 5" xfId="17354" xr:uid="{00000000-0005-0000-0000-0000C1450000}"/>
    <cellStyle name="Heading 2 4 6" xfId="17355" xr:uid="{00000000-0005-0000-0000-0000C2450000}"/>
    <cellStyle name="Heading 2 5" xfId="17356" xr:uid="{00000000-0005-0000-0000-0000C3450000}"/>
    <cellStyle name="Heading 2 5 2" xfId="17357" xr:uid="{00000000-0005-0000-0000-0000C4450000}"/>
    <cellStyle name="Heading 2 5 3" xfId="17358" xr:uid="{00000000-0005-0000-0000-0000C5450000}"/>
    <cellStyle name="Heading 2 5 4" xfId="17359" xr:uid="{00000000-0005-0000-0000-0000C6450000}"/>
    <cellStyle name="Heading 2 5 5" xfId="17360" xr:uid="{00000000-0005-0000-0000-0000C7450000}"/>
    <cellStyle name="Heading 2 5 6" xfId="17361" xr:uid="{00000000-0005-0000-0000-0000C8450000}"/>
    <cellStyle name="Heading 2 6" xfId="17362" xr:uid="{00000000-0005-0000-0000-0000C9450000}"/>
    <cellStyle name="Heading 2 6 2" xfId="17363" xr:uid="{00000000-0005-0000-0000-0000CA450000}"/>
    <cellStyle name="Heading 2 6 3" xfId="17364" xr:uid="{00000000-0005-0000-0000-0000CB450000}"/>
    <cellStyle name="Heading 2 6 4" xfId="17365" xr:uid="{00000000-0005-0000-0000-0000CC450000}"/>
    <cellStyle name="Heading 2 6 5" xfId="17366" xr:uid="{00000000-0005-0000-0000-0000CD450000}"/>
    <cellStyle name="Heading 2 6 6" xfId="17367" xr:uid="{00000000-0005-0000-0000-0000CE450000}"/>
    <cellStyle name="Heading 2 7" xfId="17368" xr:uid="{00000000-0005-0000-0000-0000CF450000}"/>
    <cellStyle name="Heading 2 7 2" xfId="17369" xr:uid="{00000000-0005-0000-0000-0000D0450000}"/>
    <cellStyle name="Heading 2 7 3" xfId="17370" xr:uid="{00000000-0005-0000-0000-0000D1450000}"/>
    <cellStyle name="Heading 2 7 4" xfId="17371" xr:uid="{00000000-0005-0000-0000-0000D2450000}"/>
    <cellStyle name="Heading 2 7 5" xfId="17372" xr:uid="{00000000-0005-0000-0000-0000D3450000}"/>
    <cellStyle name="Heading 2 7 6" xfId="17373" xr:uid="{00000000-0005-0000-0000-0000D4450000}"/>
    <cellStyle name="Heading 2 8" xfId="17374" xr:uid="{00000000-0005-0000-0000-0000D5450000}"/>
    <cellStyle name="Heading 2 8 2" xfId="17375" xr:uid="{00000000-0005-0000-0000-0000D6450000}"/>
    <cellStyle name="Heading 2 8 3" xfId="17376" xr:uid="{00000000-0005-0000-0000-0000D7450000}"/>
    <cellStyle name="Heading 2 8 4" xfId="17377" xr:uid="{00000000-0005-0000-0000-0000D8450000}"/>
    <cellStyle name="Heading 2 8 5" xfId="17378" xr:uid="{00000000-0005-0000-0000-0000D9450000}"/>
    <cellStyle name="Heading 2 8 6" xfId="17379" xr:uid="{00000000-0005-0000-0000-0000DA450000}"/>
    <cellStyle name="Heading 2 9" xfId="17380" xr:uid="{00000000-0005-0000-0000-0000DB450000}"/>
    <cellStyle name="Heading 2 9 2" xfId="17381" xr:uid="{00000000-0005-0000-0000-0000DC450000}"/>
    <cellStyle name="Heading 2 9 3" xfId="17382" xr:uid="{00000000-0005-0000-0000-0000DD450000}"/>
    <cellStyle name="Heading 2 9 4" xfId="17383" xr:uid="{00000000-0005-0000-0000-0000DE450000}"/>
    <cellStyle name="Heading 3 10" xfId="17384" xr:uid="{00000000-0005-0000-0000-0000DF450000}"/>
    <cellStyle name="Heading 3 10 2" xfId="17385" xr:uid="{00000000-0005-0000-0000-0000E0450000}"/>
    <cellStyle name="Heading 3 10 3" xfId="17386" xr:uid="{00000000-0005-0000-0000-0000E1450000}"/>
    <cellStyle name="Heading 3 10 4" xfId="17387" xr:uid="{00000000-0005-0000-0000-0000E2450000}"/>
    <cellStyle name="Heading 3 11" xfId="17388" xr:uid="{00000000-0005-0000-0000-0000E3450000}"/>
    <cellStyle name="Heading 3 11 2" xfId="17389" xr:uid="{00000000-0005-0000-0000-0000E4450000}"/>
    <cellStyle name="Heading 3 11 3" xfId="17390" xr:uid="{00000000-0005-0000-0000-0000E5450000}"/>
    <cellStyle name="Heading 3 11 4" xfId="17391" xr:uid="{00000000-0005-0000-0000-0000E6450000}"/>
    <cellStyle name="Heading 3 12" xfId="17392" xr:uid="{00000000-0005-0000-0000-0000E7450000}"/>
    <cellStyle name="Heading 3 12 2" xfId="17393" xr:uid="{00000000-0005-0000-0000-0000E8450000}"/>
    <cellStyle name="Heading 3 12 3" xfId="17394" xr:uid="{00000000-0005-0000-0000-0000E9450000}"/>
    <cellStyle name="Heading 3 12 4" xfId="17395" xr:uid="{00000000-0005-0000-0000-0000EA450000}"/>
    <cellStyle name="Heading 3 13" xfId="17396" xr:uid="{00000000-0005-0000-0000-0000EB450000}"/>
    <cellStyle name="Heading 3 13 2" xfId="17397" xr:uid="{00000000-0005-0000-0000-0000EC450000}"/>
    <cellStyle name="Heading 3 13 3" xfId="17398" xr:uid="{00000000-0005-0000-0000-0000ED450000}"/>
    <cellStyle name="Heading 3 13 4" xfId="17399" xr:uid="{00000000-0005-0000-0000-0000EE450000}"/>
    <cellStyle name="Heading 3 14" xfId="17400" xr:uid="{00000000-0005-0000-0000-0000EF450000}"/>
    <cellStyle name="Heading 3 14 2" xfId="17401" xr:uid="{00000000-0005-0000-0000-0000F0450000}"/>
    <cellStyle name="Heading 3 14 3" xfId="17402" xr:uid="{00000000-0005-0000-0000-0000F1450000}"/>
    <cellStyle name="Heading 3 14 4" xfId="17403" xr:uid="{00000000-0005-0000-0000-0000F2450000}"/>
    <cellStyle name="Heading 3 15" xfId="17404" xr:uid="{00000000-0005-0000-0000-0000F3450000}"/>
    <cellStyle name="Heading 3 15 2" xfId="17405" xr:uid="{00000000-0005-0000-0000-0000F4450000}"/>
    <cellStyle name="Heading 3 15 3" xfId="17406" xr:uid="{00000000-0005-0000-0000-0000F5450000}"/>
    <cellStyle name="Heading 3 15 4" xfId="17407" xr:uid="{00000000-0005-0000-0000-0000F6450000}"/>
    <cellStyle name="Heading 3 16" xfId="17408" xr:uid="{00000000-0005-0000-0000-0000F7450000}"/>
    <cellStyle name="Heading 3 16 2" xfId="17409" xr:uid="{00000000-0005-0000-0000-0000F8450000}"/>
    <cellStyle name="Heading 3 16 3" xfId="17410" xr:uid="{00000000-0005-0000-0000-0000F9450000}"/>
    <cellStyle name="Heading 3 16 4" xfId="17411" xr:uid="{00000000-0005-0000-0000-0000FA450000}"/>
    <cellStyle name="Heading 3 17" xfId="17412" xr:uid="{00000000-0005-0000-0000-0000FB450000}"/>
    <cellStyle name="Heading 3 17 2" xfId="17413" xr:uid="{00000000-0005-0000-0000-0000FC450000}"/>
    <cellStyle name="Heading 3 17 3" xfId="17414" xr:uid="{00000000-0005-0000-0000-0000FD450000}"/>
    <cellStyle name="Heading 3 17 4" xfId="17415" xr:uid="{00000000-0005-0000-0000-0000FE450000}"/>
    <cellStyle name="Heading 3 18" xfId="17416" xr:uid="{00000000-0005-0000-0000-0000FF450000}"/>
    <cellStyle name="Heading 3 18 2" xfId="17417" xr:uid="{00000000-0005-0000-0000-000000460000}"/>
    <cellStyle name="Heading 3 18 3" xfId="17418" xr:uid="{00000000-0005-0000-0000-000001460000}"/>
    <cellStyle name="Heading 3 18 4" xfId="17419" xr:uid="{00000000-0005-0000-0000-000002460000}"/>
    <cellStyle name="Heading 3 19" xfId="17420" xr:uid="{00000000-0005-0000-0000-000003460000}"/>
    <cellStyle name="Heading 3 19 2" xfId="17421" xr:uid="{00000000-0005-0000-0000-000004460000}"/>
    <cellStyle name="Heading 3 19 3" xfId="17422" xr:uid="{00000000-0005-0000-0000-000005460000}"/>
    <cellStyle name="Heading 3 19 4" xfId="17423" xr:uid="{00000000-0005-0000-0000-000006460000}"/>
    <cellStyle name="Heading 3 2" xfId="17424" xr:uid="{00000000-0005-0000-0000-000007460000}"/>
    <cellStyle name="Heading 3 2 2" xfId="17425" xr:uid="{00000000-0005-0000-0000-000008460000}"/>
    <cellStyle name="Heading 3 2 2 2" xfId="17426" xr:uid="{00000000-0005-0000-0000-000009460000}"/>
    <cellStyle name="Heading 3 2 2 3" xfId="17427" xr:uid="{00000000-0005-0000-0000-00000A460000}"/>
    <cellStyle name="Heading 3 2 2 4" xfId="17428" xr:uid="{00000000-0005-0000-0000-00000B460000}"/>
    <cellStyle name="Heading 3 2 3" xfId="17429" xr:uid="{00000000-0005-0000-0000-00000C460000}"/>
    <cellStyle name="Heading 3 2 3 2" xfId="17430" xr:uid="{00000000-0005-0000-0000-00000D460000}"/>
    <cellStyle name="Heading 3 2 3 3" xfId="17431" xr:uid="{00000000-0005-0000-0000-00000E460000}"/>
    <cellStyle name="Heading 3 2 3 4" xfId="17432" xr:uid="{00000000-0005-0000-0000-00000F460000}"/>
    <cellStyle name="Heading 3 2 4" xfId="17433" xr:uid="{00000000-0005-0000-0000-000010460000}"/>
    <cellStyle name="Heading 3 2 4 2" xfId="17434" xr:uid="{00000000-0005-0000-0000-000011460000}"/>
    <cellStyle name="Heading 3 2 4 3" xfId="17435" xr:uid="{00000000-0005-0000-0000-000012460000}"/>
    <cellStyle name="Heading 3 2 4 4" xfId="17436" xr:uid="{00000000-0005-0000-0000-000013460000}"/>
    <cellStyle name="Heading 3 2 5" xfId="17437" xr:uid="{00000000-0005-0000-0000-000014460000}"/>
    <cellStyle name="Heading 3 2 6" xfId="17438" xr:uid="{00000000-0005-0000-0000-000015460000}"/>
    <cellStyle name="Heading 3 2 7" xfId="17439" xr:uid="{00000000-0005-0000-0000-000016460000}"/>
    <cellStyle name="Heading 3 2 8" xfId="17440" xr:uid="{00000000-0005-0000-0000-000017460000}"/>
    <cellStyle name="Heading 3 20" xfId="17441" xr:uid="{00000000-0005-0000-0000-000018460000}"/>
    <cellStyle name="Heading 3 20 2" xfId="17442" xr:uid="{00000000-0005-0000-0000-000019460000}"/>
    <cellStyle name="Heading 3 20 3" xfId="17443" xr:uid="{00000000-0005-0000-0000-00001A460000}"/>
    <cellStyle name="Heading 3 20 4" xfId="17444" xr:uid="{00000000-0005-0000-0000-00001B460000}"/>
    <cellStyle name="Heading 3 21" xfId="17445" xr:uid="{00000000-0005-0000-0000-00001C460000}"/>
    <cellStyle name="Heading 3 21 2" xfId="17446" xr:uid="{00000000-0005-0000-0000-00001D460000}"/>
    <cellStyle name="Heading 3 21 3" xfId="17447" xr:uid="{00000000-0005-0000-0000-00001E460000}"/>
    <cellStyle name="Heading 3 21 4" xfId="17448" xr:uid="{00000000-0005-0000-0000-00001F460000}"/>
    <cellStyle name="Heading 3 22" xfId="17449" xr:uid="{00000000-0005-0000-0000-000020460000}"/>
    <cellStyle name="Heading 3 22 2" xfId="17450" xr:uid="{00000000-0005-0000-0000-000021460000}"/>
    <cellStyle name="Heading 3 22 3" xfId="17451" xr:uid="{00000000-0005-0000-0000-000022460000}"/>
    <cellStyle name="Heading 3 22 4" xfId="17452" xr:uid="{00000000-0005-0000-0000-000023460000}"/>
    <cellStyle name="Heading 3 23" xfId="17453" xr:uid="{00000000-0005-0000-0000-000024460000}"/>
    <cellStyle name="Heading 3 23 2" xfId="17454" xr:uid="{00000000-0005-0000-0000-000025460000}"/>
    <cellStyle name="Heading 3 23 3" xfId="17455" xr:uid="{00000000-0005-0000-0000-000026460000}"/>
    <cellStyle name="Heading 3 23 4" xfId="17456" xr:uid="{00000000-0005-0000-0000-000027460000}"/>
    <cellStyle name="Heading 3 24" xfId="17457" xr:uid="{00000000-0005-0000-0000-000028460000}"/>
    <cellStyle name="Heading 3 24 2" xfId="17458" xr:uid="{00000000-0005-0000-0000-000029460000}"/>
    <cellStyle name="Heading 3 24 3" xfId="17459" xr:uid="{00000000-0005-0000-0000-00002A460000}"/>
    <cellStyle name="Heading 3 24 4" xfId="17460" xr:uid="{00000000-0005-0000-0000-00002B460000}"/>
    <cellStyle name="Heading 3 25" xfId="17461" xr:uid="{00000000-0005-0000-0000-00002C460000}"/>
    <cellStyle name="Heading 3 25 2" xfId="17462" xr:uid="{00000000-0005-0000-0000-00002D460000}"/>
    <cellStyle name="Heading 3 25 3" xfId="17463" xr:uid="{00000000-0005-0000-0000-00002E460000}"/>
    <cellStyle name="Heading 3 25 4" xfId="17464" xr:uid="{00000000-0005-0000-0000-00002F460000}"/>
    <cellStyle name="Heading 3 26" xfId="17465" xr:uid="{00000000-0005-0000-0000-000030460000}"/>
    <cellStyle name="Heading 3 26 2" xfId="17466" xr:uid="{00000000-0005-0000-0000-000031460000}"/>
    <cellStyle name="Heading 3 26 3" xfId="17467" xr:uid="{00000000-0005-0000-0000-000032460000}"/>
    <cellStyle name="Heading 3 26 4" xfId="17468" xr:uid="{00000000-0005-0000-0000-000033460000}"/>
    <cellStyle name="Heading 3 27" xfId="17469" xr:uid="{00000000-0005-0000-0000-000034460000}"/>
    <cellStyle name="Heading 3 27 2" xfId="17470" xr:uid="{00000000-0005-0000-0000-000035460000}"/>
    <cellStyle name="Heading 3 27 3" xfId="17471" xr:uid="{00000000-0005-0000-0000-000036460000}"/>
    <cellStyle name="Heading 3 27 4" xfId="17472" xr:uid="{00000000-0005-0000-0000-000037460000}"/>
    <cellStyle name="Heading 3 28" xfId="17473" xr:uid="{00000000-0005-0000-0000-000038460000}"/>
    <cellStyle name="Heading 3 28 2" xfId="17474" xr:uid="{00000000-0005-0000-0000-000039460000}"/>
    <cellStyle name="Heading 3 28 3" xfId="17475" xr:uid="{00000000-0005-0000-0000-00003A460000}"/>
    <cellStyle name="Heading 3 28 4" xfId="17476" xr:uid="{00000000-0005-0000-0000-00003B460000}"/>
    <cellStyle name="Heading 3 29" xfId="17477" xr:uid="{00000000-0005-0000-0000-00003C460000}"/>
    <cellStyle name="Heading 3 29 2" xfId="17478" xr:uid="{00000000-0005-0000-0000-00003D460000}"/>
    <cellStyle name="Heading 3 29 3" xfId="17479" xr:uid="{00000000-0005-0000-0000-00003E460000}"/>
    <cellStyle name="Heading 3 29 4" xfId="17480" xr:uid="{00000000-0005-0000-0000-00003F460000}"/>
    <cellStyle name="Heading 3 3" xfId="17481" xr:uid="{00000000-0005-0000-0000-000040460000}"/>
    <cellStyle name="Heading 3 3 2" xfId="17482" xr:uid="{00000000-0005-0000-0000-000041460000}"/>
    <cellStyle name="Heading 3 3 2 2" xfId="17483" xr:uid="{00000000-0005-0000-0000-000042460000}"/>
    <cellStyle name="Heading 3 3 2 3" xfId="17484" xr:uid="{00000000-0005-0000-0000-000043460000}"/>
    <cellStyle name="Heading 3 3 2 4" xfId="17485" xr:uid="{00000000-0005-0000-0000-000044460000}"/>
    <cellStyle name="Heading 3 3 3" xfId="17486" xr:uid="{00000000-0005-0000-0000-000045460000}"/>
    <cellStyle name="Heading 3 3 3 2" xfId="17487" xr:uid="{00000000-0005-0000-0000-000046460000}"/>
    <cellStyle name="Heading 3 3 3 3" xfId="17488" xr:uid="{00000000-0005-0000-0000-000047460000}"/>
    <cellStyle name="Heading 3 3 3 4" xfId="17489" xr:uid="{00000000-0005-0000-0000-000048460000}"/>
    <cellStyle name="Heading 3 3 4" xfId="17490" xr:uid="{00000000-0005-0000-0000-000049460000}"/>
    <cellStyle name="Heading 3 3 4 2" xfId="17491" xr:uid="{00000000-0005-0000-0000-00004A460000}"/>
    <cellStyle name="Heading 3 3 4 3" xfId="17492" xr:uid="{00000000-0005-0000-0000-00004B460000}"/>
    <cellStyle name="Heading 3 3 4 4" xfId="17493" xr:uid="{00000000-0005-0000-0000-00004C460000}"/>
    <cellStyle name="Heading 3 3 5" xfId="17494" xr:uid="{00000000-0005-0000-0000-00004D460000}"/>
    <cellStyle name="Heading 3 3 6" xfId="17495" xr:uid="{00000000-0005-0000-0000-00004E460000}"/>
    <cellStyle name="Heading 3 3 7" xfId="17496" xr:uid="{00000000-0005-0000-0000-00004F460000}"/>
    <cellStyle name="Heading 3 3 8" xfId="17497" xr:uid="{00000000-0005-0000-0000-000050460000}"/>
    <cellStyle name="Heading 3 30" xfId="17498" xr:uid="{00000000-0005-0000-0000-000051460000}"/>
    <cellStyle name="Heading 3 31" xfId="17499" xr:uid="{00000000-0005-0000-0000-000052460000}"/>
    <cellStyle name="Heading 3 32" xfId="17500" xr:uid="{00000000-0005-0000-0000-000053460000}"/>
    <cellStyle name="Heading 3 4" xfId="17501" xr:uid="{00000000-0005-0000-0000-000054460000}"/>
    <cellStyle name="Heading 3 4 2" xfId="17502" xr:uid="{00000000-0005-0000-0000-000055460000}"/>
    <cellStyle name="Heading 3 4 3" xfId="17503" xr:uid="{00000000-0005-0000-0000-000056460000}"/>
    <cellStyle name="Heading 3 4 4" xfId="17504" xr:uid="{00000000-0005-0000-0000-000057460000}"/>
    <cellStyle name="Heading 3 4 5" xfId="17505" xr:uid="{00000000-0005-0000-0000-000058460000}"/>
    <cellStyle name="Heading 3 4 6" xfId="17506" xr:uid="{00000000-0005-0000-0000-000059460000}"/>
    <cellStyle name="Heading 3 5" xfId="17507" xr:uid="{00000000-0005-0000-0000-00005A460000}"/>
    <cellStyle name="Heading 3 5 2" xfId="17508" xr:uid="{00000000-0005-0000-0000-00005B460000}"/>
    <cellStyle name="Heading 3 5 3" xfId="17509" xr:uid="{00000000-0005-0000-0000-00005C460000}"/>
    <cellStyle name="Heading 3 5 4" xfId="17510" xr:uid="{00000000-0005-0000-0000-00005D460000}"/>
    <cellStyle name="Heading 3 5 5" xfId="17511" xr:uid="{00000000-0005-0000-0000-00005E460000}"/>
    <cellStyle name="Heading 3 5 6" xfId="17512" xr:uid="{00000000-0005-0000-0000-00005F460000}"/>
    <cellStyle name="Heading 3 6" xfId="17513" xr:uid="{00000000-0005-0000-0000-000060460000}"/>
    <cellStyle name="Heading 3 6 2" xfId="17514" xr:uid="{00000000-0005-0000-0000-000061460000}"/>
    <cellStyle name="Heading 3 6 3" xfId="17515" xr:uid="{00000000-0005-0000-0000-000062460000}"/>
    <cellStyle name="Heading 3 6 4" xfId="17516" xr:uid="{00000000-0005-0000-0000-000063460000}"/>
    <cellStyle name="Heading 3 6 5" xfId="17517" xr:uid="{00000000-0005-0000-0000-000064460000}"/>
    <cellStyle name="Heading 3 6 6" xfId="17518" xr:uid="{00000000-0005-0000-0000-000065460000}"/>
    <cellStyle name="Heading 3 7" xfId="17519" xr:uid="{00000000-0005-0000-0000-000066460000}"/>
    <cellStyle name="Heading 3 7 2" xfId="17520" xr:uid="{00000000-0005-0000-0000-000067460000}"/>
    <cellStyle name="Heading 3 7 3" xfId="17521" xr:uid="{00000000-0005-0000-0000-000068460000}"/>
    <cellStyle name="Heading 3 7 4" xfId="17522" xr:uid="{00000000-0005-0000-0000-000069460000}"/>
    <cellStyle name="Heading 3 7 5" xfId="17523" xr:uid="{00000000-0005-0000-0000-00006A460000}"/>
    <cellStyle name="Heading 3 7 6" xfId="17524" xr:uid="{00000000-0005-0000-0000-00006B460000}"/>
    <cellStyle name="Heading 3 8" xfId="17525" xr:uid="{00000000-0005-0000-0000-00006C460000}"/>
    <cellStyle name="Heading 3 8 2" xfId="17526" xr:uid="{00000000-0005-0000-0000-00006D460000}"/>
    <cellStyle name="Heading 3 8 3" xfId="17527" xr:uid="{00000000-0005-0000-0000-00006E460000}"/>
    <cellStyle name="Heading 3 8 4" xfId="17528" xr:uid="{00000000-0005-0000-0000-00006F460000}"/>
    <cellStyle name="Heading 3 8 5" xfId="17529" xr:uid="{00000000-0005-0000-0000-000070460000}"/>
    <cellStyle name="Heading 3 8 6" xfId="17530" xr:uid="{00000000-0005-0000-0000-000071460000}"/>
    <cellStyle name="Heading 3 9" xfId="17531" xr:uid="{00000000-0005-0000-0000-000072460000}"/>
    <cellStyle name="Heading 3 9 2" xfId="17532" xr:uid="{00000000-0005-0000-0000-000073460000}"/>
    <cellStyle name="Heading 3 9 3" xfId="17533" xr:uid="{00000000-0005-0000-0000-000074460000}"/>
    <cellStyle name="Heading 3 9 4" xfId="17534" xr:uid="{00000000-0005-0000-0000-000075460000}"/>
    <cellStyle name="Heading 4 10" xfId="17535" xr:uid="{00000000-0005-0000-0000-000076460000}"/>
    <cellStyle name="Heading 4 10 2" xfId="17536" xr:uid="{00000000-0005-0000-0000-000077460000}"/>
    <cellStyle name="Heading 4 10 3" xfId="17537" xr:uid="{00000000-0005-0000-0000-000078460000}"/>
    <cellStyle name="Heading 4 10 4" xfId="17538" xr:uid="{00000000-0005-0000-0000-000079460000}"/>
    <cellStyle name="Heading 4 11" xfId="17539" xr:uid="{00000000-0005-0000-0000-00007A460000}"/>
    <cellStyle name="Heading 4 11 2" xfId="17540" xr:uid="{00000000-0005-0000-0000-00007B460000}"/>
    <cellStyle name="Heading 4 11 3" xfId="17541" xr:uid="{00000000-0005-0000-0000-00007C460000}"/>
    <cellStyle name="Heading 4 11 4" xfId="17542" xr:uid="{00000000-0005-0000-0000-00007D460000}"/>
    <cellStyle name="Heading 4 12" xfId="17543" xr:uid="{00000000-0005-0000-0000-00007E460000}"/>
    <cellStyle name="Heading 4 12 2" xfId="17544" xr:uid="{00000000-0005-0000-0000-00007F460000}"/>
    <cellStyle name="Heading 4 12 3" xfId="17545" xr:uid="{00000000-0005-0000-0000-000080460000}"/>
    <cellStyle name="Heading 4 12 4" xfId="17546" xr:uid="{00000000-0005-0000-0000-000081460000}"/>
    <cellStyle name="Heading 4 13" xfId="17547" xr:uid="{00000000-0005-0000-0000-000082460000}"/>
    <cellStyle name="Heading 4 13 2" xfId="17548" xr:uid="{00000000-0005-0000-0000-000083460000}"/>
    <cellStyle name="Heading 4 13 3" xfId="17549" xr:uid="{00000000-0005-0000-0000-000084460000}"/>
    <cellStyle name="Heading 4 13 4" xfId="17550" xr:uid="{00000000-0005-0000-0000-000085460000}"/>
    <cellStyle name="Heading 4 14" xfId="17551" xr:uid="{00000000-0005-0000-0000-000086460000}"/>
    <cellStyle name="Heading 4 14 2" xfId="17552" xr:uid="{00000000-0005-0000-0000-000087460000}"/>
    <cellStyle name="Heading 4 14 3" xfId="17553" xr:uid="{00000000-0005-0000-0000-000088460000}"/>
    <cellStyle name="Heading 4 14 4" xfId="17554" xr:uid="{00000000-0005-0000-0000-000089460000}"/>
    <cellStyle name="Heading 4 15" xfId="17555" xr:uid="{00000000-0005-0000-0000-00008A460000}"/>
    <cellStyle name="Heading 4 15 2" xfId="17556" xr:uid="{00000000-0005-0000-0000-00008B460000}"/>
    <cellStyle name="Heading 4 15 3" xfId="17557" xr:uid="{00000000-0005-0000-0000-00008C460000}"/>
    <cellStyle name="Heading 4 15 4" xfId="17558" xr:uid="{00000000-0005-0000-0000-00008D460000}"/>
    <cellStyle name="Heading 4 16" xfId="17559" xr:uid="{00000000-0005-0000-0000-00008E460000}"/>
    <cellStyle name="Heading 4 16 2" xfId="17560" xr:uid="{00000000-0005-0000-0000-00008F460000}"/>
    <cellStyle name="Heading 4 16 3" xfId="17561" xr:uid="{00000000-0005-0000-0000-000090460000}"/>
    <cellStyle name="Heading 4 16 4" xfId="17562" xr:uid="{00000000-0005-0000-0000-000091460000}"/>
    <cellStyle name="Heading 4 17" xfId="17563" xr:uid="{00000000-0005-0000-0000-000092460000}"/>
    <cellStyle name="Heading 4 17 2" xfId="17564" xr:uid="{00000000-0005-0000-0000-000093460000}"/>
    <cellStyle name="Heading 4 17 3" xfId="17565" xr:uid="{00000000-0005-0000-0000-000094460000}"/>
    <cellStyle name="Heading 4 17 4" xfId="17566" xr:uid="{00000000-0005-0000-0000-000095460000}"/>
    <cellStyle name="Heading 4 18" xfId="17567" xr:uid="{00000000-0005-0000-0000-000096460000}"/>
    <cellStyle name="Heading 4 18 2" xfId="17568" xr:uid="{00000000-0005-0000-0000-000097460000}"/>
    <cellStyle name="Heading 4 18 3" xfId="17569" xr:uid="{00000000-0005-0000-0000-000098460000}"/>
    <cellStyle name="Heading 4 18 4" xfId="17570" xr:uid="{00000000-0005-0000-0000-000099460000}"/>
    <cellStyle name="Heading 4 19" xfId="17571" xr:uid="{00000000-0005-0000-0000-00009A460000}"/>
    <cellStyle name="Heading 4 19 2" xfId="17572" xr:uid="{00000000-0005-0000-0000-00009B460000}"/>
    <cellStyle name="Heading 4 19 3" xfId="17573" xr:uid="{00000000-0005-0000-0000-00009C460000}"/>
    <cellStyle name="Heading 4 19 4" xfId="17574" xr:uid="{00000000-0005-0000-0000-00009D460000}"/>
    <cellStyle name="Heading 4 2" xfId="17575" xr:uid="{00000000-0005-0000-0000-00009E460000}"/>
    <cellStyle name="Heading 4 2 2" xfId="17576" xr:uid="{00000000-0005-0000-0000-00009F460000}"/>
    <cellStyle name="Heading 4 2 2 2" xfId="17577" xr:uid="{00000000-0005-0000-0000-0000A0460000}"/>
    <cellStyle name="Heading 4 2 2 3" xfId="17578" xr:uid="{00000000-0005-0000-0000-0000A1460000}"/>
    <cellStyle name="Heading 4 2 2 4" xfId="17579" xr:uid="{00000000-0005-0000-0000-0000A2460000}"/>
    <cellStyle name="Heading 4 2 3" xfId="17580" xr:uid="{00000000-0005-0000-0000-0000A3460000}"/>
    <cellStyle name="Heading 4 2 3 2" xfId="17581" xr:uid="{00000000-0005-0000-0000-0000A4460000}"/>
    <cellStyle name="Heading 4 2 3 3" xfId="17582" xr:uid="{00000000-0005-0000-0000-0000A5460000}"/>
    <cellStyle name="Heading 4 2 3 4" xfId="17583" xr:uid="{00000000-0005-0000-0000-0000A6460000}"/>
    <cellStyle name="Heading 4 2 4" xfId="17584" xr:uid="{00000000-0005-0000-0000-0000A7460000}"/>
    <cellStyle name="Heading 4 2 4 2" xfId="17585" xr:uid="{00000000-0005-0000-0000-0000A8460000}"/>
    <cellStyle name="Heading 4 2 4 3" xfId="17586" xr:uid="{00000000-0005-0000-0000-0000A9460000}"/>
    <cellStyle name="Heading 4 2 4 4" xfId="17587" xr:uid="{00000000-0005-0000-0000-0000AA460000}"/>
    <cellStyle name="Heading 4 2 5" xfId="17588" xr:uid="{00000000-0005-0000-0000-0000AB460000}"/>
    <cellStyle name="Heading 4 2 6" xfId="17589" xr:uid="{00000000-0005-0000-0000-0000AC460000}"/>
    <cellStyle name="Heading 4 2 7" xfId="17590" xr:uid="{00000000-0005-0000-0000-0000AD460000}"/>
    <cellStyle name="Heading 4 2 8" xfId="17591" xr:uid="{00000000-0005-0000-0000-0000AE460000}"/>
    <cellStyle name="Heading 4 20" xfId="17592" xr:uid="{00000000-0005-0000-0000-0000AF460000}"/>
    <cellStyle name="Heading 4 20 2" xfId="17593" xr:uid="{00000000-0005-0000-0000-0000B0460000}"/>
    <cellStyle name="Heading 4 20 3" xfId="17594" xr:uid="{00000000-0005-0000-0000-0000B1460000}"/>
    <cellStyle name="Heading 4 20 4" xfId="17595" xr:uid="{00000000-0005-0000-0000-0000B2460000}"/>
    <cellStyle name="Heading 4 21" xfId="17596" xr:uid="{00000000-0005-0000-0000-0000B3460000}"/>
    <cellStyle name="Heading 4 21 2" xfId="17597" xr:uid="{00000000-0005-0000-0000-0000B4460000}"/>
    <cellStyle name="Heading 4 21 3" xfId="17598" xr:uid="{00000000-0005-0000-0000-0000B5460000}"/>
    <cellStyle name="Heading 4 21 4" xfId="17599" xr:uid="{00000000-0005-0000-0000-0000B6460000}"/>
    <cellStyle name="Heading 4 22" xfId="17600" xr:uid="{00000000-0005-0000-0000-0000B7460000}"/>
    <cellStyle name="Heading 4 22 2" xfId="17601" xr:uid="{00000000-0005-0000-0000-0000B8460000}"/>
    <cellStyle name="Heading 4 22 3" xfId="17602" xr:uid="{00000000-0005-0000-0000-0000B9460000}"/>
    <cellStyle name="Heading 4 22 4" xfId="17603" xr:uid="{00000000-0005-0000-0000-0000BA460000}"/>
    <cellStyle name="Heading 4 23" xfId="17604" xr:uid="{00000000-0005-0000-0000-0000BB460000}"/>
    <cellStyle name="Heading 4 23 2" xfId="17605" xr:uid="{00000000-0005-0000-0000-0000BC460000}"/>
    <cellStyle name="Heading 4 23 3" xfId="17606" xr:uid="{00000000-0005-0000-0000-0000BD460000}"/>
    <cellStyle name="Heading 4 23 4" xfId="17607" xr:uid="{00000000-0005-0000-0000-0000BE460000}"/>
    <cellStyle name="Heading 4 24" xfId="17608" xr:uid="{00000000-0005-0000-0000-0000BF460000}"/>
    <cellStyle name="Heading 4 24 2" xfId="17609" xr:uid="{00000000-0005-0000-0000-0000C0460000}"/>
    <cellStyle name="Heading 4 24 3" xfId="17610" xr:uid="{00000000-0005-0000-0000-0000C1460000}"/>
    <cellStyle name="Heading 4 24 4" xfId="17611" xr:uid="{00000000-0005-0000-0000-0000C2460000}"/>
    <cellStyle name="Heading 4 25" xfId="17612" xr:uid="{00000000-0005-0000-0000-0000C3460000}"/>
    <cellStyle name="Heading 4 25 2" xfId="17613" xr:uid="{00000000-0005-0000-0000-0000C4460000}"/>
    <cellStyle name="Heading 4 25 3" xfId="17614" xr:uid="{00000000-0005-0000-0000-0000C5460000}"/>
    <cellStyle name="Heading 4 25 4" xfId="17615" xr:uid="{00000000-0005-0000-0000-0000C6460000}"/>
    <cellStyle name="Heading 4 26" xfId="17616" xr:uid="{00000000-0005-0000-0000-0000C7460000}"/>
    <cellStyle name="Heading 4 26 2" xfId="17617" xr:uid="{00000000-0005-0000-0000-0000C8460000}"/>
    <cellStyle name="Heading 4 26 3" xfId="17618" xr:uid="{00000000-0005-0000-0000-0000C9460000}"/>
    <cellStyle name="Heading 4 26 4" xfId="17619" xr:uid="{00000000-0005-0000-0000-0000CA460000}"/>
    <cellStyle name="Heading 4 27" xfId="17620" xr:uid="{00000000-0005-0000-0000-0000CB460000}"/>
    <cellStyle name="Heading 4 27 2" xfId="17621" xr:uid="{00000000-0005-0000-0000-0000CC460000}"/>
    <cellStyle name="Heading 4 27 3" xfId="17622" xr:uid="{00000000-0005-0000-0000-0000CD460000}"/>
    <cellStyle name="Heading 4 27 4" xfId="17623" xr:uid="{00000000-0005-0000-0000-0000CE460000}"/>
    <cellStyle name="Heading 4 28" xfId="17624" xr:uid="{00000000-0005-0000-0000-0000CF460000}"/>
    <cellStyle name="Heading 4 28 2" xfId="17625" xr:uid="{00000000-0005-0000-0000-0000D0460000}"/>
    <cellStyle name="Heading 4 28 3" xfId="17626" xr:uid="{00000000-0005-0000-0000-0000D1460000}"/>
    <cellStyle name="Heading 4 28 4" xfId="17627" xr:uid="{00000000-0005-0000-0000-0000D2460000}"/>
    <cellStyle name="Heading 4 29" xfId="17628" xr:uid="{00000000-0005-0000-0000-0000D3460000}"/>
    <cellStyle name="Heading 4 29 2" xfId="17629" xr:uid="{00000000-0005-0000-0000-0000D4460000}"/>
    <cellStyle name="Heading 4 29 3" xfId="17630" xr:uid="{00000000-0005-0000-0000-0000D5460000}"/>
    <cellStyle name="Heading 4 29 4" xfId="17631" xr:uid="{00000000-0005-0000-0000-0000D6460000}"/>
    <cellStyle name="Heading 4 3" xfId="17632" xr:uid="{00000000-0005-0000-0000-0000D7460000}"/>
    <cellStyle name="Heading 4 3 2" xfId="17633" xr:uid="{00000000-0005-0000-0000-0000D8460000}"/>
    <cellStyle name="Heading 4 3 2 2" xfId="17634" xr:uid="{00000000-0005-0000-0000-0000D9460000}"/>
    <cellStyle name="Heading 4 3 2 3" xfId="17635" xr:uid="{00000000-0005-0000-0000-0000DA460000}"/>
    <cellStyle name="Heading 4 3 2 4" xfId="17636" xr:uid="{00000000-0005-0000-0000-0000DB460000}"/>
    <cellStyle name="Heading 4 3 3" xfId="17637" xr:uid="{00000000-0005-0000-0000-0000DC460000}"/>
    <cellStyle name="Heading 4 3 3 2" xfId="17638" xr:uid="{00000000-0005-0000-0000-0000DD460000}"/>
    <cellStyle name="Heading 4 3 3 3" xfId="17639" xr:uid="{00000000-0005-0000-0000-0000DE460000}"/>
    <cellStyle name="Heading 4 3 3 4" xfId="17640" xr:uid="{00000000-0005-0000-0000-0000DF460000}"/>
    <cellStyle name="Heading 4 3 4" xfId="17641" xr:uid="{00000000-0005-0000-0000-0000E0460000}"/>
    <cellStyle name="Heading 4 3 4 2" xfId="17642" xr:uid="{00000000-0005-0000-0000-0000E1460000}"/>
    <cellStyle name="Heading 4 3 4 3" xfId="17643" xr:uid="{00000000-0005-0000-0000-0000E2460000}"/>
    <cellStyle name="Heading 4 3 4 4" xfId="17644" xr:uid="{00000000-0005-0000-0000-0000E3460000}"/>
    <cellStyle name="Heading 4 3 5" xfId="17645" xr:uid="{00000000-0005-0000-0000-0000E4460000}"/>
    <cellStyle name="Heading 4 3 6" xfId="17646" xr:uid="{00000000-0005-0000-0000-0000E5460000}"/>
    <cellStyle name="Heading 4 3 7" xfId="17647" xr:uid="{00000000-0005-0000-0000-0000E6460000}"/>
    <cellStyle name="Heading 4 3 8" xfId="17648" xr:uid="{00000000-0005-0000-0000-0000E7460000}"/>
    <cellStyle name="Heading 4 30" xfId="17649" xr:uid="{00000000-0005-0000-0000-0000E8460000}"/>
    <cellStyle name="Heading 4 31" xfId="17650" xr:uid="{00000000-0005-0000-0000-0000E9460000}"/>
    <cellStyle name="Heading 4 32" xfId="17651" xr:uid="{00000000-0005-0000-0000-0000EA460000}"/>
    <cellStyle name="Heading 4 4" xfId="17652" xr:uid="{00000000-0005-0000-0000-0000EB460000}"/>
    <cellStyle name="Heading 4 4 2" xfId="17653" xr:uid="{00000000-0005-0000-0000-0000EC460000}"/>
    <cellStyle name="Heading 4 4 3" xfId="17654" xr:uid="{00000000-0005-0000-0000-0000ED460000}"/>
    <cellStyle name="Heading 4 4 4" xfId="17655" xr:uid="{00000000-0005-0000-0000-0000EE460000}"/>
    <cellStyle name="Heading 4 4 5" xfId="17656" xr:uid="{00000000-0005-0000-0000-0000EF460000}"/>
    <cellStyle name="Heading 4 4 6" xfId="17657" xr:uid="{00000000-0005-0000-0000-0000F0460000}"/>
    <cellStyle name="Heading 4 5" xfId="17658" xr:uid="{00000000-0005-0000-0000-0000F1460000}"/>
    <cellStyle name="Heading 4 5 2" xfId="17659" xr:uid="{00000000-0005-0000-0000-0000F2460000}"/>
    <cellStyle name="Heading 4 5 3" xfId="17660" xr:uid="{00000000-0005-0000-0000-0000F3460000}"/>
    <cellStyle name="Heading 4 5 4" xfId="17661" xr:uid="{00000000-0005-0000-0000-0000F4460000}"/>
    <cellStyle name="Heading 4 5 5" xfId="17662" xr:uid="{00000000-0005-0000-0000-0000F5460000}"/>
    <cellStyle name="Heading 4 5 6" xfId="17663" xr:uid="{00000000-0005-0000-0000-0000F6460000}"/>
    <cellStyle name="Heading 4 6" xfId="17664" xr:uid="{00000000-0005-0000-0000-0000F7460000}"/>
    <cellStyle name="Heading 4 6 2" xfId="17665" xr:uid="{00000000-0005-0000-0000-0000F8460000}"/>
    <cellStyle name="Heading 4 6 3" xfId="17666" xr:uid="{00000000-0005-0000-0000-0000F9460000}"/>
    <cellStyle name="Heading 4 6 4" xfId="17667" xr:uid="{00000000-0005-0000-0000-0000FA460000}"/>
    <cellStyle name="Heading 4 6 5" xfId="17668" xr:uid="{00000000-0005-0000-0000-0000FB460000}"/>
    <cellStyle name="Heading 4 6 6" xfId="17669" xr:uid="{00000000-0005-0000-0000-0000FC460000}"/>
    <cellStyle name="Heading 4 7" xfId="17670" xr:uid="{00000000-0005-0000-0000-0000FD460000}"/>
    <cellStyle name="Heading 4 7 2" xfId="17671" xr:uid="{00000000-0005-0000-0000-0000FE460000}"/>
    <cellStyle name="Heading 4 7 3" xfId="17672" xr:uid="{00000000-0005-0000-0000-0000FF460000}"/>
    <cellStyle name="Heading 4 7 4" xfId="17673" xr:uid="{00000000-0005-0000-0000-000000470000}"/>
    <cellStyle name="Heading 4 7 5" xfId="17674" xr:uid="{00000000-0005-0000-0000-000001470000}"/>
    <cellStyle name="Heading 4 7 6" xfId="17675" xr:uid="{00000000-0005-0000-0000-000002470000}"/>
    <cellStyle name="Heading 4 8" xfId="17676" xr:uid="{00000000-0005-0000-0000-000003470000}"/>
    <cellStyle name="Heading 4 8 2" xfId="17677" xr:uid="{00000000-0005-0000-0000-000004470000}"/>
    <cellStyle name="Heading 4 8 3" xfId="17678" xr:uid="{00000000-0005-0000-0000-000005470000}"/>
    <cellStyle name="Heading 4 8 4" xfId="17679" xr:uid="{00000000-0005-0000-0000-000006470000}"/>
    <cellStyle name="Heading 4 8 5" xfId="17680" xr:uid="{00000000-0005-0000-0000-000007470000}"/>
    <cellStyle name="Heading 4 8 6" xfId="17681" xr:uid="{00000000-0005-0000-0000-000008470000}"/>
    <cellStyle name="Heading 4 9" xfId="17682" xr:uid="{00000000-0005-0000-0000-000009470000}"/>
    <cellStyle name="Heading 4 9 2" xfId="17683" xr:uid="{00000000-0005-0000-0000-00000A470000}"/>
    <cellStyle name="Heading 4 9 3" xfId="17684" xr:uid="{00000000-0005-0000-0000-00000B470000}"/>
    <cellStyle name="Heading 4 9 4" xfId="17685" xr:uid="{00000000-0005-0000-0000-00000C470000}"/>
    <cellStyle name="heading 5" xfId="17686" xr:uid="{00000000-0005-0000-0000-00000D470000}"/>
    <cellStyle name="heading 6" xfId="17687" xr:uid="{00000000-0005-0000-0000-00000E470000}"/>
    <cellStyle name="heading 7" xfId="17688" xr:uid="{00000000-0005-0000-0000-00000F470000}"/>
    <cellStyle name="heading 8" xfId="17689" xr:uid="{00000000-0005-0000-0000-000010470000}"/>
    <cellStyle name="heading 9" xfId="17690" xr:uid="{00000000-0005-0000-0000-000011470000}"/>
    <cellStyle name="Heading1" xfId="17691" xr:uid="{00000000-0005-0000-0000-000012470000}"/>
    <cellStyle name="Heading1 1" xfId="17692" xr:uid="{00000000-0005-0000-0000-000013470000}"/>
    <cellStyle name="Heading1 1 2" xfId="17693" xr:uid="{00000000-0005-0000-0000-000014470000}"/>
    <cellStyle name="Heading1 1 3" xfId="17694" xr:uid="{00000000-0005-0000-0000-000015470000}"/>
    <cellStyle name="Heading1 1 4" xfId="17695" xr:uid="{00000000-0005-0000-0000-000016470000}"/>
    <cellStyle name="Heading1 2" xfId="17696" xr:uid="{00000000-0005-0000-0000-000017470000}"/>
    <cellStyle name="Heading1 3" xfId="17697" xr:uid="{00000000-0005-0000-0000-000018470000}"/>
    <cellStyle name="Heading1 4" xfId="17698" xr:uid="{00000000-0005-0000-0000-000019470000}"/>
    <cellStyle name="Heading2" xfId="17699" xr:uid="{00000000-0005-0000-0000-00001A470000}"/>
    <cellStyle name="Heading2 2" xfId="17700" xr:uid="{00000000-0005-0000-0000-00001B470000}"/>
    <cellStyle name="Heading2 2 2" xfId="17701" xr:uid="{00000000-0005-0000-0000-00001C470000}"/>
    <cellStyle name="Heading2 2 3" xfId="17702" xr:uid="{00000000-0005-0000-0000-00001D470000}"/>
    <cellStyle name="Heading2 2 4" xfId="17703" xr:uid="{00000000-0005-0000-0000-00001E470000}"/>
    <cellStyle name="Heading2 3" xfId="17704" xr:uid="{00000000-0005-0000-0000-00001F470000}"/>
    <cellStyle name="Heading2 4" xfId="17705" xr:uid="{00000000-0005-0000-0000-000020470000}"/>
    <cellStyle name="Heading2 5" xfId="17706" xr:uid="{00000000-0005-0000-0000-000021470000}"/>
    <cellStyle name="HIGHLIGHT" xfId="17707" xr:uid="{00000000-0005-0000-0000-000022470000}"/>
    <cellStyle name="HIGHLIGHT 2" xfId="17708" xr:uid="{00000000-0005-0000-0000-000023470000}"/>
    <cellStyle name="HIGHLIGHT 2 2" xfId="17709" xr:uid="{00000000-0005-0000-0000-000024470000}"/>
    <cellStyle name="HIGHLIGHT 2 3" xfId="17710" xr:uid="{00000000-0005-0000-0000-000025470000}"/>
    <cellStyle name="HIGHLIGHT 2 4" xfId="17711" xr:uid="{00000000-0005-0000-0000-000026470000}"/>
    <cellStyle name="HIGHLIGHT 3" xfId="17712" xr:uid="{00000000-0005-0000-0000-000027470000}"/>
    <cellStyle name="HIGHLIGHT 3 2" xfId="17713" xr:uid="{00000000-0005-0000-0000-000028470000}"/>
    <cellStyle name="HIGHLIGHT 3 3" xfId="17714" xr:uid="{00000000-0005-0000-0000-000029470000}"/>
    <cellStyle name="HIGHLIGHT 3 4" xfId="17715" xr:uid="{00000000-0005-0000-0000-00002A470000}"/>
    <cellStyle name="HIGHLIGHT 4" xfId="17716" xr:uid="{00000000-0005-0000-0000-00002B470000}"/>
    <cellStyle name="HIGHLIGHT 5" xfId="17717" xr:uid="{00000000-0005-0000-0000-00002C470000}"/>
    <cellStyle name="HIGHLIGHT 6" xfId="17718" xr:uid="{00000000-0005-0000-0000-00002D470000}"/>
    <cellStyle name="Hyperlink 10" xfId="17719" xr:uid="{00000000-0005-0000-0000-00002E470000}"/>
    <cellStyle name="Hyperlink 11" xfId="25870" xr:uid="{00000000-0005-0000-0000-00002F470000}"/>
    <cellStyle name="Hyperlink 2" xfId="17720" xr:uid="{00000000-0005-0000-0000-000030470000}"/>
    <cellStyle name="Hyperlink 2 2" xfId="17721" xr:uid="{00000000-0005-0000-0000-000031470000}"/>
    <cellStyle name="Hyperlink 2 2 2" xfId="17722" xr:uid="{00000000-0005-0000-0000-000032470000}"/>
    <cellStyle name="Hyperlink 2 2 3" xfId="17723" xr:uid="{00000000-0005-0000-0000-000033470000}"/>
    <cellStyle name="Hyperlink 2 2 4" xfId="17724" xr:uid="{00000000-0005-0000-0000-000034470000}"/>
    <cellStyle name="Hyperlink 2 2 5" xfId="17725" xr:uid="{00000000-0005-0000-0000-000035470000}"/>
    <cellStyle name="Hyperlink 2 3" xfId="17726" xr:uid="{00000000-0005-0000-0000-000036470000}"/>
    <cellStyle name="Hyperlink 2 3 2" xfId="17727" xr:uid="{00000000-0005-0000-0000-000037470000}"/>
    <cellStyle name="Hyperlink 2 3 3" xfId="17728" xr:uid="{00000000-0005-0000-0000-000038470000}"/>
    <cellStyle name="Hyperlink 2 3 4" xfId="17729" xr:uid="{00000000-0005-0000-0000-000039470000}"/>
    <cellStyle name="Hyperlink 2 4" xfId="17730" xr:uid="{00000000-0005-0000-0000-00003A470000}"/>
    <cellStyle name="Hyperlink 2 4 2" xfId="25131" xr:uid="{00000000-0005-0000-0000-00003B470000}"/>
    <cellStyle name="Hyperlink 2 4 3" xfId="25132" xr:uid="{00000000-0005-0000-0000-00003C470000}"/>
    <cellStyle name="Hyperlink 2 5" xfId="17731" xr:uid="{00000000-0005-0000-0000-00003D470000}"/>
    <cellStyle name="Hyperlink 2 6" xfId="17732" xr:uid="{00000000-0005-0000-0000-00003E470000}"/>
    <cellStyle name="Hyperlink 2 7" xfId="17733" xr:uid="{00000000-0005-0000-0000-00003F470000}"/>
    <cellStyle name="Hyperlink 2 8" xfId="17734" xr:uid="{00000000-0005-0000-0000-000040470000}"/>
    <cellStyle name="Hyperlink 3" xfId="17735" xr:uid="{00000000-0005-0000-0000-000041470000}"/>
    <cellStyle name="Hyperlink 3 2" xfId="17736" xr:uid="{00000000-0005-0000-0000-000042470000}"/>
    <cellStyle name="Hyperlink 3 2 2" xfId="17737" xr:uid="{00000000-0005-0000-0000-000043470000}"/>
    <cellStyle name="Hyperlink 3 2 3" xfId="17738" xr:uid="{00000000-0005-0000-0000-000044470000}"/>
    <cellStyle name="Hyperlink 3 2 4" xfId="17739" xr:uid="{00000000-0005-0000-0000-000045470000}"/>
    <cellStyle name="Hyperlink 3 3" xfId="17740" xr:uid="{00000000-0005-0000-0000-000046470000}"/>
    <cellStyle name="Hyperlink 3 3 2" xfId="17741" xr:uid="{00000000-0005-0000-0000-000047470000}"/>
    <cellStyle name="Hyperlink 3 3 3" xfId="17742" xr:uid="{00000000-0005-0000-0000-000048470000}"/>
    <cellStyle name="Hyperlink 3 3 4" xfId="17743" xr:uid="{00000000-0005-0000-0000-000049470000}"/>
    <cellStyle name="Hyperlink 3 4" xfId="17744" xr:uid="{00000000-0005-0000-0000-00004A470000}"/>
    <cellStyle name="Hyperlink 3 5" xfId="17745" xr:uid="{00000000-0005-0000-0000-00004B470000}"/>
    <cellStyle name="Hyperlink 3 6" xfId="17746" xr:uid="{00000000-0005-0000-0000-00004C470000}"/>
    <cellStyle name="Hyperlink 4" xfId="17747" xr:uid="{00000000-0005-0000-0000-00004D470000}"/>
    <cellStyle name="Hyperlink 4 2" xfId="17748" xr:uid="{00000000-0005-0000-0000-00004E470000}"/>
    <cellStyle name="Hyperlink 4 2 2" xfId="17749" xr:uid="{00000000-0005-0000-0000-00004F470000}"/>
    <cellStyle name="Hyperlink 4 2 3" xfId="17750" xr:uid="{00000000-0005-0000-0000-000050470000}"/>
    <cellStyle name="Hyperlink 4 2 4" xfId="17751" xr:uid="{00000000-0005-0000-0000-000051470000}"/>
    <cellStyle name="Hyperlink 4 3" xfId="17752" xr:uid="{00000000-0005-0000-0000-000052470000}"/>
    <cellStyle name="Hyperlink 4 4" xfId="17753" xr:uid="{00000000-0005-0000-0000-000053470000}"/>
    <cellStyle name="Hyperlink 4 5" xfId="17754" xr:uid="{00000000-0005-0000-0000-000054470000}"/>
    <cellStyle name="Hyperlink 4 6" xfId="17755" xr:uid="{00000000-0005-0000-0000-000055470000}"/>
    <cellStyle name="Hyperlink 5" xfId="17756" xr:uid="{00000000-0005-0000-0000-000056470000}"/>
    <cellStyle name="Hyperlink 5 2" xfId="17757" xr:uid="{00000000-0005-0000-0000-000057470000}"/>
    <cellStyle name="Hyperlink 5 2 2" xfId="17758" xr:uid="{00000000-0005-0000-0000-000058470000}"/>
    <cellStyle name="Hyperlink 5 2 3" xfId="17759" xr:uid="{00000000-0005-0000-0000-000059470000}"/>
    <cellStyle name="Hyperlink 5 2 4" xfId="17760" xr:uid="{00000000-0005-0000-0000-00005A470000}"/>
    <cellStyle name="Hyperlink 5 3" xfId="17761" xr:uid="{00000000-0005-0000-0000-00005B470000}"/>
    <cellStyle name="Hyperlink 5 4" xfId="17762" xr:uid="{00000000-0005-0000-0000-00005C470000}"/>
    <cellStyle name="Hyperlink 5 5" xfId="17763" xr:uid="{00000000-0005-0000-0000-00005D470000}"/>
    <cellStyle name="Hyperlink 6" xfId="17764" xr:uid="{00000000-0005-0000-0000-00005E470000}"/>
    <cellStyle name="Hyperlink 6 2" xfId="17765" xr:uid="{00000000-0005-0000-0000-00005F470000}"/>
    <cellStyle name="Hyperlink 6 2 2" xfId="17766" xr:uid="{00000000-0005-0000-0000-000060470000}"/>
    <cellStyle name="Hyperlink 6 2 3" xfId="17767" xr:uid="{00000000-0005-0000-0000-000061470000}"/>
    <cellStyle name="Hyperlink 6 2 4" xfId="17768" xr:uid="{00000000-0005-0000-0000-000062470000}"/>
    <cellStyle name="Hyperlink 6 3" xfId="17769" xr:uid="{00000000-0005-0000-0000-000063470000}"/>
    <cellStyle name="Hyperlink 6 4" xfId="17770" xr:uid="{00000000-0005-0000-0000-000064470000}"/>
    <cellStyle name="Hyperlink 6 5" xfId="17771" xr:uid="{00000000-0005-0000-0000-000065470000}"/>
    <cellStyle name="Hyperlink 7" xfId="17772" xr:uid="{00000000-0005-0000-0000-000066470000}"/>
    <cellStyle name="Hyperlink 7 2" xfId="17773" xr:uid="{00000000-0005-0000-0000-000067470000}"/>
    <cellStyle name="Hyperlink 7 3" xfId="17774" xr:uid="{00000000-0005-0000-0000-000068470000}"/>
    <cellStyle name="Hyperlink 7 4" xfId="17775" xr:uid="{00000000-0005-0000-0000-000069470000}"/>
    <cellStyle name="Hyperlink 7 5" xfId="17776" xr:uid="{00000000-0005-0000-0000-00006A470000}"/>
    <cellStyle name="Hyperlink 8" xfId="17777" xr:uid="{00000000-0005-0000-0000-00006B470000}"/>
    <cellStyle name="Hyperlink 8 2" xfId="17778" xr:uid="{00000000-0005-0000-0000-00006C470000}"/>
    <cellStyle name="Hyperlink 8 3" xfId="17779" xr:uid="{00000000-0005-0000-0000-00006D470000}"/>
    <cellStyle name="Hyperlink 8 4" xfId="17780" xr:uid="{00000000-0005-0000-0000-00006E470000}"/>
    <cellStyle name="Hyperlink 9" xfId="17781" xr:uid="{00000000-0005-0000-0000-00006F470000}"/>
    <cellStyle name="Incorrecto" xfId="17782" xr:uid="{00000000-0005-0000-0000-000070470000}"/>
    <cellStyle name="Incorrecto 2" xfId="17783" xr:uid="{00000000-0005-0000-0000-000071470000}"/>
    <cellStyle name="Incorrecto 2 2" xfId="17784" xr:uid="{00000000-0005-0000-0000-000072470000}"/>
    <cellStyle name="Incorrecto 2 3" xfId="17785" xr:uid="{00000000-0005-0000-0000-000073470000}"/>
    <cellStyle name="Incorrecto 2 4" xfId="17786" xr:uid="{00000000-0005-0000-0000-000074470000}"/>
    <cellStyle name="Incorrecto 3" xfId="17787" xr:uid="{00000000-0005-0000-0000-000075470000}"/>
    <cellStyle name="Incorrecto 4" xfId="17788" xr:uid="{00000000-0005-0000-0000-000076470000}"/>
    <cellStyle name="Incorrecto 5" xfId="17789" xr:uid="{00000000-0005-0000-0000-000077470000}"/>
    <cellStyle name="Incorrecto 6" xfId="17790" xr:uid="{00000000-0005-0000-0000-000078470000}"/>
    <cellStyle name="Input [yellow]" xfId="17791" xr:uid="{00000000-0005-0000-0000-000079470000}"/>
    <cellStyle name="Input [yellow] 2" xfId="17792" xr:uid="{00000000-0005-0000-0000-00007A470000}"/>
    <cellStyle name="Input [yellow] 2 2" xfId="17793" xr:uid="{00000000-0005-0000-0000-00007B470000}"/>
    <cellStyle name="Input [yellow] 2 2 2" xfId="17794" xr:uid="{00000000-0005-0000-0000-00007C470000}"/>
    <cellStyle name="Input [yellow] 2 2 3" xfId="17795" xr:uid="{00000000-0005-0000-0000-00007D470000}"/>
    <cellStyle name="Input [yellow] 2 2 4" xfId="17796" xr:uid="{00000000-0005-0000-0000-00007E470000}"/>
    <cellStyle name="Input [yellow] 2 2 5" xfId="17797" xr:uid="{00000000-0005-0000-0000-00007F470000}"/>
    <cellStyle name="Input [yellow] 2 3" xfId="17798" xr:uid="{00000000-0005-0000-0000-000080470000}"/>
    <cellStyle name="Input [yellow] 2 4" xfId="17799" xr:uid="{00000000-0005-0000-0000-000081470000}"/>
    <cellStyle name="Input [yellow] 2 5" xfId="17800" xr:uid="{00000000-0005-0000-0000-000082470000}"/>
    <cellStyle name="Input [yellow] 3" xfId="17801" xr:uid="{00000000-0005-0000-0000-000083470000}"/>
    <cellStyle name="Input [yellow] 3 2" xfId="17802" xr:uid="{00000000-0005-0000-0000-000084470000}"/>
    <cellStyle name="Input [yellow] 3 3" xfId="17803" xr:uid="{00000000-0005-0000-0000-000085470000}"/>
    <cellStyle name="Input [yellow] 3 4" xfId="17804" xr:uid="{00000000-0005-0000-0000-000086470000}"/>
    <cellStyle name="Input [yellow] 3 5" xfId="17805" xr:uid="{00000000-0005-0000-0000-000087470000}"/>
    <cellStyle name="Input [yellow] 4" xfId="17806" xr:uid="{00000000-0005-0000-0000-000088470000}"/>
    <cellStyle name="Input [yellow] 5" xfId="17807" xr:uid="{00000000-0005-0000-0000-000089470000}"/>
    <cellStyle name="Input [yellow] 6" xfId="17808" xr:uid="{00000000-0005-0000-0000-00008A470000}"/>
    <cellStyle name="Input 10" xfId="17809" xr:uid="{00000000-0005-0000-0000-00008B470000}"/>
    <cellStyle name="Input 10 2" xfId="17810" xr:uid="{00000000-0005-0000-0000-00008C470000}"/>
    <cellStyle name="Input 10 3" xfId="17811" xr:uid="{00000000-0005-0000-0000-00008D470000}"/>
    <cellStyle name="Input 10 4" xfId="17812" xr:uid="{00000000-0005-0000-0000-00008E470000}"/>
    <cellStyle name="Input 11" xfId="17813" xr:uid="{00000000-0005-0000-0000-00008F470000}"/>
    <cellStyle name="Input 11 2" xfId="17814" xr:uid="{00000000-0005-0000-0000-000090470000}"/>
    <cellStyle name="Input 11 3" xfId="17815" xr:uid="{00000000-0005-0000-0000-000091470000}"/>
    <cellStyle name="Input 11 4" xfId="17816" xr:uid="{00000000-0005-0000-0000-000092470000}"/>
    <cellStyle name="Input 12" xfId="17817" xr:uid="{00000000-0005-0000-0000-000093470000}"/>
    <cellStyle name="Input 12 2" xfId="17818" xr:uid="{00000000-0005-0000-0000-000094470000}"/>
    <cellStyle name="Input 12 3" xfId="17819" xr:uid="{00000000-0005-0000-0000-000095470000}"/>
    <cellStyle name="Input 12 4" xfId="17820" xr:uid="{00000000-0005-0000-0000-000096470000}"/>
    <cellStyle name="Input 13" xfId="17821" xr:uid="{00000000-0005-0000-0000-000097470000}"/>
    <cellStyle name="Input 13 2" xfId="17822" xr:uid="{00000000-0005-0000-0000-000098470000}"/>
    <cellStyle name="Input 13 3" xfId="17823" xr:uid="{00000000-0005-0000-0000-000099470000}"/>
    <cellStyle name="Input 13 4" xfId="17824" xr:uid="{00000000-0005-0000-0000-00009A470000}"/>
    <cellStyle name="Input 14" xfId="17825" xr:uid="{00000000-0005-0000-0000-00009B470000}"/>
    <cellStyle name="Input 14 2" xfId="17826" xr:uid="{00000000-0005-0000-0000-00009C470000}"/>
    <cellStyle name="Input 14 3" xfId="17827" xr:uid="{00000000-0005-0000-0000-00009D470000}"/>
    <cellStyle name="Input 14 4" xfId="17828" xr:uid="{00000000-0005-0000-0000-00009E470000}"/>
    <cellStyle name="Input 15" xfId="17829" xr:uid="{00000000-0005-0000-0000-00009F470000}"/>
    <cellStyle name="Input 15 2" xfId="17830" xr:uid="{00000000-0005-0000-0000-0000A0470000}"/>
    <cellStyle name="Input 15 3" xfId="17831" xr:uid="{00000000-0005-0000-0000-0000A1470000}"/>
    <cellStyle name="Input 15 4" xfId="17832" xr:uid="{00000000-0005-0000-0000-0000A2470000}"/>
    <cellStyle name="Input 16" xfId="17833" xr:uid="{00000000-0005-0000-0000-0000A3470000}"/>
    <cellStyle name="Input 16 2" xfId="17834" xr:uid="{00000000-0005-0000-0000-0000A4470000}"/>
    <cellStyle name="Input 16 3" xfId="17835" xr:uid="{00000000-0005-0000-0000-0000A5470000}"/>
    <cellStyle name="Input 16 4" xfId="17836" xr:uid="{00000000-0005-0000-0000-0000A6470000}"/>
    <cellStyle name="Input 17" xfId="17837" xr:uid="{00000000-0005-0000-0000-0000A7470000}"/>
    <cellStyle name="Input 17 2" xfId="17838" xr:uid="{00000000-0005-0000-0000-0000A8470000}"/>
    <cellStyle name="Input 17 3" xfId="17839" xr:uid="{00000000-0005-0000-0000-0000A9470000}"/>
    <cellStyle name="Input 17 4" xfId="17840" xr:uid="{00000000-0005-0000-0000-0000AA470000}"/>
    <cellStyle name="Input 18" xfId="17841" xr:uid="{00000000-0005-0000-0000-0000AB470000}"/>
    <cellStyle name="Input 18 2" xfId="17842" xr:uid="{00000000-0005-0000-0000-0000AC470000}"/>
    <cellStyle name="Input 18 3" xfId="17843" xr:uid="{00000000-0005-0000-0000-0000AD470000}"/>
    <cellStyle name="Input 18 4" xfId="17844" xr:uid="{00000000-0005-0000-0000-0000AE470000}"/>
    <cellStyle name="Input 19" xfId="17845" xr:uid="{00000000-0005-0000-0000-0000AF470000}"/>
    <cellStyle name="Input 19 2" xfId="17846" xr:uid="{00000000-0005-0000-0000-0000B0470000}"/>
    <cellStyle name="Input 19 3" xfId="17847" xr:uid="{00000000-0005-0000-0000-0000B1470000}"/>
    <cellStyle name="Input 19 4" xfId="17848" xr:uid="{00000000-0005-0000-0000-0000B2470000}"/>
    <cellStyle name="Input 2" xfId="17849" xr:uid="{00000000-0005-0000-0000-0000B3470000}"/>
    <cellStyle name="Input 2 2" xfId="17850" xr:uid="{00000000-0005-0000-0000-0000B4470000}"/>
    <cellStyle name="Input 2 2 2" xfId="17851" xr:uid="{00000000-0005-0000-0000-0000B5470000}"/>
    <cellStyle name="Input 2 2 3" xfId="17852" xr:uid="{00000000-0005-0000-0000-0000B6470000}"/>
    <cellStyle name="Input 2 2 4" xfId="17853" xr:uid="{00000000-0005-0000-0000-0000B7470000}"/>
    <cellStyle name="Input 2 3" xfId="17854" xr:uid="{00000000-0005-0000-0000-0000B8470000}"/>
    <cellStyle name="Input 2 3 2" xfId="17855" xr:uid="{00000000-0005-0000-0000-0000B9470000}"/>
    <cellStyle name="Input 2 3 3" xfId="17856" xr:uid="{00000000-0005-0000-0000-0000BA470000}"/>
    <cellStyle name="Input 2 3 4" xfId="17857" xr:uid="{00000000-0005-0000-0000-0000BB470000}"/>
    <cellStyle name="Input 2 4" xfId="17858" xr:uid="{00000000-0005-0000-0000-0000BC470000}"/>
    <cellStyle name="Input 2 4 2" xfId="17859" xr:uid="{00000000-0005-0000-0000-0000BD470000}"/>
    <cellStyle name="Input 2 4 3" xfId="17860" xr:uid="{00000000-0005-0000-0000-0000BE470000}"/>
    <cellStyle name="Input 2 4 4" xfId="17861" xr:uid="{00000000-0005-0000-0000-0000BF470000}"/>
    <cellStyle name="Input 2 5" xfId="17862" xr:uid="{00000000-0005-0000-0000-0000C0470000}"/>
    <cellStyle name="Input 2 6" xfId="17863" xr:uid="{00000000-0005-0000-0000-0000C1470000}"/>
    <cellStyle name="Input 2 7" xfId="17864" xr:uid="{00000000-0005-0000-0000-0000C2470000}"/>
    <cellStyle name="Input 2 8" xfId="17865" xr:uid="{00000000-0005-0000-0000-0000C3470000}"/>
    <cellStyle name="Input 20" xfId="17866" xr:uid="{00000000-0005-0000-0000-0000C4470000}"/>
    <cellStyle name="Input 20 2" xfId="17867" xr:uid="{00000000-0005-0000-0000-0000C5470000}"/>
    <cellStyle name="Input 20 3" xfId="17868" xr:uid="{00000000-0005-0000-0000-0000C6470000}"/>
    <cellStyle name="Input 20 4" xfId="17869" xr:uid="{00000000-0005-0000-0000-0000C7470000}"/>
    <cellStyle name="Input 21" xfId="17870" xr:uid="{00000000-0005-0000-0000-0000C8470000}"/>
    <cellStyle name="Input 21 2" xfId="17871" xr:uid="{00000000-0005-0000-0000-0000C9470000}"/>
    <cellStyle name="Input 21 3" xfId="17872" xr:uid="{00000000-0005-0000-0000-0000CA470000}"/>
    <cellStyle name="Input 21 4" xfId="17873" xr:uid="{00000000-0005-0000-0000-0000CB470000}"/>
    <cellStyle name="Input 22" xfId="17874" xr:uid="{00000000-0005-0000-0000-0000CC470000}"/>
    <cellStyle name="Input 22 2" xfId="17875" xr:uid="{00000000-0005-0000-0000-0000CD470000}"/>
    <cellStyle name="Input 22 3" xfId="17876" xr:uid="{00000000-0005-0000-0000-0000CE470000}"/>
    <cellStyle name="Input 22 4" xfId="17877" xr:uid="{00000000-0005-0000-0000-0000CF470000}"/>
    <cellStyle name="Input 23" xfId="17878" xr:uid="{00000000-0005-0000-0000-0000D0470000}"/>
    <cellStyle name="Input 23 2" xfId="17879" xr:uid="{00000000-0005-0000-0000-0000D1470000}"/>
    <cellStyle name="Input 23 3" xfId="17880" xr:uid="{00000000-0005-0000-0000-0000D2470000}"/>
    <cellStyle name="Input 23 4" xfId="17881" xr:uid="{00000000-0005-0000-0000-0000D3470000}"/>
    <cellStyle name="Input 24" xfId="17882" xr:uid="{00000000-0005-0000-0000-0000D4470000}"/>
    <cellStyle name="Input 24 2" xfId="17883" xr:uid="{00000000-0005-0000-0000-0000D5470000}"/>
    <cellStyle name="Input 24 3" xfId="17884" xr:uid="{00000000-0005-0000-0000-0000D6470000}"/>
    <cellStyle name="Input 24 4" xfId="17885" xr:uid="{00000000-0005-0000-0000-0000D7470000}"/>
    <cellStyle name="Input 25" xfId="17886" xr:uid="{00000000-0005-0000-0000-0000D8470000}"/>
    <cellStyle name="Input 25 2" xfId="17887" xr:uid="{00000000-0005-0000-0000-0000D9470000}"/>
    <cellStyle name="Input 25 3" xfId="17888" xr:uid="{00000000-0005-0000-0000-0000DA470000}"/>
    <cellStyle name="Input 25 4" xfId="17889" xr:uid="{00000000-0005-0000-0000-0000DB470000}"/>
    <cellStyle name="Input 26" xfId="17890" xr:uid="{00000000-0005-0000-0000-0000DC470000}"/>
    <cellStyle name="Input 26 2" xfId="17891" xr:uid="{00000000-0005-0000-0000-0000DD470000}"/>
    <cellStyle name="Input 26 3" xfId="17892" xr:uid="{00000000-0005-0000-0000-0000DE470000}"/>
    <cellStyle name="Input 26 4" xfId="17893" xr:uid="{00000000-0005-0000-0000-0000DF470000}"/>
    <cellStyle name="Input 27" xfId="17894" xr:uid="{00000000-0005-0000-0000-0000E0470000}"/>
    <cellStyle name="Input 27 2" xfId="17895" xr:uid="{00000000-0005-0000-0000-0000E1470000}"/>
    <cellStyle name="Input 27 3" xfId="17896" xr:uid="{00000000-0005-0000-0000-0000E2470000}"/>
    <cellStyle name="Input 27 4" xfId="17897" xr:uid="{00000000-0005-0000-0000-0000E3470000}"/>
    <cellStyle name="Input 27 5" xfId="17898" xr:uid="{00000000-0005-0000-0000-0000E4470000}"/>
    <cellStyle name="Input 28" xfId="17899" xr:uid="{00000000-0005-0000-0000-0000E5470000}"/>
    <cellStyle name="Input 28 2" xfId="17900" xr:uid="{00000000-0005-0000-0000-0000E6470000}"/>
    <cellStyle name="Input 28 3" xfId="17901" xr:uid="{00000000-0005-0000-0000-0000E7470000}"/>
    <cellStyle name="Input 28 4" xfId="17902" xr:uid="{00000000-0005-0000-0000-0000E8470000}"/>
    <cellStyle name="Input 28 5" xfId="17903" xr:uid="{00000000-0005-0000-0000-0000E9470000}"/>
    <cellStyle name="Input 29" xfId="17904" xr:uid="{00000000-0005-0000-0000-0000EA470000}"/>
    <cellStyle name="Input 29 2" xfId="17905" xr:uid="{00000000-0005-0000-0000-0000EB470000}"/>
    <cellStyle name="Input 29 3" xfId="17906" xr:uid="{00000000-0005-0000-0000-0000EC470000}"/>
    <cellStyle name="Input 29 4" xfId="17907" xr:uid="{00000000-0005-0000-0000-0000ED470000}"/>
    <cellStyle name="Input 29 5" xfId="17908" xr:uid="{00000000-0005-0000-0000-0000EE470000}"/>
    <cellStyle name="Input 3" xfId="17909" xr:uid="{00000000-0005-0000-0000-0000EF470000}"/>
    <cellStyle name="Input 3 2" xfId="17910" xr:uid="{00000000-0005-0000-0000-0000F0470000}"/>
    <cellStyle name="Input 3 2 2" xfId="17911" xr:uid="{00000000-0005-0000-0000-0000F1470000}"/>
    <cellStyle name="Input 3 2 3" xfId="17912" xr:uid="{00000000-0005-0000-0000-0000F2470000}"/>
    <cellStyle name="Input 3 2 4" xfId="17913" xr:uid="{00000000-0005-0000-0000-0000F3470000}"/>
    <cellStyle name="Input 3 3" xfId="17914" xr:uid="{00000000-0005-0000-0000-0000F4470000}"/>
    <cellStyle name="Input 3 3 2" xfId="17915" xr:uid="{00000000-0005-0000-0000-0000F5470000}"/>
    <cellStyle name="Input 3 3 3" xfId="17916" xr:uid="{00000000-0005-0000-0000-0000F6470000}"/>
    <cellStyle name="Input 3 3 4" xfId="17917" xr:uid="{00000000-0005-0000-0000-0000F7470000}"/>
    <cellStyle name="Input 3 4" xfId="17918" xr:uid="{00000000-0005-0000-0000-0000F8470000}"/>
    <cellStyle name="Input 3 4 2" xfId="17919" xr:uid="{00000000-0005-0000-0000-0000F9470000}"/>
    <cellStyle name="Input 3 4 3" xfId="17920" xr:uid="{00000000-0005-0000-0000-0000FA470000}"/>
    <cellStyle name="Input 3 4 4" xfId="17921" xr:uid="{00000000-0005-0000-0000-0000FB470000}"/>
    <cellStyle name="Input 3 5" xfId="17922" xr:uid="{00000000-0005-0000-0000-0000FC470000}"/>
    <cellStyle name="Input 3 6" xfId="17923" xr:uid="{00000000-0005-0000-0000-0000FD470000}"/>
    <cellStyle name="Input 3 7" xfId="17924" xr:uid="{00000000-0005-0000-0000-0000FE470000}"/>
    <cellStyle name="Input 3 8" xfId="17925" xr:uid="{00000000-0005-0000-0000-0000FF470000}"/>
    <cellStyle name="Input 30" xfId="17926" xr:uid="{00000000-0005-0000-0000-000000480000}"/>
    <cellStyle name="Input 30 2" xfId="17927" xr:uid="{00000000-0005-0000-0000-000001480000}"/>
    <cellStyle name="Input 30 3" xfId="17928" xr:uid="{00000000-0005-0000-0000-000002480000}"/>
    <cellStyle name="Input 30 4" xfId="17929" xr:uid="{00000000-0005-0000-0000-000003480000}"/>
    <cellStyle name="Input 30 5" xfId="17930" xr:uid="{00000000-0005-0000-0000-000004480000}"/>
    <cellStyle name="Input 31" xfId="17931" xr:uid="{00000000-0005-0000-0000-000005480000}"/>
    <cellStyle name="Input 31 2" xfId="17932" xr:uid="{00000000-0005-0000-0000-000006480000}"/>
    <cellStyle name="Input 31 3" xfId="17933" xr:uid="{00000000-0005-0000-0000-000007480000}"/>
    <cellStyle name="Input 31 4" xfId="17934" xr:uid="{00000000-0005-0000-0000-000008480000}"/>
    <cellStyle name="Input 31 5" xfId="17935" xr:uid="{00000000-0005-0000-0000-000009480000}"/>
    <cellStyle name="Input 32" xfId="17936" xr:uid="{00000000-0005-0000-0000-00000A480000}"/>
    <cellStyle name="Input 32 2" xfId="17937" xr:uid="{00000000-0005-0000-0000-00000B480000}"/>
    <cellStyle name="Input 32 3" xfId="17938" xr:uid="{00000000-0005-0000-0000-00000C480000}"/>
    <cellStyle name="Input 32 4" xfId="17939" xr:uid="{00000000-0005-0000-0000-00000D480000}"/>
    <cellStyle name="Input 32 5" xfId="17940" xr:uid="{00000000-0005-0000-0000-00000E480000}"/>
    <cellStyle name="Input 33" xfId="17941" xr:uid="{00000000-0005-0000-0000-00000F480000}"/>
    <cellStyle name="Input 33 2" xfId="17942" xr:uid="{00000000-0005-0000-0000-000010480000}"/>
    <cellStyle name="Input 33 3" xfId="17943" xr:uid="{00000000-0005-0000-0000-000011480000}"/>
    <cellStyle name="Input 33 4" xfId="17944" xr:uid="{00000000-0005-0000-0000-000012480000}"/>
    <cellStyle name="Input 34" xfId="17945" xr:uid="{00000000-0005-0000-0000-000013480000}"/>
    <cellStyle name="Input 34 2" xfId="17946" xr:uid="{00000000-0005-0000-0000-000014480000}"/>
    <cellStyle name="Input 34 3" xfId="17947" xr:uid="{00000000-0005-0000-0000-000015480000}"/>
    <cellStyle name="Input 34 4" xfId="17948" xr:uid="{00000000-0005-0000-0000-000016480000}"/>
    <cellStyle name="Input 35" xfId="17949" xr:uid="{00000000-0005-0000-0000-000017480000}"/>
    <cellStyle name="Input 35 2" xfId="17950" xr:uid="{00000000-0005-0000-0000-000018480000}"/>
    <cellStyle name="Input 35 3" xfId="17951" xr:uid="{00000000-0005-0000-0000-000019480000}"/>
    <cellStyle name="Input 35 4" xfId="17952" xr:uid="{00000000-0005-0000-0000-00001A480000}"/>
    <cellStyle name="Input 35 5" xfId="17953" xr:uid="{00000000-0005-0000-0000-00001B480000}"/>
    <cellStyle name="Input 36" xfId="17954" xr:uid="{00000000-0005-0000-0000-00001C480000}"/>
    <cellStyle name="Input 36 2" xfId="17955" xr:uid="{00000000-0005-0000-0000-00001D480000}"/>
    <cellStyle name="Input 37" xfId="17956" xr:uid="{00000000-0005-0000-0000-00001E480000}"/>
    <cellStyle name="Input 38" xfId="17957" xr:uid="{00000000-0005-0000-0000-00001F480000}"/>
    <cellStyle name="Input 39" xfId="17958" xr:uid="{00000000-0005-0000-0000-000020480000}"/>
    <cellStyle name="Input 4" xfId="17959" xr:uid="{00000000-0005-0000-0000-000021480000}"/>
    <cellStyle name="Input 4 2" xfId="17960" xr:uid="{00000000-0005-0000-0000-000022480000}"/>
    <cellStyle name="Input 4 3" xfId="17961" xr:uid="{00000000-0005-0000-0000-000023480000}"/>
    <cellStyle name="Input 4 4" xfId="17962" xr:uid="{00000000-0005-0000-0000-000024480000}"/>
    <cellStyle name="Input 4 5" xfId="17963" xr:uid="{00000000-0005-0000-0000-000025480000}"/>
    <cellStyle name="Input 4 6" xfId="17964" xr:uid="{00000000-0005-0000-0000-000026480000}"/>
    <cellStyle name="Input 40" xfId="17965" xr:uid="{00000000-0005-0000-0000-000027480000}"/>
    <cellStyle name="Input 41" xfId="17966" xr:uid="{00000000-0005-0000-0000-000028480000}"/>
    <cellStyle name="Input 42" xfId="17967" xr:uid="{00000000-0005-0000-0000-000029480000}"/>
    <cellStyle name="Input 43" xfId="17968" xr:uid="{00000000-0005-0000-0000-00002A480000}"/>
    <cellStyle name="Input 5" xfId="17969" xr:uid="{00000000-0005-0000-0000-00002B480000}"/>
    <cellStyle name="Input 5 2" xfId="17970" xr:uid="{00000000-0005-0000-0000-00002C480000}"/>
    <cellStyle name="Input 5 3" xfId="17971" xr:uid="{00000000-0005-0000-0000-00002D480000}"/>
    <cellStyle name="Input 5 4" xfId="17972" xr:uid="{00000000-0005-0000-0000-00002E480000}"/>
    <cellStyle name="Input 5 5" xfId="17973" xr:uid="{00000000-0005-0000-0000-00002F480000}"/>
    <cellStyle name="Input 5 6" xfId="17974" xr:uid="{00000000-0005-0000-0000-000030480000}"/>
    <cellStyle name="Input 6" xfId="17975" xr:uid="{00000000-0005-0000-0000-000031480000}"/>
    <cellStyle name="Input 6 2" xfId="17976" xr:uid="{00000000-0005-0000-0000-000032480000}"/>
    <cellStyle name="Input 6 3" xfId="17977" xr:uid="{00000000-0005-0000-0000-000033480000}"/>
    <cellStyle name="Input 6 4" xfId="17978" xr:uid="{00000000-0005-0000-0000-000034480000}"/>
    <cellStyle name="Input 6 5" xfId="17979" xr:uid="{00000000-0005-0000-0000-000035480000}"/>
    <cellStyle name="Input 6 6" xfId="17980" xr:uid="{00000000-0005-0000-0000-000036480000}"/>
    <cellStyle name="Input 7" xfId="17981" xr:uid="{00000000-0005-0000-0000-000037480000}"/>
    <cellStyle name="Input 7 2" xfId="17982" xr:uid="{00000000-0005-0000-0000-000038480000}"/>
    <cellStyle name="Input 7 3" xfId="17983" xr:uid="{00000000-0005-0000-0000-000039480000}"/>
    <cellStyle name="Input 7 4" xfId="17984" xr:uid="{00000000-0005-0000-0000-00003A480000}"/>
    <cellStyle name="Input 7 5" xfId="17985" xr:uid="{00000000-0005-0000-0000-00003B480000}"/>
    <cellStyle name="Input 7 6" xfId="17986" xr:uid="{00000000-0005-0000-0000-00003C480000}"/>
    <cellStyle name="Input 8" xfId="17987" xr:uid="{00000000-0005-0000-0000-00003D480000}"/>
    <cellStyle name="Input 8 2" xfId="17988" xr:uid="{00000000-0005-0000-0000-00003E480000}"/>
    <cellStyle name="Input 8 3" xfId="17989" xr:uid="{00000000-0005-0000-0000-00003F480000}"/>
    <cellStyle name="Input 8 4" xfId="17990" xr:uid="{00000000-0005-0000-0000-000040480000}"/>
    <cellStyle name="Input 8 5" xfId="17991" xr:uid="{00000000-0005-0000-0000-000041480000}"/>
    <cellStyle name="Input 8 6" xfId="17992" xr:uid="{00000000-0005-0000-0000-000042480000}"/>
    <cellStyle name="Input 9" xfId="17993" xr:uid="{00000000-0005-0000-0000-000043480000}"/>
    <cellStyle name="Input 9 2" xfId="17994" xr:uid="{00000000-0005-0000-0000-000044480000}"/>
    <cellStyle name="Input 9 3" xfId="17995" xr:uid="{00000000-0005-0000-0000-000045480000}"/>
    <cellStyle name="Input 9 4" xfId="17996" xr:uid="{00000000-0005-0000-0000-000046480000}"/>
    <cellStyle name="Insatisfaisant" xfId="17997" xr:uid="{00000000-0005-0000-0000-000047480000}"/>
    <cellStyle name="Item Descriptions" xfId="17998" xr:uid="{00000000-0005-0000-0000-000048480000}"/>
    <cellStyle name="Item Descriptions - Bold" xfId="17999" xr:uid="{00000000-0005-0000-0000-000049480000}"/>
    <cellStyle name="Item Descriptions - Bold 2" xfId="18000" xr:uid="{00000000-0005-0000-0000-00004A480000}"/>
    <cellStyle name="Item Descriptions - Bold 3" xfId="18001" xr:uid="{00000000-0005-0000-0000-00004B480000}"/>
    <cellStyle name="Item Descriptions - Bold 4" xfId="18002" xr:uid="{00000000-0005-0000-0000-00004C480000}"/>
    <cellStyle name="Item Descriptions - Bold 5" xfId="18003" xr:uid="{00000000-0005-0000-0000-00004D480000}"/>
    <cellStyle name="Item Descriptions 10" xfId="18004" xr:uid="{00000000-0005-0000-0000-00004E480000}"/>
    <cellStyle name="Item Descriptions 11" xfId="18005" xr:uid="{00000000-0005-0000-0000-00004F480000}"/>
    <cellStyle name="Item Descriptions 12" xfId="18006" xr:uid="{00000000-0005-0000-0000-000050480000}"/>
    <cellStyle name="Item Descriptions 2" xfId="18007" xr:uid="{00000000-0005-0000-0000-000051480000}"/>
    <cellStyle name="Item Descriptions 3" xfId="18008" xr:uid="{00000000-0005-0000-0000-000052480000}"/>
    <cellStyle name="Item Descriptions 4" xfId="18009" xr:uid="{00000000-0005-0000-0000-000053480000}"/>
    <cellStyle name="Item Descriptions 5" xfId="18010" xr:uid="{00000000-0005-0000-0000-000054480000}"/>
    <cellStyle name="Item Descriptions 6" xfId="18011" xr:uid="{00000000-0005-0000-0000-000055480000}"/>
    <cellStyle name="Item Descriptions 7" xfId="18012" xr:uid="{00000000-0005-0000-0000-000056480000}"/>
    <cellStyle name="Item Descriptions 8" xfId="18013" xr:uid="{00000000-0005-0000-0000-000057480000}"/>
    <cellStyle name="Item Descriptions 9" xfId="18014" xr:uid="{00000000-0005-0000-0000-000058480000}"/>
    <cellStyle name="Item Descriptions_090115 Red  Green Flags Dic 2k8" xfId="18015" xr:uid="{00000000-0005-0000-0000-000059480000}"/>
    <cellStyle name="Komma [0]_BAL_SHEET" xfId="18016" xr:uid="{00000000-0005-0000-0000-00005A480000}"/>
    <cellStyle name="Komma_BAL_SHEET" xfId="18017" xr:uid="{00000000-0005-0000-0000-00005B480000}"/>
    <cellStyle name="Komórka połączona" xfId="25133" xr:uid="{00000000-0005-0000-0000-00005C480000}"/>
    <cellStyle name="Komórka połączona 2" xfId="25134" xr:uid="{00000000-0005-0000-0000-00005D480000}"/>
    <cellStyle name="Komórka połączona 3" xfId="25135" xr:uid="{00000000-0005-0000-0000-00005E480000}"/>
    <cellStyle name="Komórka zaznaczona" xfId="25136" xr:uid="{00000000-0005-0000-0000-00005F480000}"/>
    <cellStyle name="Komórka zaznaczona 2" xfId="25137" xr:uid="{00000000-0005-0000-0000-000060480000}"/>
    <cellStyle name="Komórka zaznaczona 3" xfId="25138" xr:uid="{00000000-0005-0000-0000-000061480000}"/>
    <cellStyle name="KP_Normal" xfId="18018" xr:uid="{00000000-0005-0000-0000-000062480000}"/>
    <cellStyle name="Line" xfId="18019" xr:uid="{00000000-0005-0000-0000-000063480000}"/>
    <cellStyle name="Line 2" xfId="18020" xr:uid="{00000000-0005-0000-0000-000064480000}"/>
    <cellStyle name="Line 3" xfId="18021" xr:uid="{00000000-0005-0000-0000-000065480000}"/>
    <cellStyle name="Line 4" xfId="18022" xr:uid="{00000000-0005-0000-0000-000066480000}"/>
    <cellStyle name="Line 5" xfId="18023" xr:uid="{00000000-0005-0000-0000-000067480000}"/>
    <cellStyle name="Line 6" xfId="18024" xr:uid="{00000000-0005-0000-0000-000068480000}"/>
    <cellStyle name="Link Currency (0)" xfId="18025" xr:uid="{00000000-0005-0000-0000-000069480000}"/>
    <cellStyle name="Link Currency (0) 2" xfId="18026" xr:uid="{00000000-0005-0000-0000-00006A480000}"/>
    <cellStyle name="Link Currency (0) 3" xfId="18027" xr:uid="{00000000-0005-0000-0000-00006B480000}"/>
    <cellStyle name="Link Currency (0) 4" xfId="18028" xr:uid="{00000000-0005-0000-0000-00006C480000}"/>
    <cellStyle name="Link Currency (2)" xfId="18029" xr:uid="{00000000-0005-0000-0000-00006D480000}"/>
    <cellStyle name="Link Currency (2) 2" xfId="18030" xr:uid="{00000000-0005-0000-0000-00006E480000}"/>
    <cellStyle name="Link Currency (2) 3" xfId="18031" xr:uid="{00000000-0005-0000-0000-00006F480000}"/>
    <cellStyle name="Link Currency (2) 4" xfId="18032" xr:uid="{00000000-0005-0000-0000-000070480000}"/>
    <cellStyle name="Link Currency (2) 5" xfId="18033" xr:uid="{00000000-0005-0000-0000-000071480000}"/>
    <cellStyle name="Link Units (0)" xfId="18034" xr:uid="{00000000-0005-0000-0000-000072480000}"/>
    <cellStyle name="Link Units (0) 2" xfId="18035" xr:uid="{00000000-0005-0000-0000-000073480000}"/>
    <cellStyle name="Link Units (0) 3" xfId="18036" xr:uid="{00000000-0005-0000-0000-000074480000}"/>
    <cellStyle name="Link Units (0) 4" xfId="18037" xr:uid="{00000000-0005-0000-0000-000075480000}"/>
    <cellStyle name="Link Units (1)" xfId="18038" xr:uid="{00000000-0005-0000-0000-000076480000}"/>
    <cellStyle name="Link Units (1) 2" xfId="18039" xr:uid="{00000000-0005-0000-0000-000077480000}"/>
    <cellStyle name="Link Units (1) 3" xfId="18040" xr:uid="{00000000-0005-0000-0000-000078480000}"/>
    <cellStyle name="Link Units (1) 4" xfId="18041" xr:uid="{00000000-0005-0000-0000-000079480000}"/>
    <cellStyle name="Link Units (1) 5" xfId="18042" xr:uid="{00000000-0005-0000-0000-00007A480000}"/>
    <cellStyle name="Link Units (2)" xfId="18043" xr:uid="{00000000-0005-0000-0000-00007B480000}"/>
    <cellStyle name="Link Units (2) 2" xfId="18044" xr:uid="{00000000-0005-0000-0000-00007C480000}"/>
    <cellStyle name="Link Units (2) 3" xfId="18045" xr:uid="{00000000-0005-0000-0000-00007D480000}"/>
    <cellStyle name="Link Units (2) 4" xfId="18046" xr:uid="{00000000-0005-0000-0000-00007E480000}"/>
    <cellStyle name="Link Units (2) 5" xfId="18047" xr:uid="{00000000-0005-0000-0000-00007F480000}"/>
    <cellStyle name="Linked Cell 10" xfId="18048" xr:uid="{00000000-0005-0000-0000-000080480000}"/>
    <cellStyle name="Linked Cell 10 2" xfId="18049" xr:uid="{00000000-0005-0000-0000-000081480000}"/>
    <cellStyle name="Linked Cell 10 3" xfId="18050" xr:uid="{00000000-0005-0000-0000-000082480000}"/>
    <cellStyle name="Linked Cell 10 4" xfId="18051" xr:uid="{00000000-0005-0000-0000-000083480000}"/>
    <cellStyle name="Linked Cell 11" xfId="18052" xr:uid="{00000000-0005-0000-0000-000084480000}"/>
    <cellStyle name="Linked Cell 11 2" xfId="18053" xr:uid="{00000000-0005-0000-0000-000085480000}"/>
    <cellStyle name="Linked Cell 11 3" xfId="18054" xr:uid="{00000000-0005-0000-0000-000086480000}"/>
    <cellStyle name="Linked Cell 11 4" xfId="18055" xr:uid="{00000000-0005-0000-0000-000087480000}"/>
    <cellStyle name="Linked Cell 12" xfId="18056" xr:uid="{00000000-0005-0000-0000-000088480000}"/>
    <cellStyle name="Linked Cell 12 2" xfId="18057" xr:uid="{00000000-0005-0000-0000-000089480000}"/>
    <cellStyle name="Linked Cell 12 3" xfId="18058" xr:uid="{00000000-0005-0000-0000-00008A480000}"/>
    <cellStyle name="Linked Cell 12 4" xfId="18059" xr:uid="{00000000-0005-0000-0000-00008B480000}"/>
    <cellStyle name="Linked Cell 13" xfId="18060" xr:uid="{00000000-0005-0000-0000-00008C480000}"/>
    <cellStyle name="Linked Cell 13 2" xfId="18061" xr:uid="{00000000-0005-0000-0000-00008D480000}"/>
    <cellStyle name="Linked Cell 13 3" xfId="18062" xr:uid="{00000000-0005-0000-0000-00008E480000}"/>
    <cellStyle name="Linked Cell 13 4" xfId="18063" xr:uid="{00000000-0005-0000-0000-00008F480000}"/>
    <cellStyle name="Linked Cell 14" xfId="18064" xr:uid="{00000000-0005-0000-0000-000090480000}"/>
    <cellStyle name="Linked Cell 14 2" xfId="18065" xr:uid="{00000000-0005-0000-0000-000091480000}"/>
    <cellStyle name="Linked Cell 14 3" xfId="18066" xr:uid="{00000000-0005-0000-0000-000092480000}"/>
    <cellStyle name="Linked Cell 14 4" xfId="18067" xr:uid="{00000000-0005-0000-0000-000093480000}"/>
    <cellStyle name="Linked Cell 15" xfId="18068" xr:uid="{00000000-0005-0000-0000-000094480000}"/>
    <cellStyle name="Linked Cell 15 2" xfId="18069" xr:uid="{00000000-0005-0000-0000-000095480000}"/>
    <cellStyle name="Linked Cell 15 3" xfId="18070" xr:uid="{00000000-0005-0000-0000-000096480000}"/>
    <cellStyle name="Linked Cell 15 4" xfId="18071" xr:uid="{00000000-0005-0000-0000-000097480000}"/>
    <cellStyle name="Linked Cell 16" xfId="18072" xr:uid="{00000000-0005-0000-0000-000098480000}"/>
    <cellStyle name="Linked Cell 16 2" xfId="18073" xr:uid="{00000000-0005-0000-0000-000099480000}"/>
    <cellStyle name="Linked Cell 16 3" xfId="18074" xr:uid="{00000000-0005-0000-0000-00009A480000}"/>
    <cellStyle name="Linked Cell 16 4" xfId="18075" xr:uid="{00000000-0005-0000-0000-00009B480000}"/>
    <cellStyle name="Linked Cell 17" xfId="18076" xr:uid="{00000000-0005-0000-0000-00009C480000}"/>
    <cellStyle name="Linked Cell 17 2" xfId="18077" xr:uid="{00000000-0005-0000-0000-00009D480000}"/>
    <cellStyle name="Linked Cell 17 3" xfId="18078" xr:uid="{00000000-0005-0000-0000-00009E480000}"/>
    <cellStyle name="Linked Cell 17 4" xfId="18079" xr:uid="{00000000-0005-0000-0000-00009F480000}"/>
    <cellStyle name="Linked Cell 18" xfId="18080" xr:uid="{00000000-0005-0000-0000-0000A0480000}"/>
    <cellStyle name="Linked Cell 18 2" xfId="18081" xr:uid="{00000000-0005-0000-0000-0000A1480000}"/>
    <cellStyle name="Linked Cell 18 3" xfId="18082" xr:uid="{00000000-0005-0000-0000-0000A2480000}"/>
    <cellStyle name="Linked Cell 18 4" xfId="18083" xr:uid="{00000000-0005-0000-0000-0000A3480000}"/>
    <cellStyle name="Linked Cell 19" xfId="18084" xr:uid="{00000000-0005-0000-0000-0000A4480000}"/>
    <cellStyle name="Linked Cell 19 2" xfId="18085" xr:uid="{00000000-0005-0000-0000-0000A5480000}"/>
    <cellStyle name="Linked Cell 19 3" xfId="18086" xr:uid="{00000000-0005-0000-0000-0000A6480000}"/>
    <cellStyle name="Linked Cell 19 4" xfId="18087" xr:uid="{00000000-0005-0000-0000-0000A7480000}"/>
    <cellStyle name="Linked Cell 2" xfId="18088" xr:uid="{00000000-0005-0000-0000-0000A8480000}"/>
    <cellStyle name="Linked Cell 2 2" xfId="18089" xr:uid="{00000000-0005-0000-0000-0000A9480000}"/>
    <cellStyle name="Linked Cell 2 2 2" xfId="18090" xr:uid="{00000000-0005-0000-0000-0000AA480000}"/>
    <cellStyle name="Linked Cell 2 2 3" xfId="18091" xr:uid="{00000000-0005-0000-0000-0000AB480000}"/>
    <cellStyle name="Linked Cell 2 2 4" xfId="18092" xr:uid="{00000000-0005-0000-0000-0000AC480000}"/>
    <cellStyle name="Linked Cell 2 3" xfId="18093" xr:uid="{00000000-0005-0000-0000-0000AD480000}"/>
    <cellStyle name="Linked Cell 2 3 2" xfId="18094" xr:uid="{00000000-0005-0000-0000-0000AE480000}"/>
    <cellStyle name="Linked Cell 2 3 3" xfId="18095" xr:uid="{00000000-0005-0000-0000-0000AF480000}"/>
    <cellStyle name="Linked Cell 2 3 4" xfId="18096" xr:uid="{00000000-0005-0000-0000-0000B0480000}"/>
    <cellStyle name="Linked Cell 2 4" xfId="18097" xr:uid="{00000000-0005-0000-0000-0000B1480000}"/>
    <cellStyle name="Linked Cell 2 4 2" xfId="18098" xr:uid="{00000000-0005-0000-0000-0000B2480000}"/>
    <cellStyle name="Linked Cell 2 4 3" xfId="18099" xr:uid="{00000000-0005-0000-0000-0000B3480000}"/>
    <cellStyle name="Linked Cell 2 4 4" xfId="18100" xr:uid="{00000000-0005-0000-0000-0000B4480000}"/>
    <cellStyle name="Linked Cell 2 5" xfId="18101" xr:uid="{00000000-0005-0000-0000-0000B5480000}"/>
    <cellStyle name="Linked Cell 2 6" xfId="18102" xr:uid="{00000000-0005-0000-0000-0000B6480000}"/>
    <cellStyle name="Linked Cell 2 7" xfId="18103" xr:uid="{00000000-0005-0000-0000-0000B7480000}"/>
    <cellStyle name="Linked Cell 2 8" xfId="18104" xr:uid="{00000000-0005-0000-0000-0000B8480000}"/>
    <cellStyle name="Linked Cell 20" xfId="18105" xr:uid="{00000000-0005-0000-0000-0000B9480000}"/>
    <cellStyle name="Linked Cell 20 2" xfId="18106" xr:uid="{00000000-0005-0000-0000-0000BA480000}"/>
    <cellStyle name="Linked Cell 20 3" xfId="18107" xr:uid="{00000000-0005-0000-0000-0000BB480000}"/>
    <cellStyle name="Linked Cell 20 4" xfId="18108" xr:uid="{00000000-0005-0000-0000-0000BC480000}"/>
    <cellStyle name="Linked Cell 21" xfId="18109" xr:uid="{00000000-0005-0000-0000-0000BD480000}"/>
    <cellStyle name="Linked Cell 21 2" xfId="18110" xr:uid="{00000000-0005-0000-0000-0000BE480000}"/>
    <cellStyle name="Linked Cell 21 3" xfId="18111" xr:uid="{00000000-0005-0000-0000-0000BF480000}"/>
    <cellStyle name="Linked Cell 21 4" xfId="18112" xr:uid="{00000000-0005-0000-0000-0000C0480000}"/>
    <cellStyle name="Linked Cell 22" xfId="18113" xr:uid="{00000000-0005-0000-0000-0000C1480000}"/>
    <cellStyle name="Linked Cell 22 2" xfId="18114" xr:uid="{00000000-0005-0000-0000-0000C2480000}"/>
    <cellStyle name="Linked Cell 22 3" xfId="18115" xr:uid="{00000000-0005-0000-0000-0000C3480000}"/>
    <cellStyle name="Linked Cell 22 4" xfId="18116" xr:uid="{00000000-0005-0000-0000-0000C4480000}"/>
    <cellStyle name="Linked Cell 23" xfId="18117" xr:uid="{00000000-0005-0000-0000-0000C5480000}"/>
    <cellStyle name="Linked Cell 23 2" xfId="18118" xr:uid="{00000000-0005-0000-0000-0000C6480000}"/>
    <cellStyle name="Linked Cell 23 3" xfId="18119" xr:uid="{00000000-0005-0000-0000-0000C7480000}"/>
    <cellStyle name="Linked Cell 23 4" xfId="18120" xr:uid="{00000000-0005-0000-0000-0000C8480000}"/>
    <cellStyle name="Linked Cell 24" xfId="18121" xr:uid="{00000000-0005-0000-0000-0000C9480000}"/>
    <cellStyle name="Linked Cell 24 2" xfId="18122" xr:uid="{00000000-0005-0000-0000-0000CA480000}"/>
    <cellStyle name="Linked Cell 24 3" xfId="18123" xr:uid="{00000000-0005-0000-0000-0000CB480000}"/>
    <cellStyle name="Linked Cell 24 4" xfId="18124" xr:uid="{00000000-0005-0000-0000-0000CC480000}"/>
    <cellStyle name="Linked Cell 25" xfId="18125" xr:uid="{00000000-0005-0000-0000-0000CD480000}"/>
    <cellStyle name="Linked Cell 25 2" xfId="18126" xr:uid="{00000000-0005-0000-0000-0000CE480000}"/>
    <cellStyle name="Linked Cell 25 3" xfId="18127" xr:uid="{00000000-0005-0000-0000-0000CF480000}"/>
    <cellStyle name="Linked Cell 25 4" xfId="18128" xr:uid="{00000000-0005-0000-0000-0000D0480000}"/>
    <cellStyle name="Linked Cell 26" xfId="18129" xr:uid="{00000000-0005-0000-0000-0000D1480000}"/>
    <cellStyle name="Linked Cell 26 2" xfId="18130" xr:uid="{00000000-0005-0000-0000-0000D2480000}"/>
    <cellStyle name="Linked Cell 26 3" xfId="18131" xr:uid="{00000000-0005-0000-0000-0000D3480000}"/>
    <cellStyle name="Linked Cell 26 4" xfId="18132" xr:uid="{00000000-0005-0000-0000-0000D4480000}"/>
    <cellStyle name="Linked Cell 27" xfId="18133" xr:uid="{00000000-0005-0000-0000-0000D5480000}"/>
    <cellStyle name="Linked Cell 27 2" xfId="18134" xr:uid="{00000000-0005-0000-0000-0000D6480000}"/>
    <cellStyle name="Linked Cell 27 3" xfId="18135" xr:uid="{00000000-0005-0000-0000-0000D7480000}"/>
    <cellStyle name="Linked Cell 27 4" xfId="18136" xr:uid="{00000000-0005-0000-0000-0000D8480000}"/>
    <cellStyle name="Linked Cell 28" xfId="18137" xr:uid="{00000000-0005-0000-0000-0000D9480000}"/>
    <cellStyle name="Linked Cell 28 2" xfId="18138" xr:uid="{00000000-0005-0000-0000-0000DA480000}"/>
    <cellStyle name="Linked Cell 28 3" xfId="18139" xr:uid="{00000000-0005-0000-0000-0000DB480000}"/>
    <cellStyle name="Linked Cell 28 4" xfId="18140" xr:uid="{00000000-0005-0000-0000-0000DC480000}"/>
    <cellStyle name="Linked Cell 29" xfId="18141" xr:uid="{00000000-0005-0000-0000-0000DD480000}"/>
    <cellStyle name="Linked Cell 29 2" xfId="18142" xr:uid="{00000000-0005-0000-0000-0000DE480000}"/>
    <cellStyle name="Linked Cell 29 3" xfId="18143" xr:uid="{00000000-0005-0000-0000-0000DF480000}"/>
    <cellStyle name="Linked Cell 29 4" xfId="18144" xr:uid="{00000000-0005-0000-0000-0000E0480000}"/>
    <cellStyle name="Linked Cell 3" xfId="18145" xr:uid="{00000000-0005-0000-0000-0000E1480000}"/>
    <cellStyle name="Linked Cell 3 2" xfId="18146" xr:uid="{00000000-0005-0000-0000-0000E2480000}"/>
    <cellStyle name="Linked Cell 3 2 2" xfId="18147" xr:uid="{00000000-0005-0000-0000-0000E3480000}"/>
    <cellStyle name="Linked Cell 3 2 3" xfId="18148" xr:uid="{00000000-0005-0000-0000-0000E4480000}"/>
    <cellStyle name="Linked Cell 3 2 4" xfId="18149" xr:uid="{00000000-0005-0000-0000-0000E5480000}"/>
    <cellStyle name="Linked Cell 3 3" xfId="18150" xr:uid="{00000000-0005-0000-0000-0000E6480000}"/>
    <cellStyle name="Linked Cell 3 3 2" xfId="18151" xr:uid="{00000000-0005-0000-0000-0000E7480000}"/>
    <cellStyle name="Linked Cell 3 3 3" xfId="18152" xr:uid="{00000000-0005-0000-0000-0000E8480000}"/>
    <cellStyle name="Linked Cell 3 3 4" xfId="18153" xr:uid="{00000000-0005-0000-0000-0000E9480000}"/>
    <cellStyle name="Linked Cell 3 4" xfId="18154" xr:uid="{00000000-0005-0000-0000-0000EA480000}"/>
    <cellStyle name="Linked Cell 3 4 2" xfId="18155" xr:uid="{00000000-0005-0000-0000-0000EB480000}"/>
    <cellStyle name="Linked Cell 3 4 3" xfId="18156" xr:uid="{00000000-0005-0000-0000-0000EC480000}"/>
    <cellStyle name="Linked Cell 3 4 4" xfId="18157" xr:uid="{00000000-0005-0000-0000-0000ED480000}"/>
    <cellStyle name="Linked Cell 3 5" xfId="18158" xr:uid="{00000000-0005-0000-0000-0000EE480000}"/>
    <cellStyle name="Linked Cell 3 6" xfId="18159" xr:uid="{00000000-0005-0000-0000-0000EF480000}"/>
    <cellStyle name="Linked Cell 3 7" xfId="18160" xr:uid="{00000000-0005-0000-0000-0000F0480000}"/>
    <cellStyle name="Linked Cell 3 8" xfId="18161" xr:uid="{00000000-0005-0000-0000-0000F1480000}"/>
    <cellStyle name="Linked Cell 30" xfId="18162" xr:uid="{00000000-0005-0000-0000-0000F2480000}"/>
    <cellStyle name="Linked Cell 31" xfId="18163" xr:uid="{00000000-0005-0000-0000-0000F3480000}"/>
    <cellStyle name="Linked Cell 32" xfId="18164" xr:uid="{00000000-0005-0000-0000-0000F4480000}"/>
    <cellStyle name="Linked Cell 4" xfId="18165" xr:uid="{00000000-0005-0000-0000-0000F5480000}"/>
    <cellStyle name="Linked Cell 4 2" xfId="18166" xr:uid="{00000000-0005-0000-0000-0000F6480000}"/>
    <cellStyle name="Linked Cell 4 3" xfId="18167" xr:uid="{00000000-0005-0000-0000-0000F7480000}"/>
    <cellStyle name="Linked Cell 4 4" xfId="18168" xr:uid="{00000000-0005-0000-0000-0000F8480000}"/>
    <cellStyle name="Linked Cell 4 5" xfId="18169" xr:uid="{00000000-0005-0000-0000-0000F9480000}"/>
    <cellStyle name="Linked Cell 4 6" xfId="18170" xr:uid="{00000000-0005-0000-0000-0000FA480000}"/>
    <cellStyle name="Linked Cell 5" xfId="18171" xr:uid="{00000000-0005-0000-0000-0000FB480000}"/>
    <cellStyle name="Linked Cell 5 2" xfId="18172" xr:uid="{00000000-0005-0000-0000-0000FC480000}"/>
    <cellStyle name="Linked Cell 5 3" xfId="18173" xr:uid="{00000000-0005-0000-0000-0000FD480000}"/>
    <cellStyle name="Linked Cell 5 4" xfId="18174" xr:uid="{00000000-0005-0000-0000-0000FE480000}"/>
    <cellStyle name="Linked Cell 5 5" xfId="18175" xr:uid="{00000000-0005-0000-0000-0000FF480000}"/>
    <cellStyle name="Linked Cell 5 6" xfId="18176" xr:uid="{00000000-0005-0000-0000-000000490000}"/>
    <cellStyle name="Linked Cell 6" xfId="18177" xr:uid="{00000000-0005-0000-0000-000001490000}"/>
    <cellStyle name="Linked Cell 6 2" xfId="18178" xr:uid="{00000000-0005-0000-0000-000002490000}"/>
    <cellStyle name="Linked Cell 6 3" xfId="18179" xr:uid="{00000000-0005-0000-0000-000003490000}"/>
    <cellStyle name="Linked Cell 6 4" xfId="18180" xr:uid="{00000000-0005-0000-0000-000004490000}"/>
    <cellStyle name="Linked Cell 6 5" xfId="18181" xr:uid="{00000000-0005-0000-0000-000005490000}"/>
    <cellStyle name="Linked Cell 6 6" xfId="18182" xr:uid="{00000000-0005-0000-0000-000006490000}"/>
    <cellStyle name="Linked Cell 7" xfId="18183" xr:uid="{00000000-0005-0000-0000-000007490000}"/>
    <cellStyle name="Linked Cell 7 2" xfId="18184" xr:uid="{00000000-0005-0000-0000-000008490000}"/>
    <cellStyle name="Linked Cell 7 3" xfId="18185" xr:uid="{00000000-0005-0000-0000-000009490000}"/>
    <cellStyle name="Linked Cell 7 4" xfId="18186" xr:uid="{00000000-0005-0000-0000-00000A490000}"/>
    <cellStyle name="Linked Cell 7 5" xfId="18187" xr:uid="{00000000-0005-0000-0000-00000B490000}"/>
    <cellStyle name="Linked Cell 7 6" xfId="18188" xr:uid="{00000000-0005-0000-0000-00000C490000}"/>
    <cellStyle name="Linked Cell 8" xfId="18189" xr:uid="{00000000-0005-0000-0000-00000D490000}"/>
    <cellStyle name="Linked Cell 8 2" xfId="18190" xr:uid="{00000000-0005-0000-0000-00000E490000}"/>
    <cellStyle name="Linked Cell 8 3" xfId="18191" xr:uid="{00000000-0005-0000-0000-00000F490000}"/>
    <cellStyle name="Linked Cell 8 4" xfId="18192" xr:uid="{00000000-0005-0000-0000-000010490000}"/>
    <cellStyle name="Linked Cell 8 5" xfId="18193" xr:uid="{00000000-0005-0000-0000-000011490000}"/>
    <cellStyle name="Linked Cell 8 6" xfId="18194" xr:uid="{00000000-0005-0000-0000-000012490000}"/>
    <cellStyle name="Linked Cell 9" xfId="18195" xr:uid="{00000000-0005-0000-0000-000013490000}"/>
    <cellStyle name="Linked Cell 9 2" xfId="18196" xr:uid="{00000000-0005-0000-0000-000014490000}"/>
    <cellStyle name="Linked Cell 9 3" xfId="18197" xr:uid="{00000000-0005-0000-0000-000015490000}"/>
    <cellStyle name="Linked Cell 9 4" xfId="18198" xr:uid="{00000000-0005-0000-0000-000016490000}"/>
    <cellStyle name="m" xfId="18199" xr:uid="{00000000-0005-0000-0000-000017490000}"/>
    <cellStyle name="m 2" xfId="18200" xr:uid="{00000000-0005-0000-0000-000018490000}"/>
    <cellStyle name="m 3" xfId="18201" xr:uid="{00000000-0005-0000-0000-000019490000}"/>
    <cellStyle name="m 4" xfId="18202" xr:uid="{00000000-0005-0000-0000-00001A490000}"/>
    <cellStyle name="m 5" xfId="18203" xr:uid="{00000000-0005-0000-0000-00001B490000}"/>
    <cellStyle name="m$" xfId="18204" xr:uid="{00000000-0005-0000-0000-00001C490000}"/>
    <cellStyle name="m$ 2" xfId="18205" xr:uid="{00000000-0005-0000-0000-00001D490000}"/>
    <cellStyle name="m$ 3" xfId="18206" xr:uid="{00000000-0005-0000-0000-00001E490000}"/>
    <cellStyle name="m$ 4" xfId="18207" xr:uid="{00000000-0005-0000-0000-00001F490000}"/>
    <cellStyle name="m$ 5" xfId="18208" xr:uid="{00000000-0005-0000-0000-000020490000}"/>
    <cellStyle name="m_Angola Congo Model3" xfId="18209" xr:uid="{00000000-0005-0000-0000-000021490000}"/>
    <cellStyle name="m_Angola Congo Model3 2" xfId="18210" xr:uid="{00000000-0005-0000-0000-000022490000}"/>
    <cellStyle name="m_Angola Congo Model3 3" xfId="18211" xr:uid="{00000000-0005-0000-0000-000023490000}"/>
    <cellStyle name="m_Angola Congo Model3 4" xfId="18212" xr:uid="{00000000-0005-0000-0000-000024490000}"/>
    <cellStyle name="m_Angola Congo Model3 5" xfId="18213" xr:uid="{00000000-0005-0000-0000-000025490000}"/>
    <cellStyle name="m_CCRD-muse -2" xfId="18214" xr:uid="{00000000-0005-0000-0000-000026490000}"/>
    <cellStyle name="m_CCRD-muse -2 2" xfId="18215" xr:uid="{00000000-0005-0000-0000-000027490000}"/>
    <cellStyle name="m_CCRD-muse -2 3" xfId="18216" xr:uid="{00000000-0005-0000-0000-000028490000}"/>
    <cellStyle name="m_CCRD-muse -2 4" xfId="18217" xr:uid="{00000000-0005-0000-0000-000029490000}"/>
    <cellStyle name="m_CCRD-muse -2 5" xfId="18218" xr:uid="{00000000-0005-0000-0000-00002A490000}"/>
    <cellStyle name="m_DCF-Valuation Support" xfId="18219" xr:uid="{00000000-0005-0000-0000-00002B490000}"/>
    <cellStyle name="m_DCF-Valuation Support 2" xfId="18220" xr:uid="{00000000-0005-0000-0000-00002C490000}"/>
    <cellStyle name="m_DCF-Valuation Support 3" xfId="18221" xr:uid="{00000000-0005-0000-0000-00002D490000}"/>
    <cellStyle name="m_DCF-Valuation Support 4" xfId="18222" xr:uid="{00000000-0005-0000-0000-00002E490000}"/>
    <cellStyle name="m_DCF-Valuation Support 5" xfId="18223" xr:uid="{00000000-0005-0000-0000-00002F490000}"/>
    <cellStyle name="m_ICOS-INC" xfId="18224" xr:uid="{00000000-0005-0000-0000-000030490000}"/>
    <cellStyle name="m_ICOS-INC (2)" xfId="18225" xr:uid="{00000000-0005-0000-0000-000031490000}"/>
    <cellStyle name="m_ICOS-INC (2) 2" xfId="18226" xr:uid="{00000000-0005-0000-0000-000032490000}"/>
    <cellStyle name="m_ICOS-INC (2) 3" xfId="18227" xr:uid="{00000000-0005-0000-0000-000033490000}"/>
    <cellStyle name="m_ICOS-INC (2) 4" xfId="18228" xr:uid="{00000000-0005-0000-0000-000034490000}"/>
    <cellStyle name="m_ICOS-INC (2) 5" xfId="18229" xr:uid="{00000000-0005-0000-0000-000035490000}"/>
    <cellStyle name="m_ICOS-INC (2) 6" xfId="18230" xr:uid="{00000000-0005-0000-0000-000036490000}"/>
    <cellStyle name="m_ICOS-INC 10" xfId="18231" xr:uid="{00000000-0005-0000-0000-000037490000}"/>
    <cellStyle name="m_ICOS-INC 11" xfId="18232" xr:uid="{00000000-0005-0000-0000-000038490000}"/>
    <cellStyle name="m_ICOS-INC 12" xfId="18233" xr:uid="{00000000-0005-0000-0000-000039490000}"/>
    <cellStyle name="m_ICOS-INC 13" xfId="18234" xr:uid="{00000000-0005-0000-0000-00003A490000}"/>
    <cellStyle name="m_ICOS-INC 2" xfId="18235" xr:uid="{00000000-0005-0000-0000-00003B490000}"/>
    <cellStyle name="m_ICOS-INC 3" xfId="18236" xr:uid="{00000000-0005-0000-0000-00003C490000}"/>
    <cellStyle name="m_ICOS-INC 4" xfId="18237" xr:uid="{00000000-0005-0000-0000-00003D490000}"/>
    <cellStyle name="m_ICOS-INC 5" xfId="18238" xr:uid="{00000000-0005-0000-0000-00003E490000}"/>
    <cellStyle name="m_ICOS-INC 6" xfId="18239" xr:uid="{00000000-0005-0000-0000-00003F490000}"/>
    <cellStyle name="m_ICOS-INC 7" xfId="18240" xr:uid="{00000000-0005-0000-0000-000040490000}"/>
    <cellStyle name="m_ICOS-INC 8" xfId="18241" xr:uid="{00000000-0005-0000-0000-000041490000}"/>
    <cellStyle name="m_ICOS-INC 9" xfId="18242" xr:uid="{00000000-0005-0000-0000-000042490000}"/>
    <cellStyle name="m_Merger Model16.xls Chart 1" xfId="18243" xr:uid="{00000000-0005-0000-0000-000043490000}"/>
    <cellStyle name="m_Merger Model16.xls Chart 1 2" xfId="18244" xr:uid="{00000000-0005-0000-0000-000044490000}"/>
    <cellStyle name="m_Merger Model16.xls Chart 1 3" xfId="18245" xr:uid="{00000000-0005-0000-0000-000045490000}"/>
    <cellStyle name="m_Merger Model16.xls Chart 1 4" xfId="18246" xr:uid="{00000000-0005-0000-0000-000046490000}"/>
    <cellStyle name="m_Merger Model16.xls Chart 1 5" xfId="18247" xr:uid="{00000000-0005-0000-0000-000047490000}"/>
    <cellStyle name="m_Merger Model34b" xfId="18248" xr:uid="{00000000-0005-0000-0000-000048490000}"/>
    <cellStyle name="m_Merger Model34b 2" xfId="18249" xr:uid="{00000000-0005-0000-0000-000049490000}"/>
    <cellStyle name="m_Merger Model34b 3" xfId="18250" xr:uid="{00000000-0005-0000-0000-00004A490000}"/>
    <cellStyle name="m_Merger Model34b 4" xfId="18251" xr:uid="{00000000-0005-0000-0000-00004B490000}"/>
    <cellStyle name="m_MKS 7.29 Valuation" xfId="18252" xr:uid="{00000000-0005-0000-0000-00004C490000}"/>
    <cellStyle name="m_MKS 7.29 Valuation 2" xfId="18253" xr:uid="{00000000-0005-0000-0000-00004D490000}"/>
    <cellStyle name="m_MKS 7.29 Valuation 3" xfId="18254" xr:uid="{00000000-0005-0000-0000-00004E490000}"/>
    <cellStyle name="m_MKS 7.29 Valuation 4" xfId="18255" xr:uid="{00000000-0005-0000-0000-00004F490000}"/>
    <cellStyle name="m_MKS 7.29 Valuation 5" xfId="18256" xr:uid="{00000000-0005-0000-0000-000050490000}"/>
    <cellStyle name="m_MKS 7.29 Valuation 6" xfId="18257" xr:uid="{00000000-0005-0000-0000-000051490000}"/>
    <cellStyle name="m_MKSI_combined" xfId="18258" xr:uid="{00000000-0005-0000-0000-000052490000}"/>
    <cellStyle name="m_MKSI_combined 2" xfId="18259" xr:uid="{00000000-0005-0000-0000-000053490000}"/>
    <cellStyle name="m_MKSI_combined 3" xfId="18260" xr:uid="{00000000-0005-0000-0000-000054490000}"/>
    <cellStyle name="m_MKSI_combined 4" xfId="18261" xr:uid="{00000000-0005-0000-0000-000055490000}"/>
    <cellStyle name="m_MKSI_combined 5" xfId="18262" xr:uid="{00000000-0005-0000-0000-000056490000}"/>
    <cellStyle name="m_MKSI_combined1" xfId="18263" xr:uid="{00000000-0005-0000-0000-000057490000}"/>
    <cellStyle name="m_MKSI_combined1 2" xfId="18264" xr:uid="{00000000-0005-0000-0000-000058490000}"/>
    <cellStyle name="m_MKSI_combined1 3" xfId="18265" xr:uid="{00000000-0005-0000-0000-000059490000}"/>
    <cellStyle name="m_MKSI_combined1 4" xfId="18266" xr:uid="{00000000-0005-0000-0000-00005A490000}"/>
    <cellStyle name="m_MKSI_combined1 5" xfId="18267" xr:uid="{00000000-0005-0000-0000-00005B490000}"/>
    <cellStyle name="m_MKSI-INC" xfId="18268" xr:uid="{00000000-0005-0000-0000-00005C490000}"/>
    <cellStyle name="m_MKSI-INC 2" xfId="18269" xr:uid="{00000000-0005-0000-0000-00005D490000}"/>
    <cellStyle name="m_MKSI-INC 3" xfId="18270" xr:uid="{00000000-0005-0000-0000-00005E490000}"/>
    <cellStyle name="m_MKSI-INC 4" xfId="18271" xr:uid="{00000000-0005-0000-0000-00005F490000}"/>
    <cellStyle name="m_MKSI-INC 5" xfId="18272" xr:uid="{00000000-0005-0000-0000-000060490000}"/>
    <cellStyle name="Map Labels" xfId="18273" xr:uid="{00000000-0005-0000-0000-000061490000}"/>
    <cellStyle name="Map Labels 2" xfId="18274" xr:uid="{00000000-0005-0000-0000-000062490000}"/>
    <cellStyle name="Map Labels 3" xfId="18275" xr:uid="{00000000-0005-0000-0000-000063490000}"/>
    <cellStyle name="Map Labels 4" xfId="18276" xr:uid="{00000000-0005-0000-0000-000064490000}"/>
    <cellStyle name="Map Labels 5" xfId="18277" xr:uid="{00000000-0005-0000-0000-000065490000}"/>
    <cellStyle name="Map Legend" xfId="18278" xr:uid="{00000000-0005-0000-0000-000066490000}"/>
    <cellStyle name="Map Legend 2" xfId="18279" xr:uid="{00000000-0005-0000-0000-000067490000}"/>
    <cellStyle name="Map Legend 3" xfId="18280" xr:uid="{00000000-0005-0000-0000-000068490000}"/>
    <cellStyle name="Map Legend 4" xfId="18281" xr:uid="{00000000-0005-0000-0000-000069490000}"/>
    <cellStyle name="Map Legend 5" xfId="18282" xr:uid="{00000000-0005-0000-0000-00006A490000}"/>
    <cellStyle name="Map Title" xfId="18283" xr:uid="{00000000-0005-0000-0000-00006B490000}"/>
    <cellStyle name="Map Title 2" xfId="18284" xr:uid="{00000000-0005-0000-0000-00006C490000}"/>
    <cellStyle name="Map Title 3" xfId="18285" xr:uid="{00000000-0005-0000-0000-00006D490000}"/>
    <cellStyle name="Map Title 4" xfId="18286" xr:uid="{00000000-0005-0000-0000-00006E490000}"/>
    <cellStyle name="Map Title 5" xfId="18287" xr:uid="{00000000-0005-0000-0000-00006F490000}"/>
    <cellStyle name="Migliaia 2" xfId="18288" xr:uid="{00000000-0005-0000-0000-000070490000}"/>
    <cellStyle name="Migliaia 2 2" xfId="18289" xr:uid="{00000000-0005-0000-0000-000071490000}"/>
    <cellStyle name="Migliaia 2 2 2" xfId="18290" xr:uid="{00000000-0005-0000-0000-000072490000}"/>
    <cellStyle name="Migliaia 2 2 3" xfId="18291" xr:uid="{00000000-0005-0000-0000-000073490000}"/>
    <cellStyle name="Migliaia 2 2 4" xfId="18292" xr:uid="{00000000-0005-0000-0000-000074490000}"/>
    <cellStyle name="Migliaia 2 3" xfId="18293" xr:uid="{00000000-0005-0000-0000-000075490000}"/>
    <cellStyle name="Migliaia 2 4" xfId="18294" xr:uid="{00000000-0005-0000-0000-000076490000}"/>
    <cellStyle name="Migliaia 2 5" xfId="18295" xr:uid="{00000000-0005-0000-0000-000077490000}"/>
    <cellStyle name="Migliaia 2 6" xfId="18296" xr:uid="{00000000-0005-0000-0000-000078490000}"/>
    <cellStyle name="Migliaia 2 7" xfId="18297" xr:uid="{00000000-0005-0000-0000-000079490000}"/>
    <cellStyle name="Milliers [0]_210_GT-FC3-01" xfId="18298" xr:uid="{00000000-0005-0000-0000-00007A490000}"/>
    <cellStyle name="Milliers_210_GT-FC3-01" xfId="18299" xr:uid="{00000000-0005-0000-0000-00007B490000}"/>
    <cellStyle name="mm" xfId="18300" xr:uid="{00000000-0005-0000-0000-00007C490000}"/>
    <cellStyle name="mm 2" xfId="18301" xr:uid="{00000000-0005-0000-0000-00007D490000}"/>
    <cellStyle name="mm 3" xfId="18302" xr:uid="{00000000-0005-0000-0000-00007E490000}"/>
    <cellStyle name="mm 4" xfId="18303" xr:uid="{00000000-0005-0000-0000-00007F490000}"/>
    <cellStyle name="mm 5" xfId="18304" xr:uid="{00000000-0005-0000-0000-000080490000}"/>
    <cellStyle name="Monétaire [0]_210_GT-FC3-01" xfId="18305" xr:uid="{00000000-0005-0000-0000-000081490000}"/>
    <cellStyle name="Monétaire_210_GT-FC3-01" xfId="18306" xr:uid="{00000000-0005-0000-0000-000082490000}"/>
    <cellStyle name="MonthDate" xfId="18307" xr:uid="{00000000-0005-0000-0000-000083490000}"/>
    <cellStyle name="MonthDate 2" xfId="18308" xr:uid="{00000000-0005-0000-0000-000084490000}"/>
    <cellStyle name="MonthDate 3" xfId="18309" xr:uid="{00000000-0005-0000-0000-000085490000}"/>
    <cellStyle name="MonthDate 4" xfId="18310" xr:uid="{00000000-0005-0000-0000-000086490000}"/>
    <cellStyle name="MSectionHeadings" xfId="18311" xr:uid="{00000000-0005-0000-0000-000087490000}"/>
    <cellStyle name="MSectionHeadings 2" xfId="18312" xr:uid="{00000000-0005-0000-0000-000088490000}"/>
    <cellStyle name="MSectionHeadings 3" xfId="18313" xr:uid="{00000000-0005-0000-0000-000089490000}"/>
    <cellStyle name="MSectionHeadings 4" xfId="18314" xr:uid="{00000000-0005-0000-0000-00008A490000}"/>
    <cellStyle name="MSectionHeadings 5" xfId="18315" xr:uid="{00000000-0005-0000-0000-00008B490000}"/>
    <cellStyle name="Mult No x" xfId="18316" xr:uid="{00000000-0005-0000-0000-00008C490000}"/>
    <cellStyle name="Mult No x 2" xfId="18317" xr:uid="{00000000-0005-0000-0000-00008D490000}"/>
    <cellStyle name="Mult No x 2 2" xfId="18318" xr:uid="{00000000-0005-0000-0000-00008E490000}"/>
    <cellStyle name="Mult No x 2 3" xfId="18319" xr:uid="{00000000-0005-0000-0000-00008F490000}"/>
    <cellStyle name="Mult No x 2 4" xfId="18320" xr:uid="{00000000-0005-0000-0000-000090490000}"/>
    <cellStyle name="Mult No x 3" xfId="18321" xr:uid="{00000000-0005-0000-0000-000091490000}"/>
    <cellStyle name="Mult No x 4" xfId="18322" xr:uid="{00000000-0005-0000-0000-000092490000}"/>
    <cellStyle name="Mult No x 5" xfId="18323" xr:uid="{00000000-0005-0000-0000-000093490000}"/>
    <cellStyle name="Mult With x" xfId="18324" xr:uid="{00000000-0005-0000-0000-000094490000}"/>
    <cellStyle name="Mult With x 2" xfId="18325" xr:uid="{00000000-0005-0000-0000-000095490000}"/>
    <cellStyle name="Mult With x 2 2" xfId="18326" xr:uid="{00000000-0005-0000-0000-000096490000}"/>
    <cellStyle name="Mult With x 2 3" xfId="18327" xr:uid="{00000000-0005-0000-0000-000097490000}"/>
    <cellStyle name="Mult With x 2 4" xfId="18328" xr:uid="{00000000-0005-0000-0000-000098490000}"/>
    <cellStyle name="Mult With x 3" xfId="18329" xr:uid="{00000000-0005-0000-0000-000099490000}"/>
    <cellStyle name="Mult With x 4" xfId="18330" xr:uid="{00000000-0005-0000-0000-00009A490000}"/>
    <cellStyle name="Mult With x 5" xfId="18331" xr:uid="{00000000-0005-0000-0000-00009B490000}"/>
    <cellStyle name="Multiple" xfId="18332" xr:uid="{00000000-0005-0000-0000-00009C490000}"/>
    <cellStyle name="Multiple (no x)" xfId="18333" xr:uid="{00000000-0005-0000-0000-00009D490000}"/>
    <cellStyle name="Multiple (no x) 2" xfId="18334" xr:uid="{00000000-0005-0000-0000-00009E490000}"/>
    <cellStyle name="Multiple (no x) 3" xfId="18335" xr:uid="{00000000-0005-0000-0000-00009F490000}"/>
    <cellStyle name="Multiple (no x) 4" xfId="18336" xr:uid="{00000000-0005-0000-0000-0000A0490000}"/>
    <cellStyle name="Multiple (no x) 5" xfId="18337" xr:uid="{00000000-0005-0000-0000-0000A1490000}"/>
    <cellStyle name="Multiple (x)" xfId="18338" xr:uid="{00000000-0005-0000-0000-0000A2490000}"/>
    <cellStyle name="Multiple (x) 2" xfId="18339" xr:uid="{00000000-0005-0000-0000-0000A3490000}"/>
    <cellStyle name="Multiple (x) 3" xfId="18340" xr:uid="{00000000-0005-0000-0000-0000A4490000}"/>
    <cellStyle name="Multiple (x) 4" xfId="18341" xr:uid="{00000000-0005-0000-0000-0000A5490000}"/>
    <cellStyle name="Multiple (x) 5" xfId="18342" xr:uid="{00000000-0005-0000-0000-0000A6490000}"/>
    <cellStyle name="Multiple [0]" xfId="18343" xr:uid="{00000000-0005-0000-0000-0000A7490000}"/>
    <cellStyle name="Multiple [0] 2" xfId="18344" xr:uid="{00000000-0005-0000-0000-0000A8490000}"/>
    <cellStyle name="Multiple [0] 3" xfId="18345" xr:uid="{00000000-0005-0000-0000-0000A9490000}"/>
    <cellStyle name="Multiple [0] 4" xfId="18346" xr:uid="{00000000-0005-0000-0000-0000AA490000}"/>
    <cellStyle name="Multiple [1]" xfId="18347" xr:uid="{00000000-0005-0000-0000-0000AB490000}"/>
    <cellStyle name="Multiple [1] 2" xfId="18348" xr:uid="{00000000-0005-0000-0000-0000AC490000}"/>
    <cellStyle name="Multiple [1] 3" xfId="18349" xr:uid="{00000000-0005-0000-0000-0000AD490000}"/>
    <cellStyle name="Multiple [1] 4" xfId="18350" xr:uid="{00000000-0005-0000-0000-0000AE490000}"/>
    <cellStyle name="Multiple 10" xfId="18351" xr:uid="{00000000-0005-0000-0000-0000AF490000}"/>
    <cellStyle name="Multiple 11" xfId="18352" xr:uid="{00000000-0005-0000-0000-0000B0490000}"/>
    <cellStyle name="Multiple 2" xfId="18353" xr:uid="{00000000-0005-0000-0000-0000B1490000}"/>
    <cellStyle name="Multiple 3" xfId="18354" xr:uid="{00000000-0005-0000-0000-0000B2490000}"/>
    <cellStyle name="Multiple 4" xfId="18355" xr:uid="{00000000-0005-0000-0000-0000B3490000}"/>
    <cellStyle name="Multiple 5" xfId="18356" xr:uid="{00000000-0005-0000-0000-0000B4490000}"/>
    <cellStyle name="Multiple 6" xfId="18357" xr:uid="{00000000-0005-0000-0000-0000B5490000}"/>
    <cellStyle name="Multiple 7" xfId="18358" xr:uid="{00000000-0005-0000-0000-0000B6490000}"/>
    <cellStyle name="Multiple 8" xfId="18359" xr:uid="{00000000-0005-0000-0000-0000B7490000}"/>
    <cellStyle name="Multiple 9" xfId="18360" xr:uid="{00000000-0005-0000-0000-0000B8490000}"/>
    <cellStyle name="Multiple_090115 Red  Green Flags Dic 2k8" xfId="18361" xr:uid="{00000000-0005-0000-0000-0000B9490000}"/>
    <cellStyle name="Nagłówek 1" xfId="25139" xr:uid="{00000000-0005-0000-0000-0000BA490000}"/>
    <cellStyle name="Nagłówek 1 2" xfId="25140" xr:uid="{00000000-0005-0000-0000-0000BB490000}"/>
    <cellStyle name="Nagłówek 1 3" xfId="25141" xr:uid="{00000000-0005-0000-0000-0000BC490000}"/>
    <cellStyle name="Nagłówek 2" xfId="25142" xr:uid="{00000000-0005-0000-0000-0000BD490000}"/>
    <cellStyle name="Nagłówek 2 2" xfId="25143" xr:uid="{00000000-0005-0000-0000-0000BE490000}"/>
    <cellStyle name="Nagłówek 2 3" xfId="25144" xr:uid="{00000000-0005-0000-0000-0000BF490000}"/>
    <cellStyle name="Nagłówek 3" xfId="25145" xr:uid="{00000000-0005-0000-0000-0000C0490000}"/>
    <cellStyle name="Nagłówek 3 2" xfId="25146" xr:uid="{00000000-0005-0000-0000-0000C1490000}"/>
    <cellStyle name="Nagłówek 3 3" xfId="25147" xr:uid="{00000000-0005-0000-0000-0000C2490000}"/>
    <cellStyle name="Nagłówek 4" xfId="25148" xr:uid="{00000000-0005-0000-0000-0000C3490000}"/>
    <cellStyle name="Nagłówek 4 2" xfId="25149" xr:uid="{00000000-0005-0000-0000-0000C4490000}"/>
    <cellStyle name="Nagłówek 4 3" xfId="25150" xr:uid="{00000000-0005-0000-0000-0000C5490000}"/>
    <cellStyle name="Neutral 10" xfId="18362" xr:uid="{00000000-0005-0000-0000-0000C6490000}"/>
    <cellStyle name="Neutral 10 2" xfId="18363" xr:uid="{00000000-0005-0000-0000-0000C7490000}"/>
    <cellStyle name="Neutral 10 3" xfId="18364" xr:uid="{00000000-0005-0000-0000-0000C8490000}"/>
    <cellStyle name="Neutral 10 4" xfId="18365" xr:uid="{00000000-0005-0000-0000-0000C9490000}"/>
    <cellStyle name="Neutral 11" xfId="18366" xr:uid="{00000000-0005-0000-0000-0000CA490000}"/>
    <cellStyle name="Neutral 11 2" xfId="18367" xr:uid="{00000000-0005-0000-0000-0000CB490000}"/>
    <cellStyle name="Neutral 11 3" xfId="18368" xr:uid="{00000000-0005-0000-0000-0000CC490000}"/>
    <cellStyle name="Neutral 11 4" xfId="18369" xr:uid="{00000000-0005-0000-0000-0000CD490000}"/>
    <cellStyle name="Neutral 12" xfId="18370" xr:uid="{00000000-0005-0000-0000-0000CE490000}"/>
    <cellStyle name="Neutral 12 2" xfId="18371" xr:uid="{00000000-0005-0000-0000-0000CF490000}"/>
    <cellStyle name="Neutral 12 3" xfId="18372" xr:uid="{00000000-0005-0000-0000-0000D0490000}"/>
    <cellStyle name="Neutral 12 4" xfId="18373" xr:uid="{00000000-0005-0000-0000-0000D1490000}"/>
    <cellStyle name="Neutral 13" xfId="18374" xr:uid="{00000000-0005-0000-0000-0000D2490000}"/>
    <cellStyle name="Neutral 13 2" xfId="18375" xr:uid="{00000000-0005-0000-0000-0000D3490000}"/>
    <cellStyle name="Neutral 13 3" xfId="18376" xr:uid="{00000000-0005-0000-0000-0000D4490000}"/>
    <cellStyle name="Neutral 13 4" xfId="18377" xr:uid="{00000000-0005-0000-0000-0000D5490000}"/>
    <cellStyle name="Neutral 14" xfId="18378" xr:uid="{00000000-0005-0000-0000-0000D6490000}"/>
    <cellStyle name="Neutral 14 2" xfId="18379" xr:uid="{00000000-0005-0000-0000-0000D7490000}"/>
    <cellStyle name="Neutral 14 3" xfId="18380" xr:uid="{00000000-0005-0000-0000-0000D8490000}"/>
    <cellStyle name="Neutral 14 4" xfId="18381" xr:uid="{00000000-0005-0000-0000-0000D9490000}"/>
    <cellStyle name="Neutral 15" xfId="18382" xr:uid="{00000000-0005-0000-0000-0000DA490000}"/>
    <cellStyle name="Neutral 15 2" xfId="18383" xr:uid="{00000000-0005-0000-0000-0000DB490000}"/>
    <cellStyle name="Neutral 15 3" xfId="18384" xr:uid="{00000000-0005-0000-0000-0000DC490000}"/>
    <cellStyle name="Neutral 15 4" xfId="18385" xr:uid="{00000000-0005-0000-0000-0000DD490000}"/>
    <cellStyle name="Neutral 16" xfId="18386" xr:uid="{00000000-0005-0000-0000-0000DE490000}"/>
    <cellStyle name="Neutral 16 2" xfId="18387" xr:uid="{00000000-0005-0000-0000-0000DF490000}"/>
    <cellStyle name="Neutral 16 3" xfId="18388" xr:uid="{00000000-0005-0000-0000-0000E0490000}"/>
    <cellStyle name="Neutral 16 4" xfId="18389" xr:uid="{00000000-0005-0000-0000-0000E1490000}"/>
    <cellStyle name="Neutral 17" xfId="18390" xr:uid="{00000000-0005-0000-0000-0000E2490000}"/>
    <cellStyle name="Neutral 17 2" xfId="18391" xr:uid="{00000000-0005-0000-0000-0000E3490000}"/>
    <cellStyle name="Neutral 17 3" xfId="18392" xr:uid="{00000000-0005-0000-0000-0000E4490000}"/>
    <cellStyle name="Neutral 17 4" xfId="18393" xr:uid="{00000000-0005-0000-0000-0000E5490000}"/>
    <cellStyle name="Neutral 18" xfId="18394" xr:uid="{00000000-0005-0000-0000-0000E6490000}"/>
    <cellStyle name="Neutral 18 2" xfId="18395" xr:uid="{00000000-0005-0000-0000-0000E7490000}"/>
    <cellStyle name="Neutral 18 3" xfId="18396" xr:uid="{00000000-0005-0000-0000-0000E8490000}"/>
    <cellStyle name="Neutral 18 4" xfId="18397" xr:uid="{00000000-0005-0000-0000-0000E9490000}"/>
    <cellStyle name="Neutral 19" xfId="18398" xr:uid="{00000000-0005-0000-0000-0000EA490000}"/>
    <cellStyle name="Neutral 19 2" xfId="18399" xr:uid="{00000000-0005-0000-0000-0000EB490000}"/>
    <cellStyle name="Neutral 19 3" xfId="18400" xr:uid="{00000000-0005-0000-0000-0000EC490000}"/>
    <cellStyle name="Neutral 19 4" xfId="18401" xr:uid="{00000000-0005-0000-0000-0000ED490000}"/>
    <cellStyle name="Neutral 2" xfId="18402" xr:uid="{00000000-0005-0000-0000-0000EE490000}"/>
    <cellStyle name="Neutral 2 2" xfId="18403" xr:uid="{00000000-0005-0000-0000-0000EF490000}"/>
    <cellStyle name="Neutral 2 2 2" xfId="18404" xr:uid="{00000000-0005-0000-0000-0000F0490000}"/>
    <cellStyle name="Neutral 2 2 3" xfId="18405" xr:uid="{00000000-0005-0000-0000-0000F1490000}"/>
    <cellStyle name="Neutral 2 2 4" xfId="18406" xr:uid="{00000000-0005-0000-0000-0000F2490000}"/>
    <cellStyle name="Neutral 2 3" xfId="18407" xr:uid="{00000000-0005-0000-0000-0000F3490000}"/>
    <cellStyle name="Neutral 2 3 2" xfId="18408" xr:uid="{00000000-0005-0000-0000-0000F4490000}"/>
    <cellStyle name="Neutral 2 3 3" xfId="18409" xr:uid="{00000000-0005-0000-0000-0000F5490000}"/>
    <cellStyle name="Neutral 2 3 4" xfId="18410" xr:uid="{00000000-0005-0000-0000-0000F6490000}"/>
    <cellStyle name="Neutral 2 4" xfId="18411" xr:uid="{00000000-0005-0000-0000-0000F7490000}"/>
    <cellStyle name="Neutral 2 4 2" xfId="18412" xr:uid="{00000000-0005-0000-0000-0000F8490000}"/>
    <cellStyle name="Neutral 2 4 3" xfId="18413" xr:uid="{00000000-0005-0000-0000-0000F9490000}"/>
    <cellStyle name="Neutral 2 4 4" xfId="18414" xr:uid="{00000000-0005-0000-0000-0000FA490000}"/>
    <cellStyle name="Neutral 2 5" xfId="18415" xr:uid="{00000000-0005-0000-0000-0000FB490000}"/>
    <cellStyle name="Neutral 2 6" xfId="18416" xr:uid="{00000000-0005-0000-0000-0000FC490000}"/>
    <cellStyle name="Neutral 2 7" xfId="18417" xr:uid="{00000000-0005-0000-0000-0000FD490000}"/>
    <cellStyle name="Neutral 2 8" xfId="18418" xr:uid="{00000000-0005-0000-0000-0000FE490000}"/>
    <cellStyle name="Neutral 20" xfId="18419" xr:uid="{00000000-0005-0000-0000-0000FF490000}"/>
    <cellStyle name="Neutral 20 2" xfId="18420" xr:uid="{00000000-0005-0000-0000-0000004A0000}"/>
    <cellStyle name="Neutral 20 3" xfId="18421" xr:uid="{00000000-0005-0000-0000-0000014A0000}"/>
    <cellStyle name="Neutral 20 4" xfId="18422" xr:uid="{00000000-0005-0000-0000-0000024A0000}"/>
    <cellStyle name="Neutral 21" xfId="18423" xr:uid="{00000000-0005-0000-0000-0000034A0000}"/>
    <cellStyle name="Neutral 21 2" xfId="18424" xr:uid="{00000000-0005-0000-0000-0000044A0000}"/>
    <cellStyle name="Neutral 21 3" xfId="18425" xr:uid="{00000000-0005-0000-0000-0000054A0000}"/>
    <cellStyle name="Neutral 21 4" xfId="18426" xr:uid="{00000000-0005-0000-0000-0000064A0000}"/>
    <cellStyle name="Neutral 22" xfId="18427" xr:uid="{00000000-0005-0000-0000-0000074A0000}"/>
    <cellStyle name="Neutral 22 2" xfId="18428" xr:uid="{00000000-0005-0000-0000-0000084A0000}"/>
    <cellStyle name="Neutral 22 3" xfId="18429" xr:uid="{00000000-0005-0000-0000-0000094A0000}"/>
    <cellStyle name="Neutral 22 4" xfId="18430" xr:uid="{00000000-0005-0000-0000-00000A4A0000}"/>
    <cellStyle name="Neutral 23" xfId="18431" xr:uid="{00000000-0005-0000-0000-00000B4A0000}"/>
    <cellStyle name="Neutral 23 2" xfId="18432" xr:uid="{00000000-0005-0000-0000-00000C4A0000}"/>
    <cellStyle name="Neutral 23 3" xfId="18433" xr:uid="{00000000-0005-0000-0000-00000D4A0000}"/>
    <cellStyle name="Neutral 23 4" xfId="18434" xr:uid="{00000000-0005-0000-0000-00000E4A0000}"/>
    <cellStyle name="Neutral 24" xfId="18435" xr:uid="{00000000-0005-0000-0000-00000F4A0000}"/>
    <cellStyle name="Neutral 24 2" xfId="18436" xr:uid="{00000000-0005-0000-0000-0000104A0000}"/>
    <cellStyle name="Neutral 24 3" xfId="18437" xr:uid="{00000000-0005-0000-0000-0000114A0000}"/>
    <cellStyle name="Neutral 24 4" xfId="18438" xr:uid="{00000000-0005-0000-0000-0000124A0000}"/>
    <cellStyle name="Neutral 25" xfId="18439" xr:uid="{00000000-0005-0000-0000-0000134A0000}"/>
    <cellStyle name="Neutral 25 2" xfId="18440" xr:uid="{00000000-0005-0000-0000-0000144A0000}"/>
    <cellStyle name="Neutral 25 3" xfId="18441" xr:uid="{00000000-0005-0000-0000-0000154A0000}"/>
    <cellStyle name="Neutral 25 4" xfId="18442" xr:uid="{00000000-0005-0000-0000-0000164A0000}"/>
    <cellStyle name="Neutral 26" xfId="18443" xr:uid="{00000000-0005-0000-0000-0000174A0000}"/>
    <cellStyle name="Neutral 26 2" xfId="18444" xr:uid="{00000000-0005-0000-0000-0000184A0000}"/>
    <cellStyle name="Neutral 26 3" xfId="18445" xr:uid="{00000000-0005-0000-0000-0000194A0000}"/>
    <cellStyle name="Neutral 26 4" xfId="18446" xr:uid="{00000000-0005-0000-0000-00001A4A0000}"/>
    <cellStyle name="Neutral 27" xfId="18447" xr:uid="{00000000-0005-0000-0000-00001B4A0000}"/>
    <cellStyle name="Neutral 27 2" xfId="18448" xr:uid="{00000000-0005-0000-0000-00001C4A0000}"/>
    <cellStyle name="Neutral 27 3" xfId="18449" xr:uid="{00000000-0005-0000-0000-00001D4A0000}"/>
    <cellStyle name="Neutral 27 4" xfId="18450" xr:uid="{00000000-0005-0000-0000-00001E4A0000}"/>
    <cellStyle name="Neutral 28" xfId="18451" xr:uid="{00000000-0005-0000-0000-00001F4A0000}"/>
    <cellStyle name="Neutral 28 2" xfId="18452" xr:uid="{00000000-0005-0000-0000-0000204A0000}"/>
    <cellStyle name="Neutral 28 3" xfId="18453" xr:uid="{00000000-0005-0000-0000-0000214A0000}"/>
    <cellStyle name="Neutral 28 4" xfId="18454" xr:uid="{00000000-0005-0000-0000-0000224A0000}"/>
    <cellStyle name="Neutral 29" xfId="18455" xr:uid="{00000000-0005-0000-0000-0000234A0000}"/>
    <cellStyle name="Neutral 29 2" xfId="18456" xr:uid="{00000000-0005-0000-0000-0000244A0000}"/>
    <cellStyle name="Neutral 29 3" xfId="18457" xr:uid="{00000000-0005-0000-0000-0000254A0000}"/>
    <cellStyle name="Neutral 29 4" xfId="18458" xr:uid="{00000000-0005-0000-0000-0000264A0000}"/>
    <cellStyle name="Neutral 3" xfId="18459" xr:uid="{00000000-0005-0000-0000-0000274A0000}"/>
    <cellStyle name="Neutral 3 2" xfId="18460" xr:uid="{00000000-0005-0000-0000-0000284A0000}"/>
    <cellStyle name="Neutral 3 2 2" xfId="18461" xr:uid="{00000000-0005-0000-0000-0000294A0000}"/>
    <cellStyle name="Neutral 3 2 3" xfId="18462" xr:uid="{00000000-0005-0000-0000-00002A4A0000}"/>
    <cellStyle name="Neutral 3 2 4" xfId="18463" xr:uid="{00000000-0005-0000-0000-00002B4A0000}"/>
    <cellStyle name="Neutral 3 3" xfId="18464" xr:uid="{00000000-0005-0000-0000-00002C4A0000}"/>
    <cellStyle name="Neutral 3 3 2" xfId="18465" xr:uid="{00000000-0005-0000-0000-00002D4A0000}"/>
    <cellStyle name="Neutral 3 3 3" xfId="18466" xr:uid="{00000000-0005-0000-0000-00002E4A0000}"/>
    <cellStyle name="Neutral 3 3 4" xfId="18467" xr:uid="{00000000-0005-0000-0000-00002F4A0000}"/>
    <cellStyle name="Neutral 3 4" xfId="18468" xr:uid="{00000000-0005-0000-0000-0000304A0000}"/>
    <cellStyle name="Neutral 3 4 2" xfId="18469" xr:uid="{00000000-0005-0000-0000-0000314A0000}"/>
    <cellStyle name="Neutral 3 4 3" xfId="18470" xr:uid="{00000000-0005-0000-0000-0000324A0000}"/>
    <cellStyle name="Neutral 3 4 4" xfId="18471" xr:uid="{00000000-0005-0000-0000-0000334A0000}"/>
    <cellStyle name="Neutral 3 5" xfId="18472" xr:uid="{00000000-0005-0000-0000-0000344A0000}"/>
    <cellStyle name="Neutral 3 6" xfId="18473" xr:uid="{00000000-0005-0000-0000-0000354A0000}"/>
    <cellStyle name="Neutral 3 7" xfId="18474" xr:uid="{00000000-0005-0000-0000-0000364A0000}"/>
    <cellStyle name="Neutral 3 8" xfId="18475" xr:uid="{00000000-0005-0000-0000-0000374A0000}"/>
    <cellStyle name="Neutral 30" xfId="18476" xr:uid="{00000000-0005-0000-0000-0000384A0000}"/>
    <cellStyle name="Neutral 31" xfId="18477" xr:uid="{00000000-0005-0000-0000-0000394A0000}"/>
    <cellStyle name="Neutral 32" xfId="18478" xr:uid="{00000000-0005-0000-0000-00003A4A0000}"/>
    <cellStyle name="Neutral 4" xfId="18479" xr:uid="{00000000-0005-0000-0000-00003B4A0000}"/>
    <cellStyle name="Neutral 4 2" xfId="18480" xr:uid="{00000000-0005-0000-0000-00003C4A0000}"/>
    <cellStyle name="Neutral 4 3" xfId="18481" xr:uid="{00000000-0005-0000-0000-00003D4A0000}"/>
    <cellStyle name="Neutral 4 4" xfId="18482" xr:uid="{00000000-0005-0000-0000-00003E4A0000}"/>
    <cellStyle name="Neutral 4 5" xfId="18483" xr:uid="{00000000-0005-0000-0000-00003F4A0000}"/>
    <cellStyle name="Neutral 4 6" xfId="18484" xr:uid="{00000000-0005-0000-0000-0000404A0000}"/>
    <cellStyle name="Neutral 5" xfId="18485" xr:uid="{00000000-0005-0000-0000-0000414A0000}"/>
    <cellStyle name="Neutral 5 2" xfId="18486" xr:uid="{00000000-0005-0000-0000-0000424A0000}"/>
    <cellStyle name="Neutral 5 3" xfId="18487" xr:uid="{00000000-0005-0000-0000-0000434A0000}"/>
    <cellStyle name="Neutral 5 4" xfId="18488" xr:uid="{00000000-0005-0000-0000-0000444A0000}"/>
    <cellStyle name="Neutral 5 5" xfId="18489" xr:uid="{00000000-0005-0000-0000-0000454A0000}"/>
    <cellStyle name="Neutral 5 6" xfId="18490" xr:uid="{00000000-0005-0000-0000-0000464A0000}"/>
    <cellStyle name="Neutral 6" xfId="18491" xr:uid="{00000000-0005-0000-0000-0000474A0000}"/>
    <cellStyle name="Neutral 6 2" xfId="18492" xr:uid="{00000000-0005-0000-0000-0000484A0000}"/>
    <cellStyle name="Neutral 6 3" xfId="18493" xr:uid="{00000000-0005-0000-0000-0000494A0000}"/>
    <cellStyle name="Neutral 6 4" xfId="18494" xr:uid="{00000000-0005-0000-0000-00004A4A0000}"/>
    <cellStyle name="Neutral 6 5" xfId="18495" xr:uid="{00000000-0005-0000-0000-00004B4A0000}"/>
    <cellStyle name="Neutral 6 6" xfId="18496" xr:uid="{00000000-0005-0000-0000-00004C4A0000}"/>
    <cellStyle name="Neutral 7" xfId="18497" xr:uid="{00000000-0005-0000-0000-00004D4A0000}"/>
    <cellStyle name="Neutral 7 2" xfId="18498" xr:uid="{00000000-0005-0000-0000-00004E4A0000}"/>
    <cellStyle name="Neutral 7 3" xfId="18499" xr:uid="{00000000-0005-0000-0000-00004F4A0000}"/>
    <cellStyle name="Neutral 7 4" xfId="18500" xr:uid="{00000000-0005-0000-0000-0000504A0000}"/>
    <cellStyle name="Neutral 7 5" xfId="18501" xr:uid="{00000000-0005-0000-0000-0000514A0000}"/>
    <cellStyle name="Neutral 7 6" xfId="18502" xr:uid="{00000000-0005-0000-0000-0000524A0000}"/>
    <cellStyle name="Neutral 8" xfId="18503" xr:uid="{00000000-0005-0000-0000-0000534A0000}"/>
    <cellStyle name="Neutral 8 2" xfId="18504" xr:uid="{00000000-0005-0000-0000-0000544A0000}"/>
    <cellStyle name="Neutral 8 3" xfId="18505" xr:uid="{00000000-0005-0000-0000-0000554A0000}"/>
    <cellStyle name="Neutral 8 4" xfId="18506" xr:uid="{00000000-0005-0000-0000-0000564A0000}"/>
    <cellStyle name="Neutral 8 5" xfId="18507" xr:uid="{00000000-0005-0000-0000-0000574A0000}"/>
    <cellStyle name="Neutral 8 6" xfId="18508" xr:uid="{00000000-0005-0000-0000-0000584A0000}"/>
    <cellStyle name="Neutral 9" xfId="18509" xr:uid="{00000000-0005-0000-0000-0000594A0000}"/>
    <cellStyle name="Neutral 9 2" xfId="18510" xr:uid="{00000000-0005-0000-0000-00005A4A0000}"/>
    <cellStyle name="Neutral 9 3" xfId="18511" xr:uid="{00000000-0005-0000-0000-00005B4A0000}"/>
    <cellStyle name="Neutral 9 4" xfId="18512" xr:uid="{00000000-0005-0000-0000-00005C4A0000}"/>
    <cellStyle name="Neutralne" xfId="25151" xr:uid="{00000000-0005-0000-0000-00005D4A0000}"/>
    <cellStyle name="Neutralne 2" xfId="25152" xr:uid="{00000000-0005-0000-0000-00005E4A0000}"/>
    <cellStyle name="Neutralne 3" xfId="25153" xr:uid="{00000000-0005-0000-0000-00005F4A0000}"/>
    <cellStyle name="Neutre" xfId="18513" xr:uid="{00000000-0005-0000-0000-0000604A0000}"/>
    <cellStyle name="no dec" xfId="18514" xr:uid="{00000000-0005-0000-0000-0000614A0000}"/>
    <cellStyle name="no dec 2" xfId="18515" xr:uid="{00000000-0005-0000-0000-0000624A0000}"/>
    <cellStyle name="no dec 2 2" xfId="18516" xr:uid="{00000000-0005-0000-0000-0000634A0000}"/>
    <cellStyle name="no dec 2 3" xfId="18517" xr:uid="{00000000-0005-0000-0000-0000644A0000}"/>
    <cellStyle name="no dec 2 4" xfId="18518" xr:uid="{00000000-0005-0000-0000-0000654A0000}"/>
    <cellStyle name="no dec 2 5" xfId="18519" xr:uid="{00000000-0005-0000-0000-0000664A0000}"/>
    <cellStyle name="no dec 3" xfId="18520" xr:uid="{00000000-0005-0000-0000-0000674A0000}"/>
    <cellStyle name="no dec 3 2" xfId="18521" xr:uid="{00000000-0005-0000-0000-0000684A0000}"/>
    <cellStyle name="no dec 3 3" xfId="18522" xr:uid="{00000000-0005-0000-0000-0000694A0000}"/>
    <cellStyle name="no dec 3 4" xfId="18523" xr:uid="{00000000-0005-0000-0000-00006A4A0000}"/>
    <cellStyle name="no dec 3 5" xfId="18524" xr:uid="{00000000-0005-0000-0000-00006B4A0000}"/>
    <cellStyle name="no dec 4" xfId="18525" xr:uid="{00000000-0005-0000-0000-00006C4A0000}"/>
    <cellStyle name="no dec 4 2" xfId="18526" xr:uid="{00000000-0005-0000-0000-00006D4A0000}"/>
    <cellStyle name="no dec 4 3" xfId="18527" xr:uid="{00000000-0005-0000-0000-00006E4A0000}"/>
    <cellStyle name="no dec 4 4" xfId="18528" xr:uid="{00000000-0005-0000-0000-00006F4A0000}"/>
    <cellStyle name="no dec 4 5" xfId="18529" xr:uid="{00000000-0005-0000-0000-0000704A0000}"/>
    <cellStyle name="no dec 5" xfId="18530" xr:uid="{00000000-0005-0000-0000-0000714A0000}"/>
    <cellStyle name="no dec 5 2" xfId="18531" xr:uid="{00000000-0005-0000-0000-0000724A0000}"/>
    <cellStyle name="no dec 5 3" xfId="18532" xr:uid="{00000000-0005-0000-0000-0000734A0000}"/>
    <cellStyle name="no dec 5 4" xfId="18533" xr:uid="{00000000-0005-0000-0000-0000744A0000}"/>
    <cellStyle name="no dec 5 5" xfId="18534" xr:uid="{00000000-0005-0000-0000-0000754A0000}"/>
    <cellStyle name="no dec 6" xfId="18535" xr:uid="{00000000-0005-0000-0000-0000764A0000}"/>
    <cellStyle name="no dec 6 2" xfId="18536" xr:uid="{00000000-0005-0000-0000-0000774A0000}"/>
    <cellStyle name="no dec 6 3" xfId="18537" xr:uid="{00000000-0005-0000-0000-0000784A0000}"/>
    <cellStyle name="no dec 6 4" xfId="18538" xr:uid="{00000000-0005-0000-0000-0000794A0000}"/>
    <cellStyle name="no dec 6 5" xfId="18539" xr:uid="{00000000-0005-0000-0000-00007A4A0000}"/>
    <cellStyle name="no dec 7" xfId="18540" xr:uid="{00000000-0005-0000-0000-00007B4A0000}"/>
    <cellStyle name="no dec 8" xfId="18541" xr:uid="{00000000-0005-0000-0000-00007C4A0000}"/>
    <cellStyle name="no dec 9" xfId="18542" xr:uid="{00000000-0005-0000-0000-00007D4A0000}"/>
    <cellStyle name="Nor}al" xfId="18543" xr:uid="{00000000-0005-0000-0000-00007E4A0000}"/>
    <cellStyle name="Nor}al 2" xfId="18544" xr:uid="{00000000-0005-0000-0000-00007F4A0000}"/>
    <cellStyle name="Nor}al 2 2" xfId="18545" xr:uid="{00000000-0005-0000-0000-0000804A0000}"/>
    <cellStyle name="Nor}al 2 2 2" xfId="18546" xr:uid="{00000000-0005-0000-0000-0000814A0000}"/>
    <cellStyle name="Nor}al 2 2 3" xfId="18547" xr:uid="{00000000-0005-0000-0000-0000824A0000}"/>
    <cellStyle name="Nor}al 2 2 4" xfId="18548" xr:uid="{00000000-0005-0000-0000-0000834A0000}"/>
    <cellStyle name="Nor}al 2 3" xfId="18549" xr:uid="{00000000-0005-0000-0000-0000844A0000}"/>
    <cellStyle name="Nor}al 2 3 2" xfId="25154" xr:uid="{00000000-0005-0000-0000-0000854A0000}"/>
    <cellStyle name="Nor}al 2 3 3" xfId="25155" xr:uid="{00000000-0005-0000-0000-0000864A0000}"/>
    <cellStyle name="Nor}al 2 4" xfId="18550" xr:uid="{00000000-0005-0000-0000-0000874A0000}"/>
    <cellStyle name="Nor}al 2 4 2" xfId="25156" xr:uid="{00000000-0005-0000-0000-0000884A0000}"/>
    <cellStyle name="Nor}al 2 4 3" xfId="25157" xr:uid="{00000000-0005-0000-0000-0000894A0000}"/>
    <cellStyle name="Nor}al 2 5" xfId="18551" xr:uid="{00000000-0005-0000-0000-00008A4A0000}"/>
    <cellStyle name="Nor}al 2 6" xfId="25158" xr:uid="{00000000-0005-0000-0000-00008B4A0000}"/>
    <cellStyle name="Nor}al 2_SUBARTICO ADD-DEL" xfId="18552" xr:uid="{00000000-0005-0000-0000-00008C4A0000}"/>
    <cellStyle name="Nor}al 3" xfId="18553" xr:uid="{00000000-0005-0000-0000-00008D4A0000}"/>
    <cellStyle name="Nor}al 3 2" xfId="18554" xr:uid="{00000000-0005-0000-0000-00008E4A0000}"/>
    <cellStyle name="Nor}al 3 3" xfId="25159" xr:uid="{00000000-0005-0000-0000-00008F4A0000}"/>
    <cellStyle name="Nor}al 4" xfId="18555" xr:uid="{00000000-0005-0000-0000-0000904A0000}"/>
    <cellStyle name="Nor}al 4 2" xfId="18556" xr:uid="{00000000-0005-0000-0000-0000914A0000}"/>
    <cellStyle name="Nor}al 4 3" xfId="18557" xr:uid="{00000000-0005-0000-0000-0000924A0000}"/>
    <cellStyle name="Nor}al 4 4" xfId="18558" xr:uid="{00000000-0005-0000-0000-0000934A0000}"/>
    <cellStyle name="Nor}al 5" xfId="18559" xr:uid="{00000000-0005-0000-0000-0000944A0000}"/>
    <cellStyle name="Nor}al 5 2" xfId="18560" xr:uid="{00000000-0005-0000-0000-0000954A0000}"/>
    <cellStyle name="Nor}al 5 3" xfId="18561" xr:uid="{00000000-0005-0000-0000-0000964A0000}"/>
    <cellStyle name="Nor}al 5 4" xfId="18562" xr:uid="{00000000-0005-0000-0000-0000974A0000}"/>
    <cellStyle name="Nor}al 6" xfId="18563" xr:uid="{00000000-0005-0000-0000-0000984A0000}"/>
    <cellStyle name="Nor}al 6 2" xfId="18564" xr:uid="{00000000-0005-0000-0000-0000994A0000}"/>
    <cellStyle name="Nor}al 6 3" xfId="18565" xr:uid="{00000000-0005-0000-0000-00009A4A0000}"/>
    <cellStyle name="Nor}al 6 4" xfId="18566" xr:uid="{00000000-0005-0000-0000-00009B4A0000}"/>
    <cellStyle name="Nor}al 7" xfId="18567" xr:uid="{00000000-0005-0000-0000-00009C4A0000}"/>
    <cellStyle name="Nor}al_001" xfId="18568" xr:uid="{00000000-0005-0000-0000-00009D4A0000}"/>
    <cellStyle name="Normal" xfId="0" builtinId="0"/>
    <cellStyle name="Normal - Style1" xfId="18569" xr:uid="{00000000-0005-0000-0000-00009F4A0000}"/>
    <cellStyle name="Normal - Style1 10" xfId="18570" xr:uid="{00000000-0005-0000-0000-0000A04A0000}"/>
    <cellStyle name="Normal - Style1 11" xfId="18571" xr:uid="{00000000-0005-0000-0000-0000A14A0000}"/>
    <cellStyle name="Normal - Style1 12" xfId="18572" xr:uid="{00000000-0005-0000-0000-0000A24A0000}"/>
    <cellStyle name="Normal - Style1 2" xfId="18573" xr:uid="{00000000-0005-0000-0000-0000A34A0000}"/>
    <cellStyle name="Normal - Style1 2 2" xfId="18574" xr:uid="{00000000-0005-0000-0000-0000A44A0000}"/>
    <cellStyle name="Normal - Style1 2 2 2" xfId="18575" xr:uid="{00000000-0005-0000-0000-0000A54A0000}"/>
    <cellStyle name="Normal - Style1 2 3" xfId="18576" xr:uid="{00000000-0005-0000-0000-0000A64A0000}"/>
    <cellStyle name="Normal - Style1 2 4" xfId="18577" xr:uid="{00000000-0005-0000-0000-0000A74A0000}"/>
    <cellStyle name="Normal - Style1 2 5" xfId="18578" xr:uid="{00000000-0005-0000-0000-0000A84A0000}"/>
    <cellStyle name="Normal - Style1 2 6" xfId="18579" xr:uid="{00000000-0005-0000-0000-0000A94A0000}"/>
    <cellStyle name="Normal - Style1 2 7" xfId="18580" xr:uid="{00000000-0005-0000-0000-0000AA4A0000}"/>
    <cellStyle name="Normal - Style1 3" xfId="18581" xr:uid="{00000000-0005-0000-0000-0000AB4A0000}"/>
    <cellStyle name="Normal - Style1 3 2" xfId="18582" xr:uid="{00000000-0005-0000-0000-0000AC4A0000}"/>
    <cellStyle name="Normal - Style1 3 2 2" xfId="18583" xr:uid="{00000000-0005-0000-0000-0000AD4A0000}"/>
    <cellStyle name="Normal - Style1 3 3" xfId="18584" xr:uid="{00000000-0005-0000-0000-0000AE4A0000}"/>
    <cellStyle name="Normal - Style1 3 4" xfId="18585" xr:uid="{00000000-0005-0000-0000-0000AF4A0000}"/>
    <cellStyle name="Normal - Style1 3 5" xfId="18586" xr:uid="{00000000-0005-0000-0000-0000B04A0000}"/>
    <cellStyle name="Normal - Style1 3 6" xfId="18587" xr:uid="{00000000-0005-0000-0000-0000B14A0000}"/>
    <cellStyle name="Normal - Style1 3 7" xfId="18588" xr:uid="{00000000-0005-0000-0000-0000B24A0000}"/>
    <cellStyle name="Normal - Style1 4" xfId="18589" xr:uid="{00000000-0005-0000-0000-0000B34A0000}"/>
    <cellStyle name="Normal - Style1 4 2" xfId="18590" xr:uid="{00000000-0005-0000-0000-0000B44A0000}"/>
    <cellStyle name="Normal - Style1 4 3" xfId="18591" xr:uid="{00000000-0005-0000-0000-0000B54A0000}"/>
    <cellStyle name="Normal - Style1 4 4" xfId="18592" xr:uid="{00000000-0005-0000-0000-0000B64A0000}"/>
    <cellStyle name="Normal - Style1 4 5" xfId="18593" xr:uid="{00000000-0005-0000-0000-0000B74A0000}"/>
    <cellStyle name="Normal - Style1 5" xfId="18594" xr:uid="{00000000-0005-0000-0000-0000B84A0000}"/>
    <cellStyle name="Normal - Style1 5 2" xfId="18595" xr:uid="{00000000-0005-0000-0000-0000B94A0000}"/>
    <cellStyle name="Normal - Style1 5 3" xfId="18596" xr:uid="{00000000-0005-0000-0000-0000BA4A0000}"/>
    <cellStyle name="Normal - Style1 5 4" xfId="18597" xr:uid="{00000000-0005-0000-0000-0000BB4A0000}"/>
    <cellStyle name="Normal - Style1 5 5" xfId="18598" xr:uid="{00000000-0005-0000-0000-0000BC4A0000}"/>
    <cellStyle name="Normal - Style1 6" xfId="18599" xr:uid="{00000000-0005-0000-0000-0000BD4A0000}"/>
    <cellStyle name="Normal - Style1 6 2" xfId="18600" xr:uid="{00000000-0005-0000-0000-0000BE4A0000}"/>
    <cellStyle name="Normal - Style1 6 3" xfId="18601" xr:uid="{00000000-0005-0000-0000-0000BF4A0000}"/>
    <cellStyle name="Normal - Style1 6 4" xfId="18602" xr:uid="{00000000-0005-0000-0000-0000C04A0000}"/>
    <cellStyle name="Normal - Style1 7" xfId="18603" xr:uid="{00000000-0005-0000-0000-0000C14A0000}"/>
    <cellStyle name="Normal - Style1 7 2" xfId="18604" xr:uid="{00000000-0005-0000-0000-0000C24A0000}"/>
    <cellStyle name="Normal - Style1 7 3" xfId="18605" xr:uid="{00000000-0005-0000-0000-0000C34A0000}"/>
    <cellStyle name="Normal - Style1 7 4" xfId="18606" xr:uid="{00000000-0005-0000-0000-0000C44A0000}"/>
    <cellStyle name="Normal - Style1 7 5" xfId="18607" xr:uid="{00000000-0005-0000-0000-0000C54A0000}"/>
    <cellStyle name="Normal - Style1 8" xfId="18608" xr:uid="{00000000-0005-0000-0000-0000C64A0000}"/>
    <cellStyle name="Normal - Style1 8 2" xfId="18609" xr:uid="{00000000-0005-0000-0000-0000C74A0000}"/>
    <cellStyle name="Normal - Style1 8 3" xfId="18610" xr:uid="{00000000-0005-0000-0000-0000C84A0000}"/>
    <cellStyle name="Normal - Style1 8 4" xfId="18611" xr:uid="{00000000-0005-0000-0000-0000C94A0000}"/>
    <cellStyle name="Normal - Style1 9" xfId="18612" xr:uid="{00000000-0005-0000-0000-0000CA4A0000}"/>
    <cellStyle name="Normal - Style1 9 2" xfId="18613" xr:uid="{00000000-0005-0000-0000-0000CB4A0000}"/>
    <cellStyle name="Normal - Style1 9 3" xfId="18614" xr:uid="{00000000-0005-0000-0000-0000CC4A0000}"/>
    <cellStyle name="Normal - Style1 9 4" xfId="18615" xr:uid="{00000000-0005-0000-0000-0000CD4A0000}"/>
    <cellStyle name="Normal - Style1_ADL SIN AUTO" xfId="18616" xr:uid="{00000000-0005-0000-0000-0000CE4A0000}"/>
    <cellStyle name="Normal 10" xfId="18617" xr:uid="{00000000-0005-0000-0000-0000CF4A0000}"/>
    <cellStyle name="Normal 10 2" xfId="18618" xr:uid="{00000000-0005-0000-0000-0000D04A0000}"/>
    <cellStyle name="Normal 10 2 2" xfId="18619" xr:uid="{00000000-0005-0000-0000-0000D14A0000}"/>
    <cellStyle name="Normal 10 2 2 2" xfId="18620" xr:uid="{00000000-0005-0000-0000-0000D24A0000}"/>
    <cellStyle name="Normal 10 2 2 2 2" xfId="18621" xr:uid="{00000000-0005-0000-0000-0000D34A0000}"/>
    <cellStyle name="Normal 10 2 2 2 2 2" xfId="18622" xr:uid="{00000000-0005-0000-0000-0000D44A0000}"/>
    <cellStyle name="Normal 10 2 2 2 2 3" xfId="18623" xr:uid="{00000000-0005-0000-0000-0000D54A0000}"/>
    <cellStyle name="Normal 10 2 2 2 2 4" xfId="18624" xr:uid="{00000000-0005-0000-0000-0000D64A0000}"/>
    <cellStyle name="Normal 10 2 2 2 3" xfId="18625" xr:uid="{00000000-0005-0000-0000-0000D74A0000}"/>
    <cellStyle name="Normal 10 2 2 2 4" xfId="18626" xr:uid="{00000000-0005-0000-0000-0000D84A0000}"/>
    <cellStyle name="Normal 10 2 2 2 5" xfId="18627" xr:uid="{00000000-0005-0000-0000-0000D94A0000}"/>
    <cellStyle name="Normal 10 2 2 3" xfId="18628" xr:uid="{00000000-0005-0000-0000-0000DA4A0000}"/>
    <cellStyle name="Normal 10 2 2 3 2" xfId="25160" xr:uid="{00000000-0005-0000-0000-0000DB4A0000}"/>
    <cellStyle name="Normal 10 2 2 3 3" xfId="25161" xr:uid="{00000000-0005-0000-0000-0000DC4A0000}"/>
    <cellStyle name="Normal 10 2 3" xfId="18629" xr:uid="{00000000-0005-0000-0000-0000DD4A0000}"/>
    <cellStyle name="Normal 10 2 4" xfId="18630" xr:uid="{00000000-0005-0000-0000-0000DE4A0000}"/>
    <cellStyle name="Normal 10 3" xfId="18631" xr:uid="{00000000-0005-0000-0000-0000DF4A0000}"/>
    <cellStyle name="Normal 10 3 2" xfId="18632" xr:uid="{00000000-0005-0000-0000-0000E04A0000}"/>
    <cellStyle name="Normal 10 3 3" xfId="18633" xr:uid="{00000000-0005-0000-0000-0000E14A0000}"/>
    <cellStyle name="Normal 10 3 4" xfId="18634" xr:uid="{00000000-0005-0000-0000-0000E24A0000}"/>
    <cellStyle name="Normal 10 3 5" xfId="18635" xr:uid="{00000000-0005-0000-0000-0000E34A0000}"/>
    <cellStyle name="Normal 10 4" xfId="18636" xr:uid="{00000000-0005-0000-0000-0000E44A0000}"/>
    <cellStyle name="Normal 10 4 2" xfId="18637" xr:uid="{00000000-0005-0000-0000-0000E54A0000}"/>
    <cellStyle name="Normal 10 4 3" xfId="18638" xr:uid="{00000000-0005-0000-0000-0000E64A0000}"/>
    <cellStyle name="Normal 10 4 4" xfId="18639" xr:uid="{00000000-0005-0000-0000-0000E74A0000}"/>
    <cellStyle name="Normal 10 4 5" xfId="18640" xr:uid="{00000000-0005-0000-0000-0000E84A0000}"/>
    <cellStyle name="Normal 10 5" xfId="18641" xr:uid="{00000000-0005-0000-0000-0000E94A0000}"/>
    <cellStyle name="Normal 10 5 2" xfId="18642" xr:uid="{00000000-0005-0000-0000-0000EA4A0000}"/>
    <cellStyle name="Normal 10 5 3" xfId="18643" xr:uid="{00000000-0005-0000-0000-0000EB4A0000}"/>
    <cellStyle name="Normal 10 5 4" xfId="18644" xr:uid="{00000000-0005-0000-0000-0000EC4A0000}"/>
    <cellStyle name="Normal 10 6" xfId="18645" xr:uid="{00000000-0005-0000-0000-0000ED4A0000}"/>
    <cellStyle name="Normal 10 6 2" xfId="18646" xr:uid="{00000000-0005-0000-0000-0000EE4A0000}"/>
    <cellStyle name="Normal 10 6 3" xfId="18647" xr:uid="{00000000-0005-0000-0000-0000EF4A0000}"/>
    <cellStyle name="Normal 10 6 4" xfId="18648" xr:uid="{00000000-0005-0000-0000-0000F04A0000}"/>
    <cellStyle name="Normal 10 7" xfId="18649" xr:uid="{00000000-0005-0000-0000-0000F14A0000}"/>
    <cellStyle name="Normal 10_PAQUETE PARA COTIZAR" xfId="18650" xr:uid="{00000000-0005-0000-0000-0000F24A0000}"/>
    <cellStyle name="Normal 100" xfId="18651" xr:uid="{00000000-0005-0000-0000-0000F34A0000}"/>
    <cellStyle name="Normal 100 2" xfId="18652" xr:uid="{00000000-0005-0000-0000-0000F44A0000}"/>
    <cellStyle name="Normal 100 2 2" xfId="18653" xr:uid="{00000000-0005-0000-0000-0000F54A0000}"/>
    <cellStyle name="Normal 100 2 3" xfId="18654" xr:uid="{00000000-0005-0000-0000-0000F64A0000}"/>
    <cellStyle name="Normal 100 2 4" xfId="18655" xr:uid="{00000000-0005-0000-0000-0000F74A0000}"/>
    <cellStyle name="Normal 100 3" xfId="18656" xr:uid="{00000000-0005-0000-0000-0000F84A0000}"/>
    <cellStyle name="Normal 100 4" xfId="18657" xr:uid="{00000000-0005-0000-0000-0000F94A0000}"/>
    <cellStyle name="Normal 100 5" xfId="18658" xr:uid="{00000000-0005-0000-0000-0000FA4A0000}"/>
    <cellStyle name="Normal 101" xfId="18659" xr:uid="{00000000-0005-0000-0000-0000FB4A0000}"/>
    <cellStyle name="Normal 101 2" xfId="18660" xr:uid="{00000000-0005-0000-0000-0000FC4A0000}"/>
    <cellStyle name="Normal 101 2 2" xfId="18661" xr:uid="{00000000-0005-0000-0000-0000FD4A0000}"/>
    <cellStyle name="Normal 101 2 3" xfId="18662" xr:uid="{00000000-0005-0000-0000-0000FE4A0000}"/>
    <cellStyle name="Normal 101 2 4" xfId="18663" xr:uid="{00000000-0005-0000-0000-0000FF4A0000}"/>
    <cellStyle name="Normal 101 3" xfId="18664" xr:uid="{00000000-0005-0000-0000-0000004B0000}"/>
    <cellStyle name="Normal 101 4" xfId="18665" xr:uid="{00000000-0005-0000-0000-0000014B0000}"/>
    <cellStyle name="Normal 101 5" xfId="18666" xr:uid="{00000000-0005-0000-0000-0000024B0000}"/>
    <cellStyle name="Normal 102" xfId="18667" xr:uid="{00000000-0005-0000-0000-0000034B0000}"/>
    <cellStyle name="Normal 102 2" xfId="18668" xr:uid="{00000000-0005-0000-0000-0000044B0000}"/>
    <cellStyle name="Normal 102 2 2" xfId="18669" xr:uid="{00000000-0005-0000-0000-0000054B0000}"/>
    <cellStyle name="Normal 102 2 3" xfId="18670" xr:uid="{00000000-0005-0000-0000-0000064B0000}"/>
    <cellStyle name="Normal 102 2 4" xfId="18671" xr:uid="{00000000-0005-0000-0000-0000074B0000}"/>
    <cellStyle name="Normal 102 3" xfId="18672" xr:uid="{00000000-0005-0000-0000-0000084B0000}"/>
    <cellStyle name="Normal 102 4" xfId="18673" xr:uid="{00000000-0005-0000-0000-0000094B0000}"/>
    <cellStyle name="Normal 102 5" xfId="18674" xr:uid="{00000000-0005-0000-0000-00000A4B0000}"/>
    <cellStyle name="Normal 103" xfId="18675" xr:uid="{00000000-0005-0000-0000-00000B4B0000}"/>
    <cellStyle name="Normal 103 2" xfId="18676" xr:uid="{00000000-0005-0000-0000-00000C4B0000}"/>
    <cellStyle name="Normal 103 3" xfId="18677" xr:uid="{00000000-0005-0000-0000-00000D4B0000}"/>
    <cellStyle name="Normal 103 4" xfId="18678" xr:uid="{00000000-0005-0000-0000-00000E4B0000}"/>
    <cellStyle name="Normal 103 5" xfId="18679" xr:uid="{00000000-0005-0000-0000-00000F4B0000}"/>
    <cellStyle name="Normal 104" xfId="18680" xr:uid="{00000000-0005-0000-0000-0000104B0000}"/>
    <cellStyle name="Normal 104 2" xfId="18681" xr:uid="{00000000-0005-0000-0000-0000114B0000}"/>
    <cellStyle name="Normal 104 3" xfId="18682" xr:uid="{00000000-0005-0000-0000-0000124B0000}"/>
    <cellStyle name="Normal 104 4" xfId="18683" xr:uid="{00000000-0005-0000-0000-0000134B0000}"/>
    <cellStyle name="Normal 104 5" xfId="18684" xr:uid="{00000000-0005-0000-0000-0000144B0000}"/>
    <cellStyle name="Normal 105" xfId="18685" xr:uid="{00000000-0005-0000-0000-0000154B0000}"/>
    <cellStyle name="Normal 105 2" xfId="18686" xr:uid="{00000000-0005-0000-0000-0000164B0000}"/>
    <cellStyle name="Normal 105 3" xfId="18687" xr:uid="{00000000-0005-0000-0000-0000174B0000}"/>
    <cellStyle name="Normal 105 4" xfId="18688" xr:uid="{00000000-0005-0000-0000-0000184B0000}"/>
    <cellStyle name="Normal 105 5" xfId="18689" xr:uid="{00000000-0005-0000-0000-0000194B0000}"/>
    <cellStyle name="Normal 106" xfId="18690" xr:uid="{00000000-0005-0000-0000-00001A4B0000}"/>
    <cellStyle name="Normal 106 2" xfId="18691" xr:uid="{00000000-0005-0000-0000-00001B4B0000}"/>
    <cellStyle name="Normal 106 3" xfId="18692" xr:uid="{00000000-0005-0000-0000-00001C4B0000}"/>
    <cellStyle name="Normal 106 4" xfId="18693" xr:uid="{00000000-0005-0000-0000-00001D4B0000}"/>
    <cellStyle name="Normal 106 5" xfId="18694" xr:uid="{00000000-0005-0000-0000-00001E4B0000}"/>
    <cellStyle name="Normal 107" xfId="18695" xr:uid="{00000000-0005-0000-0000-00001F4B0000}"/>
    <cellStyle name="Normal 107 2" xfId="18696" xr:uid="{00000000-0005-0000-0000-0000204B0000}"/>
    <cellStyle name="Normal 107 3" xfId="18697" xr:uid="{00000000-0005-0000-0000-0000214B0000}"/>
    <cellStyle name="Normal 107 4" xfId="18698" xr:uid="{00000000-0005-0000-0000-0000224B0000}"/>
    <cellStyle name="Normal 107 5" xfId="18699" xr:uid="{00000000-0005-0000-0000-0000234B0000}"/>
    <cellStyle name="Normal 108" xfId="18700" xr:uid="{00000000-0005-0000-0000-0000244B0000}"/>
    <cellStyle name="Normal 108 2" xfId="18701" xr:uid="{00000000-0005-0000-0000-0000254B0000}"/>
    <cellStyle name="Normal 108 3" xfId="18702" xr:uid="{00000000-0005-0000-0000-0000264B0000}"/>
    <cellStyle name="Normal 108 4" xfId="18703" xr:uid="{00000000-0005-0000-0000-0000274B0000}"/>
    <cellStyle name="Normal 108 5" xfId="18704" xr:uid="{00000000-0005-0000-0000-0000284B0000}"/>
    <cellStyle name="Normal 109" xfId="18705" xr:uid="{00000000-0005-0000-0000-0000294B0000}"/>
    <cellStyle name="Normal 109 2" xfId="18706" xr:uid="{00000000-0005-0000-0000-00002A4B0000}"/>
    <cellStyle name="Normal 109 3" xfId="18707" xr:uid="{00000000-0005-0000-0000-00002B4B0000}"/>
    <cellStyle name="Normal 109 4" xfId="18708" xr:uid="{00000000-0005-0000-0000-00002C4B0000}"/>
    <cellStyle name="Normal 109 5" xfId="18709" xr:uid="{00000000-0005-0000-0000-00002D4B0000}"/>
    <cellStyle name="Normal 11" xfId="18710" xr:uid="{00000000-0005-0000-0000-00002E4B0000}"/>
    <cellStyle name="Normal 11 2" xfId="18711" xr:uid="{00000000-0005-0000-0000-00002F4B0000}"/>
    <cellStyle name="Normal 11 2 2" xfId="18712" xr:uid="{00000000-0005-0000-0000-0000304B0000}"/>
    <cellStyle name="Normal 11 2 2 2" xfId="18713" xr:uid="{00000000-0005-0000-0000-0000314B0000}"/>
    <cellStyle name="Normal 11 2 2 3" xfId="18714" xr:uid="{00000000-0005-0000-0000-0000324B0000}"/>
    <cellStyle name="Normal 11 2 2 4" xfId="18715" xr:uid="{00000000-0005-0000-0000-0000334B0000}"/>
    <cellStyle name="Normal 11 2 3" xfId="18716" xr:uid="{00000000-0005-0000-0000-0000344B0000}"/>
    <cellStyle name="Normal 11 2 4" xfId="18717" xr:uid="{00000000-0005-0000-0000-0000354B0000}"/>
    <cellStyle name="Normal 11 2 5" xfId="18718" xr:uid="{00000000-0005-0000-0000-0000364B0000}"/>
    <cellStyle name="Normal 11 2 6" xfId="18719" xr:uid="{00000000-0005-0000-0000-0000374B0000}"/>
    <cellStyle name="Normal 11 3" xfId="18720" xr:uid="{00000000-0005-0000-0000-0000384B0000}"/>
    <cellStyle name="Normal 11 3 2" xfId="18721" xr:uid="{00000000-0005-0000-0000-0000394B0000}"/>
    <cellStyle name="Normal 11 4" xfId="18722" xr:uid="{00000000-0005-0000-0000-00003A4B0000}"/>
    <cellStyle name="Normal 11 4 2" xfId="18723" xr:uid="{00000000-0005-0000-0000-00003B4B0000}"/>
    <cellStyle name="Normal 11 4 3" xfId="18724" xr:uid="{00000000-0005-0000-0000-00003C4B0000}"/>
    <cellStyle name="Normal 11 4 4" xfId="18725" xr:uid="{00000000-0005-0000-0000-00003D4B0000}"/>
    <cellStyle name="Normal 11 5" xfId="18726" xr:uid="{00000000-0005-0000-0000-00003E4B0000}"/>
    <cellStyle name="Normal 11 5 2" xfId="18727" xr:uid="{00000000-0005-0000-0000-00003F4B0000}"/>
    <cellStyle name="Normal 11 5 3" xfId="18728" xr:uid="{00000000-0005-0000-0000-0000404B0000}"/>
    <cellStyle name="Normal 11 5 4" xfId="18729" xr:uid="{00000000-0005-0000-0000-0000414B0000}"/>
    <cellStyle name="Normal 11 6" xfId="18730" xr:uid="{00000000-0005-0000-0000-0000424B0000}"/>
    <cellStyle name="Normal 110" xfId="18731" xr:uid="{00000000-0005-0000-0000-0000434B0000}"/>
    <cellStyle name="Normal 110 2" xfId="18732" xr:uid="{00000000-0005-0000-0000-0000444B0000}"/>
    <cellStyle name="Normal 110 2 2" xfId="18733" xr:uid="{00000000-0005-0000-0000-0000454B0000}"/>
    <cellStyle name="Normal 110 2 3" xfId="18734" xr:uid="{00000000-0005-0000-0000-0000464B0000}"/>
    <cellStyle name="Normal 110 2 4" xfId="18735" xr:uid="{00000000-0005-0000-0000-0000474B0000}"/>
    <cellStyle name="Normal 110 3" xfId="18736" xr:uid="{00000000-0005-0000-0000-0000484B0000}"/>
    <cellStyle name="Normal 110 4" xfId="18737" xr:uid="{00000000-0005-0000-0000-0000494B0000}"/>
    <cellStyle name="Normal 111" xfId="18738" xr:uid="{00000000-0005-0000-0000-00004A4B0000}"/>
    <cellStyle name="Normal 111 2" xfId="18739" xr:uid="{00000000-0005-0000-0000-00004B4B0000}"/>
    <cellStyle name="Normal 111 3" xfId="18740" xr:uid="{00000000-0005-0000-0000-00004C4B0000}"/>
    <cellStyle name="Normal 111 4" xfId="18741" xr:uid="{00000000-0005-0000-0000-00004D4B0000}"/>
    <cellStyle name="Normal 111 5" xfId="18742" xr:uid="{00000000-0005-0000-0000-00004E4B0000}"/>
    <cellStyle name="Normal 112" xfId="18743" xr:uid="{00000000-0005-0000-0000-00004F4B0000}"/>
    <cellStyle name="Normal 112 2" xfId="18744" xr:uid="{00000000-0005-0000-0000-0000504B0000}"/>
    <cellStyle name="Normal 112 2 2" xfId="18745" xr:uid="{00000000-0005-0000-0000-0000514B0000}"/>
    <cellStyle name="Normal 112 2 3" xfId="18746" xr:uid="{00000000-0005-0000-0000-0000524B0000}"/>
    <cellStyle name="Normal 112 2 4" xfId="18747" xr:uid="{00000000-0005-0000-0000-0000534B0000}"/>
    <cellStyle name="Normal 112 3" xfId="18748" xr:uid="{00000000-0005-0000-0000-0000544B0000}"/>
    <cellStyle name="Normal 112 4" xfId="18749" xr:uid="{00000000-0005-0000-0000-0000554B0000}"/>
    <cellStyle name="Normal 112 5" xfId="18750" xr:uid="{00000000-0005-0000-0000-0000564B0000}"/>
    <cellStyle name="Normal 113" xfId="18751" xr:uid="{00000000-0005-0000-0000-0000574B0000}"/>
    <cellStyle name="Normal 113 2" xfId="18752" xr:uid="{00000000-0005-0000-0000-0000584B0000}"/>
    <cellStyle name="Normal 113 2 2" xfId="18753" xr:uid="{00000000-0005-0000-0000-0000594B0000}"/>
    <cellStyle name="Normal 113 2 3" xfId="18754" xr:uid="{00000000-0005-0000-0000-00005A4B0000}"/>
    <cellStyle name="Normal 113 2 4" xfId="18755" xr:uid="{00000000-0005-0000-0000-00005B4B0000}"/>
    <cellStyle name="Normal 113 3" xfId="18756" xr:uid="{00000000-0005-0000-0000-00005C4B0000}"/>
    <cellStyle name="Normal 113 4" xfId="18757" xr:uid="{00000000-0005-0000-0000-00005D4B0000}"/>
    <cellStyle name="Normal 113 5" xfId="18758" xr:uid="{00000000-0005-0000-0000-00005E4B0000}"/>
    <cellStyle name="Normal 114" xfId="18759" xr:uid="{00000000-0005-0000-0000-00005F4B0000}"/>
    <cellStyle name="Normal 114 2" xfId="18760" xr:uid="{00000000-0005-0000-0000-0000604B0000}"/>
    <cellStyle name="Normal 114 2 2" xfId="18761" xr:uid="{00000000-0005-0000-0000-0000614B0000}"/>
    <cellStyle name="Normal 114 2 3" xfId="18762" xr:uid="{00000000-0005-0000-0000-0000624B0000}"/>
    <cellStyle name="Normal 114 2 4" xfId="18763" xr:uid="{00000000-0005-0000-0000-0000634B0000}"/>
    <cellStyle name="Normal 114 3" xfId="18764" xr:uid="{00000000-0005-0000-0000-0000644B0000}"/>
    <cellStyle name="Normal 114 4" xfId="18765" xr:uid="{00000000-0005-0000-0000-0000654B0000}"/>
    <cellStyle name="Normal 114 5" xfId="18766" xr:uid="{00000000-0005-0000-0000-0000664B0000}"/>
    <cellStyle name="Normal 115" xfId="18767" xr:uid="{00000000-0005-0000-0000-0000674B0000}"/>
    <cellStyle name="Normal 115 2" xfId="18768" xr:uid="{00000000-0005-0000-0000-0000684B0000}"/>
    <cellStyle name="Normal 115 2 2" xfId="18769" xr:uid="{00000000-0005-0000-0000-0000694B0000}"/>
    <cellStyle name="Normal 115 2 3" xfId="18770" xr:uid="{00000000-0005-0000-0000-00006A4B0000}"/>
    <cellStyle name="Normal 115 2 4" xfId="18771" xr:uid="{00000000-0005-0000-0000-00006B4B0000}"/>
    <cellStyle name="Normal 115 3" xfId="18772" xr:uid="{00000000-0005-0000-0000-00006C4B0000}"/>
    <cellStyle name="Normal 115 4" xfId="18773" xr:uid="{00000000-0005-0000-0000-00006D4B0000}"/>
    <cellStyle name="Normal 115 5" xfId="18774" xr:uid="{00000000-0005-0000-0000-00006E4B0000}"/>
    <cellStyle name="Normal 116" xfId="18775" xr:uid="{00000000-0005-0000-0000-00006F4B0000}"/>
    <cellStyle name="Normal 116 2" xfId="18776" xr:uid="{00000000-0005-0000-0000-0000704B0000}"/>
    <cellStyle name="Normal 116 2 2" xfId="18777" xr:uid="{00000000-0005-0000-0000-0000714B0000}"/>
    <cellStyle name="Normal 116 2 3" xfId="18778" xr:uid="{00000000-0005-0000-0000-0000724B0000}"/>
    <cellStyle name="Normal 116 2 4" xfId="18779" xr:uid="{00000000-0005-0000-0000-0000734B0000}"/>
    <cellStyle name="Normal 116 3" xfId="18780" xr:uid="{00000000-0005-0000-0000-0000744B0000}"/>
    <cellStyle name="Normal 116 4" xfId="18781" xr:uid="{00000000-0005-0000-0000-0000754B0000}"/>
    <cellStyle name="Normal 116 5" xfId="18782" xr:uid="{00000000-0005-0000-0000-0000764B0000}"/>
    <cellStyle name="Normal 117" xfId="18783" xr:uid="{00000000-0005-0000-0000-0000774B0000}"/>
    <cellStyle name="Normal 117 2" xfId="18784" xr:uid="{00000000-0005-0000-0000-0000784B0000}"/>
    <cellStyle name="Normal 117 2 2" xfId="18785" xr:uid="{00000000-0005-0000-0000-0000794B0000}"/>
    <cellStyle name="Normal 117 2 3" xfId="18786" xr:uid="{00000000-0005-0000-0000-00007A4B0000}"/>
    <cellStyle name="Normal 117 2 4" xfId="18787" xr:uid="{00000000-0005-0000-0000-00007B4B0000}"/>
    <cellStyle name="Normal 117 3" xfId="18788" xr:uid="{00000000-0005-0000-0000-00007C4B0000}"/>
    <cellStyle name="Normal 117 4" xfId="18789" xr:uid="{00000000-0005-0000-0000-00007D4B0000}"/>
    <cellStyle name="Normal 117 5" xfId="18790" xr:uid="{00000000-0005-0000-0000-00007E4B0000}"/>
    <cellStyle name="Normal 118" xfId="18791" xr:uid="{00000000-0005-0000-0000-00007F4B0000}"/>
    <cellStyle name="Normal 118 2" xfId="18792" xr:uid="{00000000-0005-0000-0000-0000804B0000}"/>
    <cellStyle name="Normal 118 2 2" xfId="18793" xr:uid="{00000000-0005-0000-0000-0000814B0000}"/>
    <cellStyle name="Normal 118 2 3" xfId="18794" xr:uid="{00000000-0005-0000-0000-0000824B0000}"/>
    <cellStyle name="Normal 118 2 4" xfId="18795" xr:uid="{00000000-0005-0000-0000-0000834B0000}"/>
    <cellStyle name="Normal 118 3" xfId="18796" xr:uid="{00000000-0005-0000-0000-0000844B0000}"/>
    <cellStyle name="Normal 118 4" xfId="18797" xr:uid="{00000000-0005-0000-0000-0000854B0000}"/>
    <cellStyle name="Normal 118 5" xfId="18798" xr:uid="{00000000-0005-0000-0000-0000864B0000}"/>
    <cellStyle name="Normal 119" xfId="18799" xr:uid="{00000000-0005-0000-0000-0000874B0000}"/>
    <cellStyle name="Normal 119 2" xfId="18800" xr:uid="{00000000-0005-0000-0000-0000884B0000}"/>
    <cellStyle name="Normal 119 2 2" xfId="18801" xr:uid="{00000000-0005-0000-0000-0000894B0000}"/>
    <cellStyle name="Normal 119 2 3" xfId="18802" xr:uid="{00000000-0005-0000-0000-00008A4B0000}"/>
    <cellStyle name="Normal 119 2 4" xfId="18803" xr:uid="{00000000-0005-0000-0000-00008B4B0000}"/>
    <cellStyle name="Normal 119 3" xfId="18804" xr:uid="{00000000-0005-0000-0000-00008C4B0000}"/>
    <cellStyle name="Normal 119 4" xfId="18805" xr:uid="{00000000-0005-0000-0000-00008D4B0000}"/>
    <cellStyle name="Normal 119 5" xfId="18806" xr:uid="{00000000-0005-0000-0000-00008E4B0000}"/>
    <cellStyle name="Normal 12" xfId="18807" xr:uid="{00000000-0005-0000-0000-00008F4B0000}"/>
    <cellStyle name="Normal 12 2" xfId="18808" xr:uid="{00000000-0005-0000-0000-0000904B0000}"/>
    <cellStyle name="Normal 12 2 2" xfId="18809" xr:uid="{00000000-0005-0000-0000-0000914B0000}"/>
    <cellStyle name="Normal 12 2 2 2" xfId="18810" xr:uid="{00000000-0005-0000-0000-0000924B0000}"/>
    <cellStyle name="Normal 12 2 2 3" xfId="18811" xr:uid="{00000000-0005-0000-0000-0000934B0000}"/>
    <cellStyle name="Normal 12 2 2 4" xfId="18812" xr:uid="{00000000-0005-0000-0000-0000944B0000}"/>
    <cellStyle name="Normal 12 2 3" xfId="18813" xr:uid="{00000000-0005-0000-0000-0000954B0000}"/>
    <cellStyle name="Normal 12 2 4" xfId="18814" xr:uid="{00000000-0005-0000-0000-0000964B0000}"/>
    <cellStyle name="Normal 12 3" xfId="18815" xr:uid="{00000000-0005-0000-0000-0000974B0000}"/>
    <cellStyle name="Normal 12 3 2" xfId="18816" xr:uid="{00000000-0005-0000-0000-0000984B0000}"/>
    <cellStyle name="Normal 12 3 3" xfId="18817" xr:uid="{00000000-0005-0000-0000-0000994B0000}"/>
    <cellStyle name="Normal 12 3 4" xfId="18818" xr:uid="{00000000-0005-0000-0000-00009A4B0000}"/>
    <cellStyle name="Normal 12 4" xfId="18819" xr:uid="{00000000-0005-0000-0000-00009B4B0000}"/>
    <cellStyle name="Normal 12 4 2" xfId="18820" xr:uid="{00000000-0005-0000-0000-00009C4B0000}"/>
    <cellStyle name="Normal 12 4 3" xfId="18821" xr:uid="{00000000-0005-0000-0000-00009D4B0000}"/>
    <cellStyle name="Normal 12 4 4" xfId="18822" xr:uid="{00000000-0005-0000-0000-00009E4B0000}"/>
    <cellStyle name="Normal 12 5" xfId="18823" xr:uid="{00000000-0005-0000-0000-00009F4B0000}"/>
    <cellStyle name="Normal 12 6" xfId="18824" xr:uid="{00000000-0005-0000-0000-0000A04B0000}"/>
    <cellStyle name="Normal 120" xfId="18825" xr:uid="{00000000-0005-0000-0000-0000A14B0000}"/>
    <cellStyle name="Normal 120 2" xfId="18826" xr:uid="{00000000-0005-0000-0000-0000A24B0000}"/>
    <cellStyle name="Normal 120 3" xfId="18827" xr:uid="{00000000-0005-0000-0000-0000A34B0000}"/>
    <cellStyle name="Normal 120 4" xfId="18828" xr:uid="{00000000-0005-0000-0000-0000A44B0000}"/>
    <cellStyle name="Normal 120 5" xfId="18829" xr:uid="{00000000-0005-0000-0000-0000A54B0000}"/>
    <cellStyle name="Normal 121" xfId="18830" xr:uid="{00000000-0005-0000-0000-0000A64B0000}"/>
    <cellStyle name="Normal 121 2" xfId="18831" xr:uid="{00000000-0005-0000-0000-0000A74B0000}"/>
    <cellStyle name="Normal 121 3" xfId="18832" xr:uid="{00000000-0005-0000-0000-0000A84B0000}"/>
    <cellStyle name="Normal 121 4" xfId="18833" xr:uid="{00000000-0005-0000-0000-0000A94B0000}"/>
    <cellStyle name="Normal 121 5" xfId="18834" xr:uid="{00000000-0005-0000-0000-0000AA4B0000}"/>
    <cellStyle name="Normal 122" xfId="18835" xr:uid="{00000000-0005-0000-0000-0000AB4B0000}"/>
    <cellStyle name="Normal 122 2" xfId="18836" xr:uid="{00000000-0005-0000-0000-0000AC4B0000}"/>
    <cellStyle name="Normal 122 3" xfId="18837" xr:uid="{00000000-0005-0000-0000-0000AD4B0000}"/>
    <cellStyle name="Normal 122 4" xfId="18838" xr:uid="{00000000-0005-0000-0000-0000AE4B0000}"/>
    <cellStyle name="Normal 122 5" xfId="18839" xr:uid="{00000000-0005-0000-0000-0000AF4B0000}"/>
    <cellStyle name="Normal 123" xfId="18840" xr:uid="{00000000-0005-0000-0000-0000B04B0000}"/>
    <cellStyle name="Normal 123 2" xfId="18841" xr:uid="{00000000-0005-0000-0000-0000B14B0000}"/>
    <cellStyle name="Normal 123 3" xfId="18842" xr:uid="{00000000-0005-0000-0000-0000B24B0000}"/>
    <cellStyle name="Normal 123 4" xfId="18843" xr:uid="{00000000-0005-0000-0000-0000B34B0000}"/>
    <cellStyle name="Normal 123 5" xfId="18844" xr:uid="{00000000-0005-0000-0000-0000B44B0000}"/>
    <cellStyle name="Normal 124" xfId="18845" xr:uid="{00000000-0005-0000-0000-0000B54B0000}"/>
    <cellStyle name="Normal 124 2" xfId="18846" xr:uid="{00000000-0005-0000-0000-0000B64B0000}"/>
    <cellStyle name="Normal 124 3" xfId="18847" xr:uid="{00000000-0005-0000-0000-0000B74B0000}"/>
    <cellStyle name="Normal 124 4" xfId="18848" xr:uid="{00000000-0005-0000-0000-0000B84B0000}"/>
    <cellStyle name="Normal 124 5" xfId="18849" xr:uid="{00000000-0005-0000-0000-0000B94B0000}"/>
    <cellStyle name="Normal 125" xfId="18850" xr:uid="{00000000-0005-0000-0000-0000BA4B0000}"/>
    <cellStyle name="Normal 125 2" xfId="18851" xr:uid="{00000000-0005-0000-0000-0000BB4B0000}"/>
    <cellStyle name="Normal 125 3" xfId="18852" xr:uid="{00000000-0005-0000-0000-0000BC4B0000}"/>
    <cellStyle name="Normal 125 4" xfId="18853" xr:uid="{00000000-0005-0000-0000-0000BD4B0000}"/>
    <cellStyle name="Normal 125 5" xfId="18854" xr:uid="{00000000-0005-0000-0000-0000BE4B0000}"/>
    <cellStyle name="Normal 126" xfId="18855" xr:uid="{00000000-0005-0000-0000-0000BF4B0000}"/>
    <cellStyle name="Normal 126 2" xfId="18856" xr:uid="{00000000-0005-0000-0000-0000C04B0000}"/>
    <cellStyle name="Normal 126 3" xfId="18857" xr:uid="{00000000-0005-0000-0000-0000C14B0000}"/>
    <cellStyle name="Normal 126 4" xfId="18858" xr:uid="{00000000-0005-0000-0000-0000C24B0000}"/>
    <cellStyle name="Normal 126 5" xfId="18859" xr:uid="{00000000-0005-0000-0000-0000C34B0000}"/>
    <cellStyle name="Normal 127" xfId="18860" xr:uid="{00000000-0005-0000-0000-0000C44B0000}"/>
    <cellStyle name="Normal 127 2" xfId="18861" xr:uid="{00000000-0005-0000-0000-0000C54B0000}"/>
    <cellStyle name="Normal 127 3" xfId="25162" xr:uid="{00000000-0005-0000-0000-0000C64B0000}"/>
    <cellStyle name="Normal 128" xfId="18862" xr:uid="{00000000-0005-0000-0000-0000C74B0000}"/>
    <cellStyle name="Normal 128 2" xfId="18863" xr:uid="{00000000-0005-0000-0000-0000C84B0000}"/>
    <cellStyle name="Normal 128 3" xfId="25163" xr:uid="{00000000-0005-0000-0000-0000C94B0000}"/>
    <cellStyle name="Normal 129" xfId="18864" xr:uid="{00000000-0005-0000-0000-0000CA4B0000}"/>
    <cellStyle name="Normal 129 2" xfId="18865" xr:uid="{00000000-0005-0000-0000-0000CB4B0000}"/>
    <cellStyle name="Normal 129 3" xfId="25164" xr:uid="{00000000-0005-0000-0000-0000CC4B0000}"/>
    <cellStyle name="Normal 13" xfId="18866" xr:uid="{00000000-0005-0000-0000-0000CD4B0000}"/>
    <cellStyle name="Normal 13 2" xfId="18867" xr:uid="{00000000-0005-0000-0000-0000CE4B0000}"/>
    <cellStyle name="Normal 13 2 2" xfId="18868" xr:uid="{00000000-0005-0000-0000-0000CF4B0000}"/>
    <cellStyle name="Normal 13 2 2 2" xfId="18869" xr:uid="{00000000-0005-0000-0000-0000D04B0000}"/>
    <cellStyle name="Normal 13 2 2 3" xfId="18870" xr:uid="{00000000-0005-0000-0000-0000D14B0000}"/>
    <cellStyle name="Normal 13 2 2 4" xfId="18871" xr:uid="{00000000-0005-0000-0000-0000D24B0000}"/>
    <cellStyle name="Normal 13 2 2 5" xfId="18872" xr:uid="{00000000-0005-0000-0000-0000D34B0000}"/>
    <cellStyle name="Normal 13 2 2 6" xfId="18873" xr:uid="{00000000-0005-0000-0000-0000D44B0000}"/>
    <cellStyle name="Normal 13 2 3" xfId="18874" xr:uid="{00000000-0005-0000-0000-0000D54B0000}"/>
    <cellStyle name="Normal 13 2 3 2" xfId="18875" xr:uid="{00000000-0005-0000-0000-0000D64B0000}"/>
    <cellStyle name="Normal 13 2 3 3" xfId="18876" xr:uid="{00000000-0005-0000-0000-0000D74B0000}"/>
    <cellStyle name="Normal 13 2 3 4" xfId="18877" xr:uid="{00000000-0005-0000-0000-0000D84B0000}"/>
    <cellStyle name="Normal 13 2 4" xfId="18878" xr:uid="{00000000-0005-0000-0000-0000D94B0000}"/>
    <cellStyle name="Normal 13 2 5" xfId="18879" xr:uid="{00000000-0005-0000-0000-0000DA4B0000}"/>
    <cellStyle name="Normal 13 2 6" xfId="18880" xr:uid="{00000000-0005-0000-0000-0000DB4B0000}"/>
    <cellStyle name="Normal 13 2 7" xfId="18881" xr:uid="{00000000-0005-0000-0000-0000DC4B0000}"/>
    <cellStyle name="Normal 13 3" xfId="18882" xr:uid="{00000000-0005-0000-0000-0000DD4B0000}"/>
    <cellStyle name="Normal 13 3 2" xfId="18883" xr:uid="{00000000-0005-0000-0000-0000DE4B0000}"/>
    <cellStyle name="Normal 13 3 3" xfId="18884" xr:uid="{00000000-0005-0000-0000-0000DF4B0000}"/>
    <cellStyle name="Normal 13 3 4" xfId="18885" xr:uid="{00000000-0005-0000-0000-0000E04B0000}"/>
    <cellStyle name="Normal 13 4" xfId="18886" xr:uid="{00000000-0005-0000-0000-0000E14B0000}"/>
    <cellStyle name="Normal 13 5" xfId="18887" xr:uid="{00000000-0005-0000-0000-0000E24B0000}"/>
    <cellStyle name="Normal 13 5 2" xfId="18888" xr:uid="{00000000-0005-0000-0000-0000E34B0000}"/>
    <cellStyle name="Normal 13 5 3" xfId="18889" xr:uid="{00000000-0005-0000-0000-0000E44B0000}"/>
    <cellStyle name="Normal 13 5 4" xfId="18890" xr:uid="{00000000-0005-0000-0000-0000E54B0000}"/>
    <cellStyle name="Normal 13 6" xfId="18891" xr:uid="{00000000-0005-0000-0000-0000E64B0000}"/>
    <cellStyle name="Normal 13_PAQUETE PARA COTIZAR" xfId="18892" xr:uid="{00000000-0005-0000-0000-0000E74B0000}"/>
    <cellStyle name="Normal 130" xfId="18893" xr:uid="{00000000-0005-0000-0000-0000E84B0000}"/>
    <cellStyle name="Normal 130 2" xfId="18894" xr:uid="{00000000-0005-0000-0000-0000E94B0000}"/>
    <cellStyle name="Normal 130 3" xfId="18895" xr:uid="{00000000-0005-0000-0000-0000EA4B0000}"/>
    <cellStyle name="Normal 130 4" xfId="18896" xr:uid="{00000000-0005-0000-0000-0000EB4B0000}"/>
    <cellStyle name="Normal 130 5" xfId="18897" xr:uid="{00000000-0005-0000-0000-0000EC4B0000}"/>
    <cellStyle name="Normal 131" xfId="18898" xr:uid="{00000000-0005-0000-0000-0000ED4B0000}"/>
    <cellStyle name="Normal 131 2" xfId="18899" xr:uid="{00000000-0005-0000-0000-0000EE4B0000}"/>
    <cellStyle name="Normal 131 3" xfId="18900" xr:uid="{00000000-0005-0000-0000-0000EF4B0000}"/>
    <cellStyle name="Normal 131 4" xfId="18901" xr:uid="{00000000-0005-0000-0000-0000F04B0000}"/>
    <cellStyle name="Normal 131 5" xfId="18902" xr:uid="{00000000-0005-0000-0000-0000F14B0000}"/>
    <cellStyle name="Normal 132" xfId="18903" xr:uid="{00000000-0005-0000-0000-0000F24B0000}"/>
    <cellStyle name="Normal 132 2" xfId="18904" xr:uid="{00000000-0005-0000-0000-0000F34B0000}"/>
    <cellStyle name="Normal 132 3" xfId="18905" xr:uid="{00000000-0005-0000-0000-0000F44B0000}"/>
    <cellStyle name="Normal 132 4" xfId="18906" xr:uid="{00000000-0005-0000-0000-0000F54B0000}"/>
    <cellStyle name="Normal 132 5" xfId="18907" xr:uid="{00000000-0005-0000-0000-0000F64B0000}"/>
    <cellStyle name="Normal 133" xfId="18908" xr:uid="{00000000-0005-0000-0000-0000F74B0000}"/>
    <cellStyle name="Normal 133 2" xfId="18909" xr:uid="{00000000-0005-0000-0000-0000F84B0000}"/>
    <cellStyle name="Normal 133 3" xfId="18910" xr:uid="{00000000-0005-0000-0000-0000F94B0000}"/>
    <cellStyle name="Normal 133 4" xfId="18911" xr:uid="{00000000-0005-0000-0000-0000FA4B0000}"/>
    <cellStyle name="Normal 133 5" xfId="18912" xr:uid="{00000000-0005-0000-0000-0000FB4B0000}"/>
    <cellStyle name="Normal 134" xfId="18913" xr:uid="{00000000-0005-0000-0000-0000FC4B0000}"/>
    <cellStyle name="Normal 134 2" xfId="18914" xr:uid="{00000000-0005-0000-0000-0000FD4B0000}"/>
    <cellStyle name="Normal 134 3" xfId="18915" xr:uid="{00000000-0005-0000-0000-0000FE4B0000}"/>
    <cellStyle name="Normal 134 4" xfId="18916" xr:uid="{00000000-0005-0000-0000-0000FF4B0000}"/>
    <cellStyle name="Normal 134 5" xfId="18917" xr:uid="{00000000-0005-0000-0000-0000004C0000}"/>
    <cellStyle name="Normal 135" xfId="18918" xr:uid="{00000000-0005-0000-0000-0000014C0000}"/>
    <cellStyle name="Normal 135 2" xfId="18919" xr:uid="{00000000-0005-0000-0000-0000024C0000}"/>
    <cellStyle name="Normal 135 3" xfId="18920" xr:uid="{00000000-0005-0000-0000-0000034C0000}"/>
    <cellStyle name="Normal 135 4" xfId="18921" xr:uid="{00000000-0005-0000-0000-0000044C0000}"/>
    <cellStyle name="Normal 136" xfId="18922" xr:uid="{00000000-0005-0000-0000-0000054C0000}"/>
    <cellStyle name="Normal 136 2" xfId="18923" xr:uid="{00000000-0005-0000-0000-0000064C0000}"/>
    <cellStyle name="Normal 136 3" xfId="18924" xr:uid="{00000000-0005-0000-0000-0000074C0000}"/>
    <cellStyle name="Normal 136 4" xfId="18925" xr:uid="{00000000-0005-0000-0000-0000084C0000}"/>
    <cellStyle name="Normal 136 5" xfId="18926" xr:uid="{00000000-0005-0000-0000-0000094C0000}"/>
    <cellStyle name="Normal 137" xfId="18927" xr:uid="{00000000-0005-0000-0000-00000A4C0000}"/>
    <cellStyle name="Normal 137 2" xfId="18928" xr:uid="{00000000-0005-0000-0000-00000B4C0000}"/>
    <cellStyle name="Normal 137 3" xfId="18929" xr:uid="{00000000-0005-0000-0000-00000C4C0000}"/>
    <cellStyle name="Normal 137 4" xfId="18930" xr:uid="{00000000-0005-0000-0000-00000D4C0000}"/>
    <cellStyle name="Normal 137 5" xfId="18931" xr:uid="{00000000-0005-0000-0000-00000E4C0000}"/>
    <cellStyle name="Normal 138" xfId="18932" xr:uid="{00000000-0005-0000-0000-00000F4C0000}"/>
    <cellStyle name="Normal 138 2" xfId="18933" xr:uid="{00000000-0005-0000-0000-0000104C0000}"/>
    <cellStyle name="Normal 138 3" xfId="18934" xr:uid="{00000000-0005-0000-0000-0000114C0000}"/>
    <cellStyle name="Normal 138 4" xfId="18935" xr:uid="{00000000-0005-0000-0000-0000124C0000}"/>
    <cellStyle name="Normal 138 5" xfId="18936" xr:uid="{00000000-0005-0000-0000-0000134C0000}"/>
    <cellStyle name="Normal 139" xfId="18937" xr:uid="{00000000-0005-0000-0000-0000144C0000}"/>
    <cellStyle name="Normal 139 2" xfId="18938" xr:uid="{00000000-0005-0000-0000-0000154C0000}"/>
    <cellStyle name="Normal 139 3" xfId="18939" xr:uid="{00000000-0005-0000-0000-0000164C0000}"/>
    <cellStyle name="Normal 139 4" xfId="18940" xr:uid="{00000000-0005-0000-0000-0000174C0000}"/>
    <cellStyle name="Normal 139 5" xfId="18941" xr:uid="{00000000-0005-0000-0000-0000184C0000}"/>
    <cellStyle name="Normal 14" xfId="18942" xr:uid="{00000000-0005-0000-0000-0000194C0000}"/>
    <cellStyle name="Normal 14 2" xfId="18943" xr:uid="{00000000-0005-0000-0000-00001A4C0000}"/>
    <cellStyle name="Normal 14 2 2" xfId="18944" xr:uid="{00000000-0005-0000-0000-00001B4C0000}"/>
    <cellStyle name="Normal 14 2 2 2" xfId="18945" xr:uid="{00000000-0005-0000-0000-00001C4C0000}"/>
    <cellStyle name="Normal 14 2 2 3" xfId="18946" xr:uid="{00000000-0005-0000-0000-00001D4C0000}"/>
    <cellStyle name="Normal 14 2 2 4" xfId="18947" xr:uid="{00000000-0005-0000-0000-00001E4C0000}"/>
    <cellStyle name="Normal 14 2 3" xfId="18948" xr:uid="{00000000-0005-0000-0000-00001F4C0000}"/>
    <cellStyle name="Normal 14 3" xfId="18949" xr:uid="{00000000-0005-0000-0000-0000204C0000}"/>
    <cellStyle name="Normal 14 3 2" xfId="18950" xr:uid="{00000000-0005-0000-0000-0000214C0000}"/>
    <cellStyle name="Normal 14 3 3" xfId="18951" xr:uid="{00000000-0005-0000-0000-0000224C0000}"/>
    <cellStyle name="Normal 14 3 4" xfId="18952" xr:uid="{00000000-0005-0000-0000-0000234C0000}"/>
    <cellStyle name="Normal 14 3 5" xfId="18953" xr:uid="{00000000-0005-0000-0000-0000244C0000}"/>
    <cellStyle name="Normal 14 4" xfId="18954" xr:uid="{00000000-0005-0000-0000-0000254C0000}"/>
    <cellStyle name="Normal 14 4 2" xfId="18955" xr:uid="{00000000-0005-0000-0000-0000264C0000}"/>
    <cellStyle name="Normal 14 4 3" xfId="18956" xr:uid="{00000000-0005-0000-0000-0000274C0000}"/>
    <cellStyle name="Normal 14 4 4" xfId="18957" xr:uid="{00000000-0005-0000-0000-0000284C0000}"/>
    <cellStyle name="Normal 14 5" xfId="18958" xr:uid="{00000000-0005-0000-0000-0000294C0000}"/>
    <cellStyle name="Normal 14 6" xfId="18959" xr:uid="{00000000-0005-0000-0000-00002A4C0000}"/>
    <cellStyle name="Normal 14 7" xfId="18960" xr:uid="{00000000-0005-0000-0000-00002B4C0000}"/>
    <cellStyle name="Normal 14_PAQUETE PARA COTIZAR" xfId="18961" xr:uid="{00000000-0005-0000-0000-00002C4C0000}"/>
    <cellStyle name="Normal 140" xfId="18962" xr:uid="{00000000-0005-0000-0000-00002D4C0000}"/>
    <cellStyle name="Normal 140 2" xfId="18963" xr:uid="{00000000-0005-0000-0000-00002E4C0000}"/>
    <cellStyle name="Normal 140 3" xfId="18964" xr:uid="{00000000-0005-0000-0000-00002F4C0000}"/>
    <cellStyle name="Normal 140 4" xfId="18965" xr:uid="{00000000-0005-0000-0000-0000304C0000}"/>
    <cellStyle name="Normal 140 5" xfId="18966" xr:uid="{00000000-0005-0000-0000-0000314C0000}"/>
    <cellStyle name="Normal 141" xfId="18967" xr:uid="{00000000-0005-0000-0000-0000324C0000}"/>
    <cellStyle name="Normal 141 2" xfId="18968" xr:uid="{00000000-0005-0000-0000-0000334C0000}"/>
    <cellStyle name="Normal 141 3" xfId="18969" xr:uid="{00000000-0005-0000-0000-0000344C0000}"/>
    <cellStyle name="Normal 141 4" xfId="18970" xr:uid="{00000000-0005-0000-0000-0000354C0000}"/>
    <cellStyle name="Normal 141 5" xfId="18971" xr:uid="{00000000-0005-0000-0000-0000364C0000}"/>
    <cellStyle name="Normal 142" xfId="18972" xr:uid="{00000000-0005-0000-0000-0000374C0000}"/>
    <cellStyle name="Normal 142 2" xfId="18973" xr:uid="{00000000-0005-0000-0000-0000384C0000}"/>
    <cellStyle name="Normal 142 3" xfId="18974" xr:uid="{00000000-0005-0000-0000-0000394C0000}"/>
    <cellStyle name="Normal 142 4" xfId="18975" xr:uid="{00000000-0005-0000-0000-00003A4C0000}"/>
    <cellStyle name="Normal 142 5" xfId="18976" xr:uid="{00000000-0005-0000-0000-00003B4C0000}"/>
    <cellStyle name="Normal 143" xfId="18977" xr:uid="{00000000-0005-0000-0000-00003C4C0000}"/>
    <cellStyle name="Normal 143 2" xfId="18978" xr:uid="{00000000-0005-0000-0000-00003D4C0000}"/>
    <cellStyle name="Normal 143 3" xfId="18979" xr:uid="{00000000-0005-0000-0000-00003E4C0000}"/>
    <cellStyle name="Normal 143 4" xfId="18980" xr:uid="{00000000-0005-0000-0000-00003F4C0000}"/>
    <cellStyle name="Normal 143 5" xfId="18981" xr:uid="{00000000-0005-0000-0000-0000404C0000}"/>
    <cellStyle name="Normal 144" xfId="18982" xr:uid="{00000000-0005-0000-0000-0000414C0000}"/>
    <cellStyle name="Normal 144 2" xfId="18983" xr:uid="{00000000-0005-0000-0000-0000424C0000}"/>
    <cellStyle name="Normal 144 2 2" xfId="18984" xr:uid="{00000000-0005-0000-0000-0000434C0000}"/>
    <cellStyle name="Normal 144 2 3" xfId="18985" xr:uid="{00000000-0005-0000-0000-0000444C0000}"/>
    <cellStyle name="Normal 144 2 4" xfId="18986" xr:uid="{00000000-0005-0000-0000-0000454C0000}"/>
    <cellStyle name="Normal 144 3" xfId="18987" xr:uid="{00000000-0005-0000-0000-0000464C0000}"/>
    <cellStyle name="Normal 144 4" xfId="18988" xr:uid="{00000000-0005-0000-0000-0000474C0000}"/>
    <cellStyle name="Normal 144 5" xfId="18989" xr:uid="{00000000-0005-0000-0000-0000484C0000}"/>
    <cellStyle name="Normal 145" xfId="18990" xr:uid="{00000000-0005-0000-0000-0000494C0000}"/>
    <cellStyle name="Normal 145 2" xfId="18991" xr:uid="{00000000-0005-0000-0000-00004A4C0000}"/>
    <cellStyle name="Normal 145 3" xfId="18992" xr:uid="{00000000-0005-0000-0000-00004B4C0000}"/>
    <cellStyle name="Normal 145 4" xfId="18993" xr:uid="{00000000-0005-0000-0000-00004C4C0000}"/>
    <cellStyle name="Normal 145 5" xfId="18994" xr:uid="{00000000-0005-0000-0000-00004D4C0000}"/>
    <cellStyle name="Normal 146" xfId="18995" xr:uid="{00000000-0005-0000-0000-00004E4C0000}"/>
    <cellStyle name="Normal 146 2" xfId="18996" xr:uid="{00000000-0005-0000-0000-00004F4C0000}"/>
    <cellStyle name="Normal 146 3" xfId="18997" xr:uid="{00000000-0005-0000-0000-0000504C0000}"/>
    <cellStyle name="Normal 146 4" xfId="18998" xr:uid="{00000000-0005-0000-0000-0000514C0000}"/>
    <cellStyle name="Normal 146 5" xfId="18999" xr:uid="{00000000-0005-0000-0000-0000524C0000}"/>
    <cellStyle name="Normal 147" xfId="19000" xr:uid="{00000000-0005-0000-0000-0000534C0000}"/>
    <cellStyle name="Normal 147 2" xfId="19001" xr:uid="{00000000-0005-0000-0000-0000544C0000}"/>
    <cellStyle name="Normal 147 3" xfId="19002" xr:uid="{00000000-0005-0000-0000-0000554C0000}"/>
    <cellStyle name="Normal 147 4" xfId="19003" xr:uid="{00000000-0005-0000-0000-0000564C0000}"/>
    <cellStyle name="Normal 147 5" xfId="19004" xr:uid="{00000000-0005-0000-0000-0000574C0000}"/>
    <cellStyle name="Normal 148" xfId="19005" xr:uid="{00000000-0005-0000-0000-0000584C0000}"/>
    <cellStyle name="Normal 148 2" xfId="19006" xr:uid="{00000000-0005-0000-0000-0000594C0000}"/>
    <cellStyle name="Normal 148 3" xfId="19007" xr:uid="{00000000-0005-0000-0000-00005A4C0000}"/>
    <cellStyle name="Normal 148 4" xfId="19008" xr:uid="{00000000-0005-0000-0000-00005B4C0000}"/>
    <cellStyle name="Normal 148 5" xfId="19009" xr:uid="{00000000-0005-0000-0000-00005C4C0000}"/>
    <cellStyle name="Normal 149" xfId="19010" xr:uid="{00000000-0005-0000-0000-00005D4C0000}"/>
    <cellStyle name="Normal 149 2" xfId="19011" xr:uid="{00000000-0005-0000-0000-00005E4C0000}"/>
    <cellStyle name="Normal 149 3" xfId="19012" xr:uid="{00000000-0005-0000-0000-00005F4C0000}"/>
    <cellStyle name="Normal 149 4" xfId="19013" xr:uid="{00000000-0005-0000-0000-0000604C0000}"/>
    <cellStyle name="Normal 149 5" xfId="19014" xr:uid="{00000000-0005-0000-0000-0000614C0000}"/>
    <cellStyle name="Normal 15" xfId="19015" xr:uid="{00000000-0005-0000-0000-0000624C0000}"/>
    <cellStyle name="Normal 15 2" xfId="19016" xr:uid="{00000000-0005-0000-0000-0000634C0000}"/>
    <cellStyle name="Normal 15 2 2" xfId="19017" xr:uid="{00000000-0005-0000-0000-0000644C0000}"/>
    <cellStyle name="Normal 15 2 2 2" xfId="19018" xr:uid="{00000000-0005-0000-0000-0000654C0000}"/>
    <cellStyle name="Normal 15 2 2 2 2" xfId="19019" xr:uid="{00000000-0005-0000-0000-0000664C0000}"/>
    <cellStyle name="Normal 15 2 2 2 3" xfId="19020" xr:uid="{00000000-0005-0000-0000-0000674C0000}"/>
    <cellStyle name="Normal 15 2 2 2 4" xfId="19021" xr:uid="{00000000-0005-0000-0000-0000684C0000}"/>
    <cellStyle name="Normal 15 2 2 3" xfId="19022" xr:uid="{00000000-0005-0000-0000-0000694C0000}"/>
    <cellStyle name="Normal 15 2 3" xfId="19023" xr:uid="{00000000-0005-0000-0000-00006A4C0000}"/>
    <cellStyle name="Normal 15 2 4" xfId="19024" xr:uid="{00000000-0005-0000-0000-00006B4C0000}"/>
    <cellStyle name="Normal 15 2 5" xfId="19025" xr:uid="{00000000-0005-0000-0000-00006C4C0000}"/>
    <cellStyle name="Normal 15 3" xfId="19026" xr:uid="{00000000-0005-0000-0000-00006D4C0000}"/>
    <cellStyle name="Normal 15 3 2" xfId="19027" xr:uid="{00000000-0005-0000-0000-00006E4C0000}"/>
    <cellStyle name="Normal 15 3 2 2" xfId="19028" xr:uid="{00000000-0005-0000-0000-00006F4C0000}"/>
    <cellStyle name="Normal 15 3 2 2 2" xfId="19029" xr:uid="{00000000-0005-0000-0000-0000704C0000}"/>
    <cellStyle name="Normal 15 3 2 3" xfId="19030" xr:uid="{00000000-0005-0000-0000-0000714C0000}"/>
    <cellStyle name="Normal 15 3 2 4" xfId="19031" xr:uid="{00000000-0005-0000-0000-0000724C0000}"/>
    <cellStyle name="Normal 15 3 3" xfId="19032" xr:uid="{00000000-0005-0000-0000-0000734C0000}"/>
    <cellStyle name="Normal 15 3 3 2" xfId="19033" xr:uid="{00000000-0005-0000-0000-0000744C0000}"/>
    <cellStyle name="Normal 15 3 4" xfId="19034" xr:uid="{00000000-0005-0000-0000-0000754C0000}"/>
    <cellStyle name="Normal 15 4" xfId="19035" xr:uid="{00000000-0005-0000-0000-0000764C0000}"/>
    <cellStyle name="Normal 15 4 2" xfId="19036" xr:uid="{00000000-0005-0000-0000-0000774C0000}"/>
    <cellStyle name="Normal 15 4 3" xfId="19037" xr:uid="{00000000-0005-0000-0000-0000784C0000}"/>
    <cellStyle name="Normal 15 4 4" xfId="19038" xr:uid="{00000000-0005-0000-0000-0000794C0000}"/>
    <cellStyle name="Normal 15 5" xfId="19039" xr:uid="{00000000-0005-0000-0000-00007A4C0000}"/>
    <cellStyle name="Normal 15 6" xfId="19040" xr:uid="{00000000-0005-0000-0000-00007B4C0000}"/>
    <cellStyle name="Normal 15_PAQUETE PARA COTIZAR" xfId="19041" xr:uid="{00000000-0005-0000-0000-00007C4C0000}"/>
    <cellStyle name="Normal 150" xfId="19042" xr:uid="{00000000-0005-0000-0000-00007D4C0000}"/>
    <cellStyle name="Normal 150 2" xfId="19043" xr:uid="{00000000-0005-0000-0000-00007E4C0000}"/>
    <cellStyle name="Normal 150 3" xfId="25165" xr:uid="{00000000-0005-0000-0000-00007F4C0000}"/>
    <cellStyle name="Normal 151" xfId="19044" xr:uid="{00000000-0005-0000-0000-0000804C0000}"/>
    <cellStyle name="Normal 151 2" xfId="19045" xr:uid="{00000000-0005-0000-0000-0000814C0000}"/>
    <cellStyle name="Normal 151 3" xfId="19046" xr:uid="{00000000-0005-0000-0000-0000824C0000}"/>
    <cellStyle name="Normal 151 4" xfId="19047" xr:uid="{00000000-0005-0000-0000-0000834C0000}"/>
    <cellStyle name="Normal 151 5" xfId="19048" xr:uid="{00000000-0005-0000-0000-0000844C0000}"/>
    <cellStyle name="Normal 152" xfId="19049" xr:uid="{00000000-0005-0000-0000-0000854C0000}"/>
    <cellStyle name="Normal 152 2" xfId="19050" xr:uid="{00000000-0005-0000-0000-0000864C0000}"/>
    <cellStyle name="Normal 152 2 2" xfId="19051" xr:uid="{00000000-0005-0000-0000-0000874C0000}"/>
    <cellStyle name="Normal 152 2 3" xfId="19052" xr:uid="{00000000-0005-0000-0000-0000884C0000}"/>
    <cellStyle name="Normal 152 2 4" xfId="19053" xr:uid="{00000000-0005-0000-0000-0000894C0000}"/>
    <cellStyle name="Normal 152 3" xfId="19054" xr:uid="{00000000-0005-0000-0000-00008A4C0000}"/>
    <cellStyle name="Normal 152 4" xfId="19055" xr:uid="{00000000-0005-0000-0000-00008B4C0000}"/>
    <cellStyle name="Normal 152 5" xfId="19056" xr:uid="{00000000-0005-0000-0000-00008C4C0000}"/>
    <cellStyle name="Normal 153" xfId="19057" xr:uid="{00000000-0005-0000-0000-00008D4C0000}"/>
    <cellStyle name="Normal 153 2" xfId="19058" xr:uid="{00000000-0005-0000-0000-00008E4C0000}"/>
    <cellStyle name="Normal 153 3" xfId="19059" xr:uid="{00000000-0005-0000-0000-00008F4C0000}"/>
    <cellStyle name="Normal 153 4" xfId="19060" xr:uid="{00000000-0005-0000-0000-0000904C0000}"/>
    <cellStyle name="Normal 153 5" xfId="19061" xr:uid="{00000000-0005-0000-0000-0000914C0000}"/>
    <cellStyle name="Normal 154" xfId="19062" xr:uid="{00000000-0005-0000-0000-0000924C0000}"/>
    <cellStyle name="Normal 154 2" xfId="19063" xr:uid="{00000000-0005-0000-0000-0000934C0000}"/>
    <cellStyle name="Normal 154 3" xfId="25166" xr:uid="{00000000-0005-0000-0000-0000944C0000}"/>
    <cellStyle name="Normal 155" xfId="19064" xr:uid="{00000000-0005-0000-0000-0000954C0000}"/>
    <cellStyle name="Normal 155 2" xfId="19065" xr:uid="{00000000-0005-0000-0000-0000964C0000}"/>
    <cellStyle name="Normal 155 3" xfId="19066" xr:uid="{00000000-0005-0000-0000-0000974C0000}"/>
    <cellStyle name="Normal 155 4" xfId="19067" xr:uid="{00000000-0005-0000-0000-0000984C0000}"/>
    <cellStyle name="Normal 156" xfId="19068" xr:uid="{00000000-0005-0000-0000-0000994C0000}"/>
    <cellStyle name="Normal 156 2" xfId="19069" xr:uid="{00000000-0005-0000-0000-00009A4C0000}"/>
    <cellStyle name="Normal 156 3" xfId="19070" xr:uid="{00000000-0005-0000-0000-00009B4C0000}"/>
    <cellStyle name="Normal 156 4" xfId="19071" xr:uid="{00000000-0005-0000-0000-00009C4C0000}"/>
    <cellStyle name="Normal 157" xfId="19072" xr:uid="{00000000-0005-0000-0000-00009D4C0000}"/>
    <cellStyle name="Normal 157 2" xfId="19073" xr:uid="{00000000-0005-0000-0000-00009E4C0000}"/>
    <cellStyle name="Normal 157 3" xfId="19074" xr:uid="{00000000-0005-0000-0000-00009F4C0000}"/>
    <cellStyle name="Normal 157 4" xfId="19075" xr:uid="{00000000-0005-0000-0000-0000A04C0000}"/>
    <cellStyle name="Normal 158" xfId="19076" xr:uid="{00000000-0005-0000-0000-0000A14C0000}"/>
    <cellStyle name="Normal 158 2" xfId="19077" xr:uid="{00000000-0005-0000-0000-0000A24C0000}"/>
    <cellStyle name="Normal 158 3" xfId="19078" xr:uid="{00000000-0005-0000-0000-0000A34C0000}"/>
    <cellStyle name="Normal 158 4" xfId="19079" xr:uid="{00000000-0005-0000-0000-0000A44C0000}"/>
    <cellStyle name="Normal 159" xfId="19080" xr:uid="{00000000-0005-0000-0000-0000A54C0000}"/>
    <cellStyle name="Normal 159 2" xfId="19081" xr:uid="{00000000-0005-0000-0000-0000A64C0000}"/>
    <cellStyle name="Normal 159 3" xfId="19082" xr:uid="{00000000-0005-0000-0000-0000A74C0000}"/>
    <cellStyle name="Normal 159 4" xfId="19083" xr:uid="{00000000-0005-0000-0000-0000A84C0000}"/>
    <cellStyle name="Normal 16" xfId="19084" xr:uid="{00000000-0005-0000-0000-0000A94C0000}"/>
    <cellStyle name="Normal 16 2" xfId="19085" xr:uid="{00000000-0005-0000-0000-0000AA4C0000}"/>
    <cellStyle name="Normal 16 2 2" xfId="19086" xr:uid="{00000000-0005-0000-0000-0000AB4C0000}"/>
    <cellStyle name="Normal 16 2 2 2" xfId="19087" xr:uid="{00000000-0005-0000-0000-0000AC4C0000}"/>
    <cellStyle name="Normal 16 2 2 3" xfId="19088" xr:uid="{00000000-0005-0000-0000-0000AD4C0000}"/>
    <cellStyle name="Normal 16 2 2 4" xfId="19089" xr:uid="{00000000-0005-0000-0000-0000AE4C0000}"/>
    <cellStyle name="Normal 16 2 3" xfId="19090" xr:uid="{00000000-0005-0000-0000-0000AF4C0000}"/>
    <cellStyle name="Normal 16 2 4" xfId="19091" xr:uid="{00000000-0005-0000-0000-0000B04C0000}"/>
    <cellStyle name="Normal 16 2 5" xfId="19092" xr:uid="{00000000-0005-0000-0000-0000B14C0000}"/>
    <cellStyle name="Normal 16 2 6" xfId="19093" xr:uid="{00000000-0005-0000-0000-0000B24C0000}"/>
    <cellStyle name="Normal 16 3" xfId="19094" xr:uid="{00000000-0005-0000-0000-0000B34C0000}"/>
    <cellStyle name="Normal 16 3 2" xfId="19095" xr:uid="{00000000-0005-0000-0000-0000B44C0000}"/>
    <cellStyle name="Normal 16 3 2 2" xfId="19096" xr:uid="{00000000-0005-0000-0000-0000B54C0000}"/>
    <cellStyle name="Normal 16 3 2 3" xfId="19097" xr:uid="{00000000-0005-0000-0000-0000B64C0000}"/>
    <cellStyle name="Normal 16 3 2 4" xfId="19098" xr:uid="{00000000-0005-0000-0000-0000B74C0000}"/>
    <cellStyle name="Normal 16 3 3" xfId="19099" xr:uid="{00000000-0005-0000-0000-0000B84C0000}"/>
    <cellStyle name="Normal 16 3 4" xfId="19100" xr:uid="{00000000-0005-0000-0000-0000B94C0000}"/>
    <cellStyle name="Normal 16 3 5" xfId="19101" xr:uid="{00000000-0005-0000-0000-0000BA4C0000}"/>
    <cellStyle name="Normal 16 4" xfId="19102" xr:uid="{00000000-0005-0000-0000-0000BB4C0000}"/>
    <cellStyle name="Normal 16 4 2" xfId="19103" xr:uid="{00000000-0005-0000-0000-0000BC4C0000}"/>
    <cellStyle name="Normal 16 4 3" xfId="19104" xr:uid="{00000000-0005-0000-0000-0000BD4C0000}"/>
    <cellStyle name="Normal 16 4 4" xfId="19105" xr:uid="{00000000-0005-0000-0000-0000BE4C0000}"/>
    <cellStyle name="Normal 16 5" xfId="19106" xr:uid="{00000000-0005-0000-0000-0000BF4C0000}"/>
    <cellStyle name="Normal 16 5 2" xfId="19107" xr:uid="{00000000-0005-0000-0000-0000C04C0000}"/>
    <cellStyle name="Normal 16 5 3" xfId="19108" xr:uid="{00000000-0005-0000-0000-0000C14C0000}"/>
    <cellStyle name="Normal 16 5 4" xfId="19109" xr:uid="{00000000-0005-0000-0000-0000C24C0000}"/>
    <cellStyle name="Normal 16 6" xfId="19110" xr:uid="{00000000-0005-0000-0000-0000C34C0000}"/>
    <cellStyle name="Normal 16 7" xfId="19111" xr:uid="{00000000-0005-0000-0000-0000C44C0000}"/>
    <cellStyle name="Normal 16 8" xfId="19112" xr:uid="{00000000-0005-0000-0000-0000C54C0000}"/>
    <cellStyle name="Normal 16_PAQUETE PARA COTIZAR" xfId="19113" xr:uid="{00000000-0005-0000-0000-0000C64C0000}"/>
    <cellStyle name="Normal 160" xfId="19114" xr:uid="{00000000-0005-0000-0000-0000C74C0000}"/>
    <cellStyle name="Normal 160 2" xfId="19115" xr:uid="{00000000-0005-0000-0000-0000C84C0000}"/>
    <cellStyle name="Normal 160 3" xfId="19116" xr:uid="{00000000-0005-0000-0000-0000C94C0000}"/>
    <cellStyle name="Normal 160 4" xfId="19117" xr:uid="{00000000-0005-0000-0000-0000CA4C0000}"/>
    <cellStyle name="Normal 161" xfId="19118" xr:uid="{00000000-0005-0000-0000-0000CB4C0000}"/>
    <cellStyle name="Normal 161 2" xfId="19119" xr:uid="{00000000-0005-0000-0000-0000CC4C0000}"/>
    <cellStyle name="Normal 161 3" xfId="19120" xr:uid="{00000000-0005-0000-0000-0000CD4C0000}"/>
    <cellStyle name="Normal 161 4" xfId="19121" xr:uid="{00000000-0005-0000-0000-0000CE4C0000}"/>
    <cellStyle name="Normal 162" xfId="19122" xr:uid="{00000000-0005-0000-0000-0000CF4C0000}"/>
    <cellStyle name="Normal 162 2" xfId="19123" xr:uid="{00000000-0005-0000-0000-0000D04C0000}"/>
    <cellStyle name="Normal 162 3" xfId="19124" xr:uid="{00000000-0005-0000-0000-0000D14C0000}"/>
    <cellStyle name="Normal 162 4" xfId="19125" xr:uid="{00000000-0005-0000-0000-0000D24C0000}"/>
    <cellStyle name="Normal 163" xfId="19126" xr:uid="{00000000-0005-0000-0000-0000D34C0000}"/>
    <cellStyle name="Normal 163 2" xfId="19127" xr:uid="{00000000-0005-0000-0000-0000D44C0000}"/>
    <cellStyle name="Normal 163 3" xfId="19128" xr:uid="{00000000-0005-0000-0000-0000D54C0000}"/>
    <cellStyle name="Normal 163 4" xfId="19129" xr:uid="{00000000-0005-0000-0000-0000D64C0000}"/>
    <cellStyle name="Normal 164" xfId="19130" xr:uid="{00000000-0005-0000-0000-0000D74C0000}"/>
    <cellStyle name="Normal 164 2" xfId="19131" xr:uid="{00000000-0005-0000-0000-0000D84C0000}"/>
    <cellStyle name="Normal 164 3" xfId="19132" xr:uid="{00000000-0005-0000-0000-0000D94C0000}"/>
    <cellStyle name="Normal 164 4" xfId="19133" xr:uid="{00000000-0005-0000-0000-0000DA4C0000}"/>
    <cellStyle name="Normal 165" xfId="19134" xr:uid="{00000000-0005-0000-0000-0000DB4C0000}"/>
    <cellStyle name="Normal 165 2" xfId="19135" xr:uid="{00000000-0005-0000-0000-0000DC4C0000}"/>
    <cellStyle name="Normal 165 3" xfId="19136" xr:uid="{00000000-0005-0000-0000-0000DD4C0000}"/>
    <cellStyle name="Normal 165 4" xfId="19137" xr:uid="{00000000-0005-0000-0000-0000DE4C0000}"/>
    <cellStyle name="Normal 166" xfId="19138" xr:uid="{00000000-0005-0000-0000-0000DF4C0000}"/>
    <cellStyle name="Normal 166 2" xfId="19139" xr:uid="{00000000-0005-0000-0000-0000E04C0000}"/>
    <cellStyle name="Normal 166 2 2" xfId="19140" xr:uid="{00000000-0005-0000-0000-0000E14C0000}"/>
    <cellStyle name="Normal 166 3" xfId="19141" xr:uid="{00000000-0005-0000-0000-0000E24C0000}"/>
    <cellStyle name="Normal 166 4" xfId="19142" xr:uid="{00000000-0005-0000-0000-0000E34C0000}"/>
    <cellStyle name="Normal 167" xfId="19143" xr:uid="{00000000-0005-0000-0000-0000E44C0000}"/>
    <cellStyle name="Normal 167 2" xfId="19144" xr:uid="{00000000-0005-0000-0000-0000E54C0000}"/>
    <cellStyle name="Normal 167 3" xfId="19145" xr:uid="{00000000-0005-0000-0000-0000E64C0000}"/>
    <cellStyle name="Normal 167 4" xfId="19146" xr:uid="{00000000-0005-0000-0000-0000E74C0000}"/>
    <cellStyle name="Normal 168" xfId="19147" xr:uid="{00000000-0005-0000-0000-0000E84C0000}"/>
    <cellStyle name="Normal 168 2" xfId="19148" xr:uid="{00000000-0005-0000-0000-0000E94C0000}"/>
    <cellStyle name="Normal 168 3" xfId="19149" xr:uid="{00000000-0005-0000-0000-0000EA4C0000}"/>
    <cellStyle name="Normal 168 4" xfId="19150" xr:uid="{00000000-0005-0000-0000-0000EB4C0000}"/>
    <cellStyle name="Normal 169" xfId="19151" xr:uid="{00000000-0005-0000-0000-0000EC4C0000}"/>
    <cellStyle name="Normal 169 2" xfId="19152" xr:uid="{00000000-0005-0000-0000-0000ED4C0000}"/>
    <cellStyle name="Normal 169 3" xfId="19153" xr:uid="{00000000-0005-0000-0000-0000EE4C0000}"/>
    <cellStyle name="Normal 169 4" xfId="19154" xr:uid="{00000000-0005-0000-0000-0000EF4C0000}"/>
    <cellStyle name="Normal 17" xfId="19155" xr:uid="{00000000-0005-0000-0000-0000F04C0000}"/>
    <cellStyle name="Normal 17 2" xfId="19156" xr:uid="{00000000-0005-0000-0000-0000F14C0000}"/>
    <cellStyle name="Normal 17 2 2" xfId="19157" xr:uid="{00000000-0005-0000-0000-0000F24C0000}"/>
    <cellStyle name="Normal 17 2 2 2" xfId="19158" xr:uid="{00000000-0005-0000-0000-0000F34C0000}"/>
    <cellStyle name="Normal 17 2 2 3" xfId="25167" xr:uid="{00000000-0005-0000-0000-0000F44C0000}"/>
    <cellStyle name="Normal 17 2 3" xfId="19159" xr:uid="{00000000-0005-0000-0000-0000F54C0000}"/>
    <cellStyle name="Normal 17 2 4" xfId="25168" xr:uid="{00000000-0005-0000-0000-0000F64C0000}"/>
    <cellStyle name="Normal 17 3" xfId="19160" xr:uid="{00000000-0005-0000-0000-0000F74C0000}"/>
    <cellStyle name="Normal 17 3 2" xfId="19161" xr:uid="{00000000-0005-0000-0000-0000F84C0000}"/>
    <cellStyle name="Normal 17 3 3" xfId="19162" xr:uid="{00000000-0005-0000-0000-0000F94C0000}"/>
    <cellStyle name="Normal 17 3 4" xfId="19163" xr:uid="{00000000-0005-0000-0000-0000FA4C0000}"/>
    <cellStyle name="Normal 17 3 5" xfId="19164" xr:uid="{00000000-0005-0000-0000-0000FB4C0000}"/>
    <cellStyle name="Normal 17 4" xfId="19165" xr:uid="{00000000-0005-0000-0000-0000FC4C0000}"/>
    <cellStyle name="Normal 17 5" xfId="19166" xr:uid="{00000000-0005-0000-0000-0000FD4C0000}"/>
    <cellStyle name="Normal 17 6" xfId="19167" xr:uid="{00000000-0005-0000-0000-0000FE4C0000}"/>
    <cellStyle name="Normal 17_PAQUETE PARA COTIZAR" xfId="19168" xr:uid="{00000000-0005-0000-0000-0000FF4C0000}"/>
    <cellStyle name="Normal 170" xfId="19169" xr:uid="{00000000-0005-0000-0000-0000004D0000}"/>
    <cellStyle name="Normal 170 2" xfId="19170" xr:uid="{00000000-0005-0000-0000-0000014D0000}"/>
    <cellStyle name="Normal 170 3" xfId="19171" xr:uid="{00000000-0005-0000-0000-0000024D0000}"/>
    <cellStyle name="Normal 170 4" xfId="19172" xr:uid="{00000000-0005-0000-0000-0000034D0000}"/>
    <cellStyle name="Normal 171" xfId="19173" xr:uid="{00000000-0005-0000-0000-0000044D0000}"/>
    <cellStyle name="Normal 171 2" xfId="19174" xr:uid="{00000000-0005-0000-0000-0000054D0000}"/>
    <cellStyle name="Normal 171 3" xfId="19175" xr:uid="{00000000-0005-0000-0000-0000064D0000}"/>
    <cellStyle name="Normal 171 4" xfId="19176" xr:uid="{00000000-0005-0000-0000-0000074D0000}"/>
    <cellStyle name="Normal 172" xfId="19177" xr:uid="{00000000-0005-0000-0000-0000084D0000}"/>
    <cellStyle name="Normal 172 2" xfId="19178" xr:uid="{00000000-0005-0000-0000-0000094D0000}"/>
    <cellStyle name="Normal 172 3" xfId="19179" xr:uid="{00000000-0005-0000-0000-00000A4D0000}"/>
    <cellStyle name="Normal 172 4" xfId="19180" xr:uid="{00000000-0005-0000-0000-00000B4D0000}"/>
    <cellStyle name="Normal 173" xfId="19181" xr:uid="{00000000-0005-0000-0000-00000C4D0000}"/>
    <cellStyle name="Normal 173 2" xfId="19182" xr:uid="{00000000-0005-0000-0000-00000D4D0000}"/>
    <cellStyle name="Normal 173 3" xfId="25169" xr:uid="{00000000-0005-0000-0000-00000E4D0000}"/>
    <cellStyle name="Normal 174" xfId="19183" xr:uid="{00000000-0005-0000-0000-00000F4D0000}"/>
    <cellStyle name="Normal 174 2" xfId="19184" xr:uid="{00000000-0005-0000-0000-0000104D0000}"/>
    <cellStyle name="Normal 174 3" xfId="25170" xr:uid="{00000000-0005-0000-0000-0000114D0000}"/>
    <cellStyle name="Normal 175" xfId="19185" xr:uid="{00000000-0005-0000-0000-0000124D0000}"/>
    <cellStyle name="Normal 175 2" xfId="25171" xr:uid="{00000000-0005-0000-0000-0000134D0000}"/>
    <cellStyle name="Normal 175 3" xfId="25172" xr:uid="{00000000-0005-0000-0000-0000144D0000}"/>
    <cellStyle name="Normal 176" xfId="19186" xr:uid="{00000000-0005-0000-0000-0000154D0000}"/>
    <cellStyle name="Normal 176 2" xfId="19187" xr:uid="{00000000-0005-0000-0000-0000164D0000}"/>
    <cellStyle name="Normal 176 3" xfId="25173" xr:uid="{00000000-0005-0000-0000-0000174D0000}"/>
    <cellStyle name="Normal 177" xfId="19188" xr:uid="{00000000-0005-0000-0000-0000184D0000}"/>
    <cellStyle name="Normal 177 2" xfId="19189" xr:uid="{00000000-0005-0000-0000-0000194D0000}"/>
    <cellStyle name="Normal 177 3" xfId="25174" xr:uid="{00000000-0005-0000-0000-00001A4D0000}"/>
    <cellStyle name="Normal 178" xfId="19190" xr:uid="{00000000-0005-0000-0000-00001B4D0000}"/>
    <cellStyle name="Normal 178 2" xfId="19191" xr:uid="{00000000-0005-0000-0000-00001C4D0000}"/>
    <cellStyle name="Normal 178 3" xfId="25175" xr:uid="{00000000-0005-0000-0000-00001D4D0000}"/>
    <cellStyle name="Normal 179" xfId="19192" xr:uid="{00000000-0005-0000-0000-00001E4D0000}"/>
    <cellStyle name="Normal 179 2" xfId="19193" xr:uid="{00000000-0005-0000-0000-00001F4D0000}"/>
    <cellStyle name="Normal 179 3" xfId="19194" xr:uid="{00000000-0005-0000-0000-0000204D0000}"/>
    <cellStyle name="Normal 18" xfId="19195" xr:uid="{00000000-0005-0000-0000-0000214D0000}"/>
    <cellStyle name="Normal 18 2" xfId="19196" xr:uid="{00000000-0005-0000-0000-0000224D0000}"/>
    <cellStyle name="Normal 18 2 2" xfId="19197" xr:uid="{00000000-0005-0000-0000-0000234D0000}"/>
    <cellStyle name="Normal 18 2 2 2" xfId="19198" xr:uid="{00000000-0005-0000-0000-0000244D0000}"/>
    <cellStyle name="Normal 18 2 2 3" xfId="19199" xr:uid="{00000000-0005-0000-0000-0000254D0000}"/>
    <cellStyle name="Normal 18 2 2 4" xfId="19200" xr:uid="{00000000-0005-0000-0000-0000264D0000}"/>
    <cellStyle name="Normal 18 2 3" xfId="19201" xr:uid="{00000000-0005-0000-0000-0000274D0000}"/>
    <cellStyle name="Normal 18 2 4" xfId="19202" xr:uid="{00000000-0005-0000-0000-0000284D0000}"/>
    <cellStyle name="Normal 18 2 5" xfId="19203" xr:uid="{00000000-0005-0000-0000-0000294D0000}"/>
    <cellStyle name="Normal 18 2 6" xfId="19204" xr:uid="{00000000-0005-0000-0000-00002A4D0000}"/>
    <cellStyle name="Normal 18 3" xfId="19205" xr:uid="{00000000-0005-0000-0000-00002B4D0000}"/>
    <cellStyle name="Normal 18 3 2" xfId="19206" xr:uid="{00000000-0005-0000-0000-00002C4D0000}"/>
    <cellStyle name="Normal 18 3 3" xfId="19207" xr:uid="{00000000-0005-0000-0000-00002D4D0000}"/>
    <cellStyle name="Normal 18 3 4" xfId="19208" xr:uid="{00000000-0005-0000-0000-00002E4D0000}"/>
    <cellStyle name="Normal 18 4" xfId="19209" xr:uid="{00000000-0005-0000-0000-00002F4D0000}"/>
    <cellStyle name="Normal 18 4 2" xfId="19210" xr:uid="{00000000-0005-0000-0000-0000304D0000}"/>
    <cellStyle name="Normal 18 4 3" xfId="19211" xr:uid="{00000000-0005-0000-0000-0000314D0000}"/>
    <cellStyle name="Normal 18 4 4" xfId="19212" xr:uid="{00000000-0005-0000-0000-0000324D0000}"/>
    <cellStyle name="Normal 18 5" xfId="19213" xr:uid="{00000000-0005-0000-0000-0000334D0000}"/>
    <cellStyle name="Normal 18 6" xfId="19214" xr:uid="{00000000-0005-0000-0000-0000344D0000}"/>
    <cellStyle name="Normal 18 7" xfId="19215" xr:uid="{00000000-0005-0000-0000-0000354D0000}"/>
    <cellStyle name="Normal 18_PAQUETE PARA COTIZAR" xfId="19216" xr:uid="{00000000-0005-0000-0000-0000364D0000}"/>
    <cellStyle name="Normal 180" xfId="19217" xr:uid="{00000000-0005-0000-0000-0000374D0000}"/>
    <cellStyle name="Normal 180 2" xfId="25176" xr:uid="{00000000-0005-0000-0000-0000384D0000}"/>
    <cellStyle name="Normal 180 3" xfId="25177" xr:uid="{00000000-0005-0000-0000-0000394D0000}"/>
    <cellStyle name="Normal 181" xfId="19218" xr:uid="{00000000-0005-0000-0000-00003A4D0000}"/>
    <cellStyle name="Normal 181 2" xfId="25178" xr:uid="{00000000-0005-0000-0000-00003B4D0000}"/>
    <cellStyle name="Normal 181 3" xfId="25179" xr:uid="{00000000-0005-0000-0000-00003C4D0000}"/>
    <cellStyle name="Normal 182" xfId="19219" xr:uid="{00000000-0005-0000-0000-00003D4D0000}"/>
    <cellStyle name="Normal 182 2" xfId="25180" xr:uid="{00000000-0005-0000-0000-00003E4D0000}"/>
    <cellStyle name="Normal 182 3" xfId="25181" xr:uid="{00000000-0005-0000-0000-00003F4D0000}"/>
    <cellStyle name="Normal 183" xfId="19220" xr:uid="{00000000-0005-0000-0000-0000404D0000}"/>
    <cellStyle name="Normal 183 2" xfId="25182" xr:uid="{00000000-0005-0000-0000-0000414D0000}"/>
    <cellStyle name="Normal 183 3" xfId="25183" xr:uid="{00000000-0005-0000-0000-0000424D0000}"/>
    <cellStyle name="Normal 184" xfId="19221" xr:uid="{00000000-0005-0000-0000-0000434D0000}"/>
    <cellStyle name="Normal 184 2" xfId="25184" xr:uid="{00000000-0005-0000-0000-0000444D0000}"/>
    <cellStyle name="Normal 184 3" xfId="25185" xr:uid="{00000000-0005-0000-0000-0000454D0000}"/>
    <cellStyle name="Normal 185" xfId="19222" xr:uid="{00000000-0005-0000-0000-0000464D0000}"/>
    <cellStyle name="Normal 185 2" xfId="25186" xr:uid="{00000000-0005-0000-0000-0000474D0000}"/>
    <cellStyle name="Normal 185 3" xfId="25187" xr:uid="{00000000-0005-0000-0000-0000484D0000}"/>
    <cellStyle name="Normal 186" xfId="19223" xr:uid="{00000000-0005-0000-0000-0000494D0000}"/>
    <cellStyle name="Normal 186 2" xfId="25188" xr:uid="{00000000-0005-0000-0000-00004A4D0000}"/>
    <cellStyle name="Normal 186 3" xfId="25189" xr:uid="{00000000-0005-0000-0000-00004B4D0000}"/>
    <cellStyle name="Normal 187" xfId="19224" xr:uid="{00000000-0005-0000-0000-00004C4D0000}"/>
    <cellStyle name="Normal 187 2" xfId="25190" xr:uid="{00000000-0005-0000-0000-00004D4D0000}"/>
    <cellStyle name="Normal 187 3" xfId="25191" xr:uid="{00000000-0005-0000-0000-00004E4D0000}"/>
    <cellStyle name="Normal 188" xfId="19225" xr:uid="{00000000-0005-0000-0000-00004F4D0000}"/>
    <cellStyle name="Normal 188 2" xfId="25192" xr:uid="{00000000-0005-0000-0000-0000504D0000}"/>
    <cellStyle name="Normal 188 3" xfId="25193" xr:uid="{00000000-0005-0000-0000-0000514D0000}"/>
    <cellStyle name="Normal 189" xfId="19226" xr:uid="{00000000-0005-0000-0000-0000524D0000}"/>
    <cellStyle name="Normal 189 2" xfId="25194" xr:uid="{00000000-0005-0000-0000-0000534D0000}"/>
    <cellStyle name="Normal 189 3" xfId="25195" xr:uid="{00000000-0005-0000-0000-0000544D0000}"/>
    <cellStyle name="Normal 19" xfId="19227" xr:uid="{00000000-0005-0000-0000-0000554D0000}"/>
    <cellStyle name="Normal 19 2" xfId="19228" xr:uid="{00000000-0005-0000-0000-0000564D0000}"/>
    <cellStyle name="Normal 19 2 2" xfId="19229" xr:uid="{00000000-0005-0000-0000-0000574D0000}"/>
    <cellStyle name="Normal 19 2 3" xfId="19230" xr:uid="{00000000-0005-0000-0000-0000584D0000}"/>
    <cellStyle name="Normal 19 2 4" xfId="19231" xr:uid="{00000000-0005-0000-0000-0000594D0000}"/>
    <cellStyle name="Normal 19 2 5" xfId="19232" xr:uid="{00000000-0005-0000-0000-00005A4D0000}"/>
    <cellStyle name="Normal 19 3" xfId="19233" xr:uid="{00000000-0005-0000-0000-00005B4D0000}"/>
    <cellStyle name="Normal 19 3 2" xfId="19234" xr:uid="{00000000-0005-0000-0000-00005C4D0000}"/>
    <cellStyle name="Normal 19 3 3" xfId="19235" xr:uid="{00000000-0005-0000-0000-00005D4D0000}"/>
    <cellStyle name="Normal 19 3 4" xfId="19236" xr:uid="{00000000-0005-0000-0000-00005E4D0000}"/>
    <cellStyle name="Normal 19 4" xfId="19237" xr:uid="{00000000-0005-0000-0000-00005F4D0000}"/>
    <cellStyle name="Normal 19 5" xfId="19238" xr:uid="{00000000-0005-0000-0000-0000604D0000}"/>
    <cellStyle name="Normal 19 6" xfId="19239" xr:uid="{00000000-0005-0000-0000-0000614D0000}"/>
    <cellStyle name="Normal 190" xfId="19240" xr:uid="{00000000-0005-0000-0000-0000624D0000}"/>
    <cellStyle name="Normal 190 2" xfId="25196" xr:uid="{00000000-0005-0000-0000-0000634D0000}"/>
    <cellStyle name="Normal 190 3" xfId="25197" xr:uid="{00000000-0005-0000-0000-0000644D0000}"/>
    <cellStyle name="Normal 191" xfId="19241" xr:uid="{00000000-0005-0000-0000-0000654D0000}"/>
    <cellStyle name="Normal 191 2" xfId="25198" xr:uid="{00000000-0005-0000-0000-0000664D0000}"/>
    <cellStyle name="Normal 191 3" xfId="25199" xr:uid="{00000000-0005-0000-0000-0000674D0000}"/>
    <cellStyle name="Normal 192" xfId="19242" xr:uid="{00000000-0005-0000-0000-0000684D0000}"/>
    <cellStyle name="Normal 192 2" xfId="25200" xr:uid="{00000000-0005-0000-0000-0000694D0000}"/>
    <cellStyle name="Normal 192 3" xfId="25201" xr:uid="{00000000-0005-0000-0000-00006A4D0000}"/>
    <cellStyle name="Normal 193" xfId="19243" xr:uid="{00000000-0005-0000-0000-00006B4D0000}"/>
    <cellStyle name="Normal 193 2" xfId="25202" xr:uid="{00000000-0005-0000-0000-00006C4D0000}"/>
    <cellStyle name="Normal 193 3" xfId="25203" xr:uid="{00000000-0005-0000-0000-00006D4D0000}"/>
    <cellStyle name="Normal 194" xfId="19244" xr:uid="{00000000-0005-0000-0000-00006E4D0000}"/>
    <cellStyle name="Normal 194 2" xfId="25204" xr:uid="{00000000-0005-0000-0000-00006F4D0000}"/>
    <cellStyle name="Normal 194 3" xfId="25205" xr:uid="{00000000-0005-0000-0000-0000704D0000}"/>
    <cellStyle name="Normal 195" xfId="19245" xr:uid="{00000000-0005-0000-0000-0000714D0000}"/>
    <cellStyle name="Normal 195 2" xfId="25206" xr:uid="{00000000-0005-0000-0000-0000724D0000}"/>
    <cellStyle name="Normal 195 3" xfId="25207" xr:uid="{00000000-0005-0000-0000-0000734D0000}"/>
    <cellStyle name="Normal 196" xfId="19246" xr:uid="{00000000-0005-0000-0000-0000744D0000}"/>
    <cellStyle name="Normal 196 2" xfId="25208" xr:uid="{00000000-0005-0000-0000-0000754D0000}"/>
    <cellStyle name="Normal 196 3" xfId="25209" xr:uid="{00000000-0005-0000-0000-0000764D0000}"/>
    <cellStyle name="Normal 197" xfId="19247" xr:uid="{00000000-0005-0000-0000-0000774D0000}"/>
    <cellStyle name="Normal 197 2" xfId="25210" xr:uid="{00000000-0005-0000-0000-0000784D0000}"/>
    <cellStyle name="Normal 197 3" xfId="25211" xr:uid="{00000000-0005-0000-0000-0000794D0000}"/>
    <cellStyle name="Normal 198" xfId="19248" xr:uid="{00000000-0005-0000-0000-00007A4D0000}"/>
    <cellStyle name="Normal 198 2" xfId="25212" xr:uid="{00000000-0005-0000-0000-00007B4D0000}"/>
    <cellStyle name="Normal 198 3" xfId="25213" xr:uid="{00000000-0005-0000-0000-00007C4D0000}"/>
    <cellStyle name="Normal 199" xfId="19249" xr:uid="{00000000-0005-0000-0000-00007D4D0000}"/>
    <cellStyle name="Normal 199 2" xfId="25214" xr:uid="{00000000-0005-0000-0000-00007E4D0000}"/>
    <cellStyle name="Normal 199 3" xfId="25215" xr:uid="{00000000-0005-0000-0000-00007F4D0000}"/>
    <cellStyle name="Normal 2" xfId="19250" xr:uid="{00000000-0005-0000-0000-0000804D0000}"/>
    <cellStyle name="Normal 2 10" xfId="19251" xr:uid="{00000000-0005-0000-0000-0000814D0000}"/>
    <cellStyle name="Normal 2 10 2" xfId="19252" xr:uid="{00000000-0005-0000-0000-0000824D0000}"/>
    <cellStyle name="Normal 2 10 3" xfId="19253" xr:uid="{00000000-0005-0000-0000-0000834D0000}"/>
    <cellStyle name="Normal 2 11" xfId="19254" xr:uid="{00000000-0005-0000-0000-0000844D0000}"/>
    <cellStyle name="Normal 2 11 2" xfId="19255" xr:uid="{00000000-0005-0000-0000-0000854D0000}"/>
    <cellStyle name="Normal 2 11 3" xfId="19256" xr:uid="{00000000-0005-0000-0000-0000864D0000}"/>
    <cellStyle name="Normal 2 12" xfId="19257" xr:uid="{00000000-0005-0000-0000-0000874D0000}"/>
    <cellStyle name="Normal 2 12 2" xfId="19258" xr:uid="{00000000-0005-0000-0000-0000884D0000}"/>
    <cellStyle name="Normal 2 12 3" xfId="19259" xr:uid="{00000000-0005-0000-0000-0000894D0000}"/>
    <cellStyle name="Normal 2 13" xfId="19260" xr:uid="{00000000-0005-0000-0000-00008A4D0000}"/>
    <cellStyle name="Normal 2 13 2" xfId="19261" xr:uid="{00000000-0005-0000-0000-00008B4D0000}"/>
    <cellStyle name="Normal 2 13 3" xfId="25216" xr:uid="{00000000-0005-0000-0000-00008C4D0000}"/>
    <cellStyle name="Normal 2 14" xfId="19262" xr:uid="{00000000-0005-0000-0000-00008D4D0000}"/>
    <cellStyle name="Normal 2 14 2" xfId="19263" xr:uid="{00000000-0005-0000-0000-00008E4D0000}"/>
    <cellStyle name="Normal 2 14 3" xfId="25217" xr:uid="{00000000-0005-0000-0000-00008F4D0000}"/>
    <cellStyle name="Normal 2 15" xfId="19264" xr:uid="{00000000-0005-0000-0000-0000904D0000}"/>
    <cellStyle name="Normal 2 15 2" xfId="19265" xr:uid="{00000000-0005-0000-0000-0000914D0000}"/>
    <cellStyle name="Normal 2 15 3" xfId="25218" xr:uid="{00000000-0005-0000-0000-0000924D0000}"/>
    <cellStyle name="Normal 2 16" xfId="19266" xr:uid="{00000000-0005-0000-0000-0000934D0000}"/>
    <cellStyle name="Normal 2 16 2" xfId="19267" xr:uid="{00000000-0005-0000-0000-0000944D0000}"/>
    <cellStyle name="Normal 2 16 3" xfId="25219" xr:uid="{00000000-0005-0000-0000-0000954D0000}"/>
    <cellStyle name="Normal 2 17" xfId="19268" xr:uid="{00000000-0005-0000-0000-0000964D0000}"/>
    <cellStyle name="Normal 2 17 2" xfId="19269" xr:uid="{00000000-0005-0000-0000-0000974D0000}"/>
    <cellStyle name="Normal 2 17 3" xfId="25220" xr:uid="{00000000-0005-0000-0000-0000984D0000}"/>
    <cellStyle name="Normal 2 18" xfId="19270" xr:uid="{00000000-0005-0000-0000-0000994D0000}"/>
    <cellStyle name="Normal 2 18 2" xfId="19271" xr:uid="{00000000-0005-0000-0000-00009A4D0000}"/>
    <cellStyle name="Normal 2 18 3" xfId="25221" xr:uid="{00000000-0005-0000-0000-00009B4D0000}"/>
    <cellStyle name="Normal 2 19" xfId="19272" xr:uid="{00000000-0005-0000-0000-00009C4D0000}"/>
    <cellStyle name="Normal 2 19 2" xfId="19273" xr:uid="{00000000-0005-0000-0000-00009D4D0000}"/>
    <cellStyle name="Normal 2 19 3" xfId="25222" xr:uid="{00000000-0005-0000-0000-00009E4D0000}"/>
    <cellStyle name="Normal 2 2" xfId="19274" xr:uid="{00000000-0005-0000-0000-00009F4D0000}"/>
    <cellStyle name="Normal 2 2 10" xfId="19275" xr:uid="{00000000-0005-0000-0000-0000A04D0000}"/>
    <cellStyle name="Normal 2 2 2" xfId="19276" xr:uid="{00000000-0005-0000-0000-0000A14D0000}"/>
    <cellStyle name="Normal 2 2 2 2" xfId="19277" xr:uid="{00000000-0005-0000-0000-0000A24D0000}"/>
    <cellStyle name="Normal 2 2 2 2 2" xfId="19278" xr:uid="{00000000-0005-0000-0000-0000A34D0000}"/>
    <cellStyle name="Normal 2 2 2 2 3" xfId="19279" xr:uid="{00000000-0005-0000-0000-0000A44D0000}"/>
    <cellStyle name="Normal 2 2 2 2 4" xfId="19280" xr:uid="{00000000-0005-0000-0000-0000A54D0000}"/>
    <cellStyle name="Normal 2 2 2 3" xfId="19281" xr:uid="{00000000-0005-0000-0000-0000A64D0000}"/>
    <cellStyle name="Normal 2 2 2 4" xfId="19282" xr:uid="{00000000-0005-0000-0000-0000A74D0000}"/>
    <cellStyle name="Normal 2 2 3" xfId="19283" xr:uid="{00000000-0005-0000-0000-0000A84D0000}"/>
    <cellStyle name="Normal 2 2 3 2" xfId="19284" xr:uid="{00000000-0005-0000-0000-0000A94D0000}"/>
    <cellStyle name="Normal 2 2 3 2 2" xfId="19285" xr:uid="{00000000-0005-0000-0000-0000AA4D0000}"/>
    <cellStyle name="Normal 2 2 3 2 3" xfId="19286" xr:uid="{00000000-0005-0000-0000-0000AB4D0000}"/>
    <cellStyle name="Normal 2 2 3 2 4" xfId="19287" xr:uid="{00000000-0005-0000-0000-0000AC4D0000}"/>
    <cellStyle name="Normal 2 2 3 2 5" xfId="19288" xr:uid="{00000000-0005-0000-0000-0000AD4D0000}"/>
    <cellStyle name="Normal 2 2 3 3" xfId="19289" xr:uid="{00000000-0005-0000-0000-0000AE4D0000}"/>
    <cellStyle name="Normal 2 2 3 4" xfId="19290" xr:uid="{00000000-0005-0000-0000-0000AF4D0000}"/>
    <cellStyle name="Normal 2 2 3 5" xfId="19291" xr:uid="{00000000-0005-0000-0000-0000B04D0000}"/>
    <cellStyle name="Normal 2 2 3 6" xfId="19292" xr:uid="{00000000-0005-0000-0000-0000B14D0000}"/>
    <cellStyle name="Normal 2 2 3_PAQUETE PARA COTIZAR" xfId="19293" xr:uid="{00000000-0005-0000-0000-0000B24D0000}"/>
    <cellStyle name="Normal 2 2 4" xfId="19294" xr:uid="{00000000-0005-0000-0000-0000B34D0000}"/>
    <cellStyle name="Normal 2 2 4 2" xfId="19295" xr:uid="{00000000-0005-0000-0000-0000B44D0000}"/>
    <cellStyle name="Normal 2 2 4 3" xfId="25223" xr:uid="{00000000-0005-0000-0000-0000B54D0000}"/>
    <cellStyle name="Normal 2 2 5" xfId="19296" xr:uid="{00000000-0005-0000-0000-0000B64D0000}"/>
    <cellStyle name="Normal 2 2 5 2" xfId="19297" xr:uid="{00000000-0005-0000-0000-0000B74D0000}"/>
    <cellStyle name="Normal 2 2 5 3" xfId="25224" xr:uid="{00000000-0005-0000-0000-0000B84D0000}"/>
    <cellStyle name="Normal 2 2 6" xfId="19298" xr:uid="{00000000-0005-0000-0000-0000B94D0000}"/>
    <cellStyle name="Normal 2 2 6 2" xfId="19299" xr:uid="{00000000-0005-0000-0000-0000BA4D0000}"/>
    <cellStyle name="Normal 2 2 6 3" xfId="25225" xr:uid="{00000000-0005-0000-0000-0000BB4D0000}"/>
    <cellStyle name="Normal 2 2 7" xfId="19300" xr:uid="{00000000-0005-0000-0000-0000BC4D0000}"/>
    <cellStyle name="Normal 2 2 7 2" xfId="19301" xr:uid="{00000000-0005-0000-0000-0000BD4D0000}"/>
    <cellStyle name="Normal 2 2 7 3" xfId="19302" xr:uid="{00000000-0005-0000-0000-0000BE4D0000}"/>
    <cellStyle name="Normal 2 2 7 4" xfId="19303" xr:uid="{00000000-0005-0000-0000-0000BF4D0000}"/>
    <cellStyle name="Normal 2 2 8" xfId="19304" xr:uid="{00000000-0005-0000-0000-0000C04D0000}"/>
    <cellStyle name="Normal 2 2 9" xfId="25226" xr:uid="{00000000-0005-0000-0000-0000C14D0000}"/>
    <cellStyle name="Normal 2 2_SUBARTICO ADD-DEL" xfId="19305" xr:uid="{00000000-0005-0000-0000-0000C24D0000}"/>
    <cellStyle name="Normal 2 20" xfId="19306" xr:uid="{00000000-0005-0000-0000-0000C34D0000}"/>
    <cellStyle name="Normal 2 20 2" xfId="19307" xr:uid="{00000000-0005-0000-0000-0000C44D0000}"/>
    <cellStyle name="Normal 2 20 3" xfId="25227" xr:uid="{00000000-0005-0000-0000-0000C54D0000}"/>
    <cellStyle name="Normal 2 21" xfId="19308" xr:uid="{00000000-0005-0000-0000-0000C64D0000}"/>
    <cellStyle name="Normal 2 21 2" xfId="19309" xr:uid="{00000000-0005-0000-0000-0000C74D0000}"/>
    <cellStyle name="Normal 2 21 3" xfId="25228" xr:uid="{00000000-0005-0000-0000-0000C84D0000}"/>
    <cellStyle name="Normal 2 22" xfId="19310" xr:uid="{00000000-0005-0000-0000-0000C94D0000}"/>
    <cellStyle name="Normal 2 22 2" xfId="19311" xr:uid="{00000000-0005-0000-0000-0000CA4D0000}"/>
    <cellStyle name="Normal 2 22 3" xfId="25229" xr:uid="{00000000-0005-0000-0000-0000CB4D0000}"/>
    <cellStyle name="Normal 2 23" xfId="19312" xr:uid="{00000000-0005-0000-0000-0000CC4D0000}"/>
    <cellStyle name="Normal 2 23 2" xfId="19313" xr:uid="{00000000-0005-0000-0000-0000CD4D0000}"/>
    <cellStyle name="Normal 2 23 3" xfId="25230" xr:uid="{00000000-0005-0000-0000-0000CE4D0000}"/>
    <cellStyle name="Normal 2 24" xfId="19314" xr:uid="{00000000-0005-0000-0000-0000CF4D0000}"/>
    <cellStyle name="Normal 2 24 2" xfId="19315" xr:uid="{00000000-0005-0000-0000-0000D04D0000}"/>
    <cellStyle name="Normal 2 24 2 2" xfId="19316" xr:uid="{00000000-0005-0000-0000-0000D14D0000}"/>
    <cellStyle name="Normal 2 24 2 3" xfId="19317" xr:uid="{00000000-0005-0000-0000-0000D24D0000}"/>
    <cellStyle name="Normal 2 24 2 4" xfId="19318" xr:uid="{00000000-0005-0000-0000-0000D34D0000}"/>
    <cellStyle name="Normal 2 24 3" xfId="19319" xr:uid="{00000000-0005-0000-0000-0000D44D0000}"/>
    <cellStyle name="Normal 2 24 4" xfId="19320" xr:uid="{00000000-0005-0000-0000-0000D54D0000}"/>
    <cellStyle name="Normal 2 24 5" xfId="19321" xr:uid="{00000000-0005-0000-0000-0000D64D0000}"/>
    <cellStyle name="Normal 2 24 6" xfId="19322" xr:uid="{00000000-0005-0000-0000-0000D74D0000}"/>
    <cellStyle name="Normal 2 25" xfId="19323" xr:uid="{00000000-0005-0000-0000-0000D84D0000}"/>
    <cellStyle name="Normal 2 25 2" xfId="19324" xr:uid="{00000000-0005-0000-0000-0000D94D0000}"/>
    <cellStyle name="Normal 2 25 2 2" xfId="19325" xr:uid="{00000000-0005-0000-0000-0000DA4D0000}"/>
    <cellStyle name="Normal 2 25 2 3" xfId="19326" xr:uid="{00000000-0005-0000-0000-0000DB4D0000}"/>
    <cellStyle name="Normal 2 25 2 4" xfId="19327" xr:uid="{00000000-0005-0000-0000-0000DC4D0000}"/>
    <cellStyle name="Normal 2 25 3" xfId="19328" xr:uid="{00000000-0005-0000-0000-0000DD4D0000}"/>
    <cellStyle name="Normal 2 25 4" xfId="19329" xr:uid="{00000000-0005-0000-0000-0000DE4D0000}"/>
    <cellStyle name="Normal 2 25 5" xfId="19330" xr:uid="{00000000-0005-0000-0000-0000DF4D0000}"/>
    <cellStyle name="Normal 2 25 6" xfId="19331" xr:uid="{00000000-0005-0000-0000-0000E04D0000}"/>
    <cellStyle name="Normal 2 25 7" xfId="19332" xr:uid="{00000000-0005-0000-0000-0000E14D0000}"/>
    <cellStyle name="Normal 2 25 8" xfId="19333" xr:uid="{00000000-0005-0000-0000-0000E24D0000}"/>
    <cellStyle name="Normal 2 26" xfId="19334" xr:uid="{00000000-0005-0000-0000-0000E34D0000}"/>
    <cellStyle name="Normal 2 26 2" xfId="19335" xr:uid="{00000000-0005-0000-0000-0000E44D0000}"/>
    <cellStyle name="Normal 2 26 3" xfId="19336" xr:uid="{00000000-0005-0000-0000-0000E54D0000}"/>
    <cellStyle name="Normal 2 26 4" xfId="19337" xr:uid="{00000000-0005-0000-0000-0000E64D0000}"/>
    <cellStyle name="Normal 2 26 5" xfId="19338" xr:uid="{00000000-0005-0000-0000-0000E74D0000}"/>
    <cellStyle name="Normal 2 27" xfId="19339" xr:uid="{00000000-0005-0000-0000-0000E84D0000}"/>
    <cellStyle name="Normal 2 27 2" xfId="19340" xr:uid="{00000000-0005-0000-0000-0000E94D0000}"/>
    <cellStyle name="Normal 2 28" xfId="19341" xr:uid="{00000000-0005-0000-0000-0000EA4D0000}"/>
    <cellStyle name="Normal 2 28 2" xfId="25231" xr:uid="{00000000-0005-0000-0000-0000EB4D0000}"/>
    <cellStyle name="Normal 2 29" xfId="19342" xr:uid="{00000000-0005-0000-0000-0000EC4D0000}"/>
    <cellStyle name="Normal 2 29 2" xfId="25232" xr:uid="{00000000-0005-0000-0000-0000ED4D0000}"/>
    <cellStyle name="Normal 2 3" xfId="19343" xr:uid="{00000000-0005-0000-0000-0000EE4D0000}"/>
    <cellStyle name="Normal 2 3 2" xfId="19344" xr:uid="{00000000-0005-0000-0000-0000EF4D0000}"/>
    <cellStyle name="Normal 2 3 2 2" xfId="19345" xr:uid="{00000000-0005-0000-0000-0000F04D0000}"/>
    <cellStyle name="Normal 2 3 2 2 2" xfId="19346" xr:uid="{00000000-0005-0000-0000-0000F14D0000}"/>
    <cellStyle name="Normal 2 3 2 2 3" xfId="19347" xr:uid="{00000000-0005-0000-0000-0000F24D0000}"/>
    <cellStyle name="Normal 2 3 2 2 4" xfId="19348" xr:uid="{00000000-0005-0000-0000-0000F34D0000}"/>
    <cellStyle name="Normal 2 3 2 2 5" xfId="19349" xr:uid="{00000000-0005-0000-0000-0000F44D0000}"/>
    <cellStyle name="Normal 2 3 2 2 6" xfId="19350" xr:uid="{00000000-0005-0000-0000-0000F54D0000}"/>
    <cellStyle name="Normal 2 3 2 3" xfId="19351" xr:uid="{00000000-0005-0000-0000-0000F64D0000}"/>
    <cellStyle name="Normal 2 3 2 3 2" xfId="19352" xr:uid="{00000000-0005-0000-0000-0000F74D0000}"/>
    <cellStyle name="Normal 2 3 2 4" xfId="25233" xr:uid="{00000000-0005-0000-0000-0000F84D0000}"/>
    <cellStyle name="Normal 2 3 3" xfId="19353" xr:uid="{00000000-0005-0000-0000-0000F94D0000}"/>
    <cellStyle name="Normal 2 3 3 2" xfId="19354" xr:uid="{00000000-0005-0000-0000-0000FA4D0000}"/>
    <cellStyle name="Normal 2 3 3 3" xfId="19355" xr:uid="{00000000-0005-0000-0000-0000FB4D0000}"/>
    <cellStyle name="Normal 2 3 3 4" xfId="19356" xr:uid="{00000000-0005-0000-0000-0000FC4D0000}"/>
    <cellStyle name="Normal 2 3 4" xfId="19357" xr:uid="{00000000-0005-0000-0000-0000FD4D0000}"/>
    <cellStyle name="Normal 2 3 5" xfId="25234" xr:uid="{00000000-0005-0000-0000-0000FE4D0000}"/>
    <cellStyle name="Normal 2 30" xfId="19358" xr:uid="{00000000-0005-0000-0000-0000FF4D0000}"/>
    <cellStyle name="Normal 2 30 2" xfId="25235" xr:uid="{00000000-0005-0000-0000-0000004E0000}"/>
    <cellStyle name="Normal 2 31" xfId="19359" xr:uid="{00000000-0005-0000-0000-0000014E0000}"/>
    <cellStyle name="Normal 2 31 2" xfId="25236" xr:uid="{00000000-0005-0000-0000-0000024E0000}"/>
    <cellStyle name="Normal 2 32" xfId="19360" xr:uid="{00000000-0005-0000-0000-0000034E0000}"/>
    <cellStyle name="Normal 2 32 2" xfId="25237" xr:uid="{00000000-0005-0000-0000-0000044E0000}"/>
    <cellStyle name="Normal 2 33" xfId="19361" xr:uid="{00000000-0005-0000-0000-0000054E0000}"/>
    <cellStyle name="Normal 2 33 2" xfId="19362" xr:uid="{00000000-0005-0000-0000-0000064E0000}"/>
    <cellStyle name="Normal 2 33 3" xfId="19363" xr:uid="{00000000-0005-0000-0000-0000074E0000}"/>
    <cellStyle name="Normal 2 34" xfId="19364" xr:uid="{00000000-0005-0000-0000-0000084E0000}"/>
    <cellStyle name="Normal 2 34 2" xfId="19365" xr:uid="{00000000-0005-0000-0000-0000094E0000}"/>
    <cellStyle name="Normal 2 34 3" xfId="19366" xr:uid="{00000000-0005-0000-0000-00000A4E0000}"/>
    <cellStyle name="Normal 2 35" xfId="19367" xr:uid="{00000000-0005-0000-0000-00000B4E0000}"/>
    <cellStyle name="Normal 2 35 2" xfId="25238" xr:uid="{00000000-0005-0000-0000-00000C4E0000}"/>
    <cellStyle name="Normal 2 36" xfId="19368" xr:uid="{00000000-0005-0000-0000-00000D4E0000}"/>
    <cellStyle name="Normal 2 37" xfId="19369" xr:uid="{00000000-0005-0000-0000-00000E4E0000}"/>
    <cellStyle name="Normal 2 38" xfId="19370" xr:uid="{00000000-0005-0000-0000-00000F4E0000}"/>
    <cellStyle name="Normal 2 39" xfId="19371" xr:uid="{00000000-0005-0000-0000-0000104E0000}"/>
    <cellStyle name="Normal 2 4" xfId="19372" xr:uid="{00000000-0005-0000-0000-0000114E0000}"/>
    <cellStyle name="Normal 2 4 2" xfId="19373" xr:uid="{00000000-0005-0000-0000-0000124E0000}"/>
    <cellStyle name="Normal 2 4 3" xfId="19374" xr:uid="{00000000-0005-0000-0000-0000134E0000}"/>
    <cellStyle name="Normal 2 40" xfId="19375" xr:uid="{00000000-0005-0000-0000-0000144E0000}"/>
    <cellStyle name="Normal 2 41" xfId="19376" xr:uid="{00000000-0005-0000-0000-0000154E0000}"/>
    <cellStyle name="Normal 2 42" xfId="19377" xr:uid="{00000000-0005-0000-0000-0000164E0000}"/>
    <cellStyle name="Normal 2 43" xfId="19378" xr:uid="{00000000-0005-0000-0000-0000174E0000}"/>
    <cellStyle name="Normal 2 44" xfId="19379" xr:uid="{00000000-0005-0000-0000-0000184E0000}"/>
    <cellStyle name="Normal 2 45" xfId="19380" xr:uid="{00000000-0005-0000-0000-0000194E0000}"/>
    <cellStyle name="Normal 2 46" xfId="19381" xr:uid="{00000000-0005-0000-0000-00001A4E0000}"/>
    <cellStyle name="Normal 2 47" xfId="19382" xr:uid="{00000000-0005-0000-0000-00001B4E0000}"/>
    <cellStyle name="Normal 2 48" xfId="19383" xr:uid="{00000000-0005-0000-0000-00001C4E0000}"/>
    <cellStyle name="Normal 2 49" xfId="19384" xr:uid="{00000000-0005-0000-0000-00001D4E0000}"/>
    <cellStyle name="Normal 2 5" xfId="19385" xr:uid="{00000000-0005-0000-0000-00001E4E0000}"/>
    <cellStyle name="Normal 2 5 2" xfId="19386" xr:uid="{00000000-0005-0000-0000-00001F4E0000}"/>
    <cellStyle name="Normal 2 5 3" xfId="19387" xr:uid="{00000000-0005-0000-0000-0000204E0000}"/>
    <cellStyle name="Normal 2 50" xfId="19388" xr:uid="{00000000-0005-0000-0000-0000214E0000}"/>
    <cellStyle name="Normal 2 51" xfId="19389" xr:uid="{00000000-0005-0000-0000-0000224E0000}"/>
    <cellStyle name="Normal 2 52" xfId="19390" xr:uid="{00000000-0005-0000-0000-0000234E0000}"/>
    <cellStyle name="Normal 2 53" xfId="19391" xr:uid="{00000000-0005-0000-0000-0000244E0000}"/>
    <cellStyle name="Normal 2 54" xfId="19392" xr:uid="{00000000-0005-0000-0000-0000254E0000}"/>
    <cellStyle name="Normal 2 55" xfId="19393" xr:uid="{00000000-0005-0000-0000-0000264E0000}"/>
    <cellStyle name="Normal 2 56" xfId="19394" xr:uid="{00000000-0005-0000-0000-0000274E0000}"/>
    <cellStyle name="Normal 2 57" xfId="19395" xr:uid="{00000000-0005-0000-0000-0000284E0000}"/>
    <cellStyle name="Normal 2 58" xfId="19396" xr:uid="{00000000-0005-0000-0000-0000294E0000}"/>
    <cellStyle name="Normal 2 59" xfId="19397" xr:uid="{00000000-0005-0000-0000-00002A4E0000}"/>
    <cellStyle name="Normal 2 6" xfId="19398" xr:uid="{00000000-0005-0000-0000-00002B4E0000}"/>
    <cellStyle name="Normal 2 6 2" xfId="19399" xr:uid="{00000000-0005-0000-0000-00002C4E0000}"/>
    <cellStyle name="Normal 2 6 3" xfId="19400" xr:uid="{00000000-0005-0000-0000-00002D4E0000}"/>
    <cellStyle name="Normal 2 60" xfId="19401" xr:uid="{00000000-0005-0000-0000-00002E4E0000}"/>
    <cellStyle name="Normal 2 61" xfId="19402" xr:uid="{00000000-0005-0000-0000-00002F4E0000}"/>
    <cellStyle name="Normal 2 62" xfId="19403" xr:uid="{00000000-0005-0000-0000-0000304E0000}"/>
    <cellStyle name="Normal 2 63" xfId="19404" xr:uid="{00000000-0005-0000-0000-0000314E0000}"/>
    <cellStyle name="Normal 2 64" xfId="19405" xr:uid="{00000000-0005-0000-0000-0000324E0000}"/>
    <cellStyle name="Normal 2 65" xfId="19406" xr:uid="{00000000-0005-0000-0000-0000334E0000}"/>
    <cellStyle name="Normal 2 66" xfId="19407" xr:uid="{00000000-0005-0000-0000-0000344E0000}"/>
    <cellStyle name="Normal 2 67" xfId="19408" xr:uid="{00000000-0005-0000-0000-0000354E0000}"/>
    <cellStyle name="Normal 2 68" xfId="19409" xr:uid="{00000000-0005-0000-0000-0000364E0000}"/>
    <cellStyle name="Normal 2 69" xfId="19410" xr:uid="{00000000-0005-0000-0000-0000374E0000}"/>
    <cellStyle name="Normal 2 7" xfId="19411" xr:uid="{00000000-0005-0000-0000-0000384E0000}"/>
    <cellStyle name="Normal 2 7 2" xfId="19412" xr:uid="{00000000-0005-0000-0000-0000394E0000}"/>
    <cellStyle name="Normal 2 7 3" xfId="19413" xr:uid="{00000000-0005-0000-0000-00003A4E0000}"/>
    <cellStyle name="Normal 2 70" xfId="19414" xr:uid="{00000000-0005-0000-0000-00003B4E0000}"/>
    <cellStyle name="Normal 2 71" xfId="19415" xr:uid="{00000000-0005-0000-0000-00003C4E0000}"/>
    <cellStyle name="Normal 2 72" xfId="19416" xr:uid="{00000000-0005-0000-0000-00003D4E0000}"/>
    <cellStyle name="Normal 2 73" xfId="19417" xr:uid="{00000000-0005-0000-0000-00003E4E0000}"/>
    <cellStyle name="Normal 2 74" xfId="19418" xr:uid="{00000000-0005-0000-0000-00003F4E0000}"/>
    <cellStyle name="Normal 2 75" xfId="19419" xr:uid="{00000000-0005-0000-0000-0000404E0000}"/>
    <cellStyle name="Normal 2 76" xfId="19420" xr:uid="{00000000-0005-0000-0000-0000414E0000}"/>
    <cellStyle name="Normal 2 77" xfId="19421" xr:uid="{00000000-0005-0000-0000-0000424E0000}"/>
    <cellStyle name="Normal 2 78" xfId="19422" xr:uid="{00000000-0005-0000-0000-0000434E0000}"/>
    <cellStyle name="Normal 2 79" xfId="19423" xr:uid="{00000000-0005-0000-0000-0000444E0000}"/>
    <cellStyle name="Normal 2 8" xfId="19424" xr:uid="{00000000-0005-0000-0000-0000454E0000}"/>
    <cellStyle name="Normal 2 8 2" xfId="19425" xr:uid="{00000000-0005-0000-0000-0000464E0000}"/>
    <cellStyle name="Normal 2 8 3" xfId="19426" xr:uid="{00000000-0005-0000-0000-0000474E0000}"/>
    <cellStyle name="Normal 2 80" xfId="19427" xr:uid="{00000000-0005-0000-0000-0000484E0000}"/>
    <cellStyle name="Normal 2 81" xfId="19428" xr:uid="{00000000-0005-0000-0000-0000494E0000}"/>
    <cellStyle name="Normal 2 82" xfId="19429" xr:uid="{00000000-0005-0000-0000-00004A4E0000}"/>
    <cellStyle name="Normal 2 83" xfId="19430" xr:uid="{00000000-0005-0000-0000-00004B4E0000}"/>
    <cellStyle name="Normal 2 84" xfId="19431" xr:uid="{00000000-0005-0000-0000-00004C4E0000}"/>
    <cellStyle name="Normal 2 85" xfId="19432" xr:uid="{00000000-0005-0000-0000-00004D4E0000}"/>
    <cellStyle name="Normal 2 86" xfId="19433" xr:uid="{00000000-0005-0000-0000-00004E4E0000}"/>
    <cellStyle name="Normal 2 87" xfId="19434" xr:uid="{00000000-0005-0000-0000-00004F4E0000}"/>
    <cellStyle name="Normal 2 88" xfId="19435" xr:uid="{00000000-0005-0000-0000-0000504E0000}"/>
    <cellStyle name="Normal 2 89" xfId="19436" xr:uid="{00000000-0005-0000-0000-0000514E0000}"/>
    <cellStyle name="Normal 2 9" xfId="19437" xr:uid="{00000000-0005-0000-0000-0000524E0000}"/>
    <cellStyle name="Normal 2 9 2" xfId="19438" xr:uid="{00000000-0005-0000-0000-0000534E0000}"/>
    <cellStyle name="Normal 2 9 3" xfId="19439" xr:uid="{00000000-0005-0000-0000-0000544E0000}"/>
    <cellStyle name="Normal 2 90" xfId="25868" xr:uid="{00000000-0005-0000-0000-0000554E0000}"/>
    <cellStyle name="Normal 2_175D6471G001" xfId="19440" xr:uid="{00000000-0005-0000-0000-0000564E0000}"/>
    <cellStyle name="Normal 20" xfId="19441" xr:uid="{00000000-0005-0000-0000-0000574E0000}"/>
    <cellStyle name="Normal 20 2" xfId="19442" xr:uid="{00000000-0005-0000-0000-0000584E0000}"/>
    <cellStyle name="Normal 20 2 2" xfId="19443" xr:uid="{00000000-0005-0000-0000-0000594E0000}"/>
    <cellStyle name="Normal 20 2 3" xfId="19444" xr:uid="{00000000-0005-0000-0000-00005A4E0000}"/>
    <cellStyle name="Normal 20 2 4" xfId="19445" xr:uid="{00000000-0005-0000-0000-00005B4E0000}"/>
    <cellStyle name="Normal 20 3" xfId="19446" xr:uid="{00000000-0005-0000-0000-00005C4E0000}"/>
    <cellStyle name="Normal 20 3 2" xfId="19447" xr:uid="{00000000-0005-0000-0000-00005D4E0000}"/>
    <cellStyle name="Normal 20 3 3" xfId="19448" xr:uid="{00000000-0005-0000-0000-00005E4E0000}"/>
    <cellStyle name="Normal 20 3 4" xfId="19449" xr:uid="{00000000-0005-0000-0000-00005F4E0000}"/>
    <cellStyle name="Normal 20 4" xfId="19450" xr:uid="{00000000-0005-0000-0000-0000604E0000}"/>
    <cellStyle name="Normal 20 5" xfId="19451" xr:uid="{00000000-0005-0000-0000-0000614E0000}"/>
    <cellStyle name="Normal 20 6" xfId="19452" xr:uid="{00000000-0005-0000-0000-0000624E0000}"/>
    <cellStyle name="Normal 200" xfId="19453" xr:uid="{00000000-0005-0000-0000-0000634E0000}"/>
    <cellStyle name="Normal 200 2" xfId="25239" xr:uid="{00000000-0005-0000-0000-0000644E0000}"/>
    <cellStyle name="Normal 200 3" xfId="25240" xr:uid="{00000000-0005-0000-0000-0000654E0000}"/>
    <cellStyle name="Normal 201" xfId="19454" xr:uid="{00000000-0005-0000-0000-0000664E0000}"/>
    <cellStyle name="Normal 201 2" xfId="25241" xr:uid="{00000000-0005-0000-0000-0000674E0000}"/>
    <cellStyle name="Normal 201 3" xfId="25242" xr:uid="{00000000-0005-0000-0000-0000684E0000}"/>
    <cellStyle name="Normal 202" xfId="19455" xr:uid="{00000000-0005-0000-0000-0000694E0000}"/>
    <cellStyle name="Normal 202 2" xfId="25243" xr:uid="{00000000-0005-0000-0000-00006A4E0000}"/>
    <cellStyle name="Normal 202 3" xfId="25244" xr:uid="{00000000-0005-0000-0000-00006B4E0000}"/>
    <cellStyle name="Normal 203" xfId="19456" xr:uid="{00000000-0005-0000-0000-00006C4E0000}"/>
    <cellStyle name="Normal 203 2" xfId="25245" xr:uid="{00000000-0005-0000-0000-00006D4E0000}"/>
    <cellStyle name="Normal 203 3" xfId="25246" xr:uid="{00000000-0005-0000-0000-00006E4E0000}"/>
    <cellStyle name="Normal 204" xfId="19457" xr:uid="{00000000-0005-0000-0000-00006F4E0000}"/>
    <cellStyle name="Normal 204 2" xfId="25247" xr:uid="{00000000-0005-0000-0000-0000704E0000}"/>
    <cellStyle name="Normal 204 3" xfId="25248" xr:uid="{00000000-0005-0000-0000-0000714E0000}"/>
    <cellStyle name="Normal 205" xfId="19458" xr:uid="{00000000-0005-0000-0000-0000724E0000}"/>
    <cellStyle name="Normal 205 2" xfId="25249" xr:uid="{00000000-0005-0000-0000-0000734E0000}"/>
    <cellStyle name="Normal 205 3" xfId="25250" xr:uid="{00000000-0005-0000-0000-0000744E0000}"/>
    <cellStyle name="Normal 206" xfId="19459" xr:uid="{00000000-0005-0000-0000-0000754E0000}"/>
    <cellStyle name="Normal 206 2" xfId="19460" xr:uid="{00000000-0005-0000-0000-0000764E0000}"/>
    <cellStyle name="Normal 206 3" xfId="25251" xr:uid="{00000000-0005-0000-0000-0000774E0000}"/>
    <cellStyle name="Normal 207" xfId="19461" xr:uid="{00000000-0005-0000-0000-0000784E0000}"/>
    <cellStyle name="Normal 207 2" xfId="19462" xr:uid="{00000000-0005-0000-0000-0000794E0000}"/>
    <cellStyle name="Normal 207 3" xfId="19463" xr:uid="{00000000-0005-0000-0000-00007A4E0000}"/>
    <cellStyle name="Normal 208" xfId="19464" xr:uid="{00000000-0005-0000-0000-00007B4E0000}"/>
    <cellStyle name="Normal 208 2" xfId="19465" xr:uid="{00000000-0005-0000-0000-00007C4E0000}"/>
    <cellStyle name="Normal 208 3" xfId="19466" xr:uid="{00000000-0005-0000-0000-00007D4E0000}"/>
    <cellStyle name="Normal 209" xfId="19467" xr:uid="{00000000-0005-0000-0000-00007E4E0000}"/>
    <cellStyle name="Normal 209 2" xfId="19468" xr:uid="{00000000-0005-0000-0000-00007F4E0000}"/>
    <cellStyle name="Normal 209 3" xfId="19469" xr:uid="{00000000-0005-0000-0000-0000804E0000}"/>
    <cellStyle name="Normal 21" xfId="19470" xr:uid="{00000000-0005-0000-0000-0000814E0000}"/>
    <cellStyle name="Normal 21 2" xfId="19471" xr:uid="{00000000-0005-0000-0000-0000824E0000}"/>
    <cellStyle name="Normal 21 2 2" xfId="19472" xr:uid="{00000000-0005-0000-0000-0000834E0000}"/>
    <cellStyle name="Normal 21 2 2 2" xfId="19473" xr:uid="{00000000-0005-0000-0000-0000844E0000}"/>
    <cellStyle name="Normal 21 2 2 3" xfId="19474" xr:uid="{00000000-0005-0000-0000-0000854E0000}"/>
    <cellStyle name="Normal 21 2 2 4" xfId="19475" xr:uid="{00000000-0005-0000-0000-0000864E0000}"/>
    <cellStyle name="Normal 21 2 3" xfId="19476" xr:uid="{00000000-0005-0000-0000-0000874E0000}"/>
    <cellStyle name="Normal 21 2 4" xfId="19477" xr:uid="{00000000-0005-0000-0000-0000884E0000}"/>
    <cellStyle name="Normal 21 2 5" xfId="19478" xr:uid="{00000000-0005-0000-0000-0000894E0000}"/>
    <cellStyle name="Normal 21 2 6" xfId="19479" xr:uid="{00000000-0005-0000-0000-00008A4E0000}"/>
    <cellStyle name="Normal 21 3" xfId="19480" xr:uid="{00000000-0005-0000-0000-00008B4E0000}"/>
    <cellStyle name="Normal 21 3 2" xfId="19481" xr:uid="{00000000-0005-0000-0000-00008C4E0000}"/>
    <cellStyle name="Normal 21 3 3" xfId="19482" xr:uid="{00000000-0005-0000-0000-00008D4E0000}"/>
    <cellStyle name="Normal 21 3 4" xfId="19483" xr:uid="{00000000-0005-0000-0000-00008E4E0000}"/>
    <cellStyle name="Normal 21 4" xfId="19484" xr:uid="{00000000-0005-0000-0000-00008F4E0000}"/>
    <cellStyle name="Normal 21 4 2" xfId="19485" xr:uid="{00000000-0005-0000-0000-0000904E0000}"/>
    <cellStyle name="Normal 21 4 3" xfId="19486" xr:uid="{00000000-0005-0000-0000-0000914E0000}"/>
    <cellStyle name="Normal 21 4 4" xfId="19487" xr:uid="{00000000-0005-0000-0000-0000924E0000}"/>
    <cellStyle name="Normal 21 5" xfId="19488" xr:uid="{00000000-0005-0000-0000-0000934E0000}"/>
    <cellStyle name="Normal 21 6" xfId="19489" xr:uid="{00000000-0005-0000-0000-0000944E0000}"/>
    <cellStyle name="Normal 21 7" xfId="19490" xr:uid="{00000000-0005-0000-0000-0000954E0000}"/>
    <cellStyle name="Normal 21_PAQUETE PARA COTIZAR" xfId="19491" xr:uid="{00000000-0005-0000-0000-0000964E0000}"/>
    <cellStyle name="Normal 210" xfId="19492" xr:uid="{00000000-0005-0000-0000-0000974E0000}"/>
    <cellStyle name="Normal 210 2" xfId="19493" xr:uid="{00000000-0005-0000-0000-0000984E0000}"/>
    <cellStyle name="Normal 210 3" xfId="19494" xr:uid="{00000000-0005-0000-0000-0000994E0000}"/>
    <cellStyle name="Normal 211" xfId="19495" xr:uid="{00000000-0005-0000-0000-00009A4E0000}"/>
    <cellStyle name="Normal 211 2" xfId="19496" xr:uid="{00000000-0005-0000-0000-00009B4E0000}"/>
    <cellStyle name="Normal 211 3" xfId="19497" xr:uid="{00000000-0005-0000-0000-00009C4E0000}"/>
    <cellStyle name="Normal 212" xfId="19498" xr:uid="{00000000-0005-0000-0000-00009D4E0000}"/>
    <cellStyle name="Normal 212 2" xfId="19499" xr:uid="{00000000-0005-0000-0000-00009E4E0000}"/>
    <cellStyle name="Normal 212 3" xfId="19500" xr:uid="{00000000-0005-0000-0000-00009F4E0000}"/>
    <cellStyle name="Normal 213" xfId="19501" xr:uid="{00000000-0005-0000-0000-0000A04E0000}"/>
    <cellStyle name="Normal 213 2" xfId="19502" xr:uid="{00000000-0005-0000-0000-0000A14E0000}"/>
    <cellStyle name="Normal 213 3" xfId="19503" xr:uid="{00000000-0005-0000-0000-0000A24E0000}"/>
    <cellStyle name="Normal 214" xfId="19504" xr:uid="{00000000-0005-0000-0000-0000A34E0000}"/>
    <cellStyle name="Normal 214 2" xfId="19505" xr:uid="{00000000-0005-0000-0000-0000A44E0000}"/>
    <cellStyle name="Normal 214 3" xfId="19506" xr:uid="{00000000-0005-0000-0000-0000A54E0000}"/>
    <cellStyle name="Normal 215" xfId="19507" xr:uid="{00000000-0005-0000-0000-0000A64E0000}"/>
    <cellStyle name="Normal 215 2" xfId="19508" xr:uid="{00000000-0005-0000-0000-0000A74E0000}"/>
    <cellStyle name="Normal 215 3" xfId="19509" xr:uid="{00000000-0005-0000-0000-0000A84E0000}"/>
    <cellStyle name="Normal 216" xfId="19510" xr:uid="{00000000-0005-0000-0000-0000A94E0000}"/>
    <cellStyle name="Normal 216 2" xfId="19511" xr:uid="{00000000-0005-0000-0000-0000AA4E0000}"/>
    <cellStyle name="Normal 216 3" xfId="19512" xr:uid="{00000000-0005-0000-0000-0000AB4E0000}"/>
    <cellStyle name="Normal 217" xfId="19513" xr:uid="{00000000-0005-0000-0000-0000AC4E0000}"/>
    <cellStyle name="Normal 217 2" xfId="19514" xr:uid="{00000000-0005-0000-0000-0000AD4E0000}"/>
    <cellStyle name="Normal 217 3" xfId="25252" xr:uid="{00000000-0005-0000-0000-0000AE4E0000}"/>
    <cellStyle name="Normal 218" xfId="19515" xr:uid="{00000000-0005-0000-0000-0000AF4E0000}"/>
    <cellStyle name="Normal 218 2" xfId="19516" xr:uid="{00000000-0005-0000-0000-0000B04E0000}"/>
    <cellStyle name="Normal 218 3" xfId="25253" xr:uid="{00000000-0005-0000-0000-0000B14E0000}"/>
    <cellStyle name="Normal 219" xfId="19517" xr:uid="{00000000-0005-0000-0000-0000B24E0000}"/>
    <cellStyle name="Normal 219 2" xfId="19518" xr:uid="{00000000-0005-0000-0000-0000B34E0000}"/>
    <cellStyle name="Normal 219 3" xfId="25254" xr:uid="{00000000-0005-0000-0000-0000B44E0000}"/>
    <cellStyle name="Normal 22" xfId="19519" xr:uid="{00000000-0005-0000-0000-0000B54E0000}"/>
    <cellStyle name="Normal 22 2" xfId="19520" xr:uid="{00000000-0005-0000-0000-0000B64E0000}"/>
    <cellStyle name="Normal 22 2 2" xfId="19521" xr:uid="{00000000-0005-0000-0000-0000B74E0000}"/>
    <cellStyle name="Normal 22 2 3" xfId="19522" xr:uid="{00000000-0005-0000-0000-0000B84E0000}"/>
    <cellStyle name="Normal 22 2 4" xfId="19523" xr:uid="{00000000-0005-0000-0000-0000B94E0000}"/>
    <cellStyle name="Normal 22 3" xfId="19524" xr:uid="{00000000-0005-0000-0000-0000BA4E0000}"/>
    <cellStyle name="Normal 22 4" xfId="19525" xr:uid="{00000000-0005-0000-0000-0000BB4E0000}"/>
    <cellStyle name="Normal 22 5" xfId="19526" xr:uid="{00000000-0005-0000-0000-0000BC4E0000}"/>
    <cellStyle name="Normal 22 6" xfId="19527" xr:uid="{00000000-0005-0000-0000-0000BD4E0000}"/>
    <cellStyle name="Normal 22 7" xfId="19528" xr:uid="{00000000-0005-0000-0000-0000BE4E0000}"/>
    <cellStyle name="Normal 220" xfId="19529" xr:uid="{00000000-0005-0000-0000-0000BF4E0000}"/>
    <cellStyle name="Normal 220 2" xfId="19530" xr:uid="{00000000-0005-0000-0000-0000C04E0000}"/>
    <cellStyle name="Normal 220 3" xfId="25255" xr:uid="{00000000-0005-0000-0000-0000C14E0000}"/>
    <cellStyle name="Normal 221" xfId="19531" xr:uid="{00000000-0005-0000-0000-0000C24E0000}"/>
    <cellStyle name="Normal 221 2" xfId="25256" xr:uid="{00000000-0005-0000-0000-0000C34E0000}"/>
    <cellStyle name="Normal 221 3" xfId="25257" xr:uid="{00000000-0005-0000-0000-0000C44E0000}"/>
    <cellStyle name="Normal 222" xfId="19532" xr:uid="{00000000-0005-0000-0000-0000C54E0000}"/>
    <cellStyle name="Normal 222 2" xfId="19533" xr:uid="{00000000-0005-0000-0000-0000C64E0000}"/>
    <cellStyle name="Normal 222 3" xfId="25258" xr:uid="{00000000-0005-0000-0000-0000C74E0000}"/>
    <cellStyle name="Normal 223" xfId="19534" xr:uid="{00000000-0005-0000-0000-0000C84E0000}"/>
    <cellStyle name="Normal 223 2" xfId="25259" xr:uid="{00000000-0005-0000-0000-0000C94E0000}"/>
    <cellStyle name="Normal 223 3" xfId="25260" xr:uid="{00000000-0005-0000-0000-0000CA4E0000}"/>
    <cellStyle name="Normal 224" xfId="19535" xr:uid="{00000000-0005-0000-0000-0000CB4E0000}"/>
    <cellStyle name="Normal 224 2" xfId="25261" xr:uid="{00000000-0005-0000-0000-0000CC4E0000}"/>
    <cellStyle name="Normal 224 3" xfId="25262" xr:uid="{00000000-0005-0000-0000-0000CD4E0000}"/>
    <cellStyle name="Normal 225" xfId="19536" xr:uid="{00000000-0005-0000-0000-0000CE4E0000}"/>
    <cellStyle name="Normal 225 2" xfId="25263" xr:uid="{00000000-0005-0000-0000-0000CF4E0000}"/>
    <cellStyle name="Normal 225 3" xfId="25264" xr:uid="{00000000-0005-0000-0000-0000D04E0000}"/>
    <cellStyle name="Normal 226" xfId="19537" xr:uid="{00000000-0005-0000-0000-0000D14E0000}"/>
    <cellStyle name="Normal 226 2" xfId="25265" xr:uid="{00000000-0005-0000-0000-0000D24E0000}"/>
    <cellStyle name="Normal 226 2 2" xfId="25266" xr:uid="{00000000-0005-0000-0000-0000D34E0000}"/>
    <cellStyle name="Normal 226 3" xfId="25267" xr:uid="{00000000-0005-0000-0000-0000D44E0000}"/>
    <cellStyle name="Normal 226 4" xfId="25268" xr:uid="{00000000-0005-0000-0000-0000D54E0000}"/>
    <cellStyle name="Normal 227" xfId="19538" xr:uid="{00000000-0005-0000-0000-0000D64E0000}"/>
    <cellStyle name="Normal 227 2" xfId="25269" xr:uid="{00000000-0005-0000-0000-0000D74E0000}"/>
    <cellStyle name="Normal 227 2 2" xfId="25270" xr:uid="{00000000-0005-0000-0000-0000D84E0000}"/>
    <cellStyle name="Normal 227 3" xfId="25271" xr:uid="{00000000-0005-0000-0000-0000D94E0000}"/>
    <cellStyle name="Normal 227 4" xfId="25272" xr:uid="{00000000-0005-0000-0000-0000DA4E0000}"/>
    <cellStyle name="Normal 228" xfId="19539" xr:uid="{00000000-0005-0000-0000-0000DB4E0000}"/>
    <cellStyle name="Normal 228 2" xfId="19540" xr:uid="{00000000-0005-0000-0000-0000DC4E0000}"/>
    <cellStyle name="Normal 228 3" xfId="25273" xr:uid="{00000000-0005-0000-0000-0000DD4E0000}"/>
    <cellStyle name="Normal 229" xfId="19541" xr:uid="{00000000-0005-0000-0000-0000DE4E0000}"/>
    <cellStyle name="Normal 229 2" xfId="19542" xr:uid="{00000000-0005-0000-0000-0000DF4E0000}"/>
    <cellStyle name="Normal 229 3" xfId="25274" xr:uid="{00000000-0005-0000-0000-0000E04E0000}"/>
    <cellStyle name="Normal 23" xfId="19543" xr:uid="{00000000-0005-0000-0000-0000E14E0000}"/>
    <cellStyle name="Normal 23 2" xfId="19544" xr:uid="{00000000-0005-0000-0000-0000E24E0000}"/>
    <cellStyle name="Normal 23 2 2" xfId="19545" xr:uid="{00000000-0005-0000-0000-0000E34E0000}"/>
    <cellStyle name="Normal 23 2 2 2" xfId="19546" xr:uid="{00000000-0005-0000-0000-0000E44E0000}"/>
    <cellStyle name="Normal 23 2 2 3" xfId="19547" xr:uid="{00000000-0005-0000-0000-0000E54E0000}"/>
    <cellStyle name="Normal 23 2 2 4" xfId="19548" xr:uid="{00000000-0005-0000-0000-0000E64E0000}"/>
    <cellStyle name="Normal 23 2 3" xfId="19549" xr:uid="{00000000-0005-0000-0000-0000E74E0000}"/>
    <cellStyle name="Normal 23 2 4" xfId="19550" xr:uid="{00000000-0005-0000-0000-0000E84E0000}"/>
    <cellStyle name="Normal 23 2 5" xfId="19551" xr:uid="{00000000-0005-0000-0000-0000E94E0000}"/>
    <cellStyle name="Normal 23 2 6" xfId="19552" xr:uid="{00000000-0005-0000-0000-0000EA4E0000}"/>
    <cellStyle name="Normal 23 3" xfId="19553" xr:uid="{00000000-0005-0000-0000-0000EB4E0000}"/>
    <cellStyle name="Normal 23 3 2" xfId="19554" xr:uid="{00000000-0005-0000-0000-0000EC4E0000}"/>
    <cellStyle name="Normal 23 3 3" xfId="19555" xr:uid="{00000000-0005-0000-0000-0000ED4E0000}"/>
    <cellStyle name="Normal 23 3 4" xfId="19556" xr:uid="{00000000-0005-0000-0000-0000EE4E0000}"/>
    <cellStyle name="Normal 23 4" xfId="19557" xr:uid="{00000000-0005-0000-0000-0000EF4E0000}"/>
    <cellStyle name="Normal 23 4 2" xfId="19558" xr:uid="{00000000-0005-0000-0000-0000F04E0000}"/>
    <cellStyle name="Normal 23 4 3" xfId="19559" xr:uid="{00000000-0005-0000-0000-0000F14E0000}"/>
    <cellStyle name="Normal 23 4 4" xfId="19560" xr:uid="{00000000-0005-0000-0000-0000F24E0000}"/>
    <cellStyle name="Normal 23 5" xfId="19561" xr:uid="{00000000-0005-0000-0000-0000F34E0000}"/>
    <cellStyle name="Normal 23 6" xfId="19562" xr:uid="{00000000-0005-0000-0000-0000F44E0000}"/>
    <cellStyle name="Normal 23 7" xfId="19563" xr:uid="{00000000-0005-0000-0000-0000F54E0000}"/>
    <cellStyle name="Normal 23_PAQUETE PARA COTIZAR" xfId="19564" xr:uid="{00000000-0005-0000-0000-0000F64E0000}"/>
    <cellStyle name="Normal 230" xfId="19565" xr:uid="{00000000-0005-0000-0000-0000F74E0000}"/>
    <cellStyle name="Normal 230 2" xfId="19566" xr:uid="{00000000-0005-0000-0000-0000F84E0000}"/>
    <cellStyle name="Normal 230 3" xfId="25275" xr:uid="{00000000-0005-0000-0000-0000F94E0000}"/>
    <cellStyle name="Normal 231" xfId="19567" xr:uid="{00000000-0005-0000-0000-0000FA4E0000}"/>
    <cellStyle name="Normal 231 2" xfId="19568" xr:uid="{00000000-0005-0000-0000-0000FB4E0000}"/>
    <cellStyle name="Normal 231 3" xfId="25276" xr:uid="{00000000-0005-0000-0000-0000FC4E0000}"/>
    <cellStyle name="Normal 232" xfId="19569" xr:uid="{00000000-0005-0000-0000-0000FD4E0000}"/>
    <cellStyle name="Normal 232 2" xfId="25277" xr:uid="{00000000-0005-0000-0000-0000FE4E0000}"/>
    <cellStyle name="Normal 232 3" xfId="25278" xr:uid="{00000000-0005-0000-0000-0000FF4E0000}"/>
    <cellStyle name="Normal 233" xfId="19570" xr:uid="{00000000-0005-0000-0000-0000004F0000}"/>
    <cellStyle name="Normal 233 2" xfId="25279" xr:uid="{00000000-0005-0000-0000-0000014F0000}"/>
    <cellStyle name="Normal 233 3" xfId="25280" xr:uid="{00000000-0005-0000-0000-0000024F0000}"/>
    <cellStyle name="Normal 234" xfId="19571" xr:uid="{00000000-0005-0000-0000-0000034F0000}"/>
    <cellStyle name="Normal 234 2" xfId="19572" xr:uid="{00000000-0005-0000-0000-0000044F0000}"/>
    <cellStyle name="Normal 234 3" xfId="25281" xr:uid="{00000000-0005-0000-0000-0000054F0000}"/>
    <cellStyle name="Normal 235" xfId="19573" xr:uid="{00000000-0005-0000-0000-0000064F0000}"/>
    <cellStyle name="Normal 235 2" xfId="19574" xr:uid="{00000000-0005-0000-0000-0000074F0000}"/>
    <cellStyle name="Normal 235 3" xfId="25282" xr:uid="{00000000-0005-0000-0000-0000084F0000}"/>
    <cellStyle name="Normal 236" xfId="19575" xr:uid="{00000000-0005-0000-0000-0000094F0000}"/>
    <cellStyle name="Normal 236 2" xfId="19576" xr:uid="{00000000-0005-0000-0000-00000A4F0000}"/>
    <cellStyle name="Normal 236 3" xfId="25283" xr:uid="{00000000-0005-0000-0000-00000B4F0000}"/>
    <cellStyle name="Normal 237" xfId="19577" xr:uid="{00000000-0005-0000-0000-00000C4F0000}"/>
    <cellStyle name="Normal 237 2" xfId="19578" xr:uid="{00000000-0005-0000-0000-00000D4F0000}"/>
    <cellStyle name="Normal 237 3" xfId="25284" xr:uid="{00000000-0005-0000-0000-00000E4F0000}"/>
    <cellStyle name="Normal 238" xfId="19579" xr:uid="{00000000-0005-0000-0000-00000F4F0000}"/>
    <cellStyle name="Normal 238 2" xfId="19580" xr:uid="{00000000-0005-0000-0000-0000104F0000}"/>
    <cellStyle name="Normal 238 3" xfId="25285" xr:uid="{00000000-0005-0000-0000-0000114F0000}"/>
    <cellStyle name="Normal 239" xfId="19581" xr:uid="{00000000-0005-0000-0000-0000124F0000}"/>
    <cellStyle name="Normal 239 2" xfId="19582" xr:uid="{00000000-0005-0000-0000-0000134F0000}"/>
    <cellStyle name="Normal 239 3" xfId="25286" xr:uid="{00000000-0005-0000-0000-0000144F0000}"/>
    <cellStyle name="Normal 24" xfId="19583" xr:uid="{00000000-0005-0000-0000-0000154F0000}"/>
    <cellStyle name="Normal 24 10" xfId="19584" xr:uid="{00000000-0005-0000-0000-0000164F0000}"/>
    <cellStyle name="Normal 24 11" xfId="19585" xr:uid="{00000000-0005-0000-0000-0000174F0000}"/>
    <cellStyle name="Normal 24 12" xfId="19586" xr:uid="{00000000-0005-0000-0000-0000184F0000}"/>
    <cellStyle name="Normal 24 2" xfId="19587" xr:uid="{00000000-0005-0000-0000-0000194F0000}"/>
    <cellStyle name="Normal 24 2 2" xfId="19588" xr:uid="{00000000-0005-0000-0000-00001A4F0000}"/>
    <cellStyle name="Normal 24 2 2 2" xfId="19589" xr:uid="{00000000-0005-0000-0000-00001B4F0000}"/>
    <cellStyle name="Normal 24 2 2 2 2" xfId="19590" xr:uid="{00000000-0005-0000-0000-00001C4F0000}"/>
    <cellStyle name="Normal 24 2 2 3" xfId="19591" xr:uid="{00000000-0005-0000-0000-00001D4F0000}"/>
    <cellStyle name="Normal 24 2 2 4" xfId="19592" xr:uid="{00000000-0005-0000-0000-00001E4F0000}"/>
    <cellStyle name="Normal 24 2 2 5" xfId="19593" xr:uid="{00000000-0005-0000-0000-00001F4F0000}"/>
    <cellStyle name="Normal 24 2 3" xfId="19594" xr:uid="{00000000-0005-0000-0000-0000204F0000}"/>
    <cellStyle name="Normal 24 2 3 2" xfId="19595" xr:uid="{00000000-0005-0000-0000-0000214F0000}"/>
    <cellStyle name="Normal 24 2 3 3" xfId="19596" xr:uid="{00000000-0005-0000-0000-0000224F0000}"/>
    <cellStyle name="Normal 24 2 3 4" xfId="19597" xr:uid="{00000000-0005-0000-0000-0000234F0000}"/>
    <cellStyle name="Normal 24 2 3 5" xfId="19598" xr:uid="{00000000-0005-0000-0000-0000244F0000}"/>
    <cellStyle name="Normal 24 2 4" xfId="19599" xr:uid="{00000000-0005-0000-0000-0000254F0000}"/>
    <cellStyle name="Normal 24 2 5" xfId="19600" xr:uid="{00000000-0005-0000-0000-0000264F0000}"/>
    <cellStyle name="Normal 24 2 6" xfId="19601" xr:uid="{00000000-0005-0000-0000-0000274F0000}"/>
    <cellStyle name="Normal 24 3" xfId="19602" xr:uid="{00000000-0005-0000-0000-0000284F0000}"/>
    <cellStyle name="Normal 24 3 2" xfId="19603" xr:uid="{00000000-0005-0000-0000-0000294F0000}"/>
    <cellStyle name="Normal 24 3 3" xfId="19604" xr:uid="{00000000-0005-0000-0000-00002A4F0000}"/>
    <cellStyle name="Normal 24 3 4" xfId="19605" xr:uid="{00000000-0005-0000-0000-00002B4F0000}"/>
    <cellStyle name="Normal 24 3 5" xfId="19606" xr:uid="{00000000-0005-0000-0000-00002C4F0000}"/>
    <cellStyle name="Normal 24 4" xfId="19607" xr:uid="{00000000-0005-0000-0000-00002D4F0000}"/>
    <cellStyle name="Normal 24 4 2" xfId="19608" xr:uid="{00000000-0005-0000-0000-00002E4F0000}"/>
    <cellStyle name="Normal 24 4 3" xfId="19609" xr:uid="{00000000-0005-0000-0000-00002F4F0000}"/>
    <cellStyle name="Normal 24 4 4" xfId="19610" xr:uid="{00000000-0005-0000-0000-0000304F0000}"/>
    <cellStyle name="Normal 24 4 5" xfId="19611" xr:uid="{00000000-0005-0000-0000-0000314F0000}"/>
    <cellStyle name="Normal 24 5" xfId="19612" xr:uid="{00000000-0005-0000-0000-0000324F0000}"/>
    <cellStyle name="Normal 24 6" xfId="19613" xr:uid="{00000000-0005-0000-0000-0000334F0000}"/>
    <cellStyle name="Normal 24 6 2" xfId="19614" xr:uid="{00000000-0005-0000-0000-0000344F0000}"/>
    <cellStyle name="Normal 24 7" xfId="19615" xr:uid="{00000000-0005-0000-0000-0000354F0000}"/>
    <cellStyle name="Normal 24 8" xfId="19616" xr:uid="{00000000-0005-0000-0000-0000364F0000}"/>
    <cellStyle name="Normal 24 9" xfId="19617" xr:uid="{00000000-0005-0000-0000-0000374F0000}"/>
    <cellStyle name="Normal 240" xfId="19618" xr:uid="{00000000-0005-0000-0000-0000384F0000}"/>
    <cellStyle name="Normal 240 2" xfId="19619" xr:uid="{00000000-0005-0000-0000-0000394F0000}"/>
    <cellStyle name="Normal 240 3" xfId="25287" xr:uid="{00000000-0005-0000-0000-00003A4F0000}"/>
    <cellStyle name="Normal 241" xfId="19620" xr:uid="{00000000-0005-0000-0000-00003B4F0000}"/>
    <cellStyle name="Normal 241 2" xfId="19621" xr:uid="{00000000-0005-0000-0000-00003C4F0000}"/>
    <cellStyle name="Normal 241 3" xfId="25288" xr:uid="{00000000-0005-0000-0000-00003D4F0000}"/>
    <cellStyle name="Normal 242" xfId="19622" xr:uid="{00000000-0005-0000-0000-00003E4F0000}"/>
    <cellStyle name="Normal 242 2" xfId="19623" xr:uid="{00000000-0005-0000-0000-00003F4F0000}"/>
    <cellStyle name="Normal 242 3" xfId="25289" xr:uid="{00000000-0005-0000-0000-0000404F0000}"/>
    <cellStyle name="Normal 243" xfId="19624" xr:uid="{00000000-0005-0000-0000-0000414F0000}"/>
    <cellStyle name="Normal 243 2" xfId="19625" xr:uid="{00000000-0005-0000-0000-0000424F0000}"/>
    <cellStyle name="Normal 243 3" xfId="25290" xr:uid="{00000000-0005-0000-0000-0000434F0000}"/>
    <cellStyle name="Normal 244" xfId="19626" xr:uid="{00000000-0005-0000-0000-0000444F0000}"/>
    <cellStyle name="Normal 244 2" xfId="19627" xr:uid="{00000000-0005-0000-0000-0000454F0000}"/>
    <cellStyle name="Normal 244 3" xfId="25291" xr:uid="{00000000-0005-0000-0000-0000464F0000}"/>
    <cellStyle name="Normal 245" xfId="19628" xr:uid="{00000000-0005-0000-0000-0000474F0000}"/>
    <cellStyle name="Normal 245 2" xfId="25292" xr:uid="{00000000-0005-0000-0000-0000484F0000}"/>
    <cellStyle name="Normal 245 3" xfId="25293" xr:uid="{00000000-0005-0000-0000-0000494F0000}"/>
    <cellStyle name="Normal 246" xfId="19629" xr:uid="{00000000-0005-0000-0000-00004A4F0000}"/>
    <cellStyle name="Normal 246 2" xfId="25294" xr:uid="{00000000-0005-0000-0000-00004B4F0000}"/>
    <cellStyle name="Normal 246 3" xfId="25295" xr:uid="{00000000-0005-0000-0000-00004C4F0000}"/>
    <cellStyle name="Normal 247" xfId="19630" xr:uid="{00000000-0005-0000-0000-00004D4F0000}"/>
    <cellStyle name="Normal 247 2" xfId="25296" xr:uid="{00000000-0005-0000-0000-00004E4F0000}"/>
    <cellStyle name="Normal 247 3" xfId="25297" xr:uid="{00000000-0005-0000-0000-00004F4F0000}"/>
    <cellStyle name="Normal 248" xfId="19631" xr:uid="{00000000-0005-0000-0000-0000504F0000}"/>
    <cellStyle name="Normal 248 2" xfId="25298" xr:uid="{00000000-0005-0000-0000-0000514F0000}"/>
    <cellStyle name="Normal 249" xfId="19632" xr:uid="{00000000-0005-0000-0000-0000524F0000}"/>
    <cellStyle name="Normal 249 2" xfId="25299" xr:uid="{00000000-0005-0000-0000-0000534F0000}"/>
    <cellStyle name="Normal 25" xfId="19633" xr:uid="{00000000-0005-0000-0000-0000544F0000}"/>
    <cellStyle name="Normal 25 2" xfId="19634" xr:uid="{00000000-0005-0000-0000-0000554F0000}"/>
    <cellStyle name="Normal 25 2 2" xfId="19635" xr:uid="{00000000-0005-0000-0000-0000564F0000}"/>
    <cellStyle name="Normal 25 2 2 2" xfId="19636" xr:uid="{00000000-0005-0000-0000-0000574F0000}"/>
    <cellStyle name="Normal 25 2 2 3" xfId="19637" xr:uid="{00000000-0005-0000-0000-0000584F0000}"/>
    <cellStyle name="Normal 25 2 2 4" xfId="19638" xr:uid="{00000000-0005-0000-0000-0000594F0000}"/>
    <cellStyle name="Normal 25 2 3" xfId="19639" xr:uid="{00000000-0005-0000-0000-00005A4F0000}"/>
    <cellStyle name="Normal 25 2 4" xfId="19640" xr:uid="{00000000-0005-0000-0000-00005B4F0000}"/>
    <cellStyle name="Normal 25 2 5" xfId="19641" xr:uid="{00000000-0005-0000-0000-00005C4F0000}"/>
    <cellStyle name="Normal 25 2 6" xfId="19642" xr:uid="{00000000-0005-0000-0000-00005D4F0000}"/>
    <cellStyle name="Normal 25 3" xfId="19643" xr:uid="{00000000-0005-0000-0000-00005E4F0000}"/>
    <cellStyle name="Normal 25 3 2" xfId="19644" xr:uid="{00000000-0005-0000-0000-00005F4F0000}"/>
    <cellStyle name="Normal 25 3 3" xfId="19645" xr:uid="{00000000-0005-0000-0000-0000604F0000}"/>
    <cellStyle name="Normal 25 3 4" xfId="19646" xr:uid="{00000000-0005-0000-0000-0000614F0000}"/>
    <cellStyle name="Normal 25 4" xfId="19647" xr:uid="{00000000-0005-0000-0000-0000624F0000}"/>
    <cellStyle name="Normal 25 4 2" xfId="19648" xr:uid="{00000000-0005-0000-0000-0000634F0000}"/>
    <cellStyle name="Normal 25 4 3" xfId="19649" xr:uid="{00000000-0005-0000-0000-0000644F0000}"/>
    <cellStyle name="Normal 25 4 4" xfId="19650" xr:uid="{00000000-0005-0000-0000-0000654F0000}"/>
    <cellStyle name="Normal 25 5" xfId="19651" xr:uid="{00000000-0005-0000-0000-0000664F0000}"/>
    <cellStyle name="Normal 25 6" xfId="19652" xr:uid="{00000000-0005-0000-0000-0000674F0000}"/>
    <cellStyle name="Normal 25 7" xfId="19653" xr:uid="{00000000-0005-0000-0000-0000684F0000}"/>
    <cellStyle name="Normal 25 8" xfId="19654" xr:uid="{00000000-0005-0000-0000-0000694F0000}"/>
    <cellStyle name="Normal 25_SUBARTICO ADD-DEL" xfId="19655" xr:uid="{00000000-0005-0000-0000-00006A4F0000}"/>
    <cellStyle name="Normal 250" xfId="19656" xr:uid="{00000000-0005-0000-0000-00006B4F0000}"/>
    <cellStyle name="Normal 250 2" xfId="25300" xr:uid="{00000000-0005-0000-0000-00006C4F0000}"/>
    <cellStyle name="Normal 251" xfId="19657" xr:uid="{00000000-0005-0000-0000-00006D4F0000}"/>
    <cellStyle name="Normal 252" xfId="19658" xr:uid="{00000000-0005-0000-0000-00006E4F0000}"/>
    <cellStyle name="Normal 253" xfId="19659" xr:uid="{00000000-0005-0000-0000-00006F4F0000}"/>
    <cellStyle name="Normal 254" xfId="19660" xr:uid="{00000000-0005-0000-0000-0000704F0000}"/>
    <cellStyle name="Normal 255" xfId="19661" xr:uid="{00000000-0005-0000-0000-0000714F0000}"/>
    <cellStyle name="Normal 256" xfId="19662" xr:uid="{00000000-0005-0000-0000-0000724F0000}"/>
    <cellStyle name="Normal 257" xfId="19663" xr:uid="{00000000-0005-0000-0000-0000734F0000}"/>
    <cellStyle name="Normal 258" xfId="19664" xr:uid="{00000000-0005-0000-0000-0000744F0000}"/>
    <cellStyle name="Normal 259" xfId="19665" xr:uid="{00000000-0005-0000-0000-0000754F0000}"/>
    <cellStyle name="Normal 26" xfId="19666" xr:uid="{00000000-0005-0000-0000-0000764F0000}"/>
    <cellStyle name="Normal 26 2" xfId="19667" xr:uid="{00000000-0005-0000-0000-0000774F0000}"/>
    <cellStyle name="Normal 26 2 2" xfId="19668" xr:uid="{00000000-0005-0000-0000-0000784F0000}"/>
    <cellStyle name="Normal 26 2 2 2" xfId="19669" xr:uid="{00000000-0005-0000-0000-0000794F0000}"/>
    <cellStyle name="Normal 26 2 2 3" xfId="19670" xr:uid="{00000000-0005-0000-0000-00007A4F0000}"/>
    <cellStyle name="Normal 26 2 2 4" xfId="19671" xr:uid="{00000000-0005-0000-0000-00007B4F0000}"/>
    <cellStyle name="Normal 26 2 3" xfId="19672" xr:uid="{00000000-0005-0000-0000-00007C4F0000}"/>
    <cellStyle name="Normal 26 2 4" xfId="19673" xr:uid="{00000000-0005-0000-0000-00007D4F0000}"/>
    <cellStyle name="Normal 26 2 5" xfId="19674" xr:uid="{00000000-0005-0000-0000-00007E4F0000}"/>
    <cellStyle name="Normal 26 2 6" xfId="19675" xr:uid="{00000000-0005-0000-0000-00007F4F0000}"/>
    <cellStyle name="Normal 26 3" xfId="19676" xr:uid="{00000000-0005-0000-0000-0000804F0000}"/>
    <cellStyle name="Normal 26 3 2" xfId="19677" xr:uid="{00000000-0005-0000-0000-0000814F0000}"/>
    <cellStyle name="Normal 26 3 3" xfId="19678" xr:uid="{00000000-0005-0000-0000-0000824F0000}"/>
    <cellStyle name="Normal 26 3 4" xfId="19679" xr:uid="{00000000-0005-0000-0000-0000834F0000}"/>
    <cellStyle name="Normal 26 4" xfId="19680" xr:uid="{00000000-0005-0000-0000-0000844F0000}"/>
    <cellStyle name="Normal 26 4 2" xfId="19681" xr:uid="{00000000-0005-0000-0000-0000854F0000}"/>
    <cellStyle name="Normal 26 4 3" xfId="19682" xr:uid="{00000000-0005-0000-0000-0000864F0000}"/>
    <cellStyle name="Normal 26 4 4" xfId="19683" xr:uid="{00000000-0005-0000-0000-0000874F0000}"/>
    <cellStyle name="Normal 26 5" xfId="19684" xr:uid="{00000000-0005-0000-0000-0000884F0000}"/>
    <cellStyle name="Normal 26 6" xfId="19685" xr:uid="{00000000-0005-0000-0000-0000894F0000}"/>
    <cellStyle name="Normal 26 7" xfId="19686" xr:uid="{00000000-0005-0000-0000-00008A4F0000}"/>
    <cellStyle name="Normal 26_SUBARTICO ADD-DEL" xfId="19687" xr:uid="{00000000-0005-0000-0000-00008B4F0000}"/>
    <cellStyle name="Normal 260" xfId="19688" xr:uid="{00000000-0005-0000-0000-00008C4F0000}"/>
    <cellStyle name="Normal 261" xfId="19689" xr:uid="{00000000-0005-0000-0000-00008D4F0000}"/>
    <cellStyle name="Normal 262" xfId="19690" xr:uid="{00000000-0005-0000-0000-00008E4F0000}"/>
    <cellStyle name="Normal 263" xfId="19691" xr:uid="{00000000-0005-0000-0000-00008F4F0000}"/>
    <cellStyle name="Normal 264" xfId="19692" xr:uid="{00000000-0005-0000-0000-0000904F0000}"/>
    <cellStyle name="Normal 265" xfId="19693" xr:uid="{00000000-0005-0000-0000-0000914F0000}"/>
    <cellStyle name="Normal 266" xfId="19694" xr:uid="{00000000-0005-0000-0000-0000924F0000}"/>
    <cellStyle name="Normal 267" xfId="19695" xr:uid="{00000000-0005-0000-0000-0000934F0000}"/>
    <cellStyle name="Normal 268" xfId="19696" xr:uid="{00000000-0005-0000-0000-0000944F0000}"/>
    <cellStyle name="Normal 269" xfId="19697" xr:uid="{00000000-0005-0000-0000-0000954F0000}"/>
    <cellStyle name="Normal 27" xfId="19698" xr:uid="{00000000-0005-0000-0000-0000964F0000}"/>
    <cellStyle name="Normal 27 2" xfId="19699" xr:uid="{00000000-0005-0000-0000-0000974F0000}"/>
    <cellStyle name="Normal 27 2 2" xfId="19700" xr:uid="{00000000-0005-0000-0000-0000984F0000}"/>
    <cellStyle name="Normal 27 2 2 2" xfId="19701" xr:uid="{00000000-0005-0000-0000-0000994F0000}"/>
    <cellStyle name="Normal 27 2 2 3" xfId="19702" xr:uid="{00000000-0005-0000-0000-00009A4F0000}"/>
    <cellStyle name="Normal 27 2 2 4" xfId="19703" xr:uid="{00000000-0005-0000-0000-00009B4F0000}"/>
    <cellStyle name="Normal 27 2 3" xfId="19704" xr:uid="{00000000-0005-0000-0000-00009C4F0000}"/>
    <cellStyle name="Normal 27 2 4" xfId="19705" xr:uid="{00000000-0005-0000-0000-00009D4F0000}"/>
    <cellStyle name="Normal 27 2 5" xfId="19706" xr:uid="{00000000-0005-0000-0000-00009E4F0000}"/>
    <cellStyle name="Normal 27 2 6" xfId="19707" xr:uid="{00000000-0005-0000-0000-00009F4F0000}"/>
    <cellStyle name="Normal 27 3" xfId="19708" xr:uid="{00000000-0005-0000-0000-0000A04F0000}"/>
    <cellStyle name="Normal 27 3 2" xfId="19709" xr:uid="{00000000-0005-0000-0000-0000A14F0000}"/>
    <cellStyle name="Normal 27 3 3" xfId="19710" xr:uid="{00000000-0005-0000-0000-0000A24F0000}"/>
    <cellStyle name="Normal 27 3 4" xfId="19711" xr:uid="{00000000-0005-0000-0000-0000A34F0000}"/>
    <cellStyle name="Normal 27 4" xfId="19712" xr:uid="{00000000-0005-0000-0000-0000A44F0000}"/>
    <cellStyle name="Normal 27 4 2" xfId="19713" xr:uid="{00000000-0005-0000-0000-0000A54F0000}"/>
    <cellStyle name="Normal 27 4 3" xfId="19714" xr:uid="{00000000-0005-0000-0000-0000A64F0000}"/>
    <cellStyle name="Normal 27 4 4" xfId="19715" xr:uid="{00000000-0005-0000-0000-0000A74F0000}"/>
    <cellStyle name="Normal 27 5" xfId="19716" xr:uid="{00000000-0005-0000-0000-0000A84F0000}"/>
    <cellStyle name="Normal 27 6" xfId="19717" xr:uid="{00000000-0005-0000-0000-0000A94F0000}"/>
    <cellStyle name="Normal 27 7" xfId="19718" xr:uid="{00000000-0005-0000-0000-0000AA4F0000}"/>
    <cellStyle name="Normal 27_PAQUETE PARA COTIZAR" xfId="19719" xr:uid="{00000000-0005-0000-0000-0000AB4F0000}"/>
    <cellStyle name="Normal 270" xfId="19720" xr:uid="{00000000-0005-0000-0000-0000AC4F0000}"/>
    <cellStyle name="Normal 271" xfId="19721" xr:uid="{00000000-0005-0000-0000-0000AD4F0000}"/>
    <cellStyle name="Normal 272" xfId="19722" xr:uid="{00000000-0005-0000-0000-0000AE4F0000}"/>
    <cellStyle name="Normal 273" xfId="19723" xr:uid="{00000000-0005-0000-0000-0000AF4F0000}"/>
    <cellStyle name="Normal 274" xfId="19724" xr:uid="{00000000-0005-0000-0000-0000B04F0000}"/>
    <cellStyle name="Normal 275" xfId="19725" xr:uid="{00000000-0005-0000-0000-0000B14F0000}"/>
    <cellStyle name="Normal 276" xfId="19726" xr:uid="{00000000-0005-0000-0000-0000B24F0000}"/>
    <cellStyle name="Normal 277" xfId="19727" xr:uid="{00000000-0005-0000-0000-0000B34F0000}"/>
    <cellStyle name="Normal 278" xfId="19728" xr:uid="{00000000-0005-0000-0000-0000B44F0000}"/>
    <cellStyle name="Normal 279" xfId="19729" xr:uid="{00000000-0005-0000-0000-0000B54F0000}"/>
    <cellStyle name="Normal 28" xfId="19730" xr:uid="{00000000-0005-0000-0000-0000B64F0000}"/>
    <cellStyle name="Normal 28 2" xfId="19731" xr:uid="{00000000-0005-0000-0000-0000B74F0000}"/>
    <cellStyle name="Normal 28 2 2" xfId="19732" xr:uid="{00000000-0005-0000-0000-0000B84F0000}"/>
    <cellStyle name="Normal 28 2 3" xfId="19733" xr:uid="{00000000-0005-0000-0000-0000B94F0000}"/>
    <cellStyle name="Normal 28 2 4" xfId="19734" xr:uid="{00000000-0005-0000-0000-0000BA4F0000}"/>
    <cellStyle name="Normal 28 3" xfId="19735" xr:uid="{00000000-0005-0000-0000-0000BB4F0000}"/>
    <cellStyle name="Normal 28 3 2" xfId="19736" xr:uid="{00000000-0005-0000-0000-0000BC4F0000}"/>
    <cellStyle name="Normal 28 3 3" xfId="19737" xr:uid="{00000000-0005-0000-0000-0000BD4F0000}"/>
    <cellStyle name="Normal 28 3 4" xfId="19738" xr:uid="{00000000-0005-0000-0000-0000BE4F0000}"/>
    <cellStyle name="Normal 28 4" xfId="19739" xr:uid="{00000000-0005-0000-0000-0000BF4F0000}"/>
    <cellStyle name="Normal 28 5" xfId="19740" xr:uid="{00000000-0005-0000-0000-0000C04F0000}"/>
    <cellStyle name="Normal 28 6" xfId="19741" xr:uid="{00000000-0005-0000-0000-0000C14F0000}"/>
    <cellStyle name="Normal 28 7" xfId="19742" xr:uid="{00000000-0005-0000-0000-0000C24F0000}"/>
    <cellStyle name="Normal 280" xfId="19743" xr:uid="{00000000-0005-0000-0000-0000C34F0000}"/>
    <cellStyle name="Normal 281" xfId="19744" xr:uid="{00000000-0005-0000-0000-0000C44F0000}"/>
    <cellStyle name="Normal 282" xfId="19745" xr:uid="{00000000-0005-0000-0000-0000C54F0000}"/>
    <cellStyle name="Normal 283" xfId="19746" xr:uid="{00000000-0005-0000-0000-0000C64F0000}"/>
    <cellStyle name="Normal 284" xfId="19747" xr:uid="{00000000-0005-0000-0000-0000C74F0000}"/>
    <cellStyle name="Normal 285" xfId="19748" xr:uid="{00000000-0005-0000-0000-0000C84F0000}"/>
    <cellStyle name="Normal 286" xfId="19749" xr:uid="{00000000-0005-0000-0000-0000C94F0000}"/>
    <cellStyle name="Normal 286 2" xfId="25871" xr:uid="{00000000-0005-0000-0000-0000CA4F0000}"/>
    <cellStyle name="Normal 287" xfId="24626" xr:uid="{00000000-0005-0000-0000-0000CB4F0000}"/>
    <cellStyle name="Normal 287 2" xfId="25869" xr:uid="{00000000-0005-0000-0000-0000CC4F0000}"/>
    <cellStyle name="Normal 29" xfId="19750" xr:uid="{00000000-0005-0000-0000-0000CD4F0000}"/>
    <cellStyle name="Normal 29 2" xfId="19751" xr:uid="{00000000-0005-0000-0000-0000CE4F0000}"/>
    <cellStyle name="Normal 29 2 2" xfId="19752" xr:uid="{00000000-0005-0000-0000-0000CF4F0000}"/>
    <cellStyle name="Normal 29 2 3" xfId="19753" xr:uid="{00000000-0005-0000-0000-0000D04F0000}"/>
    <cellStyle name="Normal 29 2 4" xfId="19754" xr:uid="{00000000-0005-0000-0000-0000D14F0000}"/>
    <cellStyle name="Normal 29 3" xfId="19755" xr:uid="{00000000-0005-0000-0000-0000D24F0000}"/>
    <cellStyle name="Normal 29 3 2" xfId="19756" xr:uid="{00000000-0005-0000-0000-0000D34F0000}"/>
    <cellStyle name="Normal 29 3 3" xfId="19757" xr:uid="{00000000-0005-0000-0000-0000D44F0000}"/>
    <cellStyle name="Normal 29 3 4" xfId="19758" xr:uid="{00000000-0005-0000-0000-0000D54F0000}"/>
    <cellStyle name="Normal 29 4" xfId="19759" xr:uid="{00000000-0005-0000-0000-0000D64F0000}"/>
    <cellStyle name="Normal 29 5" xfId="19760" xr:uid="{00000000-0005-0000-0000-0000D74F0000}"/>
    <cellStyle name="Normal 29 6" xfId="19761" xr:uid="{00000000-0005-0000-0000-0000D84F0000}"/>
    <cellStyle name="Normal 29 7" xfId="19762" xr:uid="{00000000-0005-0000-0000-0000D94F0000}"/>
    <cellStyle name="Normal 3" xfId="19763" xr:uid="{00000000-0005-0000-0000-0000DA4F0000}"/>
    <cellStyle name="Normal 3 10" xfId="19764" xr:uid="{00000000-0005-0000-0000-0000DB4F0000}"/>
    <cellStyle name="Normal 3 10 2" xfId="19765" xr:uid="{00000000-0005-0000-0000-0000DC4F0000}"/>
    <cellStyle name="Normal 3 11" xfId="19766" xr:uid="{00000000-0005-0000-0000-0000DD4F0000}"/>
    <cellStyle name="Normal 3 11 2" xfId="19767" xr:uid="{00000000-0005-0000-0000-0000DE4F0000}"/>
    <cellStyle name="Normal 3 12" xfId="19768" xr:uid="{00000000-0005-0000-0000-0000DF4F0000}"/>
    <cellStyle name="Normal 3 12 2" xfId="19769" xr:uid="{00000000-0005-0000-0000-0000E04F0000}"/>
    <cellStyle name="Normal 3 13" xfId="19770" xr:uid="{00000000-0005-0000-0000-0000E14F0000}"/>
    <cellStyle name="Normal 3 14" xfId="19771" xr:uid="{00000000-0005-0000-0000-0000E24F0000}"/>
    <cellStyle name="Normal 3 15" xfId="19772" xr:uid="{00000000-0005-0000-0000-0000E34F0000}"/>
    <cellStyle name="Normal 3 2" xfId="19773" xr:uid="{00000000-0005-0000-0000-0000E44F0000}"/>
    <cellStyle name="Normal 3 2 2" xfId="19774" xr:uid="{00000000-0005-0000-0000-0000E54F0000}"/>
    <cellStyle name="Normal 3 2 2 2" xfId="25301" xr:uid="{00000000-0005-0000-0000-0000E64F0000}"/>
    <cellStyle name="Normal 3 2 2 3" xfId="25302" xr:uid="{00000000-0005-0000-0000-0000E74F0000}"/>
    <cellStyle name="Normal 3 2 2 4" xfId="25303" xr:uid="{00000000-0005-0000-0000-0000E84F0000}"/>
    <cellStyle name="Normal 3 2 3" xfId="25304" xr:uid="{00000000-0005-0000-0000-0000E94F0000}"/>
    <cellStyle name="Normal 3 2 3 2" xfId="25305" xr:uid="{00000000-0005-0000-0000-0000EA4F0000}"/>
    <cellStyle name="Normal 3 2 3 3" xfId="25306" xr:uid="{00000000-0005-0000-0000-0000EB4F0000}"/>
    <cellStyle name="Normal 3 2 4" xfId="25307" xr:uid="{00000000-0005-0000-0000-0000EC4F0000}"/>
    <cellStyle name="Normal 3 2 5" xfId="25308" xr:uid="{00000000-0005-0000-0000-0000ED4F0000}"/>
    <cellStyle name="Normal 3 3" xfId="19775" xr:uid="{00000000-0005-0000-0000-0000EE4F0000}"/>
    <cellStyle name="Normal 3 3 2" xfId="19776" xr:uid="{00000000-0005-0000-0000-0000EF4F0000}"/>
    <cellStyle name="Normal 3 3 2 2" xfId="19777" xr:uid="{00000000-0005-0000-0000-0000F04F0000}"/>
    <cellStyle name="Normal 3 3 2 3" xfId="25309" xr:uid="{00000000-0005-0000-0000-0000F14F0000}"/>
    <cellStyle name="Normal 3 3 3" xfId="19778" xr:uid="{00000000-0005-0000-0000-0000F24F0000}"/>
    <cellStyle name="Normal 3 3 4" xfId="19779" xr:uid="{00000000-0005-0000-0000-0000F34F0000}"/>
    <cellStyle name="Normal 3 3 5" xfId="19780" xr:uid="{00000000-0005-0000-0000-0000F44F0000}"/>
    <cellStyle name="Normal 3 4" xfId="19781" xr:uid="{00000000-0005-0000-0000-0000F54F0000}"/>
    <cellStyle name="Normal 3 4 2" xfId="19782" xr:uid="{00000000-0005-0000-0000-0000F64F0000}"/>
    <cellStyle name="Normal 3 4 2 2" xfId="25310" xr:uid="{00000000-0005-0000-0000-0000F74F0000}"/>
    <cellStyle name="Normal 3 4 2 3" xfId="25311" xr:uid="{00000000-0005-0000-0000-0000F84F0000}"/>
    <cellStyle name="Normal 3 4 3" xfId="19783" xr:uid="{00000000-0005-0000-0000-0000F94F0000}"/>
    <cellStyle name="Normal 3 4 4" xfId="19784" xr:uid="{00000000-0005-0000-0000-0000FA4F0000}"/>
    <cellStyle name="Normal 3 5" xfId="19785" xr:uid="{00000000-0005-0000-0000-0000FB4F0000}"/>
    <cellStyle name="Normal 3 5 2" xfId="19786" xr:uid="{00000000-0005-0000-0000-0000FC4F0000}"/>
    <cellStyle name="Normal 3 5 2 2" xfId="25312" xr:uid="{00000000-0005-0000-0000-0000FD4F0000}"/>
    <cellStyle name="Normal 3 5 2 3" xfId="25313" xr:uid="{00000000-0005-0000-0000-0000FE4F0000}"/>
    <cellStyle name="Normal 3 5 3" xfId="25314" xr:uid="{00000000-0005-0000-0000-0000FF4F0000}"/>
    <cellStyle name="Normal 3 5 4" xfId="25315" xr:uid="{00000000-0005-0000-0000-000000500000}"/>
    <cellStyle name="Normal 3 6" xfId="19787" xr:uid="{00000000-0005-0000-0000-000001500000}"/>
    <cellStyle name="Normal 3 6 2" xfId="19788" xr:uid="{00000000-0005-0000-0000-000002500000}"/>
    <cellStyle name="Normal 3 6 3" xfId="25316" xr:uid="{00000000-0005-0000-0000-000003500000}"/>
    <cellStyle name="Normal 3 7" xfId="19789" xr:uid="{00000000-0005-0000-0000-000004500000}"/>
    <cellStyle name="Normal 3 7 2" xfId="19790" xr:uid="{00000000-0005-0000-0000-000005500000}"/>
    <cellStyle name="Normal 3 7 3" xfId="25317" xr:uid="{00000000-0005-0000-0000-000006500000}"/>
    <cellStyle name="Normal 3 8" xfId="19791" xr:uid="{00000000-0005-0000-0000-000007500000}"/>
    <cellStyle name="Normal 3 8 2" xfId="19792" xr:uid="{00000000-0005-0000-0000-000008500000}"/>
    <cellStyle name="Normal 3 8 3" xfId="19793" xr:uid="{00000000-0005-0000-0000-000009500000}"/>
    <cellStyle name="Normal 3 8 4" xfId="19794" xr:uid="{00000000-0005-0000-0000-00000A500000}"/>
    <cellStyle name="Normal 3 8 5" xfId="19795" xr:uid="{00000000-0005-0000-0000-00000B500000}"/>
    <cellStyle name="Normal 3 9" xfId="19796" xr:uid="{00000000-0005-0000-0000-00000C500000}"/>
    <cellStyle name="Normal 3 9 2" xfId="19797" xr:uid="{00000000-0005-0000-0000-00000D500000}"/>
    <cellStyle name="Normal 3_CONCENTRATED QUOTE WLP623 071310" xfId="19798" xr:uid="{00000000-0005-0000-0000-00000E500000}"/>
    <cellStyle name="Normal 30" xfId="19799" xr:uid="{00000000-0005-0000-0000-00000F500000}"/>
    <cellStyle name="Normal 30 2" xfId="19800" xr:uid="{00000000-0005-0000-0000-000010500000}"/>
    <cellStyle name="Normal 30 2 2" xfId="19801" xr:uid="{00000000-0005-0000-0000-000011500000}"/>
    <cellStyle name="Normal 30 2 3" xfId="19802" xr:uid="{00000000-0005-0000-0000-000012500000}"/>
    <cellStyle name="Normal 30 2 4" xfId="19803" xr:uid="{00000000-0005-0000-0000-000013500000}"/>
    <cellStyle name="Normal 30 3" xfId="19804" xr:uid="{00000000-0005-0000-0000-000014500000}"/>
    <cellStyle name="Normal 30 3 2" xfId="19805" xr:uid="{00000000-0005-0000-0000-000015500000}"/>
    <cellStyle name="Normal 30 3 3" xfId="19806" xr:uid="{00000000-0005-0000-0000-000016500000}"/>
    <cellStyle name="Normal 30 3 4" xfId="19807" xr:uid="{00000000-0005-0000-0000-000017500000}"/>
    <cellStyle name="Normal 30 4" xfId="19808" xr:uid="{00000000-0005-0000-0000-000018500000}"/>
    <cellStyle name="Normal 30 5" xfId="19809" xr:uid="{00000000-0005-0000-0000-000019500000}"/>
    <cellStyle name="Normal 30 6" xfId="19810" xr:uid="{00000000-0005-0000-0000-00001A500000}"/>
    <cellStyle name="Normal 30 7" xfId="19811" xr:uid="{00000000-0005-0000-0000-00001B500000}"/>
    <cellStyle name="Normal 31" xfId="19812" xr:uid="{00000000-0005-0000-0000-00001C500000}"/>
    <cellStyle name="Normal 31 2" xfId="19813" xr:uid="{00000000-0005-0000-0000-00001D500000}"/>
    <cellStyle name="Normal 31 2 2" xfId="19814" xr:uid="{00000000-0005-0000-0000-00001E500000}"/>
    <cellStyle name="Normal 31 2 3" xfId="19815" xr:uid="{00000000-0005-0000-0000-00001F500000}"/>
    <cellStyle name="Normal 31 2 4" xfId="19816" xr:uid="{00000000-0005-0000-0000-000020500000}"/>
    <cellStyle name="Normal 31 3" xfId="19817" xr:uid="{00000000-0005-0000-0000-000021500000}"/>
    <cellStyle name="Normal 31 4" xfId="19818" xr:uid="{00000000-0005-0000-0000-000022500000}"/>
    <cellStyle name="Normal 31 5" xfId="19819" xr:uid="{00000000-0005-0000-0000-000023500000}"/>
    <cellStyle name="Normal 31 6" xfId="19820" xr:uid="{00000000-0005-0000-0000-000024500000}"/>
    <cellStyle name="Normal 31 7" xfId="19821" xr:uid="{00000000-0005-0000-0000-000025500000}"/>
    <cellStyle name="Normal 32" xfId="19822" xr:uid="{00000000-0005-0000-0000-000026500000}"/>
    <cellStyle name="Normal 32 2" xfId="19823" xr:uid="{00000000-0005-0000-0000-000027500000}"/>
    <cellStyle name="Normal 32 2 2" xfId="19824" xr:uid="{00000000-0005-0000-0000-000028500000}"/>
    <cellStyle name="Normal 32 2 3" xfId="19825" xr:uid="{00000000-0005-0000-0000-000029500000}"/>
    <cellStyle name="Normal 32 2 4" xfId="19826" xr:uid="{00000000-0005-0000-0000-00002A500000}"/>
    <cellStyle name="Normal 32 3" xfId="19827" xr:uid="{00000000-0005-0000-0000-00002B500000}"/>
    <cellStyle name="Normal 32 4" xfId="19828" xr:uid="{00000000-0005-0000-0000-00002C500000}"/>
    <cellStyle name="Normal 32 5" xfId="19829" xr:uid="{00000000-0005-0000-0000-00002D500000}"/>
    <cellStyle name="Normal 32 6" xfId="19830" xr:uid="{00000000-0005-0000-0000-00002E500000}"/>
    <cellStyle name="Normal 33" xfId="19831" xr:uid="{00000000-0005-0000-0000-00002F500000}"/>
    <cellStyle name="Normal 33 2" xfId="19832" xr:uid="{00000000-0005-0000-0000-000030500000}"/>
    <cellStyle name="Normal 33 2 2" xfId="19833" xr:uid="{00000000-0005-0000-0000-000031500000}"/>
    <cellStyle name="Normal 33 2 3" xfId="19834" xr:uid="{00000000-0005-0000-0000-000032500000}"/>
    <cellStyle name="Normal 33 2 4" xfId="19835" xr:uid="{00000000-0005-0000-0000-000033500000}"/>
    <cellStyle name="Normal 33 3" xfId="19836" xr:uid="{00000000-0005-0000-0000-000034500000}"/>
    <cellStyle name="Normal 33 4" xfId="19837" xr:uid="{00000000-0005-0000-0000-000035500000}"/>
    <cellStyle name="Normal 33 5" xfId="19838" xr:uid="{00000000-0005-0000-0000-000036500000}"/>
    <cellStyle name="Normal 34" xfId="19839" xr:uid="{00000000-0005-0000-0000-000037500000}"/>
    <cellStyle name="Normal 34 2" xfId="19840" xr:uid="{00000000-0005-0000-0000-000038500000}"/>
    <cellStyle name="Normal 34 2 2" xfId="19841" xr:uid="{00000000-0005-0000-0000-000039500000}"/>
    <cellStyle name="Normal 34 2 3" xfId="19842" xr:uid="{00000000-0005-0000-0000-00003A500000}"/>
    <cellStyle name="Normal 34 2 4" xfId="19843" xr:uid="{00000000-0005-0000-0000-00003B500000}"/>
    <cellStyle name="Normal 34 3" xfId="19844" xr:uid="{00000000-0005-0000-0000-00003C500000}"/>
    <cellStyle name="Normal 34 4" xfId="19845" xr:uid="{00000000-0005-0000-0000-00003D500000}"/>
    <cellStyle name="Normal 34 5" xfId="19846" xr:uid="{00000000-0005-0000-0000-00003E500000}"/>
    <cellStyle name="Normal 34 6" xfId="19847" xr:uid="{00000000-0005-0000-0000-00003F500000}"/>
    <cellStyle name="Normal 34 7" xfId="19848" xr:uid="{00000000-0005-0000-0000-000040500000}"/>
    <cellStyle name="Normal 35" xfId="19849" xr:uid="{00000000-0005-0000-0000-000041500000}"/>
    <cellStyle name="Normal 35 2" xfId="19850" xr:uid="{00000000-0005-0000-0000-000042500000}"/>
    <cellStyle name="Normal 35 2 2" xfId="19851" xr:uid="{00000000-0005-0000-0000-000043500000}"/>
    <cellStyle name="Normal 35 2 3" xfId="19852" xr:uid="{00000000-0005-0000-0000-000044500000}"/>
    <cellStyle name="Normal 35 2 4" xfId="19853" xr:uid="{00000000-0005-0000-0000-000045500000}"/>
    <cellStyle name="Normal 35 3" xfId="19854" xr:uid="{00000000-0005-0000-0000-000046500000}"/>
    <cellStyle name="Normal 35 4" xfId="19855" xr:uid="{00000000-0005-0000-0000-000047500000}"/>
    <cellStyle name="Normal 35 5" xfId="19856" xr:uid="{00000000-0005-0000-0000-000048500000}"/>
    <cellStyle name="Normal 35 6" xfId="19857" xr:uid="{00000000-0005-0000-0000-000049500000}"/>
    <cellStyle name="Normal 35 7" xfId="19858" xr:uid="{00000000-0005-0000-0000-00004A500000}"/>
    <cellStyle name="Normal 36" xfId="19859" xr:uid="{00000000-0005-0000-0000-00004B500000}"/>
    <cellStyle name="Normal 36 2" xfId="19860" xr:uid="{00000000-0005-0000-0000-00004C500000}"/>
    <cellStyle name="Normal 36 2 2" xfId="19861" xr:uid="{00000000-0005-0000-0000-00004D500000}"/>
    <cellStyle name="Normal 36 2 3" xfId="19862" xr:uid="{00000000-0005-0000-0000-00004E500000}"/>
    <cellStyle name="Normal 36 2 4" xfId="19863" xr:uid="{00000000-0005-0000-0000-00004F500000}"/>
    <cellStyle name="Normal 36 3" xfId="19864" xr:uid="{00000000-0005-0000-0000-000050500000}"/>
    <cellStyle name="Normal 36 4" xfId="19865" xr:uid="{00000000-0005-0000-0000-000051500000}"/>
    <cellStyle name="Normal 36 5" xfId="19866" xr:uid="{00000000-0005-0000-0000-000052500000}"/>
    <cellStyle name="Normal 36 6" xfId="19867" xr:uid="{00000000-0005-0000-0000-000053500000}"/>
    <cellStyle name="Normal 36 7" xfId="19868" xr:uid="{00000000-0005-0000-0000-000054500000}"/>
    <cellStyle name="Normal 37" xfId="19869" xr:uid="{00000000-0005-0000-0000-000055500000}"/>
    <cellStyle name="Normal 37 2" xfId="19870" xr:uid="{00000000-0005-0000-0000-000056500000}"/>
    <cellStyle name="Normal 37 3" xfId="19871" xr:uid="{00000000-0005-0000-0000-000057500000}"/>
    <cellStyle name="Normal 37 4" xfId="19872" xr:uid="{00000000-0005-0000-0000-000058500000}"/>
    <cellStyle name="Normal 37 5" xfId="19873" xr:uid="{00000000-0005-0000-0000-000059500000}"/>
    <cellStyle name="Normal 37 6" xfId="19874" xr:uid="{00000000-0005-0000-0000-00005A500000}"/>
    <cellStyle name="Normal 37 7" xfId="19875" xr:uid="{00000000-0005-0000-0000-00005B500000}"/>
    <cellStyle name="Normal 38" xfId="19876" xr:uid="{00000000-0005-0000-0000-00005C500000}"/>
    <cellStyle name="Normal 38 2" xfId="19877" xr:uid="{00000000-0005-0000-0000-00005D500000}"/>
    <cellStyle name="Normal 38 3" xfId="19878" xr:uid="{00000000-0005-0000-0000-00005E500000}"/>
    <cellStyle name="Normal 38 4" xfId="19879" xr:uid="{00000000-0005-0000-0000-00005F500000}"/>
    <cellStyle name="Normal 38 5" xfId="19880" xr:uid="{00000000-0005-0000-0000-000060500000}"/>
    <cellStyle name="Normal 38 6" xfId="19881" xr:uid="{00000000-0005-0000-0000-000061500000}"/>
    <cellStyle name="Normal 38 7" xfId="19882" xr:uid="{00000000-0005-0000-0000-000062500000}"/>
    <cellStyle name="Normal 39" xfId="19883" xr:uid="{00000000-0005-0000-0000-000063500000}"/>
    <cellStyle name="Normal 39 2" xfId="19884" xr:uid="{00000000-0005-0000-0000-000064500000}"/>
    <cellStyle name="Normal 39 2 2" xfId="19885" xr:uid="{00000000-0005-0000-0000-000065500000}"/>
    <cellStyle name="Normal 39 2 3" xfId="19886" xr:uid="{00000000-0005-0000-0000-000066500000}"/>
    <cellStyle name="Normal 39 2 4" xfId="19887" xr:uid="{00000000-0005-0000-0000-000067500000}"/>
    <cellStyle name="Normal 39 3" xfId="19888" xr:uid="{00000000-0005-0000-0000-000068500000}"/>
    <cellStyle name="Normal 39 4" xfId="19889" xr:uid="{00000000-0005-0000-0000-000069500000}"/>
    <cellStyle name="Normal 39 5" xfId="19890" xr:uid="{00000000-0005-0000-0000-00006A500000}"/>
    <cellStyle name="Normal 39 6" xfId="19891" xr:uid="{00000000-0005-0000-0000-00006B500000}"/>
    <cellStyle name="Normal 4" xfId="19892" xr:uid="{00000000-0005-0000-0000-00006C500000}"/>
    <cellStyle name="Normal 4 10" xfId="19893" xr:uid="{00000000-0005-0000-0000-00006D500000}"/>
    <cellStyle name="Normal 4 10 2" xfId="19894" xr:uid="{00000000-0005-0000-0000-00006E500000}"/>
    <cellStyle name="Normal 4 11" xfId="19895" xr:uid="{00000000-0005-0000-0000-00006F500000}"/>
    <cellStyle name="Normal 4 2" xfId="19896" xr:uid="{00000000-0005-0000-0000-000070500000}"/>
    <cellStyle name="Normal 4 2 2" xfId="19897" xr:uid="{00000000-0005-0000-0000-000071500000}"/>
    <cellStyle name="Normal 4 2 2 2" xfId="19898" xr:uid="{00000000-0005-0000-0000-000072500000}"/>
    <cellStyle name="Normal 4 2 2 3" xfId="25318" xr:uid="{00000000-0005-0000-0000-000073500000}"/>
    <cellStyle name="Normal 4 2 3" xfId="19899" xr:uid="{00000000-0005-0000-0000-000074500000}"/>
    <cellStyle name="Normal 4 2 3 2" xfId="19900" xr:uid="{00000000-0005-0000-0000-000075500000}"/>
    <cellStyle name="Normal 4 2 3 3" xfId="19901" xr:uid="{00000000-0005-0000-0000-000076500000}"/>
    <cellStyle name="Normal 4 2 3 4" xfId="19902" xr:uid="{00000000-0005-0000-0000-000077500000}"/>
    <cellStyle name="Normal 4 2 4" xfId="19903" xr:uid="{00000000-0005-0000-0000-000078500000}"/>
    <cellStyle name="Normal 4 2 4 2" xfId="19904" xr:uid="{00000000-0005-0000-0000-000079500000}"/>
    <cellStyle name="Normal 4 2 4 3" xfId="19905" xr:uid="{00000000-0005-0000-0000-00007A500000}"/>
    <cellStyle name="Normal 4 2 4 4" xfId="19906" xr:uid="{00000000-0005-0000-0000-00007B500000}"/>
    <cellStyle name="Normal 4 2 5" xfId="19907" xr:uid="{00000000-0005-0000-0000-00007C500000}"/>
    <cellStyle name="Normal 4 2_PAQUETE PARA COTIZAR" xfId="19908" xr:uid="{00000000-0005-0000-0000-00007D500000}"/>
    <cellStyle name="Normal 4 3" xfId="19909" xr:uid="{00000000-0005-0000-0000-00007E500000}"/>
    <cellStyle name="Normal 4 3 2" xfId="19910" xr:uid="{00000000-0005-0000-0000-00007F500000}"/>
    <cellStyle name="Normal 4 3 2 2" xfId="25319" xr:uid="{00000000-0005-0000-0000-000080500000}"/>
    <cellStyle name="Normal 4 3 2 3" xfId="25320" xr:uid="{00000000-0005-0000-0000-000081500000}"/>
    <cellStyle name="Normal 4 3 3" xfId="19911" xr:uid="{00000000-0005-0000-0000-000082500000}"/>
    <cellStyle name="Normal 4 3 4" xfId="19912" xr:uid="{00000000-0005-0000-0000-000083500000}"/>
    <cellStyle name="Normal 4 4" xfId="19913" xr:uid="{00000000-0005-0000-0000-000084500000}"/>
    <cellStyle name="Normal 4 4 2" xfId="19914" xr:uid="{00000000-0005-0000-0000-000085500000}"/>
    <cellStyle name="Normal 4 4 2 2" xfId="25321" xr:uid="{00000000-0005-0000-0000-000086500000}"/>
    <cellStyle name="Normal 4 4 2 3" xfId="25322" xr:uid="{00000000-0005-0000-0000-000087500000}"/>
    <cellStyle name="Normal 4 4 3" xfId="19915" xr:uid="{00000000-0005-0000-0000-000088500000}"/>
    <cellStyle name="Normal 4 4 4" xfId="25323" xr:uid="{00000000-0005-0000-0000-000089500000}"/>
    <cellStyle name="Normal 4 5" xfId="19916" xr:uid="{00000000-0005-0000-0000-00008A500000}"/>
    <cellStyle name="Normal 4 5 2" xfId="19917" xr:uid="{00000000-0005-0000-0000-00008B500000}"/>
    <cellStyle name="Normal 4 5 2 2" xfId="19918" xr:uid="{00000000-0005-0000-0000-00008C500000}"/>
    <cellStyle name="Normal 4 5 2 3" xfId="19919" xr:uid="{00000000-0005-0000-0000-00008D500000}"/>
    <cellStyle name="Normal 4 5 3" xfId="19920" xr:uid="{00000000-0005-0000-0000-00008E500000}"/>
    <cellStyle name="Normal 4 5 4" xfId="19921" xr:uid="{00000000-0005-0000-0000-00008F500000}"/>
    <cellStyle name="Normal 4 6" xfId="19922" xr:uid="{00000000-0005-0000-0000-000090500000}"/>
    <cellStyle name="Normal 4 6 2" xfId="19923" xr:uid="{00000000-0005-0000-0000-000091500000}"/>
    <cellStyle name="Normal 4 6 3" xfId="19924" xr:uid="{00000000-0005-0000-0000-000092500000}"/>
    <cellStyle name="Normal 4 6 4" xfId="19925" xr:uid="{00000000-0005-0000-0000-000093500000}"/>
    <cellStyle name="Normal 4 7" xfId="19926" xr:uid="{00000000-0005-0000-0000-000094500000}"/>
    <cellStyle name="Normal 4 7 2" xfId="19927" xr:uid="{00000000-0005-0000-0000-000095500000}"/>
    <cellStyle name="Normal 4 7 3" xfId="19928" xr:uid="{00000000-0005-0000-0000-000096500000}"/>
    <cellStyle name="Normal 4 8" xfId="19929" xr:uid="{00000000-0005-0000-0000-000097500000}"/>
    <cellStyle name="Normal 4 8 2" xfId="19930" xr:uid="{00000000-0005-0000-0000-000098500000}"/>
    <cellStyle name="Normal 4 9" xfId="19931" xr:uid="{00000000-0005-0000-0000-000099500000}"/>
    <cellStyle name="Normal 4 9 2" xfId="19932" xr:uid="{00000000-0005-0000-0000-00009A500000}"/>
    <cellStyle name="Normal 4_SUBARTICO ADD-DEL" xfId="19933" xr:uid="{00000000-0005-0000-0000-00009B500000}"/>
    <cellStyle name="Normal 40" xfId="19934" xr:uid="{00000000-0005-0000-0000-00009C500000}"/>
    <cellStyle name="Normal 40 2" xfId="19935" xr:uid="{00000000-0005-0000-0000-00009D500000}"/>
    <cellStyle name="Normal 40 2 2" xfId="19936" xr:uid="{00000000-0005-0000-0000-00009E500000}"/>
    <cellStyle name="Normal 40 2 3" xfId="19937" xr:uid="{00000000-0005-0000-0000-00009F500000}"/>
    <cellStyle name="Normal 40 2 4" xfId="19938" xr:uid="{00000000-0005-0000-0000-0000A0500000}"/>
    <cellStyle name="Normal 40 3" xfId="19939" xr:uid="{00000000-0005-0000-0000-0000A1500000}"/>
    <cellStyle name="Normal 40 4" xfId="19940" xr:uid="{00000000-0005-0000-0000-0000A2500000}"/>
    <cellStyle name="Normal 40 5" xfId="19941" xr:uid="{00000000-0005-0000-0000-0000A3500000}"/>
    <cellStyle name="Normal 40 6" xfId="19942" xr:uid="{00000000-0005-0000-0000-0000A4500000}"/>
    <cellStyle name="Normal 40 7" xfId="19943" xr:uid="{00000000-0005-0000-0000-0000A5500000}"/>
    <cellStyle name="Normal 41" xfId="19944" xr:uid="{00000000-0005-0000-0000-0000A6500000}"/>
    <cellStyle name="Normal 41 2" xfId="19945" xr:uid="{00000000-0005-0000-0000-0000A7500000}"/>
    <cellStyle name="Normal 41 2 2" xfId="19946" xr:uid="{00000000-0005-0000-0000-0000A8500000}"/>
    <cellStyle name="Normal 41 2 3" xfId="19947" xr:uid="{00000000-0005-0000-0000-0000A9500000}"/>
    <cellStyle name="Normal 41 2 4" xfId="19948" xr:uid="{00000000-0005-0000-0000-0000AA500000}"/>
    <cellStyle name="Normal 41 3" xfId="19949" xr:uid="{00000000-0005-0000-0000-0000AB500000}"/>
    <cellStyle name="Normal 41 4" xfId="19950" xr:uid="{00000000-0005-0000-0000-0000AC500000}"/>
    <cellStyle name="Normal 41 5" xfId="19951" xr:uid="{00000000-0005-0000-0000-0000AD500000}"/>
    <cellStyle name="Normal 41 6" xfId="19952" xr:uid="{00000000-0005-0000-0000-0000AE500000}"/>
    <cellStyle name="Normal 42" xfId="19953" xr:uid="{00000000-0005-0000-0000-0000AF500000}"/>
    <cellStyle name="Normal 42 2" xfId="19954" xr:uid="{00000000-0005-0000-0000-0000B0500000}"/>
    <cellStyle name="Normal 42 2 2" xfId="19955" xr:uid="{00000000-0005-0000-0000-0000B1500000}"/>
    <cellStyle name="Normal 42 2 3" xfId="19956" xr:uid="{00000000-0005-0000-0000-0000B2500000}"/>
    <cellStyle name="Normal 42 2 4" xfId="19957" xr:uid="{00000000-0005-0000-0000-0000B3500000}"/>
    <cellStyle name="Normal 42 3" xfId="19958" xr:uid="{00000000-0005-0000-0000-0000B4500000}"/>
    <cellStyle name="Normal 42 4" xfId="19959" xr:uid="{00000000-0005-0000-0000-0000B5500000}"/>
    <cellStyle name="Normal 42 5" xfId="19960" xr:uid="{00000000-0005-0000-0000-0000B6500000}"/>
    <cellStyle name="Normal 42 6" xfId="19961" xr:uid="{00000000-0005-0000-0000-0000B7500000}"/>
    <cellStyle name="Normal 43" xfId="19962" xr:uid="{00000000-0005-0000-0000-0000B8500000}"/>
    <cellStyle name="Normal 43 2" xfId="19963" xr:uid="{00000000-0005-0000-0000-0000B9500000}"/>
    <cellStyle name="Normal 43 2 2" xfId="19964" xr:uid="{00000000-0005-0000-0000-0000BA500000}"/>
    <cellStyle name="Normal 43 2 3" xfId="19965" xr:uid="{00000000-0005-0000-0000-0000BB500000}"/>
    <cellStyle name="Normal 43 2 4" xfId="19966" xr:uid="{00000000-0005-0000-0000-0000BC500000}"/>
    <cellStyle name="Normal 43 3" xfId="19967" xr:uid="{00000000-0005-0000-0000-0000BD500000}"/>
    <cellStyle name="Normal 43 4" xfId="19968" xr:uid="{00000000-0005-0000-0000-0000BE500000}"/>
    <cellStyle name="Normal 43 5" xfId="19969" xr:uid="{00000000-0005-0000-0000-0000BF500000}"/>
    <cellStyle name="Normal 43 6" xfId="19970" xr:uid="{00000000-0005-0000-0000-0000C0500000}"/>
    <cellStyle name="Normal 44" xfId="19971" xr:uid="{00000000-0005-0000-0000-0000C1500000}"/>
    <cellStyle name="Normal 44 2" xfId="19972" xr:uid="{00000000-0005-0000-0000-0000C2500000}"/>
    <cellStyle name="Normal 44 2 2" xfId="19973" xr:uid="{00000000-0005-0000-0000-0000C3500000}"/>
    <cellStyle name="Normal 44 2 2 2" xfId="19974" xr:uid="{00000000-0005-0000-0000-0000C4500000}"/>
    <cellStyle name="Normal 44 2 2 3" xfId="19975" xr:uid="{00000000-0005-0000-0000-0000C5500000}"/>
    <cellStyle name="Normal 44 2 2 4" xfId="19976" xr:uid="{00000000-0005-0000-0000-0000C6500000}"/>
    <cellStyle name="Normal 44 2 3" xfId="19977" xr:uid="{00000000-0005-0000-0000-0000C7500000}"/>
    <cellStyle name="Normal 44 2 4" xfId="19978" xr:uid="{00000000-0005-0000-0000-0000C8500000}"/>
    <cellStyle name="Normal 44 2 5" xfId="19979" xr:uid="{00000000-0005-0000-0000-0000C9500000}"/>
    <cellStyle name="Normal 44 3" xfId="19980" xr:uid="{00000000-0005-0000-0000-0000CA500000}"/>
    <cellStyle name="Normal 44 3 2" xfId="19981" xr:uid="{00000000-0005-0000-0000-0000CB500000}"/>
    <cellStyle name="Normal 44 3 3" xfId="19982" xr:uid="{00000000-0005-0000-0000-0000CC500000}"/>
    <cellStyle name="Normal 44 3 4" xfId="19983" xr:uid="{00000000-0005-0000-0000-0000CD500000}"/>
    <cellStyle name="Normal 44 4" xfId="19984" xr:uid="{00000000-0005-0000-0000-0000CE500000}"/>
    <cellStyle name="Normal 44 5" xfId="19985" xr:uid="{00000000-0005-0000-0000-0000CF500000}"/>
    <cellStyle name="Normal 44 6" xfId="19986" xr:uid="{00000000-0005-0000-0000-0000D0500000}"/>
    <cellStyle name="Normal 45" xfId="19987" xr:uid="{00000000-0005-0000-0000-0000D1500000}"/>
    <cellStyle name="Normal 45 2" xfId="19988" xr:uid="{00000000-0005-0000-0000-0000D2500000}"/>
    <cellStyle name="Normal 45 2 2" xfId="19989" xr:uid="{00000000-0005-0000-0000-0000D3500000}"/>
    <cellStyle name="Normal 45 2 3" xfId="19990" xr:uid="{00000000-0005-0000-0000-0000D4500000}"/>
    <cellStyle name="Normal 45 2 4" xfId="19991" xr:uid="{00000000-0005-0000-0000-0000D5500000}"/>
    <cellStyle name="Normal 45 3" xfId="19992" xr:uid="{00000000-0005-0000-0000-0000D6500000}"/>
    <cellStyle name="Normal 45 4" xfId="19993" xr:uid="{00000000-0005-0000-0000-0000D7500000}"/>
    <cellStyle name="Normal 45 5" xfId="19994" xr:uid="{00000000-0005-0000-0000-0000D8500000}"/>
    <cellStyle name="Normal 45 6" xfId="19995" xr:uid="{00000000-0005-0000-0000-0000D9500000}"/>
    <cellStyle name="Normal 46" xfId="19996" xr:uid="{00000000-0005-0000-0000-0000DA500000}"/>
    <cellStyle name="Normal 46 2" xfId="19997" xr:uid="{00000000-0005-0000-0000-0000DB500000}"/>
    <cellStyle name="Normal 46 2 2" xfId="19998" xr:uid="{00000000-0005-0000-0000-0000DC500000}"/>
    <cellStyle name="Normal 46 2 3" xfId="19999" xr:uid="{00000000-0005-0000-0000-0000DD500000}"/>
    <cellStyle name="Normal 46 2 4" xfId="20000" xr:uid="{00000000-0005-0000-0000-0000DE500000}"/>
    <cellStyle name="Normal 46 3" xfId="20001" xr:uid="{00000000-0005-0000-0000-0000DF500000}"/>
    <cellStyle name="Normal 46 4" xfId="20002" xr:uid="{00000000-0005-0000-0000-0000E0500000}"/>
    <cellStyle name="Normal 46 5" xfId="20003" xr:uid="{00000000-0005-0000-0000-0000E1500000}"/>
    <cellStyle name="Normal 46 6" xfId="20004" xr:uid="{00000000-0005-0000-0000-0000E2500000}"/>
    <cellStyle name="Normal 47" xfId="20005" xr:uid="{00000000-0005-0000-0000-0000E3500000}"/>
    <cellStyle name="Normal 47 2" xfId="20006" xr:uid="{00000000-0005-0000-0000-0000E4500000}"/>
    <cellStyle name="Normal 47 2 2" xfId="20007" xr:uid="{00000000-0005-0000-0000-0000E5500000}"/>
    <cellStyle name="Normal 47 2 3" xfId="20008" xr:uid="{00000000-0005-0000-0000-0000E6500000}"/>
    <cellStyle name="Normal 47 2 4" xfId="20009" xr:uid="{00000000-0005-0000-0000-0000E7500000}"/>
    <cellStyle name="Normal 47 3" xfId="20010" xr:uid="{00000000-0005-0000-0000-0000E8500000}"/>
    <cellStyle name="Normal 47 4" xfId="20011" xr:uid="{00000000-0005-0000-0000-0000E9500000}"/>
    <cellStyle name="Normal 47 5" xfId="20012" xr:uid="{00000000-0005-0000-0000-0000EA500000}"/>
    <cellStyle name="Normal 47 6" xfId="20013" xr:uid="{00000000-0005-0000-0000-0000EB500000}"/>
    <cellStyle name="Normal 48" xfId="20014" xr:uid="{00000000-0005-0000-0000-0000EC500000}"/>
    <cellStyle name="Normal 48 2" xfId="20015" xr:uid="{00000000-0005-0000-0000-0000ED500000}"/>
    <cellStyle name="Normal 48 2 2" xfId="20016" xr:uid="{00000000-0005-0000-0000-0000EE500000}"/>
    <cellStyle name="Normal 48 2 3" xfId="20017" xr:uid="{00000000-0005-0000-0000-0000EF500000}"/>
    <cellStyle name="Normal 48 2 4" xfId="20018" xr:uid="{00000000-0005-0000-0000-0000F0500000}"/>
    <cellStyle name="Normal 48 3" xfId="20019" xr:uid="{00000000-0005-0000-0000-0000F1500000}"/>
    <cellStyle name="Normal 48 4" xfId="20020" xr:uid="{00000000-0005-0000-0000-0000F2500000}"/>
    <cellStyle name="Normal 48 5" xfId="20021" xr:uid="{00000000-0005-0000-0000-0000F3500000}"/>
    <cellStyle name="Normal 48 6" xfId="20022" xr:uid="{00000000-0005-0000-0000-0000F4500000}"/>
    <cellStyle name="Normal 49" xfId="20023" xr:uid="{00000000-0005-0000-0000-0000F5500000}"/>
    <cellStyle name="Normal 49 2" xfId="20024" xr:uid="{00000000-0005-0000-0000-0000F6500000}"/>
    <cellStyle name="Normal 49 2 2" xfId="20025" xr:uid="{00000000-0005-0000-0000-0000F7500000}"/>
    <cellStyle name="Normal 49 2 3" xfId="20026" xr:uid="{00000000-0005-0000-0000-0000F8500000}"/>
    <cellStyle name="Normal 49 2 4" xfId="20027" xr:uid="{00000000-0005-0000-0000-0000F9500000}"/>
    <cellStyle name="Normal 49 3" xfId="20028" xr:uid="{00000000-0005-0000-0000-0000FA500000}"/>
    <cellStyle name="Normal 49 4" xfId="20029" xr:uid="{00000000-0005-0000-0000-0000FB500000}"/>
    <cellStyle name="Normal 49 5" xfId="20030" xr:uid="{00000000-0005-0000-0000-0000FC500000}"/>
    <cellStyle name="Normal 49 6" xfId="20031" xr:uid="{00000000-0005-0000-0000-0000FD500000}"/>
    <cellStyle name="Normal 5" xfId="20032" xr:uid="{00000000-0005-0000-0000-0000FE500000}"/>
    <cellStyle name="Normal 5 10" xfId="20033" xr:uid="{00000000-0005-0000-0000-0000FF500000}"/>
    <cellStyle name="Normal 5 2" xfId="20034" xr:uid="{00000000-0005-0000-0000-000000510000}"/>
    <cellStyle name="Normal 5 2 10" xfId="20035" xr:uid="{00000000-0005-0000-0000-000001510000}"/>
    <cellStyle name="Normal 5 2 11" xfId="20036" xr:uid="{00000000-0005-0000-0000-000002510000}"/>
    <cellStyle name="Normal 5 2 12" xfId="20037" xr:uid="{00000000-0005-0000-0000-000003510000}"/>
    <cellStyle name="Normal 5 2 2" xfId="20038" xr:uid="{00000000-0005-0000-0000-000004510000}"/>
    <cellStyle name="Normal 5 2 2 2" xfId="20039" xr:uid="{00000000-0005-0000-0000-000005510000}"/>
    <cellStyle name="Normal 5 2 2 2 2" xfId="20040" xr:uid="{00000000-0005-0000-0000-000006510000}"/>
    <cellStyle name="Normal 5 2 2 2 3" xfId="20041" xr:uid="{00000000-0005-0000-0000-000007510000}"/>
    <cellStyle name="Normal 5 2 2 2 4" xfId="20042" xr:uid="{00000000-0005-0000-0000-000008510000}"/>
    <cellStyle name="Normal 5 2 2 2 5" xfId="20043" xr:uid="{00000000-0005-0000-0000-000009510000}"/>
    <cellStyle name="Normal 5 2 2 3" xfId="20044" xr:uid="{00000000-0005-0000-0000-00000A510000}"/>
    <cellStyle name="Normal 5 2 2 3 2" xfId="20045" xr:uid="{00000000-0005-0000-0000-00000B510000}"/>
    <cellStyle name="Normal 5 2 2 3 3" xfId="20046" xr:uid="{00000000-0005-0000-0000-00000C510000}"/>
    <cellStyle name="Normal 5 2 2 3 4" xfId="20047" xr:uid="{00000000-0005-0000-0000-00000D510000}"/>
    <cellStyle name="Normal 5 2 2 4" xfId="20048" xr:uid="{00000000-0005-0000-0000-00000E510000}"/>
    <cellStyle name="Normal 5 2 2 5" xfId="20049" xr:uid="{00000000-0005-0000-0000-00000F510000}"/>
    <cellStyle name="Normal 5 2 2 6" xfId="20050" xr:uid="{00000000-0005-0000-0000-000010510000}"/>
    <cellStyle name="Normal 5 2 2 7" xfId="20051" xr:uid="{00000000-0005-0000-0000-000011510000}"/>
    <cellStyle name="Normal 5 2 3" xfId="20052" xr:uid="{00000000-0005-0000-0000-000012510000}"/>
    <cellStyle name="Normal 5 2 3 2" xfId="20053" xr:uid="{00000000-0005-0000-0000-000013510000}"/>
    <cellStyle name="Normal 5 2 3 3" xfId="20054" xr:uid="{00000000-0005-0000-0000-000014510000}"/>
    <cellStyle name="Normal 5 2 3 4" xfId="20055" xr:uid="{00000000-0005-0000-0000-000015510000}"/>
    <cellStyle name="Normal 5 2 3 5" xfId="20056" xr:uid="{00000000-0005-0000-0000-000016510000}"/>
    <cellStyle name="Normal 5 2 4" xfId="20057" xr:uid="{00000000-0005-0000-0000-000017510000}"/>
    <cellStyle name="Normal 5 2 4 2" xfId="20058" xr:uid="{00000000-0005-0000-0000-000018510000}"/>
    <cellStyle name="Normal 5 2 4 3" xfId="20059" xr:uid="{00000000-0005-0000-0000-000019510000}"/>
    <cellStyle name="Normal 5 2 4 4" xfId="20060" xr:uid="{00000000-0005-0000-0000-00001A510000}"/>
    <cellStyle name="Normal 5 2 4 5" xfId="20061" xr:uid="{00000000-0005-0000-0000-00001B510000}"/>
    <cellStyle name="Normal 5 2 5" xfId="20062" xr:uid="{00000000-0005-0000-0000-00001C510000}"/>
    <cellStyle name="Normal 5 2 5 2" xfId="20063" xr:uid="{00000000-0005-0000-0000-00001D510000}"/>
    <cellStyle name="Normal 5 2 5 3" xfId="20064" xr:uid="{00000000-0005-0000-0000-00001E510000}"/>
    <cellStyle name="Normal 5 2 5 4" xfId="20065" xr:uid="{00000000-0005-0000-0000-00001F510000}"/>
    <cellStyle name="Normal 5 2 5 5" xfId="20066" xr:uid="{00000000-0005-0000-0000-000020510000}"/>
    <cellStyle name="Normal 5 2 6" xfId="20067" xr:uid="{00000000-0005-0000-0000-000021510000}"/>
    <cellStyle name="Normal 5 2 6 2" xfId="20068" xr:uid="{00000000-0005-0000-0000-000022510000}"/>
    <cellStyle name="Normal 5 2 6 2 2" xfId="20069" xr:uid="{00000000-0005-0000-0000-000023510000}"/>
    <cellStyle name="Normal 5 2 6 2 3" xfId="20070" xr:uid="{00000000-0005-0000-0000-000024510000}"/>
    <cellStyle name="Normal 5 2 6 2 4" xfId="20071" xr:uid="{00000000-0005-0000-0000-000025510000}"/>
    <cellStyle name="Normal 5 2 6 3" xfId="20072" xr:uid="{00000000-0005-0000-0000-000026510000}"/>
    <cellStyle name="Normal 5 2 6 4" xfId="20073" xr:uid="{00000000-0005-0000-0000-000027510000}"/>
    <cellStyle name="Normal 5 2 6 5" xfId="20074" xr:uid="{00000000-0005-0000-0000-000028510000}"/>
    <cellStyle name="Normal 5 2 7" xfId="20075" xr:uid="{00000000-0005-0000-0000-000029510000}"/>
    <cellStyle name="Normal 5 2 7 2" xfId="20076" xr:uid="{00000000-0005-0000-0000-00002A510000}"/>
    <cellStyle name="Normal 5 2 7 3" xfId="20077" xr:uid="{00000000-0005-0000-0000-00002B510000}"/>
    <cellStyle name="Normal 5 2 7 4" xfId="20078" xr:uid="{00000000-0005-0000-0000-00002C510000}"/>
    <cellStyle name="Normal 5 2 8" xfId="20079" xr:uid="{00000000-0005-0000-0000-00002D510000}"/>
    <cellStyle name="Normal 5 2 8 2" xfId="20080" xr:uid="{00000000-0005-0000-0000-00002E510000}"/>
    <cellStyle name="Normal 5 2 8 3" xfId="20081" xr:uid="{00000000-0005-0000-0000-00002F510000}"/>
    <cellStyle name="Normal 5 2 9" xfId="20082" xr:uid="{00000000-0005-0000-0000-000030510000}"/>
    <cellStyle name="Normal 5 3" xfId="20083" xr:uid="{00000000-0005-0000-0000-000031510000}"/>
    <cellStyle name="Normal 5 3 2" xfId="20084" xr:uid="{00000000-0005-0000-0000-000032510000}"/>
    <cellStyle name="Normal 5 3 2 2" xfId="20085" xr:uid="{00000000-0005-0000-0000-000033510000}"/>
    <cellStyle name="Normal 5 3 2 3" xfId="20086" xr:uid="{00000000-0005-0000-0000-000034510000}"/>
    <cellStyle name="Normal 5 3 2 4" xfId="20087" xr:uid="{00000000-0005-0000-0000-000035510000}"/>
    <cellStyle name="Normal 5 3 3" xfId="20088" xr:uid="{00000000-0005-0000-0000-000036510000}"/>
    <cellStyle name="Normal 5 3 3 2" xfId="25324" xr:uid="{00000000-0005-0000-0000-000037510000}"/>
    <cellStyle name="Normal 5 3 3 3" xfId="25325" xr:uid="{00000000-0005-0000-0000-000038510000}"/>
    <cellStyle name="Normal 5 3 4" xfId="20089" xr:uid="{00000000-0005-0000-0000-000039510000}"/>
    <cellStyle name="Normal 5 3 5" xfId="25326" xr:uid="{00000000-0005-0000-0000-00003A510000}"/>
    <cellStyle name="Normal 5 4" xfId="20090" xr:uid="{00000000-0005-0000-0000-00003B510000}"/>
    <cellStyle name="Normal 5 4 2" xfId="20091" xr:uid="{00000000-0005-0000-0000-00003C510000}"/>
    <cellStyle name="Normal 5 4 3" xfId="20092" xr:uid="{00000000-0005-0000-0000-00003D510000}"/>
    <cellStyle name="Normal 5 4 4" xfId="20093" xr:uid="{00000000-0005-0000-0000-00003E510000}"/>
    <cellStyle name="Normal 5 5" xfId="20094" xr:uid="{00000000-0005-0000-0000-00003F510000}"/>
    <cellStyle name="Normal 5 5 2" xfId="20095" xr:uid="{00000000-0005-0000-0000-000040510000}"/>
    <cellStyle name="Normal 5 5 3" xfId="20096" xr:uid="{00000000-0005-0000-0000-000041510000}"/>
    <cellStyle name="Normal 5 5 4" xfId="20097" xr:uid="{00000000-0005-0000-0000-000042510000}"/>
    <cellStyle name="Normal 5 6" xfId="20098" xr:uid="{00000000-0005-0000-0000-000043510000}"/>
    <cellStyle name="Normal 5 6 2" xfId="20099" xr:uid="{00000000-0005-0000-0000-000044510000}"/>
    <cellStyle name="Normal 5 6 3" xfId="20100" xr:uid="{00000000-0005-0000-0000-000045510000}"/>
    <cellStyle name="Normal 5 6 4" xfId="20101" xr:uid="{00000000-0005-0000-0000-000046510000}"/>
    <cellStyle name="Normal 5 7" xfId="20102" xr:uid="{00000000-0005-0000-0000-000047510000}"/>
    <cellStyle name="Normal 5 7 2" xfId="20103" xr:uid="{00000000-0005-0000-0000-000048510000}"/>
    <cellStyle name="Normal 5 8" xfId="20104" xr:uid="{00000000-0005-0000-0000-000049510000}"/>
    <cellStyle name="Normal 5 8 2" xfId="20105" xr:uid="{00000000-0005-0000-0000-00004A510000}"/>
    <cellStyle name="Normal 5 9" xfId="20106" xr:uid="{00000000-0005-0000-0000-00004B510000}"/>
    <cellStyle name="Normal 5_2187301" xfId="20107" xr:uid="{00000000-0005-0000-0000-00004C510000}"/>
    <cellStyle name="Normal 50" xfId="20108" xr:uid="{00000000-0005-0000-0000-00004D510000}"/>
    <cellStyle name="Normal 50 2" xfId="20109" xr:uid="{00000000-0005-0000-0000-00004E510000}"/>
    <cellStyle name="Normal 50 2 2" xfId="20110" xr:uid="{00000000-0005-0000-0000-00004F510000}"/>
    <cellStyle name="Normal 50 2 3" xfId="20111" xr:uid="{00000000-0005-0000-0000-000050510000}"/>
    <cellStyle name="Normal 50 2 4" xfId="20112" xr:uid="{00000000-0005-0000-0000-000051510000}"/>
    <cellStyle name="Normal 50 3" xfId="20113" xr:uid="{00000000-0005-0000-0000-000052510000}"/>
    <cellStyle name="Normal 50 4" xfId="20114" xr:uid="{00000000-0005-0000-0000-000053510000}"/>
    <cellStyle name="Normal 50 5" xfId="20115" xr:uid="{00000000-0005-0000-0000-000054510000}"/>
    <cellStyle name="Normal 50 6" xfId="20116" xr:uid="{00000000-0005-0000-0000-000055510000}"/>
    <cellStyle name="Normal 51" xfId="20117" xr:uid="{00000000-0005-0000-0000-000056510000}"/>
    <cellStyle name="Normal 51 2" xfId="20118" xr:uid="{00000000-0005-0000-0000-000057510000}"/>
    <cellStyle name="Normal 51 2 2" xfId="20119" xr:uid="{00000000-0005-0000-0000-000058510000}"/>
    <cellStyle name="Normal 51 2 3" xfId="20120" xr:uid="{00000000-0005-0000-0000-000059510000}"/>
    <cellStyle name="Normal 51 2 4" xfId="20121" xr:uid="{00000000-0005-0000-0000-00005A510000}"/>
    <cellStyle name="Normal 51 3" xfId="20122" xr:uid="{00000000-0005-0000-0000-00005B510000}"/>
    <cellStyle name="Normal 51 4" xfId="20123" xr:uid="{00000000-0005-0000-0000-00005C510000}"/>
    <cellStyle name="Normal 51 5" xfId="20124" xr:uid="{00000000-0005-0000-0000-00005D510000}"/>
    <cellStyle name="Normal 51 6" xfId="20125" xr:uid="{00000000-0005-0000-0000-00005E510000}"/>
    <cellStyle name="Normal 51 7" xfId="20126" xr:uid="{00000000-0005-0000-0000-00005F510000}"/>
    <cellStyle name="Normal 52" xfId="20127" xr:uid="{00000000-0005-0000-0000-000060510000}"/>
    <cellStyle name="Normal 52 2" xfId="20128" xr:uid="{00000000-0005-0000-0000-000061510000}"/>
    <cellStyle name="Normal 52 2 2" xfId="20129" xr:uid="{00000000-0005-0000-0000-000062510000}"/>
    <cellStyle name="Normal 52 2 3" xfId="20130" xr:uid="{00000000-0005-0000-0000-000063510000}"/>
    <cellStyle name="Normal 52 2 4" xfId="20131" xr:uid="{00000000-0005-0000-0000-000064510000}"/>
    <cellStyle name="Normal 52 3" xfId="20132" xr:uid="{00000000-0005-0000-0000-000065510000}"/>
    <cellStyle name="Normal 52 4" xfId="20133" xr:uid="{00000000-0005-0000-0000-000066510000}"/>
    <cellStyle name="Normal 52 5" xfId="20134" xr:uid="{00000000-0005-0000-0000-000067510000}"/>
    <cellStyle name="Normal 52 6" xfId="20135" xr:uid="{00000000-0005-0000-0000-000068510000}"/>
    <cellStyle name="Normal 52 7" xfId="20136" xr:uid="{00000000-0005-0000-0000-000069510000}"/>
    <cellStyle name="Normal 53" xfId="20137" xr:uid="{00000000-0005-0000-0000-00006A510000}"/>
    <cellStyle name="Normal 53 2" xfId="20138" xr:uid="{00000000-0005-0000-0000-00006B510000}"/>
    <cellStyle name="Normal 53 2 2" xfId="20139" xr:uid="{00000000-0005-0000-0000-00006C510000}"/>
    <cellStyle name="Normal 53 2 3" xfId="20140" xr:uid="{00000000-0005-0000-0000-00006D510000}"/>
    <cellStyle name="Normal 53 2 4" xfId="20141" xr:uid="{00000000-0005-0000-0000-00006E510000}"/>
    <cellStyle name="Normal 53 3" xfId="20142" xr:uid="{00000000-0005-0000-0000-00006F510000}"/>
    <cellStyle name="Normal 53 4" xfId="20143" xr:uid="{00000000-0005-0000-0000-000070510000}"/>
    <cellStyle name="Normal 53 5" xfId="20144" xr:uid="{00000000-0005-0000-0000-000071510000}"/>
    <cellStyle name="Normal 53 6" xfId="20145" xr:uid="{00000000-0005-0000-0000-000072510000}"/>
    <cellStyle name="Normal 53 7" xfId="20146" xr:uid="{00000000-0005-0000-0000-000073510000}"/>
    <cellStyle name="Normal 54" xfId="20147" xr:uid="{00000000-0005-0000-0000-000074510000}"/>
    <cellStyle name="Normal 54 2" xfId="20148" xr:uid="{00000000-0005-0000-0000-000075510000}"/>
    <cellStyle name="Normal 54 2 2" xfId="20149" xr:uid="{00000000-0005-0000-0000-000076510000}"/>
    <cellStyle name="Normal 54 2 3" xfId="20150" xr:uid="{00000000-0005-0000-0000-000077510000}"/>
    <cellStyle name="Normal 54 2 4" xfId="20151" xr:uid="{00000000-0005-0000-0000-000078510000}"/>
    <cellStyle name="Normal 54 3" xfId="20152" xr:uid="{00000000-0005-0000-0000-000079510000}"/>
    <cellStyle name="Normal 54 4" xfId="20153" xr:uid="{00000000-0005-0000-0000-00007A510000}"/>
    <cellStyle name="Normal 54 5" xfId="20154" xr:uid="{00000000-0005-0000-0000-00007B510000}"/>
    <cellStyle name="Normal 54 6" xfId="20155" xr:uid="{00000000-0005-0000-0000-00007C510000}"/>
    <cellStyle name="Normal 54 7" xfId="20156" xr:uid="{00000000-0005-0000-0000-00007D510000}"/>
    <cellStyle name="Normal 55" xfId="20157" xr:uid="{00000000-0005-0000-0000-00007E510000}"/>
    <cellStyle name="Normal 55 2" xfId="20158" xr:uid="{00000000-0005-0000-0000-00007F510000}"/>
    <cellStyle name="Normal 55 2 2" xfId="20159" xr:uid="{00000000-0005-0000-0000-000080510000}"/>
    <cellStyle name="Normal 55 2 3" xfId="20160" xr:uid="{00000000-0005-0000-0000-000081510000}"/>
    <cellStyle name="Normal 55 2 4" xfId="20161" xr:uid="{00000000-0005-0000-0000-000082510000}"/>
    <cellStyle name="Normal 55 3" xfId="20162" xr:uid="{00000000-0005-0000-0000-000083510000}"/>
    <cellStyle name="Normal 55 4" xfId="20163" xr:uid="{00000000-0005-0000-0000-000084510000}"/>
    <cellStyle name="Normal 55 5" xfId="20164" xr:uid="{00000000-0005-0000-0000-000085510000}"/>
    <cellStyle name="Normal 55 6" xfId="20165" xr:uid="{00000000-0005-0000-0000-000086510000}"/>
    <cellStyle name="Normal 56" xfId="20166" xr:uid="{00000000-0005-0000-0000-000087510000}"/>
    <cellStyle name="Normal 56 2" xfId="20167" xr:uid="{00000000-0005-0000-0000-000088510000}"/>
    <cellStyle name="Normal 56 3" xfId="20168" xr:uid="{00000000-0005-0000-0000-000089510000}"/>
    <cellStyle name="Normal 57" xfId="20169" xr:uid="{00000000-0005-0000-0000-00008A510000}"/>
    <cellStyle name="Normal 57 2" xfId="20170" xr:uid="{00000000-0005-0000-0000-00008B510000}"/>
    <cellStyle name="Normal 57 2 2" xfId="20171" xr:uid="{00000000-0005-0000-0000-00008C510000}"/>
    <cellStyle name="Normal 57 2 3" xfId="20172" xr:uid="{00000000-0005-0000-0000-00008D510000}"/>
    <cellStyle name="Normal 57 2 4" xfId="20173" xr:uid="{00000000-0005-0000-0000-00008E510000}"/>
    <cellStyle name="Normal 57 2 5" xfId="20174" xr:uid="{00000000-0005-0000-0000-00008F510000}"/>
    <cellStyle name="Normal 57 3" xfId="20175" xr:uid="{00000000-0005-0000-0000-000090510000}"/>
    <cellStyle name="Normal 57 4" xfId="20176" xr:uid="{00000000-0005-0000-0000-000091510000}"/>
    <cellStyle name="Normal 58" xfId="20177" xr:uid="{00000000-0005-0000-0000-000092510000}"/>
    <cellStyle name="Normal 58 2" xfId="20178" xr:uid="{00000000-0005-0000-0000-000093510000}"/>
    <cellStyle name="Normal 58 2 2" xfId="20179" xr:uid="{00000000-0005-0000-0000-000094510000}"/>
    <cellStyle name="Normal 58 2 2 2" xfId="20180" xr:uid="{00000000-0005-0000-0000-000095510000}"/>
    <cellStyle name="Normal 58 2 2 3" xfId="20181" xr:uid="{00000000-0005-0000-0000-000096510000}"/>
    <cellStyle name="Normal 58 2 2 4" xfId="20182" xr:uid="{00000000-0005-0000-0000-000097510000}"/>
    <cellStyle name="Normal 58 2 3" xfId="20183" xr:uid="{00000000-0005-0000-0000-000098510000}"/>
    <cellStyle name="Normal 58 2 4" xfId="20184" xr:uid="{00000000-0005-0000-0000-000099510000}"/>
    <cellStyle name="Normal 58 2 5" xfId="20185" xr:uid="{00000000-0005-0000-0000-00009A510000}"/>
    <cellStyle name="Normal 58 3" xfId="20186" xr:uid="{00000000-0005-0000-0000-00009B510000}"/>
    <cellStyle name="Normal 59" xfId="20187" xr:uid="{00000000-0005-0000-0000-00009C510000}"/>
    <cellStyle name="Normal 59 2" xfId="20188" xr:uid="{00000000-0005-0000-0000-00009D510000}"/>
    <cellStyle name="Normal 59 2 2" xfId="20189" xr:uid="{00000000-0005-0000-0000-00009E510000}"/>
    <cellStyle name="Normal 59 2 3" xfId="20190" xr:uid="{00000000-0005-0000-0000-00009F510000}"/>
    <cellStyle name="Normal 59 2 4" xfId="20191" xr:uid="{00000000-0005-0000-0000-0000A0510000}"/>
    <cellStyle name="Normal 59 3" xfId="20192" xr:uid="{00000000-0005-0000-0000-0000A1510000}"/>
    <cellStyle name="Normal 6" xfId="20193" xr:uid="{00000000-0005-0000-0000-0000A2510000}"/>
    <cellStyle name="Normal 6 10" xfId="20194" xr:uid="{00000000-0005-0000-0000-0000A3510000}"/>
    <cellStyle name="Normal 6 11" xfId="20195" xr:uid="{00000000-0005-0000-0000-0000A4510000}"/>
    <cellStyle name="Normal 6 2" xfId="20196" xr:uid="{00000000-0005-0000-0000-0000A5510000}"/>
    <cellStyle name="Normal 6 2 2" xfId="20197" xr:uid="{00000000-0005-0000-0000-0000A6510000}"/>
    <cellStyle name="Normal 6 2 3" xfId="20198" xr:uid="{00000000-0005-0000-0000-0000A7510000}"/>
    <cellStyle name="Normal 6 2 4" xfId="20199" xr:uid="{00000000-0005-0000-0000-0000A8510000}"/>
    <cellStyle name="Normal 6 3" xfId="20200" xr:uid="{00000000-0005-0000-0000-0000A9510000}"/>
    <cellStyle name="Normal 6 3 2" xfId="20201" xr:uid="{00000000-0005-0000-0000-0000AA510000}"/>
    <cellStyle name="Normal 6 3 2 2" xfId="20202" xr:uid="{00000000-0005-0000-0000-0000AB510000}"/>
    <cellStyle name="Normal 6 3 3" xfId="20203" xr:uid="{00000000-0005-0000-0000-0000AC510000}"/>
    <cellStyle name="Normal 6 3 4" xfId="20204" xr:uid="{00000000-0005-0000-0000-0000AD510000}"/>
    <cellStyle name="Normal 6 4" xfId="20205" xr:uid="{00000000-0005-0000-0000-0000AE510000}"/>
    <cellStyle name="Normal 6 4 2" xfId="20206" xr:uid="{00000000-0005-0000-0000-0000AF510000}"/>
    <cellStyle name="Normal 6 4 2 2" xfId="20207" xr:uid="{00000000-0005-0000-0000-0000B0510000}"/>
    <cellStyle name="Normal 6 4 3" xfId="20208" xr:uid="{00000000-0005-0000-0000-0000B1510000}"/>
    <cellStyle name="Normal 6 4 4" xfId="20209" xr:uid="{00000000-0005-0000-0000-0000B2510000}"/>
    <cellStyle name="Normal 6 5" xfId="20210" xr:uid="{00000000-0005-0000-0000-0000B3510000}"/>
    <cellStyle name="Normal 6 5 2" xfId="20211" xr:uid="{00000000-0005-0000-0000-0000B4510000}"/>
    <cellStyle name="Normal 6 5 3" xfId="20212" xr:uid="{00000000-0005-0000-0000-0000B5510000}"/>
    <cellStyle name="Normal 6 5 4" xfId="20213" xr:uid="{00000000-0005-0000-0000-0000B6510000}"/>
    <cellStyle name="Normal 6 6" xfId="20214" xr:uid="{00000000-0005-0000-0000-0000B7510000}"/>
    <cellStyle name="Normal 6 6 2" xfId="20215" xr:uid="{00000000-0005-0000-0000-0000B8510000}"/>
    <cellStyle name="Normal 6 7" xfId="20216" xr:uid="{00000000-0005-0000-0000-0000B9510000}"/>
    <cellStyle name="Normal 6 7 2" xfId="20217" xr:uid="{00000000-0005-0000-0000-0000BA510000}"/>
    <cellStyle name="Normal 6 8" xfId="20218" xr:uid="{00000000-0005-0000-0000-0000BB510000}"/>
    <cellStyle name="Normal 6 9" xfId="20219" xr:uid="{00000000-0005-0000-0000-0000BC510000}"/>
    <cellStyle name="Normal 6_ADD-DEL SMART TROLLEY" xfId="20220" xr:uid="{00000000-0005-0000-0000-0000BD510000}"/>
    <cellStyle name="Normal 60" xfId="20221" xr:uid="{00000000-0005-0000-0000-0000BE510000}"/>
    <cellStyle name="Normal 60 2" xfId="20222" xr:uid="{00000000-0005-0000-0000-0000BF510000}"/>
    <cellStyle name="Normal 60 2 2" xfId="20223" xr:uid="{00000000-0005-0000-0000-0000C0510000}"/>
    <cellStyle name="Normal 60 2 3" xfId="20224" xr:uid="{00000000-0005-0000-0000-0000C1510000}"/>
    <cellStyle name="Normal 60 2 4" xfId="20225" xr:uid="{00000000-0005-0000-0000-0000C2510000}"/>
    <cellStyle name="Normal 60 3" xfId="25327" xr:uid="{00000000-0005-0000-0000-0000C3510000}"/>
    <cellStyle name="Normal 61" xfId="20226" xr:uid="{00000000-0005-0000-0000-0000C4510000}"/>
    <cellStyle name="Normal 61 2" xfId="20227" xr:uid="{00000000-0005-0000-0000-0000C5510000}"/>
    <cellStyle name="Normal 61 2 2" xfId="20228" xr:uid="{00000000-0005-0000-0000-0000C6510000}"/>
    <cellStyle name="Normal 61 2 3" xfId="20229" xr:uid="{00000000-0005-0000-0000-0000C7510000}"/>
    <cellStyle name="Normal 61 2 4" xfId="20230" xr:uid="{00000000-0005-0000-0000-0000C8510000}"/>
    <cellStyle name="Normal 61 3" xfId="20231" xr:uid="{00000000-0005-0000-0000-0000C9510000}"/>
    <cellStyle name="Normal 62" xfId="20232" xr:uid="{00000000-0005-0000-0000-0000CA510000}"/>
    <cellStyle name="Normal 62 2" xfId="20233" xr:uid="{00000000-0005-0000-0000-0000CB510000}"/>
    <cellStyle name="Normal 62 2 2" xfId="20234" xr:uid="{00000000-0005-0000-0000-0000CC510000}"/>
    <cellStyle name="Normal 62 2 3" xfId="20235" xr:uid="{00000000-0005-0000-0000-0000CD510000}"/>
    <cellStyle name="Normal 62 2 4" xfId="20236" xr:uid="{00000000-0005-0000-0000-0000CE510000}"/>
    <cellStyle name="Normal 62 3" xfId="20237" xr:uid="{00000000-0005-0000-0000-0000CF510000}"/>
    <cellStyle name="Normal 63" xfId="20238" xr:uid="{00000000-0005-0000-0000-0000D0510000}"/>
    <cellStyle name="Normal 63 2" xfId="20239" xr:uid="{00000000-0005-0000-0000-0000D1510000}"/>
    <cellStyle name="Normal 63 2 2" xfId="20240" xr:uid="{00000000-0005-0000-0000-0000D2510000}"/>
    <cellStyle name="Normal 63 2 3" xfId="20241" xr:uid="{00000000-0005-0000-0000-0000D3510000}"/>
    <cellStyle name="Normal 63 2 4" xfId="20242" xr:uid="{00000000-0005-0000-0000-0000D4510000}"/>
    <cellStyle name="Normal 63 3" xfId="20243" xr:uid="{00000000-0005-0000-0000-0000D5510000}"/>
    <cellStyle name="Normal 64" xfId="20244" xr:uid="{00000000-0005-0000-0000-0000D6510000}"/>
    <cellStyle name="Normal 64 2" xfId="20245" xr:uid="{00000000-0005-0000-0000-0000D7510000}"/>
    <cellStyle name="Normal 64 2 2" xfId="20246" xr:uid="{00000000-0005-0000-0000-0000D8510000}"/>
    <cellStyle name="Normal 64 2 3" xfId="20247" xr:uid="{00000000-0005-0000-0000-0000D9510000}"/>
    <cellStyle name="Normal 64 2 4" xfId="20248" xr:uid="{00000000-0005-0000-0000-0000DA510000}"/>
    <cellStyle name="Normal 64 3" xfId="20249" xr:uid="{00000000-0005-0000-0000-0000DB510000}"/>
    <cellStyle name="Normal 65" xfId="20250" xr:uid="{00000000-0005-0000-0000-0000DC510000}"/>
    <cellStyle name="Normal 65 2" xfId="20251" xr:uid="{00000000-0005-0000-0000-0000DD510000}"/>
    <cellStyle name="Normal 65 2 2" xfId="20252" xr:uid="{00000000-0005-0000-0000-0000DE510000}"/>
    <cellStyle name="Normal 65 2 3" xfId="20253" xr:uid="{00000000-0005-0000-0000-0000DF510000}"/>
    <cellStyle name="Normal 65 2 4" xfId="20254" xr:uid="{00000000-0005-0000-0000-0000E0510000}"/>
    <cellStyle name="Normal 65 3" xfId="20255" xr:uid="{00000000-0005-0000-0000-0000E1510000}"/>
    <cellStyle name="Normal 65 4" xfId="20256" xr:uid="{00000000-0005-0000-0000-0000E2510000}"/>
    <cellStyle name="Normal 66" xfId="20257" xr:uid="{00000000-0005-0000-0000-0000E3510000}"/>
    <cellStyle name="Normal 66 2" xfId="20258" xr:uid="{00000000-0005-0000-0000-0000E4510000}"/>
    <cellStyle name="Normal 66 2 2" xfId="20259" xr:uid="{00000000-0005-0000-0000-0000E5510000}"/>
    <cellStyle name="Normal 66 2 3" xfId="20260" xr:uid="{00000000-0005-0000-0000-0000E6510000}"/>
    <cellStyle name="Normal 66 2 4" xfId="20261" xr:uid="{00000000-0005-0000-0000-0000E7510000}"/>
    <cellStyle name="Normal 66 3" xfId="20262" xr:uid="{00000000-0005-0000-0000-0000E8510000}"/>
    <cellStyle name="Normal 66 4" xfId="20263" xr:uid="{00000000-0005-0000-0000-0000E9510000}"/>
    <cellStyle name="Normal 66 5" xfId="20264" xr:uid="{00000000-0005-0000-0000-0000EA510000}"/>
    <cellStyle name="Normal 67" xfId="20265" xr:uid="{00000000-0005-0000-0000-0000EB510000}"/>
    <cellStyle name="Normal 67 2" xfId="20266" xr:uid="{00000000-0005-0000-0000-0000EC510000}"/>
    <cellStyle name="Normal 67 2 2" xfId="20267" xr:uid="{00000000-0005-0000-0000-0000ED510000}"/>
    <cellStyle name="Normal 67 2 3" xfId="20268" xr:uid="{00000000-0005-0000-0000-0000EE510000}"/>
    <cellStyle name="Normal 67 2 4" xfId="20269" xr:uid="{00000000-0005-0000-0000-0000EF510000}"/>
    <cellStyle name="Normal 67 3" xfId="20270" xr:uid="{00000000-0005-0000-0000-0000F0510000}"/>
    <cellStyle name="Normal 67 4" xfId="20271" xr:uid="{00000000-0005-0000-0000-0000F1510000}"/>
    <cellStyle name="Normal 67 5" xfId="20272" xr:uid="{00000000-0005-0000-0000-0000F2510000}"/>
    <cellStyle name="Normal 67 6" xfId="20273" xr:uid="{00000000-0005-0000-0000-0000F3510000}"/>
    <cellStyle name="Normal 68" xfId="20274" xr:uid="{00000000-0005-0000-0000-0000F4510000}"/>
    <cellStyle name="Normal 68 2" xfId="20275" xr:uid="{00000000-0005-0000-0000-0000F5510000}"/>
    <cellStyle name="Normal 68 2 2" xfId="20276" xr:uid="{00000000-0005-0000-0000-0000F6510000}"/>
    <cellStyle name="Normal 68 2 3" xfId="20277" xr:uid="{00000000-0005-0000-0000-0000F7510000}"/>
    <cellStyle name="Normal 68 2 4" xfId="20278" xr:uid="{00000000-0005-0000-0000-0000F8510000}"/>
    <cellStyle name="Normal 68 3" xfId="20279" xr:uid="{00000000-0005-0000-0000-0000F9510000}"/>
    <cellStyle name="Normal 68 4" xfId="20280" xr:uid="{00000000-0005-0000-0000-0000FA510000}"/>
    <cellStyle name="Normal 68 5" xfId="20281" xr:uid="{00000000-0005-0000-0000-0000FB510000}"/>
    <cellStyle name="Normal 68 6" xfId="20282" xr:uid="{00000000-0005-0000-0000-0000FC510000}"/>
    <cellStyle name="Normal 69" xfId="20283" xr:uid="{00000000-0005-0000-0000-0000FD510000}"/>
    <cellStyle name="Normal 69 2" xfId="20284" xr:uid="{00000000-0005-0000-0000-0000FE510000}"/>
    <cellStyle name="Normal 69 2 2" xfId="20285" xr:uid="{00000000-0005-0000-0000-0000FF510000}"/>
    <cellStyle name="Normal 69 2 3" xfId="20286" xr:uid="{00000000-0005-0000-0000-000000520000}"/>
    <cellStyle name="Normal 69 2 4" xfId="20287" xr:uid="{00000000-0005-0000-0000-000001520000}"/>
    <cellStyle name="Normal 69 3" xfId="20288" xr:uid="{00000000-0005-0000-0000-000002520000}"/>
    <cellStyle name="Normal 69 4" xfId="20289" xr:uid="{00000000-0005-0000-0000-000003520000}"/>
    <cellStyle name="Normal 69 5" xfId="20290" xr:uid="{00000000-0005-0000-0000-000004520000}"/>
    <cellStyle name="Normal 69 6" xfId="20291" xr:uid="{00000000-0005-0000-0000-000005520000}"/>
    <cellStyle name="Normal 7" xfId="20292" xr:uid="{00000000-0005-0000-0000-000006520000}"/>
    <cellStyle name="Normal 7 2" xfId="20293" xr:uid="{00000000-0005-0000-0000-000007520000}"/>
    <cellStyle name="Normal 7 2 2" xfId="20294" xr:uid="{00000000-0005-0000-0000-000008520000}"/>
    <cellStyle name="Normal 7 2 3" xfId="20295" xr:uid="{00000000-0005-0000-0000-000009520000}"/>
    <cellStyle name="Normal 7 3" xfId="20296" xr:uid="{00000000-0005-0000-0000-00000A520000}"/>
    <cellStyle name="Normal 7 3 2" xfId="20297" xr:uid="{00000000-0005-0000-0000-00000B520000}"/>
    <cellStyle name="Normal 7 3 3" xfId="20298" xr:uid="{00000000-0005-0000-0000-00000C520000}"/>
    <cellStyle name="Normal 7 3 4" xfId="20299" xr:uid="{00000000-0005-0000-0000-00000D520000}"/>
    <cellStyle name="Normal 7 4" xfId="20300" xr:uid="{00000000-0005-0000-0000-00000E520000}"/>
    <cellStyle name="Normal 7 4 2" xfId="20301" xr:uid="{00000000-0005-0000-0000-00000F520000}"/>
    <cellStyle name="Normal 7 4 3" xfId="20302" xr:uid="{00000000-0005-0000-0000-000010520000}"/>
    <cellStyle name="Normal 7 4 4" xfId="20303" xr:uid="{00000000-0005-0000-0000-000011520000}"/>
    <cellStyle name="Normal 7 5" xfId="20304" xr:uid="{00000000-0005-0000-0000-000012520000}"/>
    <cellStyle name="Normal 7 5 2" xfId="20305" xr:uid="{00000000-0005-0000-0000-000013520000}"/>
    <cellStyle name="Normal 7 6" xfId="20306" xr:uid="{00000000-0005-0000-0000-000014520000}"/>
    <cellStyle name="Normal 7 6 2" xfId="20307" xr:uid="{00000000-0005-0000-0000-000015520000}"/>
    <cellStyle name="Normal 7 7" xfId="20308" xr:uid="{00000000-0005-0000-0000-000016520000}"/>
    <cellStyle name="Normal 7 8" xfId="20309" xr:uid="{00000000-0005-0000-0000-000017520000}"/>
    <cellStyle name="Normal 7_ADD-DEL SMART TROLLEY" xfId="20310" xr:uid="{00000000-0005-0000-0000-000018520000}"/>
    <cellStyle name="Normal 70" xfId="20311" xr:uid="{00000000-0005-0000-0000-000019520000}"/>
    <cellStyle name="Normal 70 2" xfId="20312" xr:uid="{00000000-0005-0000-0000-00001A520000}"/>
    <cellStyle name="Normal 70 2 2" xfId="20313" xr:uid="{00000000-0005-0000-0000-00001B520000}"/>
    <cellStyle name="Normal 70 2 3" xfId="20314" xr:uid="{00000000-0005-0000-0000-00001C520000}"/>
    <cellStyle name="Normal 70 2 4" xfId="20315" xr:uid="{00000000-0005-0000-0000-00001D520000}"/>
    <cellStyle name="Normal 70 3" xfId="20316" xr:uid="{00000000-0005-0000-0000-00001E520000}"/>
    <cellStyle name="Normal 70 4" xfId="20317" xr:uid="{00000000-0005-0000-0000-00001F520000}"/>
    <cellStyle name="Normal 70 5" xfId="20318" xr:uid="{00000000-0005-0000-0000-000020520000}"/>
    <cellStyle name="Normal 70 6" xfId="20319" xr:uid="{00000000-0005-0000-0000-000021520000}"/>
    <cellStyle name="Normal 71" xfId="20320" xr:uid="{00000000-0005-0000-0000-000022520000}"/>
    <cellStyle name="Normal 71 2" xfId="20321" xr:uid="{00000000-0005-0000-0000-000023520000}"/>
    <cellStyle name="Normal 71 2 2" xfId="20322" xr:uid="{00000000-0005-0000-0000-000024520000}"/>
    <cellStyle name="Normal 71 2 3" xfId="20323" xr:uid="{00000000-0005-0000-0000-000025520000}"/>
    <cellStyle name="Normal 71 2 4" xfId="20324" xr:uid="{00000000-0005-0000-0000-000026520000}"/>
    <cellStyle name="Normal 71 3" xfId="20325" xr:uid="{00000000-0005-0000-0000-000027520000}"/>
    <cellStyle name="Normal 71 4" xfId="20326" xr:uid="{00000000-0005-0000-0000-000028520000}"/>
    <cellStyle name="Normal 71 5" xfId="20327" xr:uid="{00000000-0005-0000-0000-000029520000}"/>
    <cellStyle name="Normal 71 6" xfId="20328" xr:uid="{00000000-0005-0000-0000-00002A520000}"/>
    <cellStyle name="Normal 72" xfId="20329" xr:uid="{00000000-0005-0000-0000-00002B520000}"/>
    <cellStyle name="Normal 72 2" xfId="20330" xr:uid="{00000000-0005-0000-0000-00002C520000}"/>
    <cellStyle name="Normal 72 2 2" xfId="20331" xr:uid="{00000000-0005-0000-0000-00002D520000}"/>
    <cellStyle name="Normal 72 2 3" xfId="20332" xr:uid="{00000000-0005-0000-0000-00002E520000}"/>
    <cellStyle name="Normal 72 2 4" xfId="20333" xr:uid="{00000000-0005-0000-0000-00002F520000}"/>
    <cellStyle name="Normal 72 3" xfId="20334" xr:uid="{00000000-0005-0000-0000-000030520000}"/>
    <cellStyle name="Normal 72 4" xfId="20335" xr:uid="{00000000-0005-0000-0000-000031520000}"/>
    <cellStyle name="Normal 72 5" xfId="20336" xr:uid="{00000000-0005-0000-0000-000032520000}"/>
    <cellStyle name="Normal 72 6" xfId="20337" xr:uid="{00000000-0005-0000-0000-000033520000}"/>
    <cellStyle name="Normal 73" xfId="20338" xr:uid="{00000000-0005-0000-0000-000034520000}"/>
    <cellStyle name="Normal 73 2" xfId="20339" xr:uid="{00000000-0005-0000-0000-000035520000}"/>
    <cellStyle name="Normal 73 2 2" xfId="20340" xr:uid="{00000000-0005-0000-0000-000036520000}"/>
    <cellStyle name="Normal 73 2 3" xfId="20341" xr:uid="{00000000-0005-0000-0000-000037520000}"/>
    <cellStyle name="Normal 73 2 4" xfId="20342" xr:uid="{00000000-0005-0000-0000-000038520000}"/>
    <cellStyle name="Normal 73 3" xfId="20343" xr:uid="{00000000-0005-0000-0000-000039520000}"/>
    <cellStyle name="Normal 73 4" xfId="20344" xr:uid="{00000000-0005-0000-0000-00003A520000}"/>
    <cellStyle name="Normal 73 5" xfId="20345" xr:uid="{00000000-0005-0000-0000-00003B520000}"/>
    <cellStyle name="Normal 73 6" xfId="20346" xr:uid="{00000000-0005-0000-0000-00003C520000}"/>
    <cellStyle name="Normal 74" xfId="20347" xr:uid="{00000000-0005-0000-0000-00003D520000}"/>
    <cellStyle name="Normal 74 2" xfId="20348" xr:uid="{00000000-0005-0000-0000-00003E520000}"/>
    <cellStyle name="Normal 74 2 2" xfId="20349" xr:uid="{00000000-0005-0000-0000-00003F520000}"/>
    <cellStyle name="Normal 74 2 3" xfId="20350" xr:uid="{00000000-0005-0000-0000-000040520000}"/>
    <cellStyle name="Normal 74 2 4" xfId="20351" xr:uid="{00000000-0005-0000-0000-000041520000}"/>
    <cellStyle name="Normal 74 3" xfId="20352" xr:uid="{00000000-0005-0000-0000-000042520000}"/>
    <cellStyle name="Normal 74 3 2" xfId="20353" xr:uid="{00000000-0005-0000-0000-000043520000}"/>
    <cellStyle name="Normal 74 4" xfId="20354" xr:uid="{00000000-0005-0000-0000-000044520000}"/>
    <cellStyle name="Normal 74 5" xfId="20355" xr:uid="{00000000-0005-0000-0000-000045520000}"/>
    <cellStyle name="Normal 74 6" xfId="20356" xr:uid="{00000000-0005-0000-0000-000046520000}"/>
    <cellStyle name="Normal 74 7" xfId="20357" xr:uid="{00000000-0005-0000-0000-000047520000}"/>
    <cellStyle name="Normal 75" xfId="20358" xr:uid="{00000000-0005-0000-0000-000048520000}"/>
    <cellStyle name="Normal 75 2" xfId="20359" xr:uid="{00000000-0005-0000-0000-000049520000}"/>
    <cellStyle name="Normal 75 2 2" xfId="20360" xr:uid="{00000000-0005-0000-0000-00004A520000}"/>
    <cellStyle name="Normal 75 2 3" xfId="20361" xr:uid="{00000000-0005-0000-0000-00004B520000}"/>
    <cellStyle name="Normal 75 2 4" xfId="20362" xr:uid="{00000000-0005-0000-0000-00004C520000}"/>
    <cellStyle name="Normal 75 3" xfId="20363" xr:uid="{00000000-0005-0000-0000-00004D520000}"/>
    <cellStyle name="Normal 75 4" xfId="20364" xr:uid="{00000000-0005-0000-0000-00004E520000}"/>
    <cellStyle name="Normal 75 5" xfId="20365" xr:uid="{00000000-0005-0000-0000-00004F520000}"/>
    <cellStyle name="Normal 75 6" xfId="20366" xr:uid="{00000000-0005-0000-0000-000050520000}"/>
    <cellStyle name="Normal 76" xfId="20367" xr:uid="{00000000-0005-0000-0000-000051520000}"/>
    <cellStyle name="Normal 76 2" xfId="20368" xr:uid="{00000000-0005-0000-0000-000052520000}"/>
    <cellStyle name="Normal 76 2 2" xfId="25328" xr:uid="{00000000-0005-0000-0000-000053520000}"/>
    <cellStyle name="Normal 76 3" xfId="20369" xr:uid="{00000000-0005-0000-0000-000054520000}"/>
    <cellStyle name="Normal 76 4" xfId="25329" xr:uid="{00000000-0005-0000-0000-000055520000}"/>
    <cellStyle name="Normal 77" xfId="20370" xr:uid="{00000000-0005-0000-0000-000056520000}"/>
    <cellStyle name="Normal 77 2" xfId="20371" xr:uid="{00000000-0005-0000-0000-000057520000}"/>
    <cellStyle name="Normal 77 2 2" xfId="20372" xr:uid="{00000000-0005-0000-0000-000058520000}"/>
    <cellStyle name="Normal 77 2 3" xfId="20373" xr:uid="{00000000-0005-0000-0000-000059520000}"/>
    <cellStyle name="Normal 77 2 4" xfId="20374" xr:uid="{00000000-0005-0000-0000-00005A520000}"/>
    <cellStyle name="Normal 77 3" xfId="20375" xr:uid="{00000000-0005-0000-0000-00005B520000}"/>
    <cellStyle name="Normal 77 4" xfId="20376" xr:uid="{00000000-0005-0000-0000-00005C520000}"/>
    <cellStyle name="Normal 77 5" xfId="20377" xr:uid="{00000000-0005-0000-0000-00005D520000}"/>
    <cellStyle name="Normal 77 6" xfId="20378" xr:uid="{00000000-0005-0000-0000-00005E520000}"/>
    <cellStyle name="Normal 78" xfId="20379" xr:uid="{00000000-0005-0000-0000-00005F520000}"/>
    <cellStyle name="Normal 78 2" xfId="20380" xr:uid="{00000000-0005-0000-0000-000060520000}"/>
    <cellStyle name="Normal 78 2 2" xfId="20381" xr:uid="{00000000-0005-0000-0000-000061520000}"/>
    <cellStyle name="Normal 78 2 3" xfId="20382" xr:uid="{00000000-0005-0000-0000-000062520000}"/>
    <cellStyle name="Normal 78 2 4" xfId="20383" xr:uid="{00000000-0005-0000-0000-000063520000}"/>
    <cellStyle name="Normal 78 3" xfId="20384" xr:uid="{00000000-0005-0000-0000-000064520000}"/>
    <cellStyle name="Normal 78 4" xfId="20385" xr:uid="{00000000-0005-0000-0000-000065520000}"/>
    <cellStyle name="Normal 78 5" xfId="20386" xr:uid="{00000000-0005-0000-0000-000066520000}"/>
    <cellStyle name="Normal 79" xfId="20387" xr:uid="{00000000-0005-0000-0000-000067520000}"/>
    <cellStyle name="Normal 79 2" xfId="20388" xr:uid="{00000000-0005-0000-0000-000068520000}"/>
    <cellStyle name="Normal 79 3" xfId="20389" xr:uid="{00000000-0005-0000-0000-000069520000}"/>
    <cellStyle name="Normal 79 4" xfId="20390" xr:uid="{00000000-0005-0000-0000-00006A520000}"/>
    <cellStyle name="Normal 8" xfId="20391" xr:uid="{00000000-0005-0000-0000-00006B520000}"/>
    <cellStyle name="Normal 8 2" xfId="20392" xr:uid="{00000000-0005-0000-0000-00006C520000}"/>
    <cellStyle name="Normal 8 2 2" xfId="20393" xr:uid="{00000000-0005-0000-0000-00006D520000}"/>
    <cellStyle name="Normal 8 2 3" xfId="20394" xr:uid="{00000000-0005-0000-0000-00006E520000}"/>
    <cellStyle name="Normal 8 3" xfId="20395" xr:uid="{00000000-0005-0000-0000-00006F520000}"/>
    <cellStyle name="Normal 8 3 2" xfId="20396" xr:uid="{00000000-0005-0000-0000-000070520000}"/>
    <cellStyle name="Normal 8 3 3" xfId="20397" xr:uid="{00000000-0005-0000-0000-000071520000}"/>
    <cellStyle name="Normal 8 3 4" xfId="20398" xr:uid="{00000000-0005-0000-0000-000072520000}"/>
    <cellStyle name="Normal 8 4" xfId="20399" xr:uid="{00000000-0005-0000-0000-000073520000}"/>
    <cellStyle name="Normal 8 4 2" xfId="20400" xr:uid="{00000000-0005-0000-0000-000074520000}"/>
    <cellStyle name="Normal 8 4 3" xfId="20401" xr:uid="{00000000-0005-0000-0000-000075520000}"/>
    <cellStyle name="Normal 8 4 4" xfId="20402" xr:uid="{00000000-0005-0000-0000-000076520000}"/>
    <cellStyle name="Normal 8 5" xfId="20403" xr:uid="{00000000-0005-0000-0000-000077520000}"/>
    <cellStyle name="Normal 8 5 2" xfId="20404" xr:uid="{00000000-0005-0000-0000-000078520000}"/>
    <cellStyle name="Normal 8 6" xfId="20405" xr:uid="{00000000-0005-0000-0000-000079520000}"/>
    <cellStyle name="Normal 8 7" xfId="20406" xr:uid="{00000000-0005-0000-0000-00007A520000}"/>
    <cellStyle name="Normal 8 8" xfId="20407" xr:uid="{00000000-0005-0000-0000-00007B520000}"/>
    <cellStyle name="Normal 80" xfId="20408" xr:uid="{00000000-0005-0000-0000-00007C520000}"/>
    <cellStyle name="Normal 80 2" xfId="20409" xr:uid="{00000000-0005-0000-0000-00007D520000}"/>
    <cellStyle name="Normal 80 2 2" xfId="20410" xr:uid="{00000000-0005-0000-0000-00007E520000}"/>
    <cellStyle name="Normal 80 2 3" xfId="20411" xr:uid="{00000000-0005-0000-0000-00007F520000}"/>
    <cellStyle name="Normal 80 2 4" xfId="20412" xr:uid="{00000000-0005-0000-0000-000080520000}"/>
    <cellStyle name="Normal 80 3" xfId="20413" xr:uid="{00000000-0005-0000-0000-000081520000}"/>
    <cellStyle name="Normal 80 4" xfId="20414" xr:uid="{00000000-0005-0000-0000-000082520000}"/>
    <cellStyle name="Normal 80 5" xfId="20415" xr:uid="{00000000-0005-0000-0000-000083520000}"/>
    <cellStyle name="Normal 81" xfId="20416" xr:uid="{00000000-0005-0000-0000-000084520000}"/>
    <cellStyle name="Normal 81 2" xfId="20417" xr:uid="{00000000-0005-0000-0000-000085520000}"/>
    <cellStyle name="Normal 81 2 2" xfId="20418" xr:uid="{00000000-0005-0000-0000-000086520000}"/>
    <cellStyle name="Normal 81 2 3" xfId="20419" xr:uid="{00000000-0005-0000-0000-000087520000}"/>
    <cellStyle name="Normal 81 2 4" xfId="20420" xr:uid="{00000000-0005-0000-0000-000088520000}"/>
    <cellStyle name="Normal 81 3" xfId="20421" xr:uid="{00000000-0005-0000-0000-000089520000}"/>
    <cellStyle name="Normal 81 4" xfId="20422" xr:uid="{00000000-0005-0000-0000-00008A520000}"/>
    <cellStyle name="Normal 81 5" xfId="20423" xr:uid="{00000000-0005-0000-0000-00008B520000}"/>
    <cellStyle name="Normal 82" xfId="20424" xr:uid="{00000000-0005-0000-0000-00008C520000}"/>
    <cellStyle name="Normal 82 2" xfId="20425" xr:uid="{00000000-0005-0000-0000-00008D520000}"/>
    <cellStyle name="Normal 82 2 2" xfId="20426" xr:uid="{00000000-0005-0000-0000-00008E520000}"/>
    <cellStyle name="Normal 82 2 3" xfId="20427" xr:uid="{00000000-0005-0000-0000-00008F520000}"/>
    <cellStyle name="Normal 82 2 4" xfId="20428" xr:uid="{00000000-0005-0000-0000-000090520000}"/>
    <cellStyle name="Normal 82 3" xfId="20429" xr:uid="{00000000-0005-0000-0000-000091520000}"/>
    <cellStyle name="Normal 82 4" xfId="20430" xr:uid="{00000000-0005-0000-0000-000092520000}"/>
    <cellStyle name="Normal 82 5" xfId="20431" xr:uid="{00000000-0005-0000-0000-000093520000}"/>
    <cellStyle name="Normal 83" xfId="20432" xr:uid="{00000000-0005-0000-0000-000094520000}"/>
    <cellStyle name="Normal 83 2" xfId="20433" xr:uid="{00000000-0005-0000-0000-000095520000}"/>
    <cellStyle name="Normal 83 2 2" xfId="20434" xr:uid="{00000000-0005-0000-0000-000096520000}"/>
    <cellStyle name="Normal 83 2 3" xfId="20435" xr:uid="{00000000-0005-0000-0000-000097520000}"/>
    <cellStyle name="Normal 83 2 4" xfId="20436" xr:uid="{00000000-0005-0000-0000-000098520000}"/>
    <cellStyle name="Normal 83 3" xfId="20437" xr:uid="{00000000-0005-0000-0000-000099520000}"/>
    <cellStyle name="Normal 83 4" xfId="20438" xr:uid="{00000000-0005-0000-0000-00009A520000}"/>
    <cellStyle name="Normal 83 5" xfId="20439" xr:uid="{00000000-0005-0000-0000-00009B520000}"/>
    <cellStyle name="Normal 84" xfId="20440" xr:uid="{00000000-0005-0000-0000-00009C520000}"/>
    <cellStyle name="Normal 84 2" xfId="20441" xr:uid="{00000000-0005-0000-0000-00009D520000}"/>
    <cellStyle name="Normal 84 2 2" xfId="20442" xr:uid="{00000000-0005-0000-0000-00009E520000}"/>
    <cellStyle name="Normal 84 2 3" xfId="20443" xr:uid="{00000000-0005-0000-0000-00009F520000}"/>
    <cellStyle name="Normal 84 2 4" xfId="20444" xr:uid="{00000000-0005-0000-0000-0000A0520000}"/>
    <cellStyle name="Normal 84 3" xfId="20445" xr:uid="{00000000-0005-0000-0000-0000A1520000}"/>
    <cellStyle name="Normal 84 4" xfId="20446" xr:uid="{00000000-0005-0000-0000-0000A2520000}"/>
    <cellStyle name="Normal 84 5" xfId="20447" xr:uid="{00000000-0005-0000-0000-0000A3520000}"/>
    <cellStyle name="Normal 85" xfId="20448" xr:uid="{00000000-0005-0000-0000-0000A4520000}"/>
    <cellStyle name="Normal 85 2" xfId="20449" xr:uid="{00000000-0005-0000-0000-0000A5520000}"/>
    <cellStyle name="Normal 85 2 2" xfId="20450" xr:uid="{00000000-0005-0000-0000-0000A6520000}"/>
    <cellStyle name="Normal 85 2 3" xfId="20451" xr:uid="{00000000-0005-0000-0000-0000A7520000}"/>
    <cellStyle name="Normal 85 2 4" xfId="20452" xr:uid="{00000000-0005-0000-0000-0000A8520000}"/>
    <cellStyle name="Normal 85 3" xfId="20453" xr:uid="{00000000-0005-0000-0000-0000A9520000}"/>
    <cellStyle name="Normal 85 4" xfId="20454" xr:uid="{00000000-0005-0000-0000-0000AA520000}"/>
    <cellStyle name="Normal 85 5" xfId="20455" xr:uid="{00000000-0005-0000-0000-0000AB520000}"/>
    <cellStyle name="Normal 86" xfId="20456" xr:uid="{00000000-0005-0000-0000-0000AC520000}"/>
    <cellStyle name="Normal 86 2" xfId="20457" xr:uid="{00000000-0005-0000-0000-0000AD520000}"/>
    <cellStyle name="Normal 86 2 2" xfId="20458" xr:uid="{00000000-0005-0000-0000-0000AE520000}"/>
    <cellStyle name="Normal 86 2 3" xfId="20459" xr:uid="{00000000-0005-0000-0000-0000AF520000}"/>
    <cellStyle name="Normal 86 2 4" xfId="20460" xr:uid="{00000000-0005-0000-0000-0000B0520000}"/>
    <cellStyle name="Normal 86 3" xfId="20461" xr:uid="{00000000-0005-0000-0000-0000B1520000}"/>
    <cellStyle name="Normal 86 4" xfId="20462" xr:uid="{00000000-0005-0000-0000-0000B2520000}"/>
    <cellStyle name="Normal 86 5" xfId="20463" xr:uid="{00000000-0005-0000-0000-0000B3520000}"/>
    <cellStyle name="Normal 87" xfId="20464" xr:uid="{00000000-0005-0000-0000-0000B4520000}"/>
    <cellStyle name="Normal 87 2" xfId="20465" xr:uid="{00000000-0005-0000-0000-0000B5520000}"/>
    <cellStyle name="Normal 87 2 2" xfId="20466" xr:uid="{00000000-0005-0000-0000-0000B6520000}"/>
    <cellStyle name="Normal 87 2 3" xfId="20467" xr:uid="{00000000-0005-0000-0000-0000B7520000}"/>
    <cellStyle name="Normal 87 2 4" xfId="20468" xr:uid="{00000000-0005-0000-0000-0000B8520000}"/>
    <cellStyle name="Normal 87 3" xfId="20469" xr:uid="{00000000-0005-0000-0000-0000B9520000}"/>
    <cellStyle name="Normal 87 4" xfId="20470" xr:uid="{00000000-0005-0000-0000-0000BA520000}"/>
    <cellStyle name="Normal 87 5" xfId="20471" xr:uid="{00000000-0005-0000-0000-0000BB520000}"/>
    <cellStyle name="Normal 88" xfId="20472" xr:uid="{00000000-0005-0000-0000-0000BC520000}"/>
    <cellStyle name="Normal 88 2" xfId="20473" xr:uid="{00000000-0005-0000-0000-0000BD520000}"/>
    <cellStyle name="Normal 88 2 2" xfId="20474" xr:uid="{00000000-0005-0000-0000-0000BE520000}"/>
    <cellStyle name="Normal 88 2 3" xfId="20475" xr:uid="{00000000-0005-0000-0000-0000BF520000}"/>
    <cellStyle name="Normal 88 2 4" xfId="20476" xr:uid="{00000000-0005-0000-0000-0000C0520000}"/>
    <cellStyle name="Normal 88 3" xfId="25330" xr:uid="{00000000-0005-0000-0000-0000C1520000}"/>
    <cellStyle name="Normal 88 4" xfId="25331" xr:uid="{00000000-0005-0000-0000-0000C2520000}"/>
    <cellStyle name="Normal 89" xfId="20477" xr:uid="{00000000-0005-0000-0000-0000C3520000}"/>
    <cellStyle name="Normal 89 2" xfId="20478" xr:uid="{00000000-0005-0000-0000-0000C4520000}"/>
    <cellStyle name="Normal 89 2 2" xfId="25332" xr:uid="{00000000-0005-0000-0000-0000C5520000}"/>
    <cellStyle name="Normal 89 3" xfId="20479" xr:uid="{00000000-0005-0000-0000-0000C6520000}"/>
    <cellStyle name="Normal 89 4" xfId="25333" xr:uid="{00000000-0005-0000-0000-0000C7520000}"/>
    <cellStyle name="Normal 9" xfId="20480" xr:uid="{00000000-0005-0000-0000-0000C8520000}"/>
    <cellStyle name="Normal 9 2" xfId="20481" xr:uid="{00000000-0005-0000-0000-0000C9520000}"/>
    <cellStyle name="Normal 9 2 2" xfId="20482" xr:uid="{00000000-0005-0000-0000-0000CA520000}"/>
    <cellStyle name="Normal 9 2 3" xfId="20483" xr:uid="{00000000-0005-0000-0000-0000CB520000}"/>
    <cellStyle name="Normal 9 3" xfId="20484" xr:uid="{00000000-0005-0000-0000-0000CC520000}"/>
    <cellStyle name="Normal 9 3 2" xfId="20485" xr:uid="{00000000-0005-0000-0000-0000CD520000}"/>
    <cellStyle name="Normal 9 3 3" xfId="20486" xr:uid="{00000000-0005-0000-0000-0000CE520000}"/>
    <cellStyle name="Normal 9 3 4" xfId="20487" xr:uid="{00000000-0005-0000-0000-0000CF520000}"/>
    <cellStyle name="Normal 9 4" xfId="20488" xr:uid="{00000000-0005-0000-0000-0000D0520000}"/>
    <cellStyle name="Normal 9 4 2" xfId="20489" xr:uid="{00000000-0005-0000-0000-0000D1520000}"/>
    <cellStyle name="Normal 9 4 3" xfId="20490" xr:uid="{00000000-0005-0000-0000-0000D2520000}"/>
    <cellStyle name="Normal 9 4 4" xfId="20491" xr:uid="{00000000-0005-0000-0000-0000D3520000}"/>
    <cellStyle name="Normal 9 5" xfId="20492" xr:uid="{00000000-0005-0000-0000-0000D4520000}"/>
    <cellStyle name="Normal 9 5 2" xfId="20493" xr:uid="{00000000-0005-0000-0000-0000D5520000}"/>
    <cellStyle name="Normal 9 5 3" xfId="20494" xr:uid="{00000000-0005-0000-0000-0000D6520000}"/>
    <cellStyle name="Normal 9 5 4" xfId="20495" xr:uid="{00000000-0005-0000-0000-0000D7520000}"/>
    <cellStyle name="Normal 9 6" xfId="20496" xr:uid="{00000000-0005-0000-0000-0000D8520000}"/>
    <cellStyle name="Normal 9 7" xfId="20497" xr:uid="{00000000-0005-0000-0000-0000D9520000}"/>
    <cellStyle name="Normal 9_ADD-DEL SMART TROLLEY" xfId="20498" xr:uid="{00000000-0005-0000-0000-0000DA520000}"/>
    <cellStyle name="Normal 90" xfId="20499" xr:uid="{00000000-0005-0000-0000-0000DB520000}"/>
    <cellStyle name="Normal 90 2" xfId="20500" xr:uid="{00000000-0005-0000-0000-0000DC520000}"/>
    <cellStyle name="Normal 90 2 2" xfId="20501" xr:uid="{00000000-0005-0000-0000-0000DD520000}"/>
    <cellStyle name="Normal 90 2 3" xfId="20502" xr:uid="{00000000-0005-0000-0000-0000DE520000}"/>
    <cellStyle name="Normal 90 2 4" xfId="20503" xr:uid="{00000000-0005-0000-0000-0000DF520000}"/>
    <cellStyle name="Normal 90 3" xfId="20504" xr:uid="{00000000-0005-0000-0000-0000E0520000}"/>
    <cellStyle name="Normal 90 4" xfId="20505" xr:uid="{00000000-0005-0000-0000-0000E1520000}"/>
    <cellStyle name="Normal 90 5" xfId="20506" xr:uid="{00000000-0005-0000-0000-0000E2520000}"/>
    <cellStyle name="Normal 91" xfId="20507" xr:uid="{00000000-0005-0000-0000-0000E3520000}"/>
    <cellStyle name="Normal 91 10" xfId="25334" xr:uid="{00000000-0005-0000-0000-0000E4520000}"/>
    <cellStyle name="Normal 91 11" xfId="25335" xr:uid="{00000000-0005-0000-0000-0000E5520000}"/>
    <cellStyle name="Normal 91 12" xfId="25336" xr:uid="{00000000-0005-0000-0000-0000E6520000}"/>
    <cellStyle name="Normal 91 13" xfId="25337" xr:uid="{00000000-0005-0000-0000-0000E7520000}"/>
    <cellStyle name="Normal 91 2" xfId="20508" xr:uid="{00000000-0005-0000-0000-0000E8520000}"/>
    <cellStyle name="Normal 91 2 2" xfId="20509" xr:uid="{00000000-0005-0000-0000-0000E9520000}"/>
    <cellStyle name="Normal 91 2 3" xfId="20510" xr:uid="{00000000-0005-0000-0000-0000EA520000}"/>
    <cellStyle name="Normal 91 2 4" xfId="20511" xr:uid="{00000000-0005-0000-0000-0000EB520000}"/>
    <cellStyle name="Normal 91 3" xfId="20512" xr:uid="{00000000-0005-0000-0000-0000EC520000}"/>
    <cellStyle name="Normal 91 3 2" xfId="25338" xr:uid="{00000000-0005-0000-0000-0000ED520000}"/>
    <cellStyle name="Normal 91 3 3" xfId="25339" xr:uid="{00000000-0005-0000-0000-0000EE520000}"/>
    <cellStyle name="Normal 91 3 4" xfId="25340" xr:uid="{00000000-0005-0000-0000-0000EF520000}"/>
    <cellStyle name="Normal 91 3 5" xfId="25341" xr:uid="{00000000-0005-0000-0000-0000F0520000}"/>
    <cellStyle name="Normal 91 3 6" xfId="25342" xr:uid="{00000000-0005-0000-0000-0000F1520000}"/>
    <cellStyle name="Normal 91 3 7" xfId="25343" xr:uid="{00000000-0005-0000-0000-0000F2520000}"/>
    <cellStyle name="Normal 91 3 8" xfId="25344" xr:uid="{00000000-0005-0000-0000-0000F3520000}"/>
    <cellStyle name="Normal 91 4" xfId="20513" xr:uid="{00000000-0005-0000-0000-0000F4520000}"/>
    <cellStyle name="Normal 91 4 2" xfId="25345" xr:uid="{00000000-0005-0000-0000-0000F5520000}"/>
    <cellStyle name="Normal 91 4 3" xfId="25346" xr:uid="{00000000-0005-0000-0000-0000F6520000}"/>
    <cellStyle name="Normal 91 5" xfId="20514" xr:uid="{00000000-0005-0000-0000-0000F7520000}"/>
    <cellStyle name="Normal 91 6" xfId="25347" xr:uid="{00000000-0005-0000-0000-0000F8520000}"/>
    <cellStyle name="Normal 91 7" xfId="25348" xr:uid="{00000000-0005-0000-0000-0000F9520000}"/>
    <cellStyle name="Normal 91 8" xfId="25349" xr:uid="{00000000-0005-0000-0000-0000FA520000}"/>
    <cellStyle name="Normal 91 9" xfId="25350" xr:uid="{00000000-0005-0000-0000-0000FB520000}"/>
    <cellStyle name="Normal 92" xfId="20515" xr:uid="{00000000-0005-0000-0000-0000FC520000}"/>
    <cellStyle name="Normal 92 10" xfId="25351" xr:uid="{00000000-0005-0000-0000-0000FD520000}"/>
    <cellStyle name="Normal 92 11" xfId="25352" xr:uid="{00000000-0005-0000-0000-0000FE520000}"/>
    <cellStyle name="Normal 92 2" xfId="20516" xr:uid="{00000000-0005-0000-0000-0000FF520000}"/>
    <cellStyle name="Normal 92 2 2" xfId="20517" xr:uid="{00000000-0005-0000-0000-000000530000}"/>
    <cellStyle name="Normal 92 2 3" xfId="20518" xr:uid="{00000000-0005-0000-0000-000001530000}"/>
    <cellStyle name="Normal 92 2 4" xfId="20519" xr:uid="{00000000-0005-0000-0000-000002530000}"/>
    <cellStyle name="Normal 92 3" xfId="20520" xr:uid="{00000000-0005-0000-0000-000003530000}"/>
    <cellStyle name="Normal 92 3 2" xfId="25353" xr:uid="{00000000-0005-0000-0000-000004530000}"/>
    <cellStyle name="Normal 92 3 3" xfId="25354" xr:uid="{00000000-0005-0000-0000-000005530000}"/>
    <cellStyle name="Normal 92 3 4" xfId="25355" xr:uid="{00000000-0005-0000-0000-000006530000}"/>
    <cellStyle name="Normal 92 3 5" xfId="25356" xr:uid="{00000000-0005-0000-0000-000007530000}"/>
    <cellStyle name="Normal 92 3 6" xfId="25357" xr:uid="{00000000-0005-0000-0000-000008530000}"/>
    <cellStyle name="Normal 92 3 7" xfId="25358" xr:uid="{00000000-0005-0000-0000-000009530000}"/>
    <cellStyle name="Normal 92 3 8" xfId="25359" xr:uid="{00000000-0005-0000-0000-00000A530000}"/>
    <cellStyle name="Normal 92 4" xfId="20521" xr:uid="{00000000-0005-0000-0000-00000B530000}"/>
    <cellStyle name="Normal 92 4 2" xfId="25360" xr:uid="{00000000-0005-0000-0000-00000C530000}"/>
    <cellStyle name="Normal 92 4 3" xfId="25361" xr:uid="{00000000-0005-0000-0000-00000D530000}"/>
    <cellStyle name="Normal 92 5" xfId="20522" xr:uid="{00000000-0005-0000-0000-00000E530000}"/>
    <cellStyle name="Normal 92 6" xfId="25362" xr:uid="{00000000-0005-0000-0000-00000F530000}"/>
    <cellStyle name="Normal 92 7" xfId="25363" xr:uid="{00000000-0005-0000-0000-000010530000}"/>
    <cellStyle name="Normal 92 8" xfId="25364" xr:uid="{00000000-0005-0000-0000-000011530000}"/>
    <cellStyle name="Normal 92 9" xfId="25365" xr:uid="{00000000-0005-0000-0000-000012530000}"/>
    <cellStyle name="Normal 93" xfId="20523" xr:uid="{00000000-0005-0000-0000-000013530000}"/>
    <cellStyle name="Normal 93 10" xfId="25366" xr:uid="{00000000-0005-0000-0000-000014530000}"/>
    <cellStyle name="Normal 93 11" xfId="25367" xr:uid="{00000000-0005-0000-0000-000015530000}"/>
    <cellStyle name="Normal 93 2" xfId="20524" xr:uid="{00000000-0005-0000-0000-000016530000}"/>
    <cellStyle name="Normal 93 2 2" xfId="20525" xr:uid="{00000000-0005-0000-0000-000017530000}"/>
    <cellStyle name="Normal 93 2 3" xfId="20526" xr:uid="{00000000-0005-0000-0000-000018530000}"/>
    <cellStyle name="Normal 93 2 4" xfId="20527" xr:uid="{00000000-0005-0000-0000-000019530000}"/>
    <cellStyle name="Normal 93 3" xfId="20528" xr:uid="{00000000-0005-0000-0000-00001A530000}"/>
    <cellStyle name="Normal 93 3 2" xfId="25368" xr:uid="{00000000-0005-0000-0000-00001B530000}"/>
    <cellStyle name="Normal 93 3 3" xfId="25369" xr:uid="{00000000-0005-0000-0000-00001C530000}"/>
    <cellStyle name="Normal 93 3 4" xfId="25370" xr:uid="{00000000-0005-0000-0000-00001D530000}"/>
    <cellStyle name="Normal 93 3 5" xfId="25371" xr:uid="{00000000-0005-0000-0000-00001E530000}"/>
    <cellStyle name="Normal 93 3 6" xfId="25372" xr:uid="{00000000-0005-0000-0000-00001F530000}"/>
    <cellStyle name="Normal 93 3 7" xfId="25373" xr:uid="{00000000-0005-0000-0000-000020530000}"/>
    <cellStyle name="Normal 93 3 8" xfId="25374" xr:uid="{00000000-0005-0000-0000-000021530000}"/>
    <cellStyle name="Normal 93 4" xfId="20529" xr:uid="{00000000-0005-0000-0000-000022530000}"/>
    <cellStyle name="Normal 93 4 2" xfId="25375" xr:uid="{00000000-0005-0000-0000-000023530000}"/>
    <cellStyle name="Normal 93 4 3" xfId="25376" xr:uid="{00000000-0005-0000-0000-000024530000}"/>
    <cellStyle name="Normal 93 5" xfId="20530" xr:uid="{00000000-0005-0000-0000-000025530000}"/>
    <cellStyle name="Normal 93 6" xfId="25377" xr:uid="{00000000-0005-0000-0000-000026530000}"/>
    <cellStyle name="Normal 93 7" xfId="25378" xr:uid="{00000000-0005-0000-0000-000027530000}"/>
    <cellStyle name="Normal 93 8" xfId="25379" xr:uid="{00000000-0005-0000-0000-000028530000}"/>
    <cellStyle name="Normal 93 9" xfId="25380" xr:uid="{00000000-0005-0000-0000-000029530000}"/>
    <cellStyle name="Normal 94" xfId="20531" xr:uid="{00000000-0005-0000-0000-00002A530000}"/>
    <cellStyle name="Normal 94 10" xfId="25381" xr:uid="{00000000-0005-0000-0000-00002B530000}"/>
    <cellStyle name="Normal 94 11" xfId="25382" xr:uid="{00000000-0005-0000-0000-00002C530000}"/>
    <cellStyle name="Normal 94 2" xfId="20532" xr:uid="{00000000-0005-0000-0000-00002D530000}"/>
    <cellStyle name="Normal 94 2 10" xfId="25383" xr:uid="{00000000-0005-0000-0000-00002E530000}"/>
    <cellStyle name="Normal 94 2 2" xfId="20533" xr:uid="{00000000-0005-0000-0000-00002F530000}"/>
    <cellStyle name="Normal 94 2 2 2" xfId="25384" xr:uid="{00000000-0005-0000-0000-000030530000}"/>
    <cellStyle name="Normal 94 2 2 3" xfId="25385" xr:uid="{00000000-0005-0000-0000-000031530000}"/>
    <cellStyle name="Normal 94 2 2 4" xfId="25386" xr:uid="{00000000-0005-0000-0000-000032530000}"/>
    <cellStyle name="Normal 94 2 2 5" xfId="25387" xr:uid="{00000000-0005-0000-0000-000033530000}"/>
    <cellStyle name="Normal 94 2 2 6" xfId="25388" xr:uid="{00000000-0005-0000-0000-000034530000}"/>
    <cellStyle name="Normal 94 2 2 7" xfId="25389" xr:uid="{00000000-0005-0000-0000-000035530000}"/>
    <cellStyle name="Normal 94 2 2 8" xfId="25390" xr:uid="{00000000-0005-0000-0000-000036530000}"/>
    <cellStyle name="Normal 94 2 3" xfId="20534" xr:uid="{00000000-0005-0000-0000-000037530000}"/>
    <cellStyle name="Normal 94 2 4" xfId="20535" xr:uid="{00000000-0005-0000-0000-000038530000}"/>
    <cellStyle name="Normal 94 2 5" xfId="25391" xr:uid="{00000000-0005-0000-0000-000039530000}"/>
    <cellStyle name="Normal 94 2 6" xfId="25392" xr:uid="{00000000-0005-0000-0000-00003A530000}"/>
    <cellStyle name="Normal 94 2 7" xfId="25393" xr:uid="{00000000-0005-0000-0000-00003B530000}"/>
    <cellStyle name="Normal 94 2 8" xfId="25394" xr:uid="{00000000-0005-0000-0000-00003C530000}"/>
    <cellStyle name="Normal 94 2 9" xfId="25395" xr:uid="{00000000-0005-0000-0000-00003D530000}"/>
    <cellStyle name="Normal 94 3" xfId="20536" xr:uid="{00000000-0005-0000-0000-00003E530000}"/>
    <cellStyle name="Normal 94 3 2" xfId="25396" xr:uid="{00000000-0005-0000-0000-00003F530000}"/>
    <cellStyle name="Normal 94 3 3" xfId="25397" xr:uid="{00000000-0005-0000-0000-000040530000}"/>
    <cellStyle name="Normal 94 3 4" xfId="25398" xr:uid="{00000000-0005-0000-0000-000041530000}"/>
    <cellStyle name="Normal 94 3 5" xfId="25399" xr:uid="{00000000-0005-0000-0000-000042530000}"/>
    <cellStyle name="Normal 94 3 6" xfId="25400" xr:uid="{00000000-0005-0000-0000-000043530000}"/>
    <cellStyle name="Normal 94 3 7" xfId="25401" xr:uid="{00000000-0005-0000-0000-000044530000}"/>
    <cellStyle name="Normal 94 3 8" xfId="25402" xr:uid="{00000000-0005-0000-0000-000045530000}"/>
    <cellStyle name="Normal 94 4" xfId="20537" xr:uid="{00000000-0005-0000-0000-000046530000}"/>
    <cellStyle name="Normal 94 5" xfId="20538" xr:uid="{00000000-0005-0000-0000-000047530000}"/>
    <cellStyle name="Normal 94 6" xfId="25403" xr:uid="{00000000-0005-0000-0000-000048530000}"/>
    <cellStyle name="Normal 94 7" xfId="25404" xr:uid="{00000000-0005-0000-0000-000049530000}"/>
    <cellStyle name="Normal 94 8" xfId="25405" xr:uid="{00000000-0005-0000-0000-00004A530000}"/>
    <cellStyle name="Normal 94 9" xfId="25406" xr:uid="{00000000-0005-0000-0000-00004B530000}"/>
    <cellStyle name="Normal 95" xfId="20539" xr:uid="{00000000-0005-0000-0000-00004C530000}"/>
    <cellStyle name="Normal 95 10" xfId="25407" xr:uid="{00000000-0005-0000-0000-00004D530000}"/>
    <cellStyle name="Normal 95 11" xfId="25408" xr:uid="{00000000-0005-0000-0000-00004E530000}"/>
    <cellStyle name="Normal 95 2" xfId="20540" xr:uid="{00000000-0005-0000-0000-00004F530000}"/>
    <cellStyle name="Normal 95 2 10" xfId="25409" xr:uid="{00000000-0005-0000-0000-000050530000}"/>
    <cellStyle name="Normal 95 2 2" xfId="20541" xr:uid="{00000000-0005-0000-0000-000051530000}"/>
    <cellStyle name="Normal 95 2 2 2" xfId="25410" xr:uid="{00000000-0005-0000-0000-000052530000}"/>
    <cellStyle name="Normal 95 2 2 3" xfId="25411" xr:uid="{00000000-0005-0000-0000-000053530000}"/>
    <cellStyle name="Normal 95 2 2 4" xfId="25412" xr:uid="{00000000-0005-0000-0000-000054530000}"/>
    <cellStyle name="Normal 95 2 2 5" xfId="25413" xr:uid="{00000000-0005-0000-0000-000055530000}"/>
    <cellStyle name="Normal 95 2 2 6" xfId="25414" xr:uid="{00000000-0005-0000-0000-000056530000}"/>
    <cellStyle name="Normal 95 2 2 7" xfId="25415" xr:uid="{00000000-0005-0000-0000-000057530000}"/>
    <cellStyle name="Normal 95 2 2 8" xfId="25416" xr:uid="{00000000-0005-0000-0000-000058530000}"/>
    <cellStyle name="Normal 95 2 3" xfId="20542" xr:uid="{00000000-0005-0000-0000-000059530000}"/>
    <cellStyle name="Normal 95 2 4" xfId="20543" xr:uid="{00000000-0005-0000-0000-00005A530000}"/>
    <cellStyle name="Normal 95 2 5" xfId="25417" xr:uid="{00000000-0005-0000-0000-00005B530000}"/>
    <cellStyle name="Normal 95 2 6" xfId="25418" xr:uid="{00000000-0005-0000-0000-00005C530000}"/>
    <cellStyle name="Normal 95 2 7" xfId="25419" xr:uid="{00000000-0005-0000-0000-00005D530000}"/>
    <cellStyle name="Normal 95 2 8" xfId="25420" xr:uid="{00000000-0005-0000-0000-00005E530000}"/>
    <cellStyle name="Normal 95 2 9" xfId="25421" xr:uid="{00000000-0005-0000-0000-00005F530000}"/>
    <cellStyle name="Normal 95 3" xfId="20544" xr:uid="{00000000-0005-0000-0000-000060530000}"/>
    <cellStyle name="Normal 95 3 2" xfId="25422" xr:uid="{00000000-0005-0000-0000-000061530000}"/>
    <cellStyle name="Normal 95 3 3" xfId="25423" xr:uid="{00000000-0005-0000-0000-000062530000}"/>
    <cellStyle name="Normal 95 3 4" xfId="25424" xr:uid="{00000000-0005-0000-0000-000063530000}"/>
    <cellStyle name="Normal 95 3 5" xfId="25425" xr:uid="{00000000-0005-0000-0000-000064530000}"/>
    <cellStyle name="Normal 95 3 6" xfId="25426" xr:uid="{00000000-0005-0000-0000-000065530000}"/>
    <cellStyle name="Normal 95 3 7" xfId="25427" xr:uid="{00000000-0005-0000-0000-000066530000}"/>
    <cellStyle name="Normal 95 3 8" xfId="25428" xr:uid="{00000000-0005-0000-0000-000067530000}"/>
    <cellStyle name="Normal 95 4" xfId="20545" xr:uid="{00000000-0005-0000-0000-000068530000}"/>
    <cellStyle name="Normal 95 5" xfId="20546" xr:uid="{00000000-0005-0000-0000-000069530000}"/>
    <cellStyle name="Normal 95 6" xfId="25429" xr:uid="{00000000-0005-0000-0000-00006A530000}"/>
    <cellStyle name="Normal 95 7" xfId="25430" xr:uid="{00000000-0005-0000-0000-00006B530000}"/>
    <cellStyle name="Normal 95 8" xfId="25431" xr:uid="{00000000-0005-0000-0000-00006C530000}"/>
    <cellStyle name="Normal 95 9" xfId="25432" xr:uid="{00000000-0005-0000-0000-00006D530000}"/>
    <cellStyle name="Normal 96" xfId="20547" xr:uid="{00000000-0005-0000-0000-00006E530000}"/>
    <cellStyle name="Normal 96 10" xfId="25433" xr:uid="{00000000-0005-0000-0000-00006F530000}"/>
    <cellStyle name="Normal 96 11" xfId="25434" xr:uid="{00000000-0005-0000-0000-000070530000}"/>
    <cellStyle name="Normal 96 2" xfId="20548" xr:uid="{00000000-0005-0000-0000-000071530000}"/>
    <cellStyle name="Normal 96 2 2" xfId="20549" xr:uid="{00000000-0005-0000-0000-000072530000}"/>
    <cellStyle name="Normal 96 2 3" xfId="20550" xr:uid="{00000000-0005-0000-0000-000073530000}"/>
    <cellStyle name="Normal 96 2 4" xfId="20551" xr:uid="{00000000-0005-0000-0000-000074530000}"/>
    <cellStyle name="Normal 96 2 5" xfId="25435" xr:uid="{00000000-0005-0000-0000-000075530000}"/>
    <cellStyle name="Normal 96 2 6" xfId="25436" xr:uid="{00000000-0005-0000-0000-000076530000}"/>
    <cellStyle name="Normal 96 2 7" xfId="25437" xr:uid="{00000000-0005-0000-0000-000077530000}"/>
    <cellStyle name="Normal 96 2 8" xfId="25438" xr:uid="{00000000-0005-0000-0000-000078530000}"/>
    <cellStyle name="Normal 96 3" xfId="20552" xr:uid="{00000000-0005-0000-0000-000079530000}"/>
    <cellStyle name="Normal 96 4" xfId="20553" xr:uid="{00000000-0005-0000-0000-00007A530000}"/>
    <cellStyle name="Normal 96 5" xfId="20554" xr:uid="{00000000-0005-0000-0000-00007B530000}"/>
    <cellStyle name="Normal 96 6" xfId="25439" xr:uid="{00000000-0005-0000-0000-00007C530000}"/>
    <cellStyle name="Normal 96 7" xfId="25440" xr:uid="{00000000-0005-0000-0000-00007D530000}"/>
    <cellStyle name="Normal 96 8" xfId="25441" xr:uid="{00000000-0005-0000-0000-00007E530000}"/>
    <cellStyle name="Normal 96 9" xfId="25442" xr:uid="{00000000-0005-0000-0000-00007F530000}"/>
    <cellStyle name="Normal 97" xfId="20555" xr:uid="{00000000-0005-0000-0000-000080530000}"/>
    <cellStyle name="Normal 97 2" xfId="20556" xr:uid="{00000000-0005-0000-0000-000081530000}"/>
    <cellStyle name="Normal 97 2 2" xfId="20557" xr:uid="{00000000-0005-0000-0000-000082530000}"/>
    <cellStyle name="Normal 97 2 3" xfId="20558" xr:uid="{00000000-0005-0000-0000-000083530000}"/>
    <cellStyle name="Normal 97 2 4" xfId="20559" xr:uid="{00000000-0005-0000-0000-000084530000}"/>
    <cellStyle name="Normal 97 3" xfId="20560" xr:uid="{00000000-0005-0000-0000-000085530000}"/>
    <cellStyle name="Normal 97 4" xfId="20561" xr:uid="{00000000-0005-0000-0000-000086530000}"/>
    <cellStyle name="Normal 97 5" xfId="20562" xr:uid="{00000000-0005-0000-0000-000087530000}"/>
    <cellStyle name="Normal 98" xfId="20563" xr:uid="{00000000-0005-0000-0000-000088530000}"/>
    <cellStyle name="Normal 98 2" xfId="20564" xr:uid="{00000000-0005-0000-0000-000089530000}"/>
    <cellStyle name="Normal 98 2 2" xfId="20565" xr:uid="{00000000-0005-0000-0000-00008A530000}"/>
    <cellStyle name="Normal 98 2 3" xfId="20566" xr:uid="{00000000-0005-0000-0000-00008B530000}"/>
    <cellStyle name="Normal 98 2 4" xfId="20567" xr:uid="{00000000-0005-0000-0000-00008C530000}"/>
    <cellStyle name="Normal 98 3" xfId="20568" xr:uid="{00000000-0005-0000-0000-00008D530000}"/>
    <cellStyle name="Normal 98 4" xfId="20569" xr:uid="{00000000-0005-0000-0000-00008E530000}"/>
    <cellStyle name="Normal 98 5" xfId="20570" xr:uid="{00000000-0005-0000-0000-00008F530000}"/>
    <cellStyle name="Normal 99" xfId="20571" xr:uid="{00000000-0005-0000-0000-000090530000}"/>
    <cellStyle name="Normal 99 2" xfId="20572" xr:uid="{00000000-0005-0000-0000-000091530000}"/>
    <cellStyle name="Normal 99 2 2" xfId="20573" xr:uid="{00000000-0005-0000-0000-000092530000}"/>
    <cellStyle name="Normal 99 2 3" xfId="20574" xr:uid="{00000000-0005-0000-0000-000093530000}"/>
    <cellStyle name="Normal 99 2 4" xfId="20575" xr:uid="{00000000-0005-0000-0000-000094530000}"/>
    <cellStyle name="Normal 99 3" xfId="20576" xr:uid="{00000000-0005-0000-0000-000095530000}"/>
    <cellStyle name="Normal 99 4" xfId="20577" xr:uid="{00000000-0005-0000-0000-000096530000}"/>
    <cellStyle name="Normal 99 5" xfId="20578" xr:uid="{00000000-0005-0000-0000-000097530000}"/>
    <cellStyle name="NormalBlue" xfId="20579" xr:uid="{00000000-0005-0000-0000-000098530000}"/>
    <cellStyle name="NormalBlue 2" xfId="20580" xr:uid="{00000000-0005-0000-0000-000099530000}"/>
    <cellStyle name="NormalBlue 3" xfId="20581" xr:uid="{00000000-0005-0000-0000-00009A530000}"/>
    <cellStyle name="NormalBlue 4" xfId="20582" xr:uid="{00000000-0005-0000-0000-00009B530000}"/>
    <cellStyle name="NormalBold" xfId="20583" xr:uid="{00000000-0005-0000-0000-00009C530000}"/>
    <cellStyle name="NormalBold 2" xfId="20584" xr:uid="{00000000-0005-0000-0000-00009D530000}"/>
    <cellStyle name="NormalBold 3" xfId="20585" xr:uid="{00000000-0005-0000-0000-00009E530000}"/>
    <cellStyle name="NormalBold 4" xfId="20586" xr:uid="{00000000-0005-0000-0000-00009F530000}"/>
    <cellStyle name="Normale_Foglio1" xfId="20587" xr:uid="{00000000-0005-0000-0000-0000A0530000}"/>
    <cellStyle name="NormalNumber%" xfId="20588" xr:uid="{00000000-0005-0000-0000-0000A1530000}"/>
    <cellStyle name="NormalNumber% 2" xfId="20589" xr:uid="{00000000-0005-0000-0000-0000A2530000}"/>
    <cellStyle name="NormalNumber% 3" xfId="20590" xr:uid="{00000000-0005-0000-0000-0000A3530000}"/>
    <cellStyle name="NormalNumber% 4" xfId="20591" xr:uid="{00000000-0005-0000-0000-0000A4530000}"/>
    <cellStyle name="Normalny 3" xfId="20592" xr:uid="{00000000-0005-0000-0000-0000A5530000}"/>
    <cellStyle name="Normalny 3 2" xfId="20593" xr:uid="{00000000-0005-0000-0000-0000A6530000}"/>
    <cellStyle name="Normalny 3 2 2" xfId="20594" xr:uid="{00000000-0005-0000-0000-0000A7530000}"/>
    <cellStyle name="Normalny 3 2 3" xfId="20595" xr:uid="{00000000-0005-0000-0000-0000A8530000}"/>
    <cellStyle name="Normalny 3 2 4" xfId="20596" xr:uid="{00000000-0005-0000-0000-0000A9530000}"/>
    <cellStyle name="Normalny 3 3" xfId="20597" xr:uid="{00000000-0005-0000-0000-0000AA530000}"/>
    <cellStyle name="Normalny 3 4" xfId="20598" xr:uid="{00000000-0005-0000-0000-0000AB530000}"/>
    <cellStyle name="Normalny 3 5" xfId="20599" xr:uid="{00000000-0005-0000-0000-0000AC530000}"/>
    <cellStyle name="Normalny 3 6" xfId="20600" xr:uid="{00000000-0005-0000-0000-0000AD530000}"/>
    <cellStyle name="Normalny_Arkusz1" xfId="20601" xr:uid="{00000000-0005-0000-0000-0000AE530000}"/>
    <cellStyle name="Notas" xfId="20602" xr:uid="{00000000-0005-0000-0000-0000AF530000}"/>
    <cellStyle name="Notas 2" xfId="20603" xr:uid="{00000000-0005-0000-0000-0000B0530000}"/>
    <cellStyle name="Notas 2 2" xfId="20604" xr:uid="{00000000-0005-0000-0000-0000B1530000}"/>
    <cellStyle name="Notas 2 3" xfId="20605" xr:uid="{00000000-0005-0000-0000-0000B2530000}"/>
    <cellStyle name="Notas 2 4" xfId="20606" xr:uid="{00000000-0005-0000-0000-0000B3530000}"/>
    <cellStyle name="Notas 2 5" xfId="20607" xr:uid="{00000000-0005-0000-0000-0000B4530000}"/>
    <cellStyle name="Notas 3" xfId="20608" xr:uid="{00000000-0005-0000-0000-0000B5530000}"/>
    <cellStyle name="Notas 3 2" xfId="20609" xr:uid="{00000000-0005-0000-0000-0000B6530000}"/>
    <cellStyle name="Notas 3 3" xfId="20610" xr:uid="{00000000-0005-0000-0000-0000B7530000}"/>
    <cellStyle name="Notas 3 4" xfId="20611" xr:uid="{00000000-0005-0000-0000-0000B8530000}"/>
    <cellStyle name="Notas 4" xfId="20612" xr:uid="{00000000-0005-0000-0000-0000B9530000}"/>
    <cellStyle name="Notas 5" xfId="20613" xr:uid="{00000000-0005-0000-0000-0000BA530000}"/>
    <cellStyle name="Notas 6" xfId="20614" xr:uid="{00000000-0005-0000-0000-0000BB530000}"/>
    <cellStyle name="Notas 7" xfId="20615" xr:uid="{00000000-0005-0000-0000-0000BC530000}"/>
    <cellStyle name="Note 10" xfId="20616" xr:uid="{00000000-0005-0000-0000-0000BD530000}"/>
    <cellStyle name="Note 10 2" xfId="20617" xr:uid="{00000000-0005-0000-0000-0000BE530000}"/>
    <cellStyle name="Note 10 3" xfId="20618" xr:uid="{00000000-0005-0000-0000-0000BF530000}"/>
    <cellStyle name="Note 10 4" xfId="20619" xr:uid="{00000000-0005-0000-0000-0000C0530000}"/>
    <cellStyle name="Note 10 5" xfId="20620" xr:uid="{00000000-0005-0000-0000-0000C1530000}"/>
    <cellStyle name="Note 11" xfId="20621" xr:uid="{00000000-0005-0000-0000-0000C2530000}"/>
    <cellStyle name="Note 11 2" xfId="20622" xr:uid="{00000000-0005-0000-0000-0000C3530000}"/>
    <cellStyle name="Note 11 3" xfId="20623" xr:uid="{00000000-0005-0000-0000-0000C4530000}"/>
    <cellStyle name="Note 11 4" xfId="20624" xr:uid="{00000000-0005-0000-0000-0000C5530000}"/>
    <cellStyle name="Note 11 5" xfId="20625" xr:uid="{00000000-0005-0000-0000-0000C6530000}"/>
    <cellStyle name="Note 12" xfId="20626" xr:uid="{00000000-0005-0000-0000-0000C7530000}"/>
    <cellStyle name="Note 12 2" xfId="20627" xr:uid="{00000000-0005-0000-0000-0000C8530000}"/>
    <cellStyle name="Note 12 3" xfId="20628" xr:uid="{00000000-0005-0000-0000-0000C9530000}"/>
    <cellStyle name="Note 12 4" xfId="20629" xr:uid="{00000000-0005-0000-0000-0000CA530000}"/>
    <cellStyle name="Note 12 5" xfId="20630" xr:uid="{00000000-0005-0000-0000-0000CB530000}"/>
    <cellStyle name="Note 13" xfId="20631" xr:uid="{00000000-0005-0000-0000-0000CC530000}"/>
    <cellStyle name="Note 13 2" xfId="20632" xr:uid="{00000000-0005-0000-0000-0000CD530000}"/>
    <cellStyle name="Note 13 3" xfId="20633" xr:uid="{00000000-0005-0000-0000-0000CE530000}"/>
    <cellStyle name="Note 13 4" xfId="20634" xr:uid="{00000000-0005-0000-0000-0000CF530000}"/>
    <cellStyle name="Note 13 5" xfId="20635" xr:uid="{00000000-0005-0000-0000-0000D0530000}"/>
    <cellStyle name="Note 14" xfId="20636" xr:uid="{00000000-0005-0000-0000-0000D1530000}"/>
    <cellStyle name="Note 14 2" xfId="20637" xr:uid="{00000000-0005-0000-0000-0000D2530000}"/>
    <cellStyle name="Note 14 3" xfId="20638" xr:uid="{00000000-0005-0000-0000-0000D3530000}"/>
    <cellStyle name="Note 14 4" xfId="20639" xr:uid="{00000000-0005-0000-0000-0000D4530000}"/>
    <cellStyle name="Note 14 5" xfId="20640" xr:uid="{00000000-0005-0000-0000-0000D5530000}"/>
    <cellStyle name="Note 15" xfId="20641" xr:uid="{00000000-0005-0000-0000-0000D6530000}"/>
    <cellStyle name="Note 15 2" xfId="20642" xr:uid="{00000000-0005-0000-0000-0000D7530000}"/>
    <cellStyle name="Note 15 3" xfId="20643" xr:uid="{00000000-0005-0000-0000-0000D8530000}"/>
    <cellStyle name="Note 15 4" xfId="20644" xr:uid="{00000000-0005-0000-0000-0000D9530000}"/>
    <cellStyle name="Note 15 5" xfId="20645" xr:uid="{00000000-0005-0000-0000-0000DA530000}"/>
    <cellStyle name="Note 16" xfId="20646" xr:uid="{00000000-0005-0000-0000-0000DB530000}"/>
    <cellStyle name="Note 16 2" xfId="20647" xr:uid="{00000000-0005-0000-0000-0000DC530000}"/>
    <cellStyle name="Note 16 3" xfId="20648" xr:uid="{00000000-0005-0000-0000-0000DD530000}"/>
    <cellStyle name="Note 16 4" xfId="20649" xr:uid="{00000000-0005-0000-0000-0000DE530000}"/>
    <cellStyle name="Note 16 5" xfId="20650" xr:uid="{00000000-0005-0000-0000-0000DF530000}"/>
    <cellStyle name="Note 17" xfId="20651" xr:uid="{00000000-0005-0000-0000-0000E0530000}"/>
    <cellStyle name="Note 17 2" xfId="20652" xr:uid="{00000000-0005-0000-0000-0000E1530000}"/>
    <cellStyle name="Note 17 3" xfId="20653" xr:uid="{00000000-0005-0000-0000-0000E2530000}"/>
    <cellStyle name="Note 17 4" xfId="20654" xr:uid="{00000000-0005-0000-0000-0000E3530000}"/>
    <cellStyle name="Note 17 5" xfId="20655" xr:uid="{00000000-0005-0000-0000-0000E4530000}"/>
    <cellStyle name="Note 18" xfId="20656" xr:uid="{00000000-0005-0000-0000-0000E5530000}"/>
    <cellStyle name="Note 18 2" xfId="20657" xr:uid="{00000000-0005-0000-0000-0000E6530000}"/>
    <cellStyle name="Note 18 3" xfId="20658" xr:uid="{00000000-0005-0000-0000-0000E7530000}"/>
    <cellStyle name="Note 18 4" xfId="20659" xr:uid="{00000000-0005-0000-0000-0000E8530000}"/>
    <cellStyle name="Note 18 5" xfId="20660" xr:uid="{00000000-0005-0000-0000-0000E9530000}"/>
    <cellStyle name="Note 19" xfId="20661" xr:uid="{00000000-0005-0000-0000-0000EA530000}"/>
    <cellStyle name="Note 19 2" xfId="20662" xr:uid="{00000000-0005-0000-0000-0000EB530000}"/>
    <cellStyle name="Note 19 3" xfId="20663" xr:uid="{00000000-0005-0000-0000-0000EC530000}"/>
    <cellStyle name="Note 19 4" xfId="20664" xr:uid="{00000000-0005-0000-0000-0000ED530000}"/>
    <cellStyle name="Note 19 5" xfId="20665" xr:uid="{00000000-0005-0000-0000-0000EE530000}"/>
    <cellStyle name="Note 2" xfId="20666" xr:uid="{00000000-0005-0000-0000-0000EF530000}"/>
    <cellStyle name="Note 2 2" xfId="20667" xr:uid="{00000000-0005-0000-0000-0000F0530000}"/>
    <cellStyle name="Note 2 2 2" xfId="20668" xr:uid="{00000000-0005-0000-0000-0000F1530000}"/>
    <cellStyle name="Note 2 2 2 2" xfId="20669" xr:uid="{00000000-0005-0000-0000-0000F2530000}"/>
    <cellStyle name="Note 2 2 2 3" xfId="20670" xr:uid="{00000000-0005-0000-0000-0000F3530000}"/>
    <cellStyle name="Note 2 2 2 4" xfId="20671" xr:uid="{00000000-0005-0000-0000-0000F4530000}"/>
    <cellStyle name="Note 2 2 2 5" xfId="20672" xr:uid="{00000000-0005-0000-0000-0000F5530000}"/>
    <cellStyle name="Note 2 2 3" xfId="20673" xr:uid="{00000000-0005-0000-0000-0000F6530000}"/>
    <cellStyle name="Note 2 2 4" xfId="20674" xr:uid="{00000000-0005-0000-0000-0000F7530000}"/>
    <cellStyle name="Note 2 2 5" xfId="20675" xr:uid="{00000000-0005-0000-0000-0000F8530000}"/>
    <cellStyle name="Note 2 2 6" xfId="20676" xr:uid="{00000000-0005-0000-0000-0000F9530000}"/>
    <cellStyle name="Note 2 3" xfId="20677" xr:uid="{00000000-0005-0000-0000-0000FA530000}"/>
    <cellStyle name="Note 2 3 2" xfId="20678" xr:uid="{00000000-0005-0000-0000-0000FB530000}"/>
    <cellStyle name="Note 2 3 3" xfId="20679" xr:uid="{00000000-0005-0000-0000-0000FC530000}"/>
    <cellStyle name="Note 2 3 4" xfId="20680" xr:uid="{00000000-0005-0000-0000-0000FD530000}"/>
    <cellStyle name="Note 2 4" xfId="20681" xr:uid="{00000000-0005-0000-0000-0000FE530000}"/>
    <cellStyle name="Note 2 4 2" xfId="20682" xr:uid="{00000000-0005-0000-0000-0000FF530000}"/>
    <cellStyle name="Note 2 4 3" xfId="20683" xr:uid="{00000000-0005-0000-0000-000000540000}"/>
    <cellStyle name="Note 2 4 4" xfId="20684" xr:uid="{00000000-0005-0000-0000-000001540000}"/>
    <cellStyle name="Note 2 5" xfId="20685" xr:uid="{00000000-0005-0000-0000-000002540000}"/>
    <cellStyle name="Note 2 6" xfId="20686" xr:uid="{00000000-0005-0000-0000-000003540000}"/>
    <cellStyle name="Note 2 7" xfId="20687" xr:uid="{00000000-0005-0000-0000-000004540000}"/>
    <cellStyle name="Note 2 8" xfId="20688" xr:uid="{00000000-0005-0000-0000-000005540000}"/>
    <cellStyle name="Note 20" xfId="20689" xr:uid="{00000000-0005-0000-0000-000006540000}"/>
    <cellStyle name="Note 20 2" xfId="20690" xr:uid="{00000000-0005-0000-0000-000007540000}"/>
    <cellStyle name="Note 20 3" xfId="20691" xr:uid="{00000000-0005-0000-0000-000008540000}"/>
    <cellStyle name="Note 20 4" xfId="20692" xr:uid="{00000000-0005-0000-0000-000009540000}"/>
    <cellStyle name="Note 20 5" xfId="20693" xr:uid="{00000000-0005-0000-0000-00000A540000}"/>
    <cellStyle name="Note 21" xfId="20694" xr:uid="{00000000-0005-0000-0000-00000B540000}"/>
    <cellStyle name="Note 21 2" xfId="20695" xr:uid="{00000000-0005-0000-0000-00000C540000}"/>
    <cellStyle name="Note 21 3" xfId="20696" xr:uid="{00000000-0005-0000-0000-00000D540000}"/>
    <cellStyle name="Note 21 4" xfId="20697" xr:uid="{00000000-0005-0000-0000-00000E540000}"/>
    <cellStyle name="Note 21 5" xfId="20698" xr:uid="{00000000-0005-0000-0000-00000F540000}"/>
    <cellStyle name="Note 22" xfId="20699" xr:uid="{00000000-0005-0000-0000-000010540000}"/>
    <cellStyle name="Note 22 2" xfId="20700" xr:uid="{00000000-0005-0000-0000-000011540000}"/>
    <cellStyle name="Note 22 2 2" xfId="20701" xr:uid="{00000000-0005-0000-0000-000012540000}"/>
    <cellStyle name="Note 22 2 3" xfId="20702" xr:uid="{00000000-0005-0000-0000-000013540000}"/>
    <cellStyle name="Note 22 2 4" xfId="20703" xr:uid="{00000000-0005-0000-0000-000014540000}"/>
    <cellStyle name="Note 22 3" xfId="20704" xr:uid="{00000000-0005-0000-0000-000015540000}"/>
    <cellStyle name="Note 22 4" xfId="20705" xr:uid="{00000000-0005-0000-0000-000016540000}"/>
    <cellStyle name="Note 22 5" xfId="20706" xr:uid="{00000000-0005-0000-0000-000017540000}"/>
    <cellStyle name="Note 23" xfId="20707" xr:uid="{00000000-0005-0000-0000-000018540000}"/>
    <cellStyle name="Note 23 2" xfId="20708" xr:uid="{00000000-0005-0000-0000-000019540000}"/>
    <cellStyle name="Note 23 2 2" xfId="20709" xr:uid="{00000000-0005-0000-0000-00001A540000}"/>
    <cellStyle name="Note 23 2 3" xfId="20710" xr:uid="{00000000-0005-0000-0000-00001B540000}"/>
    <cellStyle name="Note 23 2 4" xfId="20711" xr:uid="{00000000-0005-0000-0000-00001C540000}"/>
    <cellStyle name="Note 23 3" xfId="20712" xr:uid="{00000000-0005-0000-0000-00001D540000}"/>
    <cellStyle name="Note 23 4" xfId="20713" xr:uid="{00000000-0005-0000-0000-00001E540000}"/>
    <cellStyle name="Note 23 5" xfId="20714" xr:uid="{00000000-0005-0000-0000-00001F540000}"/>
    <cellStyle name="Note 24" xfId="20715" xr:uid="{00000000-0005-0000-0000-000020540000}"/>
    <cellStyle name="Note 24 2" xfId="20716" xr:uid="{00000000-0005-0000-0000-000021540000}"/>
    <cellStyle name="Note 24 2 2" xfId="20717" xr:uid="{00000000-0005-0000-0000-000022540000}"/>
    <cellStyle name="Note 24 2 3" xfId="20718" xr:uid="{00000000-0005-0000-0000-000023540000}"/>
    <cellStyle name="Note 24 2 4" xfId="20719" xr:uid="{00000000-0005-0000-0000-000024540000}"/>
    <cellStyle name="Note 24 3" xfId="20720" xr:uid="{00000000-0005-0000-0000-000025540000}"/>
    <cellStyle name="Note 24 4" xfId="20721" xr:uid="{00000000-0005-0000-0000-000026540000}"/>
    <cellStyle name="Note 24 5" xfId="20722" xr:uid="{00000000-0005-0000-0000-000027540000}"/>
    <cellStyle name="Note 25" xfId="20723" xr:uid="{00000000-0005-0000-0000-000028540000}"/>
    <cellStyle name="Note 25 2" xfId="20724" xr:uid="{00000000-0005-0000-0000-000029540000}"/>
    <cellStyle name="Note 25 2 2" xfId="20725" xr:uid="{00000000-0005-0000-0000-00002A540000}"/>
    <cellStyle name="Note 25 2 3" xfId="20726" xr:uid="{00000000-0005-0000-0000-00002B540000}"/>
    <cellStyle name="Note 25 2 4" xfId="20727" xr:uid="{00000000-0005-0000-0000-00002C540000}"/>
    <cellStyle name="Note 25 3" xfId="20728" xr:uid="{00000000-0005-0000-0000-00002D540000}"/>
    <cellStyle name="Note 25 4" xfId="20729" xr:uid="{00000000-0005-0000-0000-00002E540000}"/>
    <cellStyle name="Note 25 5" xfId="20730" xr:uid="{00000000-0005-0000-0000-00002F540000}"/>
    <cellStyle name="Note 26" xfId="20731" xr:uid="{00000000-0005-0000-0000-000030540000}"/>
    <cellStyle name="Note 26 2" xfId="20732" xr:uid="{00000000-0005-0000-0000-000031540000}"/>
    <cellStyle name="Note 26 2 2" xfId="20733" xr:uid="{00000000-0005-0000-0000-000032540000}"/>
    <cellStyle name="Note 26 2 3" xfId="20734" xr:uid="{00000000-0005-0000-0000-000033540000}"/>
    <cellStyle name="Note 26 2 4" xfId="20735" xr:uid="{00000000-0005-0000-0000-000034540000}"/>
    <cellStyle name="Note 26 3" xfId="20736" xr:uid="{00000000-0005-0000-0000-000035540000}"/>
    <cellStyle name="Note 26 4" xfId="20737" xr:uid="{00000000-0005-0000-0000-000036540000}"/>
    <cellStyle name="Note 26 5" xfId="20738" xr:uid="{00000000-0005-0000-0000-000037540000}"/>
    <cellStyle name="Note 27" xfId="20739" xr:uid="{00000000-0005-0000-0000-000038540000}"/>
    <cellStyle name="Note 27 2" xfId="20740" xr:uid="{00000000-0005-0000-0000-000039540000}"/>
    <cellStyle name="Note 27 3" xfId="20741" xr:uid="{00000000-0005-0000-0000-00003A540000}"/>
    <cellStyle name="Note 27 4" xfId="20742" xr:uid="{00000000-0005-0000-0000-00003B540000}"/>
    <cellStyle name="Note 27 5" xfId="20743" xr:uid="{00000000-0005-0000-0000-00003C540000}"/>
    <cellStyle name="Note 28" xfId="20744" xr:uid="{00000000-0005-0000-0000-00003D540000}"/>
    <cellStyle name="Note 28 2" xfId="20745" xr:uid="{00000000-0005-0000-0000-00003E540000}"/>
    <cellStyle name="Note 28 3" xfId="20746" xr:uid="{00000000-0005-0000-0000-00003F540000}"/>
    <cellStyle name="Note 28 4" xfId="20747" xr:uid="{00000000-0005-0000-0000-000040540000}"/>
    <cellStyle name="Note 28 5" xfId="20748" xr:uid="{00000000-0005-0000-0000-000041540000}"/>
    <cellStyle name="Note 29" xfId="20749" xr:uid="{00000000-0005-0000-0000-000042540000}"/>
    <cellStyle name="Note 29 2" xfId="20750" xr:uid="{00000000-0005-0000-0000-000043540000}"/>
    <cellStyle name="Note 29 3" xfId="20751" xr:uid="{00000000-0005-0000-0000-000044540000}"/>
    <cellStyle name="Note 29 4" xfId="20752" xr:uid="{00000000-0005-0000-0000-000045540000}"/>
    <cellStyle name="Note 29 5" xfId="20753" xr:uid="{00000000-0005-0000-0000-000046540000}"/>
    <cellStyle name="Note 3" xfId="20754" xr:uid="{00000000-0005-0000-0000-000047540000}"/>
    <cellStyle name="Note 3 2" xfId="20755" xr:uid="{00000000-0005-0000-0000-000048540000}"/>
    <cellStyle name="Note 3 2 2" xfId="20756" xr:uid="{00000000-0005-0000-0000-000049540000}"/>
    <cellStyle name="Note 3 2 2 2" xfId="20757" xr:uid="{00000000-0005-0000-0000-00004A540000}"/>
    <cellStyle name="Note 3 2 2 3" xfId="20758" xr:uid="{00000000-0005-0000-0000-00004B540000}"/>
    <cellStyle name="Note 3 2 2 4" xfId="20759" xr:uid="{00000000-0005-0000-0000-00004C540000}"/>
    <cellStyle name="Note 3 2 2 5" xfId="20760" xr:uid="{00000000-0005-0000-0000-00004D540000}"/>
    <cellStyle name="Note 3 2 3" xfId="20761" xr:uid="{00000000-0005-0000-0000-00004E540000}"/>
    <cellStyle name="Note 3 2 4" xfId="20762" xr:uid="{00000000-0005-0000-0000-00004F540000}"/>
    <cellStyle name="Note 3 2 5" xfId="20763" xr:uid="{00000000-0005-0000-0000-000050540000}"/>
    <cellStyle name="Note 3 2 6" xfId="20764" xr:uid="{00000000-0005-0000-0000-000051540000}"/>
    <cellStyle name="Note 3 3" xfId="20765" xr:uid="{00000000-0005-0000-0000-000052540000}"/>
    <cellStyle name="Note 3 3 2" xfId="20766" xr:uid="{00000000-0005-0000-0000-000053540000}"/>
    <cellStyle name="Note 3 3 3" xfId="20767" xr:uid="{00000000-0005-0000-0000-000054540000}"/>
    <cellStyle name="Note 3 3 4" xfId="20768" xr:uid="{00000000-0005-0000-0000-000055540000}"/>
    <cellStyle name="Note 3 4" xfId="20769" xr:uid="{00000000-0005-0000-0000-000056540000}"/>
    <cellStyle name="Note 3 4 2" xfId="20770" xr:uid="{00000000-0005-0000-0000-000057540000}"/>
    <cellStyle name="Note 3 4 3" xfId="20771" xr:uid="{00000000-0005-0000-0000-000058540000}"/>
    <cellStyle name="Note 3 4 4" xfId="20772" xr:uid="{00000000-0005-0000-0000-000059540000}"/>
    <cellStyle name="Note 3 5" xfId="20773" xr:uid="{00000000-0005-0000-0000-00005A540000}"/>
    <cellStyle name="Note 3 6" xfId="20774" xr:uid="{00000000-0005-0000-0000-00005B540000}"/>
    <cellStyle name="Note 3 7" xfId="20775" xr:uid="{00000000-0005-0000-0000-00005C540000}"/>
    <cellStyle name="Note 3 8" xfId="20776" xr:uid="{00000000-0005-0000-0000-00005D540000}"/>
    <cellStyle name="Note 30" xfId="20777" xr:uid="{00000000-0005-0000-0000-00005E540000}"/>
    <cellStyle name="Note 30 2" xfId="20778" xr:uid="{00000000-0005-0000-0000-00005F540000}"/>
    <cellStyle name="Note 31" xfId="20779" xr:uid="{00000000-0005-0000-0000-000060540000}"/>
    <cellStyle name="Note 31 2" xfId="20780" xr:uid="{00000000-0005-0000-0000-000061540000}"/>
    <cellStyle name="Note 32" xfId="20781" xr:uid="{00000000-0005-0000-0000-000062540000}"/>
    <cellStyle name="Note 32 2" xfId="20782" xr:uid="{00000000-0005-0000-0000-000063540000}"/>
    <cellStyle name="Note 33" xfId="20783" xr:uid="{00000000-0005-0000-0000-000064540000}"/>
    <cellStyle name="Note 34" xfId="20784" xr:uid="{00000000-0005-0000-0000-000065540000}"/>
    <cellStyle name="Note 35" xfId="20785" xr:uid="{00000000-0005-0000-0000-000066540000}"/>
    <cellStyle name="Note 36" xfId="20786" xr:uid="{00000000-0005-0000-0000-000067540000}"/>
    <cellStyle name="Note 4" xfId="20787" xr:uid="{00000000-0005-0000-0000-000068540000}"/>
    <cellStyle name="Note 4 2" xfId="20788" xr:uid="{00000000-0005-0000-0000-000069540000}"/>
    <cellStyle name="Note 4 3" xfId="20789" xr:uid="{00000000-0005-0000-0000-00006A540000}"/>
    <cellStyle name="Note 4 4" xfId="20790" xr:uid="{00000000-0005-0000-0000-00006B540000}"/>
    <cellStyle name="Note 4 5" xfId="20791" xr:uid="{00000000-0005-0000-0000-00006C540000}"/>
    <cellStyle name="Note 4 6" xfId="20792" xr:uid="{00000000-0005-0000-0000-00006D540000}"/>
    <cellStyle name="Note 4 7" xfId="20793" xr:uid="{00000000-0005-0000-0000-00006E540000}"/>
    <cellStyle name="Note 5" xfId="20794" xr:uid="{00000000-0005-0000-0000-00006F540000}"/>
    <cellStyle name="Note 5 2" xfId="20795" xr:uid="{00000000-0005-0000-0000-000070540000}"/>
    <cellStyle name="Note 5 2 2" xfId="20796" xr:uid="{00000000-0005-0000-0000-000071540000}"/>
    <cellStyle name="Note 5 2 3" xfId="20797" xr:uid="{00000000-0005-0000-0000-000072540000}"/>
    <cellStyle name="Note 5 2 4" xfId="20798" xr:uid="{00000000-0005-0000-0000-000073540000}"/>
    <cellStyle name="Note 5 3" xfId="20799" xr:uid="{00000000-0005-0000-0000-000074540000}"/>
    <cellStyle name="Note 5 4" xfId="20800" xr:uid="{00000000-0005-0000-0000-000075540000}"/>
    <cellStyle name="Note 5 5" xfId="20801" xr:uid="{00000000-0005-0000-0000-000076540000}"/>
    <cellStyle name="Note 5 6" xfId="20802" xr:uid="{00000000-0005-0000-0000-000077540000}"/>
    <cellStyle name="Note 5 7" xfId="20803" xr:uid="{00000000-0005-0000-0000-000078540000}"/>
    <cellStyle name="Note 6" xfId="20804" xr:uid="{00000000-0005-0000-0000-000079540000}"/>
    <cellStyle name="Note 6 2" xfId="20805" xr:uid="{00000000-0005-0000-0000-00007A540000}"/>
    <cellStyle name="Note 6 2 2" xfId="20806" xr:uid="{00000000-0005-0000-0000-00007B540000}"/>
    <cellStyle name="Note 6 2 3" xfId="20807" xr:uid="{00000000-0005-0000-0000-00007C540000}"/>
    <cellStyle name="Note 6 2 4" xfId="20808" xr:uid="{00000000-0005-0000-0000-00007D540000}"/>
    <cellStyle name="Note 6 3" xfId="20809" xr:uid="{00000000-0005-0000-0000-00007E540000}"/>
    <cellStyle name="Note 6 4" xfId="20810" xr:uid="{00000000-0005-0000-0000-00007F540000}"/>
    <cellStyle name="Note 6 5" xfId="20811" xr:uid="{00000000-0005-0000-0000-000080540000}"/>
    <cellStyle name="Note 6 6" xfId="20812" xr:uid="{00000000-0005-0000-0000-000081540000}"/>
    <cellStyle name="Note 6 7" xfId="20813" xr:uid="{00000000-0005-0000-0000-000082540000}"/>
    <cellStyle name="Note 7" xfId="20814" xr:uid="{00000000-0005-0000-0000-000083540000}"/>
    <cellStyle name="Note 7 2" xfId="20815" xr:uid="{00000000-0005-0000-0000-000084540000}"/>
    <cellStyle name="Note 7 2 2" xfId="20816" xr:uid="{00000000-0005-0000-0000-000085540000}"/>
    <cellStyle name="Note 7 2 3" xfId="20817" xr:uid="{00000000-0005-0000-0000-000086540000}"/>
    <cellStyle name="Note 7 2 4" xfId="20818" xr:uid="{00000000-0005-0000-0000-000087540000}"/>
    <cellStyle name="Note 7 3" xfId="20819" xr:uid="{00000000-0005-0000-0000-000088540000}"/>
    <cellStyle name="Note 7 4" xfId="20820" xr:uid="{00000000-0005-0000-0000-000089540000}"/>
    <cellStyle name="Note 7 5" xfId="20821" xr:uid="{00000000-0005-0000-0000-00008A540000}"/>
    <cellStyle name="Note 7 6" xfId="20822" xr:uid="{00000000-0005-0000-0000-00008B540000}"/>
    <cellStyle name="Note 7 7" xfId="20823" xr:uid="{00000000-0005-0000-0000-00008C540000}"/>
    <cellStyle name="Note 8" xfId="20824" xr:uid="{00000000-0005-0000-0000-00008D540000}"/>
    <cellStyle name="Note 8 2" xfId="20825" xr:uid="{00000000-0005-0000-0000-00008E540000}"/>
    <cellStyle name="Note 8 2 2" xfId="20826" xr:uid="{00000000-0005-0000-0000-00008F540000}"/>
    <cellStyle name="Note 8 2 3" xfId="20827" xr:uid="{00000000-0005-0000-0000-000090540000}"/>
    <cellStyle name="Note 8 2 4" xfId="20828" xr:uid="{00000000-0005-0000-0000-000091540000}"/>
    <cellStyle name="Note 8 3" xfId="20829" xr:uid="{00000000-0005-0000-0000-000092540000}"/>
    <cellStyle name="Note 8 4" xfId="20830" xr:uid="{00000000-0005-0000-0000-000093540000}"/>
    <cellStyle name="Note 8 5" xfId="20831" xr:uid="{00000000-0005-0000-0000-000094540000}"/>
    <cellStyle name="Note 8 6" xfId="20832" xr:uid="{00000000-0005-0000-0000-000095540000}"/>
    <cellStyle name="Note 8 7" xfId="20833" xr:uid="{00000000-0005-0000-0000-000096540000}"/>
    <cellStyle name="Note 9" xfId="20834" xr:uid="{00000000-0005-0000-0000-000097540000}"/>
    <cellStyle name="Note 9 2" xfId="20835" xr:uid="{00000000-0005-0000-0000-000098540000}"/>
    <cellStyle name="Note 9 3" xfId="20836" xr:uid="{00000000-0005-0000-0000-000099540000}"/>
    <cellStyle name="Note 9 4" xfId="20837" xr:uid="{00000000-0005-0000-0000-00009A540000}"/>
    <cellStyle name="Note 9 5" xfId="20838" xr:uid="{00000000-0005-0000-0000-00009B540000}"/>
    <cellStyle name="Num0Un" xfId="20839" xr:uid="{00000000-0005-0000-0000-00009C540000}"/>
    <cellStyle name="Num0Un 2" xfId="20840" xr:uid="{00000000-0005-0000-0000-00009D540000}"/>
    <cellStyle name="Num0Un 3" xfId="20841" xr:uid="{00000000-0005-0000-0000-00009E540000}"/>
    <cellStyle name="Num0Un 4" xfId="20842" xr:uid="{00000000-0005-0000-0000-00009F540000}"/>
    <cellStyle name="Num1" xfId="20843" xr:uid="{00000000-0005-0000-0000-0000A0540000}"/>
    <cellStyle name="Num1 2" xfId="20844" xr:uid="{00000000-0005-0000-0000-0000A1540000}"/>
    <cellStyle name="Num1 3" xfId="20845" xr:uid="{00000000-0005-0000-0000-0000A2540000}"/>
    <cellStyle name="Num1 4" xfId="20846" xr:uid="{00000000-0005-0000-0000-0000A3540000}"/>
    <cellStyle name="Num2" xfId="20847" xr:uid="{00000000-0005-0000-0000-0000A4540000}"/>
    <cellStyle name="Num2 2" xfId="20848" xr:uid="{00000000-0005-0000-0000-0000A5540000}"/>
    <cellStyle name="Num2 3" xfId="20849" xr:uid="{00000000-0005-0000-0000-0000A6540000}"/>
    <cellStyle name="Num2 4" xfId="20850" xr:uid="{00000000-0005-0000-0000-0000A7540000}"/>
    <cellStyle name="Num2Un" xfId="20851" xr:uid="{00000000-0005-0000-0000-0000A8540000}"/>
    <cellStyle name="Num2Un 2" xfId="20852" xr:uid="{00000000-0005-0000-0000-0000A9540000}"/>
    <cellStyle name="Num2Un 3" xfId="20853" xr:uid="{00000000-0005-0000-0000-0000AA540000}"/>
    <cellStyle name="Num2Un 4" xfId="20854" xr:uid="{00000000-0005-0000-0000-0000AB540000}"/>
    <cellStyle name="Number" xfId="20855" xr:uid="{00000000-0005-0000-0000-0000AC540000}"/>
    <cellStyle name="Number 2" xfId="20856" xr:uid="{00000000-0005-0000-0000-0000AD540000}"/>
    <cellStyle name="Number 3" xfId="20857" xr:uid="{00000000-0005-0000-0000-0000AE540000}"/>
    <cellStyle name="Number 4" xfId="20858" xr:uid="{00000000-0005-0000-0000-0000AF540000}"/>
    <cellStyle name="Number 5" xfId="20859" xr:uid="{00000000-0005-0000-0000-0000B0540000}"/>
    <cellStyle name="Numbers" xfId="20860" xr:uid="{00000000-0005-0000-0000-0000B1540000}"/>
    <cellStyle name="Numbers - Bold" xfId="20861" xr:uid="{00000000-0005-0000-0000-0000B2540000}"/>
    <cellStyle name="Numbers - Bold 2" xfId="20862" xr:uid="{00000000-0005-0000-0000-0000B3540000}"/>
    <cellStyle name="Numbers - Bold 3" xfId="20863" xr:uid="{00000000-0005-0000-0000-0000B4540000}"/>
    <cellStyle name="Numbers - Bold 4" xfId="20864" xr:uid="{00000000-0005-0000-0000-0000B5540000}"/>
    <cellStyle name="Numbers - Bold 5" xfId="20865" xr:uid="{00000000-0005-0000-0000-0000B6540000}"/>
    <cellStyle name="Numbers 10" xfId="20866" xr:uid="{00000000-0005-0000-0000-0000B7540000}"/>
    <cellStyle name="Numbers 11" xfId="20867" xr:uid="{00000000-0005-0000-0000-0000B8540000}"/>
    <cellStyle name="Numbers 12" xfId="20868" xr:uid="{00000000-0005-0000-0000-0000B9540000}"/>
    <cellStyle name="Numbers 2" xfId="20869" xr:uid="{00000000-0005-0000-0000-0000BA540000}"/>
    <cellStyle name="Numbers 3" xfId="20870" xr:uid="{00000000-0005-0000-0000-0000BB540000}"/>
    <cellStyle name="Numbers 4" xfId="20871" xr:uid="{00000000-0005-0000-0000-0000BC540000}"/>
    <cellStyle name="Numbers 5" xfId="20872" xr:uid="{00000000-0005-0000-0000-0000BD540000}"/>
    <cellStyle name="Numbers 6" xfId="20873" xr:uid="{00000000-0005-0000-0000-0000BE540000}"/>
    <cellStyle name="Numbers 7" xfId="20874" xr:uid="{00000000-0005-0000-0000-0000BF540000}"/>
    <cellStyle name="Numbers 8" xfId="20875" xr:uid="{00000000-0005-0000-0000-0000C0540000}"/>
    <cellStyle name="Numbers 9" xfId="20876" xr:uid="{00000000-0005-0000-0000-0000C1540000}"/>
    <cellStyle name="Numbers_090115 Red  Green Flags Dic 2k8" xfId="20877" xr:uid="{00000000-0005-0000-0000-0000C2540000}"/>
    <cellStyle name="Obliczenia" xfId="25443" xr:uid="{00000000-0005-0000-0000-0000C3540000}"/>
    <cellStyle name="Obliczenia 2" xfId="25444" xr:uid="{00000000-0005-0000-0000-0000C4540000}"/>
    <cellStyle name="Obliczenia 3" xfId="25445" xr:uid="{00000000-0005-0000-0000-0000C5540000}"/>
    <cellStyle name="Output 10" xfId="20878" xr:uid="{00000000-0005-0000-0000-0000C6540000}"/>
    <cellStyle name="Output 10 2" xfId="20879" xr:uid="{00000000-0005-0000-0000-0000C7540000}"/>
    <cellStyle name="Output 10 3" xfId="20880" xr:uid="{00000000-0005-0000-0000-0000C8540000}"/>
    <cellStyle name="Output 10 4" xfId="20881" xr:uid="{00000000-0005-0000-0000-0000C9540000}"/>
    <cellStyle name="Output 11" xfId="20882" xr:uid="{00000000-0005-0000-0000-0000CA540000}"/>
    <cellStyle name="Output 11 2" xfId="20883" xr:uid="{00000000-0005-0000-0000-0000CB540000}"/>
    <cellStyle name="Output 11 3" xfId="20884" xr:uid="{00000000-0005-0000-0000-0000CC540000}"/>
    <cellStyle name="Output 11 4" xfId="20885" xr:uid="{00000000-0005-0000-0000-0000CD540000}"/>
    <cellStyle name="Output 12" xfId="20886" xr:uid="{00000000-0005-0000-0000-0000CE540000}"/>
    <cellStyle name="Output 12 2" xfId="20887" xr:uid="{00000000-0005-0000-0000-0000CF540000}"/>
    <cellStyle name="Output 12 3" xfId="20888" xr:uid="{00000000-0005-0000-0000-0000D0540000}"/>
    <cellStyle name="Output 12 4" xfId="20889" xr:uid="{00000000-0005-0000-0000-0000D1540000}"/>
    <cellStyle name="Output 13" xfId="20890" xr:uid="{00000000-0005-0000-0000-0000D2540000}"/>
    <cellStyle name="Output 13 2" xfId="20891" xr:uid="{00000000-0005-0000-0000-0000D3540000}"/>
    <cellStyle name="Output 13 3" xfId="20892" xr:uid="{00000000-0005-0000-0000-0000D4540000}"/>
    <cellStyle name="Output 13 4" xfId="20893" xr:uid="{00000000-0005-0000-0000-0000D5540000}"/>
    <cellStyle name="Output 14" xfId="20894" xr:uid="{00000000-0005-0000-0000-0000D6540000}"/>
    <cellStyle name="Output 14 2" xfId="20895" xr:uid="{00000000-0005-0000-0000-0000D7540000}"/>
    <cellStyle name="Output 14 3" xfId="20896" xr:uid="{00000000-0005-0000-0000-0000D8540000}"/>
    <cellStyle name="Output 14 4" xfId="20897" xr:uid="{00000000-0005-0000-0000-0000D9540000}"/>
    <cellStyle name="Output 15" xfId="20898" xr:uid="{00000000-0005-0000-0000-0000DA540000}"/>
    <cellStyle name="Output 15 2" xfId="20899" xr:uid="{00000000-0005-0000-0000-0000DB540000}"/>
    <cellStyle name="Output 15 3" xfId="20900" xr:uid="{00000000-0005-0000-0000-0000DC540000}"/>
    <cellStyle name="Output 15 4" xfId="20901" xr:uid="{00000000-0005-0000-0000-0000DD540000}"/>
    <cellStyle name="Output 16" xfId="20902" xr:uid="{00000000-0005-0000-0000-0000DE540000}"/>
    <cellStyle name="Output 16 2" xfId="20903" xr:uid="{00000000-0005-0000-0000-0000DF540000}"/>
    <cellStyle name="Output 16 3" xfId="20904" xr:uid="{00000000-0005-0000-0000-0000E0540000}"/>
    <cellStyle name="Output 16 4" xfId="20905" xr:uid="{00000000-0005-0000-0000-0000E1540000}"/>
    <cellStyle name="Output 17" xfId="20906" xr:uid="{00000000-0005-0000-0000-0000E2540000}"/>
    <cellStyle name="Output 17 2" xfId="20907" xr:uid="{00000000-0005-0000-0000-0000E3540000}"/>
    <cellStyle name="Output 17 3" xfId="20908" xr:uid="{00000000-0005-0000-0000-0000E4540000}"/>
    <cellStyle name="Output 17 4" xfId="20909" xr:uid="{00000000-0005-0000-0000-0000E5540000}"/>
    <cellStyle name="Output 18" xfId="20910" xr:uid="{00000000-0005-0000-0000-0000E6540000}"/>
    <cellStyle name="Output 18 2" xfId="20911" xr:uid="{00000000-0005-0000-0000-0000E7540000}"/>
    <cellStyle name="Output 18 3" xfId="20912" xr:uid="{00000000-0005-0000-0000-0000E8540000}"/>
    <cellStyle name="Output 18 4" xfId="20913" xr:uid="{00000000-0005-0000-0000-0000E9540000}"/>
    <cellStyle name="Output 19" xfId="20914" xr:uid="{00000000-0005-0000-0000-0000EA540000}"/>
    <cellStyle name="Output 19 2" xfId="20915" xr:uid="{00000000-0005-0000-0000-0000EB540000}"/>
    <cellStyle name="Output 19 3" xfId="20916" xr:uid="{00000000-0005-0000-0000-0000EC540000}"/>
    <cellStyle name="Output 19 4" xfId="20917" xr:uid="{00000000-0005-0000-0000-0000ED540000}"/>
    <cellStyle name="Output 2" xfId="20918" xr:uid="{00000000-0005-0000-0000-0000EE540000}"/>
    <cellStyle name="Output 2 2" xfId="20919" xr:uid="{00000000-0005-0000-0000-0000EF540000}"/>
    <cellStyle name="Output 2 2 2" xfId="20920" xr:uid="{00000000-0005-0000-0000-0000F0540000}"/>
    <cellStyle name="Output 2 2 3" xfId="20921" xr:uid="{00000000-0005-0000-0000-0000F1540000}"/>
    <cellStyle name="Output 2 2 4" xfId="20922" xr:uid="{00000000-0005-0000-0000-0000F2540000}"/>
    <cellStyle name="Output 2 3" xfId="20923" xr:uid="{00000000-0005-0000-0000-0000F3540000}"/>
    <cellStyle name="Output 2 3 2" xfId="20924" xr:uid="{00000000-0005-0000-0000-0000F4540000}"/>
    <cellStyle name="Output 2 3 3" xfId="20925" xr:uid="{00000000-0005-0000-0000-0000F5540000}"/>
    <cellStyle name="Output 2 3 4" xfId="20926" xr:uid="{00000000-0005-0000-0000-0000F6540000}"/>
    <cellStyle name="Output 2 4" xfId="20927" xr:uid="{00000000-0005-0000-0000-0000F7540000}"/>
    <cellStyle name="Output 2 4 2" xfId="20928" xr:uid="{00000000-0005-0000-0000-0000F8540000}"/>
    <cellStyle name="Output 2 4 3" xfId="20929" xr:uid="{00000000-0005-0000-0000-0000F9540000}"/>
    <cellStyle name="Output 2 4 4" xfId="20930" xr:uid="{00000000-0005-0000-0000-0000FA540000}"/>
    <cellStyle name="Output 2 5" xfId="20931" xr:uid="{00000000-0005-0000-0000-0000FB540000}"/>
    <cellStyle name="Output 2 6" xfId="20932" xr:uid="{00000000-0005-0000-0000-0000FC540000}"/>
    <cellStyle name="Output 2 7" xfId="20933" xr:uid="{00000000-0005-0000-0000-0000FD540000}"/>
    <cellStyle name="Output 2 8" xfId="20934" xr:uid="{00000000-0005-0000-0000-0000FE540000}"/>
    <cellStyle name="Output 20" xfId="20935" xr:uid="{00000000-0005-0000-0000-0000FF540000}"/>
    <cellStyle name="Output 20 2" xfId="20936" xr:uid="{00000000-0005-0000-0000-000000550000}"/>
    <cellStyle name="Output 20 3" xfId="20937" xr:uid="{00000000-0005-0000-0000-000001550000}"/>
    <cellStyle name="Output 20 4" xfId="20938" xr:uid="{00000000-0005-0000-0000-000002550000}"/>
    <cellStyle name="Output 21" xfId="20939" xr:uid="{00000000-0005-0000-0000-000003550000}"/>
    <cellStyle name="Output 21 2" xfId="20940" xr:uid="{00000000-0005-0000-0000-000004550000}"/>
    <cellStyle name="Output 21 3" xfId="20941" xr:uid="{00000000-0005-0000-0000-000005550000}"/>
    <cellStyle name="Output 21 4" xfId="20942" xr:uid="{00000000-0005-0000-0000-000006550000}"/>
    <cellStyle name="Output 22" xfId="20943" xr:uid="{00000000-0005-0000-0000-000007550000}"/>
    <cellStyle name="Output 22 2" xfId="20944" xr:uid="{00000000-0005-0000-0000-000008550000}"/>
    <cellStyle name="Output 22 3" xfId="20945" xr:uid="{00000000-0005-0000-0000-000009550000}"/>
    <cellStyle name="Output 22 4" xfId="20946" xr:uid="{00000000-0005-0000-0000-00000A550000}"/>
    <cellStyle name="Output 23" xfId="20947" xr:uid="{00000000-0005-0000-0000-00000B550000}"/>
    <cellStyle name="Output 23 2" xfId="20948" xr:uid="{00000000-0005-0000-0000-00000C550000}"/>
    <cellStyle name="Output 23 3" xfId="20949" xr:uid="{00000000-0005-0000-0000-00000D550000}"/>
    <cellStyle name="Output 23 4" xfId="20950" xr:uid="{00000000-0005-0000-0000-00000E550000}"/>
    <cellStyle name="Output 24" xfId="20951" xr:uid="{00000000-0005-0000-0000-00000F550000}"/>
    <cellStyle name="Output 24 2" xfId="20952" xr:uid="{00000000-0005-0000-0000-000010550000}"/>
    <cellStyle name="Output 24 3" xfId="20953" xr:uid="{00000000-0005-0000-0000-000011550000}"/>
    <cellStyle name="Output 24 4" xfId="20954" xr:uid="{00000000-0005-0000-0000-000012550000}"/>
    <cellStyle name="Output 25" xfId="20955" xr:uid="{00000000-0005-0000-0000-000013550000}"/>
    <cellStyle name="Output 25 2" xfId="20956" xr:uid="{00000000-0005-0000-0000-000014550000}"/>
    <cellStyle name="Output 25 3" xfId="20957" xr:uid="{00000000-0005-0000-0000-000015550000}"/>
    <cellStyle name="Output 25 4" xfId="20958" xr:uid="{00000000-0005-0000-0000-000016550000}"/>
    <cellStyle name="Output 26" xfId="20959" xr:uid="{00000000-0005-0000-0000-000017550000}"/>
    <cellStyle name="Output 26 2" xfId="20960" xr:uid="{00000000-0005-0000-0000-000018550000}"/>
    <cellStyle name="Output 26 3" xfId="20961" xr:uid="{00000000-0005-0000-0000-000019550000}"/>
    <cellStyle name="Output 26 4" xfId="20962" xr:uid="{00000000-0005-0000-0000-00001A550000}"/>
    <cellStyle name="Output 27" xfId="20963" xr:uid="{00000000-0005-0000-0000-00001B550000}"/>
    <cellStyle name="Output 27 2" xfId="20964" xr:uid="{00000000-0005-0000-0000-00001C550000}"/>
    <cellStyle name="Output 27 3" xfId="20965" xr:uid="{00000000-0005-0000-0000-00001D550000}"/>
    <cellStyle name="Output 27 4" xfId="20966" xr:uid="{00000000-0005-0000-0000-00001E550000}"/>
    <cellStyle name="Output 28" xfId="20967" xr:uid="{00000000-0005-0000-0000-00001F550000}"/>
    <cellStyle name="Output 28 2" xfId="20968" xr:uid="{00000000-0005-0000-0000-000020550000}"/>
    <cellStyle name="Output 28 3" xfId="20969" xr:uid="{00000000-0005-0000-0000-000021550000}"/>
    <cellStyle name="Output 28 4" xfId="20970" xr:uid="{00000000-0005-0000-0000-000022550000}"/>
    <cellStyle name="Output 29" xfId="20971" xr:uid="{00000000-0005-0000-0000-000023550000}"/>
    <cellStyle name="Output 29 2" xfId="20972" xr:uid="{00000000-0005-0000-0000-000024550000}"/>
    <cellStyle name="Output 29 3" xfId="20973" xr:uid="{00000000-0005-0000-0000-000025550000}"/>
    <cellStyle name="Output 29 4" xfId="20974" xr:uid="{00000000-0005-0000-0000-000026550000}"/>
    <cellStyle name="Output 29 5" xfId="20975" xr:uid="{00000000-0005-0000-0000-000027550000}"/>
    <cellStyle name="Output 3" xfId="20976" xr:uid="{00000000-0005-0000-0000-000028550000}"/>
    <cellStyle name="Output 3 2" xfId="20977" xr:uid="{00000000-0005-0000-0000-000029550000}"/>
    <cellStyle name="Output 3 2 2" xfId="20978" xr:uid="{00000000-0005-0000-0000-00002A550000}"/>
    <cellStyle name="Output 3 2 3" xfId="20979" xr:uid="{00000000-0005-0000-0000-00002B550000}"/>
    <cellStyle name="Output 3 2 4" xfId="20980" xr:uid="{00000000-0005-0000-0000-00002C550000}"/>
    <cellStyle name="Output 3 3" xfId="20981" xr:uid="{00000000-0005-0000-0000-00002D550000}"/>
    <cellStyle name="Output 3 3 2" xfId="20982" xr:uid="{00000000-0005-0000-0000-00002E550000}"/>
    <cellStyle name="Output 3 3 3" xfId="20983" xr:uid="{00000000-0005-0000-0000-00002F550000}"/>
    <cellStyle name="Output 3 3 4" xfId="20984" xr:uid="{00000000-0005-0000-0000-000030550000}"/>
    <cellStyle name="Output 3 4" xfId="20985" xr:uid="{00000000-0005-0000-0000-000031550000}"/>
    <cellStyle name="Output 3 4 2" xfId="20986" xr:uid="{00000000-0005-0000-0000-000032550000}"/>
    <cellStyle name="Output 3 4 3" xfId="20987" xr:uid="{00000000-0005-0000-0000-000033550000}"/>
    <cellStyle name="Output 3 4 4" xfId="20988" xr:uid="{00000000-0005-0000-0000-000034550000}"/>
    <cellStyle name="Output 3 5" xfId="20989" xr:uid="{00000000-0005-0000-0000-000035550000}"/>
    <cellStyle name="Output 3 6" xfId="20990" xr:uid="{00000000-0005-0000-0000-000036550000}"/>
    <cellStyle name="Output 3 7" xfId="20991" xr:uid="{00000000-0005-0000-0000-000037550000}"/>
    <cellStyle name="Output 3 8" xfId="20992" xr:uid="{00000000-0005-0000-0000-000038550000}"/>
    <cellStyle name="Output 30" xfId="20993" xr:uid="{00000000-0005-0000-0000-000039550000}"/>
    <cellStyle name="Output 30 2" xfId="20994" xr:uid="{00000000-0005-0000-0000-00003A550000}"/>
    <cellStyle name="Output 31" xfId="20995" xr:uid="{00000000-0005-0000-0000-00003B550000}"/>
    <cellStyle name="Output 32" xfId="20996" xr:uid="{00000000-0005-0000-0000-00003C550000}"/>
    <cellStyle name="Output 33" xfId="20997" xr:uid="{00000000-0005-0000-0000-00003D550000}"/>
    <cellStyle name="Output 34" xfId="20998" xr:uid="{00000000-0005-0000-0000-00003E550000}"/>
    <cellStyle name="Output 4" xfId="20999" xr:uid="{00000000-0005-0000-0000-00003F550000}"/>
    <cellStyle name="Output 4 2" xfId="21000" xr:uid="{00000000-0005-0000-0000-000040550000}"/>
    <cellStyle name="Output 4 3" xfId="21001" xr:uid="{00000000-0005-0000-0000-000041550000}"/>
    <cellStyle name="Output 4 4" xfId="21002" xr:uid="{00000000-0005-0000-0000-000042550000}"/>
    <cellStyle name="Output 4 5" xfId="21003" xr:uid="{00000000-0005-0000-0000-000043550000}"/>
    <cellStyle name="Output 4 6" xfId="21004" xr:uid="{00000000-0005-0000-0000-000044550000}"/>
    <cellStyle name="Output 5" xfId="21005" xr:uid="{00000000-0005-0000-0000-000045550000}"/>
    <cellStyle name="Output 5 2" xfId="21006" xr:uid="{00000000-0005-0000-0000-000046550000}"/>
    <cellStyle name="Output 5 3" xfId="21007" xr:uid="{00000000-0005-0000-0000-000047550000}"/>
    <cellStyle name="Output 5 4" xfId="21008" xr:uid="{00000000-0005-0000-0000-000048550000}"/>
    <cellStyle name="Output 5 5" xfId="21009" xr:uid="{00000000-0005-0000-0000-000049550000}"/>
    <cellStyle name="Output 5 6" xfId="21010" xr:uid="{00000000-0005-0000-0000-00004A550000}"/>
    <cellStyle name="Output 6" xfId="21011" xr:uid="{00000000-0005-0000-0000-00004B550000}"/>
    <cellStyle name="Output 6 2" xfId="21012" xr:uid="{00000000-0005-0000-0000-00004C550000}"/>
    <cellStyle name="Output 6 3" xfId="21013" xr:uid="{00000000-0005-0000-0000-00004D550000}"/>
    <cellStyle name="Output 6 4" xfId="21014" xr:uid="{00000000-0005-0000-0000-00004E550000}"/>
    <cellStyle name="Output 6 5" xfId="21015" xr:uid="{00000000-0005-0000-0000-00004F550000}"/>
    <cellStyle name="Output 6 6" xfId="21016" xr:uid="{00000000-0005-0000-0000-000050550000}"/>
    <cellStyle name="Output 7" xfId="21017" xr:uid="{00000000-0005-0000-0000-000051550000}"/>
    <cellStyle name="Output 7 2" xfId="21018" xr:uid="{00000000-0005-0000-0000-000052550000}"/>
    <cellStyle name="Output 7 3" xfId="21019" xr:uid="{00000000-0005-0000-0000-000053550000}"/>
    <cellStyle name="Output 7 4" xfId="21020" xr:uid="{00000000-0005-0000-0000-000054550000}"/>
    <cellStyle name="Output 7 5" xfId="21021" xr:uid="{00000000-0005-0000-0000-000055550000}"/>
    <cellStyle name="Output 7 6" xfId="21022" xr:uid="{00000000-0005-0000-0000-000056550000}"/>
    <cellStyle name="Output 8" xfId="21023" xr:uid="{00000000-0005-0000-0000-000057550000}"/>
    <cellStyle name="Output 8 2" xfId="21024" xr:uid="{00000000-0005-0000-0000-000058550000}"/>
    <cellStyle name="Output 8 3" xfId="21025" xr:uid="{00000000-0005-0000-0000-000059550000}"/>
    <cellStyle name="Output 8 4" xfId="21026" xr:uid="{00000000-0005-0000-0000-00005A550000}"/>
    <cellStyle name="Output 8 5" xfId="21027" xr:uid="{00000000-0005-0000-0000-00005B550000}"/>
    <cellStyle name="Output 8 6" xfId="21028" xr:uid="{00000000-0005-0000-0000-00005C550000}"/>
    <cellStyle name="Output 9" xfId="21029" xr:uid="{00000000-0005-0000-0000-00005D550000}"/>
    <cellStyle name="Output 9 2" xfId="21030" xr:uid="{00000000-0005-0000-0000-00005E550000}"/>
    <cellStyle name="Output 9 3" xfId="21031" xr:uid="{00000000-0005-0000-0000-00005F550000}"/>
    <cellStyle name="Output 9 4" xfId="21032" xr:uid="{00000000-0005-0000-0000-000060550000}"/>
    <cellStyle name="Page Heading" xfId="21033" xr:uid="{00000000-0005-0000-0000-000061550000}"/>
    <cellStyle name="Page Heading 2" xfId="21034" xr:uid="{00000000-0005-0000-0000-000062550000}"/>
    <cellStyle name="Page Heading 3" xfId="21035" xr:uid="{00000000-0005-0000-0000-000063550000}"/>
    <cellStyle name="Page Heading 4" xfId="21036" xr:uid="{00000000-0005-0000-0000-000064550000}"/>
    <cellStyle name="Page Heading 5" xfId="21037" xr:uid="{00000000-0005-0000-0000-000065550000}"/>
    <cellStyle name="Page Heading Large" xfId="21038" xr:uid="{00000000-0005-0000-0000-000066550000}"/>
    <cellStyle name="Page Heading Large 2" xfId="21039" xr:uid="{00000000-0005-0000-0000-000067550000}"/>
    <cellStyle name="Page Heading Large 3" xfId="21040" xr:uid="{00000000-0005-0000-0000-000068550000}"/>
    <cellStyle name="Page Heading Large 4" xfId="21041" xr:uid="{00000000-0005-0000-0000-000069550000}"/>
    <cellStyle name="Page Heading Large 5" xfId="21042" xr:uid="{00000000-0005-0000-0000-00006A550000}"/>
    <cellStyle name="Page Heading Small" xfId="21043" xr:uid="{00000000-0005-0000-0000-00006B550000}"/>
    <cellStyle name="Page Heading Small 2" xfId="21044" xr:uid="{00000000-0005-0000-0000-00006C550000}"/>
    <cellStyle name="Page Heading Small 3" xfId="21045" xr:uid="{00000000-0005-0000-0000-00006D550000}"/>
    <cellStyle name="Page Heading Small 4" xfId="21046" xr:uid="{00000000-0005-0000-0000-00006E550000}"/>
    <cellStyle name="Page Heading Small 5" xfId="21047" xr:uid="{00000000-0005-0000-0000-00006F550000}"/>
    <cellStyle name="Palatino" xfId="21048" xr:uid="{00000000-0005-0000-0000-000070550000}"/>
    <cellStyle name="Palatino 2" xfId="21049" xr:uid="{00000000-0005-0000-0000-000071550000}"/>
    <cellStyle name="Palatino 3" xfId="21050" xr:uid="{00000000-0005-0000-0000-000072550000}"/>
    <cellStyle name="Palatino 4" xfId="21051" xr:uid="{00000000-0005-0000-0000-000073550000}"/>
    <cellStyle name="Palatino 5" xfId="21052" xr:uid="{00000000-0005-0000-0000-000074550000}"/>
    <cellStyle name="Palatino 6" xfId="21053" xr:uid="{00000000-0005-0000-0000-000075550000}"/>
    <cellStyle name="pe" xfId="21054" xr:uid="{00000000-0005-0000-0000-000076550000}"/>
    <cellStyle name="pe 2" xfId="21055" xr:uid="{00000000-0005-0000-0000-000077550000}"/>
    <cellStyle name="pe 3" xfId="21056" xr:uid="{00000000-0005-0000-0000-000078550000}"/>
    <cellStyle name="pe 4" xfId="21057" xr:uid="{00000000-0005-0000-0000-000079550000}"/>
    <cellStyle name="pe 5" xfId="21058" xr:uid="{00000000-0005-0000-0000-00007A550000}"/>
    <cellStyle name="pe 6" xfId="21059" xr:uid="{00000000-0005-0000-0000-00007B550000}"/>
    <cellStyle name="PEG" xfId="21060" xr:uid="{00000000-0005-0000-0000-00007C550000}"/>
    <cellStyle name="PEG 2" xfId="21061" xr:uid="{00000000-0005-0000-0000-00007D550000}"/>
    <cellStyle name="PEG 3" xfId="21062" xr:uid="{00000000-0005-0000-0000-00007E550000}"/>
    <cellStyle name="PEG 4" xfId="21063" xr:uid="{00000000-0005-0000-0000-00007F550000}"/>
    <cellStyle name="PEG 5" xfId="21064" xr:uid="{00000000-0005-0000-0000-000080550000}"/>
    <cellStyle name="Perc1" xfId="21065" xr:uid="{00000000-0005-0000-0000-000081550000}"/>
    <cellStyle name="Perc1 2" xfId="21066" xr:uid="{00000000-0005-0000-0000-000082550000}"/>
    <cellStyle name="Perc1 3" xfId="21067" xr:uid="{00000000-0005-0000-0000-000083550000}"/>
    <cellStyle name="Perc1 4" xfId="21068" xr:uid="{00000000-0005-0000-0000-000084550000}"/>
    <cellStyle name="Percent (1)" xfId="21069" xr:uid="{00000000-0005-0000-0000-000085550000}"/>
    <cellStyle name="Percent (1) 2" xfId="21070" xr:uid="{00000000-0005-0000-0000-000086550000}"/>
    <cellStyle name="Percent (1) 3" xfId="21071" xr:uid="{00000000-0005-0000-0000-000087550000}"/>
    <cellStyle name="Percent (1) 4" xfId="21072" xr:uid="{00000000-0005-0000-0000-000088550000}"/>
    <cellStyle name="Percent (1) 5" xfId="21073" xr:uid="{00000000-0005-0000-0000-000089550000}"/>
    <cellStyle name="Percent [0]" xfId="21074" xr:uid="{00000000-0005-0000-0000-00008A550000}"/>
    <cellStyle name="Percent [0] 2" xfId="21075" xr:uid="{00000000-0005-0000-0000-00008B550000}"/>
    <cellStyle name="Percent [0] 3" xfId="21076" xr:uid="{00000000-0005-0000-0000-00008C550000}"/>
    <cellStyle name="Percent [0] 4" xfId="21077" xr:uid="{00000000-0005-0000-0000-00008D550000}"/>
    <cellStyle name="Percent [00]" xfId="21078" xr:uid="{00000000-0005-0000-0000-00008E550000}"/>
    <cellStyle name="Percent [00] 2" xfId="21079" xr:uid="{00000000-0005-0000-0000-00008F550000}"/>
    <cellStyle name="Percent [00] 3" xfId="21080" xr:uid="{00000000-0005-0000-0000-000090550000}"/>
    <cellStyle name="Percent [00] 4" xfId="21081" xr:uid="{00000000-0005-0000-0000-000091550000}"/>
    <cellStyle name="Percent [00] 5" xfId="21082" xr:uid="{00000000-0005-0000-0000-000092550000}"/>
    <cellStyle name="Percent [1]" xfId="21083" xr:uid="{00000000-0005-0000-0000-000093550000}"/>
    <cellStyle name="Percent [1] 2" xfId="21084" xr:uid="{00000000-0005-0000-0000-000094550000}"/>
    <cellStyle name="Percent [1] 3" xfId="21085" xr:uid="{00000000-0005-0000-0000-000095550000}"/>
    <cellStyle name="Percent [1] 4" xfId="21086" xr:uid="{00000000-0005-0000-0000-000096550000}"/>
    <cellStyle name="Percent [2]" xfId="21087" xr:uid="{00000000-0005-0000-0000-000097550000}"/>
    <cellStyle name="Percent [2] 2" xfId="21088" xr:uid="{00000000-0005-0000-0000-000098550000}"/>
    <cellStyle name="Percent [2] 2 2" xfId="21089" xr:uid="{00000000-0005-0000-0000-000099550000}"/>
    <cellStyle name="Percent [2] 2 3" xfId="21090" xr:uid="{00000000-0005-0000-0000-00009A550000}"/>
    <cellStyle name="Percent [2] 2 4" xfId="21091" xr:uid="{00000000-0005-0000-0000-00009B550000}"/>
    <cellStyle name="Percent [2] 3" xfId="21092" xr:uid="{00000000-0005-0000-0000-00009C550000}"/>
    <cellStyle name="Percent [2] 4" xfId="21093" xr:uid="{00000000-0005-0000-0000-00009D550000}"/>
    <cellStyle name="Percent [2] 5" xfId="21094" xr:uid="{00000000-0005-0000-0000-00009E550000}"/>
    <cellStyle name="Percent [2] 6" xfId="21095" xr:uid="{00000000-0005-0000-0000-00009F550000}"/>
    <cellStyle name="Percent [2] 7" xfId="21096" xr:uid="{00000000-0005-0000-0000-0000A0550000}"/>
    <cellStyle name="Percent [2] 8" xfId="21097" xr:uid="{00000000-0005-0000-0000-0000A1550000}"/>
    <cellStyle name="Percent 10" xfId="21098" xr:uid="{00000000-0005-0000-0000-0000A2550000}"/>
    <cellStyle name="Percent 10 2" xfId="21099" xr:uid="{00000000-0005-0000-0000-0000A3550000}"/>
    <cellStyle name="Percent 10 2 2" xfId="21100" xr:uid="{00000000-0005-0000-0000-0000A4550000}"/>
    <cellStyle name="Percent 10 2 3" xfId="21101" xr:uid="{00000000-0005-0000-0000-0000A5550000}"/>
    <cellStyle name="Percent 10 2 4" xfId="21102" xr:uid="{00000000-0005-0000-0000-0000A6550000}"/>
    <cellStyle name="Percent 10 3" xfId="21103" xr:uid="{00000000-0005-0000-0000-0000A7550000}"/>
    <cellStyle name="Percent 10 4" xfId="21104" xr:uid="{00000000-0005-0000-0000-0000A8550000}"/>
    <cellStyle name="Percent 10 5" xfId="21105" xr:uid="{00000000-0005-0000-0000-0000A9550000}"/>
    <cellStyle name="Percent 11" xfId="21106" xr:uid="{00000000-0005-0000-0000-0000AA550000}"/>
    <cellStyle name="Percent 11 2" xfId="21107" xr:uid="{00000000-0005-0000-0000-0000AB550000}"/>
    <cellStyle name="Percent 11 3" xfId="21108" xr:uid="{00000000-0005-0000-0000-0000AC550000}"/>
    <cellStyle name="Percent 11 4" xfId="21109" xr:uid="{00000000-0005-0000-0000-0000AD550000}"/>
    <cellStyle name="Percent 11 5" xfId="21110" xr:uid="{00000000-0005-0000-0000-0000AE550000}"/>
    <cellStyle name="Percent 12" xfId="21111" xr:uid="{00000000-0005-0000-0000-0000AF550000}"/>
    <cellStyle name="Percent 12 2" xfId="21112" xr:uid="{00000000-0005-0000-0000-0000B0550000}"/>
    <cellStyle name="Percent 12 3" xfId="21113" xr:uid="{00000000-0005-0000-0000-0000B1550000}"/>
    <cellStyle name="Percent 12 4" xfId="21114" xr:uid="{00000000-0005-0000-0000-0000B2550000}"/>
    <cellStyle name="Percent 12 5" xfId="21115" xr:uid="{00000000-0005-0000-0000-0000B3550000}"/>
    <cellStyle name="Percent 13" xfId="21116" xr:uid="{00000000-0005-0000-0000-0000B4550000}"/>
    <cellStyle name="Percent 13 2" xfId="21117" xr:uid="{00000000-0005-0000-0000-0000B5550000}"/>
    <cellStyle name="Percent 13 3" xfId="21118" xr:uid="{00000000-0005-0000-0000-0000B6550000}"/>
    <cellStyle name="Percent 13 4" xfId="21119" xr:uid="{00000000-0005-0000-0000-0000B7550000}"/>
    <cellStyle name="Percent 14" xfId="21120" xr:uid="{00000000-0005-0000-0000-0000B8550000}"/>
    <cellStyle name="Percent 14 2" xfId="21121" xr:uid="{00000000-0005-0000-0000-0000B9550000}"/>
    <cellStyle name="Percent 14 3" xfId="21122" xr:uid="{00000000-0005-0000-0000-0000BA550000}"/>
    <cellStyle name="Percent 15" xfId="21123" xr:uid="{00000000-0005-0000-0000-0000BB550000}"/>
    <cellStyle name="Percent 16" xfId="21124" xr:uid="{00000000-0005-0000-0000-0000BC550000}"/>
    <cellStyle name="Percent 17" xfId="21125" xr:uid="{00000000-0005-0000-0000-0000BD550000}"/>
    <cellStyle name="Percent 18" xfId="21126" xr:uid="{00000000-0005-0000-0000-0000BE550000}"/>
    <cellStyle name="Percent 19" xfId="21127" xr:uid="{00000000-0005-0000-0000-0000BF550000}"/>
    <cellStyle name="Percent 2" xfId="21128" xr:uid="{00000000-0005-0000-0000-0000C0550000}"/>
    <cellStyle name="Percent 2 10" xfId="21129" xr:uid="{00000000-0005-0000-0000-0000C1550000}"/>
    <cellStyle name="Percent 2 10 2" xfId="21130" xr:uid="{00000000-0005-0000-0000-0000C2550000}"/>
    <cellStyle name="Percent 2 11" xfId="21131" xr:uid="{00000000-0005-0000-0000-0000C3550000}"/>
    <cellStyle name="Percent 2 11 2" xfId="21132" xr:uid="{00000000-0005-0000-0000-0000C4550000}"/>
    <cellStyle name="Percent 2 12" xfId="21133" xr:uid="{00000000-0005-0000-0000-0000C5550000}"/>
    <cellStyle name="Percent 2 12 2" xfId="21134" xr:uid="{00000000-0005-0000-0000-0000C6550000}"/>
    <cellStyle name="Percent 2 13" xfId="21135" xr:uid="{00000000-0005-0000-0000-0000C7550000}"/>
    <cellStyle name="Percent 2 14" xfId="21136" xr:uid="{00000000-0005-0000-0000-0000C8550000}"/>
    <cellStyle name="Percent 2 15" xfId="21137" xr:uid="{00000000-0005-0000-0000-0000C9550000}"/>
    <cellStyle name="Percent 2 16" xfId="21138" xr:uid="{00000000-0005-0000-0000-0000CA550000}"/>
    <cellStyle name="Percent 2 2" xfId="21139" xr:uid="{00000000-0005-0000-0000-0000CB550000}"/>
    <cellStyle name="Percent 2 2 2" xfId="21140" xr:uid="{00000000-0005-0000-0000-0000CC550000}"/>
    <cellStyle name="Percent 2 2 2 2" xfId="21141" xr:uid="{00000000-0005-0000-0000-0000CD550000}"/>
    <cellStyle name="Percent 2 2 2 2 2" xfId="21142" xr:uid="{00000000-0005-0000-0000-0000CE550000}"/>
    <cellStyle name="Percent 2 2 2 2 3" xfId="21143" xr:uid="{00000000-0005-0000-0000-0000CF550000}"/>
    <cellStyle name="Percent 2 2 2 2 4" xfId="21144" xr:uid="{00000000-0005-0000-0000-0000D0550000}"/>
    <cellStyle name="Percent 2 2 2 2 5" xfId="21145" xr:uid="{00000000-0005-0000-0000-0000D1550000}"/>
    <cellStyle name="Percent 2 2 2 3" xfId="21146" xr:uid="{00000000-0005-0000-0000-0000D2550000}"/>
    <cellStyle name="Percent 2 2 2 4" xfId="21147" xr:uid="{00000000-0005-0000-0000-0000D3550000}"/>
    <cellStyle name="Percent 2 2 2 5" xfId="21148" xr:uid="{00000000-0005-0000-0000-0000D4550000}"/>
    <cellStyle name="Percent 2 2 2 6" xfId="21149" xr:uid="{00000000-0005-0000-0000-0000D5550000}"/>
    <cellStyle name="Percent 2 2 2 7" xfId="21150" xr:uid="{00000000-0005-0000-0000-0000D6550000}"/>
    <cellStyle name="Percent 2 2 3" xfId="21151" xr:uid="{00000000-0005-0000-0000-0000D7550000}"/>
    <cellStyle name="Percent 2 2 3 2" xfId="21152" xr:uid="{00000000-0005-0000-0000-0000D8550000}"/>
    <cellStyle name="Percent 2 2 3 3" xfId="21153" xr:uid="{00000000-0005-0000-0000-0000D9550000}"/>
    <cellStyle name="Percent 2 2 3 4" xfId="21154" xr:uid="{00000000-0005-0000-0000-0000DA550000}"/>
    <cellStyle name="Percent 2 2 4" xfId="21155" xr:uid="{00000000-0005-0000-0000-0000DB550000}"/>
    <cellStyle name="Percent 2 2 4 2" xfId="21156" xr:uid="{00000000-0005-0000-0000-0000DC550000}"/>
    <cellStyle name="Percent 2 2 4 3" xfId="21157" xr:uid="{00000000-0005-0000-0000-0000DD550000}"/>
    <cellStyle name="Percent 2 2 4 4" xfId="21158" xr:uid="{00000000-0005-0000-0000-0000DE550000}"/>
    <cellStyle name="Percent 2 2 5" xfId="21159" xr:uid="{00000000-0005-0000-0000-0000DF550000}"/>
    <cellStyle name="Percent 2 2 5 2" xfId="21160" xr:uid="{00000000-0005-0000-0000-0000E0550000}"/>
    <cellStyle name="Percent 2 2 5 3" xfId="21161" xr:uid="{00000000-0005-0000-0000-0000E1550000}"/>
    <cellStyle name="Percent 2 2 5 4" xfId="21162" xr:uid="{00000000-0005-0000-0000-0000E2550000}"/>
    <cellStyle name="Percent 2 2 6" xfId="21163" xr:uid="{00000000-0005-0000-0000-0000E3550000}"/>
    <cellStyle name="Percent 2 2 7" xfId="21164" xr:uid="{00000000-0005-0000-0000-0000E4550000}"/>
    <cellStyle name="Percent 2 2 8" xfId="21165" xr:uid="{00000000-0005-0000-0000-0000E5550000}"/>
    <cellStyle name="Percent 2 3" xfId="21166" xr:uid="{00000000-0005-0000-0000-0000E6550000}"/>
    <cellStyle name="Percent 2 3 2" xfId="21167" xr:uid="{00000000-0005-0000-0000-0000E7550000}"/>
    <cellStyle name="Percent 2 3 3" xfId="21168" xr:uid="{00000000-0005-0000-0000-0000E8550000}"/>
    <cellStyle name="Percent 2 3 4" xfId="21169" xr:uid="{00000000-0005-0000-0000-0000E9550000}"/>
    <cellStyle name="Percent 2 3 5" xfId="21170" xr:uid="{00000000-0005-0000-0000-0000EA550000}"/>
    <cellStyle name="Percent 2 3 6" xfId="21171" xr:uid="{00000000-0005-0000-0000-0000EB550000}"/>
    <cellStyle name="Percent 2 4" xfId="21172" xr:uid="{00000000-0005-0000-0000-0000EC550000}"/>
    <cellStyle name="Percent 2 4 2" xfId="21173" xr:uid="{00000000-0005-0000-0000-0000ED550000}"/>
    <cellStyle name="Percent 2 4 2 2" xfId="21174" xr:uid="{00000000-0005-0000-0000-0000EE550000}"/>
    <cellStyle name="Percent 2 4 2 3" xfId="21175" xr:uid="{00000000-0005-0000-0000-0000EF550000}"/>
    <cellStyle name="Percent 2 4 2 4" xfId="21176" xr:uid="{00000000-0005-0000-0000-0000F0550000}"/>
    <cellStyle name="Percent 2 4 3" xfId="21177" xr:uid="{00000000-0005-0000-0000-0000F1550000}"/>
    <cellStyle name="Percent 2 4 4" xfId="21178" xr:uid="{00000000-0005-0000-0000-0000F2550000}"/>
    <cellStyle name="Percent 2 4 5" xfId="21179" xr:uid="{00000000-0005-0000-0000-0000F3550000}"/>
    <cellStyle name="Percent 2 5" xfId="21180" xr:uid="{00000000-0005-0000-0000-0000F4550000}"/>
    <cellStyle name="Percent 2 5 2" xfId="21181" xr:uid="{00000000-0005-0000-0000-0000F5550000}"/>
    <cellStyle name="Percent 2 5 3" xfId="21182" xr:uid="{00000000-0005-0000-0000-0000F6550000}"/>
    <cellStyle name="Percent 2 5 4" xfId="21183" xr:uid="{00000000-0005-0000-0000-0000F7550000}"/>
    <cellStyle name="Percent 2 5 5" xfId="21184" xr:uid="{00000000-0005-0000-0000-0000F8550000}"/>
    <cellStyle name="Percent 2 6" xfId="21185" xr:uid="{00000000-0005-0000-0000-0000F9550000}"/>
    <cellStyle name="Percent 2 6 2" xfId="21186" xr:uid="{00000000-0005-0000-0000-0000FA550000}"/>
    <cellStyle name="Percent 2 7" xfId="21187" xr:uid="{00000000-0005-0000-0000-0000FB550000}"/>
    <cellStyle name="Percent 2 7 2" xfId="21188" xr:uid="{00000000-0005-0000-0000-0000FC550000}"/>
    <cellStyle name="Percent 2 8" xfId="21189" xr:uid="{00000000-0005-0000-0000-0000FD550000}"/>
    <cellStyle name="Percent 2 8 2" xfId="21190" xr:uid="{00000000-0005-0000-0000-0000FE550000}"/>
    <cellStyle name="Percent 2 9" xfId="21191" xr:uid="{00000000-0005-0000-0000-0000FF550000}"/>
    <cellStyle name="Percent 2 9 2" xfId="21192" xr:uid="{00000000-0005-0000-0000-000000560000}"/>
    <cellStyle name="Percent 20" xfId="21193" xr:uid="{00000000-0005-0000-0000-000001560000}"/>
    <cellStyle name="Percent 21" xfId="21194" xr:uid="{00000000-0005-0000-0000-000002560000}"/>
    <cellStyle name="Percent 22" xfId="21195" xr:uid="{00000000-0005-0000-0000-000003560000}"/>
    <cellStyle name="Percent 23" xfId="21196" xr:uid="{00000000-0005-0000-0000-000004560000}"/>
    <cellStyle name="Percent 24" xfId="21197" xr:uid="{00000000-0005-0000-0000-000005560000}"/>
    <cellStyle name="Percent 25" xfId="21198" xr:uid="{00000000-0005-0000-0000-000006560000}"/>
    <cellStyle name="Percent 26" xfId="21199" xr:uid="{00000000-0005-0000-0000-000007560000}"/>
    <cellStyle name="Percent 27" xfId="21200" xr:uid="{00000000-0005-0000-0000-000008560000}"/>
    <cellStyle name="Percent 28" xfId="21201" xr:uid="{00000000-0005-0000-0000-000009560000}"/>
    <cellStyle name="Percent 29" xfId="21202" xr:uid="{00000000-0005-0000-0000-00000A560000}"/>
    <cellStyle name="Percent 3" xfId="21203" xr:uid="{00000000-0005-0000-0000-00000B560000}"/>
    <cellStyle name="Percent 3 2" xfId="21204" xr:uid="{00000000-0005-0000-0000-00000C560000}"/>
    <cellStyle name="Percent 3 2 2" xfId="21205" xr:uid="{00000000-0005-0000-0000-00000D560000}"/>
    <cellStyle name="Percent 3 2 2 2" xfId="21206" xr:uid="{00000000-0005-0000-0000-00000E560000}"/>
    <cellStyle name="Percent 3 2 2 3" xfId="21207" xr:uid="{00000000-0005-0000-0000-00000F560000}"/>
    <cellStyle name="Percent 3 2 3" xfId="21208" xr:uid="{00000000-0005-0000-0000-000010560000}"/>
    <cellStyle name="Percent 3 2 4" xfId="21209" xr:uid="{00000000-0005-0000-0000-000011560000}"/>
    <cellStyle name="Percent 3 3" xfId="21210" xr:uid="{00000000-0005-0000-0000-000012560000}"/>
    <cellStyle name="Percent 3 3 2" xfId="21211" xr:uid="{00000000-0005-0000-0000-000013560000}"/>
    <cellStyle name="Percent 3 3 3" xfId="21212" xr:uid="{00000000-0005-0000-0000-000014560000}"/>
    <cellStyle name="Percent 3 3 4" xfId="21213" xr:uid="{00000000-0005-0000-0000-000015560000}"/>
    <cellStyle name="Percent 3 3 5" xfId="21214" xr:uid="{00000000-0005-0000-0000-000016560000}"/>
    <cellStyle name="Percent 3 4" xfId="21215" xr:uid="{00000000-0005-0000-0000-000017560000}"/>
    <cellStyle name="Percent 3 4 2" xfId="21216" xr:uid="{00000000-0005-0000-0000-000018560000}"/>
    <cellStyle name="Percent 3 4 3" xfId="21217" xr:uid="{00000000-0005-0000-0000-000019560000}"/>
    <cellStyle name="Percent 3 4 4" xfId="21218" xr:uid="{00000000-0005-0000-0000-00001A560000}"/>
    <cellStyle name="Percent 3 5" xfId="21219" xr:uid="{00000000-0005-0000-0000-00001B560000}"/>
    <cellStyle name="Percent 3 5 2" xfId="25446" xr:uid="{00000000-0005-0000-0000-00001C560000}"/>
    <cellStyle name="Percent 3 6" xfId="21220" xr:uid="{00000000-0005-0000-0000-00001D560000}"/>
    <cellStyle name="Percent 30" xfId="21221" xr:uid="{00000000-0005-0000-0000-00001E560000}"/>
    <cellStyle name="Percent 31" xfId="21222" xr:uid="{00000000-0005-0000-0000-00001F560000}"/>
    <cellStyle name="Percent 32" xfId="21223" xr:uid="{00000000-0005-0000-0000-000020560000}"/>
    <cellStyle name="Percent 33" xfId="21224" xr:uid="{00000000-0005-0000-0000-000021560000}"/>
    <cellStyle name="Percent 34" xfId="21225" xr:uid="{00000000-0005-0000-0000-000022560000}"/>
    <cellStyle name="Percent 35" xfId="21226" xr:uid="{00000000-0005-0000-0000-000023560000}"/>
    <cellStyle name="Percent 4" xfId="21227" xr:uid="{00000000-0005-0000-0000-000024560000}"/>
    <cellStyle name="Percent 4 2" xfId="21228" xr:uid="{00000000-0005-0000-0000-000025560000}"/>
    <cellStyle name="Percent 4 2 2" xfId="21229" xr:uid="{00000000-0005-0000-0000-000026560000}"/>
    <cellStyle name="Percent 4 2 2 2" xfId="21230" xr:uid="{00000000-0005-0000-0000-000027560000}"/>
    <cellStyle name="Percent 4 2 2 3" xfId="21231" xr:uid="{00000000-0005-0000-0000-000028560000}"/>
    <cellStyle name="Percent 4 2 2 4" xfId="21232" xr:uid="{00000000-0005-0000-0000-000029560000}"/>
    <cellStyle name="Percent 4 2 3" xfId="21233" xr:uid="{00000000-0005-0000-0000-00002A560000}"/>
    <cellStyle name="Percent 4 2 4" xfId="21234" xr:uid="{00000000-0005-0000-0000-00002B560000}"/>
    <cellStyle name="Percent 4 2 5" xfId="21235" xr:uid="{00000000-0005-0000-0000-00002C560000}"/>
    <cellStyle name="Percent 4 3" xfId="21236" xr:uid="{00000000-0005-0000-0000-00002D560000}"/>
    <cellStyle name="Percent 4 3 2" xfId="21237" xr:uid="{00000000-0005-0000-0000-00002E560000}"/>
    <cellStyle name="Percent 4 3 3" xfId="21238" xr:uid="{00000000-0005-0000-0000-00002F560000}"/>
    <cellStyle name="Percent 4 3 4" xfId="21239" xr:uid="{00000000-0005-0000-0000-000030560000}"/>
    <cellStyle name="Percent 4 4" xfId="21240" xr:uid="{00000000-0005-0000-0000-000031560000}"/>
    <cellStyle name="Percent 4 4 2" xfId="25447" xr:uid="{00000000-0005-0000-0000-000032560000}"/>
    <cellStyle name="Percent 4 5" xfId="21241" xr:uid="{00000000-0005-0000-0000-000033560000}"/>
    <cellStyle name="Percent 4 6" xfId="21242" xr:uid="{00000000-0005-0000-0000-000034560000}"/>
    <cellStyle name="Percent 4 7" xfId="21243" xr:uid="{00000000-0005-0000-0000-000035560000}"/>
    <cellStyle name="Percent 5" xfId="21244" xr:uid="{00000000-0005-0000-0000-000036560000}"/>
    <cellStyle name="Percent 5 2" xfId="21245" xr:uid="{00000000-0005-0000-0000-000037560000}"/>
    <cellStyle name="Percent 5 2 2" xfId="21246" xr:uid="{00000000-0005-0000-0000-000038560000}"/>
    <cellStyle name="Percent 5 2 3" xfId="21247" xr:uid="{00000000-0005-0000-0000-000039560000}"/>
    <cellStyle name="Percent 5 2 4" xfId="21248" xr:uid="{00000000-0005-0000-0000-00003A560000}"/>
    <cellStyle name="Percent 5 3" xfId="21249" xr:uid="{00000000-0005-0000-0000-00003B560000}"/>
    <cellStyle name="Percent 5 4" xfId="21250" xr:uid="{00000000-0005-0000-0000-00003C560000}"/>
    <cellStyle name="Percent 5 5" xfId="21251" xr:uid="{00000000-0005-0000-0000-00003D560000}"/>
    <cellStyle name="Percent 5 6" xfId="21252" xr:uid="{00000000-0005-0000-0000-00003E560000}"/>
    <cellStyle name="Percent 6" xfId="21253" xr:uid="{00000000-0005-0000-0000-00003F560000}"/>
    <cellStyle name="Percent 6 2" xfId="21254" xr:uid="{00000000-0005-0000-0000-000040560000}"/>
    <cellStyle name="Percent 6 3" xfId="21255" xr:uid="{00000000-0005-0000-0000-000041560000}"/>
    <cellStyle name="Percent 6 4" xfId="21256" xr:uid="{00000000-0005-0000-0000-000042560000}"/>
    <cellStyle name="Percent 6 5" xfId="21257" xr:uid="{00000000-0005-0000-0000-000043560000}"/>
    <cellStyle name="Percent 6 6" xfId="21258" xr:uid="{00000000-0005-0000-0000-000044560000}"/>
    <cellStyle name="Percent 7" xfId="21259" xr:uid="{00000000-0005-0000-0000-000045560000}"/>
    <cellStyle name="Percent 7 2" xfId="21260" xr:uid="{00000000-0005-0000-0000-000046560000}"/>
    <cellStyle name="Percent 7 3" xfId="21261" xr:uid="{00000000-0005-0000-0000-000047560000}"/>
    <cellStyle name="Percent 7 4" xfId="21262" xr:uid="{00000000-0005-0000-0000-000048560000}"/>
    <cellStyle name="Percent 7 5" xfId="21263" xr:uid="{00000000-0005-0000-0000-000049560000}"/>
    <cellStyle name="Percent 8" xfId="21264" xr:uid="{00000000-0005-0000-0000-00004A560000}"/>
    <cellStyle name="Percent 8 2" xfId="21265" xr:uid="{00000000-0005-0000-0000-00004B560000}"/>
    <cellStyle name="Percent 8 2 2" xfId="21266" xr:uid="{00000000-0005-0000-0000-00004C560000}"/>
    <cellStyle name="Percent 8 2 3" xfId="21267" xr:uid="{00000000-0005-0000-0000-00004D560000}"/>
    <cellStyle name="Percent 8 2 4" xfId="21268" xr:uid="{00000000-0005-0000-0000-00004E560000}"/>
    <cellStyle name="Percent 8 3" xfId="21269" xr:uid="{00000000-0005-0000-0000-00004F560000}"/>
    <cellStyle name="Percent 8 4" xfId="21270" xr:uid="{00000000-0005-0000-0000-000050560000}"/>
    <cellStyle name="Percent 8 5" xfId="21271" xr:uid="{00000000-0005-0000-0000-000051560000}"/>
    <cellStyle name="Percent 8 6" xfId="21272" xr:uid="{00000000-0005-0000-0000-000052560000}"/>
    <cellStyle name="Percent 8 7" xfId="21273" xr:uid="{00000000-0005-0000-0000-000053560000}"/>
    <cellStyle name="Percent 9" xfId="21274" xr:uid="{00000000-0005-0000-0000-000054560000}"/>
    <cellStyle name="Percent 9 2" xfId="21275" xr:uid="{00000000-0005-0000-0000-000055560000}"/>
    <cellStyle name="Percent 9 3" xfId="21276" xr:uid="{00000000-0005-0000-0000-000056560000}"/>
    <cellStyle name="Percent 9 4" xfId="21277" xr:uid="{00000000-0005-0000-0000-000057560000}"/>
    <cellStyle name="Percent Hard" xfId="21278" xr:uid="{00000000-0005-0000-0000-000058560000}"/>
    <cellStyle name="Percent Hard 2" xfId="21279" xr:uid="{00000000-0005-0000-0000-000059560000}"/>
    <cellStyle name="Percent Hard 3" xfId="21280" xr:uid="{00000000-0005-0000-0000-00005A560000}"/>
    <cellStyle name="Percent Hard 4" xfId="21281" xr:uid="{00000000-0005-0000-0000-00005B560000}"/>
    <cellStyle name="Percentage" xfId="21282" xr:uid="{00000000-0005-0000-0000-00005C560000}"/>
    <cellStyle name="Percentage 2" xfId="21283" xr:uid="{00000000-0005-0000-0000-00005D560000}"/>
    <cellStyle name="Percentage 3" xfId="21284" xr:uid="{00000000-0005-0000-0000-00005E560000}"/>
    <cellStyle name="Percentage 4" xfId="21285" xr:uid="{00000000-0005-0000-0000-00005F560000}"/>
    <cellStyle name="Percentage 5" xfId="21286" xr:uid="{00000000-0005-0000-0000-000060560000}"/>
    <cellStyle name="Perlong" xfId="21287" xr:uid="{00000000-0005-0000-0000-000061560000}"/>
    <cellStyle name="Perlong 2" xfId="21288" xr:uid="{00000000-0005-0000-0000-000062560000}"/>
    <cellStyle name="Perlong 3" xfId="21289" xr:uid="{00000000-0005-0000-0000-000063560000}"/>
    <cellStyle name="Perlong 4" xfId="21290" xr:uid="{00000000-0005-0000-0000-000064560000}"/>
    <cellStyle name="PrePop Currency (0)" xfId="21291" xr:uid="{00000000-0005-0000-0000-000065560000}"/>
    <cellStyle name="PrePop Currency (0) 2" xfId="21292" xr:uid="{00000000-0005-0000-0000-000066560000}"/>
    <cellStyle name="PrePop Currency (0) 3" xfId="21293" xr:uid="{00000000-0005-0000-0000-000067560000}"/>
    <cellStyle name="PrePop Currency (0) 4" xfId="21294" xr:uid="{00000000-0005-0000-0000-000068560000}"/>
    <cellStyle name="PrePop Currency (2)" xfId="21295" xr:uid="{00000000-0005-0000-0000-000069560000}"/>
    <cellStyle name="PrePop Currency (2) 2" xfId="21296" xr:uid="{00000000-0005-0000-0000-00006A560000}"/>
    <cellStyle name="PrePop Currency (2) 3" xfId="21297" xr:uid="{00000000-0005-0000-0000-00006B560000}"/>
    <cellStyle name="PrePop Currency (2) 4" xfId="21298" xr:uid="{00000000-0005-0000-0000-00006C560000}"/>
    <cellStyle name="PrePop Currency (2) 5" xfId="21299" xr:uid="{00000000-0005-0000-0000-00006D560000}"/>
    <cellStyle name="PrePop Units (0)" xfId="21300" xr:uid="{00000000-0005-0000-0000-00006E560000}"/>
    <cellStyle name="PrePop Units (0) 2" xfId="21301" xr:uid="{00000000-0005-0000-0000-00006F560000}"/>
    <cellStyle name="PrePop Units (0) 3" xfId="21302" xr:uid="{00000000-0005-0000-0000-000070560000}"/>
    <cellStyle name="PrePop Units (0) 4" xfId="21303" xr:uid="{00000000-0005-0000-0000-000071560000}"/>
    <cellStyle name="PrePop Units (1)" xfId="21304" xr:uid="{00000000-0005-0000-0000-000072560000}"/>
    <cellStyle name="PrePop Units (1) 2" xfId="21305" xr:uid="{00000000-0005-0000-0000-000073560000}"/>
    <cellStyle name="PrePop Units (1) 3" xfId="21306" xr:uid="{00000000-0005-0000-0000-000074560000}"/>
    <cellStyle name="PrePop Units (1) 4" xfId="21307" xr:uid="{00000000-0005-0000-0000-000075560000}"/>
    <cellStyle name="PrePop Units (1) 5" xfId="21308" xr:uid="{00000000-0005-0000-0000-000076560000}"/>
    <cellStyle name="PrePop Units (2)" xfId="21309" xr:uid="{00000000-0005-0000-0000-000077560000}"/>
    <cellStyle name="PrePop Units (2) 2" xfId="21310" xr:uid="{00000000-0005-0000-0000-000078560000}"/>
    <cellStyle name="PrePop Units (2) 3" xfId="21311" xr:uid="{00000000-0005-0000-0000-000079560000}"/>
    <cellStyle name="PrePop Units (2) 4" xfId="21312" xr:uid="{00000000-0005-0000-0000-00007A560000}"/>
    <cellStyle name="PrePop Units (2) 5" xfId="21313" xr:uid="{00000000-0005-0000-0000-00007B560000}"/>
    <cellStyle name="Price" xfId="21314" xr:uid="{00000000-0005-0000-0000-00007C560000}"/>
    <cellStyle name="Price 2" xfId="21315" xr:uid="{00000000-0005-0000-0000-00007D560000}"/>
    <cellStyle name="Price 3" xfId="21316" xr:uid="{00000000-0005-0000-0000-00007E560000}"/>
    <cellStyle name="Price 4" xfId="21317" xr:uid="{00000000-0005-0000-0000-00007F560000}"/>
    <cellStyle name="PriceUn" xfId="21318" xr:uid="{00000000-0005-0000-0000-000080560000}"/>
    <cellStyle name="PriceUn 2" xfId="21319" xr:uid="{00000000-0005-0000-0000-000081560000}"/>
    <cellStyle name="PriceUn 3" xfId="21320" xr:uid="{00000000-0005-0000-0000-000082560000}"/>
    <cellStyle name="PriceUn 4" xfId="21321" xr:uid="{00000000-0005-0000-0000-000083560000}"/>
    <cellStyle name="PSChar" xfId="21322" xr:uid="{00000000-0005-0000-0000-000084560000}"/>
    <cellStyle name="PSChar 2" xfId="21323" xr:uid="{00000000-0005-0000-0000-000085560000}"/>
    <cellStyle name="PSChar 2 2" xfId="21324" xr:uid="{00000000-0005-0000-0000-000086560000}"/>
    <cellStyle name="PSChar 2 3" xfId="21325" xr:uid="{00000000-0005-0000-0000-000087560000}"/>
    <cellStyle name="PSChar 2 4" xfId="21326" xr:uid="{00000000-0005-0000-0000-000088560000}"/>
    <cellStyle name="PSChar 3" xfId="21327" xr:uid="{00000000-0005-0000-0000-000089560000}"/>
    <cellStyle name="PSChar 3 2" xfId="21328" xr:uid="{00000000-0005-0000-0000-00008A560000}"/>
    <cellStyle name="PSChar 3 3" xfId="21329" xr:uid="{00000000-0005-0000-0000-00008B560000}"/>
    <cellStyle name="PSChar 3 4" xfId="21330" xr:uid="{00000000-0005-0000-0000-00008C560000}"/>
    <cellStyle name="PSChar 4" xfId="21331" xr:uid="{00000000-0005-0000-0000-00008D560000}"/>
    <cellStyle name="PSChar 5" xfId="21332" xr:uid="{00000000-0005-0000-0000-00008E560000}"/>
    <cellStyle name="PSChar 6" xfId="21333" xr:uid="{00000000-0005-0000-0000-00008F560000}"/>
    <cellStyle name="PSDate" xfId="21334" xr:uid="{00000000-0005-0000-0000-000090560000}"/>
    <cellStyle name="PSDate 2" xfId="21335" xr:uid="{00000000-0005-0000-0000-000091560000}"/>
    <cellStyle name="PSDate 3" xfId="21336" xr:uid="{00000000-0005-0000-0000-000092560000}"/>
    <cellStyle name="PSDate 4" xfId="21337" xr:uid="{00000000-0005-0000-0000-000093560000}"/>
    <cellStyle name="PSDec" xfId="21338" xr:uid="{00000000-0005-0000-0000-000094560000}"/>
    <cellStyle name="PSDec 2" xfId="21339" xr:uid="{00000000-0005-0000-0000-000095560000}"/>
    <cellStyle name="PSDec 3" xfId="21340" xr:uid="{00000000-0005-0000-0000-000096560000}"/>
    <cellStyle name="PSDec 4" xfId="21341" xr:uid="{00000000-0005-0000-0000-000097560000}"/>
    <cellStyle name="PSHeading" xfId="21342" xr:uid="{00000000-0005-0000-0000-000098560000}"/>
    <cellStyle name="PSHeading 2" xfId="21343" xr:uid="{00000000-0005-0000-0000-000099560000}"/>
    <cellStyle name="PSHeading 3" xfId="21344" xr:uid="{00000000-0005-0000-0000-00009A560000}"/>
    <cellStyle name="PSHeading 4" xfId="21345" xr:uid="{00000000-0005-0000-0000-00009B560000}"/>
    <cellStyle name="PSHeading 5" xfId="21346" xr:uid="{00000000-0005-0000-0000-00009C560000}"/>
    <cellStyle name="PSInt" xfId="21347" xr:uid="{00000000-0005-0000-0000-00009D560000}"/>
    <cellStyle name="PSInt 2" xfId="21348" xr:uid="{00000000-0005-0000-0000-00009E560000}"/>
    <cellStyle name="PSInt 3" xfId="21349" xr:uid="{00000000-0005-0000-0000-00009F560000}"/>
    <cellStyle name="PSInt 4" xfId="21350" xr:uid="{00000000-0005-0000-0000-0000A0560000}"/>
    <cellStyle name="PSSpacer" xfId="21351" xr:uid="{00000000-0005-0000-0000-0000A1560000}"/>
    <cellStyle name="PSSpacer 2" xfId="21352" xr:uid="{00000000-0005-0000-0000-0000A2560000}"/>
    <cellStyle name="PSSpacer 2 2" xfId="21353" xr:uid="{00000000-0005-0000-0000-0000A3560000}"/>
    <cellStyle name="PSSpacer 2 3" xfId="21354" xr:uid="{00000000-0005-0000-0000-0000A4560000}"/>
    <cellStyle name="PSSpacer 2 4" xfId="21355" xr:uid="{00000000-0005-0000-0000-0000A5560000}"/>
    <cellStyle name="PSSpacer 3" xfId="21356" xr:uid="{00000000-0005-0000-0000-0000A6560000}"/>
    <cellStyle name="PSSpacer 3 2" xfId="21357" xr:uid="{00000000-0005-0000-0000-0000A7560000}"/>
    <cellStyle name="PSSpacer 3 3" xfId="21358" xr:uid="{00000000-0005-0000-0000-0000A8560000}"/>
    <cellStyle name="PSSpacer 3 4" xfId="21359" xr:uid="{00000000-0005-0000-0000-0000A9560000}"/>
    <cellStyle name="PSSpacer 4" xfId="21360" xr:uid="{00000000-0005-0000-0000-0000AA560000}"/>
    <cellStyle name="PSSpacer 5" xfId="21361" xr:uid="{00000000-0005-0000-0000-0000AB560000}"/>
    <cellStyle name="PSSpacer 6" xfId="21362" xr:uid="{00000000-0005-0000-0000-0000AC560000}"/>
    <cellStyle name="q" xfId="21363" xr:uid="{00000000-0005-0000-0000-0000AD560000}"/>
    <cellStyle name="q 2" xfId="21364" xr:uid="{00000000-0005-0000-0000-0000AE560000}"/>
    <cellStyle name="q 3" xfId="21365" xr:uid="{00000000-0005-0000-0000-0000AF560000}"/>
    <cellStyle name="q 4" xfId="21366" xr:uid="{00000000-0005-0000-0000-0000B0560000}"/>
    <cellStyle name="q 5" xfId="21367" xr:uid="{00000000-0005-0000-0000-0000B1560000}"/>
    <cellStyle name="q 6" xfId="21368" xr:uid="{00000000-0005-0000-0000-0000B2560000}"/>
    <cellStyle name="q_DCF-Valuation Support" xfId="21369" xr:uid="{00000000-0005-0000-0000-0000B3560000}"/>
    <cellStyle name="q_DCF-Valuation Support 2" xfId="21370" xr:uid="{00000000-0005-0000-0000-0000B4560000}"/>
    <cellStyle name="q_DCF-Valuation Support 3" xfId="21371" xr:uid="{00000000-0005-0000-0000-0000B5560000}"/>
    <cellStyle name="q_DCF-Valuation Support 4" xfId="21372" xr:uid="{00000000-0005-0000-0000-0000B6560000}"/>
    <cellStyle name="q_DCF-Valuation Support 5" xfId="21373" xr:uid="{00000000-0005-0000-0000-0000B7560000}"/>
    <cellStyle name="q_DCF-Valuation Support 6" xfId="21374" xr:uid="{00000000-0005-0000-0000-0000B8560000}"/>
    <cellStyle name="q_ICOS-INC" xfId="21375" xr:uid="{00000000-0005-0000-0000-0000B9560000}"/>
    <cellStyle name="q_ICOS-INC (2)" xfId="21376" xr:uid="{00000000-0005-0000-0000-0000BA560000}"/>
    <cellStyle name="q_ICOS-INC (2) 2" xfId="21377" xr:uid="{00000000-0005-0000-0000-0000BB560000}"/>
    <cellStyle name="q_ICOS-INC (2) 3" xfId="21378" xr:uid="{00000000-0005-0000-0000-0000BC560000}"/>
    <cellStyle name="q_ICOS-INC (2) 4" xfId="21379" xr:uid="{00000000-0005-0000-0000-0000BD560000}"/>
    <cellStyle name="q_ICOS-INC (2) 5" xfId="21380" xr:uid="{00000000-0005-0000-0000-0000BE560000}"/>
    <cellStyle name="q_ICOS-INC (2) 6" xfId="21381" xr:uid="{00000000-0005-0000-0000-0000BF560000}"/>
    <cellStyle name="q_ICOS-INC 10" xfId="21382" xr:uid="{00000000-0005-0000-0000-0000C0560000}"/>
    <cellStyle name="q_ICOS-INC 11" xfId="21383" xr:uid="{00000000-0005-0000-0000-0000C1560000}"/>
    <cellStyle name="q_ICOS-INC 12" xfId="21384" xr:uid="{00000000-0005-0000-0000-0000C2560000}"/>
    <cellStyle name="q_ICOS-INC 13" xfId="21385" xr:uid="{00000000-0005-0000-0000-0000C3560000}"/>
    <cellStyle name="q_ICOS-INC 2" xfId="21386" xr:uid="{00000000-0005-0000-0000-0000C4560000}"/>
    <cellStyle name="q_ICOS-INC 3" xfId="21387" xr:uid="{00000000-0005-0000-0000-0000C5560000}"/>
    <cellStyle name="q_ICOS-INC 4" xfId="21388" xr:uid="{00000000-0005-0000-0000-0000C6560000}"/>
    <cellStyle name="q_ICOS-INC 5" xfId="21389" xr:uid="{00000000-0005-0000-0000-0000C7560000}"/>
    <cellStyle name="q_ICOS-INC 6" xfId="21390" xr:uid="{00000000-0005-0000-0000-0000C8560000}"/>
    <cellStyle name="q_ICOS-INC 7" xfId="21391" xr:uid="{00000000-0005-0000-0000-0000C9560000}"/>
    <cellStyle name="q_ICOS-INC 8" xfId="21392" xr:uid="{00000000-0005-0000-0000-0000CA560000}"/>
    <cellStyle name="q_ICOS-INC 9" xfId="21393" xr:uid="{00000000-0005-0000-0000-0000CB560000}"/>
    <cellStyle name="q_Merger Model16.xls Chart 1" xfId="21394" xr:uid="{00000000-0005-0000-0000-0000CC560000}"/>
    <cellStyle name="q_Merger Model16.xls Chart 1 2" xfId="21395" xr:uid="{00000000-0005-0000-0000-0000CD560000}"/>
    <cellStyle name="q_Merger Model16.xls Chart 1 3" xfId="21396" xr:uid="{00000000-0005-0000-0000-0000CE560000}"/>
    <cellStyle name="q_Merger Model16.xls Chart 1 4" xfId="21397" xr:uid="{00000000-0005-0000-0000-0000CF560000}"/>
    <cellStyle name="q_Merger Model16.xls Chart 1 5" xfId="21398" xr:uid="{00000000-0005-0000-0000-0000D0560000}"/>
    <cellStyle name="q_Merger Model16.xls Chart 1 6" xfId="21399" xr:uid="{00000000-0005-0000-0000-0000D1560000}"/>
    <cellStyle name="q_Merger Model34b" xfId="21400" xr:uid="{00000000-0005-0000-0000-0000D2560000}"/>
    <cellStyle name="q_Merger Model34b 2" xfId="21401" xr:uid="{00000000-0005-0000-0000-0000D3560000}"/>
    <cellStyle name="q_Merger Model34b 3" xfId="21402" xr:uid="{00000000-0005-0000-0000-0000D4560000}"/>
    <cellStyle name="q_Merger Model34b 4" xfId="21403" xr:uid="{00000000-0005-0000-0000-0000D5560000}"/>
    <cellStyle name="QEPS-h" xfId="21404" xr:uid="{00000000-0005-0000-0000-0000D6560000}"/>
    <cellStyle name="QEPS-h 2" xfId="21405" xr:uid="{00000000-0005-0000-0000-0000D7560000}"/>
    <cellStyle name="QEPS-h 3" xfId="21406" xr:uid="{00000000-0005-0000-0000-0000D8560000}"/>
    <cellStyle name="QEPS-h 4" xfId="21407" xr:uid="{00000000-0005-0000-0000-0000D9560000}"/>
    <cellStyle name="QEPS-h 5" xfId="21408" xr:uid="{00000000-0005-0000-0000-0000DA560000}"/>
    <cellStyle name="QEPS-H1" xfId="21409" xr:uid="{00000000-0005-0000-0000-0000DB560000}"/>
    <cellStyle name="QEPS-H1 2" xfId="21410" xr:uid="{00000000-0005-0000-0000-0000DC560000}"/>
    <cellStyle name="QEPS-H1 2 2" xfId="21411" xr:uid="{00000000-0005-0000-0000-0000DD560000}"/>
    <cellStyle name="QEPS-H1 2 3" xfId="21412" xr:uid="{00000000-0005-0000-0000-0000DE560000}"/>
    <cellStyle name="QEPS-H1 2 4" xfId="21413" xr:uid="{00000000-0005-0000-0000-0000DF560000}"/>
    <cellStyle name="QEPS-H1 3" xfId="21414" xr:uid="{00000000-0005-0000-0000-0000E0560000}"/>
    <cellStyle name="QEPS-H1 4" xfId="21415" xr:uid="{00000000-0005-0000-0000-0000E1560000}"/>
    <cellStyle name="QEPS-H1 5" xfId="21416" xr:uid="{00000000-0005-0000-0000-0000E2560000}"/>
    <cellStyle name="QEPS-H1 6" xfId="21417" xr:uid="{00000000-0005-0000-0000-0000E3560000}"/>
    <cellStyle name="r" xfId="21418" xr:uid="{00000000-0005-0000-0000-0000E4560000}"/>
    <cellStyle name="r 2" xfId="21419" xr:uid="{00000000-0005-0000-0000-0000E5560000}"/>
    <cellStyle name="r 3" xfId="21420" xr:uid="{00000000-0005-0000-0000-0000E6560000}"/>
    <cellStyle name="r 4" xfId="21421" xr:uid="{00000000-0005-0000-0000-0000E7560000}"/>
    <cellStyle name="r 5" xfId="21422" xr:uid="{00000000-0005-0000-0000-0000E8560000}"/>
    <cellStyle name="r_090115 Red  Green Flags Dic 2k8" xfId="21423" xr:uid="{00000000-0005-0000-0000-0000E9560000}"/>
    <cellStyle name="r_090115 Red  Green Flags Dic 2k8 2" xfId="21424" xr:uid="{00000000-0005-0000-0000-0000EA560000}"/>
    <cellStyle name="r_090115 Red  Green Flags Dic 2k8 3" xfId="21425" xr:uid="{00000000-0005-0000-0000-0000EB560000}"/>
    <cellStyle name="r_090115 Red  Green Flags Dic 2k8 4" xfId="21426" xr:uid="{00000000-0005-0000-0000-0000EC560000}"/>
    <cellStyle name="r_090115 Red  Green Flags Dic 2k8 5" xfId="21427" xr:uid="{00000000-0005-0000-0000-0000ED560000}"/>
    <cellStyle name="r_MDAFebALL" xfId="21428" xr:uid="{00000000-0005-0000-0000-0000EE560000}"/>
    <cellStyle name="r_MDAFebALL 2" xfId="21429" xr:uid="{00000000-0005-0000-0000-0000EF560000}"/>
    <cellStyle name="r_MDAFebALL 3" xfId="21430" xr:uid="{00000000-0005-0000-0000-0000F0560000}"/>
    <cellStyle name="r_MDAFebALL 4" xfId="21431" xr:uid="{00000000-0005-0000-0000-0000F1560000}"/>
    <cellStyle name="r_MDAFebALL 5" xfId="21432" xr:uid="{00000000-0005-0000-0000-0000F2560000}"/>
    <cellStyle name="r_MDAFebALL1" xfId="21433" xr:uid="{00000000-0005-0000-0000-0000F3560000}"/>
    <cellStyle name="r_MDAFebALL1 2" xfId="21434" xr:uid="{00000000-0005-0000-0000-0000F4560000}"/>
    <cellStyle name="r_MDAFebALL1 3" xfId="21435" xr:uid="{00000000-0005-0000-0000-0000F5560000}"/>
    <cellStyle name="r_MDAFebALL1 4" xfId="21436" xr:uid="{00000000-0005-0000-0000-0000F6560000}"/>
    <cellStyle name="r_MDAFebALL1 5" xfId="21437" xr:uid="{00000000-0005-0000-0000-0000F7560000}"/>
    <cellStyle name="r_Public Trading Comp Sheet New" xfId="21438" xr:uid="{00000000-0005-0000-0000-0000F8560000}"/>
    <cellStyle name="r_Public Trading Comp Sheet New 2" xfId="21439" xr:uid="{00000000-0005-0000-0000-0000F9560000}"/>
    <cellStyle name="r_Public Trading Comp Sheet New 3" xfId="21440" xr:uid="{00000000-0005-0000-0000-0000FA560000}"/>
    <cellStyle name="r_Public Trading Comp Sheet New 4" xfId="21441" xr:uid="{00000000-0005-0000-0000-0000FB560000}"/>
    <cellStyle name="r_Xl0000320" xfId="21442" xr:uid="{00000000-0005-0000-0000-0000FC560000}"/>
    <cellStyle name="r_Xl0000320 2" xfId="21443" xr:uid="{00000000-0005-0000-0000-0000FD560000}"/>
    <cellStyle name="r_Xl0000320 3" xfId="21444" xr:uid="{00000000-0005-0000-0000-0000FE560000}"/>
    <cellStyle name="r_Xl0000320 4" xfId="21445" xr:uid="{00000000-0005-0000-0000-0000FF560000}"/>
    <cellStyle name="r_Xl0000320 5" xfId="21446" xr:uid="{00000000-0005-0000-0000-000000570000}"/>
    <cellStyle name="r_Xl0000326" xfId="21447" xr:uid="{00000000-0005-0000-0000-000001570000}"/>
    <cellStyle name="r_Xl0000326 2" xfId="21448" xr:uid="{00000000-0005-0000-0000-000002570000}"/>
    <cellStyle name="r_Xl0000326 3" xfId="21449" xr:uid="{00000000-0005-0000-0000-000003570000}"/>
    <cellStyle name="r_Xl0000326 4" xfId="21450" xr:uid="{00000000-0005-0000-0000-000004570000}"/>
    <cellStyle name="r_Xl0000326 5" xfId="21451" xr:uid="{00000000-0005-0000-0000-000005570000}"/>
    <cellStyle name="range" xfId="21452" xr:uid="{00000000-0005-0000-0000-000006570000}"/>
    <cellStyle name="range 2" xfId="21453" xr:uid="{00000000-0005-0000-0000-000007570000}"/>
    <cellStyle name="range 3" xfId="21454" xr:uid="{00000000-0005-0000-0000-000008570000}"/>
    <cellStyle name="range 4" xfId="21455" xr:uid="{00000000-0005-0000-0000-000009570000}"/>
    <cellStyle name="range 5" xfId="21456" xr:uid="{00000000-0005-0000-0000-00000A570000}"/>
    <cellStyle name="Rate" xfId="21457" xr:uid="{00000000-0005-0000-0000-00000B570000}"/>
    <cellStyle name="Rate 2" xfId="21458" xr:uid="{00000000-0005-0000-0000-00000C570000}"/>
    <cellStyle name="Rate 3" xfId="21459" xr:uid="{00000000-0005-0000-0000-00000D570000}"/>
    <cellStyle name="Rate 4" xfId="21460" xr:uid="{00000000-0005-0000-0000-00000E570000}"/>
    <cellStyle name="Regular" xfId="21461" xr:uid="{00000000-0005-0000-0000-00000F570000}"/>
    <cellStyle name="Regular 2" xfId="21462" xr:uid="{00000000-0005-0000-0000-000010570000}"/>
    <cellStyle name="Regular 3" xfId="21463" xr:uid="{00000000-0005-0000-0000-000011570000}"/>
    <cellStyle name="Regular 4" xfId="21464" xr:uid="{00000000-0005-0000-0000-000012570000}"/>
    <cellStyle name="RevList" xfId="21465" xr:uid="{00000000-0005-0000-0000-000013570000}"/>
    <cellStyle name="RevList 2" xfId="21466" xr:uid="{00000000-0005-0000-0000-000014570000}"/>
    <cellStyle name="RevList 3" xfId="21467" xr:uid="{00000000-0005-0000-0000-000015570000}"/>
    <cellStyle name="RevList 4" xfId="21468" xr:uid="{00000000-0005-0000-0000-000016570000}"/>
    <cellStyle name="Right" xfId="21469" xr:uid="{00000000-0005-0000-0000-000017570000}"/>
    <cellStyle name="Right 2" xfId="21470" xr:uid="{00000000-0005-0000-0000-000018570000}"/>
    <cellStyle name="Right 3" xfId="21471" xr:uid="{00000000-0005-0000-0000-000019570000}"/>
    <cellStyle name="Right 4" xfId="21472" xr:uid="{00000000-0005-0000-0000-00001A570000}"/>
    <cellStyle name="Right 5" xfId="21473" xr:uid="{00000000-0005-0000-0000-00001B570000}"/>
    <cellStyle name="Right 6" xfId="21474" xr:uid="{00000000-0005-0000-0000-00001C570000}"/>
    <cellStyle name="Rothschild Normal" xfId="21475" xr:uid="{00000000-0005-0000-0000-00001D570000}"/>
    <cellStyle name="Rothschild Normal 2" xfId="21476" xr:uid="{00000000-0005-0000-0000-00001E570000}"/>
    <cellStyle name="Rothschild Normal 3" xfId="21477" xr:uid="{00000000-0005-0000-0000-00001F570000}"/>
    <cellStyle name="Rothschild Normal 4" xfId="21478" xr:uid="{00000000-0005-0000-0000-000020570000}"/>
    <cellStyle name="Rothschild Normal 5" xfId="21479" xr:uid="{00000000-0005-0000-0000-000021570000}"/>
    <cellStyle name="Salida" xfId="21480" xr:uid="{00000000-0005-0000-0000-000022570000}"/>
    <cellStyle name="Salida 2" xfId="21481" xr:uid="{00000000-0005-0000-0000-000023570000}"/>
    <cellStyle name="Salida 2 2" xfId="21482" xr:uid="{00000000-0005-0000-0000-000024570000}"/>
    <cellStyle name="Salida 2 3" xfId="21483" xr:uid="{00000000-0005-0000-0000-000025570000}"/>
    <cellStyle name="Salida 2 4" xfId="21484" xr:uid="{00000000-0005-0000-0000-000026570000}"/>
    <cellStyle name="Salida 2 5" xfId="21485" xr:uid="{00000000-0005-0000-0000-000027570000}"/>
    <cellStyle name="Salida 3" xfId="21486" xr:uid="{00000000-0005-0000-0000-000028570000}"/>
    <cellStyle name="Salida 3 2" xfId="21487" xr:uid="{00000000-0005-0000-0000-000029570000}"/>
    <cellStyle name="Salida 3 3" xfId="21488" xr:uid="{00000000-0005-0000-0000-00002A570000}"/>
    <cellStyle name="Salida 3 4" xfId="21489" xr:uid="{00000000-0005-0000-0000-00002B570000}"/>
    <cellStyle name="Salida 4" xfId="21490" xr:uid="{00000000-0005-0000-0000-00002C570000}"/>
    <cellStyle name="Salida 5" xfId="21491" xr:uid="{00000000-0005-0000-0000-00002D570000}"/>
    <cellStyle name="Salida 6" xfId="21492" xr:uid="{00000000-0005-0000-0000-00002E570000}"/>
    <cellStyle name="Salida 7" xfId="21493" xr:uid="{00000000-0005-0000-0000-00002F570000}"/>
    <cellStyle name="SAPBEXaggData" xfId="21494" xr:uid="{00000000-0005-0000-0000-000030570000}"/>
    <cellStyle name="SAPBEXaggData 2" xfId="21495" xr:uid="{00000000-0005-0000-0000-000031570000}"/>
    <cellStyle name="SAPBEXaggData 2 2" xfId="21496" xr:uid="{00000000-0005-0000-0000-000032570000}"/>
    <cellStyle name="SAPBEXaggData 2 2 2" xfId="21497" xr:uid="{00000000-0005-0000-0000-000033570000}"/>
    <cellStyle name="SAPBEXaggData 2 2 3" xfId="21498" xr:uid="{00000000-0005-0000-0000-000034570000}"/>
    <cellStyle name="SAPBEXaggData 2 2 4" xfId="21499" xr:uid="{00000000-0005-0000-0000-000035570000}"/>
    <cellStyle name="SAPBEXaggData 2 2 5" xfId="21500" xr:uid="{00000000-0005-0000-0000-000036570000}"/>
    <cellStyle name="SAPBEXaggData 2 3" xfId="21501" xr:uid="{00000000-0005-0000-0000-000037570000}"/>
    <cellStyle name="SAPBEXaggData 2 4" xfId="21502" xr:uid="{00000000-0005-0000-0000-000038570000}"/>
    <cellStyle name="SAPBEXaggData 2 5" xfId="21503" xr:uid="{00000000-0005-0000-0000-000039570000}"/>
    <cellStyle name="SAPBEXaggData 2 6" xfId="21504" xr:uid="{00000000-0005-0000-0000-00003A570000}"/>
    <cellStyle name="SAPBEXaggData 3" xfId="21505" xr:uid="{00000000-0005-0000-0000-00003B570000}"/>
    <cellStyle name="SAPBEXaggData 3 2" xfId="21506" xr:uid="{00000000-0005-0000-0000-00003C570000}"/>
    <cellStyle name="SAPBEXaggData 3 3" xfId="21507" xr:uid="{00000000-0005-0000-0000-00003D570000}"/>
    <cellStyle name="SAPBEXaggData 3 4" xfId="21508" xr:uid="{00000000-0005-0000-0000-00003E570000}"/>
    <cellStyle name="SAPBEXaggData 3 5" xfId="21509" xr:uid="{00000000-0005-0000-0000-00003F570000}"/>
    <cellStyle name="SAPBEXaggData 4" xfId="21510" xr:uid="{00000000-0005-0000-0000-000040570000}"/>
    <cellStyle name="SAPBEXaggData 5" xfId="21511" xr:uid="{00000000-0005-0000-0000-000041570000}"/>
    <cellStyle name="SAPBEXaggData 6" xfId="21512" xr:uid="{00000000-0005-0000-0000-000042570000}"/>
    <cellStyle name="SAPBEXaggData 7" xfId="21513" xr:uid="{00000000-0005-0000-0000-000043570000}"/>
    <cellStyle name="SAPBEXaggDataEmph" xfId="21514" xr:uid="{00000000-0005-0000-0000-000044570000}"/>
    <cellStyle name="SAPBEXaggDataEmph 2" xfId="21515" xr:uid="{00000000-0005-0000-0000-000045570000}"/>
    <cellStyle name="SAPBEXaggDataEmph 2 2" xfId="21516" xr:uid="{00000000-0005-0000-0000-000046570000}"/>
    <cellStyle name="SAPBEXaggDataEmph 2 2 2" xfId="21517" xr:uid="{00000000-0005-0000-0000-000047570000}"/>
    <cellStyle name="SAPBEXaggDataEmph 2 2 3" xfId="21518" xr:uid="{00000000-0005-0000-0000-000048570000}"/>
    <cellStyle name="SAPBEXaggDataEmph 2 2 4" xfId="21519" xr:uid="{00000000-0005-0000-0000-000049570000}"/>
    <cellStyle name="SAPBEXaggDataEmph 2 2 5" xfId="21520" xr:uid="{00000000-0005-0000-0000-00004A570000}"/>
    <cellStyle name="SAPBEXaggDataEmph 2 3" xfId="21521" xr:uid="{00000000-0005-0000-0000-00004B570000}"/>
    <cellStyle name="SAPBEXaggDataEmph 2 4" xfId="21522" xr:uid="{00000000-0005-0000-0000-00004C570000}"/>
    <cellStyle name="SAPBEXaggDataEmph 2 5" xfId="21523" xr:uid="{00000000-0005-0000-0000-00004D570000}"/>
    <cellStyle name="SAPBEXaggDataEmph 2 6" xfId="21524" xr:uid="{00000000-0005-0000-0000-00004E570000}"/>
    <cellStyle name="SAPBEXaggDataEmph 3" xfId="21525" xr:uid="{00000000-0005-0000-0000-00004F570000}"/>
    <cellStyle name="SAPBEXaggDataEmph 3 2" xfId="21526" xr:uid="{00000000-0005-0000-0000-000050570000}"/>
    <cellStyle name="SAPBEXaggDataEmph 3 3" xfId="21527" xr:uid="{00000000-0005-0000-0000-000051570000}"/>
    <cellStyle name="SAPBEXaggDataEmph 3 4" xfId="21528" xr:uid="{00000000-0005-0000-0000-000052570000}"/>
    <cellStyle name="SAPBEXaggDataEmph 3 5" xfId="21529" xr:uid="{00000000-0005-0000-0000-000053570000}"/>
    <cellStyle name="SAPBEXaggDataEmph 4" xfId="21530" xr:uid="{00000000-0005-0000-0000-000054570000}"/>
    <cellStyle name="SAPBEXaggDataEmph 5" xfId="21531" xr:uid="{00000000-0005-0000-0000-000055570000}"/>
    <cellStyle name="SAPBEXaggDataEmph 6" xfId="21532" xr:uid="{00000000-0005-0000-0000-000056570000}"/>
    <cellStyle name="SAPBEXaggDataEmph 7" xfId="21533" xr:uid="{00000000-0005-0000-0000-000057570000}"/>
    <cellStyle name="SAPBEXaggItem" xfId="21534" xr:uid="{00000000-0005-0000-0000-000058570000}"/>
    <cellStyle name="SAPBEXaggItem 2" xfId="21535" xr:uid="{00000000-0005-0000-0000-000059570000}"/>
    <cellStyle name="SAPBEXaggItem 2 2" xfId="21536" xr:uid="{00000000-0005-0000-0000-00005A570000}"/>
    <cellStyle name="SAPBEXaggItem 2 2 2" xfId="21537" xr:uid="{00000000-0005-0000-0000-00005B570000}"/>
    <cellStyle name="SAPBEXaggItem 2 2 3" xfId="21538" xr:uid="{00000000-0005-0000-0000-00005C570000}"/>
    <cellStyle name="SAPBEXaggItem 2 2 4" xfId="21539" xr:uid="{00000000-0005-0000-0000-00005D570000}"/>
    <cellStyle name="SAPBEXaggItem 2 2 5" xfId="21540" xr:uid="{00000000-0005-0000-0000-00005E570000}"/>
    <cellStyle name="SAPBEXaggItem 2 3" xfId="21541" xr:uid="{00000000-0005-0000-0000-00005F570000}"/>
    <cellStyle name="SAPBEXaggItem 2 4" xfId="21542" xr:uid="{00000000-0005-0000-0000-000060570000}"/>
    <cellStyle name="SAPBEXaggItem 2 5" xfId="21543" xr:uid="{00000000-0005-0000-0000-000061570000}"/>
    <cellStyle name="SAPBEXaggItem 2 6" xfId="21544" xr:uid="{00000000-0005-0000-0000-000062570000}"/>
    <cellStyle name="SAPBEXaggItem 3" xfId="21545" xr:uid="{00000000-0005-0000-0000-000063570000}"/>
    <cellStyle name="SAPBEXaggItem 3 2" xfId="21546" xr:uid="{00000000-0005-0000-0000-000064570000}"/>
    <cellStyle name="SAPBEXaggItem 3 3" xfId="21547" xr:uid="{00000000-0005-0000-0000-000065570000}"/>
    <cellStyle name="SAPBEXaggItem 3 4" xfId="21548" xr:uid="{00000000-0005-0000-0000-000066570000}"/>
    <cellStyle name="SAPBEXaggItem 3 5" xfId="21549" xr:uid="{00000000-0005-0000-0000-000067570000}"/>
    <cellStyle name="SAPBEXaggItem 4" xfId="21550" xr:uid="{00000000-0005-0000-0000-000068570000}"/>
    <cellStyle name="SAPBEXaggItem 5" xfId="21551" xr:uid="{00000000-0005-0000-0000-000069570000}"/>
    <cellStyle name="SAPBEXaggItem 6" xfId="21552" xr:uid="{00000000-0005-0000-0000-00006A570000}"/>
    <cellStyle name="SAPBEXaggItem 7" xfId="21553" xr:uid="{00000000-0005-0000-0000-00006B570000}"/>
    <cellStyle name="SAPBEXaggItemX" xfId="21554" xr:uid="{00000000-0005-0000-0000-00006C570000}"/>
    <cellStyle name="SAPBEXaggItemX 2" xfId="21555" xr:uid="{00000000-0005-0000-0000-00006D570000}"/>
    <cellStyle name="SAPBEXaggItemX 2 2" xfId="21556" xr:uid="{00000000-0005-0000-0000-00006E570000}"/>
    <cellStyle name="SAPBEXaggItemX 2 2 2" xfId="21557" xr:uid="{00000000-0005-0000-0000-00006F570000}"/>
    <cellStyle name="SAPBEXaggItemX 2 2 3" xfId="21558" xr:uid="{00000000-0005-0000-0000-000070570000}"/>
    <cellStyle name="SAPBEXaggItemX 2 2 4" xfId="21559" xr:uid="{00000000-0005-0000-0000-000071570000}"/>
    <cellStyle name="SAPBEXaggItemX 2 2 5" xfId="21560" xr:uid="{00000000-0005-0000-0000-000072570000}"/>
    <cellStyle name="SAPBEXaggItemX 2 3" xfId="21561" xr:uid="{00000000-0005-0000-0000-000073570000}"/>
    <cellStyle name="SAPBEXaggItemX 2 4" xfId="21562" xr:uid="{00000000-0005-0000-0000-000074570000}"/>
    <cellStyle name="SAPBEXaggItemX 2 5" xfId="21563" xr:uid="{00000000-0005-0000-0000-000075570000}"/>
    <cellStyle name="SAPBEXaggItemX 2 6" xfId="21564" xr:uid="{00000000-0005-0000-0000-000076570000}"/>
    <cellStyle name="SAPBEXaggItemX 3" xfId="21565" xr:uid="{00000000-0005-0000-0000-000077570000}"/>
    <cellStyle name="SAPBEXaggItemX 3 2" xfId="21566" xr:uid="{00000000-0005-0000-0000-000078570000}"/>
    <cellStyle name="SAPBEXaggItemX 3 3" xfId="21567" xr:uid="{00000000-0005-0000-0000-000079570000}"/>
    <cellStyle name="SAPBEXaggItemX 3 4" xfId="21568" xr:uid="{00000000-0005-0000-0000-00007A570000}"/>
    <cellStyle name="SAPBEXaggItemX 3 5" xfId="21569" xr:uid="{00000000-0005-0000-0000-00007B570000}"/>
    <cellStyle name="SAPBEXaggItemX 4" xfId="21570" xr:uid="{00000000-0005-0000-0000-00007C570000}"/>
    <cellStyle name="SAPBEXaggItemX 5" xfId="21571" xr:uid="{00000000-0005-0000-0000-00007D570000}"/>
    <cellStyle name="SAPBEXaggItemX 6" xfId="21572" xr:uid="{00000000-0005-0000-0000-00007E570000}"/>
    <cellStyle name="SAPBEXaggItemX 7" xfId="21573" xr:uid="{00000000-0005-0000-0000-00007F570000}"/>
    <cellStyle name="SAPBEXchaText" xfId="21574" xr:uid="{00000000-0005-0000-0000-000080570000}"/>
    <cellStyle name="SAPBEXchaText 2" xfId="21575" xr:uid="{00000000-0005-0000-0000-000081570000}"/>
    <cellStyle name="SAPBEXchaText 2 2" xfId="21576" xr:uid="{00000000-0005-0000-0000-000082570000}"/>
    <cellStyle name="SAPBEXchaText 2 2 2" xfId="21577" xr:uid="{00000000-0005-0000-0000-000083570000}"/>
    <cellStyle name="SAPBEXchaText 2 2 3" xfId="21578" xr:uid="{00000000-0005-0000-0000-000084570000}"/>
    <cellStyle name="SAPBEXchaText 2 2 4" xfId="21579" xr:uid="{00000000-0005-0000-0000-000085570000}"/>
    <cellStyle name="SAPBEXchaText 2 2 5" xfId="21580" xr:uid="{00000000-0005-0000-0000-000086570000}"/>
    <cellStyle name="SAPBEXchaText 2 3" xfId="21581" xr:uid="{00000000-0005-0000-0000-000087570000}"/>
    <cellStyle name="SAPBEXchaText 2 4" xfId="21582" xr:uid="{00000000-0005-0000-0000-000088570000}"/>
    <cellStyle name="SAPBEXchaText 2 5" xfId="21583" xr:uid="{00000000-0005-0000-0000-000089570000}"/>
    <cellStyle name="SAPBEXchaText 2 6" xfId="21584" xr:uid="{00000000-0005-0000-0000-00008A570000}"/>
    <cellStyle name="SAPBEXchaText 3" xfId="21585" xr:uid="{00000000-0005-0000-0000-00008B570000}"/>
    <cellStyle name="SAPBEXchaText 3 2" xfId="21586" xr:uid="{00000000-0005-0000-0000-00008C570000}"/>
    <cellStyle name="SAPBEXchaText 3 2 2" xfId="25448" xr:uid="{00000000-0005-0000-0000-00008D570000}"/>
    <cellStyle name="SAPBEXchaText 3 2 3" xfId="25449" xr:uid="{00000000-0005-0000-0000-00008E570000}"/>
    <cellStyle name="SAPBEXchaText 3 3" xfId="21587" xr:uid="{00000000-0005-0000-0000-00008F570000}"/>
    <cellStyle name="SAPBEXchaText 3 4" xfId="21588" xr:uid="{00000000-0005-0000-0000-000090570000}"/>
    <cellStyle name="SAPBEXchaText 3 5" xfId="21589" xr:uid="{00000000-0005-0000-0000-000091570000}"/>
    <cellStyle name="SAPBEXchaText 4" xfId="21590" xr:uid="{00000000-0005-0000-0000-000092570000}"/>
    <cellStyle name="SAPBEXchaText 4 2" xfId="21591" xr:uid="{00000000-0005-0000-0000-000093570000}"/>
    <cellStyle name="SAPBEXchaText 4 2 2" xfId="25450" xr:uid="{00000000-0005-0000-0000-000094570000}"/>
    <cellStyle name="SAPBEXchaText 4 2 3" xfId="25451" xr:uid="{00000000-0005-0000-0000-000095570000}"/>
    <cellStyle name="SAPBEXchaText 4 3" xfId="21592" xr:uid="{00000000-0005-0000-0000-000096570000}"/>
    <cellStyle name="SAPBEXchaText 4 4" xfId="21593" xr:uid="{00000000-0005-0000-0000-000097570000}"/>
    <cellStyle name="SAPBEXchaText 5" xfId="21594" xr:uid="{00000000-0005-0000-0000-000098570000}"/>
    <cellStyle name="SAPBEXchaText 5 2" xfId="25452" xr:uid="{00000000-0005-0000-0000-000099570000}"/>
    <cellStyle name="SAPBEXchaText 5 2 2" xfId="25453" xr:uid="{00000000-0005-0000-0000-00009A570000}"/>
    <cellStyle name="SAPBEXchaText 5 2 3" xfId="25454" xr:uid="{00000000-0005-0000-0000-00009B570000}"/>
    <cellStyle name="SAPBEXchaText 5 3" xfId="25455" xr:uid="{00000000-0005-0000-0000-00009C570000}"/>
    <cellStyle name="SAPBEXchaText 5 4" xfId="25456" xr:uid="{00000000-0005-0000-0000-00009D570000}"/>
    <cellStyle name="SAPBEXchaText 6" xfId="21595" xr:uid="{00000000-0005-0000-0000-00009E570000}"/>
    <cellStyle name="SAPBEXchaText 6 2" xfId="25457" xr:uid="{00000000-0005-0000-0000-00009F570000}"/>
    <cellStyle name="SAPBEXchaText 6 3" xfId="25458" xr:uid="{00000000-0005-0000-0000-0000A0570000}"/>
    <cellStyle name="SAPBEXchaText 7" xfId="21596" xr:uid="{00000000-0005-0000-0000-0000A1570000}"/>
    <cellStyle name="SAPBEXchaText 8" xfId="25459" xr:uid="{00000000-0005-0000-0000-0000A2570000}"/>
    <cellStyle name="SAPBEXexcBad7" xfId="21597" xr:uid="{00000000-0005-0000-0000-0000A3570000}"/>
    <cellStyle name="SAPBEXexcBad7 2" xfId="21598" xr:uid="{00000000-0005-0000-0000-0000A4570000}"/>
    <cellStyle name="SAPBEXexcBad7 2 2" xfId="21599" xr:uid="{00000000-0005-0000-0000-0000A5570000}"/>
    <cellStyle name="SAPBEXexcBad7 2 2 2" xfId="21600" xr:uid="{00000000-0005-0000-0000-0000A6570000}"/>
    <cellStyle name="SAPBEXexcBad7 2 2 3" xfId="21601" xr:uid="{00000000-0005-0000-0000-0000A7570000}"/>
    <cellStyle name="SAPBEXexcBad7 2 2 4" xfId="21602" xr:uid="{00000000-0005-0000-0000-0000A8570000}"/>
    <cellStyle name="SAPBEXexcBad7 2 2 5" xfId="21603" xr:uid="{00000000-0005-0000-0000-0000A9570000}"/>
    <cellStyle name="SAPBEXexcBad7 2 3" xfId="21604" xr:uid="{00000000-0005-0000-0000-0000AA570000}"/>
    <cellStyle name="SAPBEXexcBad7 2 4" xfId="21605" xr:uid="{00000000-0005-0000-0000-0000AB570000}"/>
    <cellStyle name="SAPBEXexcBad7 2 5" xfId="21606" xr:uid="{00000000-0005-0000-0000-0000AC570000}"/>
    <cellStyle name="SAPBEXexcBad7 2 6" xfId="21607" xr:uid="{00000000-0005-0000-0000-0000AD570000}"/>
    <cellStyle name="SAPBEXexcBad7 3" xfId="21608" xr:uid="{00000000-0005-0000-0000-0000AE570000}"/>
    <cellStyle name="SAPBEXexcBad7 3 2" xfId="21609" xr:uid="{00000000-0005-0000-0000-0000AF570000}"/>
    <cellStyle name="SAPBEXexcBad7 3 3" xfId="21610" xr:uid="{00000000-0005-0000-0000-0000B0570000}"/>
    <cellStyle name="SAPBEXexcBad7 3 4" xfId="21611" xr:uid="{00000000-0005-0000-0000-0000B1570000}"/>
    <cellStyle name="SAPBEXexcBad7 3 5" xfId="21612" xr:uid="{00000000-0005-0000-0000-0000B2570000}"/>
    <cellStyle name="SAPBEXexcBad7 4" xfId="21613" xr:uid="{00000000-0005-0000-0000-0000B3570000}"/>
    <cellStyle name="SAPBEXexcBad7 5" xfId="21614" xr:uid="{00000000-0005-0000-0000-0000B4570000}"/>
    <cellStyle name="SAPBEXexcBad7 6" xfId="21615" xr:uid="{00000000-0005-0000-0000-0000B5570000}"/>
    <cellStyle name="SAPBEXexcBad7 7" xfId="21616" xr:uid="{00000000-0005-0000-0000-0000B6570000}"/>
    <cellStyle name="SAPBEXexcBad8" xfId="21617" xr:uid="{00000000-0005-0000-0000-0000B7570000}"/>
    <cellStyle name="SAPBEXexcBad8 2" xfId="21618" xr:uid="{00000000-0005-0000-0000-0000B8570000}"/>
    <cellStyle name="SAPBEXexcBad8 2 2" xfId="21619" xr:uid="{00000000-0005-0000-0000-0000B9570000}"/>
    <cellStyle name="SAPBEXexcBad8 2 2 2" xfId="21620" xr:uid="{00000000-0005-0000-0000-0000BA570000}"/>
    <cellStyle name="SAPBEXexcBad8 2 2 3" xfId="21621" xr:uid="{00000000-0005-0000-0000-0000BB570000}"/>
    <cellStyle name="SAPBEXexcBad8 2 2 4" xfId="21622" xr:uid="{00000000-0005-0000-0000-0000BC570000}"/>
    <cellStyle name="SAPBEXexcBad8 2 2 5" xfId="21623" xr:uid="{00000000-0005-0000-0000-0000BD570000}"/>
    <cellStyle name="SAPBEXexcBad8 2 3" xfId="21624" xr:uid="{00000000-0005-0000-0000-0000BE570000}"/>
    <cellStyle name="SAPBEXexcBad8 2 4" xfId="21625" xr:uid="{00000000-0005-0000-0000-0000BF570000}"/>
    <cellStyle name="SAPBEXexcBad8 2 5" xfId="21626" xr:uid="{00000000-0005-0000-0000-0000C0570000}"/>
    <cellStyle name="SAPBEXexcBad8 2 6" xfId="21627" xr:uid="{00000000-0005-0000-0000-0000C1570000}"/>
    <cellStyle name="SAPBEXexcBad8 3" xfId="21628" xr:uid="{00000000-0005-0000-0000-0000C2570000}"/>
    <cellStyle name="SAPBEXexcBad8 3 2" xfId="21629" xr:uid="{00000000-0005-0000-0000-0000C3570000}"/>
    <cellStyle name="SAPBEXexcBad8 3 3" xfId="21630" xr:uid="{00000000-0005-0000-0000-0000C4570000}"/>
    <cellStyle name="SAPBEXexcBad8 3 4" xfId="21631" xr:uid="{00000000-0005-0000-0000-0000C5570000}"/>
    <cellStyle name="SAPBEXexcBad8 3 5" xfId="21632" xr:uid="{00000000-0005-0000-0000-0000C6570000}"/>
    <cellStyle name="SAPBEXexcBad8 4" xfId="21633" xr:uid="{00000000-0005-0000-0000-0000C7570000}"/>
    <cellStyle name="SAPBEXexcBad8 5" xfId="21634" xr:uid="{00000000-0005-0000-0000-0000C8570000}"/>
    <cellStyle name="SAPBEXexcBad8 6" xfId="21635" xr:uid="{00000000-0005-0000-0000-0000C9570000}"/>
    <cellStyle name="SAPBEXexcBad8 7" xfId="21636" xr:uid="{00000000-0005-0000-0000-0000CA570000}"/>
    <cellStyle name="SAPBEXexcBad9" xfId="21637" xr:uid="{00000000-0005-0000-0000-0000CB570000}"/>
    <cellStyle name="SAPBEXexcBad9 2" xfId="21638" xr:uid="{00000000-0005-0000-0000-0000CC570000}"/>
    <cellStyle name="SAPBEXexcBad9 2 2" xfId="21639" xr:uid="{00000000-0005-0000-0000-0000CD570000}"/>
    <cellStyle name="SAPBEXexcBad9 2 2 2" xfId="21640" xr:uid="{00000000-0005-0000-0000-0000CE570000}"/>
    <cellStyle name="SAPBEXexcBad9 2 2 3" xfId="21641" xr:uid="{00000000-0005-0000-0000-0000CF570000}"/>
    <cellStyle name="SAPBEXexcBad9 2 2 4" xfId="21642" xr:uid="{00000000-0005-0000-0000-0000D0570000}"/>
    <cellStyle name="SAPBEXexcBad9 2 2 5" xfId="21643" xr:uid="{00000000-0005-0000-0000-0000D1570000}"/>
    <cellStyle name="SAPBEXexcBad9 2 3" xfId="21644" xr:uid="{00000000-0005-0000-0000-0000D2570000}"/>
    <cellStyle name="SAPBEXexcBad9 2 4" xfId="21645" xr:uid="{00000000-0005-0000-0000-0000D3570000}"/>
    <cellStyle name="SAPBEXexcBad9 2 5" xfId="21646" xr:uid="{00000000-0005-0000-0000-0000D4570000}"/>
    <cellStyle name="SAPBEXexcBad9 2 6" xfId="21647" xr:uid="{00000000-0005-0000-0000-0000D5570000}"/>
    <cellStyle name="SAPBEXexcBad9 3" xfId="21648" xr:uid="{00000000-0005-0000-0000-0000D6570000}"/>
    <cellStyle name="SAPBEXexcBad9 3 2" xfId="21649" xr:uid="{00000000-0005-0000-0000-0000D7570000}"/>
    <cellStyle name="SAPBEXexcBad9 3 3" xfId="21650" xr:uid="{00000000-0005-0000-0000-0000D8570000}"/>
    <cellStyle name="SAPBEXexcBad9 3 4" xfId="21651" xr:uid="{00000000-0005-0000-0000-0000D9570000}"/>
    <cellStyle name="SAPBEXexcBad9 3 5" xfId="21652" xr:uid="{00000000-0005-0000-0000-0000DA570000}"/>
    <cellStyle name="SAPBEXexcBad9 4" xfId="21653" xr:uid="{00000000-0005-0000-0000-0000DB570000}"/>
    <cellStyle name="SAPBEXexcBad9 5" xfId="21654" xr:uid="{00000000-0005-0000-0000-0000DC570000}"/>
    <cellStyle name="SAPBEXexcBad9 6" xfId="21655" xr:uid="{00000000-0005-0000-0000-0000DD570000}"/>
    <cellStyle name="SAPBEXexcBad9 7" xfId="21656" xr:uid="{00000000-0005-0000-0000-0000DE570000}"/>
    <cellStyle name="SAPBEXexcCritical4" xfId="21657" xr:uid="{00000000-0005-0000-0000-0000DF570000}"/>
    <cellStyle name="SAPBEXexcCritical4 2" xfId="21658" xr:uid="{00000000-0005-0000-0000-0000E0570000}"/>
    <cellStyle name="SAPBEXexcCritical4 2 2" xfId="21659" xr:uid="{00000000-0005-0000-0000-0000E1570000}"/>
    <cellStyle name="SAPBEXexcCritical4 2 2 2" xfId="21660" xr:uid="{00000000-0005-0000-0000-0000E2570000}"/>
    <cellStyle name="SAPBEXexcCritical4 2 2 3" xfId="21661" xr:uid="{00000000-0005-0000-0000-0000E3570000}"/>
    <cellStyle name="SAPBEXexcCritical4 2 2 4" xfId="21662" xr:uid="{00000000-0005-0000-0000-0000E4570000}"/>
    <cellStyle name="SAPBEXexcCritical4 2 2 5" xfId="21663" xr:uid="{00000000-0005-0000-0000-0000E5570000}"/>
    <cellStyle name="SAPBEXexcCritical4 2 3" xfId="21664" xr:uid="{00000000-0005-0000-0000-0000E6570000}"/>
    <cellStyle name="SAPBEXexcCritical4 2 4" xfId="21665" xr:uid="{00000000-0005-0000-0000-0000E7570000}"/>
    <cellStyle name="SAPBEXexcCritical4 2 5" xfId="21666" xr:uid="{00000000-0005-0000-0000-0000E8570000}"/>
    <cellStyle name="SAPBEXexcCritical4 2 6" xfId="21667" xr:uid="{00000000-0005-0000-0000-0000E9570000}"/>
    <cellStyle name="SAPBEXexcCritical4 3" xfId="21668" xr:uid="{00000000-0005-0000-0000-0000EA570000}"/>
    <cellStyle name="SAPBEXexcCritical4 3 2" xfId="21669" xr:uid="{00000000-0005-0000-0000-0000EB570000}"/>
    <cellStyle name="SAPBEXexcCritical4 3 3" xfId="21670" xr:uid="{00000000-0005-0000-0000-0000EC570000}"/>
    <cellStyle name="SAPBEXexcCritical4 3 4" xfId="21671" xr:uid="{00000000-0005-0000-0000-0000ED570000}"/>
    <cellStyle name="SAPBEXexcCritical4 3 5" xfId="21672" xr:uid="{00000000-0005-0000-0000-0000EE570000}"/>
    <cellStyle name="SAPBEXexcCritical4 4" xfId="21673" xr:uid="{00000000-0005-0000-0000-0000EF570000}"/>
    <cellStyle name="SAPBEXexcCritical4 5" xfId="21674" xr:uid="{00000000-0005-0000-0000-0000F0570000}"/>
    <cellStyle name="SAPBEXexcCritical4 6" xfId="21675" xr:uid="{00000000-0005-0000-0000-0000F1570000}"/>
    <cellStyle name="SAPBEXexcCritical4 7" xfId="21676" xr:uid="{00000000-0005-0000-0000-0000F2570000}"/>
    <cellStyle name="SAPBEXexcCritical5" xfId="21677" xr:uid="{00000000-0005-0000-0000-0000F3570000}"/>
    <cellStyle name="SAPBEXexcCritical5 2" xfId="21678" xr:uid="{00000000-0005-0000-0000-0000F4570000}"/>
    <cellStyle name="SAPBEXexcCritical5 2 2" xfId="21679" xr:uid="{00000000-0005-0000-0000-0000F5570000}"/>
    <cellStyle name="SAPBEXexcCritical5 2 2 2" xfId="21680" xr:uid="{00000000-0005-0000-0000-0000F6570000}"/>
    <cellStyle name="SAPBEXexcCritical5 2 2 3" xfId="21681" xr:uid="{00000000-0005-0000-0000-0000F7570000}"/>
    <cellStyle name="SAPBEXexcCritical5 2 2 4" xfId="21682" xr:uid="{00000000-0005-0000-0000-0000F8570000}"/>
    <cellStyle name="SAPBEXexcCritical5 2 2 5" xfId="21683" xr:uid="{00000000-0005-0000-0000-0000F9570000}"/>
    <cellStyle name="SAPBEXexcCritical5 2 3" xfId="21684" xr:uid="{00000000-0005-0000-0000-0000FA570000}"/>
    <cellStyle name="SAPBEXexcCritical5 2 4" xfId="21685" xr:uid="{00000000-0005-0000-0000-0000FB570000}"/>
    <cellStyle name="SAPBEXexcCritical5 2 5" xfId="21686" xr:uid="{00000000-0005-0000-0000-0000FC570000}"/>
    <cellStyle name="SAPBEXexcCritical5 2 6" xfId="21687" xr:uid="{00000000-0005-0000-0000-0000FD570000}"/>
    <cellStyle name="SAPBEXexcCritical5 3" xfId="21688" xr:uid="{00000000-0005-0000-0000-0000FE570000}"/>
    <cellStyle name="SAPBEXexcCritical5 3 2" xfId="21689" xr:uid="{00000000-0005-0000-0000-0000FF570000}"/>
    <cellStyle name="SAPBEXexcCritical5 3 3" xfId="21690" xr:uid="{00000000-0005-0000-0000-000000580000}"/>
    <cellStyle name="SAPBEXexcCritical5 3 4" xfId="21691" xr:uid="{00000000-0005-0000-0000-000001580000}"/>
    <cellStyle name="SAPBEXexcCritical5 3 5" xfId="21692" xr:uid="{00000000-0005-0000-0000-000002580000}"/>
    <cellStyle name="SAPBEXexcCritical5 4" xfId="21693" xr:uid="{00000000-0005-0000-0000-000003580000}"/>
    <cellStyle name="SAPBEXexcCritical5 5" xfId="21694" xr:uid="{00000000-0005-0000-0000-000004580000}"/>
    <cellStyle name="SAPBEXexcCritical5 6" xfId="21695" xr:uid="{00000000-0005-0000-0000-000005580000}"/>
    <cellStyle name="SAPBEXexcCritical5 7" xfId="21696" xr:uid="{00000000-0005-0000-0000-000006580000}"/>
    <cellStyle name="SAPBEXexcCritical6" xfId="21697" xr:uid="{00000000-0005-0000-0000-000007580000}"/>
    <cellStyle name="SAPBEXexcCritical6 2" xfId="21698" xr:uid="{00000000-0005-0000-0000-000008580000}"/>
    <cellStyle name="SAPBEXexcCritical6 2 2" xfId="21699" xr:uid="{00000000-0005-0000-0000-000009580000}"/>
    <cellStyle name="SAPBEXexcCritical6 2 2 2" xfId="21700" xr:uid="{00000000-0005-0000-0000-00000A580000}"/>
    <cellStyle name="SAPBEXexcCritical6 2 2 3" xfId="21701" xr:uid="{00000000-0005-0000-0000-00000B580000}"/>
    <cellStyle name="SAPBEXexcCritical6 2 2 4" xfId="21702" xr:uid="{00000000-0005-0000-0000-00000C580000}"/>
    <cellStyle name="SAPBEXexcCritical6 2 2 5" xfId="21703" xr:uid="{00000000-0005-0000-0000-00000D580000}"/>
    <cellStyle name="SAPBEXexcCritical6 2 3" xfId="21704" xr:uid="{00000000-0005-0000-0000-00000E580000}"/>
    <cellStyle name="SAPBEXexcCritical6 2 4" xfId="21705" xr:uid="{00000000-0005-0000-0000-00000F580000}"/>
    <cellStyle name="SAPBEXexcCritical6 2 5" xfId="21706" xr:uid="{00000000-0005-0000-0000-000010580000}"/>
    <cellStyle name="SAPBEXexcCritical6 2 6" xfId="21707" xr:uid="{00000000-0005-0000-0000-000011580000}"/>
    <cellStyle name="SAPBEXexcCritical6 3" xfId="21708" xr:uid="{00000000-0005-0000-0000-000012580000}"/>
    <cellStyle name="SAPBEXexcCritical6 3 2" xfId="21709" xr:uid="{00000000-0005-0000-0000-000013580000}"/>
    <cellStyle name="SAPBEXexcCritical6 3 3" xfId="21710" xr:uid="{00000000-0005-0000-0000-000014580000}"/>
    <cellStyle name="SAPBEXexcCritical6 3 4" xfId="21711" xr:uid="{00000000-0005-0000-0000-000015580000}"/>
    <cellStyle name="SAPBEXexcCritical6 3 5" xfId="21712" xr:uid="{00000000-0005-0000-0000-000016580000}"/>
    <cellStyle name="SAPBEXexcCritical6 4" xfId="21713" xr:uid="{00000000-0005-0000-0000-000017580000}"/>
    <cellStyle name="SAPBEXexcCritical6 5" xfId="21714" xr:uid="{00000000-0005-0000-0000-000018580000}"/>
    <cellStyle name="SAPBEXexcCritical6 6" xfId="21715" xr:uid="{00000000-0005-0000-0000-000019580000}"/>
    <cellStyle name="SAPBEXexcCritical6 7" xfId="21716" xr:uid="{00000000-0005-0000-0000-00001A580000}"/>
    <cellStyle name="SAPBEXexcGood1" xfId="21717" xr:uid="{00000000-0005-0000-0000-00001B580000}"/>
    <cellStyle name="SAPBEXexcGood1 2" xfId="21718" xr:uid="{00000000-0005-0000-0000-00001C580000}"/>
    <cellStyle name="SAPBEXexcGood1 2 2" xfId="21719" xr:uid="{00000000-0005-0000-0000-00001D580000}"/>
    <cellStyle name="SAPBEXexcGood1 2 2 2" xfId="21720" xr:uid="{00000000-0005-0000-0000-00001E580000}"/>
    <cellStyle name="SAPBEXexcGood1 2 2 3" xfId="21721" xr:uid="{00000000-0005-0000-0000-00001F580000}"/>
    <cellStyle name="SAPBEXexcGood1 2 2 4" xfId="21722" xr:uid="{00000000-0005-0000-0000-000020580000}"/>
    <cellStyle name="SAPBEXexcGood1 2 2 5" xfId="21723" xr:uid="{00000000-0005-0000-0000-000021580000}"/>
    <cellStyle name="SAPBEXexcGood1 2 3" xfId="21724" xr:uid="{00000000-0005-0000-0000-000022580000}"/>
    <cellStyle name="SAPBEXexcGood1 2 4" xfId="21725" xr:uid="{00000000-0005-0000-0000-000023580000}"/>
    <cellStyle name="SAPBEXexcGood1 2 5" xfId="21726" xr:uid="{00000000-0005-0000-0000-000024580000}"/>
    <cellStyle name="SAPBEXexcGood1 2 6" xfId="21727" xr:uid="{00000000-0005-0000-0000-000025580000}"/>
    <cellStyle name="SAPBEXexcGood1 3" xfId="21728" xr:uid="{00000000-0005-0000-0000-000026580000}"/>
    <cellStyle name="SAPBEXexcGood1 3 2" xfId="21729" xr:uid="{00000000-0005-0000-0000-000027580000}"/>
    <cellStyle name="SAPBEXexcGood1 3 3" xfId="21730" xr:uid="{00000000-0005-0000-0000-000028580000}"/>
    <cellStyle name="SAPBEXexcGood1 3 4" xfId="21731" xr:uid="{00000000-0005-0000-0000-000029580000}"/>
    <cellStyle name="SAPBEXexcGood1 3 5" xfId="21732" xr:uid="{00000000-0005-0000-0000-00002A580000}"/>
    <cellStyle name="SAPBEXexcGood1 4" xfId="21733" xr:uid="{00000000-0005-0000-0000-00002B580000}"/>
    <cellStyle name="SAPBEXexcGood1 5" xfId="21734" xr:uid="{00000000-0005-0000-0000-00002C580000}"/>
    <cellStyle name="SAPBEXexcGood1 6" xfId="21735" xr:uid="{00000000-0005-0000-0000-00002D580000}"/>
    <cellStyle name="SAPBEXexcGood1 7" xfId="21736" xr:uid="{00000000-0005-0000-0000-00002E580000}"/>
    <cellStyle name="SAPBEXexcGood2" xfId="21737" xr:uid="{00000000-0005-0000-0000-00002F580000}"/>
    <cellStyle name="SAPBEXexcGood2 2" xfId="21738" xr:uid="{00000000-0005-0000-0000-000030580000}"/>
    <cellStyle name="SAPBEXexcGood2 2 2" xfId="21739" xr:uid="{00000000-0005-0000-0000-000031580000}"/>
    <cellStyle name="SAPBEXexcGood2 2 2 2" xfId="21740" xr:uid="{00000000-0005-0000-0000-000032580000}"/>
    <cellStyle name="SAPBEXexcGood2 2 2 3" xfId="21741" xr:uid="{00000000-0005-0000-0000-000033580000}"/>
    <cellStyle name="SAPBEXexcGood2 2 2 4" xfId="21742" xr:uid="{00000000-0005-0000-0000-000034580000}"/>
    <cellStyle name="SAPBEXexcGood2 2 2 5" xfId="21743" xr:uid="{00000000-0005-0000-0000-000035580000}"/>
    <cellStyle name="SAPBEXexcGood2 2 3" xfId="21744" xr:uid="{00000000-0005-0000-0000-000036580000}"/>
    <cellStyle name="SAPBEXexcGood2 2 4" xfId="21745" xr:uid="{00000000-0005-0000-0000-000037580000}"/>
    <cellStyle name="SAPBEXexcGood2 2 5" xfId="21746" xr:uid="{00000000-0005-0000-0000-000038580000}"/>
    <cellStyle name="SAPBEXexcGood2 2 6" xfId="21747" xr:uid="{00000000-0005-0000-0000-000039580000}"/>
    <cellStyle name="SAPBEXexcGood2 3" xfId="21748" xr:uid="{00000000-0005-0000-0000-00003A580000}"/>
    <cellStyle name="SAPBEXexcGood2 3 2" xfId="21749" xr:uid="{00000000-0005-0000-0000-00003B580000}"/>
    <cellStyle name="SAPBEXexcGood2 3 3" xfId="21750" xr:uid="{00000000-0005-0000-0000-00003C580000}"/>
    <cellStyle name="SAPBEXexcGood2 3 4" xfId="21751" xr:uid="{00000000-0005-0000-0000-00003D580000}"/>
    <cellStyle name="SAPBEXexcGood2 3 5" xfId="21752" xr:uid="{00000000-0005-0000-0000-00003E580000}"/>
    <cellStyle name="SAPBEXexcGood2 4" xfId="21753" xr:uid="{00000000-0005-0000-0000-00003F580000}"/>
    <cellStyle name="SAPBEXexcGood2 5" xfId="21754" xr:uid="{00000000-0005-0000-0000-000040580000}"/>
    <cellStyle name="SAPBEXexcGood2 6" xfId="21755" xr:uid="{00000000-0005-0000-0000-000041580000}"/>
    <cellStyle name="SAPBEXexcGood2 7" xfId="21756" xr:uid="{00000000-0005-0000-0000-000042580000}"/>
    <cellStyle name="SAPBEXexcGood3" xfId="21757" xr:uid="{00000000-0005-0000-0000-000043580000}"/>
    <cellStyle name="SAPBEXexcGood3 2" xfId="21758" xr:uid="{00000000-0005-0000-0000-000044580000}"/>
    <cellStyle name="SAPBEXexcGood3 2 2" xfId="21759" xr:uid="{00000000-0005-0000-0000-000045580000}"/>
    <cellStyle name="SAPBEXexcGood3 2 2 2" xfId="21760" xr:uid="{00000000-0005-0000-0000-000046580000}"/>
    <cellStyle name="SAPBEXexcGood3 2 2 3" xfId="21761" xr:uid="{00000000-0005-0000-0000-000047580000}"/>
    <cellStyle name="SAPBEXexcGood3 2 2 4" xfId="21762" xr:uid="{00000000-0005-0000-0000-000048580000}"/>
    <cellStyle name="SAPBEXexcGood3 2 2 5" xfId="21763" xr:uid="{00000000-0005-0000-0000-000049580000}"/>
    <cellStyle name="SAPBEXexcGood3 2 3" xfId="21764" xr:uid="{00000000-0005-0000-0000-00004A580000}"/>
    <cellStyle name="SAPBEXexcGood3 2 4" xfId="21765" xr:uid="{00000000-0005-0000-0000-00004B580000}"/>
    <cellStyle name="SAPBEXexcGood3 2 5" xfId="21766" xr:uid="{00000000-0005-0000-0000-00004C580000}"/>
    <cellStyle name="SAPBEXexcGood3 2 6" xfId="21767" xr:uid="{00000000-0005-0000-0000-00004D580000}"/>
    <cellStyle name="SAPBEXexcGood3 3" xfId="21768" xr:uid="{00000000-0005-0000-0000-00004E580000}"/>
    <cellStyle name="SAPBEXexcGood3 3 2" xfId="21769" xr:uid="{00000000-0005-0000-0000-00004F580000}"/>
    <cellStyle name="SAPBEXexcGood3 3 3" xfId="21770" xr:uid="{00000000-0005-0000-0000-000050580000}"/>
    <cellStyle name="SAPBEXexcGood3 3 4" xfId="21771" xr:uid="{00000000-0005-0000-0000-000051580000}"/>
    <cellStyle name="SAPBEXexcGood3 3 5" xfId="21772" xr:uid="{00000000-0005-0000-0000-000052580000}"/>
    <cellStyle name="SAPBEXexcGood3 4" xfId="21773" xr:uid="{00000000-0005-0000-0000-000053580000}"/>
    <cellStyle name="SAPBEXexcGood3 5" xfId="21774" xr:uid="{00000000-0005-0000-0000-000054580000}"/>
    <cellStyle name="SAPBEXexcGood3 6" xfId="21775" xr:uid="{00000000-0005-0000-0000-000055580000}"/>
    <cellStyle name="SAPBEXexcGood3 7" xfId="21776" xr:uid="{00000000-0005-0000-0000-000056580000}"/>
    <cellStyle name="SAPBEXfilterDrill" xfId="21777" xr:uid="{00000000-0005-0000-0000-000057580000}"/>
    <cellStyle name="SAPBEXfilterDrill 2" xfId="21778" xr:uid="{00000000-0005-0000-0000-000058580000}"/>
    <cellStyle name="SAPBEXfilterDrill 2 2" xfId="21779" xr:uid="{00000000-0005-0000-0000-000059580000}"/>
    <cellStyle name="SAPBEXfilterDrill 2 2 2" xfId="21780" xr:uid="{00000000-0005-0000-0000-00005A580000}"/>
    <cellStyle name="SAPBEXfilterDrill 2 2 3" xfId="21781" xr:uid="{00000000-0005-0000-0000-00005B580000}"/>
    <cellStyle name="SAPBEXfilterDrill 2 2 4" xfId="21782" xr:uid="{00000000-0005-0000-0000-00005C580000}"/>
    <cellStyle name="SAPBEXfilterDrill 2 2 5" xfId="21783" xr:uid="{00000000-0005-0000-0000-00005D580000}"/>
    <cellStyle name="SAPBEXfilterDrill 2 3" xfId="21784" xr:uid="{00000000-0005-0000-0000-00005E580000}"/>
    <cellStyle name="SAPBEXfilterDrill 2 4" xfId="21785" xr:uid="{00000000-0005-0000-0000-00005F580000}"/>
    <cellStyle name="SAPBEXfilterDrill 2 5" xfId="21786" xr:uid="{00000000-0005-0000-0000-000060580000}"/>
    <cellStyle name="SAPBEXfilterDrill 2 6" xfId="21787" xr:uid="{00000000-0005-0000-0000-000061580000}"/>
    <cellStyle name="SAPBEXfilterDrill 3" xfId="21788" xr:uid="{00000000-0005-0000-0000-000062580000}"/>
    <cellStyle name="SAPBEXfilterDrill 3 2" xfId="21789" xr:uid="{00000000-0005-0000-0000-000063580000}"/>
    <cellStyle name="SAPBEXfilterDrill 3 3" xfId="21790" xr:uid="{00000000-0005-0000-0000-000064580000}"/>
    <cellStyle name="SAPBEXfilterDrill 3 4" xfId="21791" xr:uid="{00000000-0005-0000-0000-000065580000}"/>
    <cellStyle name="SAPBEXfilterDrill 3 5" xfId="21792" xr:uid="{00000000-0005-0000-0000-000066580000}"/>
    <cellStyle name="SAPBEXfilterDrill 4" xfId="21793" xr:uid="{00000000-0005-0000-0000-000067580000}"/>
    <cellStyle name="SAPBEXfilterDrill 5" xfId="21794" xr:uid="{00000000-0005-0000-0000-000068580000}"/>
    <cellStyle name="SAPBEXfilterDrill 6" xfId="21795" xr:uid="{00000000-0005-0000-0000-000069580000}"/>
    <cellStyle name="SAPBEXfilterDrill 7" xfId="21796" xr:uid="{00000000-0005-0000-0000-00006A580000}"/>
    <cellStyle name="SAPBEXfilterItem" xfId="21797" xr:uid="{00000000-0005-0000-0000-00006B580000}"/>
    <cellStyle name="SAPBEXfilterItem 2" xfId="21798" xr:uid="{00000000-0005-0000-0000-00006C580000}"/>
    <cellStyle name="SAPBEXfilterItem 2 2" xfId="21799" xr:uid="{00000000-0005-0000-0000-00006D580000}"/>
    <cellStyle name="SAPBEXfilterItem 2 2 2" xfId="21800" xr:uid="{00000000-0005-0000-0000-00006E580000}"/>
    <cellStyle name="SAPBEXfilterItem 2 3" xfId="21801" xr:uid="{00000000-0005-0000-0000-00006F580000}"/>
    <cellStyle name="SAPBEXfilterItem 2 4" xfId="21802" xr:uid="{00000000-0005-0000-0000-000070580000}"/>
    <cellStyle name="SAPBEXfilterItem 2 5" xfId="21803" xr:uid="{00000000-0005-0000-0000-000071580000}"/>
    <cellStyle name="SAPBEXfilterItem 3" xfId="21804" xr:uid="{00000000-0005-0000-0000-000072580000}"/>
    <cellStyle name="SAPBEXfilterItem 3 2" xfId="21805" xr:uid="{00000000-0005-0000-0000-000073580000}"/>
    <cellStyle name="SAPBEXfilterItem 4" xfId="21806" xr:uid="{00000000-0005-0000-0000-000074580000}"/>
    <cellStyle name="SAPBEXfilterItem 5" xfId="21807" xr:uid="{00000000-0005-0000-0000-000075580000}"/>
    <cellStyle name="SAPBEXfilterItem 6" xfId="21808" xr:uid="{00000000-0005-0000-0000-000076580000}"/>
    <cellStyle name="SAPBEXfilterText" xfId="21809" xr:uid="{00000000-0005-0000-0000-000077580000}"/>
    <cellStyle name="SAPBEXfilterText 2" xfId="21810" xr:uid="{00000000-0005-0000-0000-000078580000}"/>
    <cellStyle name="SAPBEXfilterText 3" xfId="21811" xr:uid="{00000000-0005-0000-0000-000079580000}"/>
    <cellStyle name="SAPBEXfilterText 4" xfId="21812" xr:uid="{00000000-0005-0000-0000-00007A580000}"/>
    <cellStyle name="SAPBEXformats" xfId="21813" xr:uid="{00000000-0005-0000-0000-00007B580000}"/>
    <cellStyle name="SAPBEXformats 2" xfId="21814" xr:uid="{00000000-0005-0000-0000-00007C580000}"/>
    <cellStyle name="SAPBEXformats 2 2" xfId="21815" xr:uid="{00000000-0005-0000-0000-00007D580000}"/>
    <cellStyle name="SAPBEXformats 2 2 2" xfId="21816" xr:uid="{00000000-0005-0000-0000-00007E580000}"/>
    <cellStyle name="SAPBEXformats 2 2 3" xfId="21817" xr:uid="{00000000-0005-0000-0000-00007F580000}"/>
    <cellStyle name="SAPBEXformats 2 2 4" xfId="21818" xr:uid="{00000000-0005-0000-0000-000080580000}"/>
    <cellStyle name="SAPBEXformats 2 2 5" xfId="21819" xr:uid="{00000000-0005-0000-0000-000081580000}"/>
    <cellStyle name="SAPBEXformats 2 3" xfId="21820" xr:uid="{00000000-0005-0000-0000-000082580000}"/>
    <cellStyle name="SAPBEXformats 2 4" xfId="21821" xr:uid="{00000000-0005-0000-0000-000083580000}"/>
    <cellStyle name="SAPBEXformats 2 5" xfId="21822" xr:uid="{00000000-0005-0000-0000-000084580000}"/>
    <cellStyle name="SAPBEXformats 2 6" xfId="21823" xr:uid="{00000000-0005-0000-0000-000085580000}"/>
    <cellStyle name="SAPBEXformats 3" xfId="21824" xr:uid="{00000000-0005-0000-0000-000086580000}"/>
    <cellStyle name="SAPBEXformats 3 2" xfId="21825" xr:uid="{00000000-0005-0000-0000-000087580000}"/>
    <cellStyle name="SAPBEXformats 3 2 2" xfId="25460" xr:uid="{00000000-0005-0000-0000-000088580000}"/>
    <cellStyle name="SAPBEXformats 3 2 3" xfId="25461" xr:uid="{00000000-0005-0000-0000-000089580000}"/>
    <cellStyle name="SAPBEXformats 3 3" xfId="21826" xr:uid="{00000000-0005-0000-0000-00008A580000}"/>
    <cellStyle name="SAPBEXformats 3 4" xfId="21827" xr:uid="{00000000-0005-0000-0000-00008B580000}"/>
    <cellStyle name="SAPBEXformats 3 5" xfId="21828" xr:uid="{00000000-0005-0000-0000-00008C580000}"/>
    <cellStyle name="SAPBEXformats 4" xfId="21829" xr:uid="{00000000-0005-0000-0000-00008D580000}"/>
    <cellStyle name="SAPBEXformats 4 2" xfId="21830" xr:uid="{00000000-0005-0000-0000-00008E580000}"/>
    <cellStyle name="SAPBEXformats 4 2 2" xfId="25462" xr:uid="{00000000-0005-0000-0000-00008F580000}"/>
    <cellStyle name="SAPBEXformats 4 2 3" xfId="25463" xr:uid="{00000000-0005-0000-0000-000090580000}"/>
    <cellStyle name="SAPBEXformats 4 3" xfId="21831" xr:uid="{00000000-0005-0000-0000-000091580000}"/>
    <cellStyle name="SAPBEXformats 4 4" xfId="21832" xr:uid="{00000000-0005-0000-0000-000092580000}"/>
    <cellStyle name="SAPBEXformats 5" xfId="21833" xr:uid="{00000000-0005-0000-0000-000093580000}"/>
    <cellStyle name="SAPBEXformats 5 2" xfId="25464" xr:uid="{00000000-0005-0000-0000-000094580000}"/>
    <cellStyle name="SAPBEXformats 5 2 2" xfId="25465" xr:uid="{00000000-0005-0000-0000-000095580000}"/>
    <cellStyle name="SAPBEXformats 5 2 3" xfId="25466" xr:uid="{00000000-0005-0000-0000-000096580000}"/>
    <cellStyle name="SAPBEXformats 5 3" xfId="25467" xr:uid="{00000000-0005-0000-0000-000097580000}"/>
    <cellStyle name="SAPBEXformats 5 4" xfId="25468" xr:uid="{00000000-0005-0000-0000-000098580000}"/>
    <cellStyle name="SAPBEXformats 6" xfId="21834" xr:uid="{00000000-0005-0000-0000-000099580000}"/>
    <cellStyle name="SAPBEXformats 6 2" xfId="25469" xr:uid="{00000000-0005-0000-0000-00009A580000}"/>
    <cellStyle name="SAPBEXformats 6 3" xfId="25470" xr:uid="{00000000-0005-0000-0000-00009B580000}"/>
    <cellStyle name="SAPBEXformats 7" xfId="21835" xr:uid="{00000000-0005-0000-0000-00009C580000}"/>
    <cellStyle name="SAPBEXformats 8" xfId="25471" xr:uid="{00000000-0005-0000-0000-00009D580000}"/>
    <cellStyle name="SAPBEXheaderItem" xfId="21836" xr:uid="{00000000-0005-0000-0000-00009E580000}"/>
    <cellStyle name="SAPBEXheaderItem 2" xfId="21837" xr:uid="{00000000-0005-0000-0000-00009F580000}"/>
    <cellStyle name="SAPBEXheaderItem 2 2" xfId="21838" xr:uid="{00000000-0005-0000-0000-0000A0580000}"/>
    <cellStyle name="SAPBEXheaderItem 2 2 2" xfId="21839" xr:uid="{00000000-0005-0000-0000-0000A1580000}"/>
    <cellStyle name="SAPBEXheaderItem 2 2 3" xfId="21840" xr:uid="{00000000-0005-0000-0000-0000A2580000}"/>
    <cellStyle name="SAPBEXheaderItem 2 2 4" xfId="21841" xr:uid="{00000000-0005-0000-0000-0000A3580000}"/>
    <cellStyle name="SAPBEXheaderItem 2 2 5" xfId="21842" xr:uid="{00000000-0005-0000-0000-0000A4580000}"/>
    <cellStyle name="SAPBEXheaderItem 2 3" xfId="21843" xr:uid="{00000000-0005-0000-0000-0000A5580000}"/>
    <cellStyle name="SAPBEXheaderItem 2 4" xfId="21844" xr:uid="{00000000-0005-0000-0000-0000A6580000}"/>
    <cellStyle name="SAPBEXheaderItem 2 5" xfId="21845" xr:uid="{00000000-0005-0000-0000-0000A7580000}"/>
    <cellStyle name="SAPBEXheaderItem 2 6" xfId="21846" xr:uid="{00000000-0005-0000-0000-0000A8580000}"/>
    <cellStyle name="SAPBEXheaderItem 3" xfId="21847" xr:uid="{00000000-0005-0000-0000-0000A9580000}"/>
    <cellStyle name="SAPBEXheaderItem 3 2" xfId="21848" xr:uid="{00000000-0005-0000-0000-0000AA580000}"/>
    <cellStyle name="SAPBEXheaderItem 3 3" xfId="21849" xr:uid="{00000000-0005-0000-0000-0000AB580000}"/>
    <cellStyle name="SAPBEXheaderItem 3 4" xfId="21850" xr:uid="{00000000-0005-0000-0000-0000AC580000}"/>
    <cellStyle name="SAPBEXheaderItem 3 5" xfId="21851" xr:uid="{00000000-0005-0000-0000-0000AD580000}"/>
    <cellStyle name="SAPBEXheaderItem 4" xfId="21852" xr:uid="{00000000-0005-0000-0000-0000AE580000}"/>
    <cellStyle name="SAPBEXheaderItem 5" xfId="21853" xr:uid="{00000000-0005-0000-0000-0000AF580000}"/>
    <cellStyle name="SAPBEXheaderItem 6" xfId="21854" xr:uid="{00000000-0005-0000-0000-0000B0580000}"/>
    <cellStyle name="SAPBEXheaderItem 7" xfId="21855" xr:uid="{00000000-0005-0000-0000-0000B1580000}"/>
    <cellStyle name="SAPBEXheaderText" xfId="21856" xr:uid="{00000000-0005-0000-0000-0000B2580000}"/>
    <cellStyle name="SAPBEXheaderText 2" xfId="21857" xr:uid="{00000000-0005-0000-0000-0000B3580000}"/>
    <cellStyle name="SAPBEXheaderText 2 2" xfId="21858" xr:uid="{00000000-0005-0000-0000-0000B4580000}"/>
    <cellStyle name="SAPBEXheaderText 2 2 2" xfId="21859" xr:uid="{00000000-0005-0000-0000-0000B5580000}"/>
    <cellStyle name="SAPBEXheaderText 2 2 3" xfId="21860" xr:uid="{00000000-0005-0000-0000-0000B6580000}"/>
    <cellStyle name="SAPBEXheaderText 2 2 4" xfId="21861" xr:uid="{00000000-0005-0000-0000-0000B7580000}"/>
    <cellStyle name="SAPBEXheaderText 2 2 5" xfId="21862" xr:uid="{00000000-0005-0000-0000-0000B8580000}"/>
    <cellStyle name="SAPBEXheaderText 2 3" xfId="21863" xr:uid="{00000000-0005-0000-0000-0000B9580000}"/>
    <cellStyle name="SAPBEXheaderText 2 4" xfId="21864" xr:uid="{00000000-0005-0000-0000-0000BA580000}"/>
    <cellStyle name="SAPBEXheaderText 2 5" xfId="21865" xr:uid="{00000000-0005-0000-0000-0000BB580000}"/>
    <cellStyle name="SAPBEXheaderText 2 6" xfId="21866" xr:uid="{00000000-0005-0000-0000-0000BC580000}"/>
    <cellStyle name="SAPBEXheaderText 3" xfId="21867" xr:uid="{00000000-0005-0000-0000-0000BD580000}"/>
    <cellStyle name="SAPBEXheaderText 3 2" xfId="21868" xr:uid="{00000000-0005-0000-0000-0000BE580000}"/>
    <cellStyle name="SAPBEXheaderText 3 3" xfId="21869" xr:uid="{00000000-0005-0000-0000-0000BF580000}"/>
    <cellStyle name="SAPBEXheaderText 3 4" xfId="21870" xr:uid="{00000000-0005-0000-0000-0000C0580000}"/>
    <cellStyle name="SAPBEXheaderText 3 5" xfId="21871" xr:uid="{00000000-0005-0000-0000-0000C1580000}"/>
    <cellStyle name="SAPBEXheaderText 4" xfId="21872" xr:uid="{00000000-0005-0000-0000-0000C2580000}"/>
    <cellStyle name="SAPBEXheaderText 5" xfId="21873" xr:uid="{00000000-0005-0000-0000-0000C3580000}"/>
    <cellStyle name="SAPBEXheaderText 6" xfId="21874" xr:uid="{00000000-0005-0000-0000-0000C4580000}"/>
    <cellStyle name="SAPBEXheaderText 7" xfId="21875" xr:uid="{00000000-0005-0000-0000-0000C5580000}"/>
    <cellStyle name="SAPBEXHLevel0" xfId="21876" xr:uid="{00000000-0005-0000-0000-0000C6580000}"/>
    <cellStyle name="SAPBEXHLevel0 2" xfId="21877" xr:uid="{00000000-0005-0000-0000-0000C7580000}"/>
    <cellStyle name="SAPBEXHLevel0 2 2" xfId="21878" xr:uid="{00000000-0005-0000-0000-0000C8580000}"/>
    <cellStyle name="SAPBEXHLevel0 2 2 2" xfId="21879" xr:uid="{00000000-0005-0000-0000-0000C9580000}"/>
    <cellStyle name="SAPBEXHLevel0 2 2 3" xfId="21880" xr:uid="{00000000-0005-0000-0000-0000CA580000}"/>
    <cellStyle name="SAPBEXHLevel0 2 2 4" xfId="21881" xr:uid="{00000000-0005-0000-0000-0000CB580000}"/>
    <cellStyle name="SAPBEXHLevel0 2 2 5" xfId="21882" xr:uid="{00000000-0005-0000-0000-0000CC580000}"/>
    <cellStyle name="SAPBEXHLevel0 2 3" xfId="21883" xr:uid="{00000000-0005-0000-0000-0000CD580000}"/>
    <cellStyle name="SAPBEXHLevel0 2 4" xfId="21884" xr:uid="{00000000-0005-0000-0000-0000CE580000}"/>
    <cellStyle name="SAPBEXHLevel0 2 5" xfId="21885" xr:uid="{00000000-0005-0000-0000-0000CF580000}"/>
    <cellStyle name="SAPBEXHLevel0 2 6" xfId="21886" xr:uid="{00000000-0005-0000-0000-0000D0580000}"/>
    <cellStyle name="SAPBEXHLevel0 3" xfId="21887" xr:uid="{00000000-0005-0000-0000-0000D1580000}"/>
    <cellStyle name="SAPBEXHLevel0 3 2" xfId="21888" xr:uid="{00000000-0005-0000-0000-0000D2580000}"/>
    <cellStyle name="SAPBEXHLevel0 3 2 2" xfId="25472" xr:uid="{00000000-0005-0000-0000-0000D3580000}"/>
    <cellStyle name="SAPBEXHLevel0 3 2 3" xfId="25473" xr:uid="{00000000-0005-0000-0000-0000D4580000}"/>
    <cellStyle name="SAPBEXHLevel0 3 3" xfId="21889" xr:uid="{00000000-0005-0000-0000-0000D5580000}"/>
    <cellStyle name="SAPBEXHLevel0 3 4" xfId="21890" xr:uid="{00000000-0005-0000-0000-0000D6580000}"/>
    <cellStyle name="SAPBEXHLevel0 3 5" xfId="21891" xr:uid="{00000000-0005-0000-0000-0000D7580000}"/>
    <cellStyle name="SAPBEXHLevel0 4" xfId="21892" xr:uid="{00000000-0005-0000-0000-0000D8580000}"/>
    <cellStyle name="SAPBEXHLevel0 4 2" xfId="21893" xr:uid="{00000000-0005-0000-0000-0000D9580000}"/>
    <cellStyle name="SAPBEXHLevel0 4 2 2" xfId="25474" xr:uid="{00000000-0005-0000-0000-0000DA580000}"/>
    <cellStyle name="SAPBEXHLevel0 4 2 3" xfId="25475" xr:uid="{00000000-0005-0000-0000-0000DB580000}"/>
    <cellStyle name="SAPBEXHLevel0 4 3" xfId="21894" xr:uid="{00000000-0005-0000-0000-0000DC580000}"/>
    <cellStyle name="SAPBEXHLevel0 4 4" xfId="21895" xr:uid="{00000000-0005-0000-0000-0000DD580000}"/>
    <cellStyle name="SAPBEXHLevel0 5" xfId="21896" xr:uid="{00000000-0005-0000-0000-0000DE580000}"/>
    <cellStyle name="SAPBEXHLevel0 5 2" xfId="25476" xr:uid="{00000000-0005-0000-0000-0000DF580000}"/>
    <cellStyle name="SAPBEXHLevel0 5 2 2" xfId="25477" xr:uid="{00000000-0005-0000-0000-0000E0580000}"/>
    <cellStyle name="SAPBEXHLevel0 5 2 3" xfId="25478" xr:uid="{00000000-0005-0000-0000-0000E1580000}"/>
    <cellStyle name="SAPBEXHLevel0 5 3" xfId="25479" xr:uid="{00000000-0005-0000-0000-0000E2580000}"/>
    <cellStyle name="SAPBEXHLevel0 5 4" xfId="25480" xr:uid="{00000000-0005-0000-0000-0000E3580000}"/>
    <cellStyle name="SAPBEXHLevel0 6" xfId="21897" xr:uid="{00000000-0005-0000-0000-0000E4580000}"/>
    <cellStyle name="SAPBEXHLevel0 6 2" xfId="25481" xr:uid="{00000000-0005-0000-0000-0000E5580000}"/>
    <cellStyle name="SAPBEXHLevel0 6 3" xfId="25482" xr:uid="{00000000-0005-0000-0000-0000E6580000}"/>
    <cellStyle name="SAPBEXHLevel0 7" xfId="21898" xr:uid="{00000000-0005-0000-0000-0000E7580000}"/>
    <cellStyle name="SAPBEXHLevel0 8" xfId="25483" xr:uid="{00000000-0005-0000-0000-0000E8580000}"/>
    <cellStyle name="SAPBEXHLevel0X" xfId="21899" xr:uid="{00000000-0005-0000-0000-0000E9580000}"/>
    <cellStyle name="SAPBEXHLevel0X 2" xfId="21900" xr:uid="{00000000-0005-0000-0000-0000EA580000}"/>
    <cellStyle name="SAPBEXHLevel0X 2 2" xfId="21901" xr:uid="{00000000-0005-0000-0000-0000EB580000}"/>
    <cellStyle name="SAPBEXHLevel0X 2 2 2" xfId="21902" xr:uid="{00000000-0005-0000-0000-0000EC580000}"/>
    <cellStyle name="SAPBEXHLevel0X 2 2 3" xfId="21903" xr:uid="{00000000-0005-0000-0000-0000ED580000}"/>
    <cellStyle name="SAPBEXHLevel0X 2 2 4" xfId="21904" xr:uid="{00000000-0005-0000-0000-0000EE580000}"/>
    <cellStyle name="SAPBEXHLevel0X 2 2 5" xfId="21905" xr:uid="{00000000-0005-0000-0000-0000EF580000}"/>
    <cellStyle name="SAPBEXHLevel0X 2 3" xfId="21906" xr:uid="{00000000-0005-0000-0000-0000F0580000}"/>
    <cellStyle name="SAPBEXHLevel0X 2 4" xfId="21907" xr:uid="{00000000-0005-0000-0000-0000F1580000}"/>
    <cellStyle name="SAPBEXHLevel0X 2 5" xfId="21908" xr:uid="{00000000-0005-0000-0000-0000F2580000}"/>
    <cellStyle name="SAPBEXHLevel0X 2 6" xfId="21909" xr:uid="{00000000-0005-0000-0000-0000F3580000}"/>
    <cellStyle name="SAPBEXHLevel0X 3" xfId="21910" xr:uid="{00000000-0005-0000-0000-0000F4580000}"/>
    <cellStyle name="SAPBEXHLevel0X 3 2" xfId="21911" xr:uid="{00000000-0005-0000-0000-0000F5580000}"/>
    <cellStyle name="SAPBEXHLevel0X 3 2 2" xfId="25484" xr:uid="{00000000-0005-0000-0000-0000F6580000}"/>
    <cellStyle name="SAPBEXHLevel0X 3 2 3" xfId="25485" xr:uid="{00000000-0005-0000-0000-0000F7580000}"/>
    <cellStyle name="SAPBEXHLevel0X 3 3" xfId="21912" xr:uid="{00000000-0005-0000-0000-0000F8580000}"/>
    <cellStyle name="SAPBEXHLevel0X 3 4" xfId="21913" xr:uid="{00000000-0005-0000-0000-0000F9580000}"/>
    <cellStyle name="SAPBEXHLevel0X 3 5" xfId="21914" xr:uid="{00000000-0005-0000-0000-0000FA580000}"/>
    <cellStyle name="SAPBEXHLevel0X 4" xfId="21915" xr:uid="{00000000-0005-0000-0000-0000FB580000}"/>
    <cellStyle name="SAPBEXHLevel0X 4 2" xfId="21916" xr:uid="{00000000-0005-0000-0000-0000FC580000}"/>
    <cellStyle name="SAPBEXHLevel0X 4 2 2" xfId="25486" xr:uid="{00000000-0005-0000-0000-0000FD580000}"/>
    <cellStyle name="SAPBEXHLevel0X 4 2 3" xfId="25487" xr:uid="{00000000-0005-0000-0000-0000FE580000}"/>
    <cellStyle name="SAPBEXHLevel0X 4 3" xfId="21917" xr:uid="{00000000-0005-0000-0000-0000FF580000}"/>
    <cellStyle name="SAPBEXHLevel0X 4 4" xfId="21918" xr:uid="{00000000-0005-0000-0000-000000590000}"/>
    <cellStyle name="SAPBEXHLevel0X 5" xfId="21919" xr:uid="{00000000-0005-0000-0000-000001590000}"/>
    <cellStyle name="SAPBEXHLevel0X 5 2" xfId="25488" xr:uid="{00000000-0005-0000-0000-000002590000}"/>
    <cellStyle name="SAPBEXHLevel0X 5 2 2" xfId="25489" xr:uid="{00000000-0005-0000-0000-000003590000}"/>
    <cellStyle name="SAPBEXHLevel0X 5 2 3" xfId="25490" xr:uid="{00000000-0005-0000-0000-000004590000}"/>
    <cellStyle name="SAPBEXHLevel0X 5 3" xfId="25491" xr:uid="{00000000-0005-0000-0000-000005590000}"/>
    <cellStyle name="SAPBEXHLevel0X 5 4" xfId="25492" xr:uid="{00000000-0005-0000-0000-000006590000}"/>
    <cellStyle name="SAPBEXHLevel0X 6" xfId="21920" xr:uid="{00000000-0005-0000-0000-000007590000}"/>
    <cellStyle name="SAPBEXHLevel0X 6 2" xfId="25493" xr:uid="{00000000-0005-0000-0000-000008590000}"/>
    <cellStyle name="SAPBEXHLevel0X 6 3" xfId="25494" xr:uid="{00000000-0005-0000-0000-000009590000}"/>
    <cellStyle name="SAPBEXHLevel0X 7" xfId="21921" xr:uid="{00000000-0005-0000-0000-00000A590000}"/>
    <cellStyle name="SAPBEXHLevel0X 8" xfId="25495" xr:uid="{00000000-0005-0000-0000-00000B590000}"/>
    <cellStyle name="SAPBEXHLevel1" xfId="21922" xr:uid="{00000000-0005-0000-0000-00000C590000}"/>
    <cellStyle name="SAPBEXHLevel1 2" xfId="21923" xr:uid="{00000000-0005-0000-0000-00000D590000}"/>
    <cellStyle name="SAPBEXHLevel1 2 2" xfId="21924" xr:uid="{00000000-0005-0000-0000-00000E590000}"/>
    <cellStyle name="SAPBEXHLevel1 2 2 2" xfId="21925" xr:uid="{00000000-0005-0000-0000-00000F590000}"/>
    <cellStyle name="SAPBEXHLevel1 2 2 3" xfId="21926" xr:uid="{00000000-0005-0000-0000-000010590000}"/>
    <cellStyle name="SAPBEXHLevel1 2 2 4" xfId="21927" xr:uid="{00000000-0005-0000-0000-000011590000}"/>
    <cellStyle name="SAPBEXHLevel1 2 2 5" xfId="21928" xr:uid="{00000000-0005-0000-0000-000012590000}"/>
    <cellStyle name="SAPBEXHLevel1 2 3" xfId="21929" xr:uid="{00000000-0005-0000-0000-000013590000}"/>
    <cellStyle name="SAPBEXHLevel1 2 4" xfId="21930" xr:uid="{00000000-0005-0000-0000-000014590000}"/>
    <cellStyle name="SAPBEXHLevel1 2 5" xfId="21931" xr:uid="{00000000-0005-0000-0000-000015590000}"/>
    <cellStyle name="SAPBEXHLevel1 2 6" xfId="21932" xr:uid="{00000000-0005-0000-0000-000016590000}"/>
    <cellStyle name="SAPBEXHLevel1 3" xfId="21933" xr:uid="{00000000-0005-0000-0000-000017590000}"/>
    <cellStyle name="SAPBEXHLevel1 3 2" xfId="21934" xr:uid="{00000000-0005-0000-0000-000018590000}"/>
    <cellStyle name="SAPBEXHLevel1 3 2 2" xfId="25496" xr:uid="{00000000-0005-0000-0000-000019590000}"/>
    <cellStyle name="SAPBEXHLevel1 3 2 3" xfId="25497" xr:uid="{00000000-0005-0000-0000-00001A590000}"/>
    <cellStyle name="SAPBEXHLevel1 3 3" xfId="21935" xr:uid="{00000000-0005-0000-0000-00001B590000}"/>
    <cellStyle name="SAPBEXHLevel1 3 4" xfId="21936" xr:uid="{00000000-0005-0000-0000-00001C590000}"/>
    <cellStyle name="SAPBEXHLevel1 3 5" xfId="21937" xr:uid="{00000000-0005-0000-0000-00001D590000}"/>
    <cellStyle name="SAPBEXHLevel1 4" xfId="21938" xr:uid="{00000000-0005-0000-0000-00001E590000}"/>
    <cellStyle name="SAPBEXHLevel1 4 2" xfId="21939" xr:uid="{00000000-0005-0000-0000-00001F590000}"/>
    <cellStyle name="SAPBEXHLevel1 4 2 2" xfId="25498" xr:uid="{00000000-0005-0000-0000-000020590000}"/>
    <cellStyle name="SAPBEXHLevel1 4 2 3" xfId="25499" xr:uid="{00000000-0005-0000-0000-000021590000}"/>
    <cellStyle name="SAPBEXHLevel1 4 3" xfId="21940" xr:uid="{00000000-0005-0000-0000-000022590000}"/>
    <cellStyle name="SAPBEXHLevel1 4 4" xfId="21941" xr:uid="{00000000-0005-0000-0000-000023590000}"/>
    <cellStyle name="SAPBEXHLevel1 5" xfId="21942" xr:uid="{00000000-0005-0000-0000-000024590000}"/>
    <cellStyle name="SAPBEXHLevel1 5 2" xfId="25500" xr:uid="{00000000-0005-0000-0000-000025590000}"/>
    <cellStyle name="SAPBEXHLevel1 5 2 2" xfId="25501" xr:uid="{00000000-0005-0000-0000-000026590000}"/>
    <cellStyle name="SAPBEXHLevel1 5 2 3" xfId="25502" xr:uid="{00000000-0005-0000-0000-000027590000}"/>
    <cellStyle name="SAPBEXHLevel1 5 3" xfId="25503" xr:uid="{00000000-0005-0000-0000-000028590000}"/>
    <cellStyle name="SAPBEXHLevel1 5 4" xfId="25504" xr:uid="{00000000-0005-0000-0000-000029590000}"/>
    <cellStyle name="SAPBEXHLevel1 6" xfId="21943" xr:uid="{00000000-0005-0000-0000-00002A590000}"/>
    <cellStyle name="SAPBEXHLevel1 6 2" xfId="25505" xr:uid="{00000000-0005-0000-0000-00002B590000}"/>
    <cellStyle name="SAPBEXHLevel1 6 3" xfId="25506" xr:uid="{00000000-0005-0000-0000-00002C590000}"/>
    <cellStyle name="SAPBEXHLevel1 7" xfId="21944" xr:uid="{00000000-0005-0000-0000-00002D590000}"/>
    <cellStyle name="SAPBEXHLevel1 8" xfId="25507" xr:uid="{00000000-0005-0000-0000-00002E590000}"/>
    <cellStyle name="SAPBEXHLevel1X" xfId="21945" xr:uid="{00000000-0005-0000-0000-00002F590000}"/>
    <cellStyle name="SAPBEXHLevel1X 2" xfId="21946" xr:uid="{00000000-0005-0000-0000-000030590000}"/>
    <cellStyle name="SAPBEXHLevel1X 2 2" xfId="21947" xr:uid="{00000000-0005-0000-0000-000031590000}"/>
    <cellStyle name="SAPBEXHLevel1X 2 2 2" xfId="21948" xr:uid="{00000000-0005-0000-0000-000032590000}"/>
    <cellStyle name="SAPBEXHLevel1X 2 2 3" xfId="21949" xr:uid="{00000000-0005-0000-0000-000033590000}"/>
    <cellStyle name="SAPBEXHLevel1X 2 2 4" xfId="21950" xr:uid="{00000000-0005-0000-0000-000034590000}"/>
    <cellStyle name="SAPBEXHLevel1X 2 2 5" xfId="21951" xr:uid="{00000000-0005-0000-0000-000035590000}"/>
    <cellStyle name="SAPBEXHLevel1X 2 3" xfId="21952" xr:uid="{00000000-0005-0000-0000-000036590000}"/>
    <cellStyle name="SAPBEXHLevel1X 2 4" xfId="21953" xr:uid="{00000000-0005-0000-0000-000037590000}"/>
    <cellStyle name="SAPBEXHLevel1X 2 5" xfId="21954" xr:uid="{00000000-0005-0000-0000-000038590000}"/>
    <cellStyle name="SAPBEXHLevel1X 2 6" xfId="21955" xr:uid="{00000000-0005-0000-0000-000039590000}"/>
    <cellStyle name="SAPBEXHLevel1X 3" xfId="21956" xr:uid="{00000000-0005-0000-0000-00003A590000}"/>
    <cellStyle name="SAPBEXHLevel1X 3 2" xfId="21957" xr:uid="{00000000-0005-0000-0000-00003B590000}"/>
    <cellStyle name="SAPBEXHLevel1X 3 2 2" xfId="25508" xr:uid="{00000000-0005-0000-0000-00003C590000}"/>
    <cellStyle name="SAPBEXHLevel1X 3 2 3" xfId="25509" xr:uid="{00000000-0005-0000-0000-00003D590000}"/>
    <cellStyle name="SAPBEXHLevel1X 3 3" xfId="21958" xr:uid="{00000000-0005-0000-0000-00003E590000}"/>
    <cellStyle name="SAPBEXHLevel1X 3 4" xfId="21959" xr:uid="{00000000-0005-0000-0000-00003F590000}"/>
    <cellStyle name="SAPBEXHLevel1X 3 5" xfId="21960" xr:uid="{00000000-0005-0000-0000-000040590000}"/>
    <cellStyle name="SAPBEXHLevel1X 4" xfId="21961" xr:uid="{00000000-0005-0000-0000-000041590000}"/>
    <cellStyle name="SAPBEXHLevel1X 4 2" xfId="21962" xr:uid="{00000000-0005-0000-0000-000042590000}"/>
    <cellStyle name="SAPBEXHLevel1X 4 2 2" xfId="25510" xr:uid="{00000000-0005-0000-0000-000043590000}"/>
    <cellStyle name="SAPBEXHLevel1X 4 2 3" xfId="25511" xr:uid="{00000000-0005-0000-0000-000044590000}"/>
    <cellStyle name="SAPBEXHLevel1X 4 3" xfId="21963" xr:uid="{00000000-0005-0000-0000-000045590000}"/>
    <cellStyle name="SAPBEXHLevel1X 4 4" xfId="21964" xr:uid="{00000000-0005-0000-0000-000046590000}"/>
    <cellStyle name="SAPBEXHLevel1X 5" xfId="21965" xr:uid="{00000000-0005-0000-0000-000047590000}"/>
    <cellStyle name="SAPBEXHLevel1X 5 2" xfId="25512" xr:uid="{00000000-0005-0000-0000-000048590000}"/>
    <cellStyle name="SAPBEXHLevel1X 5 2 2" xfId="25513" xr:uid="{00000000-0005-0000-0000-000049590000}"/>
    <cellStyle name="SAPBEXHLevel1X 5 2 3" xfId="25514" xr:uid="{00000000-0005-0000-0000-00004A590000}"/>
    <cellStyle name="SAPBEXHLevel1X 5 3" xfId="25515" xr:uid="{00000000-0005-0000-0000-00004B590000}"/>
    <cellStyle name="SAPBEXHLevel1X 5 4" xfId="25516" xr:uid="{00000000-0005-0000-0000-00004C590000}"/>
    <cellStyle name="SAPBEXHLevel1X 6" xfId="21966" xr:uid="{00000000-0005-0000-0000-00004D590000}"/>
    <cellStyle name="SAPBEXHLevel1X 6 2" xfId="25517" xr:uid="{00000000-0005-0000-0000-00004E590000}"/>
    <cellStyle name="SAPBEXHLevel1X 6 3" xfId="25518" xr:uid="{00000000-0005-0000-0000-00004F590000}"/>
    <cellStyle name="SAPBEXHLevel1X 7" xfId="21967" xr:uid="{00000000-0005-0000-0000-000050590000}"/>
    <cellStyle name="SAPBEXHLevel1X 8" xfId="25519" xr:uid="{00000000-0005-0000-0000-000051590000}"/>
    <cellStyle name="SAPBEXHLevel2" xfId="21968" xr:uid="{00000000-0005-0000-0000-000052590000}"/>
    <cellStyle name="SAPBEXHLevel2 2" xfId="21969" xr:uid="{00000000-0005-0000-0000-000053590000}"/>
    <cellStyle name="SAPBEXHLevel2 2 2" xfId="21970" xr:uid="{00000000-0005-0000-0000-000054590000}"/>
    <cellStyle name="SAPBEXHLevel2 2 2 2" xfId="21971" xr:uid="{00000000-0005-0000-0000-000055590000}"/>
    <cellStyle name="SAPBEXHLevel2 2 2 3" xfId="21972" xr:uid="{00000000-0005-0000-0000-000056590000}"/>
    <cellStyle name="SAPBEXHLevel2 2 2 4" xfId="21973" xr:uid="{00000000-0005-0000-0000-000057590000}"/>
    <cellStyle name="SAPBEXHLevel2 2 2 5" xfId="21974" xr:uid="{00000000-0005-0000-0000-000058590000}"/>
    <cellStyle name="SAPBEXHLevel2 2 3" xfId="21975" xr:uid="{00000000-0005-0000-0000-000059590000}"/>
    <cellStyle name="SAPBEXHLevel2 2 4" xfId="21976" xr:uid="{00000000-0005-0000-0000-00005A590000}"/>
    <cellStyle name="SAPBEXHLevel2 2 5" xfId="21977" xr:uid="{00000000-0005-0000-0000-00005B590000}"/>
    <cellStyle name="SAPBEXHLevel2 2 6" xfId="21978" xr:uid="{00000000-0005-0000-0000-00005C590000}"/>
    <cellStyle name="SAPBEXHLevel2 3" xfId="21979" xr:uid="{00000000-0005-0000-0000-00005D590000}"/>
    <cellStyle name="SAPBEXHLevel2 3 2" xfId="21980" xr:uid="{00000000-0005-0000-0000-00005E590000}"/>
    <cellStyle name="SAPBEXHLevel2 3 2 2" xfId="25520" xr:uid="{00000000-0005-0000-0000-00005F590000}"/>
    <cellStyle name="SAPBEXHLevel2 3 2 3" xfId="25521" xr:uid="{00000000-0005-0000-0000-000060590000}"/>
    <cellStyle name="SAPBEXHLevel2 3 3" xfId="21981" xr:uid="{00000000-0005-0000-0000-000061590000}"/>
    <cellStyle name="SAPBEXHLevel2 3 4" xfId="21982" xr:uid="{00000000-0005-0000-0000-000062590000}"/>
    <cellStyle name="SAPBEXHLevel2 3 5" xfId="21983" xr:uid="{00000000-0005-0000-0000-000063590000}"/>
    <cellStyle name="SAPBEXHLevel2 4" xfId="21984" xr:uid="{00000000-0005-0000-0000-000064590000}"/>
    <cellStyle name="SAPBEXHLevel2 4 2" xfId="21985" xr:uid="{00000000-0005-0000-0000-000065590000}"/>
    <cellStyle name="SAPBEXHLevel2 4 2 2" xfId="25522" xr:uid="{00000000-0005-0000-0000-000066590000}"/>
    <cellStyle name="SAPBEXHLevel2 4 2 3" xfId="25523" xr:uid="{00000000-0005-0000-0000-000067590000}"/>
    <cellStyle name="SAPBEXHLevel2 4 3" xfId="21986" xr:uid="{00000000-0005-0000-0000-000068590000}"/>
    <cellStyle name="SAPBEXHLevel2 4 4" xfId="21987" xr:uid="{00000000-0005-0000-0000-000069590000}"/>
    <cellStyle name="SAPBEXHLevel2 5" xfId="21988" xr:uid="{00000000-0005-0000-0000-00006A590000}"/>
    <cellStyle name="SAPBEXHLevel2 5 2" xfId="25524" xr:uid="{00000000-0005-0000-0000-00006B590000}"/>
    <cellStyle name="SAPBEXHLevel2 5 2 2" xfId="25525" xr:uid="{00000000-0005-0000-0000-00006C590000}"/>
    <cellStyle name="SAPBEXHLevel2 5 2 3" xfId="25526" xr:uid="{00000000-0005-0000-0000-00006D590000}"/>
    <cellStyle name="SAPBEXHLevel2 5 3" xfId="25527" xr:uid="{00000000-0005-0000-0000-00006E590000}"/>
    <cellStyle name="SAPBEXHLevel2 5 4" xfId="25528" xr:uid="{00000000-0005-0000-0000-00006F590000}"/>
    <cellStyle name="SAPBEXHLevel2 6" xfId="21989" xr:uid="{00000000-0005-0000-0000-000070590000}"/>
    <cellStyle name="SAPBEXHLevel2 6 2" xfId="25529" xr:uid="{00000000-0005-0000-0000-000071590000}"/>
    <cellStyle name="SAPBEXHLevel2 6 3" xfId="25530" xr:uid="{00000000-0005-0000-0000-000072590000}"/>
    <cellStyle name="SAPBEXHLevel2 7" xfId="21990" xr:uid="{00000000-0005-0000-0000-000073590000}"/>
    <cellStyle name="SAPBEXHLevel2 8" xfId="25531" xr:uid="{00000000-0005-0000-0000-000074590000}"/>
    <cellStyle name="SAPBEXHLevel2X" xfId="21991" xr:uid="{00000000-0005-0000-0000-000075590000}"/>
    <cellStyle name="SAPBEXHLevel2X 2" xfId="21992" xr:uid="{00000000-0005-0000-0000-000076590000}"/>
    <cellStyle name="SAPBEXHLevel2X 2 2" xfId="21993" xr:uid="{00000000-0005-0000-0000-000077590000}"/>
    <cellStyle name="SAPBEXHLevel2X 2 2 2" xfId="21994" xr:uid="{00000000-0005-0000-0000-000078590000}"/>
    <cellStyle name="SAPBEXHLevel2X 2 2 3" xfId="21995" xr:uid="{00000000-0005-0000-0000-000079590000}"/>
    <cellStyle name="SAPBEXHLevel2X 2 2 4" xfId="21996" xr:uid="{00000000-0005-0000-0000-00007A590000}"/>
    <cellStyle name="SAPBEXHLevel2X 2 2 5" xfId="21997" xr:uid="{00000000-0005-0000-0000-00007B590000}"/>
    <cellStyle name="SAPBEXHLevel2X 2 3" xfId="21998" xr:uid="{00000000-0005-0000-0000-00007C590000}"/>
    <cellStyle name="SAPBEXHLevel2X 2 4" xfId="21999" xr:uid="{00000000-0005-0000-0000-00007D590000}"/>
    <cellStyle name="SAPBEXHLevel2X 2 5" xfId="22000" xr:uid="{00000000-0005-0000-0000-00007E590000}"/>
    <cellStyle name="SAPBEXHLevel2X 2 6" xfId="22001" xr:uid="{00000000-0005-0000-0000-00007F590000}"/>
    <cellStyle name="SAPBEXHLevel2X 3" xfId="22002" xr:uid="{00000000-0005-0000-0000-000080590000}"/>
    <cellStyle name="SAPBEXHLevel2X 3 2" xfId="22003" xr:uid="{00000000-0005-0000-0000-000081590000}"/>
    <cellStyle name="SAPBEXHLevel2X 3 2 2" xfId="25532" xr:uid="{00000000-0005-0000-0000-000082590000}"/>
    <cellStyle name="SAPBEXHLevel2X 3 2 3" xfId="25533" xr:uid="{00000000-0005-0000-0000-000083590000}"/>
    <cellStyle name="SAPBEXHLevel2X 3 3" xfId="22004" xr:uid="{00000000-0005-0000-0000-000084590000}"/>
    <cellStyle name="SAPBEXHLevel2X 3 4" xfId="22005" xr:uid="{00000000-0005-0000-0000-000085590000}"/>
    <cellStyle name="SAPBEXHLevel2X 3 5" xfId="22006" xr:uid="{00000000-0005-0000-0000-000086590000}"/>
    <cellStyle name="SAPBEXHLevel2X 4" xfId="22007" xr:uid="{00000000-0005-0000-0000-000087590000}"/>
    <cellStyle name="SAPBEXHLevel2X 4 2" xfId="22008" xr:uid="{00000000-0005-0000-0000-000088590000}"/>
    <cellStyle name="SAPBEXHLevel2X 4 2 2" xfId="25534" xr:uid="{00000000-0005-0000-0000-000089590000}"/>
    <cellStyle name="SAPBEXHLevel2X 4 2 3" xfId="25535" xr:uid="{00000000-0005-0000-0000-00008A590000}"/>
    <cellStyle name="SAPBEXHLevel2X 4 3" xfId="22009" xr:uid="{00000000-0005-0000-0000-00008B590000}"/>
    <cellStyle name="SAPBEXHLevel2X 4 4" xfId="22010" xr:uid="{00000000-0005-0000-0000-00008C590000}"/>
    <cellStyle name="SAPBEXHLevel2X 5" xfId="22011" xr:uid="{00000000-0005-0000-0000-00008D590000}"/>
    <cellStyle name="SAPBEXHLevel2X 5 2" xfId="25536" xr:uid="{00000000-0005-0000-0000-00008E590000}"/>
    <cellStyle name="SAPBEXHLevel2X 5 2 2" xfId="25537" xr:uid="{00000000-0005-0000-0000-00008F590000}"/>
    <cellStyle name="SAPBEXHLevel2X 5 2 3" xfId="25538" xr:uid="{00000000-0005-0000-0000-000090590000}"/>
    <cellStyle name="SAPBEXHLevel2X 5 3" xfId="25539" xr:uid="{00000000-0005-0000-0000-000091590000}"/>
    <cellStyle name="SAPBEXHLevel2X 5 4" xfId="25540" xr:uid="{00000000-0005-0000-0000-000092590000}"/>
    <cellStyle name="SAPBEXHLevel2X 6" xfId="22012" xr:uid="{00000000-0005-0000-0000-000093590000}"/>
    <cellStyle name="SAPBEXHLevel2X 6 2" xfId="25541" xr:uid="{00000000-0005-0000-0000-000094590000}"/>
    <cellStyle name="SAPBEXHLevel2X 6 3" xfId="25542" xr:uid="{00000000-0005-0000-0000-000095590000}"/>
    <cellStyle name="SAPBEXHLevel2X 7" xfId="22013" xr:uid="{00000000-0005-0000-0000-000096590000}"/>
    <cellStyle name="SAPBEXHLevel2X 8" xfId="25543" xr:uid="{00000000-0005-0000-0000-000097590000}"/>
    <cellStyle name="SAPBEXHLevel3" xfId="22014" xr:uid="{00000000-0005-0000-0000-000098590000}"/>
    <cellStyle name="SAPBEXHLevel3 2" xfId="22015" xr:uid="{00000000-0005-0000-0000-000099590000}"/>
    <cellStyle name="SAPBEXHLevel3 2 2" xfId="22016" xr:uid="{00000000-0005-0000-0000-00009A590000}"/>
    <cellStyle name="SAPBEXHLevel3 2 2 2" xfId="22017" xr:uid="{00000000-0005-0000-0000-00009B590000}"/>
    <cellStyle name="SAPBEXHLevel3 2 2 3" xfId="22018" xr:uid="{00000000-0005-0000-0000-00009C590000}"/>
    <cellStyle name="SAPBEXHLevel3 2 2 4" xfId="22019" xr:uid="{00000000-0005-0000-0000-00009D590000}"/>
    <cellStyle name="SAPBEXHLevel3 2 2 5" xfId="22020" xr:uid="{00000000-0005-0000-0000-00009E590000}"/>
    <cellStyle name="SAPBEXHLevel3 2 3" xfId="22021" xr:uid="{00000000-0005-0000-0000-00009F590000}"/>
    <cellStyle name="SAPBEXHLevel3 2 4" xfId="22022" xr:uid="{00000000-0005-0000-0000-0000A0590000}"/>
    <cellStyle name="SAPBEXHLevel3 2 5" xfId="22023" xr:uid="{00000000-0005-0000-0000-0000A1590000}"/>
    <cellStyle name="SAPBEXHLevel3 2 6" xfId="22024" xr:uid="{00000000-0005-0000-0000-0000A2590000}"/>
    <cellStyle name="SAPBEXHLevel3 3" xfId="22025" xr:uid="{00000000-0005-0000-0000-0000A3590000}"/>
    <cellStyle name="SAPBEXHLevel3 3 2" xfId="22026" xr:uid="{00000000-0005-0000-0000-0000A4590000}"/>
    <cellStyle name="SAPBEXHLevel3 3 2 2" xfId="25544" xr:uid="{00000000-0005-0000-0000-0000A5590000}"/>
    <cellStyle name="SAPBEXHLevel3 3 2 3" xfId="25545" xr:uid="{00000000-0005-0000-0000-0000A6590000}"/>
    <cellStyle name="SAPBEXHLevel3 3 3" xfId="22027" xr:uid="{00000000-0005-0000-0000-0000A7590000}"/>
    <cellStyle name="SAPBEXHLevel3 3 4" xfId="22028" xr:uid="{00000000-0005-0000-0000-0000A8590000}"/>
    <cellStyle name="SAPBEXHLevel3 3 5" xfId="22029" xr:uid="{00000000-0005-0000-0000-0000A9590000}"/>
    <cellStyle name="SAPBEXHLevel3 4" xfId="22030" xr:uid="{00000000-0005-0000-0000-0000AA590000}"/>
    <cellStyle name="SAPBEXHLevel3 4 2" xfId="22031" xr:uid="{00000000-0005-0000-0000-0000AB590000}"/>
    <cellStyle name="SAPBEXHLevel3 4 2 2" xfId="25546" xr:uid="{00000000-0005-0000-0000-0000AC590000}"/>
    <cellStyle name="SAPBEXHLevel3 4 2 3" xfId="25547" xr:uid="{00000000-0005-0000-0000-0000AD590000}"/>
    <cellStyle name="SAPBEXHLevel3 4 3" xfId="22032" xr:uid="{00000000-0005-0000-0000-0000AE590000}"/>
    <cellStyle name="SAPBEXHLevel3 4 4" xfId="22033" xr:uid="{00000000-0005-0000-0000-0000AF590000}"/>
    <cellStyle name="SAPBEXHLevel3 5" xfId="22034" xr:uid="{00000000-0005-0000-0000-0000B0590000}"/>
    <cellStyle name="SAPBEXHLevel3 5 2" xfId="25548" xr:uid="{00000000-0005-0000-0000-0000B1590000}"/>
    <cellStyle name="SAPBEXHLevel3 5 2 2" xfId="25549" xr:uid="{00000000-0005-0000-0000-0000B2590000}"/>
    <cellStyle name="SAPBEXHLevel3 5 2 3" xfId="25550" xr:uid="{00000000-0005-0000-0000-0000B3590000}"/>
    <cellStyle name="SAPBEXHLevel3 5 3" xfId="25551" xr:uid="{00000000-0005-0000-0000-0000B4590000}"/>
    <cellStyle name="SAPBEXHLevel3 5 4" xfId="25552" xr:uid="{00000000-0005-0000-0000-0000B5590000}"/>
    <cellStyle name="SAPBEXHLevel3 6" xfId="22035" xr:uid="{00000000-0005-0000-0000-0000B6590000}"/>
    <cellStyle name="SAPBEXHLevel3 6 2" xfId="25553" xr:uid="{00000000-0005-0000-0000-0000B7590000}"/>
    <cellStyle name="SAPBEXHLevel3 6 3" xfId="25554" xr:uid="{00000000-0005-0000-0000-0000B8590000}"/>
    <cellStyle name="SAPBEXHLevel3 7" xfId="22036" xr:uid="{00000000-0005-0000-0000-0000B9590000}"/>
    <cellStyle name="SAPBEXHLevel3 8" xfId="25555" xr:uid="{00000000-0005-0000-0000-0000BA590000}"/>
    <cellStyle name="SAPBEXHLevel3X" xfId="22037" xr:uid="{00000000-0005-0000-0000-0000BB590000}"/>
    <cellStyle name="SAPBEXHLevel3X 2" xfId="22038" xr:uid="{00000000-0005-0000-0000-0000BC590000}"/>
    <cellStyle name="SAPBEXHLevel3X 2 2" xfId="22039" xr:uid="{00000000-0005-0000-0000-0000BD590000}"/>
    <cellStyle name="SAPBEXHLevel3X 2 2 2" xfId="22040" xr:uid="{00000000-0005-0000-0000-0000BE590000}"/>
    <cellStyle name="SAPBEXHLevel3X 2 2 3" xfId="22041" xr:uid="{00000000-0005-0000-0000-0000BF590000}"/>
    <cellStyle name="SAPBEXHLevel3X 2 2 4" xfId="22042" xr:uid="{00000000-0005-0000-0000-0000C0590000}"/>
    <cellStyle name="SAPBEXHLevel3X 2 2 5" xfId="22043" xr:uid="{00000000-0005-0000-0000-0000C1590000}"/>
    <cellStyle name="SAPBEXHLevel3X 2 3" xfId="22044" xr:uid="{00000000-0005-0000-0000-0000C2590000}"/>
    <cellStyle name="SAPBEXHLevel3X 2 4" xfId="22045" xr:uid="{00000000-0005-0000-0000-0000C3590000}"/>
    <cellStyle name="SAPBEXHLevel3X 2 5" xfId="22046" xr:uid="{00000000-0005-0000-0000-0000C4590000}"/>
    <cellStyle name="SAPBEXHLevel3X 2 6" xfId="22047" xr:uid="{00000000-0005-0000-0000-0000C5590000}"/>
    <cellStyle name="SAPBEXHLevel3X 3" xfId="22048" xr:uid="{00000000-0005-0000-0000-0000C6590000}"/>
    <cellStyle name="SAPBEXHLevel3X 3 2" xfId="22049" xr:uid="{00000000-0005-0000-0000-0000C7590000}"/>
    <cellStyle name="SAPBEXHLevel3X 3 2 2" xfId="25556" xr:uid="{00000000-0005-0000-0000-0000C8590000}"/>
    <cellStyle name="SAPBEXHLevel3X 3 2 3" xfId="25557" xr:uid="{00000000-0005-0000-0000-0000C9590000}"/>
    <cellStyle name="SAPBEXHLevel3X 3 3" xfId="22050" xr:uid="{00000000-0005-0000-0000-0000CA590000}"/>
    <cellStyle name="SAPBEXHLevel3X 3 4" xfId="22051" xr:uid="{00000000-0005-0000-0000-0000CB590000}"/>
    <cellStyle name="SAPBEXHLevel3X 3 5" xfId="22052" xr:uid="{00000000-0005-0000-0000-0000CC590000}"/>
    <cellStyle name="SAPBEXHLevel3X 4" xfId="22053" xr:uid="{00000000-0005-0000-0000-0000CD590000}"/>
    <cellStyle name="SAPBEXHLevel3X 4 2" xfId="22054" xr:uid="{00000000-0005-0000-0000-0000CE590000}"/>
    <cellStyle name="SAPBEXHLevel3X 4 2 2" xfId="25558" xr:uid="{00000000-0005-0000-0000-0000CF590000}"/>
    <cellStyle name="SAPBEXHLevel3X 4 2 3" xfId="25559" xr:uid="{00000000-0005-0000-0000-0000D0590000}"/>
    <cellStyle name="SAPBEXHLevel3X 4 3" xfId="22055" xr:uid="{00000000-0005-0000-0000-0000D1590000}"/>
    <cellStyle name="SAPBEXHLevel3X 4 4" xfId="22056" xr:uid="{00000000-0005-0000-0000-0000D2590000}"/>
    <cellStyle name="SAPBEXHLevel3X 5" xfId="22057" xr:uid="{00000000-0005-0000-0000-0000D3590000}"/>
    <cellStyle name="SAPBEXHLevel3X 5 2" xfId="25560" xr:uid="{00000000-0005-0000-0000-0000D4590000}"/>
    <cellStyle name="SAPBEXHLevel3X 5 2 2" xfId="25561" xr:uid="{00000000-0005-0000-0000-0000D5590000}"/>
    <cellStyle name="SAPBEXHLevel3X 5 2 3" xfId="25562" xr:uid="{00000000-0005-0000-0000-0000D6590000}"/>
    <cellStyle name="SAPBEXHLevel3X 5 3" xfId="25563" xr:uid="{00000000-0005-0000-0000-0000D7590000}"/>
    <cellStyle name="SAPBEXHLevel3X 5 4" xfId="25564" xr:uid="{00000000-0005-0000-0000-0000D8590000}"/>
    <cellStyle name="SAPBEXHLevel3X 6" xfId="22058" xr:uid="{00000000-0005-0000-0000-0000D9590000}"/>
    <cellStyle name="SAPBEXHLevel3X 6 2" xfId="25565" xr:uid="{00000000-0005-0000-0000-0000DA590000}"/>
    <cellStyle name="SAPBEXHLevel3X 6 3" xfId="25566" xr:uid="{00000000-0005-0000-0000-0000DB590000}"/>
    <cellStyle name="SAPBEXHLevel3X 7" xfId="22059" xr:uid="{00000000-0005-0000-0000-0000DC590000}"/>
    <cellStyle name="SAPBEXHLevel3X 8" xfId="25567" xr:uid="{00000000-0005-0000-0000-0000DD590000}"/>
    <cellStyle name="SAPBEXresData" xfId="22060" xr:uid="{00000000-0005-0000-0000-0000DE590000}"/>
    <cellStyle name="SAPBEXresData 2" xfId="22061" xr:uid="{00000000-0005-0000-0000-0000DF590000}"/>
    <cellStyle name="SAPBEXresData 2 2" xfId="22062" xr:uid="{00000000-0005-0000-0000-0000E0590000}"/>
    <cellStyle name="SAPBEXresData 2 2 2" xfId="22063" xr:uid="{00000000-0005-0000-0000-0000E1590000}"/>
    <cellStyle name="SAPBEXresData 2 2 3" xfId="22064" xr:uid="{00000000-0005-0000-0000-0000E2590000}"/>
    <cellStyle name="SAPBEXresData 2 2 4" xfId="22065" xr:uid="{00000000-0005-0000-0000-0000E3590000}"/>
    <cellStyle name="SAPBEXresData 2 2 5" xfId="22066" xr:uid="{00000000-0005-0000-0000-0000E4590000}"/>
    <cellStyle name="SAPBEXresData 2 3" xfId="22067" xr:uid="{00000000-0005-0000-0000-0000E5590000}"/>
    <cellStyle name="SAPBEXresData 2 4" xfId="22068" xr:uid="{00000000-0005-0000-0000-0000E6590000}"/>
    <cellStyle name="SAPBEXresData 2 5" xfId="22069" xr:uid="{00000000-0005-0000-0000-0000E7590000}"/>
    <cellStyle name="SAPBEXresData 2 6" xfId="22070" xr:uid="{00000000-0005-0000-0000-0000E8590000}"/>
    <cellStyle name="SAPBEXresData 3" xfId="22071" xr:uid="{00000000-0005-0000-0000-0000E9590000}"/>
    <cellStyle name="SAPBEXresData 3 2" xfId="22072" xr:uid="{00000000-0005-0000-0000-0000EA590000}"/>
    <cellStyle name="SAPBEXresData 3 3" xfId="22073" xr:uid="{00000000-0005-0000-0000-0000EB590000}"/>
    <cellStyle name="SAPBEXresData 3 4" xfId="22074" xr:uid="{00000000-0005-0000-0000-0000EC590000}"/>
    <cellStyle name="SAPBEXresData 3 5" xfId="22075" xr:uid="{00000000-0005-0000-0000-0000ED590000}"/>
    <cellStyle name="SAPBEXresData 4" xfId="22076" xr:uid="{00000000-0005-0000-0000-0000EE590000}"/>
    <cellStyle name="SAPBEXresData 5" xfId="22077" xr:uid="{00000000-0005-0000-0000-0000EF590000}"/>
    <cellStyle name="SAPBEXresData 6" xfId="22078" xr:uid="{00000000-0005-0000-0000-0000F0590000}"/>
    <cellStyle name="SAPBEXresData 7" xfId="22079" xr:uid="{00000000-0005-0000-0000-0000F1590000}"/>
    <cellStyle name="SAPBEXresDataEmph" xfId="22080" xr:uid="{00000000-0005-0000-0000-0000F2590000}"/>
    <cellStyle name="SAPBEXresDataEmph 2" xfId="22081" xr:uid="{00000000-0005-0000-0000-0000F3590000}"/>
    <cellStyle name="SAPBEXresDataEmph 2 2" xfId="22082" xr:uid="{00000000-0005-0000-0000-0000F4590000}"/>
    <cellStyle name="SAPBEXresDataEmph 2 2 2" xfId="22083" xr:uid="{00000000-0005-0000-0000-0000F5590000}"/>
    <cellStyle name="SAPBEXresDataEmph 2 2 3" xfId="22084" xr:uid="{00000000-0005-0000-0000-0000F6590000}"/>
    <cellStyle name="SAPBEXresDataEmph 2 2 4" xfId="22085" xr:uid="{00000000-0005-0000-0000-0000F7590000}"/>
    <cellStyle name="SAPBEXresDataEmph 2 2 5" xfId="22086" xr:uid="{00000000-0005-0000-0000-0000F8590000}"/>
    <cellStyle name="SAPBEXresDataEmph 2 3" xfId="22087" xr:uid="{00000000-0005-0000-0000-0000F9590000}"/>
    <cellStyle name="SAPBEXresDataEmph 2 4" xfId="22088" xr:uid="{00000000-0005-0000-0000-0000FA590000}"/>
    <cellStyle name="SAPBEXresDataEmph 2 5" xfId="22089" xr:uid="{00000000-0005-0000-0000-0000FB590000}"/>
    <cellStyle name="SAPBEXresDataEmph 2 6" xfId="22090" xr:uid="{00000000-0005-0000-0000-0000FC590000}"/>
    <cellStyle name="SAPBEXresDataEmph 3" xfId="22091" xr:uid="{00000000-0005-0000-0000-0000FD590000}"/>
    <cellStyle name="SAPBEXresDataEmph 3 2" xfId="22092" xr:uid="{00000000-0005-0000-0000-0000FE590000}"/>
    <cellStyle name="SAPBEXresDataEmph 3 3" xfId="22093" xr:uid="{00000000-0005-0000-0000-0000FF590000}"/>
    <cellStyle name="SAPBEXresDataEmph 3 4" xfId="22094" xr:uid="{00000000-0005-0000-0000-0000005A0000}"/>
    <cellStyle name="SAPBEXresDataEmph 3 5" xfId="22095" xr:uid="{00000000-0005-0000-0000-0000015A0000}"/>
    <cellStyle name="SAPBEXresDataEmph 4" xfId="22096" xr:uid="{00000000-0005-0000-0000-0000025A0000}"/>
    <cellStyle name="SAPBEXresDataEmph 5" xfId="22097" xr:uid="{00000000-0005-0000-0000-0000035A0000}"/>
    <cellStyle name="SAPBEXresDataEmph 6" xfId="22098" xr:uid="{00000000-0005-0000-0000-0000045A0000}"/>
    <cellStyle name="SAPBEXresDataEmph 7" xfId="22099" xr:uid="{00000000-0005-0000-0000-0000055A0000}"/>
    <cellStyle name="SAPBEXresItem" xfId="22100" xr:uid="{00000000-0005-0000-0000-0000065A0000}"/>
    <cellStyle name="SAPBEXresItem 2" xfId="22101" xr:uid="{00000000-0005-0000-0000-0000075A0000}"/>
    <cellStyle name="SAPBEXresItem 2 2" xfId="22102" xr:uid="{00000000-0005-0000-0000-0000085A0000}"/>
    <cellStyle name="SAPBEXresItem 2 2 2" xfId="22103" xr:uid="{00000000-0005-0000-0000-0000095A0000}"/>
    <cellStyle name="SAPBEXresItem 2 2 3" xfId="22104" xr:uid="{00000000-0005-0000-0000-00000A5A0000}"/>
    <cellStyle name="SAPBEXresItem 2 2 4" xfId="22105" xr:uid="{00000000-0005-0000-0000-00000B5A0000}"/>
    <cellStyle name="SAPBEXresItem 2 2 5" xfId="22106" xr:uid="{00000000-0005-0000-0000-00000C5A0000}"/>
    <cellStyle name="SAPBEXresItem 2 3" xfId="22107" xr:uid="{00000000-0005-0000-0000-00000D5A0000}"/>
    <cellStyle name="SAPBEXresItem 2 4" xfId="22108" xr:uid="{00000000-0005-0000-0000-00000E5A0000}"/>
    <cellStyle name="SAPBEXresItem 2 5" xfId="22109" xr:uid="{00000000-0005-0000-0000-00000F5A0000}"/>
    <cellStyle name="SAPBEXresItem 2 6" xfId="22110" xr:uid="{00000000-0005-0000-0000-0000105A0000}"/>
    <cellStyle name="SAPBEXresItem 3" xfId="22111" xr:uid="{00000000-0005-0000-0000-0000115A0000}"/>
    <cellStyle name="SAPBEXresItem 3 2" xfId="22112" xr:uid="{00000000-0005-0000-0000-0000125A0000}"/>
    <cellStyle name="SAPBEXresItem 3 3" xfId="22113" xr:uid="{00000000-0005-0000-0000-0000135A0000}"/>
    <cellStyle name="SAPBEXresItem 3 4" xfId="22114" xr:uid="{00000000-0005-0000-0000-0000145A0000}"/>
    <cellStyle name="SAPBEXresItem 3 5" xfId="22115" xr:uid="{00000000-0005-0000-0000-0000155A0000}"/>
    <cellStyle name="SAPBEXresItem 4" xfId="22116" xr:uid="{00000000-0005-0000-0000-0000165A0000}"/>
    <cellStyle name="SAPBEXresItem 5" xfId="22117" xr:uid="{00000000-0005-0000-0000-0000175A0000}"/>
    <cellStyle name="SAPBEXresItem 6" xfId="22118" xr:uid="{00000000-0005-0000-0000-0000185A0000}"/>
    <cellStyle name="SAPBEXresItem 7" xfId="22119" xr:uid="{00000000-0005-0000-0000-0000195A0000}"/>
    <cellStyle name="SAPBEXresItemX" xfId="22120" xr:uid="{00000000-0005-0000-0000-00001A5A0000}"/>
    <cellStyle name="SAPBEXresItemX 2" xfId="22121" xr:uid="{00000000-0005-0000-0000-00001B5A0000}"/>
    <cellStyle name="SAPBEXresItemX 2 2" xfId="22122" xr:uid="{00000000-0005-0000-0000-00001C5A0000}"/>
    <cellStyle name="SAPBEXresItemX 2 2 2" xfId="22123" xr:uid="{00000000-0005-0000-0000-00001D5A0000}"/>
    <cellStyle name="SAPBEXresItemX 2 2 3" xfId="22124" xr:uid="{00000000-0005-0000-0000-00001E5A0000}"/>
    <cellStyle name="SAPBEXresItemX 2 2 4" xfId="22125" xr:uid="{00000000-0005-0000-0000-00001F5A0000}"/>
    <cellStyle name="SAPBEXresItemX 2 2 5" xfId="22126" xr:uid="{00000000-0005-0000-0000-0000205A0000}"/>
    <cellStyle name="SAPBEXresItemX 2 3" xfId="22127" xr:uid="{00000000-0005-0000-0000-0000215A0000}"/>
    <cellStyle name="SAPBEXresItemX 2 4" xfId="22128" xr:uid="{00000000-0005-0000-0000-0000225A0000}"/>
    <cellStyle name="SAPBEXresItemX 2 5" xfId="22129" xr:uid="{00000000-0005-0000-0000-0000235A0000}"/>
    <cellStyle name="SAPBEXresItemX 2 6" xfId="22130" xr:uid="{00000000-0005-0000-0000-0000245A0000}"/>
    <cellStyle name="SAPBEXresItemX 3" xfId="22131" xr:uid="{00000000-0005-0000-0000-0000255A0000}"/>
    <cellStyle name="SAPBEXresItemX 3 2" xfId="22132" xr:uid="{00000000-0005-0000-0000-0000265A0000}"/>
    <cellStyle name="SAPBEXresItemX 3 3" xfId="22133" xr:uid="{00000000-0005-0000-0000-0000275A0000}"/>
    <cellStyle name="SAPBEXresItemX 3 4" xfId="22134" xr:uid="{00000000-0005-0000-0000-0000285A0000}"/>
    <cellStyle name="SAPBEXresItemX 3 5" xfId="22135" xr:uid="{00000000-0005-0000-0000-0000295A0000}"/>
    <cellStyle name="SAPBEXresItemX 4" xfId="22136" xr:uid="{00000000-0005-0000-0000-00002A5A0000}"/>
    <cellStyle name="SAPBEXresItemX 5" xfId="22137" xr:uid="{00000000-0005-0000-0000-00002B5A0000}"/>
    <cellStyle name="SAPBEXresItemX 6" xfId="22138" xr:uid="{00000000-0005-0000-0000-00002C5A0000}"/>
    <cellStyle name="SAPBEXresItemX 7" xfId="22139" xr:uid="{00000000-0005-0000-0000-00002D5A0000}"/>
    <cellStyle name="SAPBEXstdData" xfId="22140" xr:uid="{00000000-0005-0000-0000-00002E5A0000}"/>
    <cellStyle name="SAPBEXstdData 2" xfId="22141" xr:uid="{00000000-0005-0000-0000-00002F5A0000}"/>
    <cellStyle name="SAPBEXstdData 2 2" xfId="22142" xr:uid="{00000000-0005-0000-0000-0000305A0000}"/>
    <cellStyle name="SAPBEXstdData 2 2 2" xfId="22143" xr:uid="{00000000-0005-0000-0000-0000315A0000}"/>
    <cellStyle name="SAPBEXstdData 2 2 3" xfId="22144" xr:uid="{00000000-0005-0000-0000-0000325A0000}"/>
    <cellStyle name="SAPBEXstdData 2 2 4" xfId="22145" xr:uid="{00000000-0005-0000-0000-0000335A0000}"/>
    <cellStyle name="SAPBEXstdData 2 2 5" xfId="22146" xr:uid="{00000000-0005-0000-0000-0000345A0000}"/>
    <cellStyle name="SAPBEXstdData 2 3" xfId="22147" xr:uid="{00000000-0005-0000-0000-0000355A0000}"/>
    <cellStyle name="SAPBEXstdData 2 4" xfId="22148" xr:uid="{00000000-0005-0000-0000-0000365A0000}"/>
    <cellStyle name="SAPBEXstdData 2 5" xfId="22149" xr:uid="{00000000-0005-0000-0000-0000375A0000}"/>
    <cellStyle name="SAPBEXstdData 2 6" xfId="22150" xr:uid="{00000000-0005-0000-0000-0000385A0000}"/>
    <cellStyle name="SAPBEXstdData 3" xfId="22151" xr:uid="{00000000-0005-0000-0000-0000395A0000}"/>
    <cellStyle name="SAPBEXstdData 3 2" xfId="22152" xr:uid="{00000000-0005-0000-0000-00003A5A0000}"/>
    <cellStyle name="SAPBEXstdData 3 3" xfId="22153" xr:uid="{00000000-0005-0000-0000-00003B5A0000}"/>
    <cellStyle name="SAPBEXstdData 3 4" xfId="22154" xr:uid="{00000000-0005-0000-0000-00003C5A0000}"/>
    <cellStyle name="SAPBEXstdData 3 5" xfId="22155" xr:uid="{00000000-0005-0000-0000-00003D5A0000}"/>
    <cellStyle name="SAPBEXstdData 4" xfId="22156" xr:uid="{00000000-0005-0000-0000-00003E5A0000}"/>
    <cellStyle name="SAPBEXstdData 5" xfId="22157" xr:uid="{00000000-0005-0000-0000-00003F5A0000}"/>
    <cellStyle name="SAPBEXstdData 6" xfId="22158" xr:uid="{00000000-0005-0000-0000-0000405A0000}"/>
    <cellStyle name="SAPBEXstdData 7" xfId="22159" xr:uid="{00000000-0005-0000-0000-0000415A0000}"/>
    <cellStyle name="SAPBEXstdDataEmph" xfId="22160" xr:uid="{00000000-0005-0000-0000-0000425A0000}"/>
    <cellStyle name="SAPBEXstdDataEmph 2" xfId="22161" xr:uid="{00000000-0005-0000-0000-0000435A0000}"/>
    <cellStyle name="SAPBEXstdDataEmph 2 2" xfId="22162" xr:uid="{00000000-0005-0000-0000-0000445A0000}"/>
    <cellStyle name="SAPBEXstdDataEmph 2 2 2" xfId="22163" xr:uid="{00000000-0005-0000-0000-0000455A0000}"/>
    <cellStyle name="SAPBEXstdDataEmph 2 2 3" xfId="22164" xr:uid="{00000000-0005-0000-0000-0000465A0000}"/>
    <cellStyle name="SAPBEXstdDataEmph 2 2 4" xfId="22165" xr:uid="{00000000-0005-0000-0000-0000475A0000}"/>
    <cellStyle name="SAPBEXstdDataEmph 2 2 5" xfId="22166" xr:uid="{00000000-0005-0000-0000-0000485A0000}"/>
    <cellStyle name="SAPBEXstdDataEmph 2 3" xfId="22167" xr:uid="{00000000-0005-0000-0000-0000495A0000}"/>
    <cellStyle name="SAPBEXstdDataEmph 2 4" xfId="22168" xr:uid="{00000000-0005-0000-0000-00004A5A0000}"/>
    <cellStyle name="SAPBEXstdDataEmph 2 5" xfId="22169" xr:uid="{00000000-0005-0000-0000-00004B5A0000}"/>
    <cellStyle name="SAPBEXstdDataEmph 2 6" xfId="22170" xr:uid="{00000000-0005-0000-0000-00004C5A0000}"/>
    <cellStyle name="SAPBEXstdDataEmph 3" xfId="22171" xr:uid="{00000000-0005-0000-0000-00004D5A0000}"/>
    <cellStyle name="SAPBEXstdDataEmph 3 2" xfId="22172" xr:uid="{00000000-0005-0000-0000-00004E5A0000}"/>
    <cellStyle name="SAPBEXstdDataEmph 3 3" xfId="22173" xr:uid="{00000000-0005-0000-0000-00004F5A0000}"/>
    <cellStyle name="SAPBEXstdDataEmph 3 4" xfId="22174" xr:uid="{00000000-0005-0000-0000-0000505A0000}"/>
    <cellStyle name="SAPBEXstdDataEmph 3 5" xfId="22175" xr:uid="{00000000-0005-0000-0000-0000515A0000}"/>
    <cellStyle name="SAPBEXstdDataEmph 4" xfId="22176" xr:uid="{00000000-0005-0000-0000-0000525A0000}"/>
    <cellStyle name="SAPBEXstdDataEmph 5" xfId="22177" xr:uid="{00000000-0005-0000-0000-0000535A0000}"/>
    <cellStyle name="SAPBEXstdDataEmph 6" xfId="22178" xr:uid="{00000000-0005-0000-0000-0000545A0000}"/>
    <cellStyle name="SAPBEXstdDataEmph 7" xfId="22179" xr:uid="{00000000-0005-0000-0000-0000555A0000}"/>
    <cellStyle name="SAPBEXstdItem" xfId="22180" xr:uid="{00000000-0005-0000-0000-0000565A0000}"/>
    <cellStyle name="SAPBEXstdItem 2" xfId="22181" xr:uid="{00000000-0005-0000-0000-0000575A0000}"/>
    <cellStyle name="SAPBEXstdItem 2 2" xfId="22182" xr:uid="{00000000-0005-0000-0000-0000585A0000}"/>
    <cellStyle name="SAPBEXstdItem 2 2 2" xfId="22183" xr:uid="{00000000-0005-0000-0000-0000595A0000}"/>
    <cellStyle name="SAPBEXstdItem 2 2 3" xfId="22184" xr:uid="{00000000-0005-0000-0000-00005A5A0000}"/>
    <cellStyle name="SAPBEXstdItem 2 2 4" xfId="22185" xr:uid="{00000000-0005-0000-0000-00005B5A0000}"/>
    <cellStyle name="SAPBEXstdItem 2 2 5" xfId="22186" xr:uid="{00000000-0005-0000-0000-00005C5A0000}"/>
    <cellStyle name="SAPBEXstdItem 2 3" xfId="22187" xr:uid="{00000000-0005-0000-0000-00005D5A0000}"/>
    <cellStyle name="SAPBEXstdItem 2 4" xfId="22188" xr:uid="{00000000-0005-0000-0000-00005E5A0000}"/>
    <cellStyle name="SAPBEXstdItem 2 5" xfId="22189" xr:uid="{00000000-0005-0000-0000-00005F5A0000}"/>
    <cellStyle name="SAPBEXstdItem 2 6" xfId="22190" xr:uid="{00000000-0005-0000-0000-0000605A0000}"/>
    <cellStyle name="SAPBEXstdItem 3" xfId="22191" xr:uid="{00000000-0005-0000-0000-0000615A0000}"/>
    <cellStyle name="SAPBEXstdItem 3 2" xfId="22192" xr:uid="{00000000-0005-0000-0000-0000625A0000}"/>
    <cellStyle name="SAPBEXstdItem 3 2 2" xfId="25568" xr:uid="{00000000-0005-0000-0000-0000635A0000}"/>
    <cellStyle name="SAPBEXstdItem 3 2 3" xfId="25569" xr:uid="{00000000-0005-0000-0000-0000645A0000}"/>
    <cellStyle name="SAPBEXstdItem 3 3" xfId="22193" xr:uid="{00000000-0005-0000-0000-0000655A0000}"/>
    <cellStyle name="SAPBEXstdItem 3 4" xfId="22194" xr:uid="{00000000-0005-0000-0000-0000665A0000}"/>
    <cellStyle name="SAPBEXstdItem 3 5" xfId="22195" xr:uid="{00000000-0005-0000-0000-0000675A0000}"/>
    <cellStyle name="SAPBEXstdItem 4" xfId="22196" xr:uid="{00000000-0005-0000-0000-0000685A0000}"/>
    <cellStyle name="SAPBEXstdItem 4 2" xfId="22197" xr:uid="{00000000-0005-0000-0000-0000695A0000}"/>
    <cellStyle name="SAPBEXstdItem 4 2 2" xfId="25570" xr:uid="{00000000-0005-0000-0000-00006A5A0000}"/>
    <cellStyle name="SAPBEXstdItem 4 2 3" xfId="25571" xr:uid="{00000000-0005-0000-0000-00006B5A0000}"/>
    <cellStyle name="SAPBEXstdItem 4 3" xfId="22198" xr:uid="{00000000-0005-0000-0000-00006C5A0000}"/>
    <cellStyle name="SAPBEXstdItem 4 4" xfId="22199" xr:uid="{00000000-0005-0000-0000-00006D5A0000}"/>
    <cellStyle name="SAPBEXstdItem 5" xfId="22200" xr:uid="{00000000-0005-0000-0000-00006E5A0000}"/>
    <cellStyle name="SAPBEXstdItem 5 2" xfId="25572" xr:uid="{00000000-0005-0000-0000-00006F5A0000}"/>
    <cellStyle name="SAPBEXstdItem 5 2 2" xfId="25573" xr:uid="{00000000-0005-0000-0000-0000705A0000}"/>
    <cellStyle name="SAPBEXstdItem 5 2 3" xfId="25574" xr:uid="{00000000-0005-0000-0000-0000715A0000}"/>
    <cellStyle name="SAPBEXstdItem 5 3" xfId="25575" xr:uid="{00000000-0005-0000-0000-0000725A0000}"/>
    <cellStyle name="SAPBEXstdItem 5 4" xfId="25576" xr:uid="{00000000-0005-0000-0000-0000735A0000}"/>
    <cellStyle name="SAPBEXstdItem 6" xfId="22201" xr:uid="{00000000-0005-0000-0000-0000745A0000}"/>
    <cellStyle name="SAPBEXstdItem 6 2" xfId="25577" xr:uid="{00000000-0005-0000-0000-0000755A0000}"/>
    <cellStyle name="SAPBEXstdItem 6 3" xfId="25578" xr:uid="{00000000-0005-0000-0000-0000765A0000}"/>
    <cellStyle name="SAPBEXstdItem 7" xfId="22202" xr:uid="{00000000-0005-0000-0000-0000775A0000}"/>
    <cellStyle name="SAPBEXstdItem 8" xfId="25579" xr:uid="{00000000-0005-0000-0000-0000785A0000}"/>
    <cellStyle name="SAPBEXstdItemX" xfId="22203" xr:uid="{00000000-0005-0000-0000-0000795A0000}"/>
    <cellStyle name="SAPBEXstdItemX 2" xfId="22204" xr:uid="{00000000-0005-0000-0000-00007A5A0000}"/>
    <cellStyle name="SAPBEXstdItemX 2 2" xfId="22205" xr:uid="{00000000-0005-0000-0000-00007B5A0000}"/>
    <cellStyle name="SAPBEXstdItemX 2 2 2" xfId="22206" xr:uid="{00000000-0005-0000-0000-00007C5A0000}"/>
    <cellStyle name="SAPBEXstdItemX 2 2 3" xfId="22207" xr:uid="{00000000-0005-0000-0000-00007D5A0000}"/>
    <cellStyle name="SAPBEXstdItemX 2 2 4" xfId="22208" xr:uid="{00000000-0005-0000-0000-00007E5A0000}"/>
    <cellStyle name="SAPBEXstdItemX 2 2 5" xfId="22209" xr:uid="{00000000-0005-0000-0000-00007F5A0000}"/>
    <cellStyle name="SAPBEXstdItemX 2 3" xfId="22210" xr:uid="{00000000-0005-0000-0000-0000805A0000}"/>
    <cellStyle name="SAPBEXstdItemX 2 4" xfId="22211" xr:uid="{00000000-0005-0000-0000-0000815A0000}"/>
    <cellStyle name="SAPBEXstdItemX 2 5" xfId="22212" xr:uid="{00000000-0005-0000-0000-0000825A0000}"/>
    <cellStyle name="SAPBEXstdItemX 2 6" xfId="22213" xr:uid="{00000000-0005-0000-0000-0000835A0000}"/>
    <cellStyle name="SAPBEXstdItemX 3" xfId="22214" xr:uid="{00000000-0005-0000-0000-0000845A0000}"/>
    <cellStyle name="SAPBEXstdItemX 3 2" xfId="22215" xr:uid="{00000000-0005-0000-0000-0000855A0000}"/>
    <cellStyle name="SAPBEXstdItemX 3 2 2" xfId="25580" xr:uid="{00000000-0005-0000-0000-0000865A0000}"/>
    <cellStyle name="SAPBEXstdItemX 3 2 3" xfId="25581" xr:uid="{00000000-0005-0000-0000-0000875A0000}"/>
    <cellStyle name="SAPBEXstdItemX 3 3" xfId="22216" xr:uid="{00000000-0005-0000-0000-0000885A0000}"/>
    <cellStyle name="SAPBEXstdItemX 3 4" xfId="22217" xr:uid="{00000000-0005-0000-0000-0000895A0000}"/>
    <cellStyle name="SAPBEXstdItemX 3 5" xfId="22218" xr:uid="{00000000-0005-0000-0000-00008A5A0000}"/>
    <cellStyle name="SAPBEXstdItemX 4" xfId="22219" xr:uid="{00000000-0005-0000-0000-00008B5A0000}"/>
    <cellStyle name="SAPBEXstdItemX 4 2" xfId="22220" xr:uid="{00000000-0005-0000-0000-00008C5A0000}"/>
    <cellStyle name="SAPBEXstdItemX 4 2 2" xfId="25582" xr:uid="{00000000-0005-0000-0000-00008D5A0000}"/>
    <cellStyle name="SAPBEXstdItemX 4 2 3" xfId="25583" xr:uid="{00000000-0005-0000-0000-00008E5A0000}"/>
    <cellStyle name="SAPBEXstdItemX 4 3" xfId="22221" xr:uid="{00000000-0005-0000-0000-00008F5A0000}"/>
    <cellStyle name="SAPBEXstdItemX 4 4" xfId="22222" xr:uid="{00000000-0005-0000-0000-0000905A0000}"/>
    <cellStyle name="SAPBEXstdItemX 5" xfId="22223" xr:uid="{00000000-0005-0000-0000-0000915A0000}"/>
    <cellStyle name="SAPBEXstdItemX 5 2" xfId="25584" xr:uid="{00000000-0005-0000-0000-0000925A0000}"/>
    <cellStyle name="SAPBEXstdItemX 5 2 2" xfId="25585" xr:uid="{00000000-0005-0000-0000-0000935A0000}"/>
    <cellStyle name="SAPBEXstdItemX 5 2 3" xfId="25586" xr:uid="{00000000-0005-0000-0000-0000945A0000}"/>
    <cellStyle name="SAPBEXstdItemX 5 3" xfId="25587" xr:uid="{00000000-0005-0000-0000-0000955A0000}"/>
    <cellStyle name="SAPBEXstdItemX 5 4" xfId="25588" xr:uid="{00000000-0005-0000-0000-0000965A0000}"/>
    <cellStyle name="SAPBEXstdItemX 6" xfId="22224" xr:uid="{00000000-0005-0000-0000-0000975A0000}"/>
    <cellStyle name="SAPBEXstdItemX 6 2" xfId="25589" xr:uid="{00000000-0005-0000-0000-0000985A0000}"/>
    <cellStyle name="SAPBEXstdItemX 6 3" xfId="25590" xr:uid="{00000000-0005-0000-0000-0000995A0000}"/>
    <cellStyle name="SAPBEXstdItemX 7" xfId="22225" xr:uid="{00000000-0005-0000-0000-00009A5A0000}"/>
    <cellStyle name="SAPBEXstdItemX 8" xfId="25591" xr:uid="{00000000-0005-0000-0000-00009B5A0000}"/>
    <cellStyle name="SAPBEXtitle" xfId="22226" xr:uid="{00000000-0005-0000-0000-00009C5A0000}"/>
    <cellStyle name="SAPBEXtitle 2" xfId="22227" xr:uid="{00000000-0005-0000-0000-00009D5A0000}"/>
    <cellStyle name="SAPBEXtitle 2 2" xfId="25592" xr:uid="{00000000-0005-0000-0000-00009E5A0000}"/>
    <cellStyle name="SAPBEXtitle 2 3" xfId="25593" xr:uid="{00000000-0005-0000-0000-00009F5A0000}"/>
    <cellStyle name="SAPBEXtitle 3" xfId="22228" xr:uid="{00000000-0005-0000-0000-0000A05A0000}"/>
    <cellStyle name="SAPBEXtitle 4" xfId="22229" xr:uid="{00000000-0005-0000-0000-0000A15A0000}"/>
    <cellStyle name="SAPBEXtitle 5" xfId="22230" xr:uid="{00000000-0005-0000-0000-0000A25A0000}"/>
    <cellStyle name="SAPBEXtitle 6" xfId="22231" xr:uid="{00000000-0005-0000-0000-0000A35A0000}"/>
    <cellStyle name="SAPBEXundefined" xfId="22232" xr:uid="{00000000-0005-0000-0000-0000A45A0000}"/>
    <cellStyle name="SAPBEXundefined 2" xfId="22233" xr:uid="{00000000-0005-0000-0000-0000A55A0000}"/>
    <cellStyle name="SAPBEXundefined 2 2" xfId="22234" xr:uid="{00000000-0005-0000-0000-0000A65A0000}"/>
    <cellStyle name="SAPBEXundefined 2 2 2" xfId="22235" xr:uid="{00000000-0005-0000-0000-0000A75A0000}"/>
    <cellStyle name="SAPBEXundefined 2 2 3" xfId="22236" xr:uid="{00000000-0005-0000-0000-0000A85A0000}"/>
    <cellStyle name="SAPBEXundefined 2 2 4" xfId="22237" xr:uid="{00000000-0005-0000-0000-0000A95A0000}"/>
    <cellStyle name="SAPBEXundefined 2 2 5" xfId="22238" xr:uid="{00000000-0005-0000-0000-0000AA5A0000}"/>
    <cellStyle name="SAPBEXundefined 2 3" xfId="22239" xr:uid="{00000000-0005-0000-0000-0000AB5A0000}"/>
    <cellStyle name="SAPBEXundefined 2 4" xfId="22240" xr:uid="{00000000-0005-0000-0000-0000AC5A0000}"/>
    <cellStyle name="SAPBEXundefined 2 5" xfId="22241" xr:uid="{00000000-0005-0000-0000-0000AD5A0000}"/>
    <cellStyle name="SAPBEXundefined 2 6" xfId="22242" xr:uid="{00000000-0005-0000-0000-0000AE5A0000}"/>
    <cellStyle name="SAPBEXundefined 3" xfId="22243" xr:uid="{00000000-0005-0000-0000-0000AF5A0000}"/>
    <cellStyle name="SAPBEXundefined 3 2" xfId="22244" xr:uid="{00000000-0005-0000-0000-0000B05A0000}"/>
    <cellStyle name="SAPBEXundefined 3 3" xfId="22245" xr:uid="{00000000-0005-0000-0000-0000B15A0000}"/>
    <cellStyle name="SAPBEXundefined 3 4" xfId="22246" xr:uid="{00000000-0005-0000-0000-0000B25A0000}"/>
    <cellStyle name="SAPBEXundefined 3 5" xfId="22247" xr:uid="{00000000-0005-0000-0000-0000B35A0000}"/>
    <cellStyle name="SAPBEXundefined 4" xfId="22248" xr:uid="{00000000-0005-0000-0000-0000B45A0000}"/>
    <cellStyle name="SAPBEXundefined 5" xfId="22249" xr:uid="{00000000-0005-0000-0000-0000B55A0000}"/>
    <cellStyle name="SAPBEXundefined 6" xfId="22250" xr:uid="{00000000-0005-0000-0000-0000B65A0000}"/>
    <cellStyle name="SAPBEXundefined 7" xfId="22251" xr:uid="{00000000-0005-0000-0000-0000B75A0000}"/>
    <cellStyle name="Satisfaisant" xfId="22252" xr:uid="{00000000-0005-0000-0000-0000B85A0000}"/>
    <cellStyle name="Shaded" xfId="22253" xr:uid="{00000000-0005-0000-0000-0000B95A0000}"/>
    <cellStyle name="Shaded 2" xfId="22254" xr:uid="{00000000-0005-0000-0000-0000BA5A0000}"/>
    <cellStyle name="Shaded 3" xfId="22255" xr:uid="{00000000-0005-0000-0000-0000BB5A0000}"/>
    <cellStyle name="Shaded 4" xfId="22256" xr:uid="{00000000-0005-0000-0000-0000BC5A0000}"/>
    <cellStyle name="Shaded 5" xfId="22257" xr:uid="{00000000-0005-0000-0000-0000BD5A0000}"/>
    <cellStyle name="Sheet Title" xfId="22258" xr:uid="{00000000-0005-0000-0000-0000BE5A0000}"/>
    <cellStyle name="Sheet Title 2" xfId="22259" xr:uid="{00000000-0005-0000-0000-0000BF5A0000}"/>
    <cellStyle name="Sheet Title 3" xfId="22260" xr:uid="{00000000-0005-0000-0000-0000C05A0000}"/>
    <cellStyle name="Sheet Title 4" xfId="22261" xr:uid="{00000000-0005-0000-0000-0000C15A0000}"/>
    <cellStyle name="Sheet Title 5" xfId="22262" xr:uid="{00000000-0005-0000-0000-0000C25A0000}"/>
    <cellStyle name="Short Date" xfId="22263" xr:uid="{00000000-0005-0000-0000-0000C35A0000}"/>
    <cellStyle name="Short Date 2" xfId="22264" xr:uid="{00000000-0005-0000-0000-0000C45A0000}"/>
    <cellStyle name="Short Date 3" xfId="22265" xr:uid="{00000000-0005-0000-0000-0000C55A0000}"/>
    <cellStyle name="Short Date 4" xfId="22266" xr:uid="{00000000-0005-0000-0000-0000C65A0000}"/>
    <cellStyle name="SINGLE UNDERLINE" xfId="22267" xr:uid="{00000000-0005-0000-0000-0000C75A0000}"/>
    <cellStyle name="SINGLE UNDERLINE 2" xfId="22268" xr:uid="{00000000-0005-0000-0000-0000C85A0000}"/>
    <cellStyle name="SINGLE UNDERLINE 3" xfId="22269" xr:uid="{00000000-0005-0000-0000-0000C95A0000}"/>
    <cellStyle name="SINGLE UNDERLINE 4" xfId="22270" xr:uid="{00000000-0005-0000-0000-0000CA5A0000}"/>
    <cellStyle name="Sortie" xfId="22271" xr:uid="{00000000-0005-0000-0000-0000CB5A0000}"/>
    <cellStyle name="Standard_1998" xfId="22272" xr:uid="{00000000-0005-0000-0000-0000CC5A0000}"/>
    <cellStyle name="Style 1" xfId="22273" xr:uid="{00000000-0005-0000-0000-0000CD5A0000}"/>
    <cellStyle name="Style 1 10" xfId="25594" xr:uid="{00000000-0005-0000-0000-0000CE5A0000}"/>
    <cellStyle name="Style 1 2" xfId="22274" xr:uid="{00000000-0005-0000-0000-0000CF5A0000}"/>
    <cellStyle name="Style 1 2 2" xfId="22275" xr:uid="{00000000-0005-0000-0000-0000D05A0000}"/>
    <cellStyle name="Style 1 2 2 2" xfId="25595" xr:uid="{00000000-0005-0000-0000-0000D15A0000}"/>
    <cellStyle name="Style 1 2 2 3" xfId="25596" xr:uid="{00000000-0005-0000-0000-0000D25A0000}"/>
    <cellStyle name="Style 1 2 3" xfId="22276" xr:uid="{00000000-0005-0000-0000-0000D35A0000}"/>
    <cellStyle name="Style 1 2 4" xfId="22277" xr:uid="{00000000-0005-0000-0000-0000D45A0000}"/>
    <cellStyle name="Style 1 2 5" xfId="22278" xr:uid="{00000000-0005-0000-0000-0000D55A0000}"/>
    <cellStyle name="Style 1 2 6" xfId="22279" xr:uid="{00000000-0005-0000-0000-0000D65A0000}"/>
    <cellStyle name="Style 1 2 7" xfId="22280" xr:uid="{00000000-0005-0000-0000-0000D75A0000}"/>
    <cellStyle name="Style 1 2 8" xfId="22281" xr:uid="{00000000-0005-0000-0000-0000D85A0000}"/>
    <cellStyle name="Style 1 3" xfId="22282" xr:uid="{00000000-0005-0000-0000-0000D95A0000}"/>
    <cellStyle name="Style 1 3 2" xfId="22283" xr:uid="{00000000-0005-0000-0000-0000DA5A0000}"/>
    <cellStyle name="Style 1 3 2 2" xfId="25597" xr:uid="{00000000-0005-0000-0000-0000DB5A0000}"/>
    <cellStyle name="Style 1 3 2 3" xfId="25598" xr:uid="{00000000-0005-0000-0000-0000DC5A0000}"/>
    <cellStyle name="Style 1 3 3" xfId="25599" xr:uid="{00000000-0005-0000-0000-0000DD5A0000}"/>
    <cellStyle name="Style 1 3 4" xfId="25600" xr:uid="{00000000-0005-0000-0000-0000DE5A0000}"/>
    <cellStyle name="Style 1 4" xfId="22284" xr:uid="{00000000-0005-0000-0000-0000DF5A0000}"/>
    <cellStyle name="Style 1 4 2" xfId="22285" xr:uid="{00000000-0005-0000-0000-0000E05A0000}"/>
    <cellStyle name="Style 1 4 2 2" xfId="25601" xr:uid="{00000000-0005-0000-0000-0000E15A0000}"/>
    <cellStyle name="Style 1 4 2 3" xfId="25602" xr:uid="{00000000-0005-0000-0000-0000E25A0000}"/>
    <cellStyle name="Style 1 4 3" xfId="22286" xr:uid="{00000000-0005-0000-0000-0000E35A0000}"/>
    <cellStyle name="Style 1 4 4" xfId="22287" xr:uid="{00000000-0005-0000-0000-0000E45A0000}"/>
    <cellStyle name="Style 1 4 5" xfId="22288" xr:uid="{00000000-0005-0000-0000-0000E55A0000}"/>
    <cellStyle name="Style 1 5" xfId="22289" xr:uid="{00000000-0005-0000-0000-0000E65A0000}"/>
    <cellStyle name="Style 1 5 2" xfId="22290" xr:uid="{00000000-0005-0000-0000-0000E75A0000}"/>
    <cellStyle name="Style 1 5 2 2" xfId="25603" xr:uid="{00000000-0005-0000-0000-0000E85A0000}"/>
    <cellStyle name="Style 1 5 2 3" xfId="25604" xr:uid="{00000000-0005-0000-0000-0000E95A0000}"/>
    <cellStyle name="Style 1 5 3" xfId="22291" xr:uid="{00000000-0005-0000-0000-0000EA5A0000}"/>
    <cellStyle name="Style 1 5 4" xfId="22292" xr:uid="{00000000-0005-0000-0000-0000EB5A0000}"/>
    <cellStyle name="Style 1 5 5" xfId="22293" xr:uid="{00000000-0005-0000-0000-0000EC5A0000}"/>
    <cellStyle name="Style 1 6" xfId="22294" xr:uid="{00000000-0005-0000-0000-0000ED5A0000}"/>
    <cellStyle name="Style 1 6 2" xfId="22295" xr:uid="{00000000-0005-0000-0000-0000EE5A0000}"/>
    <cellStyle name="Style 1 6 3" xfId="22296" xr:uid="{00000000-0005-0000-0000-0000EF5A0000}"/>
    <cellStyle name="Style 1 6 4" xfId="22297" xr:uid="{00000000-0005-0000-0000-0000F05A0000}"/>
    <cellStyle name="Style 1 6 5" xfId="22298" xr:uid="{00000000-0005-0000-0000-0000F15A0000}"/>
    <cellStyle name="Style 1 7" xfId="22299" xr:uid="{00000000-0005-0000-0000-0000F25A0000}"/>
    <cellStyle name="Style 1 7 2" xfId="25605" xr:uid="{00000000-0005-0000-0000-0000F35A0000}"/>
    <cellStyle name="Style 1 7 3" xfId="25606" xr:uid="{00000000-0005-0000-0000-0000F45A0000}"/>
    <cellStyle name="Style 1 8" xfId="22300" xr:uid="{00000000-0005-0000-0000-0000F55A0000}"/>
    <cellStyle name="Style 1 8 2" xfId="25607" xr:uid="{00000000-0005-0000-0000-0000F65A0000}"/>
    <cellStyle name="Style 1 9" xfId="25608" xr:uid="{00000000-0005-0000-0000-0000F75A0000}"/>
    <cellStyle name="Style 1_CONCENTRATED QUOTE WLP550" xfId="22301" xr:uid="{00000000-0005-0000-0000-0000F85A0000}"/>
    <cellStyle name="Subhead" xfId="22302" xr:uid="{00000000-0005-0000-0000-0000F95A0000}"/>
    <cellStyle name="Subhead 2" xfId="22303" xr:uid="{00000000-0005-0000-0000-0000FA5A0000}"/>
    <cellStyle name="Subhead 3" xfId="22304" xr:uid="{00000000-0005-0000-0000-0000FB5A0000}"/>
    <cellStyle name="Subhead 4" xfId="22305" xr:uid="{00000000-0005-0000-0000-0000FC5A0000}"/>
    <cellStyle name="Subhead 5" xfId="22306" xr:uid="{00000000-0005-0000-0000-0000FD5A0000}"/>
    <cellStyle name="Subhead 6" xfId="22307" xr:uid="{00000000-0005-0000-0000-0000FE5A0000}"/>
    <cellStyle name="Subtotal" xfId="22308" xr:uid="{00000000-0005-0000-0000-0000FF5A0000}"/>
    <cellStyle name="Subtotal 2" xfId="22309" xr:uid="{00000000-0005-0000-0000-0000005B0000}"/>
    <cellStyle name="Subtotal 3" xfId="22310" xr:uid="{00000000-0005-0000-0000-0000015B0000}"/>
    <cellStyle name="Subtotal 4" xfId="22311" xr:uid="{00000000-0005-0000-0000-0000025B0000}"/>
    <cellStyle name="Subtotal 5" xfId="22312" xr:uid="{00000000-0005-0000-0000-0000035B0000}"/>
    <cellStyle name="Suma" xfId="25609" xr:uid="{00000000-0005-0000-0000-0000045B0000}"/>
    <cellStyle name="Suma 2" xfId="25610" xr:uid="{00000000-0005-0000-0000-0000055B0000}"/>
    <cellStyle name="Suma 3" xfId="25611" xr:uid="{00000000-0005-0000-0000-0000065B0000}"/>
    <cellStyle name="Table Col Head" xfId="22313" xr:uid="{00000000-0005-0000-0000-0000075B0000}"/>
    <cellStyle name="Table Col Head 2" xfId="22314" xr:uid="{00000000-0005-0000-0000-0000085B0000}"/>
    <cellStyle name="Table Col Head 3" xfId="22315" xr:uid="{00000000-0005-0000-0000-0000095B0000}"/>
    <cellStyle name="Table Col Head 4" xfId="22316" xr:uid="{00000000-0005-0000-0000-00000A5B0000}"/>
    <cellStyle name="Table Col Head 5" xfId="22317" xr:uid="{00000000-0005-0000-0000-00000B5B0000}"/>
    <cellStyle name="Table Sub Head" xfId="22318" xr:uid="{00000000-0005-0000-0000-00000C5B0000}"/>
    <cellStyle name="Table Sub Head 2" xfId="22319" xr:uid="{00000000-0005-0000-0000-00000D5B0000}"/>
    <cellStyle name="Table Sub Head 3" xfId="22320" xr:uid="{00000000-0005-0000-0000-00000E5B0000}"/>
    <cellStyle name="Table Sub Head 4" xfId="22321" xr:uid="{00000000-0005-0000-0000-00000F5B0000}"/>
    <cellStyle name="Table Sub Head 5" xfId="22322" xr:uid="{00000000-0005-0000-0000-0000105B0000}"/>
    <cellStyle name="Table Title" xfId="22323" xr:uid="{00000000-0005-0000-0000-0000115B0000}"/>
    <cellStyle name="Table Title 2" xfId="22324" xr:uid="{00000000-0005-0000-0000-0000125B0000}"/>
    <cellStyle name="Table Title 3" xfId="22325" xr:uid="{00000000-0005-0000-0000-0000135B0000}"/>
    <cellStyle name="Table Title 4" xfId="22326" xr:uid="{00000000-0005-0000-0000-0000145B0000}"/>
    <cellStyle name="Table Title 5" xfId="22327" xr:uid="{00000000-0005-0000-0000-0000155B0000}"/>
    <cellStyle name="Table Units" xfId="22328" xr:uid="{00000000-0005-0000-0000-0000165B0000}"/>
    <cellStyle name="Table Units 2" xfId="22329" xr:uid="{00000000-0005-0000-0000-0000175B0000}"/>
    <cellStyle name="Table Units 3" xfId="22330" xr:uid="{00000000-0005-0000-0000-0000185B0000}"/>
    <cellStyle name="Table Units 4" xfId="22331" xr:uid="{00000000-0005-0000-0000-0000195B0000}"/>
    <cellStyle name="Table Units 5" xfId="22332" xr:uid="{00000000-0005-0000-0000-00001A5B0000}"/>
    <cellStyle name="TableSubTitleItalic" xfId="22333" xr:uid="{00000000-0005-0000-0000-00001B5B0000}"/>
    <cellStyle name="TableSubTitleItalic 2" xfId="22334" xr:uid="{00000000-0005-0000-0000-00001C5B0000}"/>
    <cellStyle name="TableSubTitleItalic 3" xfId="22335" xr:uid="{00000000-0005-0000-0000-00001D5B0000}"/>
    <cellStyle name="TableSubTitleItalic 4" xfId="22336" xr:uid="{00000000-0005-0000-0000-00001E5B0000}"/>
    <cellStyle name="TableSubTitleItalic 5" xfId="22337" xr:uid="{00000000-0005-0000-0000-00001F5B0000}"/>
    <cellStyle name="tcn" xfId="22338" xr:uid="{00000000-0005-0000-0000-0000205B0000}"/>
    <cellStyle name="tcn 2" xfId="22339" xr:uid="{00000000-0005-0000-0000-0000215B0000}"/>
    <cellStyle name="tcn 3" xfId="22340" xr:uid="{00000000-0005-0000-0000-0000225B0000}"/>
    <cellStyle name="tcn 4" xfId="22341" xr:uid="{00000000-0005-0000-0000-0000235B0000}"/>
    <cellStyle name="Tekst objaśnienia" xfId="25612" xr:uid="{00000000-0005-0000-0000-0000245B0000}"/>
    <cellStyle name="Tekst objaśnienia 2" xfId="25613" xr:uid="{00000000-0005-0000-0000-0000255B0000}"/>
    <cellStyle name="Tekst objaśnienia 3" xfId="25614" xr:uid="{00000000-0005-0000-0000-0000265B0000}"/>
    <cellStyle name="Tekst ostrzeżenia" xfId="25615" xr:uid="{00000000-0005-0000-0000-0000275B0000}"/>
    <cellStyle name="Tekst ostrzeżenia 2" xfId="25616" xr:uid="{00000000-0005-0000-0000-0000285B0000}"/>
    <cellStyle name="Tekst ostrzeżenia 3" xfId="25617" xr:uid="{00000000-0005-0000-0000-0000295B0000}"/>
    <cellStyle name="Text Indent A" xfId="22342" xr:uid="{00000000-0005-0000-0000-00002A5B0000}"/>
    <cellStyle name="Text Indent A 2" xfId="22343" xr:uid="{00000000-0005-0000-0000-00002B5B0000}"/>
    <cellStyle name="Text Indent A 3" xfId="22344" xr:uid="{00000000-0005-0000-0000-00002C5B0000}"/>
    <cellStyle name="Text Indent A 4" xfId="22345" xr:uid="{00000000-0005-0000-0000-00002D5B0000}"/>
    <cellStyle name="Text Indent B" xfId="22346" xr:uid="{00000000-0005-0000-0000-00002E5B0000}"/>
    <cellStyle name="Text Indent B 2" xfId="22347" xr:uid="{00000000-0005-0000-0000-00002F5B0000}"/>
    <cellStyle name="Text Indent B 3" xfId="22348" xr:uid="{00000000-0005-0000-0000-0000305B0000}"/>
    <cellStyle name="Text Indent B 4" xfId="22349" xr:uid="{00000000-0005-0000-0000-0000315B0000}"/>
    <cellStyle name="Text Indent C" xfId="22350" xr:uid="{00000000-0005-0000-0000-0000325B0000}"/>
    <cellStyle name="Text Indent C 2" xfId="22351" xr:uid="{00000000-0005-0000-0000-0000335B0000}"/>
    <cellStyle name="Text Indent C 3" xfId="22352" xr:uid="{00000000-0005-0000-0000-0000345B0000}"/>
    <cellStyle name="Text Indent C 4" xfId="22353" xr:uid="{00000000-0005-0000-0000-0000355B0000}"/>
    <cellStyle name="Texte explicatif" xfId="22354" xr:uid="{00000000-0005-0000-0000-0000365B0000}"/>
    <cellStyle name="Texto de advertencia" xfId="22355" xr:uid="{00000000-0005-0000-0000-0000375B0000}"/>
    <cellStyle name="Texto de advertencia 2" xfId="22356" xr:uid="{00000000-0005-0000-0000-0000385B0000}"/>
    <cellStyle name="Texto de advertencia 2 2" xfId="22357" xr:uid="{00000000-0005-0000-0000-0000395B0000}"/>
    <cellStyle name="Texto de advertencia 2 3" xfId="22358" xr:uid="{00000000-0005-0000-0000-00003A5B0000}"/>
    <cellStyle name="Texto de advertencia 2 4" xfId="22359" xr:uid="{00000000-0005-0000-0000-00003B5B0000}"/>
    <cellStyle name="Texto de advertencia 3" xfId="22360" xr:uid="{00000000-0005-0000-0000-00003C5B0000}"/>
    <cellStyle name="Texto de advertencia 4" xfId="22361" xr:uid="{00000000-0005-0000-0000-00003D5B0000}"/>
    <cellStyle name="Texto de advertencia 5" xfId="22362" xr:uid="{00000000-0005-0000-0000-00003E5B0000}"/>
    <cellStyle name="Texto de advertencia 6" xfId="22363" xr:uid="{00000000-0005-0000-0000-00003F5B0000}"/>
    <cellStyle name="Texto explicativo" xfId="22364" xr:uid="{00000000-0005-0000-0000-0000405B0000}"/>
    <cellStyle name="Texto explicativo 2" xfId="22365" xr:uid="{00000000-0005-0000-0000-0000415B0000}"/>
    <cellStyle name="Texto explicativo 2 2" xfId="22366" xr:uid="{00000000-0005-0000-0000-0000425B0000}"/>
    <cellStyle name="Texto explicativo 2 3" xfId="22367" xr:uid="{00000000-0005-0000-0000-0000435B0000}"/>
    <cellStyle name="Texto explicativo 2 4" xfId="22368" xr:uid="{00000000-0005-0000-0000-0000445B0000}"/>
    <cellStyle name="Texto explicativo 3" xfId="22369" xr:uid="{00000000-0005-0000-0000-0000455B0000}"/>
    <cellStyle name="Texto explicativo 4" xfId="22370" xr:uid="{00000000-0005-0000-0000-0000465B0000}"/>
    <cellStyle name="Texto explicativo 5" xfId="22371" xr:uid="{00000000-0005-0000-0000-0000475B0000}"/>
    <cellStyle name="Texto explicativo 6" xfId="22372" xr:uid="{00000000-0005-0000-0000-0000485B0000}"/>
    <cellStyle name="Times New Roman" xfId="22373" xr:uid="{00000000-0005-0000-0000-0000495B0000}"/>
    <cellStyle name="Times New Roman 2" xfId="22374" xr:uid="{00000000-0005-0000-0000-00004A5B0000}"/>
    <cellStyle name="Times New Roman 3" xfId="22375" xr:uid="{00000000-0005-0000-0000-00004B5B0000}"/>
    <cellStyle name="Times New Roman 4" xfId="22376" xr:uid="{00000000-0005-0000-0000-00004C5B0000}"/>
    <cellStyle name="Title - PROJECT" xfId="22377" xr:uid="{00000000-0005-0000-0000-00004D5B0000}"/>
    <cellStyle name="Title - PROJECT 2" xfId="22378" xr:uid="{00000000-0005-0000-0000-00004E5B0000}"/>
    <cellStyle name="Title - PROJECT 3" xfId="22379" xr:uid="{00000000-0005-0000-0000-00004F5B0000}"/>
    <cellStyle name="Title - PROJECT 4" xfId="22380" xr:uid="{00000000-0005-0000-0000-0000505B0000}"/>
    <cellStyle name="Title - PROJECT 5" xfId="22381" xr:uid="{00000000-0005-0000-0000-0000515B0000}"/>
    <cellStyle name="Title - Underline" xfId="22382" xr:uid="{00000000-0005-0000-0000-0000525B0000}"/>
    <cellStyle name="Title - Underline 2" xfId="22383" xr:uid="{00000000-0005-0000-0000-0000535B0000}"/>
    <cellStyle name="Title - Underline 3" xfId="22384" xr:uid="{00000000-0005-0000-0000-0000545B0000}"/>
    <cellStyle name="Title - Underline 4" xfId="22385" xr:uid="{00000000-0005-0000-0000-0000555B0000}"/>
    <cellStyle name="Title - Underline 5" xfId="22386" xr:uid="{00000000-0005-0000-0000-0000565B0000}"/>
    <cellStyle name="Title 10" xfId="22387" xr:uid="{00000000-0005-0000-0000-0000575B0000}"/>
    <cellStyle name="Title 10 2" xfId="22388" xr:uid="{00000000-0005-0000-0000-0000585B0000}"/>
    <cellStyle name="Title 10 3" xfId="22389" xr:uid="{00000000-0005-0000-0000-0000595B0000}"/>
    <cellStyle name="Title 10 4" xfId="22390" xr:uid="{00000000-0005-0000-0000-00005A5B0000}"/>
    <cellStyle name="Title 11" xfId="22391" xr:uid="{00000000-0005-0000-0000-00005B5B0000}"/>
    <cellStyle name="Title 11 2" xfId="22392" xr:uid="{00000000-0005-0000-0000-00005C5B0000}"/>
    <cellStyle name="Title 11 3" xfId="22393" xr:uid="{00000000-0005-0000-0000-00005D5B0000}"/>
    <cellStyle name="Title 11 4" xfId="22394" xr:uid="{00000000-0005-0000-0000-00005E5B0000}"/>
    <cellStyle name="Title 12" xfId="22395" xr:uid="{00000000-0005-0000-0000-00005F5B0000}"/>
    <cellStyle name="Title 12 2" xfId="22396" xr:uid="{00000000-0005-0000-0000-0000605B0000}"/>
    <cellStyle name="Title 12 3" xfId="22397" xr:uid="{00000000-0005-0000-0000-0000615B0000}"/>
    <cellStyle name="Title 12 4" xfId="22398" xr:uid="{00000000-0005-0000-0000-0000625B0000}"/>
    <cellStyle name="Title 13" xfId="22399" xr:uid="{00000000-0005-0000-0000-0000635B0000}"/>
    <cellStyle name="Title 13 2" xfId="22400" xr:uid="{00000000-0005-0000-0000-0000645B0000}"/>
    <cellStyle name="Title 13 3" xfId="22401" xr:uid="{00000000-0005-0000-0000-0000655B0000}"/>
    <cellStyle name="Title 13 4" xfId="22402" xr:uid="{00000000-0005-0000-0000-0000665B0000}"/>
    <cellStyle name="Title 14" xfId="22403" xr:uid="{00000000-0005-0000-0000-0000675B0000}"/>
    <cellStyle name="Title 14 2" xfId="22404" xr:uid="{00000000-0005-0000-0000-0000685B0000}"/>
    <cellStyle name="Title 14 3" xfId="22405" xr:uid="{00000000-0005-0000-0000-0000695B0000}"/>
    <cellStyle name="Title 14 4" xfId="22406" xr:uid="{00000000-0005-0000-0000-00006A5B0000}"/>
    <cellStyle name="Title 15" xfId="22407" xr:uid="{00000000-0005-0000-0000-00006B5B0000}"/>
    <cellStyle name="Title 15 2" xfId="22408" xr:uid="{00000000-0005-0000-0000-00006C5B0000}"/>
    <cellStyle name="Title 15 3" xfId="22409" xr:uid="{00000000-0005-0000-0000-00006D5B0000}"/>
    <cellStyle name="Title 15 4" xfId="22410" xr:uid="{00000000-0005-0000-0000-00006E5B0000}"/>
    <cellStyle name="Title 16" xfId="22411" xr:uid="{00000000-0005-0000-0000-00006F5B0000}"/>
    <cellStyle name="Title 16 2" xfId="22412" xr:uid="{00000000-0005-0000-0000-0000705B0000}"/>
    <cellStyle name="Title 16 3" xfId="22413" xr:uid="{00000000-0005-0000-0000-0000715B0000}"/>
    <cellStyle name="Title 16 4" xfId="22414" xr:uid="{00000000-0005-0000-0000-0000725B0000}"/>
    <cellStyle name="Title 17" xfId="22415" xr:uid="{00000000-0005-0000-0000-0000735B0000}"/>
    <cellStyle name="Title 17 2" xfId="22416" xr:uid="{00000000-0005-0000-0000-0000745B0000}"/>
    <cellStyle name="Title 17 3" xfId="22417" xr:uid="{00000000-0005-0000-0000-0000755B0000}"/>
    <cellStyle name="Title 17 4" xfId="22418" xr:uid="{00000000-0005-0000-0000-0000765B0000}"/>
    <cellStyle name="Title 18" xfId="22419" xr:uid="{00000000-0005-0000-0000-0000775B0000}"/>
    <cellStyle name="Title 18 2" xfId="22420" xr:uid="{00000000-0005-0000-0000-0000785B0000}"/>
    <cellStyle name="Title 18 3" xfId="22421" xr:uid="{00000000-0005-0000-0000-0000795B0000}"/>
    <cellStyle name="Title 18 4" xfId="22422" xr:uid="{00000000-0005-0000-0000-00007A5B0000}"/>
    <cellStyle name="Title 19" xfId="22423" xr:uid="{00000000-0005-0000-0000-00007B5B0000}"/>
    <cellStyle name="Title 19 2" xfId="22424" xr:uid="{00000000-0005-0000-0000-00007C5B0000}"/>
    <cellStyle name="Title 19 3" xfId="22425" xr:uid="{00000000-0005-0000-0000-00007D5B0000}"/>
    <cellStyle name="Title 19 4" xfId="22426" xr:uid="{00000000-0005-0000-0000-00007E5B0000}"/>
    <cellStyle name="Title 2" xfId="22427" xr:uid="{00000000-0005-0000-0000-00007F5B0000}"/>
    <cellStyle name="Title 2 2" xfId="22428" xr:uid="{00000000-0005-0000-0000-0000805B0000}"/>
    <cellStyle name="Title 2 2 2" xfId="22429" xr:uid="{00000000-0005-0000-0000-0000815B0000}"/>
    <cellStyle name="Title 2 2 3" xfId="22430" xr:uid="{00000000-0005-0000-0000-0000825B0000}"/>
    <cellStyle name="Title 2 2 4" xfId="22431" xr:uid="{00000000-0005-0000-0000-0000835B0000}"/>
    <cellStyle name="Title 2 3" xfId="22432" xr:uid="{00000000-0005-0000-0000-0000845B0000}"/>
    <cellStyle name="Title 2 3 2" xfId="22433" xr:uid="{00000000-0005-0000-0000-0000855B0000}"/>
    <cellStyle name="Title 2 3 3" xfId="22434" xr:uid="{00000000-0005-0000-0000-0000865B0000}"/>
    <cellStyle name="Title 2 3 4" xfId="22435" xr:uid="{00000000-0005-0000-0000-0000875B0000}"/>
    <cellStyle name="Title 2 4" xfId="22436" xr:uid="{00000000-0005-0000-0000-0000885B0000}"/>
    <cellStyle name="Title 2 4 2" xfId="22437" xr:uid="{00000000-0005-0000-0000-0000895B0000}"/>
    <cellStyle name="Title 2 4 3" xfId="22438" xr:uid="{00000000-0005-0000-0000-00008A5B0000}"/>
    <cellStyle name="Title 2 4 4" xfId="22439" xr:uid="{00000000-0005-0000-0000-00008B5B0000}"/>
    <cellStyle name="Title 2 5" xfId="22440" xr:uid="{00000000-0005-0000-0000-00008C5B0000}"/>
    <cellStyle name="Title 2 6" xfId="22441" xr:uid="{00000000-0005-0000-0000-00008D5B0000}"/>
    <cellStyle name="Title 2 7" xfId="22442" xr:uid="{00000000-0005-0000-0000-00008E5B0000}"/>
    <cellStyle name="Title 2 8" xfId="22443" xr:uid="{00000000-0005-0000-0000-00008F5B0000}"/>
    <cellStyle name="Title 20" xfId="22444" xr:uid="{00000000-0005-0000-0000-0000905B0000}"/>
    <cellStyle name="Title 20 2" xfId="22445" xr:uid="{00000000-0005-0000-0000-0000915B0000}"/>
    <cellStyle name="Title 20 3" xfId="22446" xr:uid="{00000000-0005-0000-0000-0000925B0000}"/>
    <cellStyle name="Title 20 4" xfId="22447" xr:uid="{00000000-0005-0000-0000-0000935B0000}"/>
    <cellStyle name="Title 20 5" xfId="22448" xr:uid="{00000000-0005-0000-0000-0000945B0000}"/>
    <cellStyle name="Title 21" xfId="22449" xr:uid="{00000000-0005-0000-0000-0000955B0000}"/>
    <cellStyle name="Title 21 2" xfId="22450" xr:uid="{00000000-0005-0000-0000-0000965B0000}"/>
    <cellStyle name="Title 21 3" xfId="22451" xr:uid="{00000000-0005-0000-0000-0000975B0000}"/>
    <cellStyle name="Title 21 4" xfId="22452" xr:uid="{00000000-0005-0000-0000-0000985B0000}"/>
    <cellStyle name="Title 21 5" xfId="22453" xr:uid="{00000000-0005-0000-0000-0000995B0000}"/>
    <cellStyle name="Title 22" xfId="22454" xr:uid="{00000000-0005-0000-0000-00009A5B0000}"/>
    <cellStyle name="Title 22 2" xfId="22455" xr:uid="{00000000-0005-0000-0000-00009B5B0000}"/>
    <cellStyle name="Title 22 3" xfId="22456" xr:uid="{00000000-0005-0000-0000-00009C5B0000}"/>
    <cellStyle name="Title 22 4" xfId="22457" xr:uid="{00000000-0005-0000-0000-00009D5B0000}"/>
    <cellStyle name="Title 22 5" xfId="22458" xr:uid="{00000000-0005-0000-0000-00009E5B0000}"/>
    <cellStyle name="Title 23" xfId="22459" xr:uid="{00000000-0005-0000-0000-00009F5B0000}"/>
    <cellStyle name="Title 23 2" xfId="22460" xr:uid="{00000000-0005-0000-0000-0000A05B0000}"/>
    <cellStyle name="Title 23 3" xfId="22461" xr:uid="{00000000-0005-0000-0000-0000A15B0000}"/>
    <cellStyle name="Title 23 4" xfId="22462" xr:uid="{00000000-0005-0000-0000-0000A25B0000}"/>
    <cellStyle name="Title 23 5" xfId="22463" xr:uid="{00000000-0005-0000-0000-0000A35B0000}"/>
    <cellStyle name="Title 24" xfId="22464" xr:uid="{00000000-0005-0000-0000-0000A45B0000}"/>
    <cellStyle name="Title 24 2" xfId="22465" xr:uid="{00000000-0005-0000-0000-0000A55B0000}"/>
    <cellStyle name="Title 24 3" xfId="22466" xr:uid="{00000000-0005-0000-0000-0000A65B0000}"/>
    <cellStyle name="Title 24 4" xfId="22467" xr:uid="{00000000-0005-0000-0000-0000A75B0000}"/>
    <cellStyle name="Title 24 5" xfId="22468" xr:uid="{00000000-0005-0000-0000-0000A85B0000}"/>
    <cellStyle name="Title 25" xfId="22469" xr:uid="{00000000-0005-0000-0000-0000A95B0000}"/>
    <cellStyle name="Title 25 2" xfId="22470" xr:uid="{00000000-0005-0000-0000-0000AA5B0000}"/>
    <cellStyle name="Title 25 3" xfId="22471" xr:uid="{00000000-0005-0000-0000-0000AB5B0000}"/>
    <cellStyle name="Title 25 4" xfId="22472" xr:uid="{00000000-0005-0000-0000-0000AC5B0000}"/>
    <cellStyle name="Title 25 5" xfId="22473" xr:uid="{00000000-0005-0000-0000-0000AD5B0000}"/>
    <cellStyle name="Title 26" xfId="22474" xr:uid="{00000000-0005-0000-0000-0000AE5B0000}"/>
    <cellStyle name="Title 26 2" xfId="22475" xr:uid="{00000000-0005-0000-0000-0000AF5B0000}"/>
    <cellStyle name="Title 26 3" xfId="22476" xr:uid="{00000000-0005-0000-0000-0000B05B0000}"/>
    <cellStyle name="Title 26 4" xfId="22477" xr:uid="{00000000-0005-0000-0000-0000B15B0000}"/>
    <cellStyle name="Title 26 5" xfId="22478" xr:uid="{00000000-0005-0000-0000-0000B25B0000}"/>
    <cellStyle name="Title 27" xfId="22479" xr:uid="{00000000-0005-0000-0000-0000B35B0000}"/>
    <cellStyle name="Title 27 2" xfId="22480" xr:uid="{00000000-0005-0000-0000-0000B45B0000}"/>
    <cellStyle name="Title 27 3" xfId="22481" xr:uid="{00000000-0005-0000-0000-0000B55B0000}"/>
    <cellStyle name="Title 27 4" xfId="22482" xr:uid="{00000000-0005-0000-0000-0000B65B0000}"/>
    <cellStyle name="Title 27 5" xfId="22483" xr:uid="{00000000-0005-0000-0000-0000B75B0000}"/>
    <cellStyle name="Title 28" xfId="22484" xr:uid="{00000000-0005-0000-0000-0000B85B0000}"/>
    <cellStyle name="Title 28 2" xfId="22485" xr:uid="{00000000-0005-0000-0000-0000B95B0000}"/>
    <cellStyle name="Title 28 3" xfId="22486" xr:uid="{00000000-0005-0000-0000-0000BA5B0000}"/>
    <cellStyle name="Title 28 4" xfId="22487" xr:uid="{00000000-0005-0000-0000-0000BB5B0000}"/>
    <cellStyle name="Title 29" xfId="22488" xr:uid="{00000000-0005-0000-0000-0000BC5B0000}"/>
    <cellStyle name="Title 29 2" xfId="22489" xr:uid="{00000000-0005-0000-0000-0000BD5B0000}"/>
    <cellStyle name="Title 29 3" xfId="22490" xr:uid="{00000000-0005-0000-0000-0000BE5B0000}"/>
    <cellStyle name="Title 29 4" xfId="22491" xr:uid="{00000000-0005-0000-0000-0000BF5B0000}"/>
    <cellStyle name="Title 3" xfId="22492" xr:uid="{00000000-0005-0000-0000-0000C05B0000}"/>
    <cellStyle name="Title 3 2" xfId="22493" xr:uid="{00000000-0005-0000-0000-0000C15B0000}"/>
    <cellStyle name="Title 3 2 2" xfId="22494" xr:uid="{00000000-0005-0000-0000-0000C25B0000}"/>
    <cellStyle name="Title 3 2 3" xfId="22495" xr:uid="{00000000-0005-0000-0000-0000C35B0000}"/>
    <cellStyle name="Title 3 2 4" xfId="22496" xr:uid="{00000000-0005-0000-0000-0000C45B0000}"/>
    <cellStyle name="Title 3 3" xfId="22497" xr:uid="{00000000-0005-0000-0000-0000C55B0000}"/>
    <cellStyle name="Title 3 3 2" xfId="22498" xr:uid="{00000000-0005-0000-0000-0000C65B0000}"/>
    <cellStyle name="Title 3 3 3" xfId="22499" xr:uid="{00000000-0005-0000-0000-0000C75B0000}"/>
    <cellStyle name="Title 3 3 4" xfId="22500" xr:uid="{00000000-0005-0000-0000-0000C85B0000}"/>
    <cellStyle name="Title 3 4" xfId="22501" xr:uid="{00000000-0005-0000-0000-0000C95B0000}"/>
    <cellStyle name="Title 3 4 2" xfId="22502" xr:uid="{00000000-0005-0000-0000-0000CA5B0000}"/>
    <cellStyle name="Title 3 4 3" xfId="22503" xr:uid="{00000000-0005-0000-0000-0000CB5B0000}"/>
    <cellStyle name="Title 3 4 4" xfId="22504" xr:uid="{00000000-0005-0000-0000-0000CC5B0000}"/>
    <cellStyle name="Title 3 5" xfId="22505" xr:uid="{00000000-0005-0000-0000-0000CD5B0000}"/>
    <cellStyle name="Title 3 6" xfId="22506" xr:uid="{00000000-0005-0000-0000-0000CE5B0000}"/>
    <cellStyle name="Title 3 7" xfId="22507" xr:uid="{00000000-0005-0000-0000-0000CF5B0000}"/>
    <cellStyle name="Title 3 8" xfId="22508" xr:uid="{00000000-0005-0000-0000-0000D05B0000}"/>
    <cellStyle name="Title 30" xfId="22509" xr:uid="{00000000-0005-0000-0000-0000D15B0000}"/>
    <cellStyle name="Title 31" xfId="22510" xr:uid="{00000000-0005-0000-0000-0000D25B0000}"/>
    <cellStyle name="Title 32" xfId="22511" xr:uid="{00000000-0005-0000-0000-0000D35B0000}"/>
    <cellStyle name="Title 33" xfId="22512" xr:uid="{00000000-0005-0000-0000-0000D45B0000}"/>
    <cellStyle name="Title 34" xfId="22513" xr:uid="{00000000-0005-0000-0000-0000D55B0000}"/>
    <cellStyle name="Title 35" xfId="22514" xr:uid="{00000000-0005-0000-0000-0000D65B0000}"/>
    <cellStyle name="Title 36" xfId="22515" xr:uid="{00000000-0005-0000-0000-0000D75B0000}"/>
    <cellStyle name="Title 37" xfId="22516" xr:uid="{00000000-0005-0000-0000-0000D85B0000}"/>
    <cellStyle name="Title 38" xfId="22517" xr:uid="{00000000-0005-0000-0000-0000D95B0000}"/>
    <cellStyle name="Title 39" xfId="22518" xr:uid="{00000000-0005-0000-0000-0000DA5B0000}"/>
    <cellStyle name="Title 4" xfId="22519" xr:uid="{00000000-0005-0000-0000-0000DB5B0000}"/>
    <cellStyle name="Title 4 2" xfId="22520" xr:uid="{00000000-0005-0000-0000-0000DC5B0000}"/>
    <cellStyle name="Title 4 3" xfId="22521" xr:uid="{00000000-0005-0000-0000-0000DD5B0000}"/>
    <cellStyle name="Title 4 4" xfId="22522" xr:uid="{00000000-0005-0000-0000-0000DE5B0000}"/>
    <cellStyle name="Title 4 5" xfId="22523" xr:uid="{00000000-0005-0000-0000-0000DF5B0000}"/>
    <cellStyle name="Title 4 6" xfId="22524" xr:uid="{00000000-0005-0000-0000-0000E05B0000}"/>
    <cellStyle name="Title 5" xfId="22525" xr:uid="{00000000-0005-0000-0000-0000E15B0000}"/>
    <cellStyle name="Title 5 2" xfId="22526" xr:uid="{00000000-0005-0000-0000-0000E25B0000}"/>
    <cellStyle name="Title 5 3" xfId="22527" xr:uid="{00000000-0005-0000-0000-0000E35B0000}"/>
    <cellStyle name="Title 5 4" xfId="22528" xr:uid="{00000000-0005-0000-0000-0000E45B0000}"/>
    <cellStyle name="Title 5 5" xfId="22529" xr:uid="{00000000-0005-0000-0000-0000E55B0000}"/>
    <cellStyle name="Title 5 6" xfId="22530" xr:uid="{00000000-0005-0000-0000-0000E65B0000}"/>
    <cellStyle name="Title 6" xfId="22531" xr:uid="{00000000-0005-0000-0000-0000E75B0000}"/>
    <cellStyle name="Title 6 2" xfId="22532" xr:uid="{00000000-0005-0000-0000-0000E85B0000}"/>
    <cellStyle name="Title 6 3" xfId="22533" xr:uid="{00000000-0005-0000-0000-0000E95B0000}"/>
    <cellStyle name="Title 6 4" xfId="22534" xr:uid="{00000000-0005-0000-0000-0000EA5B0000}"/>
    <cellStyle name="Title 6 5" xfId="22535" xr:uid="{00000000-0005-0000-0000-0000EB5B0000}"/>
    <cellStyle name="Title 6 6" xfId="22536" xr:uid="{00000000-0005-0000-0000-0000EC5B0000}"/>
    <cellStyle name="Title 7" xfId="22537" xr:uid="{00000000-0005-0000-0000-0000ED5B0000}"/>
    <cellStyle name="Title 7 2" xfId="22538" xr:uid="{00000000-0005-0000-0000-0000EE5B0000}"/>
    <cellStyle name="Title 7 3" xfId="22539" xr:uid="{00000000-0005-0000-0000-0000EF5B0000}"/>
    <cellStyle name="Title 7 4" xfId="22540" xr:uid="{00000000-0005-0000-0000-0000F05B0000}"/>
    <cellStyle name="Title 7 5" xfId="22541" xr:uid="{00000000-0005-0000-0000-0000F15B0000}"/>
    <cellStyle name="Title 7 6" xfId="22542" xr:uid="{00000000-0005-0000-0000-0000F25B0000}"/>
    <cellStyle name="Title 8" xfId="22543" xr:uid="{00000000-0005-0000-0000-0000F35B0000}"/>
    <cellStyle name="Title 8 2" xfId="22544" xr:uid="{00000000-0005-0000-0000-0000F45B0000}"/>
    <cellStyle name="Title 8 3" xfId="22545" xr:uid="{00000000-0005-0000-0000-0000F55B0000}"/>
    <cellStyle name="Title 8 4" xfId="22546" xr:uid="{00000000-0005-0000-0000-0000F65B0000}"/>
    <cellStyle name="Title 8 5" xfId="22547" xr:uid="{00000000-0005-0000-0000-0000F75B0000}"/>
    <cellStyle name="Title 8 6" xfId="22548" xr:uid="{00000000-0005-0000-0000-0000F85B0000}"/>
    <cellStyle name="Title 9" xfId="22549" xr:uid="{00000000-0005-0000-0000-0000F95B0000}"/>
    <cellStyle name="Title 9 2" xfId="22550" xr:uid="{00000000-0005-0000-0000-0000FA5B0000}"/>
    <cellStyle name="Title 9 3" xfId="22551" xr:uid="{00000000-0005-0000-0000-0000FB5B0000}"/>
    <cellStyle name="Title 9 4" xfId="22552" xr:uid="{00000000-0005-0000-0000-0000FC5B0000}"/>
    <cellStyle name="title1" xfId="22553" xr:uid="{00000000-0005-0000-0000-0000FD5B0000}"/>
    <cellStyle name="title1 2" xfId="22554" xr:uid="{00000000-0005-0000-0000-0000FE5B0000}"/>
    <cellStyle name="title1 3" xfId="22555" xr:uid="{00000000-0005-0000-0000-0000FF5B0000}"/>
    <cellStyle name="title1 4" xfId="22556" xr:uid="{00000000-0005-0000-0000-0000005C0000}"/>
    <cellStyle name="title2" xfId="22557" xr:uid="{00000000-0005-0000-0000-0000015C0000}"/>
    <cellStyle name="title2 2" xfId="22558" xr:uid="{00000000-0005-0000-0000-0000025C0000}"/>
    <cellStyle name="title2 3" xfId="22559" xr:uid="{00000000-0005-0000-0000-0000035C0000}"/>
    <cellStyle name="title2 4" xfId="22560" xr:uid="{00000000-0005-0000-0000-0000045C0000}"/>
    <cellStyle name="title2 5" xfId="22561" xr:uid="{00000000-0005-0000-0000-0000055C0000}"/>
    <cellStyle name="TitleCenter" xfId="22562" xr:uid="{00000000-0005-0000-0000-0000065C0000}"/>
    <cellStyle name="TitleCenter 2" xfId="22563" xr:uid="{00000000-0005-0000-0000-0000075C0000}"/>
    <cellStyle name="TitleCenter 3" xfId="22564" xr:uid="{00000000-0005-0000-0000-0000085C0000}"/>
    <cellStyle name="TitleCenter 4" xfId="22565" xr:uid="{00000000-0005-0000-0000-0000095C0000}"/>
    <cellStyle name="Titles" xfId="22566" xr:uid="{00000000-0005-0000-0000-00000A5C0000}"/>
    <cellStyle name="Titles - Col. Headings" xfId="22567" xr:uid="{00000000-0005-0000-0000-00000B5C0000}"/>
    <cellStyle name="Titles - Col. Headings 2" xfId="22568" xr:uid="{00000000-0005-0000-0000-00000C5C0000}"/>
    <cellStyle name="Titles - Col. Headings 3" xfId="22569" xr:uid="{00000000-0005-0000-0000-00000D5C0000}"/>
    <cellStyle name="Titles - Col. Headings 4" xfId="22570" xr:uid="{00000000-0005-0000-0000-00000E5C0000}"/>
    <cellStyle name="Titles - Col. Headings 5" xfId="22571" xr:uid="{00000000-0005-0000-0000-00000F5C0000}"/>
    <cellStyle name="Titles - Other" xfId="22572" xr:uid="{00000000-0005-0000-0000-0000105C0000}"/>
    <cellStyle name="Titles - Other 2" xfId="22573" xr:uid="{00000000-0005-0000-0000-0000115C0000}"/>
    <cellStyle name="Titles - Other 3" xfId="22574" xr:uid="{00000000-0005-0000-0000-0000125C0000}"/>
    <cellStyle name="Titles - Other 4" xfId="22575" xr:uid="{00000000-0005-0000-0000-0000135C0000}"/>
    <cellStyle name="Titles - Other 5" xfId="22576" xr:uid="{00000000-0005-0000-0000-0000145C0000}"/>
    <cellStyle name="Titles 10" xfId="22577" xr:uid="{00000000-0005-0000-0000-0000155C0000}"/>
    <cellStyle name="Titles 11" xfId="22578" xr:uid="{00000000-0005-0000-0000-0000165C0000}"/>
    <cellStyle name="Titles 12" xfId="22579" xr:uid="{00000000-0005-0000-0000-0000175C0000}"/>
    <cellStyle name="Titles 2" xfId="22580" xr:uid="{00000000-0005-0000-0000-0000185C0000}"/>
    <cellStyle name="Titles 3" xfId="22581" xr:uid="{00000000-0005-0000-0000-0000195C0000}"/>
    <cellStyle name="Titles 4" xfId="22582" xr:uid="{00000000-0005-0000-0000-00001A5C0000}"/>
    <cellStyle name="Titles 5" xfId="22583" xr:uid="{00000000-0005-0000-0000-00001B5C0000}"/>
    <cellStyle name="Titles 6" xfId="22584" xr:uid="{00000000-0005-0000-0000-00001C5C0000}"/>
    <cellStyle name="Titles 7" xfId="22585" xr:uid="{00000000-0005-0000-0000-00001D5C0000}"/>
    <cellStyle name="Titles 8" xfId="22586" xr:uid="{00000000-0005-0000-0000-00001E5C0000}"/>
    <cellStyle name="Titles 9" xfId="22587" xr:uid="{00000000-0005-0000-0000-00001F5C0000}"/>
    <cellStyle name="Titles_090115 Red  Green Flags Dic 2k8" xfId="22588" xr:uid="{00000000-0005-0000-0000-0000205C0000}"/>
    <cellStyle name="Titre" xfId="22589" xr:uid="{00000000-0005-0000-0000-0000215C0000}"/>
    <cellStyle name="Titre 1" xfId="22590" xr:uid="{00000000-0005-0000-0000-0000225C0000}"/>
    <cellStyle name="Titre 2" xfId="22591" xr:uid="{00000000-0005-0000-0000-0000235C0000}"/>
    <cellStyle name="Titre 3" xfId="22592" xr:uid="{00000000-0005-0000-0000-0000245C0000}"/>
    <cellStyle name="Titre 4" xfId="22593" xr:uid="{00000000-0005-0000-0000-0000255C0000}"/>
    <cellStyle name="Título" xfId="22594" xr:uid="{00000000-0005-0000-0000-0000265C0000}"/>
    <cellStyle name="Título 1" xfId="22595" xr:uid="{00000000-0005-0000-0000-0000275C0000}"/>
    <cellStyle name="Título 1 2" xfId="22596" xr:uid="{00000000-0005-0000-0000-0000285C0000}"/>
    <cellStyle name="Título 1 2 2" xfId="22597" xr:uid="{00000000-0005-0000-0000-0000295C0000}"/>
    <cellStyle name="Título 1 2 3" xfId="22598" xr:uid="{00000000-0005-0000-0000-00002A5C0000}"/>
    <cellStyle name="Título 1 2 4" xfId="22599" xr:uid="{00000000-0005-0000-0000-00002B5C0000}"/>
    <cellStyle name="Título 1 3" xfId="22600" xr:uid="{00000000-0005-0000-0000-00002C5C0000}"/>
    <cellStyle name="Título 1 4" xfId="22601" xr:uid="{00000000-0005-0000-0000-00002D5C0000}"/>
    <cellStyle name="Título 1 5" xfId="22602" xr:uid="{00000000-0005-0000-0000-00002E5C0000}"/>
    <cellStyle name="Título 1 6" xfId="22603" xr:uid="{00000000-0005-0000-0000-00002F5C0000}"/>
    <cellStyle name="Título 2" xfId="22604" xr:uid="{00000000-0005-0000-0000-0000305C0000}"/>
    <cellStyle name="Título 2 2" xfId="22605" xr:uid="{00000000-0005-0000-0000-0000315C0000}"/>
    <cellStyle name="Título 2 2 2" xfId="22606" xr:uid="{00000000-0005-0000-0000-0000325C0000}"/>
    <cellStyle name="Título 2 2 3" xfId="22607" xr:uid="{00000000-0005-0000-0000-0000335C0000}"/>
    <cellStyle name="Título 2 2 4" xfId="22608" xr:uid="{00000000-0005-0000-0000-0000345C0000}"/>
    <cellStyle name="Título 2 3" xfId="22609" xr:uid="{00000000-0005-0000-0000-0000355C0000}"/>
    <cellStyle name="Título 2 4" xfId="22610" xr:uid="{00000000-0005-0000-0000-0000365C0000}"/>
    <cellStyle name="Título 2 5" xfId="22611" xr:uid="{00000000-0005-0000-0000-0000375C0000}"/>
    <cellStyle name="Título 2 6" xfId="22612" xr:uid="{00000000-0005-0000-0000-0000385C0000}"/>
    <cellStyle name="Título 3" xfId="22613" xr:uid="{00000000-0005-0000-0000-0000395C0000}"/>
    <cellStyle name="Título 3 2" xfId="22614" xr:uid="{00000000-0005-0000-0000-00003A5C0000}"/>
    <cellStyle name="Título 3 2 2" xfId="22615" xr:uid="{00000000-0005-0000-0000-00003B5C0000}"/>
    <cellStyle name="Título 3 2 3" xfId="22616" xr:uid="{00000000-0005-0000-0000-00003C5C0000}"/>
    <cellStyle name="Título 3 2 4" xfId="22617" xr:uid="{00000000-0005-0000-0000-00003D5C0000}"/>
    <cellStyle name="Título 3 3" xfId="22618" xr:uid="{00000000-0005-0000-0000-00003E5C0000}"/>
    <cellStyle name="Título 3 4" xfId="22619" xr:uid="{00000000-0005-0000-0000-00003F5C0000}"/>
    <cellStyle name="Título 3 5" xfId="22620" xr:uid="{00000000-0005-0000-0000-0000405C0000}"/>
    <cellStyle name="Título 3 6" xfId="22621" xr:uid="{00000000-0005-0000-0000-0000415C0000}"/>
    <cellStyle name="Título 4" xfId="22622" xr:uid="{00000000-0005-0000-0000-0000425C0000}"/>
    <cellStyle name="Título 4 2" xfId="22623" xr:uid="{00000000-0005-0000-0000-0000435C0000}"/>
    <cellStyle name="Título 4 3" xfId="22624" xr:uid="{00000000-0005-0000-0000-0000445C0000}"/>
    <cellStyle name="Título 4 4" xfId="22625" xr:uid="{00000000-0005-0000-0000-0000455C0000}"/>
    <cellStyle name="Título 5" xfId="22626" xr:uid="{00000000-0005-0000-0000-0000465C0000}"/>
    <cellStyle name="Título 6" xfId="22627" xr:uid="{00000000-0005-0000-0000-0000475C0000}"/>
    <cellStyle name="Título 7" xfId="22628" xr:uid="{00000000-0005-0000-0000-0000485C0000}"/>
    <cellStyle name="Título 8" xfId="22629" xr:uid="{00000000-0005-0000-0000-0000495C0000}"/>
    <cellStyle name="Título_PAQUETE PARA COTIZAR" xfId="22630" xr:uid="{00000000-0005-0000-0000-00004A5C0000}"/>
    <cellStyle name="tn" xfId="22631" xr:uid="{00000000-0005-0000-0000-00004B5C0000}"/>
    <cellStyle name="tn 2" xfId="22632" xr:uid="{00000000-0005-0000-0000-00004C5C0000}"/>
    <cellStyle name="tn 3" xfId="22633" xr:uid="{00000000-0005-0000-0000-00004D5C0000}"/>
    <cellStyle name="tn 4" xfId="22634" xr:uid="{00000000-0005-0000-0000-00004E5C0000}"/>
    <cellStyle name="tn 5" xfId="22635" xr:uid="{00000000-0005-0000-0000-00004F5C0000}"/>
    <cellStyle name="Total 10" xfId="22636" xr:uid="{00000000-0005-0000-0000-0000505C0000}"/>
    <cellStyle name="Total 10 2" xfId="22637" xr:uid="{00000000-0005-0000-0000-0000515C0000}"/>
    <cellStyle name="Total 10 3" xfId="22638" xr:uid="{00000000-0005-0000-0000-0000525C0000}"/>
    <cellStyle name="Total 10 4" xfId="22639" xr:uid="{00000000-0005-0000-0000-0000535C0000}"/>
    <cellStyle name="Total 10 5" xfId="22640" xr:uid="{00000000-0005-0000-0000-0000545C0000}"/>
    <cellStyle name="Total 10 6" xfId="22641" xr:uid="{00000000-0005-0000-0000-0000555C0000}"/>
    <cellStyle name="Total 11" xfId="22642" xr:uid="{00000000-0005-0000-0000-0000565C0000}"/>
    <cellStyle name="Total 11 2" xfId="22643" xr:uid="{00000000-0005-0000-0000-0000575C0000}"/>
    <cellStyle name="Total 11 3" xfId="22644" xr:uid="{00000000-0005-0000-0000-0000585C0000}"/>
    <cellStyle name="Total 11 4" xfId="22645" xr:uid="{00000000-0005-0000-0000-0000595C0000}"/>
    <cellStyle name="Total 11 5" xfId="22646" xr:uid="{00000000-0005-0000-0000-00005A5C0000}"/>
    <cellStyle name="Total 11 6" xfId="22647" xr:uid="{00000000-0005-0000-0000-00005B5C0000}"/>
    <cellStyle name="Total 12" xfId="22648" xr:uid="{00000000-0005-0000-0000-00005C5C0000}"/>
    <cellStyle name="Total 12 2" xfId="22649" xr:uid="{00000000-0005-0000-0000-00005D5C0000}"/>
    <cellStyle name="Total 12 3" xfId="22650" xr:uid="{00000000-0005-0000-0000-00005E5C0000}"/>
    <cellStyle name="Total 12 4" xfId="22651" xr:uid="{00000000-0005-0000-0000-00005F5C0000}"/>
    <cellStyle name="Total 12 5" xfId="22652" xr:uid="{00000000-0005-0000-0000-0000605C0000}"/>
    <cellStyle name="Total 13" xfId="22653" xr:uid="{00000000-0005-0000-0000-0000615C0000}"/>
    <cellStyle name="Total 13 2" xfId="22654" xr:uid="{00000000-0005-0000-0000-0000625C0000}"/>
    <cellStyle name="Total 13 3" xfId="22655" xr:uid="{00000000-0005-0000-0000-0000635C0000}"/>
    <cellStyle name="Total 13 4" xfId="22656" xr:uid="{00000000-0005-0000-0000-0000645C0000}"/>
    <cellStyle name="Total 14" xfId="22657" xr:uid="{00000000-0005-0000-0000-0000655C0000}"/>
    <cellStyle name="Total 14 2" xfId="22658" xr:uid="{00000000-0005-0000-0000-0000665C0000}"/>
    <cellStyle name="Total 14 3" xfId="22659" xr:uid="{00000000-0005-0000-0000-0000675C0000}"/>
    <cellStyle name="Total 14 4" xfId="22660" xr:uid="{00000000-0005-0000-0000-0000685C0000}"/>
    <cellStyle name="Total 15" xfId="22661" xr:uid="{00000000-0005-0000-0000-0000695C0000}"/>
    <cellStyle name="Total 15 2" xfId="22662" xr:uid="{00000000-0005-0000-0000-00006A5C0000}"/>
    <cellStyle name="Total 15 3" xfId="22663" xr:uid="{00000000-0005-0000-0000-00006B5C0000}"/>
    <cellStyle name="Total 15 4" xfId="22664" xr:uid="{00000000-0005-0000-0000-00006C5C0000}"/>
    <cellStyle name="Total 16" xfId="22665" xr:uid="{00000000-0005-0000-0000-00006D5C0000}"/>
    <cellStyle name="Total 16 2" xfId="22666" xr:uid="{00000000-0005-0000-0000-00006E5C0000}"/>
    <cellStyle name="Total 16 3" xfId="22667" xr:uid="{00000000-0005-0000-0000-00006F5C0000}"/>
    <cellStyle name="Total 16 4" xfId="22668" xr:uid="{00000000-0005-0000-0000-0000705C0000}"/>
    <cellStyle name="Total 17" xfId="22669" xr:uid="{00000000-0005-0000-0000-0000715C0000}"/>
    <cellStyle name="Total 17 2" xfId="22670" xr:uid="{00000000-0005-0000-0000-0000725C0000}"/>
    <cellStyle name="Total 17 3" xfId="22671" xr:uid="{00000000-0005-0000-0000-0000735C0000}"/>
    <cellStyle name="Total 17 4" xfId="22672" xr:uid="{00000000-0005-0000-0000-0000745C0000}"/>
    <cellStyle name="Total 18" xfId="22673" xr:uid="{00000000-0005-0000-0000-0000755C0000}"/>
    <cellStyle name="Total 18 2" xfId="22674" xr:uid="{00000000-0005-0000-0000-0000765C0000}"/>
    <cellStyle name="Total 18 3" xfId="22675" xr:uid="{00000000-0005-0000-0000-0000775C0000}"/>
    <cellStyle name="Total 18 4" xfId="22676" xr:uid="{00000000-0005-0000-0000-0000785C0000}"/>
    <cellStyle name="Total 19" xfId="22677" xr:uid="{00000000-0005-0000-0000-0000795C0000}"/>
    <cellStyle name="Total 19 2" xfId="22678" xr:uid="{00000000-0005-0000-0000-00007A5C0000}"/>
    <cellStyle name="Total 19 3" xfId="22679" xr:uid="{00000000-0005-0000-0000-00007B5C0000}"/>
    <cellStyle name="Total 19 4" xfId="22680" xr:uid="{00000000-0005-0000-0000-00007C5C0000}"/>
    <cellStyle name="Total 2" xfId="22681" xr:uid="{00000000-0005-0000-0000-00007D5C0000}"/>
    <cellStyle name="Total 2 10" xfId="22682" xr:uid="{00000000-0005-0000-0000-00007E5C0000}"/>
    <cellStyle name="Total 2 11" xfId="22683" xr:uid="{00000000-0005-0000-0000-00007F5C0000}"/>
    <cellStyle name="Total 2 12" xfId="22684" xr:uid="{00000000-0005-0000-0000-0000805C0000}"/>
    <cellStyle name="Total 2 13" xfId="22685" xr:uid="{00000000-0005-0000-0000-0000815C0000}"/>
    <cellStyle name="Total 2 14" xfId="22686" xr:uid="{00000000-0005-0000-0000-0000825C0000}"/>
    <cellStyle name="Total 2 2" xfId="22687" xr:uid="{00000000-0005-0000-0000-0000835C0000}"/>
    <cellStyle name="Total 2 2 2" xfId="22688" xr:uid="{00000000-0005-0000-0000-0000845C0000}"/>
    <cellStyle name="Total 2 2 3" xfId="22689" xr:uid="{00000000-0005-0000-0000-0000855C0000}"/>
    <cellStyle name="Total 2 2 4" xfId="22690" xr:uid="{00000000-0005-0000-0000-0000865C0000}"/>
    <cellStyle name="Total 2 3" xfId="22691" xr:uid="{00000000-0005-0000-0000-0000875C0000}"/>
    <cellStyle name="Total 2 3 2" xfId="22692" xr:uid="{00000000-0005-0000-0000-0000885C0000}"/>
    <cellStyle name="Total 2 3 3" xfId="22693" xr:uid="{00000000-0005-0000-0000-0000895C0000}"/>
    <cellStyle name="Total 2 3 4" xfId="22694" xr:uid="{00000000-0005-0000-0000-00008A5C0000}"/>
    <cellStyle name="Total 2 3 5" xfId="22695" xr:uid="{00000000-0005-0000-0000-00008B5C0000}"/>
    <cellStyle name="Total 2 4" xfId="22696" xr:uid="{00000000-0005-0000-0000-00008C5C0000}"/>
    <cellStyle name="Total 2 4 2" xfId="22697" xr:uid="{00000000-0005-0000-0000-00008D5C0000}"/>
    <cellStyle name="Total 2 4 3" xfId="22698" xr:uid="{00000000-0005-0000-0000-00008E5C0000}"/>
    <cellStyle name="Total 2 4 4" xfId="22699" xr:uid="{00000000-0005-0000-0000-00008F5C0000}"/>
    <cellStyle name="Total 2 4 5" xfId="22700" xr:uid="{00000000-0005-0000-0000-0000905C0000}"/>
    <cellStyle name="Total 2 5" xfId="22701" xr:uid="{00000000-0005-0000-0000-0000915C0000}"/>
    <cellStyle name="Total 2 6" xfId="22702" xr:uid="{00000000-0005-0000-0000-0000925C0000}"/>
    <cellStyle name="Total 2 7" xfId="22703" xr:uid="{00000000-0005-0000-0000-0000935C0000}"/>
    <cellStyle name="Total 2 8" xfId="22704" xr:uid="{00000000-0005-0000-0000-0000945C0000}"/>
    <cellStyle name="Total 2 9" xfId="22705" xr:uid="{00000000-0005-0000-0000-0000955C0000}"/>
    <cellStyle name="Total 20" xfId="22706" xr:uid="{00000000-0005-0000-0000-0000965C0000}"/>
    <cellStyle name="Total 20 2" xfId="22707" xr:uid="{00000000-0005-0000-0000-0000975C0000}"/>
    <cellStyle name="Total 20 3" xfId="22708" xr:uid="{00000000-0005-0000-0000-0000985C0000}"/>
    <cellStyle name="Total 20 4" xfId="22709" xr:uid="{00000000-0005-0000-0000-0000995C0000}"/>
    <cellStyle name="Total 21" xfId="22710" xr:uid="{00000000-0005-0000-0000-00009A5C0000}"/>
    <cellStyle name="Total 21 2" xfId="22711" xr:uid="{00000000-0005-0000-0000-00009B5C0000}"/>
    <cellStyle name="Total 21 3" xfId="22712" xr:uid="{00000000-0005-0000-0000-00009C5C0000}"/>
    <cellStyle name="Total 21 4" xfId="22713" xr:uid="{00000000-0005-0000-0000-00009D5C0000}"/>
    <cellStyle name="Total 22" xfId="22714" xr:uid="{00000000-0005-0000-0000-00009E5C0000}"/>
    <cellStyle name="Total 22 2" xfId="22715" xr:uid="{00000000-0005-0000-0000-00009F5C0000}"/>
    <cellStyle name="Total 22 3" xfId="22716" xr:uid="{00000000-0005-0000-0000-0000A05C0000}"/>
    <cellStyle name="Total 22 4" xfId="22717" xr:uid="{00000000-0005-0000-0000-0000A15C0000}"/>
    <cellStyle name="Total 23" xfId="22718" xr:uid="{00000000-0005-0000-0000-0000A25C0000}"/>
    <cellStyle name="Total 23 2" xfId="22719" xr:uid="{00000000-0005-0000-0000-0000A35C0000}"/>
    <cellStyle name="Total 23 3" xfId="22720" xr:uid="{00000000-0005-0000-0000-0000A45C0000}"/>
    <cellStyle name="Total 23 4" xfId="22721" xr:uid="{00000000-0005-0000-0000-0000A55C0000}"/>
    <cellStyle name="Total 24" xfId="22722" xr:uid="{00000000-0005-0000-0000-0000A65C0000}"/>
    <cellStyle name="Total 24 2" xfId="22723" xr:uid="{00000000-0005-0000-0000-0000A75C0000}"/>
    <cellStyle name="Total 24 3" xfId="22724" xr:uid="{00000000-0005-0000-0000-0000A85C0000}"/>
    <cellStyle name="Total 24 4" xfId="22725" xr:uid="{00000000-0005-0000-0000-0000A95C0000}"/>
    <cellStyle name="Total 25" xfId="22726" xr:uid="{00000000-0005-0000-0000-0000AA5C0000}"/>
    <cellStyle name="Total 25 2" xfId="22727" xr:uid="{00000000-0005-0000-0000-0000AB5C0000}"/>
    <cellStyle name="Total 25 3" xfId="22728" xr:uid="{00000000-0005-0000-0000-0000AC5C0000}"/>
    <cellStyle name="Total 25 4" xfId="22729" xr:uid="{00000000-0005-0000-0000-0000AD5C0000}"/>
    <cellStyle name="Total 26" xfId="22730" xr:uid="{00000000-0005-0000-0000-0000AE5C0000}"/>
    <cellStyle name="Total 26 2" xfId="22731" xr:uid="{00000000-0005-0000-0000-0000AF5C0000}"/>
    <cellStyle name="Total 26 3" xfId="22732" xr:uid="{00000000-0005-0000-0000-0000B05C0000}"/>
    <cellStyle name="Total 26 4" xfId="22733" xr:uid="{00000000-0005-0000-0000-0000B15C0000}"/>
    <cellStyle name="Total 27" xfId="22734" xr:uid="{00000000-0005-0000-0000-0000B25C0000}"/>
    <cellStyle name="Total 27 2" xfId="22735" xr:uid="{00000000-0005-0000-0000-0000B35C0000}"/>
    <cellStyle name="Total 27 3" xfId="22736" xr:uid="{00000000-0005-0000-0000-0000B45C0000}"/>
    <cellStyle name="Total 27 4" xfId="22737" xr:uid="{00000000-0005-0000-0000-0000B55C0000}"/>
    <cellStyle name="Total 28" xfId="22738" xr:uid="{00000000-0005-0000-0000-0000B65C0000}"/>
    <cellStyle name="Total 28 2" xfId="22739" xr:uid="{00000000-0005-0000-0000-0000B75C0000}"/>
    <cellStyle name="Total 28 3" xfId="22740" xr:uid="{00000000-0005-0000-0000-0000B85C0000}"/>
    <cellStyle name="Total 28 4" xfId="22741" xr:uid="{00000000-0005-0000-0000-0000B95C0000}"/>
    <cellStyle name="Total 29" xfId="22742" xr:uid="{00000000-0005-0000-0000-0000BA5C0000}"/>
    <cellStyle name="Total 29 2" xfId="22743" xr:uid="{00000000-0005-0000-0000-0000BB5C0000}"/>
    <cellStyle name="Total 29 3" xfId="22744" xr:uid="{00000000-0005-0000-0000-0000BC5C0000}"/>
    <cellStyle name="Total 29 4" xfId="22745" xr:uid="{00000000-0005-0000-0000-0000BD5C0000}"/>
    <cellStyle name="Total 3" xfId="22746" xr:uid="{00000000-0005-0000-0000-0000BE5C0000}"/>
    <cellStyle name="Total 3 10" xfId="22747" xr:uid="{00000000-0005-0000-0000-0000BF5C0000}"/>
    <cellStyle name="Total 3 11" xfId="22748" xr:uid="{00000000-0005-0000-0000-0000C05C0000}"/>
    <cellStyle name="Total 3 12" xfId="22749" xr:uid="{00000000-0005-0000-0000-0000C15C0000}"/>
    <cellStyle name="Total 3 13" xfId="22750" xr:uid="{00000000-0005-0000-0000-0000C25C0000}"/>
    <cellStyle name="Total 3 14" xfId="22751" xr:uid="{00000000-0005-0000-0000-0000C35C0000}"/>
    <cellStyle name="Total 3 2" xfId="22752" xr:uid="{00000000-0005-0000-0000-0000C45C0000}"/>
    <cellStyle name="Total 3 2 2" xfId="22753" xr:uid="{00000000-0005-0000-0000-0000C55C0000}"/>
    <cellStyle name="Total 3 2 3" xfId="22754" xr:uid="{00000000-0005-0000-0000-0000C65C0000}"/>
    <cellStyle name="Total 3 2 4" xfId="22755" xr:uid="{00000000-0005-0000-0000-0000C75C0000}"/>
    <cellStyle name="Total 3 2 5" xfId="22756" xr:uid="{00000000-0005-0000-0000-0000C85C0000}"/>
    <cellStyle name="Total 3 3" xfId="22757" xr:uid="{00000000-0005-0000-0000-0000C95C0000}"/>
    <cellStyle name="Total 3 3 2" xfId="22758" xr:uid="{00000000-0005-0000-0000-0000CA5C0000}"/>
    <cellStyle name="Total 3 3 3" xfId="22759" xr:uid="{00000000-0005-0000-0000-0000CB5C0000}"/>
    <cellStyle name="Total 3 3 4" xfId="22760" xr:uid="{00000000-0005-0000-0000-0000CC5C0000}"/>
    <cellStyle name="Total 3 3 5" xfId="22761" xr:uid="{00000000-0005-0000-0000-0000CD5C0000}"/>
    <cellStyle name="Total 3 4" xfId="22762" xr:uid="{00000000-0005-0000-0000-0000CE5C0000}"/>
    <cellStyle name="Total 3 4 2" xfId="22763" xr:uid="{00000000-0005-0000-0000-0000CF5C0000}"/>
    <cellStyle name="Total 3 4 3" xfId="22764" xr:uid="{00000000-0005-0000-0000-0000D05C0000}"/>
    <cellStyle name="Total 3 4 4" xfId="22765" xr:uid="{00000000-0005-0000-0000-0000D15C0000}"/>
    <cellStyle name="Total 3 4 5" xfId="22766" xr:uid="{00000000-0005-0000-0000-0000D25C0000}"/>
    <cellStyle name="Total 3 5" xfId="22767" xr:uid="{00000000-0005-0000-0000-0000D35C0000}"/>
    <cellStyle name="Total 3 5 2" xfId="22768" xr:uid="{00000000-0005-0000-0000-0000D45C0000}"/>
    <cellStyle name="Total 3 5 3" xfId="22769" xr:uid="{00000000-0005-0000-0000-0000D55C0000}"/>
    <cellStyle name="Total 3 5 4" xfId="22770" xr:uid="{00000000-0005-0000-0000-0000D65C0000}"/>
    <cellStyle name="Total 3 6" xfId="22771" xr:uid="{00000000-0005-0000-0000-0000D75C0000}"/>
    <cellStyle name="Total 3 7" xfId="22772" xr:uid="{00000000-0005-0000-0000-0000D85C0000}"/>
    <cellStyle name="Total 3 8" xfId="22773" xr:uid="{00000000-0005-0000-0000-0000D95C0000}"/>
    <cellStyle name="Total 3 9" xfId="22774" xr:uid="{00000000-0005-0000-0000-0000DA5C0000}"/>
    <cellStyle name="Total 30" xfId="22775" xr:uid="{00000000-0005-0000-0000-0000DB5C0000}"/>
    <cellStyle name="Total 30 2" xfId="22776" xr:uid="{00000000-0005-0000-0000-0000DC5C0000}"/>
    <cellStyle name="Total 30 3" xfId="22777" xr:uid="{00000000-0005-0000-0000-0000DD5C0000}"/>
    <cellStyle name="Total 30 4" xfId="22778" xr:uid="{00000000-0005-0000-0000-0000DE5C0000}"/>
    <cellStyle name="Total 31" xfId="22779" xr:uid="{00000000-0005-0000-0000-0000DF5C0000}"/>
    <cellStyle name="Total 32" xfId="22780" xr:uid="{00000000-0005-0000-0000-0000E05C0000}"/>
    <cellStyle name="Total 4" xfId="22781" xr:uid="{00000000-0005-0000-0000-0000E15C0000}"/>
    <cellStyle name="Total 4 10" xfId="22782" xr:uid="{00000000-0005-0000-0000-0000E25C0000}"/>
    <cellStyle name="Total 4 11" xfId="22783" xr:uid="{00000000-0005-0000-0000-0000E35C0000}"/>
    <cellStyle name="Total 4 12" xfId="22784" xr:uid="{00000000-0005-0000-0000-0000E45C0000}"/>
    <cellStyle name="Total 4 2" xfId="22785" xr:uid="{00000000-0005-0000-0000-0000E55C0000}"/>
    <cellStyle name="Total 4 2 2" xfId="22786" xr:uid="{00000000-0005-0000-0000-0000E65C0000}"/>
    <cellStyle name="Total 4 3" xfId="22787" xr:uid="{00000000-0005-0000-0000-0000E75C0000}"/>
    <cellStyle name="Total 4 4" xfId="22788" xr:uid="{00000000-0005-0000-0000-0000E85C0000}"/>
    <cellStyle name="Total 4 5" xfId="22789" xr:uid="{00000000-0005-0000-0000-0000E95C0000}"/>
    <cellStyle name="Total 4 6" xfId="22790" xr:uid="{00000000-0005-0000-0000-0000EA5C0000}"/>
    <cellStyle name="Total 4 7" xfId="22791" xr:uid="{00000000-0005-0000-0000-0000EB5C0000}"/>
    <cellStyle name="Total 4 8" xfId="22792" xr:uid="{00000000-0005-0000-0000-0000EC5C0000}"/>
    <cellStyle name="Total 4 9" xfId="22793" xr:uid="{00000000-0005-0000-0000-0000ED5C0000}"/>
    <cellStyle name="Total 5" xfId="22794" xr:uid="{00000000-0005-0000-0000-0000EE5C0000}"/>
    <cellStyle name="Total 5 10" xfId="22795" xr:uid="{00000000-0005-0000-0000-0000EF5C0000}"/>
    <cellStyle name="Total 5 11" xfId="22796" xr:uid="{00000000-0005-0000-0000-0000F05C0000}"/>
    <cellStyle name="Total 5 12" xfId="22797" xr:uid="{00000000-0005-0000-0000-0000F15C0000}"/>
    <cellStyle name="Total 5 2" xfId="22798" xr:uid="{00000000-0005-0000-0000-0000F25C0000}"/>
    <cellStyle name="Total 5 2 2" xfId="22799" xr:uid="{00000000-0005-0000-0000-0000F35C0000}"/>
    <cellStyle name="Total 5 3" xfId="22800" xr:uid="{00000000-0005-0000-0000-0000F45C0000}"/>
    <cellStyle name="Total 5 4" xfId="22801" xr:uid="{00000000-0005-0000-0000-0000F55C0000}"/>
    <cellStyle name="Total 5 5" xfId="22802" xr:uid="{00000000-0005-0000-0000-0000F65C0000}"/>
    <cellStyle name="Total 5 6" xfId="22803" xr:uid="{00000000-0005-0000-0000-0000F75C0000}"/>
    <cellStyle name="Total 5 7" xfId="22804" xr:uid="{00000000-0005-0000-0000-0000F85C0000}"/>
    <cellStyle name="Total 5 8" xfId="22805" xr:uid="{00000000-0005-0000-0000-0000F95C0000}"/>
    <cellStyle name="Total 5 9" xfId="22806" xr:uid="{00000000-0005-0000-0000-0000FA5C0000}"/>
    <cellStyle name="Total 6" xfId="22807" xr:uid="{00000000-0005-0000-0000-0000FB5C0000}"/>
    <cellStyle name="Total 6 10" xfId="22808" xr:uid="{00000000-0005-0000-0000-0000FC5C0000}"/>
    <cellStyle name="Total 6 11" xfId="22809" xr:uid="{00000000-0005-0000-0000-0000FD5C0000}"/>
    <cellStyle name="Total 6 2" xfId="22810" xr:uid="{00000000-0005-0000-0000-0000FE5C0000}"/>
    <cellStyle name="Total 6 2 2" xfId="22811" xr:uid="{00000000-0005-0000-0000-0000FF5C0000}"/>
    <cellStyle name="Total 6 3" xfId="22812" xr:uid="{00000000-0005-0000-0000-0000005D0000}"/>
    <cellStyle name="Total 6 4" xfId="22813" xr:uid="{00000000-0005-0000-0000-0000015D0000}"/>
    <cellStyle name="Total 6 5" xfId="22814" xr:uid="{00000000-0005-0000-0000-0000025D0000}"/>
    <cellStyle name="Total 6 6" xfId="22815" xr:uid="{00000000-0005-0000-0000-0000035D0000}"/>
    <cellStyle name="Total 6 7" xfId="22816" xr:uid="{00000000-0005-0000-0000-0000045D0000}"/>
    <cellStyle name="Total 6 8" xfId="22817" xr:uid="{00000000-0005-0000-0000-0000055D0000}"/>
    <cellStyle name="Total 6 9" xfId="22818" xr:uid="{00000000-0005-0000-0000-0000065D0000}"/>
    <cellStyle name="Total 7" xfId="22819" xr:uid="{00000000-0005-0000-0000-0000075D0000}"/>
    <cellStyle name="Total 7 10" xfId="22820" xr:uid="{00000000-0005-0000-0000-0000085D0000}"/>
    <cellStyle name="Total 7 2" xfId="22821" xr:uid="{00000000-0005-0000-0000-0000095D0000}"/>
    <cellStyle name="Total 7 2 2" xfId="22822" xr:uid="{00000000-0005-0000-0000-00000A5D0000}"/>
    <cellStyle name="Total 7 3" xfId="22823" xr:uid="{00000000-0005-0000-0000-00000B5D0000}"/>
    <cellStyle name="Total 7 4" xfId="22824" xr:uid="{00000000-0005-0000-0000-00000C5D0000}"/>
    <cellStyle name="Total 7 5" xfId="22825" xr:uid="{00000000-0005-0000-0000-00000D5D0000}"/>
    <cellStyle name="Total 7 6" xfId="22826" xr:uid="{00000000-0005-0000-0000-00000E5D0000}"/>
    <cellStyle name="Total 7 7" xfId="22827" xr:uid="{00000000-0005-0000-0000-00000F5D0000}"/>
    <cellStyle name="Total 7 8" xfId="22828" xr:uid="{00000000-0005-0000-0000-0000105D0000}"/>
    <cellStyle name="Total 7 9" xfId="22829" xr:uid="{00000000-0005-0000-0000-0000115D0000}"/>
    <cellStyle name="Total 8" xfId="22830" xr:uid="{00000000-0005-0000-0000-0000125D0000}"/>
    <cellStyle name="Total 8 2" xfId="22831" xr:uid="{00000000-0005-0000-0000-0000135D0000}"/>
    <cellStyle name="Total 8 2 2" xfId="22832" xr:uid="{00000000-0005-0000-0000-0000145D0000}"/>
    <cellStyle name="Total 8 3" xfId="22833" xr:uid="{00000000-0005-0000-0000-0000155D0000}"/>
    <cellStyle name="Total 8 4" xfId="22834" xr:uid="{00000000-0005-0000-0000-0000165D0000}"/>
    <cellStyle name="Total 8 5" xfId="22835" xr:uid="{00000000-0005-0000-0000-0000175D0000}"/>
    <cellStyle name="Total 8 6" xfId="22836" xr:uid="{00000000-0005-0000-0000-0000185D0000}"/>
    <cellStyle name="Total 8 7" xfId="22837" xr:uid="{00000000-0005-0000-0000-0000195D0000}"/>
    <cellStyle name="Total 8 8" xfId="22838" xr:uid="{00000000-0005-0000-0000-00001A5D0000}"/>
    <cellStyle name="Total 8 9" xfId="22839" xr:uid="{00000000-0005-0000-0000-00001B5D0000}"/>
    <cellStyle name="Total 9" xfId="22840" xr:uid="{00000000-0005-0000-0000-00001C5D0000}"/>
    <cellStyle name="Total 9 2" xfId="22841" xr:uid="{00000000-0005-0000-0000-00001D5D0000}"/>
    <cellStyle name="Total 9 3" xfId="22842" xr:uid="{00000000-0005-0000-0000-00001E5D0000}"/>
    <cellStyle name="Total 9 4" xfId="22843" xr:uid="{00000000-0005-0000-0000-00001F5D0000}"/>
    <cellStyle name="Total 9 5" xfId="22844" xr:uid="{00000000-0005-0000-0000-0000205D0000}"/>
    <cellStyle name="Total 9 6" xfId="22845" xr:uid="{00000000-0005-0000-0000-0000215D0000}"/>
    <cellStyle name="Total 9 7" xfId="22846" xr:uid="{00000000-0005-0000-0000-0000225D0000}"/>
    <cellStyle name="TransVal" xfId="22847" xr:uid="{00000000-0005-0000-0000-0000235D0000}"/>
    <cellStyle name="TransVal 2" xfId="22848" xr:uid="{00000000-0005-0000-0000-0000245D0000}"/>
    <cellStyle name="TransVal 3" xfId="22849" xr:uid="{00000000-0005-0000-0000-0000255D0000}"/>
    <cellStyle name="TransVal 4" xfId="22850" xr:uid="{00000000-0005-0000-0000-0000265D0000}"/>
    <cellStyle name="Tytuł" xfId="25618" xr:uid="{00000000-0005-0000-0000-0000275D0000}"/>
    <cellStyle name="Tytuł 2" xfId="25619" xr:uid="{00000000-0005-0000-0000-0000285D0000}"/>
    <cellStyle name="Tytuł 3" xfId="25620" xr:uid="{00000000-0005-0000-0000-0000295D0000}"/>
    <cellStyle name="Unprot" xfId="22851" xr:uid="{00000000-0005-0000-0000-00002A5D0000}"/>
    <cellStyle name="Unprot 10" xfId="22852" xr:uid="{00000000-0005-0000-0000-00002B5D0000}"/>
    <cellStyle name="Unprot 2" xfId="22853" xr:uid="{00000000-0005-0000-0000-00002C5D0000}"/>
    <cellStyle name="Unprot 2 2" xfId="22854" xr:uid="{00000000-0005-0000-0000-00002D5D0000}"/>
    <cellStyle name="Unprot 2 2 2" xfId="22855" xr:uid="{00000000-0005-0000-0000-00002E5D0000}"/>
    <cellStyle name="Unprot 2 2 3" xfId="22856" xr:uid="{00000000-0005-0000-0000-00002F5D0000}"/>
    <cellStyle name="Unprot 2 2 4" xfId="22857" xr:uid="{00000000-0005-0000-0000-0000305D0000}"/>
    <cellStyle name="Unprot 2 3" xfId="22858" xr:uid="{00000000-0005-0000-0000-0000315D0000}"/>
    <cellStyle name="Unprot 2 4" xfId="22859" xr:uid="{00000000-0005-0000-0000-0000325D0000}"/>
    <cellStyle name="Unprot 2 5" xfId="22860" xr:uid="{00000000-0005-0000-0000-0000335D0000}"/>
    <cellStyle name="Unprot 2 6" xfId="22861" xr:uid="{00000000-0005-0000-0000-0000345D0000}"/>
    <cellStyle name="Unprot 3" xfId="22862" xr:uid="{00000000-0005-0000-0000-0000355D0000}"/>
    <cellStyle name="Unprot 3 2" xfId="22863" xr:uid="{00000000-0005-0000-0000-0000365D0000}"/>
    <cellStyle name="Unprot 3 3" xfId="22864" xr:uid="{00000000-0005-0000-0000-0000375D0000}"/>
    <cellStyle name="Unprot 3 4" xfId="22865" xr:uid="{00000000-0005-0000-0000-0000385D0000}"/>
    <cellStyle name="Unprot 3 5" xfId="22866" xr:uid="{00000000-0005-0000-0000-0000395D0000}"/>
    <cellStyle name="Unprot 4" xfId="22867" xr:uid="{00000000-0005-0000-0000-00003A5D0000}"/>
    <cellStyle name="Unprot 4 2" xfId="22868" xr:uid="{00000000-0005-0000-0000-00003B5D0000}"/>
    <cellStyle name="Unprot 4 3" xfId="22869" xr:uid="{00000000-0005-0000-0000-00003C5D0000}"/>
    <cellStyle name="Unprot 4 4" xfId="22870" xr:uid="{00000000-0005-0000-0000-00003D5D0000}"/>
    <cellStyle name="Unprot 4 5" xfId="22871" xr:uid="{00000000-0005-0000-0000-00003E5D0000}"/>
    <cellStyle name="Unprot 5" xfId="22872" xr:uid="{00000000-0005-0000-0000-00003F5D0000}"/>
    <cellStyle name="Unprot 5 2" xfId="22873" xr:uid="{00000000-0005-0000-0000-0000405D0000}"/>
    <cellStyle name="Unprot 5 3" xfId="22874" xr:uid="{00000000-0005-0000-0000-0000415D0000}"/>
    <cellStyle name="Unprot 5 4" xfId="22875" xr:uid="{00000000-0005-0000-0000-0000425D0000}"/>
    <cellStyle name="Unprot 5 5" xfId="22876" xr:uid="{00000000-0005-0000-0000-0000435D0000}"/>
    <cellStyle name="Unprot 6" xfId="22877" xr:uid="{00000000-0005-0000-0000-0000445D0000}"/>
    <cellStyle name="Unprot 6 2" xfId="22878" xr:uid="{00000000-0005-0000-0000-0000455D0000}"/>
    <cellStyle name="Unprot 6 3" xfId="22879" xr:uid="{00000000-0005-0000-0000-0000465D0000}"/>
    <cellStyle name="Unprot 6 4" xfId="22880" xr:uid="{00000000-0005-0000-0000-0000475D0000}"/>
    <cellStyle name="Unprot 6 5" xfId="22881" xr:uid="{00000000-0005-0000-0000-0000485D0000}"/>
    <cellStyle name="Unprot 7" xfId="22882" xr:uid="{00000000-0005-0000-0000-0000495D0000}"/>
    <cellStyle name="Unprot 8" xfId="22883" xr:uid="{00000000-0005-0000-0000-00004A5D0000}"/>
    <cellStyle name="Unprot 9" xfId="22884" xr:uid="{00000000-0005-0000-0000-00004B5D0000}"/>
    <cellStyle name="Unprot$" xfId="22885" xr:uid="{00000000-0005-0000-0000-00004C5D0000}"/>
    <cellStyle name="Unprot$ 10" xfId="22886" xr:uid="{00000000-0005-0000-0000-00004D5D0000}"/>
    <cellStyle name="Unprot$ 2" xfId="22887" xr:uid="{00000000-0005-0000-0000-00004E5D0000}"/>
    <cellStyle name="Unprot$ 2 2" xfId="22888" xr:uid="{00000000-0005-0000-0000-00004F5D0000}"/>
    <cellStyle name="Unprot$ 2 3" xfId="22889" xr:uid="{00000000-0005-0000-0000-0000505D0000}"/>
    <cellStyle name="Unprot$ 2 4" xfId="22890" xr:uid="{00000000-0005-0000-0000-0000515D0000}"/>
    <cellStyle name="Unprot$ 2 5" xfId="22891" xr:uid="{00000000-0005-0000-0000-0000525D0000}"/>
    <cellStyle name="Unprot$ 3" xfId="22892" xr:uid="{00000000-0005-0000-0000-0000535D0000}"/>
    <cellStyle name="Unprot$ 3 2" xfId="22893" xr:uid="{00000000-0005-0000-0000-0000545D0000}"/>
    <cellStyle name="Unprot$ 3 3" xfId="22894" xr:uid="{00000000-0005-0000-0000-0000555D0000}"/>
    <cellStyle name="Unprot$ 3 4" xfId="22895" xr:uid="{00000000-0005-0000-0000-0000565D0000}"/>
    <cellStyle name="Unprot$ 3 5" xfId="22896" xr:uid="{00000000-0005-0000-0000-0000575D0000}"/>
    <cellStyle name="Unprot$ 4" xfId="22897" xr:uid="{00000000-0005-0000-0000-0000585D0000}"/>
    <cellStyle name="Unprot$ 4 2" xfId="22898" xr:uid="{00000000-0005-0000-0000-0000595D0000}"/>
    <cellStyle name="Unprot$ 4 3" xfId="22899" xr:uid="{00000000-0005-0000-0000-00005A5D0000}"/>
    <cellStyle name="Unprot$ 4 4" xfId="22900" xr:uid="{00000000-0005-0000-0000-00005B5D0000}"/>
    <cellStyle name="Unprot$ 4 5" xfId="22901" xr:uid="{00000000-0005-0000-0000-00005C5D0000}"/>
    <cellStyle name="Unprot$ 5" xfId="22902" xr:uid="{00000000-0005-0000-0000-00005D5D0000}"/>
    <cellStyle name="Unprot$ 5 2" xfId="22903" xr:uid="{00000000-0005-0000-0000-00005E5D0000}"/>
    <cellStyle name="Unprot$ 5 3" xfId="22904" xr:uid="{00000000-0005-0000-0000-00005F5D0000}"/>
    <cellStyle name="Unprot$ 5 4" xfId="22905" xr:uid="{00000000-0005-0000-0000-0000605D0000}"/>
    <cellStyle name="Unprot$ 5 5" xfId="22906" xr:uid="{00000000-0005-0000-0000-0000615D0000}"/>
    <cellStyle name="Unprot$ 6" xfId="22907" xr:uid="{00000000-0005-0000-0000-0000625D0000}"/>
    <cellStyle name="Unprot$ 6 2" xfId="22908" xr:uid="{00000000-0005-0000-0000-0000635D0000}"/>
    <cellStyle name="Unprot$ 6 3" xfId="22909" xr:uid="{00000000-0005-0000-0000-0000645D0000}"/>
    <cellStyle name="Unprot$ 6 4" xfId="22910" xr:uid="{00000000-0005-0000-0000-0000655D0000}"/>
    <cellStyle name="Unprot$ 6 5" xfId="22911" xr:uid="{00000000-0005-0000-0000-0000665D0000}"/>
    <cellStyle name="Unprot$ 7" xfId="22912" xr:uid="{00000000-0005-0000-0000-0000675D0000}"/>
    <cellStyle name="Unprot$ 7 2" xfId="22913" xr:uid="{00000000-0005-0000-0000-0000685D0000}"/>
    <cellStyle name="Unprot$ 7 3" xfId="22914" xr:uid="{00000000-0005-0000-0000-0000695D0000}"/>
    <cellStyle name="Unprot$ 7 4" xfId="22915" xr:uid="{00000000-0005-0000-0000-00006A5D0000}"/>
    <cellStyle name="Unprot$ 8" xfId="22916" xr:uid="{00000000-0005-0000-0000-00006B5D0000}"/>
    <cellStyle name="Unprot$ 9" xfId="22917" xr:uid="{00000000-0005-0000-0000-00006C5D0000}"/>
    <cellStyle name="Unprotect" xfId="22918" xr:uid="{00000000-0005-0000-0000-00006D5D0000}"/>
    <cellStyle name="Unprotect 2" xfId="22919" xr:uid="{00000000-0005-0000-0000-00006E5D0000}"/>
    <cellStyle name="Unprotect 2 2" xfId="22920" xr:uid="{00000000-0005-0000-0000-00006F5D0000}"/>
    <cellStyle name="Unprotect 2 3" xfId="22921" xr:uid="{00000000-0005-0000-0000-0000705D0000}"/>
    <cellStyle name="Unprotect 2 4" xfId="22922" xr:uid="{00000000-0005-0000-0000-0000715D0000}"/>
    <cellStyle name="Unprotect 3" xfId="22923" xr:uid="{00000000-0005-0000-0000-0000725D0000}"/>
    <cellStyle name="Unprotect 4" xfId="22924" xr:uid="{00000000-0005-0000-0000-0000735D0000}"/>
    <cellStyle name="Unprotect 5" xfId="22925" xr:uid="{00000000-0005-0000-0000-0000745D0000}"/>
    <cellStyle name="Unprotect 6" xfId="22926" xr:uid="{00000000-0005-0000-0000-0000755D0000}"/>
    <cellStyle name="Uwaga" xfId="25621" xr:uid="{00000000-0005-0000-0000-0000765D0000}"/>
    <cellStyle name="Uwaga 2" xfId="25622" xr:uid="{00000000-0005-0000-0000-0000775D0000}"/>
    <cellStyle name="Uwaga 3" xfId="25623" xr:uid="{00000000-0005-0000-0000-0000785D0000}"/>
    <cellStyle name="Valuta 2" xfId="22927" xr:uid="{00000000-0005-0000-0000-0000795D0000}"/>
    <cellStyle name="Valuta 2 2" xfId="22928" xr:uid="{00000000-0005-0000-0000-00007A5D0000}"/>
    <cellStyle name="Valuta 2 3" xfId="22929" xr:uid="{00000000-0005-0000-0000-00007B5D0000}"/>
    <cellStyle name="Valuta 2 4" xfId="22930" xr:uid="{00000000-0005-0000-0000-00007C5D0000}"/>
    <cellStyle name="Valuta 2 5" xfId="22931" xr:uid="{00000000-0005-0000-0000-00007D5D0000}"/>
    <cellStyle name="Vérification" xfId="22932" xr:uid="{00000000-0005-0000-0000-00007E5D0000}"/>
    <cellStyle name="W?rung [0]_BSBUD96" xfId="22933" xr:uid="{00000000-0005-0000-0000-00007F5D0000}"/>
    <cellStyle name="W?rung_BDEXASS" xfId="22934" xr:uid="{00000000-0005-0000-0000-0000805D0000}"/>
    <cellStyle name="Währung [0]" xfId="22935" xr:uid="{00000000-0005-0000-0000-0000815D0000}"/>
    <cellStyle name="Währung [0] 2" xfId="22936" xr:uid="{00000000-0005-0000-0000-0000825D0000}"/>
    <cellStyle name="Währung [0] 3" xfId="22937" xr:uid="{00000000-0005-0000-0000-0000835D0000}"/>
    <cellStyle name="Währung [0] 4" xfId="22938" xr:uid="{00000000-0005-0000-0000-0000845D0000}"/>
    <cellStyle name="Währung_Abfrage_CS Stand" xfId="22939" xr:uid="{00000000-0005-0000-0000-0000855D0000}"/>
    <cellStyle name="Warning Text 10" xfId="22940" xr:uid="{00000000-0005-0000-0000-0000865D0000}"/>
    <cellStyle name="Warning Text 10 2" xfId="22941" xr:uid="{00000000-0005-0000-0000-0000875D0000}"/>
    <cellStyle name="Warning Text 10 3" xfId="22942" xr:uid="{00000000-0005-0000-0000-0000885D0000}"/>
    <cellStyle name="Warning Text 10 4" xfId="22943" xr:uid="{00000000-0005-0000-0000-0000895D0000}"/>
    <cellStyle name="Warning Text 11" xfId="22944" xr:uid="{00000000-0005-0000-0000-00008A5D0000}"/>
    <cellStyle name="Warning Text 11 2" xfId="22945" xr:uid="{00000000-0005-0000-0000-00008B5D0000}"/>
    <cellStyle name="Warning Text 11 3" xfId="22946" xr:uid="{00000000-0005-0000-0000-00008C5D0000}"/>
    <cellStyle name="Warning Text 11 4" xfId="22947" xr:uid="{00000000-0005-0000-0000-00008D5D0000}"/>
    <cellStyle name="Warning Text 12" xfId="22948" xr:uid="{00000000-0005-0000-0000-00008E5D0000}"/>
    <cellStyle name="Warning Text 12 2" xfId="22949" xr:uid="{00000000-0005-0000-0000-00008F5D0000}"/>
    <cellStyle name="Warning Text 12 3" xfId="22950" xr:uid="{00000000-0005-0000-0000-0000905D0000}"/>
    <cellStyle name="Warning Text 12 4" xfId="22951" xr:uid="{00000000-0005-0000-0000-0000915D0000}"/>
    <cellStyle name="Warning Text 13" xfId="22952" xr:uid="{00000000-0005-0000-0000-0000925D0000}"/>
    <cellStyle name="Warning Text 13 2" xfId="22953" xr:uid="{00000000-0005-0000-0000-0000935D0000}"/>
    <cellStyle name="Warning Text 13 3" xfId="22954" xr:uid="{00000000-0005-0000-0000-0000945D0000}"/>
    <cellStyle name="Warning Text 13 4" xfId="22955" xr:uid="{00000000-0005-0000-0000-0000955D0000}"/>
    <cellStyle name="Warning Text 14" xfId="22956" xr:uid="{00000000-0005-0000-0000-0000965D0000}"/>
    <cellStyle name="Warning Text 14 2" xfId="22957" xr:uid="{00000000-0005-0000-0000-0000975D0000}"/>
    <cellStyle name="Warning Text 14 3" xfId="22958" xr:uid="{00000000-0005-0000-0000-0000985D0000}"/>
    <cellStyle name="Warning Text 14 4" xfId="22959" xr:uid="{00000000-0005-0000-0000-0000995D0000}"/>
    <cellStyle name="Warning Text 15" xfId="22960" xr:uid="{00000000-0005-0000-0000-00009A5D0000}"/>
    <cellStyle name="Warning Text 15 2" xfId="22961" xr:uid="{00000000-0005-0000-0000-00009B5D0000}"/>
    <cellStyle name="Warning Text 15 3" xfId="22962" xr:uid="{00000000-0005-0000-0000-00009C5D0000}"/>
    <cellStyle name="Warning Text 15 4" xfId="22963" xr:uid="{00000000-0005-0000-0000-00009D5D0000}"/>
    <cellStyle name="Warning Text 16" xfId="22964" xr:uid="{00000000-0005-0000-0000-00009E5D0000}"/>
    <cellStyle name="Warning Text 16 2" xfId="22965" xr:uid="{00000000-0005-0000-0000-00009F5D0000}"/>
    <cellStyle name="Warning Text 16 3" xfId="22966" xr:uid="{00000000-0005-0000-0000-0000A05D0000}"/>
    <cellStyle name="Warning Text 16 4" xfId="22967" xr:uid="{00000000-0005-0000-0000-0000A15D0000}"/>
    <cellStyle name="Warning Text 17" xfId="22968" xr:uid="{00000000-0005-0000-0000-0000A25D0000}"/>
    <cellStyle name="Warning Text 17 2" xfId="22969" xr:uid="{00000000-0005-0000-0000-0000A35D0000}"/>
    <cellStyle name="Warning Text 17 3" xfId="22970" xr:uid="{00000000-0005-0000-0000-0000A45D0000}"/>
    <cellStyle name="Warning Text 17 4" xfId="22971" xr:uid="{00000000-0005-0000-0000-0000A55D0000}"/>
    <cellStyle name="Warning Text 18" xfId="22972" xr:uid="{00000000-0005-0000-0000-0000A65D0000}"/>
    <cellStyle name="Warning Text 18 2" xfId="22973" xr:uid="{00000000-0005-0000-0000-0000A75D0000}"/>
    <cellStyle name="Warning Text 18 3" xfId="22974" xr:uid="{00000000-0005-0000-0000-0000A85D0000}"/>
    <cellStyle name="Warning Text 18 4" xfId="22975" xr:uid="{00000000-0005-0000-0000-0000A95D0000}"/>
    <cellStyle name="Warning Text 19" xfId="22976" xr:uid="{00000000-0005-0000-0000-0000AA5D0000}"/>
    <cellStyle name="Warning Text 19 2" xfId="22977" xr:uid="{00000000-0005-0000-0000-0000AB5D0000}"/>
    <cellStyle name="Warning Text 19 3" xfId="22978" xr:uid="{00000000-0005-0000-0000-0000AC5D0000}"/>
    <cellStyle name="Warning Text 19 4" xfId="22979" xr:uid="{00000000-0005-0000-0000-0000AD5D0000}"/>
    <cellStyle name="Warning Text 2" xfId="22980" xr:uid="{00000000-0005-0000-0000-0000AE5D0000}"/>
    <cellStyle name="Warning Text 2 2" xfId="22981" xr:uid="{00000000-0005-0000-0000-0000AF5D0000}"/>
    <cellStyle name="Warning Text 2 2 2" xfId="22982" xr:uid="{00000000-0005-0000-0000-0000B05D0000}"/>
    <cellStyle name="Warning Text 2 2 3" xfId="22983" xr:uid="{00000000-0005-0000-0000-0000B15D0000}"/>
    <cellStyle name="Warning Text 2 2 4" xfId="22984" xr:uid="{00000000-0005-0000-0000-0000B25D0000}"/>
    <cellStyle name="Warning Text 2 3" xfId="22985" xr:uid="{00000000-0005-0000-0000-0000B35D0000}"/>
    <cellStyle name="Warning Text 2 3 2" xfId="22986" xr:uid="{00000000-0005-0000-0000-0000B45D0000}"/>
    <cellStyle name="Warning Text 2 3 3" xfId="22987" xr:uid="{00000000-0005-0000-0000-0000B55D0000}"/>
    <cellStyle name="Warning Text 2 3 4" xfId="22988" xr:uid="{00000000-0005-0000-0000-0000B65D0000}"/>
    <cellStyle name="Warning Text 2 4" xfId="22989" xr:uid="{00000000-0005-0000-0000-0000B75D0000}"/>
    <cellStyle name="Warning Text 2 4 2" xfId="22990" xr:uid="{00000000-0005-0000-0000-0000B85D0000}"/>
    <cellStyle name="Warning Text 2 4 3" xfId="22991" xr:uid="{00000000-0005-0000-0000-0000B95D0000}"/>
    <cellStyle name="Warning Text 2 4 4" xfId="22992" xr:uid="{00000000-0005-0000-0000-0000BA5D0000}"/>
    <cellStyle name="Warning Text 2 5" xfId="22993" xr:uid="{00000000-0005-0000-0000-0000BB5D0000}"/>
    <cellStyle name="Warning Text 2 6" xfId="22994" xr:uid="{00000000-0005-0000-0000-0000BC5D0000}"/>
    <cellStyle name="Warning Text 2 7" xfId="22995" xr:uid="{00000000-0005-0000-0000-0000BD5D0000}"/>
    <cellStyle name="Warning Text 2 8" xfId="22996" xr:uid="{00000000-0005-0000-0000-0000BE5D0000}"/>
    <cellStyle name="Warning Text 20" xfId="22997" xr:uid="{00000000-0005-0000-0000-0000BF5D0000}"/>
    <cellStyle name="Warning Text 20 2" xfId="22998" xr:uid="{00000000-0005-0000-0000-0000C05D0000}"/>
    <cellStyle name="Warning Text 20 3" xfId="22999" xr:uid="{00000000-0005-0000-0000-0000C15D0000}"/>
    <cellStyle name="Warning Text 20 4" xfId="23000" xr:uid="{00000000-0005-0000-0000-0000C25D0000}"/>
    <cellStyle name="Warning Text 21" xfId="23001" xr:uid="{00000000-0005-0000-0000-0000C35D0000}"/>
    <cellStyle name="Warning Text 21 2" xfId="23002" xr:uid="{00000000-0005-0000-0000-0000C45D0000}"/>
    <cellStyle name="Warning Text 21 3" xfId="23003" xr:uid="{00000000-0005-0000-0000-0000C55D0000}"/>
    <cellStyle name="Warning Text 21 4" xfId="23004" xr:uid="{00000000-0005-0000-0000-0000C65D0000}"/>
    <cellStyle name="Warning Text 22" xfId="23005" xr:uid="{00000000-0005-0000-0000-0000C75D0000}"/>
    <cellStyle name="Warning Text 22 2" xfId="23006" xr:uid="{00000000-0005-0000-0000-0000C85D0000}"/>
    <cellStyle name="Warning Text 22 3" xfId="23007" xr:uid="{00000000-0005-0000-0000-0000C95D0000}"/>
    <cellStyle name="Warning Text 22 4" xfId="23008" xr:uid="{00000000-0005-0000-0000-0000CA5D0000}"/>
    <cellStyle name="Warning Text 23" xfId="23009" xr:uid="{00000000-0005-0000-0000-0000CB5D0000}"/>
    <cellStyle name="Warning Text 23 2" xfId="23010" xr:uid="{00000000-0005-0000-0000-0000CC5D0000}"/>
    <cellStyle name="Warning Text 23 3" xfId="23011" xr:uid="{00000000-0005-0000-0000-0000CD5D0000}"/>
    <cellStyle name="Warning Text 23 4" xfId="23012" xr:uid="{00000000-0005-0000-0000-0000CE5D0000}"/>
    <cellStyle name="Warning Text 24" xfId="23013" xr:uid="{00000000-0005-0000-0000-0000CF5D0000}"/>
    <cellStyle name="Warning Text 24 2" xfId="23014" xr:uid="{00000000-0005-0000-0000-0000D05D0000}"/>
    <cellStyle name="Warning Text 24 3" xfId="23015" xr:uid="{00000000-0005-0000-0000-0000D15D0000}"/>
    <cellStyle name="Warning Text 24 4" xfId="23016" xr:uid="{00000000-0005-0000-0000-0000D25D0000}"/>
    <cellStyle name="Warning Text 25" xfId="23017" xr:uid="{00000000-0005-0000-0000-0000D35D0000}"/>
    <cellStyle name="Warning Text 25 2" xfId="23018" xr:uid="{00000000-0005-0000-0000-0000D45D0000}"/>
    <cellStyle name="Warning Text 25 3" xfId="23019" xr:uid="{00000000-0005-0000-0000-0000D55D0000}"/>
    <cellStyle name="Warning Text 25 4" xfId="23020" xr:uid="{00000000-0005-0000-0000-0000D65D0000}"/>
    <cellStyle name="Warning Text 26" xfId="23021" xr:uid="{00000000-0005-0000-0000-0000D75D0000}"/>
    <cellStyle name="Warning Text 26 2" xfId="23022" xr:uid="{00000000-0005-0000-0000-0000D85D0000}"/>
    <cellStyle name="Warning Text 26 3" xfId="23023" xr:uid="{00000000-0005-0000-0000-0000D95D0000}"/>
    <cellStyle name="Warning Text 26 4" xfId="23024" xr:uid="{00000000-0005-0000-0000-0000DA5D0000}"/>
    <cellStyle name="Warning Text 27" xfId="23025" xr:uid="{00000000-0005-0000-0000-0000DB5D0000}"/>
    <cellStyle name="Warning Text 27 2" xfId="23026" xr:uid="{00000000-0005-0000-0000-0000DC5D0000}"/>
    <cellStyle name="Warning Text 27 3" xfId="23027" xr:uid="{00000000-0005-0000-0000-0000DD5D0000}"/>
    <cellStyle name="Warning Text 27 4" xfId="23028" xr:uid="{00000000-0005-0000-0000-0000DE5D0000}"/>
    <cellStyle name="Warning Text 28" xfId="23029" xr:uid="{00000000-0005-0000-0000-0000DF5D0000}"/>
    <cellStyle name="Warning Text 28 2" xfId="23030" xr:uid="{00000000-0005-0000-0000-0000E05D0000}"/>
    <cellStyle name="Warning Text 28 3" xfId="23031" xr:uid="{00000000-0005-0000-0000-0000E15D0000}"/>
    <cellStyle name="Warning Text 28 4" xfId="23032" xr:uid="{00000000-0005-0000-0000-0000E25D0000}"/>
    <cellStyle name="Warning Text 29" xfId="23033" xr:uid="{00000000-0005-0000-0000-0000E35D0000}"/>
    <cellStyle name="Warning Text 29 2" xfId="23034" xr:uid="{00000000-0005-0000-0000-0000E45D0000}"/>
    <cellStyle name="Warning Text 29 3" xfId="23035" xr:uid="{00000000-0005-0000-0000-0000E55D0000}"/>
    <cellStyle name="Warning Text 29 4" xfId="23036" xr:uid="{00000000-0005-0000-0000-0000E65D0000}"/>
    <cellStyle name="Warning Text 3" xfId="23037" xr:uid="{00000000-0005-0000-0000-0000E75D0000}"/>
    <cellStyle name="Warning Text 3 2" xfId="23038" xr:uid="{00000000-0005-0000-0000-0000E85D0000}"/>
    <cellStyle name="Warning Text 3 2 2" xfId="23039" xr:uid="{00000000-0005-0000-0000-0000E95D0000}"/>
    <cellStyle name="Warning Text 3 2 3" xfId="23040" xr:uid="{00000000-0005-0000-0000-0000EA5D0000}"/>
    <cellStyle name="Warning Text 3 2 4" xfId="23041" xr:uid="{00000000-0005-0000-0000-0000EB5D0000}"/>
    <cellStyle name="Warning Text 3 3" xfId="23042" xr:uid="{00000000-0005-0000-0000-0000EC5D0000}"/>
    <cellStyle name="Warning Text 3 3 2" xfId="23043" xr:uid="{00000000-0005-0000-0000-0000ED5D0000}"/>
    <cellStyle name="Warning Text 3 3 3" xfId="23044" xr:uid="{00000000-0005-0000-0000-0000EE5D0000}"/>
    <cellStyle name="Warning Text 3 3 4" xfId="23045" xr:uid="{00000000-0005-0000-0000-0000EF5D0000}"/>
    <cellStyle name="Warning Text 3 4" xfId="23046" xr:uid="{00000000-0005-0000-0000-0000F05D0000}"/>
    <cellStyle name="Warning Text 3 4 2" xfId="23047" xr:uid="{00000000-0005-0000-0000-0000F15D0000}"/>
    <cellStyle name="Warning Text 3 4 3" xfId="23048" xr:uid="{00000000-0005-0000-0000-0000F25D0000}"/>
    <cellStyle name="Warning Text 3 4 4" xfId="23049" xr:uid="{00000000-0005-0000-0000-0000F35D0000}"/>
    <cellStyle name="Warning Text 3 5" xfId="23050" xr:uid="{00000000-0005-0000-0000-0000F45D0000}"/>
    <cellStyle name="Warning Text 3 6" xfId="23051" xr:uid="{00000000-0005-0000-0000-0000F55D0000}"/>
    <cellStyle name="Warning Text 3 7" xfId="23052" xr:uid="{00000000-0005-0000-0000-0000F65D0000}"/>
    <cellStyle name="Warning Text 3 8" xfId="23053" xr:uid="{00000000-0005-0000-0000-0000F75D0000}"/>
    <cellStyle name="Warning Text 30" xfId="23054" xr:uid="{00000000-0005-0000-0000-0000F85D0000}"/>
    <cellStyle name="Warning Text 31" xfId="23055" xr:uid="{00000000-0005-0000-0000-0000F95D0000}"/>
    <cellStyle name="Warning Text 32" xfId="23056" xr:uid="{00000000-0005-0000-0000-0000FA5D0000}"/>
    <cellStyle name="Warning Text 4" xfId="23057" xr:uid="{00000000-0005-0000-0000-0000FB5D0000}"/>
    <cellStyle name="Warning Text 4 2" xfId="23058" xr:uid="{00000000-0005-0000-0000-0000FC5D0000}"/>
    <cellStyle name="Warning Text 4 3" xfId="23059" xr:uid="{00000000-0005-0000-0000-0000FD5D0000}"/>
    <cellStyle name="Warning Text 4 4" xfId="23060" xr:uid="{00000000-0005-0000-0000-0000FE5D0000}"/>
    <cellStyle name="Warning Text 4 5" xfId="23061" xr:uid="{00000000-0005-0000-0000-0000FF5D0000}"/>
    <cellStyle name="Warning Text 5" xfId="23062" xr:uid="{00000000-0005-0000-0000-0000005E0000}"/>
    <cellStyle name="Warning Text 5 2" xfId="23063" xr:uid="{00000000-0005-0000-0000-0000015E0000}"/>
    <cellStyle name="Warning Text 5 3" xfId="23064" xr:uid="{00000000-0005-0000-0000-0000025E0000}"/>
    <cellStyle name="Warning Text 5 4" xfId="23065" xr:uid="{00000000-0005-0000-0000-0000035E0000}"/>
    <cellStyle name="Warning Text 5 5" xfId="23066" xr:uid="{00000000-0005-0000-0000-0000045E0000}"/>
    <cellStyle name="Warning Text 6" xfId="23067" xr:uid="{00000000-0005-0000-0000-0000055E0000}"/>
    <cellStyle name="Warning Text 6 2" xfId="23068" xr:uid="{00000000-0005-0000-0000-0000065E0000}"/>
    <cellStyle name="Warning Text 6 3" xfId="23069" xr:uid="{00000000-0005-0000-0000-0000075E0000}"/>
    <cellStyle name="Warning Text 6 4" xfId="23070" xr:uid="{00000000-0005-0000-0000-0000085E0000}"/>
    <cellStyle name="Warning Text 6 5" xfId="23071" xr:uid="{00000000-0005-0000-0000-0000095E0000}"/>
    <cellStyle name="Warning Text 7" xfId="23072" xr:uid="{00000000-0005-0000-0000-00000A5E0000}"/>
    <cellStyle name="Warning Text 7 2" xfId="23073" xr:uid="{00000000-0005-0000-0000-00000B5E0000}"/>
    <cellStyle name="Warning Text 7 3" xfId="23074" xr:uid="{00000000-0005-0000-0000-00000C5E0000}"/>
    <cellStyle name="Warning Text 7 4" xfId="23075" xr:uid="{00000000-0005-0000-0000-00000D5E0000}"/>
    <cellStyle name="Warning Text 7 5" xfId="23076" xr:uid="{00000000-0005-0000-0000-00000E5E0000}"/>
    <cellStyle name="Warning Text 8" xfId="23077" xr:uid="{00000000-0005-0000-0000-00000F5E0000}"/>
    <cellStyle name="Warning Text 8 2" xfId="23078" xr:uid="{00000000-0005-0000-0000-0000105E0000}"/>
    <cellStyle name="Warning Text 8 3" xfId="23079" xr:uid="{00000000-0005-0000-0000-0000115E0000}"/>
    <cellStyle name="Warning Text 8 4" xfId="23080" xr:uid="{00000000-0005-0000-0000-0000125E0000}"/>
    <cellStyle name="Warning Text 8 5" xfId="23081" xr:uid="{00000000-0005-0000-0000-0000135E0000}"/>
    <cellStyle name="Warning Text 9" xfId="23082" xr:uid="{00000000-0005-0000-0000-0000145E0000}"/>
    <cellStyle name="Warning Text 9 2" xfId="23083" xr:uid="{00000000-0005-0000-0000-0000155E0000}"/>
    <cellStyle name="Warning Text 9 3" xfId="23084" xr:uid="{00000000-0005-0000-0000-0000165E0000}"/>
    <cellStyle name="Warning Text 9 4" xfId="23085" xr:uid="{00000000-0005-0000-0000-0000175E0000}"/>
    <cellStyle name="weekly" xfId="23086" xr:uid="{00000000-0005-0000-0000-0000185E0000}"/>
    <cellStyle name="weekly 2" xfId="23087" xr:uid="{00000000-0005-0000-0000-0000195E0000}"/>
    <cellStyle name="weekly 3" xfId="23088" xr:uid="{00000000-0005-0000-0000-00001A5E0000}"/>
    <cellStyle name="weekly 4" xfId="23089" xr:uid="{00000000-0005-0000-0000-00001B5E0000}"/>
    <cellStyle name="weekly 5" xfId="23090" xr:uid="{00000000-0005-0000-0000-00001C5E0000}"/>
    <cellStyle name="xstyle" xfId="23091" xr:uid="{00000000-0005-0000-0000-00001D5E0000}"/>
    <cellStyle name="xstyle 2" xfId="23092" xr:uid="{00000000-0005-0000-0000-00001E5E0000}"/>
    <cellStyle name="xstyle 3" xfId="23093" xr:uid="{00000000-0005-0000-0000-00001F5E0000}"/>
    <cellStyle name="xstyle 4" xfId="23094" xr:uid="{00000000-0005-0000-0000-0000205E0000}"/>
    <cellStyle name="Year" xfId="23095" xr:uid="{00000000-0005-0000-0000-0000215E0000}"/>
    <cellStyle name="Year 2" xfId="23096" xr:uid="{00000000-0005-0000-0000-0000225E0000}"/>
    <cellStyle name="Year 3" xfId="23097" xr:uid="{00000000-0005-0000-0000-0000235E0000}"/>
    <cellStyle name="Year 4" xfId="23098" xr:uid="{00000000-0005-0000-0000-0000245E0000}"/>
    <cellStyle name="yellow" xfId="23099" xr:uid="{00000000-0005-0000-0000-0000255E0000}"/>
    <cellStyle name="yellow 2" xfId="23100" xr:uid="{00000000-0005-0000-0000-0000265E0000}"/>
    <cellStyle name="yellow 3" xfId="23101" xr:uid="{00000000-0005-0000-0000-0000275E0000}"/>
    <cellStyle name="yellow 4" xfId="23102" xr:uid="{00000000-0005-0000-0000-0000285E0000}"/>
    <cellStyle name="yellow 5" xfId="23103" xr:uid="{00000000-0005-0000-0000-0000295E0000}"/>
    <cellStyle name="Złe" xfId="25624" xr:uid="{00000000-0005-0000-0000-00002A5E0000}"/>
    <cellStyle name="Złe 2" xfId="25625" xr:uid="{00000000-0005-0000-0000-00002B5E0000}"/>
    <cellStyle name="Złe 3" xfId="25626" xr:uid="{00000000-0005-0000-0000-00002C5E0000}"/>
    <cellStyle name="_↖1" xfId="23104" xr:uid="{00000000-0005-0000-0000-00002D5E0000}"/>
    <cellStyle name="_INV849B1" xfId="23105" xr:uid="{00000000-0005-0000-0000-00002E5E0000}"/>
    <cellStyle name="?[0]_0109" xfId="23106" xr:uid="{00000000-0005-0000-0000-00002F5E0000}"/>
    <cellStyle name="?_0109" xfId="23107" xr:uid="{00000000-0005-0000-0000-0000305E0000}"/>
    <cellStyle name="だ[0]_pldt" xfId="23108" xr:uid="{00000000-0005-0000-0000-0000315E0000}"/>
    <cellStyle name="だ_pldt" xfId="23109" xr:uid="{00000000-0005-0000-0000-0000325E0000}"/>
    <cellStyle name="籵_pldt" xfId="23110" xr:uid="{00000000-0005-0000-0000-0000335E0000}"/>
    <cellStyle name="煦弇[0]_pldt" xfId="23111" xr:uid="{00000000-0005-0000-0000-0000345E0000}"/>
    <cellStyle name="煦弇_pldt" xfId="23112" xr:uid="{00000000-0005-0000-0000-0000355E0000}"/>
    <cellStyle name="강조색1" xfId="25627" xr:uid="{00000000-0005-0000-0000-0000365E0000}"/>
    <cellStyle name="강조색1 2" xfId="25628" xr:uid="{00000000-0005-0000-0000-0000375E0000}"/>
    <cellStyle name="강조색1 3" xfId="25629" xr:uid="{00000000-0005-0000-0000-0000385E0000}"/>
    <cellStyle name="강조색2" xfId="25630" xr:uid="{00000000-0005-0000-0000-0000395E0000}"/>
    <cellStyle name="강조색2 2" xfId="25631" xr:uid="{00000000-0005-0000-0000-00003A5E0000}"/>
    <cellStyle name="강조색2 3" xfId="25632" xr:uid="{00000000-0005-0000-0000-00003B5E0000}"/>
    <cellStyle name="강조색3" xfId="25633" xr:uid="{00000000-0005-0000-0000-00003C5E0000}"/>
    <cellStyle name="강조색3 2" xfId="25634" xr:uid="{00000000-0005-0000-0000-00003D5E0000}"/>
    <cellStyle name="강조색3 3" xfId="25635" xr:uid="{00000000-0005-0000-0000-00003E5E0000}"/>
    <cellStyle name="강조색4" xfId="25636" xr:uid="{00000000-0005-0000-0000-00003F5E0000}"/>
    <cellStyle name="강조색4 2" xfId="25637" xr:uid="{00000000-0005-0000-0000-0000405E0000}"/>
    <cellStyle name="강조색4 3" xfId="25638" xr:uid="{00000000-0005-0000-0000-0000415E0000}"/>
    <cellStyle name="강조색5" xfId="25639" xr:uid="{00000000-0005-0000-0000-0000425E0000}"/>
    <cellStyle name="강조색5 2" xfId="25640" xr:uid="{00000000-0005-0000-0000-0000435E0000}"/>
    <cellStyle name="강조색5 3" xfId="25641" xr:uid="{00000000-0005-0000-0000-0000445E0000}"/>
    <cellStyle name="강조색6" xfId="25642" xr:uid="{00000000-0005-0000-0000-0000455E0000}"/>
    <cellStyle name="강조색6 2" xfId="25643" xr:uid="{00000000-0005-0000-0000-0000465E0000}"/>
    <cellStyle name="강조색6 3" xfId="25644" xr:uid="{00000000-0005-0000-0000-0000475E0000}"/>
    <cellStyle name="百分比 2" xfId="24494" xr:uid="{00000000-0005-0000-0000-00008A640000}"/>
    <cellStyle name="百分比 2 2" xfId="24495" xr:uid="{00000000-0005-0000-0000-00008B640000}"/>
    <cellStyle name="百分比 2 3" xfId="24496" xr:uid="{00000000-0005-0000-0000-00008C640000}"/>
    <cellStyle name="百分比 2 4" xfId="24497" xr:uid="{00000000-0005-0000-0000-00008D640000}"/>
    <cellStyle name="百分比 2 5" xfId="24498" xr:uid="{00000000-0005-0000-0000-00008E640000}"/>
    <cellStyle name="百分比 3" xfId="24499" xr:uid="{00000000-0005-0000-0000-00008F640000}"/>
    <cellStyle name="百分比 3 2" xfId="25866" xr:uid="{00000000-0005-0000-0000-000090640000}"/>
    <cellStyle name="百分比 4" xfId="24500" xr:uid="{00000000-0005-0000-0000-000091640000}"/>
    <cellStyle name="百分比 5" xfId="25867" xr:uid="{00000000-0005-0000-0000-000092640000}"/>
    <cellStyle name="标题" xfId="24370" xr:uid="{00000000-0005-0000-0000-0000FE630000}"/>
    <cellStyle name="标题 1" xfId="24371" xr:uid="{00000000-0005-0000-0000-0000FF630000}"/>
    <cellStyle name="标题 1 2" xfId="24372" xr:uid="{00000000-0005-0000-0000-000000640000}"/>
    <cellStyle name="标题 1 2 2" xfId="24373" xr:uid="{00000000-0005-0000-0000-000001640000}"/>
    <cellStyle name="标题 1 2 3" xfId="24374" xr:uid="{00000000-0005-0000-0000-000002640000}"/>
    <cellStyle name="标题 1 2 4" xfId="24375" xr:uid="{00000000-0005-0000-0000-000003640000}"/>
    <cellStyle name="标题 1 2 5" xfId="24376" xr:uid="{00000000-0005-0000-0000-000004640000}"/>
    <cellStyle name="标题 1 3" xfId="24377" xr:uid="{00000000-0005-0000-0000-000005640000}"/>
    <cellStyle name="标题 1 3 2" xfId="24378" xr:uid="{00000000-0005-0000-0000-000006640000}"/>
    <cellStyle name="标题 1 3 3" xfId="24379" xr:uid="{00000000-0005-0000-0000-000007640000}"/>
    <cellStyle name="标题 1 4" xfId="24380" xr:uid="{00000000-0005-0000-0000-000008640000}"/>
    <cellStyle name="标题 1 5" xfId="24381" xr:uid="{00000000-0005-0000-0000-000009640000}"/>
    <cellStyle name="标题 1 6" xfId="24382" xr:uid="{00000000-0005-0000-0000-00000A640000}"/>
    <cellStyle name="标题 1 7" xfId="24383" xr:uid="{00000000-0005-0000-0000-00000B640000}"/>
    <cellStyle name="标题 10" xfId="24384" xr:uid="{00000000-0005-0000-0000-00000C640000}"/>
    <cellStyle name="标题 2" xfId="24385" xr:uid="{00000000-0005-0000-0000-00000D640000}"/>
    <cellStyle name="标题 2 2" xfId="24386" xr:uid="{00000000-0005-0000-0000-00000E640000}"/>
    <cellStyle name="标题 2 2 2" xfId="24387" xr:uid="{00000000-0005-0000-0000-00000F640000}"/>
    <cellStyle name="标题 2 2 3" xfId="24388" xr:uid="{00000000-0005-0000-0000-000010640000}"/>
    <cellStyle name="标题 2 2 4" xfId="24389" xr:uid="{00000000-0005-0000-0000-000011640000}"/>
    <cellStyle name="标题 2 2 5" xfId="24390" xr:uid="{00000000-0005-0000-0000-000012640000}"/>
    <cellStyle name="标题 2 3" xfId="24391" xr:uid="{00000000-0005-0000-0000-000013640000}"/>
    <cellStyle name="标题 2 3 2" xfId="24392" xr:uid="{00000000-0005-0000-0000-000014640000}"/>
    <cellStyle name="标题 2 3 3" xfId="24393" xr:uid="{00000000-0005-0000-0000-000015640000}"/>
    <cellStyle name="标题 2 4" xfId="24394" xr:uid="{00000000-0005-0000-0000-000016640000}"/>
    <cellStyle name="标题 2 5" xfId="24395" xr:uid="{00000000-0005-0000-0000-000017640000}"/>
    <cellStyle name="标题 2 6" xfId="24396" xr:uid="{00000000-0005-0000-0000-000018640000}"/>
    <cellStyle name="标题 2 7" xfId="24397" xr:uid="{00000000-0005-0000-0000-000019640000}"/>
    <cellStyle name="标题 3" xfId="24398" xr:uid="{00000000-0005-0000-0000-00001A640000}"/>
    <cellStyle name="标题 3 2" xfId="24399" xr:uid="{00000000-0005-0000-0000-00001B640000}"/>
    <cellStyle name="标题 3 2 2" xfId="24400" xr:uid="{00000000-0005-0000-0000-00001C640000}"/>
    <cellStyle name="标题 3 2 3" xfId="24401" xr:uid="{00000000-0005-0000-0000-00001D640000}"/>
    <cellStyle name="标题 3 2 4" xfId="24402" xr:uid="{00000000-0005-0000-0000-00001E640000}"/>
    <cellStyle name="标题 3 2 5" xfId="24403" xr:uid="{00000000-0005-0000-0000-00001F640000}"/>
    <cellStyle name="标题 3 3" xfId="24404" xr:uid="{00000000-0005-0000-0000-000020640000}"/>
    <cellStyle name="标题 3 3 2" xfId="24405" xr:uid="{00000000-0005-0000-0000-000021640000}"/>
    <cellStyle name="标题 3 3 3" xfId="24406" xr:uid="{00000000-0005-0000-0000-000022640000}"/>
    <cellStyle name="标题 3 4" xfId="24407" xr:uid="{00000000-0005-0000-0000-000023640000}"/>
    <cellStyle name="标题 3 5" xfId="24408" xr:uid="{00000000-0005-0000-0000-000024640000}"/>
    <cellStyle name="标题 3 6" xfId="24409" xr:uid="{00000000-0005-0000-0000-000025640000}"/>
    <cellStyle name="标题 3 7" xfId="24410" xr:uid="{00000000-0005-0000-0000-000026640000}"/>
    <cellStyle name="标题 4" xfId="24411" xr:uid="{00000000-0005-0000-0000-000027640000}"/>
    <cellStyle name="标题 4 2" xfId="24412" xr:uid="{00000000-0005-0000-0000-000028640000}"/>
    <cellStyle name="标题 4 2 2" xfId="24413" xr:uid="{00000000-0005-0000-0000-000029640000}"/>
    <cellStyle name="标题 4 2 3" xfId="24414" xr:uid="{00000000-0005-0000-0000-00002A640000}"/>
    <cellStyle name="标题 4 2 4" xfId="24415" xr:uid="{00000000-0005-0000-0000-00002B640000}"/>
    <cellStyle name="标题 4 2 5" xfId="24416" xr:uid="{00000000-0005-0000-0000-00002C640000}"/>
    <cellStyle name="标题 4 3" xfId="24417" xr:uid="{00000000-0005-0000-0000-00002D640000}"/>
    <cellStyle name="标题 4 3 2" xfId="24418" xr:uid="{00000000-0005-0000-0000-00002E640000}"/>
    <cellStyle name="标题 4 3 3" xfId="24419" xr:uid="{00000000-0005-0000-0000-00002F640000}"/>
    <cellStyle name="标题 4 4" xfId="24420" xr:uid="{00000000-0005-0000-0000-000030640000}"/>
    <cellStyle name="标题 4 5" xfId="24421" xr:uid="{00000000-0005-0000-0000-000031640000}"/>
    <cellStyle name="标题 4 6" xfId="24422" xr:uid="{00000000-0005-0000-0000-000032640000}"/>
    <cellStyle name="标题 4 7" xfId="24423" xr:uid="{00000000-0005-0000-0000-000033640000}"/>
    <cellStyle name="标题 5" xfId="24424" xr:uid="{00000000-0005-0000-0000-000034640000}"/>
    <cellStyle name="标题 5 2" xfId="24425" xr:uid="{00000000-0005-0000-0000-000035640000}"/>
    <cellStyle name="标题 5 3" xfId="24426" xr:uid="{00000000-0005-0000-0000-000036640000}"/>
    <cellStyle name="标题 5 4" xfId="24427" xr:uid="{00000000-0005-0000-0000-000037640000}"/>
    <cellStyle name="标题 5 5" xfId="24428" xr:uid="{00000000-0005-0000-0000-000038640000}"/>
    <cellStyle name="标题 6" xfId="24429" xr:uid="{00000000-0005-0000-0000-000039640000}"/>
    <cellStyle name="标题 6 2" xfId="24430" xr:uid="{00000000-0005-0000-0000-00003A640000}"/>
    <cellStyle name="标题 6 3" xfId="24431" xr:uid="{00000000-0005-0000-0000-00003B640000}"/>
    <cellStyle name="标题 7" xfId="24432" xr:uid="{00000000-0005-0000-0000-00003C640000}"/>
    <cellStyle name="标题 8" xfId="24433" xr:uid="{00000000-0005-0000-0000-00003D640000}"/>
    <cellStyle name="标题 9" xfId="24434" xr:uid="{00000000-0005-0000-0000-00003E640000}"/>
    <cellStyle name="标题_Copy of Approval Request Form-EN091013" xfId="24435" xr:uid="{00000000-0005-0000-0000-00003F640000}"/>
    <cellStyle name="標準_rfq" xfId="24458" xr:uid="{00000000-0005-0000-0000-000059640000}"/>
    <cellStyle name="경고문" xfId="25645" xr:uid="{00000000-0005-0000-0000-0000485E0000}"/>
    <cellStyle name="경고문 2" xfId="25646" xr:uid="{00000000-0005-0000-0000-0000495E0000}"/>
    <cellStyle name="경고문 3" xfId="25647" xr:uid="{00000000-0005-0000-0000-00004A5E0000}"/>
    <cellStyle name="계산" xfId="25648" xr:uid="{00000000-0005-0000-0000-00004B5E0000}"/>
    <cellStyle name="계산 2" xfId="25649" xr:uid="{00000000-0005-0000-0000-00004C5E0000}"/>
    <cellStyle name="계산 3" xfId="25650" xr:uid="{00000000-0005-0000-0000-00004D5E0000}"/>
    <cellStyle name="差" xfId="23704" xr:uid="{00000000-0005-0000-0000-00001A610000}"/>
    <cellStyle name="差 2" xfId="23705" xr:uid="{00000000-0005-0000-0000-00001B610000}"/>
    <cellStyle name="差 2 2" xfId="23706" xr:uid="{00000000-0005-0000-0000-00001C610000}"/>
    <cellStyle name="差 2 3" xfId="23707" xr:uid="{00000000-0005-0000-0000-00001D610000}"/>
    <cellStyle name="差 2 4" xfId="23708" xr:uid="{00000000-0005-0000-0000-00001E610000}"/>
    <cellStyle name="差 2 5" xfId="23709" xr:uid="{00000000-0005-0000-0000-00001F610000}"/>
    <cellStyle name="差 3" xfId="23710" xr:uid="{00000000-0005-0000-0000-000020610000}"/>
    <cellStyle name="差 3 2" xfId="23711" xr:uid="{00000000-0005-0000-0000-000021610000}"/>
    <cellStyle name="差 3 3" xfId="23712" xr:uid="{00000000-0005-0000-0000-000022610000}"/>
    <cellStyle name="差 4" xfId="23713" xr:uid="{00000000-0005-0000-0000-000023610000}"/>
    <cellStyle name="差 5" xfId="23714" xr:uid="{00000000-0005-0000-0000-000024610000}"/>
    <cellStyle name="差 6" xfId="23715" xr:uid="{00000000-0005-0000-0000-000025610000}"/>
    <cellStyle name="差 7" xfId="23716" xr:uid="{00000000-0005-0000-0000-000026610000}"/>
    <cellStyle name="差_ACE Application for Whirlpool TF101101 2010-12-14" xfId="25776" xr:uid="{00000000-0005-0000-0000-000027610000}"/>
    <cellStyle name="差_ACE Application for Whirlpool TF101101 2010-12-14 2" xfId="25777" xr:uid="{00000000-0005-0000-0000-000028610000}"/>
    <cellStyle name="差_ACE Application for Whirlpool TF101101 2010-12-14 3" xfId="25778" xr:uid="{00000000-0005-0000-0000-000029610000}"/>
    <cellStyle name="差_Add delete sheet for 2416286 rev N" xfId="23717" xr:uid="{00000000-0005-0000-0000-00002A610000}"/>
    <cellStyle name="差_Add delete sheet for 2416286 rev N 2" xfId="23718" xr:uid="{00000000-0005-0000-0000-00002B610000}"/>
    <cellStyle name="差_Add delete sheet for 2416286 rev N 2 2" xfId="23719" xr:uid="{00000000-0005-0000-0000-00002C610000}"/>
    <cellStyle name="差_Add delete sheet for 2416286 rev N 2 3" xfId="23720" xr:uid="{00000000-0005-0000-0000-00002D610000}"/>
    <cellStyle name="差_Add delete sheet for 2416286 rev N 2 4" xfId="23721" xr:uid="{00000000-0005-0000-0000-00002E610000}"/>
    <cellStyle name="差_Add delete sheet for 2416286 rev N 2 5" xfId="23722" xr:uid="{00000000-0005-0000-0000-00002F610000}"/>
    <cellStyle name="差_Add delete sheet for 2416286 rev N 3" xfId="23723" xr:uid="{00000000-0005-0000-0000-000030610000}"/>
    <cellStyle name="差_Add delete sheet for 2416286 rev N 3 2" xfId="23724" xr:uid="{00000000-0005-0000-0000-000031610000}"/>
    <cellStyle name="差_Add delete sheet for 2416286 rev N 3 3" xfId="23725" xr:uid="{00000000-0005-0000-0000-000032610000}"/>
    <cellStyle name="差_Add delete sheet for 2416286 rev N 4" xfId="23726" xr:uid="{00000000-0005-0000-0000-000033610000}"/>
    <cellStyle name="差_Add delete sheet for 2416286 rev N 5" xfId="23727" xr:uid="{00000000-0005-0000-0000-000034610000}"/>
    <cellStyle name="差_Add delete sheet for 2416286 rev N 6" xfId="23728" xr:uid="{00000000-0005-0000-0000-000035610000}"/>
    <cellStyle name="差_Add delete sheet for 2416286 rev N 7" xfId="23729" xr:uid="{00000000-0005-0000-0000-000036610000}"/>
    <cellStyle name="差_Amana IP-ECN's 4-28" xfId="25779" xr:uid="{00000000-0005-0000-0000-000037610000}"/>
    <cellStyle name="差_Amana IP-ECN's 4-28 2" xfId="25780" xr:uid="{00000000-0005-0000-0000-000038610000}"/>
    <cellStyle name="差_Amana IP-ECN's 4-28 3" xfId="25781" xr:uid="{00000000-0005-0000-0000-000039610000}"/>
    <cellStyle name="差_AP-3 Add delete sheet for 165D6182G007 R21" xfId="23730" xr:uid="{00000000-0005-0000-0000-00003A610000}"/>
    <cellStyle name="差_AP-3 Add delete sheet for 165D6182G007 R21 2" xfId="23731" xr:uid="{00000000-0005-0000-0000-00003B610000}"/>
    <cellStyle name="差_AP-3 Add delete sheet for 165D6182G007 R21 2 2" xfId="23732" xr:uid="{00000000-0005-0000-0000-00003C610000}"/>
    <cellStyle name="差_AP-3 Add delete sheet for 165D6182G007 R21 2 3" xfId="23733" xr:uid="{00000000-0005-0000-0000-00003D610000}"/>
    <cellStyle name="差_AP-3 Add delete sheet for 165D6182G007 R21 2 4" xfId="23734" xr:uid="{00000000-0005-0000-0000-00003E610000}"/>
    <cellStyle name="差_AP-3 Add delete sheet for 165D6182G007 R21 2 5" xfId="23735" xr:uid="{00000000-0005-0000-0000-00003F610000}"/>
    <cellStyle name="差_AP-3 Add delete sheet for 165D6182G007 R21 3" xfId="23736" xr:uid="{00000000-0005-0000-0000-000040610000}"/>
    <cellStyle name="差_AP-3 Add delete sheet for 165D6182G007 R21 3 2" xfId="23737" xr:uid="{00000000-0005-0000-0000-000041610000}"/>
    <cellStyle name="差_AP-3 Add delete sheet for 165D6182G007 R21 3 3" xfId="23738" xr:uid="{00000000-0005-0000-0000-000042610000}"/>
    <cellStyle name="差_AP-3 Add delete sheet for 165D6182G007 R21 3 4" xfId="23739" xr:uid="{00000000-0005-0000-0000-000043610000}"/>
    <cellStyle name="差_AP-3 Add delete sheet for 165D6182G007 R21 3 5" xfId="23740" xr:uid="{00000000-0005-0000-0000-000044610000}"/>
    <cellStyle name="差_AP-3 Add delete sheet for 165D6182G007 R21 4" xfId="23741" xr:uid="{00000000-0005-0000-0000-000045610000}"/>
    <cellStyle name="差_AP-3 Add delete sheet for 165D6182G007 R21 5" xfId="23742" xr:uid="{00000000-0005-0000-0000-000046610000}"/>
    <cellStyle name="差_AP-3 Add delete sheet for 165D6182G007 R21 6" xfId="23743" xr:uid="{00000000-0005-0000-0000-000047610000}"/>
    <cellStyle name="差_AP-3 Add delete sheet for 165D6182G007 R21 7" xfId="23744" xr:uid="{00000000-0005-0000-0000-000048610000}"/>
    <cellStyle name="差_CA080426 Madison" xfId="23745" xr:uid="{00000000-0005-0000-0000-000049610000}"/>
    <cellStyle name="差_CA080426 Madison 2" xfId="23746" xr:uid="{00000000-0005-0000-0000-00004A610000}"/>
    <cellStyle name="差_CA080426 Madison 2 2" xfId="23747" xr:uid="{00000000-0005-0000-0000-00004B610000}"/>
    <cellStyle name="差_CA080426 Madison 2 3" xfId="23748" xr:uid="{00000000-0005-0000-0000-00004C610000}"/>
    <cellStyle name="差_CA080426 Madison 3" xfId="23749" xr:uid="{00000000-0005-0000-0000-00004D610000}"/>
    <cellStyle name="差_CA080426 Madison 4" xfId="23750" xr:uid="{00000000-0005-0000-0000-00004E610000}"/>
    <cellStyle name="差_CA080426 Madison 5" xfId="23751" xr:uid="{00000000-0005-0000-0000-00004F610000}"/>
    <cellStyle name="差_CA080426 Madison 6" xfId="23752" xr:uid="{00000000-0005-0000-0000-000050610000}"/>
    <cellStyle name="差_CA080509 Madison 2008-5-9" xfId="23753" xr:uid="{00000000-0005-0000-0000-000051610000}"/>
    <cellStyle name="差_CA080509 Madison 2008-5-9 2" xfId="23754" xr:uid="{00000000-0005-0000-0000-000052610000}"/>
    <cellStyle name="差_CA080509 Madison 2008-5-9 2 2" xfId="23755" xr:uid="{00000000-0005-0000-0000-000053610000}"/>
    <cellStyle name="差_CA080509 Madison 2008-5-9 2 3" xfId="23756" xr:uid="{00000000-0005-0000-0000-000054610000}"/>
    <cellStyle name="差_CA080509 Madison 2008-5-9 3" xfId="23757" xr:uid="{00000000-0005-0000-0000-000055610000}"/>
    <cellStyle name="差_CA080509 Madison 2008-5-9 4" xfId="23758" xr:uid="{00000000-0005-0000-0000-000056610000}"/>
    <cellStyle name="差_CA080509 Madison 2008-5-9 5" xfId="23759" xr:uid="{00000000-0005-0000-0000-000057610000}"/>
    <cellStyle name="差_CA080509 Madison 2008-5-9 6" xfId="23760" xr:uid="{00000000-0005-0000-0000-000058610000}"/>
    <cellStyle name="差_CA080522 LITTLESWAN 2008-06-16" xfId="23761" xr:uid="{00000000-0005-0000-0000-000059610000}"/>
    <cellStyle name="差_CA080522 LITTLESWAN 2008-06-16 2" xfId="23762" xr:uid="{00000000-0005-0000-0000-00005A610000}"/>
    <cellStyle name="差_CA080522 LITTLESWAN 2008-06-16 2 2" xfId="23763" xr:uid="{00000000-0005-0000-0000-00005B610000}"/>
    <cellStyle name="差_CA080522 LITTLESWAN 2008-06-16 2 3" xfId="23764" xr:uid="{00000000-0005-0000-0000-00005C610000}"/>
    <cellStyle name="差_CA080522 LITTLESWAN 2008-06-16 3" xfId="23765" xr:uid="{00000000-0005-0000-0000-00005D610000}"/>
    <cellStyle name="差_CA080522 LITTLESWAN 2008-06-16 4" xfId="23766" xr:uid="{00000000-0005-0000-0000-00005E610000}"/>
    <cellStyle name="差_CA080522 LITTLESWAN 2008-06-16 5" xfId="23767" xr:uid="{00000000-0005-0000-0000-00005F610000}"/>
    <cellStyle name="差_CA080522 LITTLESWAN 2008-06-16 6" xfId="23768" xr:uid="{00000000-0005-0000-0000-000060610000}"/>
    <cellStyle name="差_CA080620 QUOTE Computime 6-24-08" xfId="23769" xr:uid="{00000000-0005-0000-0000-000061610000}"/>
    <cellStyle name="差_CA080620 QUOTE Computime 6-24-08 2" xfId="23770" xr:uid="{00000000-0005-0000-0000-000062610000}"/>
    <cellStyle name="差_CA080620 QUOTE Computime 6-24-08 2 2" xfId="23771" xr:uid="{00000000-0005-0000-0000-000063610000}"/>
    <cellStyle name="差_CA080620 QUOTE Computime 6-24-08 2 3" xfId="23772" xr:uid="{00000000-0005-0000-0000-000064610000}"/>
    <cellStyle name="差_CA080620 QUOTE Computime 6-24-08 3" xfId="23773" xr:uid="{00000000-0005-0000-0000-000065610000}"/>
    <cellStyle name="差_CA080620 QUOTE Computime 6-24-08 4" xfId="23774" xr:uid="{00000000-0005-0000-0000-000066610000}"/>
    <cellStyle name="差_CA080620 QUOTE Computime 6-24-08 5" xfId="23775" xr:uid="{00000000-0005-0000-0000-000067610000}"/>
    <cellStyle name="差_CA080620 QUOTE Computime 6-24-08 6" xfId="23776" xr:uid="{00000000-0005-0000-0000-000068610000}"/>
    <cellStyle name="差_CA080707 Midea 2008-07-9" xfId="23777" xr:uid="{00000000-0005-0000-0000-000069610000}"/>
    <cellStyle name="差_CA080707 Midea 2008-07-9 2" xfId="23778" xr:uid="{00000000-0005-0000-0000-00006A610000}"/>
    <cellStyle name="差_CA080707 Midea 2008-07-9 2 2" xfId="23779" xr:uid="{00000000-0005-0000-0000-00006B610000}"/>
    <cellStyle name="差_CA080707 Midea 2008-07-9 2 3" xfId="23780" xr:uid="{00000000-0005-0000-0000-00006C610000}"/>
    <cellStyle name="差_CA080707 Midea 2008-07-9 3" xfId="23781" xr:uid="{00000000-0005-0000-0000-00006D610000}"/>
    <cellStyle name="差_CA080707 Midea 2008-07-9 4" xfId="23782" xr:uid="{00000000-0005-0000-0000-00006E610000}"/>
    <cellStyle name="差_CA080707 Midea 2008-07-9 5" xfId="23783" xr:uid="{00000000-0005-0000-0000-00006F610000}"/>
    <cellStyle name="差_CA080707 Midea 2008-07-9 6" xfId="23784" xr:uid="{00000000-0005-0000-0000-000070610000}"/>
    <cellStyle name="差_CA080730 Midea 2008-07-23" xfId="23785" xr:uid="{00000000-0005-0000-0000-000071610000}"/>
    <cellStyle name="差_CA080730 Midea 2008-07-23 2" xfId="23786" xr:uid="{00000000-0005-0000-0000-000072610000}"/>
    <cellStyle name="差_CA080730 Midea 2008-07-23 3" xfId="23787" xr:uid="{00000000-0005-0000-0000-000073610000}"/>
    <cellStyle name="差_CA080730 Midea 2008-07-23 4" xfId="23788" xr:uid="{00000000-0005-0000-0000-000074610000}"/>
    <cellStyle name="差_CA080730 Midea 2008-07-23 5" xfId="23789" xr:uid="{00000000-0005-0000-0000-000075610000}"/>
    <cellStyle name="差_Cherry" xfId="23790" xr:uid="{00000000-0005-0000-0000-000076610000}"/>
    <cellStyle name="差_Cherry 2" xfId="23791" xr:uid="{00000000-0005-0000-0000-000077610000}"/>
    <cellStyle name="差_Cherry 3" xfId="23792" xr:uid="{00000000-0005-0000-0000-000078610000}"/>
    <cellStyle name="差_Cherry 4" xfId="23793" xr:uid="{00000000-0005-0000-0000-000079610000}"/>
    <cellStyle name="差_Cherry 5" xfId="23794" xr:uid="{00000000-0005-0000-0000-00007A610000}"/>
    <cellStyle name="差_Copy of Approval Request Form" xfId="23795" xr:uid="{00000000-0005-0000-0000-00007B610000}"/>
    <cellStyle name="差_Copy of Approval Request Form 2" xfId="23796" xr:uid="{00000000-0005-0000-0000-00007C610000}"/>
    <cellStyle name="差_Copy of Approval Request Form 2 2" xfId="23797" xr:uid="{00000000-0005-0000-0000-00007D610000}"/>
    <cellStyle name="差_Copy of Approval Request Form 2 3" xfId="23798" xr:uid="{00000000-0005-0000-0000-00007E610000}"/>
    <cellStyle name="差_Copy of Approval Request Form 3" xfId="23799" xr:uid="{00000000-0005-0000-0000-00007F610000}"/>
    <cellStyle name="差_Copy of Approval Request Form 4" xfId="23800" xr:uid="{00000000-0005-0000-0000-000080610000}"/>
    <cellStyle name="差_Copy of Approval Request Form 5" xfId="23801" xr:uid="{00000000-0005-0000-0000-000081610000}"/>
    <cellStyle name="差_Copy of Approval Request Form 6" xfId="23802" xr:uid="{00000000-0005-0000-0000-000082610000}"/>
    <cellStyle name="差_Copy of Approval Request Form-EN091013" xfId="23803" xr:uid="{00000000-0005-0000-0000-000083610000}"/>
    <cellStyle name="差_Copy of Approval Request Form-EN091013 2" xfId="23804" xr:uid="{00000000-0005-0000-0000-000084610000}"/>
    <cellStyle name="差_Copy of Approval Request Form-EN091013 2 2" xfId="23805" xr:uid="{00000000-0005-0000-0000-000085610000}"/>
    <cellStyle name="差_Copy of Approval Request Form-EN091013 2 3" xfId="23806" xr:uid="{00000000-0005-0000-0000-000086610000}"/>
    <cellStyle name="差_Copy of Approval Request Form-EN091013 3" xfId="23807" xr:uid="{00000000-0005-0000-0000-000087610000}"/>
    <cellStyle name="差_Copy of Approval Request Form-EN091013 4" xfId="23808" xr:uid="{00000000-0005-0000-0000-000088610000}"/>
    <cellStyle name="差_Copy of Approval Request Form-EN091013 5" xfId="23809" xr:uid="{00000000-0005-0000-0000-000089610000}"/>
    <cellStyle name="差_Copy of Approval Request Form-EN091013 6" xfId="23810" xr:uid="{00000000-0005-0000-0000-00008A610000}"/>
    <cellStyle name="差_E" xfId="23811" xr:uid="{00000000-0005-0000-0000-00008B610000}"/>
    <cellStyle name="差_E 2" xfId="23812" xr:uid="{00000000-0005-0000-0000-00008C610000}"/>
    <cellStyle name="差_E 2 2" xfId="23813" xr:uid="{00000000-0005-0000-0000-00008D610000}"/>
    <cellStyle name="差_E 2 3" xfId="23814" xr:uid="{00000000-0005-0000-0000-00008E610000}"/>
    <cellStyle name="差_E 3" xfId="23815" xr:uid="{00000000-0005-0000-0000-00008F610000}"/>
    <cellStyle name="差_E 4" xfId="23816" xr:uid="{00000000-0005-0000-0000-000090610000}"/>
    <cellStyle name="差_E 5" xfId="23817" xr:uid="{00000000-0005-0000-0000-000091610000}"/>
    <cellStyle name="差_E 6" xfId="23818" xr:uid="{00000000-0005-0000-0000-000092610000}"/>
    <cellStyle name="差_ECI Quotation Form 2008_HO" xfId="23819" xr:uid="{00000000-0005-0000-0000-000093610000}"/>
    <cellStyle name="差_ECI Quotation Form 2008_HO 2" xfId="23820" xr:uid="{00000000-0005-0000-0000-000094610000}"/>
    <cellStyle name="差_ECI Quotation Form 2008_HO 2 2" xfId="23821" xr:uid="{00000000-0005-0000-0000-000095610000}"/>
    <cellStyle name="差_ECI Quotation Form 2008_HO 2 3" xfId="23822" xr:uid="{00000000-0005-0000-0000-000096610000}"/>
    <cellStyle name="差_ECI Quotation Form 2008_HO 3" xfId="23823" xr:uid="{00000000-0005-0000-0000-000097610000}"/>
    <cellStyle name="差_ECI Quotation Form 2008_HO 4" xfId="23824" xr:uid="{00000000-0005-0000-0000-000098610000}"/>
    <cellStyle name="差_ECI Quotation Form 2008_HO 5" xfId="23825" xr:uid="{00000000-0005-0000-0000-000099610000}"/>
    <cellStyle name="差_ECI Quotation Form 2008_HO 6" xfId="23826" xr:uid="{00000000-0005-0000-0000-00009A610000}"/>
    <cellStyle name="差_Electrolux quote -Kaly" xfId="23827" xr:uid="{00000000-0005-0000-0000-00009B610000}"/>
    <cellStyle name="差_Electrolux quote -Kaly 2" xfId="23828" xr:uid="{00000000-0005-0000-0000-00009C610000}"/>
    <cellStyle name="差_Electrolux quote -Kaly 3" xfId="23829" xr:uid="{00000000-0005-0000-0000-00009D610000}"/>
    <cellStyle name="差_EU080320 Arcelik 2008-3-24" xfId="23830" xr:uid="{00000000-0005-0000-0000-00009E610000}"/>
    <cellStyle name="差_EU080320 Arcelik 2008-3-24 2" xfId="23831" xr:uid="{00000000-0005-0000-0000-00009F610000}"/>
    <cellStyle name="差_EU080320 Arcelik 2008-3-24 2 2" xfId="23832" xr:uid="{00000000-0005-0000-0000-0000A0610000}"/>
    <cellStyle name="差_EU080320 Arcelik 2008-3-24 2 3" xfId="23833" xr:uid="{00000000-0005-0000-0000-0000A1610000}"/>
    <cellStyle name="差_EU080320 Arcelik 2008-3-24 3" xfId="23834" xr:uid="{00000000-0005-0000-0000-0000A2610000}"/>
    <cellStyle name="差_EU080320 Arcelik 2008-3-24 4" xfId="23835" xr:uid="{00000000-0005-0000-0000-0000A3610000}"/>
    <cellStyle name="差_EU080320 Arcelik 2008-3-24 5" xfId="23836" xr:uid="{00000000-0005-0000-0000-0000A4610000}"/>
    <cellStyle name="差_EU080320 Arcelik 2008-3-24 6" xfId="23837" xr:uid="{00000000-0005-0000-0000-0000A5610000}"/>
    <cellStyle name="差_EU080320 Arcelik 2008-4-18 updated" xfId="23838" xr:uid="{00000000-0005-0000-0000-0000A6610000}"/>
    <cellStyle name="差_EU080320 Arcelik 2008-4-18 updated 2" xfId="23839" xr:uid="{00000000-0005-0000-0000-0000A7610000}"/>
    <cellStyle name="差_EU080320 Arcelik 2008-4-18 updated 2 2" xfId="23840" xr:uid="{00000000-0005-0000-0000-0000A8610000}"/>
    <cellStyle name="差_EU080320 Arcelik 2008-4-18 updated 2 3" xfId="23841" xr:uid="{00000000-0005-0000-0000-0000A9610000}"/>
    <cellStyle name="差_EU080320 Arcelik 2008-4-18 updated 3" xfId="23842" xr:uid="{00000000-0005-0000-0000-0000AA610000}"/>
    <cellStyle name="差_EU080320 Arcelik 2008-4-18 updated 4" xfId="23843" xr:uid="{00000000-0005-0000-0000-0000AB610000}"/>
    <cellStyle name="差_EU080320 Arcelik 2008-4-18 updated 5" xfId="23844" xr:uid="{00000000-0005-0000-0000-0000AC610000}"/>
    <cellStyle name="差_EU080320 Arcelik 2008-4-18 updated 6" xfId="23845" xr:uid="{00000000-0005-0000-0000-0000AD610000}"/>
    <cellStyle name="差_EU080405 Crosslee 2008-4-9" xfId="23846" xr:uid="{00000000-0005-0000-0000-0000AE610000}"/>
    <cellStyle name="差_EU080405 Crosslee 2008-4-9 2" xfId="23847" xr:uid="{00000000-0005-0000-0000-0000AF610000}"/>
    <cellStyle name="差_EU080405 Crosslee 2008-4-9 2 2" xfId="23848" xr:uid="{00000000-0005-0000-0000-0000B0610000}"/>
    <cellStyle name="差_EU080405 Crosslee 2008-4-9 2 3" xfId="23849" xr:uid="{00000000-0005-0000-0000-0000B1610000}"/>
    <cellStyle name="差_EU080405 Crosslee 2008-4-9 3" xfId="23850" xr:uid="{00000000-0005-0000-0000-0000B2610000}"/>
    <cellStyle name="差_EU080405 Crosslee 2008-4-9 4" xfId="23851" xr:uid="{00000000-0005-0000-0000-0000B3610000}"/>
    <cellStyle name="差_EU080405 Crosslee 2008-4-9 5" xfId="23852" xr:uid="{00000000-0005-0000-0000-0000B4610000}"/>
    <cellStyle name="差_EU080405 Crosslee 2008-4-9 6" xfId="23853" xr:uid="{00000000-0005-0000-0000-0000B5610000}"/>
    <cellStyle name="差_GetMXBOM-2010-11-17" xfId="25782" xr:uid="{00000000-0005-0000-0000-0000B6610000}"/>
    <cellStyle name="差_GetMXBOM-2010-11-17 2" xfId="25783" xr:uid="{00000000-0005-0000-0000-0000B7610000}"/>
    <cellStyle name="差_GetMXBOM-2010-11-17 3" xfId="25784" xr:uid="{00000000-0005-0000-0000-0000B8610000}"/>
    <cellStyle name="差_HZ090215 DESAY 2009-02-27" xfId="23854" xr:uid="{00000000-0005-0000-0000-0000B9610000}"/>
    <cellStyle name="差_HZ090215 DESAY 2009-02-27 2" xfId="23855" xr:uid="{00000000-0005-0000-0000-0000BA610000}"/>
    <cellStyle name="差_HZ090215 DESAY 2009-02-27 3" xfId="23856" xr:uid="{00000000-0005-0000-0000-0000BB610000}"/>
    <cellStyle name="差_HZ090215 DESAY 2009-02-27 4" xfId="23857" xr:uid="{00000000-0005-0000-0000-0000BC610000}"/>
    <cellStyle name="差_HZ090215 DESAY 2009-02-27 5" xfId="23858" xr:uid="{00000000-0005-0000-0000-0000BD610000}"/>
    <cellStyle name="差_HZ090505 Electrolux 090514 edward" xfId="23859" xr:uid="{00000000-0005-0000-0000-0000BE610000}"/>
    <cellStyle name="差_HZ090505 Electrolux 090514 edward 2" xfId="23860" xr:uid="{00000000-0005-0000-0000-0000BF610000}"/>
    <cellStyle name="差_HZ090505 Electrolux 090514 edward 3" xfId="23861" xr:uid="{00000000-0005-0000-0000-0000C0610000}"/>
    <cellStyle name="差_HZ090505 Electrolux 2009-05" xfId="23862" xr:uid="{00000000-0005-0000-0000-0000C1610000}"/>
    <cellStyle name="差_HZ090505 Electrolux 2009-05 2" xfId="23863" xr:uid="{00000000-0005-0000-0000-0000C2610000}"/>
    <cellStyle name="差_HZ090505 Electrolux 2009-05 3" xfId="23864" xr:uid="{00000000-0005-0000-0000-0000C3610000}"/>
    <cellStyle name="差_HZ090505 Electrolux 2009-05 David" xfId="23865" xr:uid="{00000000-0005-0000-0000-0000C4610000}"/>
    <cellStyle name="差_HZ090505 Electrolux 2009-05 David 2" xfId="23866" xr:uid="{00000000-0005-0000-0000-0000C5610000}"/>
    <cellStyle name="差_HZ090505 Electrolux 2009-05 David 3" xfId="23867" xr:uid="{00000000-0005-0000-0000-0000C6610000}"/>
    <cellStyle name="差_HZ090505 Electrolux 2009-05 george" xfId="23868" xr:uid="{00000000-0005-0000-0000-0000C7610000}"/>
    <cellStyle name="差_HZ090505 Electrolux 2009-05 george 2" xfId="23869" xr:uid="{00000000-0005-0000-0000-0000C8610000}"/>
    <cellStyle name="差_HZ090505 Electrolux 2009-05 george 3" xfId="23870" xr:uid="{00000000-0005-0000-0000-0000C9610000}"/>
    <cellStyle name="差_HZ090505 Electrolux 2009-05 -Kaly" xfId="23871" xr:uid="{00000000-0005-0000-0000-0000CA610000}"/>
    <cellStyle name="差_HZ090505 Electrolux 2009-05 -Kaly 2" xfId="23872" xr:uid="{00000000-0005-0000-0000-0000CB610000}"/>
    <cellStyle name="差_HZ090505 Electrolux 2009-05 -Kaly 3" xfId="23873" xr:uid="{00000000-0005-0000-0000-0000CC610000}"/>
    <cellStyle name="差_HZ090505 Electrolux 2009-06" xfId="23874" xr:uid="{00000000-0005-0000-0000-0000CD610000}"/>
    <cellStyle name="差_HZ090505 Electrolux 2009-06 2" xfId="23875" xr:uid="{00000000-0005-0000-0000-0000CE610000}"/>
    <cellStyle name="差_HZ090505 Electrolux 2009-06 3" xfId="23876" xr:uid="{00000000-0005-0000-0000-0000CF610000}"/>
    <cellStyle name="差_HZ090505 Electrolux-David" xfId="23877" xr:uid="{00000000-0005-0000-0000-0000D0610000}"/>
    <cellStyle name="差_HZ090505 Electrolux-David 2" xfId="23878" xr:uid="{00000000-0005-0000-0000-0000D1610000}"/>
    <cellStyle name="差_HZ090505 Electrolux-David 2 2" xfId="23879" xr:uid="{00000000-0005-0000-0000-0000D2610000}"/>
    <cellStyle name="差_HZ090505 Electrolux-David 2 3" xfId="23880" xr:uid="{00000000-0005-0000-0000-0000D3610000}"/>
    <cellStyle name="差_HZ090505 Electrolux-David 3" xfId="23881" xr:uid="{00000000-0005-0000-0000-0000D4610000}"/>
    <cellStyle name="差_HZ090505 Electrolux-David 4" xfId="23882" xr:uid="{00000000-0005-0000-0000-0000D5610000}"/>
    <cellStyle name="差_HZ090505 Electrolux-David 5" xfId="23883" xr:uid="{00000000-0005-0000-0000-0000D6610000}"/>
    <cellStyle name="差_HZ090505 Electrolux-David 6" xfId="23884" xr:uid="{00000000-0005-0000-0000-0000D7610000}"/>
    <cellStyle name="差_HZ090703 Midea 2009" xfId="23885" xr:uid="{00000000-0005-0000-0000-0000D8610000}"/>
    <cellStyle name="差_HZ090703 Midea 2009 2" xfId="23886" xr:uid="{00000000-0005-0000-0000-0000D9610000}"/>
    <cellStyle name="差_HZ090703 Midea 2009 2 2" xfId="23887" xr:uid="{00000000-0005-0000-0000-0000DA610000}"/>
    <cellStyle name="差_HZ090703 Midea 2009 2 3" xfId="23888" xr:uid="{00000000-0005-0000-0000-0000DB610000}"/>
    <cellStyle name="差_HZ090703 Midea 2009 3" xfId="23889" xr:uid="{00000000-0005-0000-0000-0000DC610000}"/>
    <cellStyle name="差_HZ090703 Midea 2009 4" xfId="23890" xr:uid="{00000000-0005-0000-0000-0000DD610000}"/>
    <cellStyle name="差_HZ090703 Midea 2009 5" xfId="23891" xr:uid="{00000000-0005-0000-0000-0000DE610000}"/>
    <cellStyle name="差_HZ090703 Midea 2009 6" xfId="23892" xr:uid="{00000000-0005-0000-0000-0000DF610000}"/>
    <cellStyle name="差_HZ090806 Midea Samsung 2009-12-15" xfId="23893" xr:uid="{00000000-0005-0000-0000-0000E0610000}"/>
    <cellStyle name="差_HZ090806 Midea Samsung 2009-12-15 2" xfId="23894" xr:uid="{00000000-0005-0000-0000-0000E1610000}"/>
    <cellStyle name="差_HZ090806 Midea Samsung 2009-12-15 2 2" xfId="23895" xr:uid="{00000000-0005-0000-0000-0000E2610000}"/>
    <cellStyle name="差_HZ090806 Midea Samsung 2009-12-15 2 3" xfId="23896" xr:uid="{00000000-0005-0000-0000-0000E3610000}"/>
    <cellStyle name="差_HZ090806 Midea Samsung 2009-12-15 3" xfId="23897" xr:uid="{00000000-0005-0000-0000-0000E4610000}"/>
    <cellStyle name="差_HZ090806 Midea Samsung 2009-12-15 4" xfId="23898" xr:uid="{00000000-0005-0000-0000-0000E5610000}"/>
    <cellStyle name="差_HZ090806 Midea Samsung 2009-12-15 5" xfId="23899" xr:uid="{00000000-0005-0000-0000-0000E6610000}"/>
    <cellStyle name="差_HZ090806 Midea Samsung 2009-12-15 6" xfId="23900" xr:uid="{00000000-0005-0000-0000-0000E7610000}"/>
    <cellStyle name="差_HZ090806 Midea Samsung 2009-12-16" xfId="23901" xr:uid="{00000000-0005-0000-0000-0000E8610000}"/>
    <cellStyle name="差_HZ090806 Midea Samsung 2009-12-16 2" xfId="23902" xr:uid="{00000000-0005-0000-0000-0000E9610000}"/>
    <cellStyle name="差_HZ090806 Midea Samsung 2009-12-16 2 2" xfId="23903" xr:uid="{00000000-0005-0000-0000-0000EA610000}"/>
    <cellStyle name="差_HZ090806 Midea Samsung 2009-12-16 2 3" xfId="23904" xr:uid="{00000000-0005-0000-0000-0000EB610000}"/>
    <cellStyle name="差_HZ090806 Midea Samsung 2009-12-16 3" xfId="23905" xr:uid="{00000000-0005-0000-0000-0000EC610000}"/>
    <cellStyle name="差_HZ090806 Midea Samsung 2009-12-16 4" xfId="23906" xr:uid="{00000000-0005-0000-0000-0000ED610000}"/>
    <cellStyle name="差_HZ090806 Midea Samsung 2009-12-16 5" xfId="23907" xr:uid="{00000000-0005-0000-0000-0000EE610000}"/>
    <cellStyle name="差_HZ090806 Midea Samsung 2009-12-16 6" xfId="23908" xr:uid="{00000000-0005-0000-0000-0000EF610000}"/>
    <cellStyle name="差_HZ090806 Midea-Samsung 2009 (CHINA)" xfId="23909" xr:uid="{00000000-0005-0000-0000-0000F0610000}"/>
    <cellStyle name="差_HZ090806 Midea-Samsung 2009 (CHINA) 2" xfId="23910" xr:uid="{00000000-0005-0000-0000-0000F1610000}"/>
    <cellStyle name="差_HZ090806 Midea-Samsung 2009 (CHINA) 2 2" xfId="23911" xr:uid="{00000000-0005-0000-0000-0000F2610000}"/>
    <cellStyle name="差_HZ090806 Midea-Samsung 2009 (CHINA) 2 3" xfId="23912" xr:uid="{00000000-0005-0000-0000-0000F3610000}"/>
    <cellStyle name="差_HZ090806 Midea-Samsung 2009 (CHINA) 3" xfId="23913" xr:uid="{00000000-0005-0000-0000-0000F4610000}"/>
    <cellStyle name="差_HZ090806 Midea-Samsung 2009 (CHINA) 4" xfId="23914" xr:uid="{00000000-0005-0000-0000-0000F5610000}"/>
    <cellStyle name="差_HZ090806 Midea-Samsung 2009 (CHINA) 5" xfId="23915" xr:uid="{00000000-0005-0000-0000-0000F6610000}"/>
    <cellStyle name="差_HZ090806 Midea-Samsung 2009 (CHINA) 6" xfId="23916" xr:uid="{00000000-0005-0000-0000-0000F7610000}"/>
    <cellStyle name="差_HZ090806 Midea-Samsung 2009-09-08" xfId="23917" xr:uid="{00000000-0005-0000-0000-0000F8610000}"/>
    <cellStyle name="差_HZ090806 Midea-Samsung 2009-09-08 2" xfId="23918" xr:uid="{00000000-0005-0000-0000-0000F9610000}"/>
    <cellStyle name="差_HZ090806 Midea-Samsung 2009-09-08 2 2" xfId="23919" xr:uid="{00000000-0005-0000-0000-0000FA610000}"/>
    <cellStyle name="差_HZ090806 Midea-Samsung 2009-09-08 2 3" xfId="23920" xr:uid="{00000000-0005-0000-0000-0000FB610000}"/>
    <cellStyle name="差_HZ090806 Midea-Samsung 2009-09-08 3" xfId="23921" xr:uid="{00000000-0005-0000-0000-0000FC610000}"/>
    <cellStyle name="差_HZ090806 Midea-Samsung 2009-09-08 4" xfId="23922" xr:uid="{00000000-0005-0000-0000-0000FD610000}"/>
    <cellStyle name="差_HZ090806 Midea-Samsung 2009-09-08 5" xfId="23923" xr:uid="{00000000-0005-0000-0000-0000FE610000}"/>
    <cellStyle name="差_HZ090806 Midea-Samsung 2009-09-08 6" xfId="23924" xr:uid="{00000000-0005-0000-0000-0000FF610000}"/>
    <cellStyle name="差_HZ100307 Electrolux Brizal 2010 (CHINA)" xfId="23925" xr:uid="{00000000-0005-0000-0000-000000620000}"/>
    <cellStyle name="差_HZ100307 Electrolux Brizal 2010 (CHINA) 2" xfId="23926" xr:uid="{00000000-0005-0000-0000-000001620000}"/>
    <cellStyle name="差_HZ100307 Electrolux Brizal 2010 (CHINA) 2 2" xfId="23927" xr:uid="{00000000-0005-0000-0000-000002620000}"/>
    <cellStyle name="差_HZ100307 Electrolux Brizal 2010 (CHINA) 2 3" xfId="23928" xr:uid="{00000000-0005-0000-0000-000003620000}"/>
    <cellStyle name="差_HZ100307 Electrolux Brizal 2010 (CHINA) 3" xfId="23929" xr:uid="{00000000-0005-0000-0000-000004620000}"/>
    <cellStyle name="差_HZ100307 Electrolux Brizal 2010 (CHINA) 4" xfId="23930" xr:uid="{00000000-0005-0000-0000-000005620000}"/>
    <cellStyle name="差_HZ100307 Electrolux Brizal 2010 (CHINA) 5" xfId="23931" xr:uid="{00000000-0005-0000-0000-000006620000}"/>
    <cellStyle name="差_HZ100307 Electrolux Brizal 2010 (CHINA) 6" xfId="23932" xr:uid="{00000000-0005-0000-0000-000007620000}"/>
    <cellStyle name="差_HZ100408 Toshiba (2010.04)" xfId="23933" xr:uid="{00000000-0005-0000-0000-000008620000}"/>
    <cellStyle name="差_HZ100408 Toshiba (2010.04) 2" xfId="23934" xr:uid="{00000000-0005-0000-0000-000009620000}"/>
    <cellStyle name="差_HZ100408 Toshiba (2010.04) 3" xfId="23935" xr:uid="{00000000-0005-0000-0000-00000A620000}"/>
    <cellStyle name="差_HZ100605 GCE 2010-6-7" xfId="23936" xr:uid="{00000000-0005-0000-0000-00000B620000}"/>
    <cellStyle name="差_HZ100605 GCE 2010-6-7 2" xfId="23937" xr:uid="{00000000-0005-0000-0000-00000C620000}"/>
    <cellStyle name="差_HZ100605 GCE 2010-6-7 3" xfId="23938" xr:uid="{00000000-0005-0000-0000-00000D620000}"/>
    <cellStyle name="差_Itemaster on Whirlpool 2009-5-5" xfId="25785" xr:uid="{00000000-0005-0000-0000-00000E620000}"/>
    <cellStyle name="差_Itemaster on Whirlpool 2009-5-5 2" xfId="25786" xr:uid="{00000000-0005-0000-0000-00000F620000}"/>
    <cellStyle name="差_Itemaster on Whirlpool 2009-5-5 3" xfId="25787" xr:uid="{00000000-0005-0000-0000-000010620000}"/>
    <cellStyle name="差_MSR HZ100408 Toshiba" xfId="23939" xr:uid="{00000000-0005-0000-0000-000011620000}"/>
    <cellStyle name="差_MSR HZ100408 Toshiba 2" xfId="23940" xr:uid="{00000000-0005-0000-0000-000012620000}"/>
    <cellStyle name="差_MSR HZ100408 Toshiba 3" xfId="23941" xr:uid="{00000000-0005-0000-0000-000013620000}"/>
    <cellStyle name="差_MSR HZ100503 Delta (2)" xfId="23942" xr:uid="{00000000-0005-0000-0000-000014620000}"/>
    <cellStyle name="差_MSR HZ100503 Delta (2) 2" xfId="23943" xr:uid="{00000000-0005-0000-0000-000015620000}"/>
    <cellStyle name="差_MSR HZ100503 Delta (2) 3" xfId="23944" xr:uid="{00000000-0005-0000-0000-000016620000}"/>
    <cellStyle name="差_MSR HZ100601 Welling" xfId="23945" xr:uid="{00000000-0005-0000-0000-000017620000}"/>
    <cellStyle name="差_MSR HZ100601 Welling 2" xfId="23946" xr:uid="{00000000-0005-0000-0000-000018620000}"/>
    <cellStyle name="差_MSR HZ100601 Welling 3" xfId="23947" xr:uid="{00000000-0005-0000-0000-000019620000}"/>
    <cellStyle name="差_MSR Youngreem RG100602 2010-6-22" xfId="23948" xr:uid="{00000000-0005-0000-0000-00001A620000}"/>
    <cellStyle name="差_MSR Youngreem RG100602 2010-6-22 2" xfId="23949" xr:uid="{00000000-0005-0000-0000-00001B620000}"/>
    <cellStyle name="差_MSR Youngreem RG100602 2010-6-22 3" xfId="23950" xr:uid="{00000000-0005-0000-0000-00001C620000}"/>
    <cellStyle name="差_MSRCA080509 Madison" xfId="23951" xr:uid="{00000000-0005-0000-0000-00001D620000}"/>
    <cellStyle name="差_MSRCA080509 Madison 2" xfId="23952" xr:uid="{00000000-0005-0000-0000-00001E620000}"/>
    <cellStyle name="差_MSRCA080509 Madison 2 2" xfId="23953" xr:uid="{00000000-0005-0000-0000-00001F620000}"/>
    <cellStyle name="差_MSRCA080509 Madison 2 3" xfId="23954" xr:uid="{00000000-0005-0000-0000-000020620000}"/>
    <cellStyle name="差_MSRCA080509 Madison 3" xfId="23955" xr:uid="{00000000-0005-0000-0000-000021620000}"/>
    <cellStyle name="差_MSRCA080509 Madison 4" xfId="23956" xr:uid="{00000000-0005-0000-0000-000022620000}"/>
    <cellStyle name="差_MSRCA080509 Madison 5" xfId="23957" xr:uid="{00000000-0005-0000-0000-000023620000}"/>
    <cellStyle name="差_MSRCA080509 Madison 6" xfId="23958" xr:uid="{00000000-0005-0000-0000-000024620000}"/>
    <cellStyle name="差_MSR-NA090605" xfId="23959" xr:uid="{00000000-0005-0000-0000-000025620000}"/>
    <cellStyle name="差_MSR-NA090605 2" xfId="23960" xr:uid="{00000000-0005-0000-0000-000026620000}"/>
    <cellStyle name="差_MSR-NA090605 3" xfId="23961" xr:uid="{00000000-0005-0000-0000-000027620000}"/>
    <cellStyle name="差_MSR-NA091104 EHP-Webster City" xfId="23962" xr:uid="{00000000-0005-0000-0000-000028620000}"/>
    <cellStyle name="差_MSR-NA091104 EHP-Webster City 2" xfId="23963" xr:uid="{00000000-0005-0000-0000-000029620000}"/>
    <cellStyle name="差_MSR-NA091104 EHP-Webster City 3" xfId="23964" xr:uid="{00000000-0005-0000-0000-00002A620000}"/>
    <cellStyle name="差_MSR-NA100502 20100513" xfId="23965" xr:uid="{00000000-0005-0000-0000-00002B620000}"/>
    <cellStyle name="差_MSR-NA100502 20100513 (2)" xfId="23966" xr:uid="{00000000-0005-0000-0000-00002C620000}"/>
    <cellStyle name="差_MSR-NA100502 20100513 (2) 2" xfId="23967" xr:uid="{00000000-0005-0000-0000-00002D620000}"/>
    <cellStyle name="差_MSR-NA100502 20100513 (2) 3" xfId="23968" xr:uid="{00000000-0005-0000-0000-00002E620000}"/>
    <cellStyle name="差_MSR-NA100502 20100513 10" xfId="25788" xr:uid="{00000000-0005-0000-0000-00002F620000}"/>
    <cellStyle name="差_MSR-NA100502 20100513 11" xfId="25789" xr:uid="{00000000-0005-0000-0000-000030620000}"/>
    <cellStyle name="差_MSR-NA100502 20100513 12" xfId="25790" xr:uid="{00000000-0005-0000-0000-000031620000}"/>
    <cellStyle name="差_MSR-NA100502 20100513 13" xfId="25791" xr:uid="{00000000-0005-0000-0000-000032620000}"/>
    <cellStyle name="差_MSR-NA100502 20100513 2" xfId="23969" xr:uid="{00000000-0005-0000-0000-000033620000}"/>
    <cellStyle name="差_MSR-NA100502 20100513 3" xfId="23970" xr:uid="{00000000-0005-0000-0000-000034620000}"/>
    <cellStyle name="差_MSR-NA100502 20100513 4" xfId="23971" xr:uid="{00000000-0005-0000-0000-000035620000}"/>
    <cellStyle name="差_MSR-NA100502 20100513 5" xfId="23972" xr:uid="{00000000-0005-0000-0000-000036620000}"/>
    <cellStyle name="差_MSR-NA100502 20100513 6" xfId="25792" xr:uid="{00000000-0005-0000-0000-000037620000}"/>
    <cellStyle name="差_MSR-NA100502 20100513 7" xfId="25793" xr:uid="{00000000-0005-0000-0000-000038620000}"/>
    <cellStyle name="差_MSR-NA100502 20100513 8" xfId="25794" xr:uid="{00000000-0005-0000-0000-000039620000}"/>
    <cellStyle name="差_MSR-NA100502 20100513 9" xfId="25795" xr:uid="{00000000-0005-0000-0000-00003A620000}"/>
    <cellStyle name="差_NA080314 Electrolux 2005-3-26-updated" xfId="23973" xr:uid="{00000000-0005-0000-0000-00003B620000}"/>
    <cellStyle name="差_NA080314 Electrolux 2005-3-26-updated 2" xfId="23974" xr:uid="{00000000-0005-0000-0000-00003C620000}"/>
    <cellStyle name="差_NA080314 Electrolux 2005-3-26-updated 2 2" xfId="23975" xr:uid="{00000000-0005-0000-0000-00003D620000}"/>
    <cellStyle name="差_NA080314 Electrolux 2005-3-26-updated 2 3" xfId="23976" xr:uid="{00000000-0005-0000-0000-00003E620000}"/>
    <cellStyle name="差_NA080314 Electrolux 2005-3-26-updated 2 4" xfId="23977" xr:uid="{00000000-0005-0000-0000-00003F620000}"/>
    <cellStyle name="差_NA080314 Electrolux 2005-3-26-updated 2 5" xfId="23978" xr:uid="{00000000-0005-0000-0000-000040620000}"/>
    <cellStyle name="差_NA080314 Electrolux 2005-3-26-updated 3" xfId="23979" xr:uid="{00000000-0005-0000-0000-000041620000}"/>
    <cellStyle name="差_NA080314 Electrolux 2005-3-26-updated 3 2" xfId="23980" xr:uid="{00000000-0005-0000-0000-000042620000}"/>
    <cellStyle name="差_NA080314 Electrolux 2005-3-26-updated 3 3" xfId="23981" xr:uid="{00000000-0005-0000-0000-000043620000}"/>
    <cellStyle name="差_NA080314 Electrolux 2005-3-26-updated 4" xfId="23982" xr:uid="{00000000-0005-0000-0000-000044620000}"/>
    <cellStyle name="差_NA080314 Electrolux 2005-3-26-updated 5" xfId="23983" xr:uid="{00000000-0005-0000-0000-000045620000}"/>
    <cellStyle name="差_NA080314 Electrolux 2005-3-26-updated 6" xfId="23984" xr:uid="{00000000-0005-0000-0000-000046620000}"/>
    <cellStyle name="差_NA080314 Electrolux 2005-3-26-updated 7" xfId="23985" xr:uid="{00000000-0005-0000-0000-000047620000}"/>
    <cellStyle name="差_NA080314 Electrolux 2008-3-25 as new quote" xfId="23986" xr:uid="{00000000-0005-0000-0000-000048620000}"/>
    <cellStyle name="差_NA080314 Electrolux 2008-3-25 as new quote 2" xfId="23987" xr:uid="{00000000-0005-0000-0000-000049620000}"/>
    <cellStyle name="差_NA080314 Electrolux 2008-3-25 as new quote 2 2" xfId="23988" xr:uid="{00000000-0005-0000-0000-00004A620000}"/>
    <cellStyle name="差_NA080314 Electrolux 2008-3-25 as new quote 2 3" xfId="23989" xr:uid="{00000000-0005-0000-0000-00004B620000}"/>
    <cellStyle name="差_NA080314 Electrolux 2008-3-25 as new quote 2 4" xfId="23990" xr:uid="{00000000-0005-0000-0000-00004C620000}"/>
    <cellStyle name="差_NA080314 Electrolux 2008-3-25 as new quote 2 5" xfId="23991" xr:uid="{00000000-0005-0000-0000-00004D620000}"/>
    <cellStyle name="差_NA080314 Electrolux 2008-3-25 as new quote 3" xfId="23992" xr:uid="{00000000-0005-0000-0000-00004E620000}"/>
    <cellStyle name="差_NA080314 Electrolux 2008-3-25 as new quote 3 2" xfId="23993" xr:uid="{00000000-0005-0000-0000-00004F620000}"/>
    <cellStyle name="差_NA080314 Electrolux 2008-3-25 as new quote 3 3" xfId="23994" xr:uid="{00000000-0005-0000-0000-000050620000}"/>
    <cellStyle name="差_NA080314 Electrolux 2008-3-25 as new quote 4" xfId="23995" xr:uid="{00000000-0005-0000-0000-000051620000}"/>
    <cellStyle name="差_NA080314 Electrolux 2008-3-25 as new quote 5" xfId="23996" xr:uid="{00000000-0005-0000-0000-000052620000}"/>
    <cellStyle name="差_NA080314 Electrolux 2008-3-25 as new quote 6" xfId="23997" xr:uid="{00000000-0005-0000-0000-000053620000}"/>
    <cellStyle name="差_NA080314 Electrolux 2008-3-25 as new quote 7" xfId="23998" xr:uid="{00000000-0005-0000-0000-000054620000}"/>
    <cellStyle name="差_NA080314 Electrolux 2008-3-26(china to ECM)" xfId="23999" xr:uid="{00000000-0005-0000-0000-000055620000}"/>
    <cellStyle name="差_NA080314 Electrolux 2008-3-26(china to ECM) 2" xfId="24000" xr:uid="{00000000-0005-0000-0000-000056620000}"/>
    <cellStyle name="差_NA080314 Electrolux 2008-3-26(china to ECM) 2 2" xfId="24001" xr:uid="{00000000-0005-0000-0000-000057620000}"/>
    <cellStyle name="差_NA080314 Electrolux 2008-3-26(china to ECM) 2 3" xfId="24002" xr:uid="{00000000-0005-0000-0000-000058620000}"/>
    <cellStyle name="差_NA080314 Electrolux 2008-3-26(china to ECM) 2 4" xfId="24003" xr:uid="{00000000-0005-0000-0000-000059620000}"/>
    <cellStyle name="差_NA080314 Electrolux 2008-3-26(china to ECM) 2 5" xfId="24004" xr:uid="{00000000-0005-0000-0000-00005A620000}"/>
    <cellStyle name="差_NA080314 Electrolux 2008-3-26(china to ECM) 3" xfId="24005" xr:uid="{00000000-0005-0000-0000-00005B620000}"/>
    <cellStyle name="差_NA080314 Electrolux 2008-3-26(china to ECM) 3 2" xfId="24006" xr:uid="{00000000-0005-0000-0000-00005C620000}"/>
    <cellStyle name="差_NA080314 Electrolux 2008-3-26(china to ECM) 3 3" xfId="24007" xr:uid="{00000000-0005-0000-0000-00005D620000}"/>
    <cellStyle name="差_NA080314 Electrolux 2008-3-26(china to ECM) 4" xfId="24008" xr:uid="{00000000-0005-0000-0000-00005E620000}"/>
    <cellStyle name="差_NA080314 Electrolux 2008-3-26(china to ECM) 5" xfId="24009" xr:uid="{00000000-0005-0000-0000-00005F620000}"/>
    <cellStyle name="差_NA080314 Electrolux 2008-3-26(china to ECM) 6" xfId="24010" xr:uid="{00000000-0005-0000-0000-000060620000}"/>
    <cellStyle name="差_NA080314 Electrolux 2008-3-26(china to ECM) 7" xfId="24011" xr:uid="{00000000-0005-0000-0000-000061620000}"/>
    <cellStyle name="差_NA090903 Cherry 2009-9-18" xfId="24012" xr:uid="{00000000-0005-0000-0000-000062620000}"/>
    <cellStyle name="差_NA090903 Cherry 2009-9-18 2" xfId="24013" xr:uid="{00000000-0005-0000-0000-000063620000}"/>
    <cellStyle name="差_NA090903 Cherry 2009-9-18 3" xfId="24014" xr:uid="{00000000-0005-0000-0000-000064620000}"/>
    <cellStyle name="差_NA090903 Cherry 2009-9-18 4" xfId="24015" xr:uid="{00000000-0005-0000-0000-000065620000}"/>
    <cellStyle name="差_NA090903 Cherry 2009-9-18 5" xfId="24016" xr:uid="{00000000-0005-0000-0000-000066620000}"/>
    <cellStyle name="差_PDO-PE-20100106  Electrolux" xfId="25796" xr:uid="{00000000-0005-0000-0000-000067620000}"/>
    <cellStyle name="差_PDO-PE-20100106  Electrolux 2" xfId="25797" xr:uid="{00000000-0005-0000-0000-000068620000}"/>
    <cellStyle name="差_PDO-PE-20100106  Electrolux 3" xfId="25798" xr:uid="{00000000-0005-0000-0000-000069620000}"/>
    <cellStyle name="差_PDO-PE-20100145 SAMSUNG" xfId="25799" xr:uid="{00000000-0005-0000-0000-00006A620000}"/>
    <cellStyle name="差_PDO-PE-20100145 SAMSUNG 2" xfId="25800" xr:uid="{00000000-0005-0000-0000-00006B620000}"/>
    <cellStyle name="差_PDO-PE-20100145 SAMSUNG 3" xfId="25801" xr:uid="{00000000-0005-0000-0000-00006C620000}"/>
    <cellStyle name="差_PDO-PE-20100167 Samsung" xfId="25802" xr:uid="{00000000-0005-0000-0000-00006D620000}"/>
    <cellStyle name="差_PDO-PE-20100167 Samsung 2" xfId="25803" xr:uid="{00000000-0005-0000-0000-00006E620000}"/>
    <cellStyle name="差_PDO-PE-20100167 Samsung 3" xfId="25804" xr:uid="{00000000-0005-0000-0000-00006F620000}"/>
    <cellStyle name="差_PDO-PE-20100171 Whirlpool Findlay" xfId="25805" xr:uid="{00000000-0005-0000-0000-000070620000}"/>
    <cellStyle name="差_PDO-PE-20100171 Whirlpool Findlay 2" xfId="25806" xr:uid="{00000000-0005-0000-0000-000071620000}"/>
    <cellStyle name="差_PDO-PE-20100171 Whirlpool Findlay 3" xfId="25807" xr:uid="{00000000-0005-0000-0000-000072620000}"/>
    <cellStyle name="差_PDO-PE-20100173 Electrolux Springfield" xfId="25808" xr:uid="{00000000-0005-0000-0000-000073620000}"/>
    <cellStyle name="差_PDO-PE-20100173 Electrolux Springfield 2" xfId="25809" xr:uid="{00000000-0005-0000-0000-000074620000}"/>
    <cellStyle name="差_PDO-PE-20100173 Electrolux Springfield 3" xfId="25810" xr:uid="{00000000-0005-0000-0000-000075620000}"/>
    <cellStyle name="差_PDO-PE-20100199 Electrolux Springfield" xfId="25811" xr:uid="{00000000-0005-0000-0000-000076620000}"/>
    <cellStyle name="差_PDO-PE-20100199 Electrolux Springfield 2" xfId="25812" xr:uid="{00000000-0005-0000-0000-000077620000}"/>
    <cellStyle name="差_PDO-PE-20100199 Electrolux Springfield 3" xfId="25813" xr:uid="{00000000-0005-0000-0000-000078620000}"/>
    <cellStyle name="差_price comparison of 241628606 between 2005 and 2008" xfId="24017" xr:uid="{00000000-0005-0000-0000-000079620000}"/>
    <cellStyle name="差_price comparison of 241628606 between 2005 and 2008 2" xfId="24018" xr:uid="{00000000-0005-0000-0000-00007A620000}"/>
    <cellStyle name="差_price comparison of 241628606 between 2005 and 2008 2 2" xfId="24019" xr:uid="{00000000-0005-0000-0000-00007B620000}"/>
    <cellStyle name="差_price comparison of 241628606 between 2005 and 2008 2 3" xfId="24020" xr:uid="{00000000-0005-0000-0000-00007C620000}"/>
    <cellStyle name="差_price comparison of 241628606 between 2005 and 2008 2 4" xfId="24021" xr:uid="{00000000-0005-0000-0000-00007D620000}"/>
    <cellStyle name="差_price comparison of 241628606 between 2005 and 2008 2 5" xfId="24022" xr:uid="{00000000-0005-0000-0000-00007E620000}"/>
    <cellStyle name="差_price comparison of 241628606 between 2005 and 2008 3" xfId="24023" xr:uid="{00000000-0005-0000-0000-00007F620000}"/>
    <cellStyle name="差_price comparison of 241628606 between 2005 and 2008 3 2" xfId="24024" xr:uid="{00000000-0005-0000-0000-000080620000}"/>
    <cellStyle name="差_price comparison of 241628606 between 2005 and 2008 3 3" xfId="24025" xr:uid="{00000000-0005-0000-0000-000081620000}"/>
    <cellStyle name="差_price comparison of 241628606 between 2005 and 2008 4" xfId="24026" xr:uid="{00000000-0005-0000-0000-000082620000}"/>
    <cellStyle name="差_price comparison of 241628606 between 2005 and 2008 5" xfId="24027" xr:uid="{00000000-0005-0000-0000-000083620000}"/>
    <cellStyle name="差_price comparison of 241628606 between 2005 and 2008 6" xfId="24028" xr:uid="{00000000-0005-0000-0000-000084620000}"/>
    <cellStyle name="差_price comparison of 241628606 between 2005 and 2008 7" xfId="24029" xr:uid="{00000000-0005-0000-0000-000085620000}"/>
    <cellStyle name="差_quotation sheet" xfId="24030" xr:uid="{00000000-0005-0000-0000-000086620000}"/>
    <cellStyle name="差_quotation sheet 2" xfId="24031" xr:uid="{00000000-0005-0000-0000-000087620000}"/>
    <cellStyle name="差_quotation sheet 2 2" xfId="24032" xr:uid="{00000000-0005-0000-0000-000088620000}"/>
    <cellStyle name="差_quotation sheet 2 3" xfId="24033" xr:uid="{00000000-0005-0000-0000-000089620000}"/>
    <cellStyle name="差_quotation sheet 3" xfId="24034" xr:uid="{00000000-0005-0000-0000-00008A620000}"/>
    <cellStyle name="差_quotation sheet 4" xfId="24035" xr:uid="{00000000-0005-0000-0000-00008B620000}"/>
    <cellStyle name="差_quotation sheet 5" xfId="24036" xr:uid="{00000000-0005-0000-0000-00008C620000}"/>
    <cellStyle name="差_quotation sheet 6" xfId="24037" xr:uid="{00000000-0005-0000-0000-00008D620000}"/>
    <cellStyle name="差_quote format" xfId="24038" xr:uid="{00000000-0005-0000-0000-00008E620000}"/>
    <cellStyle name="差_quote format (4)" xfId="24039" xr:uid="{00000000-0005-0000-0000-00008F620000}"/>
    <cellStyle name="差_quote format (4) 2" xfId="24040" xr:uid="{00000000-0005-0000-0000-000090620000}"/>
    <cellStyle name="差_quote format (4) 2 2" xfId="24041" xr:uid="{00000000-0005-0000-0000-000091620000}"/>
    <cellStyle name="差_quote format (4) 2 3" xfId="24042" xr:uid="{00000000-0005-0000-0000-000092620000}"/>
    <cellStyle name="差_quote format (4) 3" xfId="24043" xr:uid="{00000000-0005-0000-0000-000093620000}"/>
    <cellStyle name="差_quote format (4) 4" xfId="24044" xr:uid="{00000000-0005-0000-0000-000094620000}"/>
    <cellStyle name="差_quote format (4) 5" xfId="24045" xr:uid="{00000000-0005-0000-0000-000095620000}"/>
    <cellStyle name="差_quote format (4) 6" xfId="24046" xr:uid="{00000000-0005-0000-0000-000096620000}"/>
    <cellStyle name="差_quote format 10" xfId="24047" xr:uid="{00000000-0005-0000-0000-000097620000}"/>
    <cellStyle name="差_quote format 11" xfId="24048" xr:uid="{00000000-0005-0000-0000-000098620000}"/>
    <cellStyle name="差_quote format 12" xfId="24049" xr:uid="{00000000-0005-0000-0000-000099620000}"/>
    <cellStyle name="差_quote format 13" xfId="24050" xr:uid="{00000000-0005-0000-0000-00009A620000}"/>
    <cellStyle name="差_quote format 14" xfId="25814" xr:uid="{00000000-0005-0000-0000-00009B620000}"/>
    <cellStyle name="差_quote format 2" xfId="24051" xr:uid="{00000000-0005-0000-0000-00009C620000}"/>
    <cellStyle name="差_quote format 2 2" xfId="24052" xr:uid="{00000000-0005-0000-0000-00009D620000}"/>
    <cellStyle name="差_quote format 2 3" xfId="24053" xr:uid="{00000000-0005-0000-0000-00009E620000}"/>
    <cellStyle name="差_quote format 2 4" xfId="24054" xr:uid="{00000000-0005-0000-0000-00009F620000}"/>
    <cellStyle name="差_quote format 2 5" xfId="24055" xr:uid="{00000000-0005-0000-0000-0000A0620000}"/>
    <cellStyle name="差_quote format 2008-04-15" xfId="24056" xr:uid="{00000000-0005-0000-0000-0000A1620000}"/>
    <cellStyle name="差_quote format 2008-04-15 2" xfId="24057" xr:uid="{00000000-0005-0000-0000-0000A2620000}"/>
    <cellStyle name="差_quote format 2008-04-15 2 2" xfId="24058" xr:uid="{00000000-0005-0000-0000-0000A3620000}"/>
    <cellStyle name="差_quote format 2008-04-15 2 3" xfId="24059" xr:uid="{00000000-0005-0000-0000-0000A4620000}"/>
    <cellStyle name="差_quote format 2008-04-15 3" xfId="24060" xr:uid="{00000000-0005-0000-0000-0000A5620000}"/>
    <cellStyle name="差_quote format 2008-04-15 4" xfId="24061" xr:uid="{00000000-0005-0000-0000-0000A6620000}"/>
    <cellStyle name="差_quote format 2008-04-15 5" xfId="24062" xr:uid="{00000000-0005-0000-0000-0000A7620000}"/>
    <cellStyle name="差_quote format 2008-04-15 6" xfId="24063" xr:uid="{00000000-0005-0000-0000-0000A8620000}"/>
    <cellStyle name="差_quote format 3" xfId="24064" xr:uid="{00000000-0005-0000-0000-0000A9620000}"/>
    <cellStyle name="差_quote format 3 2" xfId="24065" xr:uid="{00000000-0005-0000-0000-0000AA620000}"/>
    <cellStyle name="差_quote format 3 3" xfId="24066" xr:uid="{00000000-0005-0000-0000-0000AB620000}"/>
    <cellStyle name="差_quote format 3 4" xfId="24067" xr:uid="{00000000-0005-0000-0000-0000AC620000}"/>
    <cellStyle name="差_quote format 3 5" xfId="24068" xr:uid="{00000000-0005-0000-0000-0000AD620000}"/>
    <cellStyle name="差_quote format 4" xfId="24069" xr:uid="{00000000-0005-0000-0000-0000AE620000}"/>
    <cellStyle name="差_quote format 5" xfId="24070" xr:uid="{00000000-0005-0000-0000-0000AF620000}"/>
    <cellStyle name="差_quote format 6" xfId="24071" xr:uid="{00000000-0005-0000-0000-0000B0620000}"/>
    <cellStyle name="差_quote format 7" xfId="24072" xr:uid="{00000000-0005-0000-0000-0000B1620000}"/>
    <cellStyle name="差_quote format 8" xfId="24073" xr:uid="{00000000-0005-0000-0000-0000B2620000}"/>
    <cellStyle name="差_quote format 9" xfId="24074" xr:uid="{00000000-0005-0000-0000-0000B3620000}"/>
    <cellStyle name="差_RFQ CA080509 Madison 2008-5-19(from Colon)" xfId="24075" xr:uid="{00000000-0005-0000-0000-0000B4620000}"/>
    <cellStyle name="差_RFQ CA080509 Madison 2008-5-19(from Colon) 2" xfId="24076" xr:uid="{00000000-0005-0000-0000-0000B5620000}"/>
    <cellStyle name="差_RFQ CA080509 Madison 2008-5-19(from Colon) 2 2" xfId="24077" xr:uid="{00000000-0005-0000-0000-0000B6620000}"/>
    <cellStyle name="差_RFQ CA080509 Madison 2008-5-19(from Colon) 2 3" xfId="24078" xr:uid="{00000000-0005-0000-0000-0000B7620000}"/>
    <cellStyle name="差_RFQ CA080509 Madison 2008-5-19(from Colon) 3" xfId="24079" xr:uid="{00000000-0005-0000-0000-0000B8620000}"/>
    <cellStyle name="差_RFQ CA080509 Madison 2008-5-19(from Colon) 4" xfId="24080" xr:uid="{00000000-0005-0000-0000-0000B9620000}"/>
    <cellStyle name="差_RFQ CA080509 Madison 2008-5-19(from Colon) 5" xfId="24081" xr:uid="{00000000-0005-0000-0000-0000BA620000}"/>
    <cellStyle name="差_RFQ CA080509 Madison 2008-5-19(from Colon) 6" xfId="24082" xr:uid="{00000000-0005-0000-0000-0000BB620000}"/>
    <cellStyle name="差_RFQ CA080629 Computime" xfId="24083" xr:uid="{00000000-0005-0000-0000-0000BC620000}"/>
    <cellStyle name="差_RFQ CA080629 Computime 2" xfId="24084" xr:uid="{00000000-0005-0000-0000-0000BD620000}"/>
    <cellStyle name="差_RFQ CA080629 Computime 2 2" xfId="24085" xr:uid="{00000000-0005-0000-0000-0000BE620000}"/>
    <cellStyle name="差_RFQ CA080629 Computime 2 3" xfId="24086" xr:uid="{00000000-0005-0000-0000-0000BF620000}"/>
    <cellStyle name="差_RFQ CA080629 Computime 3" xfId="24087" xr:uid="{00000000-0005-0000-0000-0000C0620000}"/>
    <cellStyle name="差_RFQ CA080629 Computime 4" xfId="24088" xr:uid="{00000000-0005-0000-0000-0000C1620000}"/>
    <cellStyle name="差_RFQ CA080629 Computime 5" xfId="24089" xr:uid="{00000000-0005-0000-0000-0000C2620000}"/>
    <cellStyle name="差_RFQ CA080629 Computime 6" xfId="24090" xr:uid="{00000000-0005-0000-0000-0000C3620000}"/>
    <cellStyle name="差_RFQ CA081201 QIWEI" xfId="24091" xr:uid="{00000000-0005-0000-0000-0000C4620000}"/>
    <cellStyle name="差_RFQ CA081201 QIWEI 2" xfId="24092" xr:uid="{00000000-0005-0000-0000-0000C5620000}"/>
    <cellStyle name="差_RFQ CA081201 QIWEI 3" xfId="24093" xr:uid="{00000000-0005-0000-0000-0000C6620000}"/>
    <cellStyle name="差_RFQ CA081201 QIWEI 4" xfId="24094" xr:uid="{00000000-0005-0000-0000-0000C7620000}"/>
    <cellStyle name="差_RFQ CA081201 QIWEI 5" xfId="24095" xr:uid="{00000000-0005-0000-0000-0000C8620000}"/>
    <cellStyle name="差_RFQ CA090401" xfId="24096" xr:uid="{00000000-0005-0000-0000-0000C9620000}"/>
    <cellStyle name="差_RFQ CA090401 2" xfId="24097" xr:uid="{00000000-0005-0000-0000-0000CA620000}"/>
    <cellStyle name="差_RFQ CA090401 3" xfId="24098" xr:uid="{00000000-0005-0000-0000-0000CB620000}"/>
    <cellStyle name="差_RFQ CA090401 4" xfId="24099" xr:uid="{00000000-0005-0000-0000-0000CC620000}"/>
    <cellStyle name="差_RFQ CA090401 5" xfId="24100" xr:uid="{00000000-0005-0000-0000-0000CD620000}"/>
    <cellStyle name="差_RFQ EN081214 2008-12-15" xfId="24101" xr:uid="{00000000-0005-0000-0000-0000CE620000}"/>
    <cellStyle name="差_RFQ EN081214 2008-12-15 2" xfId="24102" xr:uid="{00000000-0005-0000-0000-0000CF620000}"/>
    <cellStyle name="差_RFQ EN081214 2008-12-15 2 2" xfId="24103" xr:uid="{00000000-0005-0000-0000-0000D0620000}"/>
    <cellStyle name="差_RFQ EN081214 2008-12-15 2 3" xfId="24104" xr:uid="{00000000-0005-0000-0000-0000D1620000}"/>
    <cellStyle name="差_RFQ EN081214 2008-12-15 3" xfId="24105" xr:uid="{00000000-0005-0000-0000-0000D2620000}"/>
    <cellStyle name="差_RFQ EN081214 2008-12-15 4" xfId="24106" xr:uid="{00000000-0005-0000-0000-0000D3620000}"/>
    <cellStyle name="差_RFQ EN081214 2008-12-15 5" xfId="24107" xr:uid="{00000000-0005-0000-0000-0000D4620000}"/>
    <cellStyle name="差_RFQ EN081214 2008-12-15 6" xfId="24108" xr:uid="{00000000-0005-0000-0000-0000D5620000}"/>
    <cellStyle name="差_RFQ EN090215 2009-2-23" xfId="24109" xr:uid="{00000000-0005-0000-0000-0000D6620000}"/>
    <cellStyle name="差_RFQ EN090215 2009-2-23 2" xfId="24110" xr:uid="{00000000-0005-0000-0000-0000D7620000}"/>
    <cellStyle name="差_RFQ EN090215 2009-2-23 2 2" xfId="24111" xr:uid="{00000000-0005-0000-0000-0000D8620000}"/>
    <cellStyle name="差_RFQ EN090215 2009-2-23 2 3" xfId="24112" xr:uid="{00000000-0005-0000-0000-0000D9620000}"/>
    <cellStyle name="差_RFQ EN090215 2009-2-23 3" xfId="24113" xr:uid="{00000000-0005-0000-0000-0000DA620000}"/>
    <cellStyle name="差_RFQ EN090215 2009-2-23 4" xfId="24114" xr:uid="{00000000-0005-0000-0000-0000DB620000}"/>
    <cellStyle name="差_RFQ EN090215 2009-2-23 5" xfId="24115" xr:uid="{00000000-0005-0000-0000-0000DC620000}"/>
    <cellStyle name="差_RFQ EN090215 2009-2-23 6" xfId="24116" xr:uid="{00000000-0005-0000-0000-0000DD620000}"/>
    <cellStyle name="差_RFQ EN100318 Whirlpool Ramos 2010-4-2" xfId="24117" xr:uid="{00000000-0005-0000-0000-0000DE620000}"/>
    <cellStyle name="差_RFQ EN100318 Whirlpool Ramos 2010-4-2 2" xfId="24118" xr:uid="{00000000-0005-0000-0000-0000DF620000}"/>
    <cellStyle name="差_RFQ EN100318 Whirlpool Ramos 2010-4-2 2 2" xfId="24119" xr:uid="{00000000-0005-0000-0000-0000E0620000}"/>
    <cellStyle name="差_RFQ EN100318 Whirlpool Ramos 2010-4-2 2 3" xfId="24120" xr:uid="{00000000-0005-0000-0000-0000E1620000}"/>
    <cellStyle name="差_RFQ EN100318 Whirlpool Ramos 2010-4-2 3" xfId="24121" xr:uid="{00000000-0005-0000-0000-0000E2620000}"/>
    <cellStyle name="差_RFQ EN100318 Whirlpool Ramos 2010-4-2 4" xfId="24122" xr:uid="{00000000-0005-0000-0000-0000E3620000}"/>
    <cellStyle name="差_RFQ EN100318 Whirlpool Ramos 2010-4-2 5" xfId="24123" xr:uid="{00000000-0005-0000-0000-0000E4620000}"/>
    <cellStyle name="差_RFQ EN100318 Whirlpool Ramos 2010-4-2 6" xfId="24124" xr:uid="{00000000-0005-0000-0000-0000E5620000}"/>
    <cellStyle name="差_RFQ EU080301 Vaillan 2008-03-21 (UL1015)" xfId="24125" xr:uid="{00000000-0005-0000-0000-0000E6620000}"/>
    <cellStyle name="差_RFQ EU080301 Vaillan 2008-03-21 (UL1015) 2" xfId="24126" xr:uid="{00000000-0005-0000-0000-0000E7620000}"/>
    <cellStyle name="差_RFQ EU080301 Vaillan 2008-03-21 (UL1015) 2 2" xfId="24127" xr:uid="{00000000-0005-0000-0000-0000E8620000}"/>
    <cellStyle name="差_RFQ EU080301 Vaillan 2008-03-21 (UL1015) 2 3" xfId="24128" xr:uid="{00000000-0005-0000-0000-0000E9620000}"/>
    <cellStyle name="差_RFQ EU080301 Vaillan 2008-03-21 (UL1015) 2 4" xfId="24129" xr:uid="{00000000-0005-0000-0000-0000EA620000}"/>
    <cellStyle name="差_RFQ EU080301 Vaillan 2008-03-21 (UL1015) 2 5" xfId="24130" xr:uid="{00000000-0005-0000-0000-0000EB620000}"/>
    <cellStyle name="差_RFQ EU080301 Vaillan 2008-03-21 (UL1015) 3" xfId="24131" xr:uid="{00000000-0005-0000-0000-0000EC620000}"/>
    <cellStyle name="差_RFQ EU080301 Vaillan 2008-03-21 (UL1015) 3 2" xfId="24132" xr:uid="{00000000-0005-0000-0000-0000ED620000}"/>
    <cellStyle name="差_RFQ EU080301 Vaillan 2008-03-21 (UL1015) 3 3" xfId="24133" xr:uid="{00000000-0005-0000-0000-0000EE620000}"/>
    <cellStyle name="差_RFQ EU080301 Vaillan 2008-03-21 (UL1015) 4" xfId="24134" xr:uid="{00000000-0005-0000-0000-0000EF620000}"/>
    <cellStyle name="差_RFQ EU080301 Vaillan 2008-03-21 (UL1015) 5" xfId="24135" xr:uid="{00000000-0005-0000-0000-0000F0620000}"/>
    <cellStyle name="差_RFQ EU080301 Vaillan 2008-03-21 (UL1015) 6" xfId="24136" xr:uid="{00000000-0005-0000-0000-0000F1620000}"/>
    <cellStyle name="差_RFQ EU080301 Vaillan 2008-03-21 (UL1015) 7" xfId="24137" xr:uid="{00000000-0005-0000-0000-0000F2620000}"/>
    <cellStyle name="差_RFQ HZ090309" xfId="24138" xr:uid="{00000000-0005-0000-0000-0000F3620000}"/>
    <cellStyle name="差_RFQ HZ090309 2" xfId="24139" xr:uid="{00000000-0005-0000-0000-0000F4620000}"/>
    <cellStyle name="差_RFQ HZ090309 3" xfId="24140" xr:uid="{00000000-0005-0000-0000-0000F5620000}"/>
    <cellStyle name="差_RFQ HZ090309 4" xfId="24141" xr:uid="{00000000-0005-0000-0000-0000F6620000}"/>
    <cellStyle name="差_RFQ HZ090309 5" xfId="24142" xr:uid="{00000000-0005-0000-0000-0000F7620000}"/>
    <cellStyle name="差_RFQ HZ090310" xfId="24143" xr:uid="{00000000-0005-0000-0000-0000F8620000}"/>
    <cellStyle name="差_RFQ HZ090310 2" xfId="24144" xr:uid="{00000000-0005-0000-0000-0000F9620000}"/>
    <cellStyle name="差_RFQ HZ090310 3" xfId="24145" xr:uid="{00000000-0005-0000-0000-0000FA620000}"/>
    <cellStyle name="差_RFQ HZ090310 4" xfId="24146" xr:uid="{00000000-0005-0000-0000-0000FB620000}"/>
    <cellStyle name="差_RFQ HZ090310 5" xfId="24147" xr:uid="{00000000-0005-0000-0000-0000FC620000}"/>
    <cellStyle name="差_RFQ HZ090507 普生" xfId="24148" xr:uid="{00000000-0005-0000-0000-0000FD620000}"/>
    <cellStyle name="差_RFQ HZ090507 普生 2" xfId="24149" xr:uid="{00000000-0005-0000-0000-0000FE620000}"/>
    <cellStyle name="差_RFQ HZ090507 普生 2 2" xfId="24150" xr:uid="{00000000-0005-0000-0000-0000FF620000}"/>
    <cellStyle name="差_RFQ HZ090507 普生 2 3" xfId="24151" xr:uid="{00000000-0005-0000-0000-000000630000}"/>
    <cellStyle name="差_RFQ HZ090507 普生 3" xfId="24152" xr:uid="{00000000-0005-0000-0000-000001630000}"/>
    <cellStyle name="差_RFQ HZ090507 普生 4" xfId="24153" xr:uid="{00000000-0005-0000-0000-000002630000}"/>
    <cellStyle name="差_RFQ HZ090507 普生 5" xfId="24154" xr:uid="{00000000-0005-0000-0000-000003630000}"/>
    <cellStyle name="差_RFQ HZ090507 普生 6" xfId="24155" xr:uid="{00000000-0005-0000-0000-000004630000}"/>
    <cellStyle name="差_RFQ HZ090905 midea" xfId="24156" xr:uid="{00000000-0005-0000-0000-000005630000}"/>
    <cellStyle name="差_RFQ HZ090905 midea 2" xfId="24157" xr:uid="{00000000-0005-0000-0000-000006630000}"/>
    <cellStyle name="差_RFQ HZ090905 midea 2 2" xfId="24158" xr:uid="{00000000-0005-0000-0000-000007630000}"/>
    <cellStyle name="差_RFQ HZ090905 midea 2 3" xfId="24159" xr:uid="{00000000-0005-0000-0000-000008630000}"/>
    <cellStyle name="差_RFQ HZ090905 midea 3" xfId="24160" xr:uid="{00000000-0005-0000-0000-000009630000}"/>
    <cellStyle name="差_RFQ HZ090905 midea 4" xfId="24161" xr:uid="{00000000-0005-0000-0000-00000A630000}"/>
    <cellStyle name="差_RFQ HZ090905 midea 5" xfId="24162" xr:uid="{00000000-0005-0000-0000-00000B630000}"/>
    <cellStyle name="差_RFQ HZ090905 midea 6" xfId="24163" xr:uid="{00000000-0005-0000-0000-00000C630000}"/>
    <cellStyle name="差_RFQ HZ091104 WKK" xfId="24164" xr:uid="{00000000-0005-0000-0000-00000D630000}"/>
    <cellStyle name="差_RFQ HZ091104 WKK 2" xfId="24165" xr:uid="{00000000-0005-0000-0000-00000E630000}"/>
    <cellStyle name="差_RFQ HZ091104 WKK 3" xfId="24166" xr:uid="{00000000-0005-0000-0000-00000F630000}"/>
    <cellStyle name="差_RFQ HZ091104 WKK 4" xfId="24167" xr:uid="{00000000-0005-0000-0000-000010630000}"/>
    <cellStyle name="差_RFQ HZ091104 WKK 5" xfId="24168" xr:uid="{00000000-0005-0000-0000-000011630000}"/>
    <cellStyle name="差_RFQ HZ091105 Celestica" xfId="24169" xr:uid="{00000000-0005-0000-0000-000012630000}"/>
    <cellStyle name="差_RFQ HZ091105 Celestica " xfId="24170" xr:uid="{00000000-0005-0000-0000-000013630000}"/>
    <cellStyle name="差_RFQ HZ091105 Celestica  2" xfId="24171" xr:uid="{00000000-0005-0000-0000-000014630000}"/>
    <cellStyle name="差_RFQ HZ091105 Celestica  3" xfId="24172" xr:uid="{00000000-0005-0000-0000-000015630000}"/>
    <cellStyle name="差_RFQ HZ091105 Celestica  4" xfId="24173" xr:uid="{00000000-0005-0000-0000-000016630000}"/>
    <cellStyle name="差_RFQ HZ091105 Celestica  5" xfId="24174" xr:uid="{00000000-0005-0000-0000-000017630000}"/>
    <cellStyle name="差_RFQ HZ091105 Celestica 10" xfId="24175" xr:uid="{00000000-0005-0000-0000-000018630000}"/>
    <cellStyle name="差_RFQ HZ091105 Celestica 11" xfId="24176" xr:uid="{00000000-0005-0000-0000-000019630000}"/>
    <cellStyle name="差_RFQ HZ091105 Celestica 2" xfId="24177" xr:uid="{00000000-0005-0000-0000-00001A630000}"/>
    <cellStyle name="差_RFQ HZ091105 Celestica 2009-11-19" xfId="24178" xr:uid="{00000000-0005-0000-0000-00001B630000}"/>
    <cellStyle name="差_RFQ HZ091105 Celestica 2009-11-19 2" xfId="24179" xr:uid="{00000000-0005-0000-0000-00001C630000}"/>
    <cellStyle name="差_RFQ HZ091105 Celestica 2009-11-19 3" xfId="24180" xr:uid="{00000000-0005-0000-0000-00001D630000}"/>
    <cellStyle name="差_RFQ HZ091105 Celestica 2009-11-19 4" xfId="24181" xr:uid="{00000000-0005-0000-0000-00001E630000}"/>
    <cellStyle name="差_RFQ HZ091105 Celestica 2009-11-19 5" xfId="24182" xr:uid="{00000000-0005-0000-0000-00001F630000}"/>
    <cellStyle name="差_RFQ HZ091105 Celestica 3" xfId="24183" xr:uid="{00000000-0005-0000-0000-000020630000}"/>
    <cellStyle name="差_RFQ HZ091105 Celestica 4" xfId="24184" xr:uid="{00000000-0005-0000-0000-000021630000}"/>
    <cellStyle name="差_RFQ HZ091105 Celestica 5" xfId="24185" xr:uid="{00000000-0005-0000-0000-000022630000}"/>
    <cellStyle name="差_RFQ HZ091105 Celestica 6" xfId="24186" xr:uid="{00000000-0005-0000-0000-000023630000}"/>
    <cellStyle name="差_RFQ HZ091105 Celestica 7" xfId="24187" xr:uid="{00000000-0005-0000-0000-000024630000}"/>
    <cellStyle name="差_RFQ HZ091105 Celestica 8" xfId="24188" xr:uid="{00000000-0005-0000-0000-000025630000}"/>
    <cellStyle name="差_RFQ HZ091105 Celestica 9" xfId="24189" xr:uid="{00000000-0005-0000-0000-000026630000}"/>
    <cellStyle name="差_RFQ HZ091206 德豪润达" xfId="24190" xr:uid="{00000000-0005-0000-0000-000027630000}"/>
    <cellStyle name="差_RFQ HZ091206 德豪润达 2" xfId="24191" xr:uid="{00000000-0005-0000-0000-000028630000}"/>
    <cellStyle name="差_RFQ HZ091206 德豪润达 3" xfId="24192" xr:uid="{00000000-0005-0000-0000-000029630000}"/>
    <cellStyle name="差_RFQ HZ091206 德豪润达 4" xfId="24193" xr:uid="{00000000-0005-0000-0000-00002A630000}"/>
    <cellStyle name="差_RFQ HZ091206 德豪润达 5" xfId="24194" xr:uid="{00000000-0005-0000-0000-00002B630000}"/>
    <cellStyle name="差_RFQ HZ101012 Midea-Candy" xfId="24195" xr:uid="{00000000-0005-0000-0000-00002C630000}"/>
    <cellStyle name="差_RFQ HZ101012 Midea-Candy 2" xfId="24196" xr:uid="{00000000-0005-0000-0000-00002D630000}"/>
    <cellStyle name="差_RFQ HZ101012 Midea-Candy 2010-11-11" xfId="24197" xr:uid="{00000000-0005-0000-0000-00002E630000}"/>
    <cellStyle name="差_RFQ HZ101012 Midea-Candy 2010-11-11 2" xfId="24198" xr:uid="{00000000-0005-0000-0000-00002F630000}"/>
    <cellStyle name="差_RFQ HZ101012 Midea-Candy 2010-11-11 3" xfId="24199" xr:uid="{00000000-0005-0000-0000-000030630000}"/>
    <cellStyle name="差_RFQ HZ101012 Midea-Candy 3" xfId="24200" xr:uid="{00000000-0005-0000-0000-000031630000}"/>
    <cellStyle name="差_RFQ HZ101012 Midea-Candy 4" xfId="24201" xr:uid="{00000000-0005-0000-0000-000032630000}"/>
    <cellStyle name="差_RFQ NA080741" xfId="25815" xr:uid="{00000000-0005-0000-0000-000033630000}"/>
    <cellStyle name="差_RFQ NA080741 2" xfId="25816" xr:uid="{00000000-0005-0000-0000-000034630000}"/>
    <cellStyle name="差_RFQ NA080741 3" xfId="25817" xr:uid="{00000000-0005-0000-0000-000035630000}"/>
    <cellStyle name="差_RFQ NA081102 Whirlpool 2008-11-11" xfId="24202" xr:uid="{00000000-0005-0000-0000-000036630000}"/>
    <cellStyle name="差_RFQ NA081102 Whirlpool 2008-11-11 2" xfId="24203" xr:uid="{00000000-0005-0000-0000-000037630000}"/>
    <cellStyle name="差_RFQ NA081102 Whirlpool 2008-11-11 2 2" xfId="24204" xr:uid="{00000000-0005-0000-0000-000038630000}"/>
    <cellStyle name="差_RFQ NA081102 Whirlpool 2008-11-11 2 3" xfId="24205" xr:uid="{00000000-0005-0000-0000-000039630000}"/>
    <cellStyle name="差_RFQ NA081102 Whirlpool 2008-11-11 3" xfId="24206" xr:uid="{00000000-0005-0000-0000-00003A630000}"/>
    <cellStyle name="差_RFQ NA081102 Whirlpool 2008-11-11 4" xfId="24207" xr:uid="{00000000-0005-0000-0000-00003B630000}"/>
    <cellStyle name="差_RFQ NA081102 Whirlpool 2008-11-11 5" xfId="24208" xr:uid="{00000000-0005-0000-0000-00003C630000}"/>
    <cellStyle name="差_RFQ NA081102 Whirlpool 2008-11-11 6" xfId="24209" xr:uid="{00000000-0005-0000-0000-00003D630000}"/>
    <cellStyle name="差_RFQ NA081103 Whirlpool 2008-12-8" xfId="24210" xr:uid="{00000000-0005-0000-0000-00003E630000}"/>
    <cellStyle name="差_RFQ NA081103 Whirlpool 2008-12-8 2" xfId="24211" xr:uid="{00000000-0005-0000-0000-00003F630000}"/>
    <cellStyle name="差_RFQ NA081103 Whirlpool 2008-12-8 2 2" xfId="24212" xr:uid="{00000000-0005-0000-0000-000040630000}"/>
    <cellStyle name="差_RFQ NA081103 Whirlpool 2008-12-8 2 3" xfId="24213" xr:uid="{00000000-0005-0000-0000-000041630000}"/>
    <cellStyle name="差_RFQ NA081103 Whirlpool 2008-12-8 3" xfId="24214" xr:uid="{00000000-0005-0000-0000-000042630000}"/>
    <cellStyle name="差_RFQ NA081103 Whirlpool 2008-12-8 4" xfId="24215" xr:uid="{00000000-0005-0000-0000-000043630000}"/>
    <cellStyle name="差_RFQ NA081103 Whirlpool 2008-12-8 5" xfId="24216" xr:uid="{00000000-0005-0000-0000-000044630000}"/>
    <cellStyle name="差_RFQ NA081103 Whirlpool 2008-12-8 6" xfId="24217" xr:uid="{00000000-0005-0000-0000-000045630000}"/>
    <cellStyle name="差_RFQ NA100306 Whirlpool power cord 2010-4-6" xfId="24218" xr:uid="{00000000-0005-0000-0000-000046630000}"/>
    <cellStyle name="差_RFQ NA100306 Whirlpool power cord 2010-4-6 2" xfId="24219" xr:uid="{00000000-0005-0000-0000-000047630000}"/>
    <cellStyle name="差_RFQ NA100306 Whirlpool power cord 2010-4-6 2 2" xfId="24220" xr:uid="{00000000-0005-0000-0000-000048630000}"/>
    <cellStyle name="差_RFQ NA100306 Whirlpool power cord 2010-4-6 2 3" xfId="24221" xr:uid="{00000000-0005-0000-0000-000049630000}"/>
    <cellStyle name="差_RFQ NA100306 Whirlpool power cord 2010-4-6 3" xfId="24222" xr:uid="{00000000-0005-0000-0000-00004A630000}"/>
    <cellStyle name="差_RFQ NA100306 Whirlpool power cord 2010-4-6 4" xfId="24223" xr:uid="{00000000-0005-0000-0000-00004B630000}"/>
    <cellStyle name="差_RFQ NA100306 Whirlpool power cord 2010-4-6 5" xfId="24224" xr:uid="{00000000-0005-0000-0000-00004C630000}"/>
    <cellStyle name="差_RFQ NA100306 Whirlpool power cord 2010-4-6 6" xfId="24225" xr:uid="{00000000-0005-0000-0000-00004D630000}"/>
    <cellStyle name="差_RFQ NA100406 Whirlpool Service 2010-04-28" xfId="24226" xr:uid="{00000000-0005-0000-0000-00004E630000}"/>
    <cellStyle name="差_RFQ NA100406 Whirlpool Service 2010-04-28 2" xfId="24227" xr:uid="{00000000-0005-0000-0000-00004F630000}"/>
    <cellStyle name="差_RFQ NA100406 Whirlpool Service 2010-04-28 3" xfId="24228" xr:uid="{00000000-0005-0000-0000-000050630000}"/>
    <cellStyle name="差_RFQ NA100502 Whirlpool Service 2010-05-20" xfId="24229" xr:uid="{00000000-0005-0000-0000-000051630000}"/>
    <cellStyle name="差_RFQ NA100502 Whirlpool Service 2010-05-20 2" xfId="24230" xr:uid="{00000000-0005-0000-0000-000052630000}"/>
    <cellStyle name="差_RFQ NA100502 Whirlpool Service 2010-05-20 3" xfId="24231" xr:uid="{00000000-0005-0000-0000-000053630000}"/>
    <cellStyle name="差_RFQ Quote format 2010-6-7" xfId="24232" xr:uid="{00000000-0005-0000-0000-000054630000}"/>
    <cellStyle name="差_RFQ Quote format 2010-6-7 2" xfId="24233" xr:uid="{00000000-0005-0000-0000-000055630000}"/>
    <cellStyle name="差_RFQ Quote format 2010-6-7 3" xfId="24234" xr:uid="{00000000-0005-0000-0000-000056630000}"/>
    <cellStyle name="差_RFQ RG091002 Haier 2009-10-15" xfId="24235" xr:uid="{00000000-0005-0000-0000-000057630000}"/>
    <cellStyle name="差_RFQ RG091002 Haier 2009-10-15 2" xfId="24236" xr:uid="{00000000-0005-0000-0000-000058630000}"/>
    <cellStyle name="差_RFQ RG091002 Haier 2009-10-15 3" xfId="24237" xr:uid="{00000000-0005-0000-0000-000059630000}"/>
    <cellStyle name="差_RFQ YOUNGREEM RG100602 2010-06-22" xfId="24238" xr:uid="{00000000-0005-0000-0000-00005A630000}"/>
    <cellStyle name="差_RFQ YOUNGREEM RG100602 2010-06-22 2" xfId="24239" xr:uid="{00000000-0005-0000-0000-00005B630000}"/>
    <cellStyle name="差_RFQ YOUNGREEM RG100602 2010-06-22 3" xfId="24240" xr:uid="{00000000-0005-0000-0000-00005C630000}"/>
    <cellStyle name="差_RFQ Youngreem RG100602 2010-07-06" xfId="25818" xr:uid="{00000000-0005-0000-0000-00005D630000}"/>
    <cellStyle name="差_RFQ Youngreem RG100602 2010-07-06 2" xfId="25819" xr:uid="{00000000-0005-0000-0000-00005E630000}"/>
    <cellStyle name="差_RFQ Youngreem RG100602 2010-07-06 3" xfId="25820" xr:uid="{00000000-0005-0000-0000-00005F630000}"/>
    <cellStyle name="差_RFQ-NA080402 Maytag Amana" xfId="24241" xr:uid="{00000000-0005-0000-0000-000060630000}"/>
    <cellStyle name="差_RFQ-NA080402 Maytag Amana 2" xfId="24242" xr:uid="{00000000-0005-0000-0000-000061630000}"/>
    <cellStyle name="差_RFQ-NA080402 Maytag Amana 2 2" xfId="24243" xr:uid="{00000000-0005-0000-0000-000062630000}"/>
    <cellStyle name="差_RFQ-NA080402 Maytag Amana 2 3" xfId="24244" xr:uid="{00000000-0005-0000-0000-000063630000}"/>
    <cellStyle name="差_RFQ-NA080402 Maytag Amana 2 4" xfId="24245" xr:uid="{00000000-0005-0000-0000-000064630000}"/>
    <cellStyle name="差_RFQ-NA080402 Maytag Amana 2 5" xfId="24246" xr:uid="{00000000-0005-0000-0000-000065630000}"/>
    <cellStyle name="差_RFQ-NA080402 Maytag Amana 3" xfId="24247" xr:uid="{00000000-0005-0000-0000-000066630000}"/>
    <cellStyle name="差_RFQ-NA080402 Maytag Amana 3 2" xfId="24248" xr:uid="{00000000-0005-0000-0000-000067630000}"/>
    <cellStyle name="差_RFQ-NA080402 Maytag Amana 3 3" xfId="24249" xr:uid="{00000000-0005-0000-0000-000068630000}"/>
    <cellStyle name="差_RFQ-NA080402 Maytag Amana 4" xfId="24250" xr:uid="{00000000-0005-0000-0000-000069630000}"/>
    <cellStyle name="差_RFQ-NA080402 Maytag Amana 5" xfId="24251" xr:uid="{00000000-0005-0000-0000-00006A630000}"/>
    <cellStyle name="差_RFQ-NA080402 Maytag Amana 6" xfId="24252" xr:uid="{00000000-0005-0000-0000-00006B630000}"/>
    <cellStyle name="差_RFQ-NA080402 Maytag Amana 7" xfId="24253" xr:uid="{00000000-0005-0000-0000-00006C630000}"/>
    <cellStyle name="差_RT-EN100508（6-28）" xfId="24254" xr:uid="{00000000-0005-0000-0000-00006D630000}"/>
    <cellStyle name="差_RT-EN100508（6-28） 2" xfId="24255" xr:uid="{00000000-0005-0000-0000-00006E630000}"/>
    <cellStyle name="差_RT-EN100508（6-28） 3" xfId="24256" xr:uid="{00000000-0005-0000-0000-00006F630000}"/>
    <cellStyle name="差_RT-EN100701" xfId="24257" xr:uid="{00000000-0005-0000-0000-000070630000}"/>
    <cellStyle name="差_RT-EN100701 2" xfId="24258" xr:uid="{00000000-0005-0000-0000-000071630000}"/>
    <cellStyle name="差_RT-EN100701 3" xfId="24259" xr:uid="{00000000-0005-0000-0000-000072630000}"/>
    <cellStyle name="差_RT-EN110118" xfId="25821" xr:uid="{00000000-0005-0000-0000-000073630000}"/>
    <cellStyle name="差_RT-EN110118 2" xfId="25822" xr:uid="{00000000-0005-0000-0000-000074630000}"/>
    <cellStyle name="差_RT-EN110118 3" xfId="25823" xr:uid="{00000000-0005-0000-0000-000075630000}"/>
    <cellStyle name="差_RT-HZ101012(Add a new PN)" xfId="24260" xr:uid="{00000000-0005-0000-0000-000076630000}"/>
    <cellStyle name="差_RT-HZ101012(Add a new PN) 2" xfId="24261" xr:uid="{00000000-0005-0000-0000-000077630000}"/>
    <cellStyle name="差_RT-HZ101012(Add a new PN) 3" xfId="24262" xr:uid="{00000000-0005-0000-0000-000078630000}"/>
    <cellStyle name="差_RT-HZ101012(checked 2010.11.9)" xfId="24263" xr:uid="{00000000-0005-0000-0000-000079630000}"/>
    <cellStyle name="差_RT-HZ101012(checked 2010.11.9) 2" xfId="24264" xr:uid="{00000000-0005-0000-0000-00007A630000}"/>
    <cellStyle name="差_RT-HZ101012(checked 2010.11.9) 3" xfId="24265" xr:uid="{00000000-0005-0000-0000-00007B630000}"/>
    <cellStyle name="差_RT-TF100801 " xfId="25824" xr:uid="{00000000-0005-0000-0000-00007C630000}"/>
    <cellStyle name="差_RT-TF100801  2" xfId="25825" xr:uid="{00000000-0005-0000-0000-00007D630000}"/>
    <cellStyle name="差_RT-TF100801  3" xfId="25826" xr:uid="{00000000-0005-0000-0000-00007E630000}"/>
    <cellStyle name="差_ShenBao 2008-06-10" xfId="24266" xr:uid="{00000000-0005-0000-0000-00007F630000}"/>
    <cellStyle name="差_ShenBao 2008-06-10 2" xfId="24267" xr:uid="{00000000-0005-0000-0000-000080630000}"/>
    <cellStyle name="差_ShenBao 2008-06-10 3" xfId="24268" xr:uid="{00000000-0005-0000-0000-000081630000}"/>
    <cellStyle name="差_TF090705 Findlay Non Equalized Prices @ 8% on 3 parts - 4% on 4 parts - WHP EAU's 8-20-09（Jose approved)" xfId="25827" xr:uid="{00000000-0005-0000-0000-000082630000}"/>
    <cellStyle name="差_TF090705 Findlay Non Equalized Prices @ 8% on 3 parts - 4% on 4 parts - WHP EAU's 8-20-09（Jose approved) 2" xfId="25828" xr:uid="{00000000-0005-0000-0000-000083630000}"/>
    <cellStyle name="差_TF090705 Findlay Non Equalized Prices @ 8% on 3 parts - 4% on 4 parts - WHP EAU's 8-20-09（Jose approved) 3" xfId="25829" xr:uid="{00000000-0005-0000-0000-000084630000}"/>
    <cellStyle name="差_TF090708 Amana 2009-7-27(jose)" xfId="25830" xr:uid="{00000000-0005-0000-0000-000085630000}"/>
    <cellStyle name="差_TF090708 Amana 2009-7-27(jose) 2" xfId="25831" xr:uid="{00000000-0005-0000-0000-000086630000}"/>
    <cellStyle name="差_TF090708 Amana 2009-7-27(jose) 3" xfId="25832" xr:uid="{00000000-0005-0000-0000-000087630000}"/>
    <cellStyle name="差_TF090711 Whirlpool Amana 2009-8-6(Jacob)" xfId="25833" xr:uid="{00000000-0005-0000-0000-000088630000}"/>
    <cellStyle name="差_TF090711 Whirlpool Amana 2009-8-6(Jacob) 2" xfId="25834" xr:uid="{00000000-0005-0000-0000-000089630000}"/>
    <cellStyle name="差_TF090711 Whirlpool Amana 2009-8-6(Jacob) 3" xfId="25835" xr:uid="{00000000-0005-0000-0000-00008A630000}"/>
    <cellStyle name="差_TF090808 Whirlpool Amana 2009-9-9" xfId="25836" xr:uid="{00000000-0005-0000-0000-00008B630000}"/>
    <cellStyle name="差_TF090808 Whirlpool Amana 2009-9-9 2" xfId="25837" xr:uid="{00000000-0005-0000-0000-00008C630000}"/>
    <cellStyle name="差_TF090808 Whirlpool Amana 2009-9-9 3" xfId="25838" xr:uid="{00000000-0005-0000-0000-00008D630000}"/>
    <cellStyle name="差_Whirlpool Ramos IP 11-03 rev" xfId="25839" xr:uid="{00000000-0005-0000-0000-00008E630000}"/>
    <cellStyle name="差_Whirlpool Ramos IP 11-03 rev 2" xfId="25840" xr:uid="{00000000-0005-0000-0000-00008F630000}"/>
    <cellStyle name="差_Whirlpool Ramos IP 11-03 rev 3" xfId="25841" xr:uid="{00000000-0005-0000-0000-000090630000}"/>
    <cellStyle name="差_副本MSR RG090603 Haier" xfId="24269" xr:uid="{00000000-0005-0000-0000-000091630000}"/>
    <cellStyle name="差_副本MSR RG090603 Haier 2" xfId="24270" xr:uid="{00000000-0005-0000-0000-000092630000}"/>
    <cellStyle name="差_副本MSR RG090603 Haier 3" xfId="24271" xr:uid="{00000000-0005-0000-0000-000093630000}"/>
    <cellStyle name="常规 2" xfId="24272" xr:uid="{00000000-0005-0000-0000-000094630000}"/>
    <cellStyle name="常规 2 2" xfId="24273" xr:uid="{00000000-0005-0000-0000-000095630000}"/>
    <cellStyle name="常规 2 2 2" xfId="24274" xr:uid="{00000000-0005-0000-0000-000096630000}"/>
    <cellStyle name="常规 2 2 2 2" xfId="24275" xr:uid="{00000000-0005-0000-0000-000097630000}"/>
    <cellStyle name="常规 2 2 2 3" xfId="24276" xr:uid="{00000000-0005-0000-0000-000098630000}"/>
    <cellStyle name="常规 2 2 2 4" xfId="24277" xr:uid="{00000000-0005-0000-0000-000099630000}"/>
    <cellStyle name="常规 2 2 3" xfId="24278" xr:uid="{00000000-0005-0000-0000-00009A630000}"/>
    <cellStyle name="常规 2 2 4" xfId="25842" xr:uid="{00000000-0005-0000-0000-00009B630000}"/>
    <cellStyle name="常规 2 3" xfId="24279" xr:uid="{00000000-0005-0000-0000-00009C630000}"/>
    <cellStyle name="常规 2 3 2" xfId="24280" xr:uid="{00000000-0005-0000-0000-00009D630000}"/>
    <cellStyle name="常规 2 3 3" xfId="24281" xr:uid="{00000000-0005-0000-0000-00009E630000}"/>
    <cellStyle name="常规 2 3 4" xfId="24282" xr:uid="{00000000-0005-0000-0000-00009F630000}"/>
    <cellStyle name="常规 2 3 5" xfId="24283" xr:uid="{00000000-0005-0000-0000-0000A0630000}"/>
    <cellStyle name="常规 2 4" xfId="24284" xr:uid="{00000000-0005-0000-0000-0000A1630000}"/>
    <cellStyle name="常规 2 4 2" xfId="24285" xr:uid="{00000000-0005-0000-0000-0000A2630000}"/>
    <cellStyle name="常规 2 4 3" xfId="24286" xr:uid="{00000000-0005-0000-0000-0000A3630000}"/>
    <cellStyle name="常规 2 5" xfId="24287" xr:uid="{00000000-0005-0000-0000-0000A4630000}"/>
    <cellStyle name="常规 2_CONCENTRATED QUOTE WLP623 071310" xfId="24288" xr:uid="{00000000-0005-0000-0000-0000A5630000}"/>
    <cellStyle name="常规 3" xfId="24289" xr:uid="{00000000-0005-0000-0000-0000A6630000}"/>
    <cellStyle name="常规 3 2" xfId="25843" xr:uid="{00000000-0005-0000-0000-0000A7630000}"/>
    <cellStyle name="常规 3 3" xfId="25844" xr:uid="{00000000-0005-0000-0000-0000A8630000}"/>
    <cellStyle name="常规 5" xfId="24290" xr:uid="{00000000-0005-0000-0000-0000A9630000}"/>
    <cellStyle name="常规 5 2" xfId="25845" xr:uid="{00000000-0005-0000-0000-0000AA630000}"/>
    <cellStyle name="常规 5 3" xfId="25846" xr:uid="{00000000-0005-0000-0000-0000AB630000}"/>
    <cellStyle name="常规 6" xfId="25847" xr:uid="{00000000-0005-0000-0000-0000AC630000}"/>
    <cellStyle name="常规 6 2" xfId="25848" xr:uid="{00000000-0005-0000-0000-0000AD630000}"/>
    <cellStyle name="常规 6 3" xfId="25849" xr:uid="{00000000-0005-0000-0000-0000AE630000}"/>
    <cellStyle name="超链接 2" xfId="24556" xr:uid="{00000000-0005-0000-0000-0000CA640000}"/>
    <cellStyle name="超链接 2 2" xfId="24557" xr:uid="{00000000-0005-0000-0000-0000CB640000}"/>
    <cellStyle name="超链接 2 2 2" xfId="24558" xr:uid="{00000000-0005-0000-0000-0000CC640000}"/>
    <cellStyle name="超链接 2 2 3" xfId="24559" xr:uid="{00000000-0005-0000-0000-0000CD640000}"/>
    <cellStyle name="超链接 2 2 4" xfId="24560" xr:uid="{00000000-0005-0000-0000-0000CE640000}"/>
    <cellStyle name="超链接 2 3" xfId="24561" xr:uid="{00000000-0005-0000-0000-0000CF640000}"/>
    <cellStyle name="超链接 2 4" xfId="24562" xr:uid="{00000000-0005-0000-0000-0000D0640000}"/>
    <cellStyle name="超链接 2 5" xfId="24563" xr:uid="{00000000-0005-0000-0000-0000D1640000}"/>
    <cellStyle name="超链接 2 6" xfId="24564" xr:uid="{00000000-0005-0000-0000-0000D2640000}"/>
    <cellStyle name="超链接_ECI Quotation Form 2008_GG (3)" xfId="24565" xr:uid="{00000000-0005-0000-0000-0000D3640000}"/>
    <cellStyle name="나쁨" xfId="25651" xr:uid="{00000000-0005-0000-0000-00004E5E0000}"/>
    <cellStyle name="나쁨 2" xfId="25652" xr:uid="{00000000-0005-0000-0000-00004F5E0000}"/>
    <cellStyle name="나쁨 3" xfId="25653" xr:uid="{00000000-0005-0000-0000-0000505E0000}"/>
    <cellStyle name="好" xfId="23136" xr:uid="{00000000-0005-0000-0000-0000A05E0000}"/>
    <cellStyle name="好 2" xfId="23137" xr:uid="{00000000-0005-0000-0000-0000A15E0000}"/>
    <cellStyle name="好 2 2" xfId="23138" xr:uid="{00000000-0005-0000-0000-0000A25E0000}"/>
    <cellStyle name="好 2 3" xfId="23139" xr:uid="{00000000-0005-0000-0000-0000A35E0000}"/>
    <cellStyle name="好 2 4" xfId="23140" xr:uid="{00000000-0005-0000-0000-0000A45E0000}"/>
    <cellStyle name="好 2 5" xfId="23141" xr:uid="{00000000-0005-0000-0000-0000A55E0000}"/>
    <cellStyle name="好 3" xfId="23142" xr:uid="{00000000-0005-0000-0000-0000A65E0000}"/>
    <cellStyle name="好 3 2" xfId="23143" xr:uid="{00000000-0005-0000-0000-0000A75E0000}"/>
    <cellStyle name="好 3 3" xfId="23144" xr:uid="{00000000-0005-0000-0000-0000A85E0000}"/>
    <cellStyle name="好 4" xfId="23145" xr:uid="{00000000-0005-0000-0000-0000A95E0000}"/>
    <cellStyle name="好 5" xfId="23146" xr:uid="{00000000-0005-0000-0000-0000AA5E0000}"/>
    <cellStyle name="好 6" xfId="23147" xr:uid="{00000000-0005-0000-0000-0000AB5E0000}"/>
    <cellStyle name="好 7" xfId="23148" xr:uid="{00000000-0005-0000-0000-0000AC5E0000}"/>
    <cellStyle name="好_ACE Application for Whirlpool TF101101 2010-12-14" xfId="25710" xr:uid="{00000000-0005-0000-0000-0000AD5E0000}"/>
    <cellStyle name="好_ACE Application for Whirlpool TF101101 2010-12-14 2" xfId="25711" xr:uid="{00000000-0005-0000-0000-0000AE5E0000}"/>
    <cellStyle name="好_ACE Application for Whirlpool TF101101 2010-12-14 3" xfId="25712" xr:uid="{00000000-0005-0000-0000-0000AF5E0000}"/>
    <cellStyle name="好_Add delete sheet for 2416286 rev N" xfId="23149" xr:uid="{00000000-0005-0000-0000-0000B05E0000}"/>
    <cellStyle name="好_Add delete sheet for 2416286 rev N 2" xfId="23150" xr:uid="{00000000-0005-0000-0000-0000B15E0000}"/>
    <cellStyle name="好_Add delete sheet for 2416286 rev N 2 2" xfId="23151" xr:uid="{00000000-0005-0000-0000-0000B25E0000}"/>
    <cellStyle name="好_Add delete sheet for 2416286 rev N 2 3" xfId="23152" xr:uid="{00000000-0005-0000-0000-0000B35E0000}"/>
    <cellStyle name="好_Add delete sheet for 2416286 rev N 2 4" xfId="23153" xr:uid="{00000000-0005-0000-0000-0000B45E0000}"/>
    <cellStyle name="好_Add delete sheet for 2416286 rev N 2 5" xfId="23154" xr:uid="{00000000-0005-0000-0000-0000B55E0000}"/>
    <cellStyle name="好_Add delete sheet for 2416286 rev N 3" xfId="23155" xr:uid="{00000000-0005-0000-0000-0000B65E0000}"/>
    <cellStyle name="好_Add delete sheet for 2416286 rev N 3 2" xfId="23156" xr:uid="{00000000-0005-0000-0000-0000B75E0000}"/>
    <cellStyle name="好_Add delete sheet for 2416286 rev N 3 3" xfId="23157" xr:uid="{00000000-0005-0000-0000-0000B85E0000}"/>
    <cellStyle name="好_Add delete sheet for 2416286 rev N 4" xfId="23158" xr:uid="{00000000-0005-0000-0000-0000B95E0000}"/>
    <cellStyle name="好_Add delete sheet for 2416286 rev N 5" xfId="23159" xr:uid="{00000000-0005-0000-0000-0000BA5E0000}"/>
    <cellStyle name="好_Add delete sheet for 2416286 rev N 6" xfId="23160" xr:uid="{00000000-0005-0000-0000-0000BB5E0000}"/>
    <cellStyle name="好_Add delete sheet for 2416286 rev N 7" xfId="23161" xr:uid="{00000000-0005-0000-0000-0000BC5E0000}"/>
    <cellStyle name="好_Amana IP-ECN's 4-28" xfId="25713" xr:uid="{00000000-0005-0000-0000-0000BD5E0000}"/>
    <cellStyle name="好_Amana IP-ECN's 4-28 2" xfId="25714" xr:uid="{00000000-0005-0000-0000-0000BE5E0000}"/>
    <cellStyle name="好_Amana IP-ECN's 4-28 3" xfId="25715" xr:uid="{00000000-0005-0000-0000-0000BF5E0000}"/>
    <cellStyle name="好_AP-3 Add delete sheet for 165D6182G007 R21" xfId="23162" xr:uid="{00000000-0005-0000-0000-0000C05E0000}"/>
    <cellStyle name="好_AP-3 Add delete sheet for 165D6182G007 R21 2" xfId="23163" xr:uid="{00000000-0005-0000-0000-0000C15E0000}"/>
    <cellStyle name="好_AP-3 Add delete sheet for 165D6182G007 R21 2 2" xfId="23164" xr:uid="{00000000-0005-0000-0000-0000C25E0000}"/>
    <cellStyle name="好_AP-3 Add delete sheet for 165D6182G007 R21 2 3" xfId="23165" xr:uid="{00000000-0005-0000-0000-0000C35E0000}"/>
    <cellStyle name="好_AP-3 Add delete sheet for 165D6182G007 R21 2 4" xfId="23166" xr:uid="{00000000-0005-0000-0000-0000C45E0000}"/>
    <cellStyle name="好_AP-3 Add delete sheet for 165D6182G007 R21 2 5" xfId="23167" xr:uid="{00000000-0005-0000-0000-0000C55E0000}"/>
    <cellStyle name="好_AP-3 Add delete sheet for 165D6182G007 R21 3" xfId="23168" xr:uid="{00000000-0005-0000-0000-0000C65E0000}"/>
    <cellStyle name="好_AP-3 Add delete sheet for 165D6182G007 R21 3 2" xfId="23169" xr:uid="{00000000-0005-0000-0000-0000C75E0000}"/>
    <cellStyle name="好_AP-3 Add delete sheet for 165D6182G007 R21 3 3" xfId="23170" xr:uid="{00000000-0005-0000-0000-0000C85E0000}"/>
    <cellStyle name="好_AP-3 Add delete sheet for 165D6182G007 R21 3 4" xfId="23171" xr:uid="{00000000-0005-0000-0000-0000C95E0000}"/>
    <cellStyle name="好_AP-3 Add delete sheet for 165D6182G007 R21 3 5" xfId="23172" xr:uid="{00000000-0005-0000-0000-0000CA5E0000}"/>
    <cellStyle name="好_AP-3 Add delete sheet for 165D6182G007 R21 4" xfId="23173" xr:uid="{00000000-0005-0000-0000-0000CB5E0000}"/>
    <cellStyle name="好_AP-3 Add delete sheet for 165D6182G007 R21 5" xfId="23174" xr:uid="{00000000-0005-0000-0000-0000CC5E0000}"/>
    <cellStyle name="好_AP-3 Add delete sheet for 165D6182G007 R21 6" xfId="23175" xr:uid="{00000000-0005-0000-0000-0000CD5E0000}"/>
    <cellStyle name="好_AP-3 Add delete sheet for 165D6182G007 R21 7" xfId="23176" xr:uid="{00000000-0005-0000-0000-0000CE5E0000}"/>
    <cellStyle name="好_CA080426 Madison" xfId="23177" xr:uid="{00000000-0005-0000-0000-0000CF5E0000}"/>
    <cellStyle name="好_CA080426 Madison 2" xfId="23178" xr:uid="{00000000-0005-0000-0000-0000D05E0000}"/>
    <cellStyle name="好_CA080426 Madison 2 2" xfId="23179" xr:uid="{00000000-0005-0000-0000-0000D15E0000}"/>
    <cellStyle name="好_CA080426 Madison 2 3" xfId="23180" xr:uid="{00000000-0005-0000-0000-0000D25E0000}"/>
    <cellStyle name="好_CA080426 Madison 3" xfId="23181" xr:uid="{00000000-0005-0000-0000-0000D35E0000}"/>
    <cellStyle name="好_CA080426 Madison 4" xfId="23182" xr:uid="{00000000-0005-0000-0000-0000D45E0000}"/>
    <cellStyle name="好_CA080426 Madison 5" xfId="23183" xr:uid="{00000000-0005-0000-0000-0000D55E0000}"/>
    <cellStyle name="好_CA080426 Madison 6" xfId="23184" xr:uid="{00000000-0005-0000-0000-0000D65E0000}"/>
    <cellStyle name="好_CA080509 Madison 2008-5-9" xfId="23185" xr:uid="{00000000-0005-0000-0000-0000D75E0000}"/>
    <cellStyle name="好_CA080509 Madison 2008-5-9 2" xfId="23186" xr:uid="{00000000-0005-0000-0000-0000D85E0000}"/>
    <cellStyle name="好_CA080509 Madison 2008-5-9 2 2" xfId="23187" xr:uid="{00000000-0005-0000-0000-0000D95E0000}"/>
    <cellStyle name="好_CA080509 Madison 2008-5-9 2 3" xfId="23188" xr:uid="{00000000-0005-0000-0000-0000DA5E0000}"/>
    <cellStyle name="好_CA080509 Madison 2008-5-9 3" xfId="23189" xr:uid="{00000000-0005-0000-0000-0000DB5E0000}"/>
    <cellStyle name="好_CA080509 Madison 2008-5-9 4" xfId="23190" xr:uid="{00000000-0005-0000-0000-0000DC5E0000}"/>
    <cellStyle name="好_CA080509 Madison 2008-5-9 5" xfId="23191" xr:uid="{00000000-0005-0000-0000-0000DD5E0000}"/>
    <cellStyle name="好_CA080509 Madison 2008-5-9 6" xfId="23192" xr:uid="{00000000-0005-0000-0000-0000DE5E0000}"/>
    <cellStyle name="好_CA080522 LITTLESWAN 2008-06-16" xfId="23193" xr:uid="{00000000-0005-0000-0000-0000DF5E0000}"/>
    <cellStyle name="好_CA080522 LITTLESWAN 2008-06-16 2" xfId="23194" xr:uid="{00000000-0005-0000-0000-0000E05E0000}"/>
    <cellStyle name="好_CA080522 LITTLESWAN 2008-06-16 2 2" xfId="23195" xr:uid="{00000000-0005-0000-0000-0000E15E0000}"/>
    <cellStyle name="好_CA080522 LITTLESWAN 2008-06-16 2 3" xfId="23196" xr:uid="{00000000-0005-0000-0000-0000E25E0000}"/>
    <cellStyle name="好_CA080522 LITTLESWAN 2008-06-16 3" xfId="23197" xr:uid="{00000000-0005-0000-0000-0000E35E0000}"/>
    <cellStyle name="好_CA080522 LITTLESWAN 2008-06-16 4" xfId="23198" xr:uid="{00000000-0005-0000-0000-0000E45E0000}"/>
    <cellStyle name="好_CA080522 LITTLESWAN 2008-06-16 5" xfId="23199" xr:uid="{00000000-0005-0000-0000-0000E55E0000}"/>
    <cellStyle name="好_CA080522 LITTLESWAN 2008-06-16 6" xfId="23200" xr:uid="{00000000-0005-0000-0000-0000E65E0000}"/>
    <cellStyle name="好_CA080620 QUOTE Computime 6-24-08" xfId="23201" xr:uid="{00000000-0005-0000-0000-0000E75E0000}"/>
    <cellStyle name="好_CA080620 QUOTE Computime 6-24-08 2" xfId="23202" xr:uid="{00000000-0005-0000-0000-0000E85E0000}"/>
    <cellStyle name="好_CA080620 QUOTE Computime 6-24-08 2 2" xfId="23203" xr:uid="{00000000-0005-0000-0000-0000E95E0000}"/>
    <cellStyle name="好_CA080620 QUOTE Computime 6-24-08 2 3" xfId="23204" xr:uid="{00000000-0005-0000-0000-0000EA5E0000}"/>
    <cellStyle name="好_CA080620 QUOTE Computime 6-24-08 3" xfId="23205" xr:uid="{00000000-0005-0000-0000-0000EB5E0000}"/>
    <cellStyle name="好_CA080620 QUOTE Computime 6-24-08 4" xfId="23206" xr:uid="{00000000-0005-0000-0000-0000EC5E0000}"/>
    <cellStyle name="好_CA080620 QUOTE Computime 6-24-08 5" xfId="23207" xr:uid="{00000000-0005-0000-0000-0000ED5E0000}"/>
    <cellStyle name="好_CA080620 QUOTE Computime 6-24-08 6" xfId="23208" xr:uid="{00000000-0005-0000-0000-0000EE5E0000}"/>
    <cellStyle name="好_CA080707 Midea 2008-07-9" xfId="23209" xr:uid="{00000000-0005-0000-0000-0000EF5E0000}"/>
    <cellStyle name="好_CA080707 Midea 2008-07-9 2" xfId="23210" xr:uid="{00000000-0005-0000-0000-0000F05E0000}"/>
    <cellStyle name="好_CA080707 Midea 2008-07-9 2 2" xfId="23211" xr:uid="{00000000-0005-0000-0000-0000F15E0000}"/>
    <cellStyle name="好_CA080707 Midea 2008-07-9 2 3" xfId="23212" xr:uid="{00000000-0005-0000-0000-0000F25E0000}"/>
    <cellStyle name="好_CA080707 Midea 2008-07-9 3" xfId="23213" xr:uid="{00000000-0005-0000-0000-0000F35E0000}"/>
    <cellStyle name="好_CA080707 Midea 2008-07-9 4" xfId="23214" xr:uid="{00000000-0005-0000-0000-0000F45E0000}"/>
    <cellStyle name="好_CA080707 Midea 2008-07-9 5" xfId="23215" xr:uid="{00000000-0005-0000-0000-0000F55E0000}"/>
    <cellStyle name="好_CA080707 Midea 2008-07-9 6" xfId="23216" xr:uid="{00000000-0005-0000-0000-0000F65E0000}"/>
    <cellStyle name="好_CA080730 Midea 2008-07-23" xfId="23217" xr:uid="{00000000-0005-0000-0000-0000F75E0000}"/>
    <cellStyle name="好_CA080730 Midea 2008-07-23 2" xfId="23218" xr:uid="{00000000-0005-0000-0000-0000F85E0000}"/>
    <cellStyle name="好_CA080730 Midea 2008-07-23 3" xfId="23219" xr:uid="{00000000-0005-0000-0000-0000F95E0000}"/>
    <cellStyle name="好_CA080730 Midea 2008-07-23 4" xfId="23220" xr:uid="{00000000-0005-0000-0000-0000FA5E0000}"/>
    <cellStyle name="好_CA080730 Midea 2008-07-23 5" xfId="23221" xr:uid="{00000000-0005-0000-0000-0000FB5E0000}"/>
    <cellStyle name="好_Cherry" xfId="23222" xr:uid="{00000000-0005-0000-0000-0000FC5E0000}"/>
    <cellStyle name="好_Cherry 2" xfId="23223" xr:uid="{00000000-0005-0000-0000-0000FD5E0000}"/>
    <cellStyle name="好_Cherry 3" xfId="23224" xr:uid="{00000000-0005-0000-0000-0000FE5E0000}"/>
    <cellStyle name="好_Cherry 4" xfId="23225" xr:uid="{00000000-0005-0000-0000-0000FF5E0000}"/>
    <cellStyle name="好_Cherry 5" xfId="23226" xr:uid="{00000000-0005-0000-0000-0000005F0000}"/>
    <cellStyle name="好_Copy of Approval Request Form" xfId="23227" xr:uid="{00000000-0005-0000-0000-0000015F0000}"/>
    <cellStyle name="好_Copy of Approval Request Form 2" xfId="23228" xr:uid="{00000000-0005-0000-0000-0000025F0000}"/>
    <cellStyle name="好_Copy of Approval Request Form 2 2" xfId="23229" xr:uid="{00000000-0005-0000-0000-0000035F0000}"/>
    <cellStyle name="好_Copy of Approval Request Form 2 3" xfId="23230" xr:uid="{00000000-0005-0000-0000-0000045F0000}"/>
    <cellStyle name="好_Copy of Approval Request Form 3" xfId="23231" xr:uid="{00000000-0005-0000-0000-0000055F0000}"/>
    <cellStyle name="好_Copy of Approval Request Form 4" xfId="23232" xr:uid="{00000000-0005-0000-0000-0000065F0000}"/>
    <cellStyle name="好_Copy of Approval Request Form 5" xfId="23233" xr:uid="{00000000-0005-0000-0000-0000075F0000}"/>
    <cellStyle name="好_Copy of Approval Request Form 6" xfId="23234" xr:uid="{00000000-0005-0000-0000-0000085F0000}"/>
    <cellStyle name="好_Copy of Approval Request Form-EN091013" xfId="23235" xr:uid="{00000000-0005-0000-0000-0000095F0000}"/>
    <cellStyle name="好_Copy of Approval Request Form-EN091013 2" xfId="23236" xr:uid="{00000000-0005-0000-0000-00000A5F0000}"/>
    <cellStyle name="好_Copy of Approval Request Form-EN091013 2 2" xfId="23237" xr:uid="{00000000-0005-0000-0000-00000B5F0000}"/>
    <cellStyle name="好_Copy of Approval Request Form-EN091013 2 3" xfId="23238" xr:uid="{00000000-0005-0000-0000-00000C5F0000}"/>
    <cellStyle name="好_Copy of Approval Request Form-EN091013 3" xfId="23239" xr:uid="{00000000-0005-0000-0000-00000D5F0000}"/>
    <cellStyle name="好_Copy of Approval Request Form-EN091013 4" xfId="23240" xr:uid="{00000000-0005-0000-0000-00000E5F0000}"/>
    <cellStyle name="好_Copy of Approval Request Form-EN091013 5" xfId="23241" xr:uid="{00000000-0005-0000-0000-00000F5F0000}"/>
    <cellStyle name="好_Copy of Approval Request Form-EN091013 6" xfId="23242" xr:uid="{00000000-0005-0000-0000-0000105F0000}"/>
    <cellStyle name="好_E" xfId="23243" xr:uid="{00000000-0005-0000-0000-0000115F0000}"/>
    <cellStyle name="好_E 2" xfId="23244" xr:uid="{00000000-0005-0000-0000-0000125F0000}"/>
    <cellStyle name="好_E 2 2" xfId="23245" xr:uid="{00000000-0005-0000-0000-0000135F0000}"/>
    <cellStyle name="好_E 2 3" xfId="23246" xr:uid="{00000000-0005-0000-0000-0000145F0000}"/>
    <cellStyle name="好_E 3" xfId="23247" xr:uid="{00000000-0005-0000-0000-0000155F0000}"/>
    <cellStyle name="好_E 4" xfId="23248" xr:uid="{00000000-0005-0000-0000-0000165F0000}"/>
    <cellStyle name="好_E 5" xfId="23249" xr:uid="{00000000-0005-0000-0000-0000175F0000}"/>
    <cellStyle name="好_E 6" xfId="23250" xr:uid="{00000000-0005-0000-0000-0000185F0000}"/>
    <cellStyle name="好_ECI Quotation Form 2008_HO" xfId="23251" xr:uid="{00000000-0005-0000-0000-0000195F0000}"/>
    <cellStyle name="好_ECI Quotation Form 2008_HO 2" xfId="23252" xr:uid="{00000000-0005-0000-0000-00001A5F0000}"/>
    <cellStyle name="好_ECI Quotation Form 2008_HO 2 2" xfId="23253" xr:uid="{00000000-0005-0000-0000-00001B5F0000}"/>
    <cellStyle name="好_ECI Quotation Form 2008_HO 2 3" xfId="23254" xr:uid="{00000000-0005-0000-0000-00001C5F0000}"/>
    <cellStyle name="好_ECI Quotation Form 2008_HO 3" xfId="23255" xr:uid="{00000000-0005-0000-0000-00001D5F0000}"/>
    <cellStyle name="好_ECI Quotation Form 2008_HO 4" xfId="23256" xr:uid="{00000000-0005-0000-0000-00001E5F0000}"/>
    <cellStyle name="好_ECI Quotation Form 2008_HO 5" xfId="23257" xr:uid="{00000000-0005-0000-0000-00001F5F0000}"/>
    <cellStyle name="好_ECI Quotation Form 2008_HO 6" xfId="23258" xr:uid="{00000000-0005-0000-0000-0000205F0000}"/>
    <cellStyle name="好_Electrolux quote -Kaly" xfId="23259" xr:uid="{00000000-0005-0000-0000-0000215F0000}"/>
    <cellStyle name="好_Electrolux quote -Kaly 2" xfId="23260" xr:uid="{00000000-0005-0000-0000-0000225F0000}"/>
    <cellStyle name="好_Electrolux quote -Kaly 3" xfId="23261" xr:uid="{00000000-0005-0000-0000-0000235F0000}"/>
    <cellStyle name="好_EU080320 Arcelik 2008-3-24" xfId="23262" xr:uid="{00000000-0005-0000-0000-0000245F0000}"/>
    <cellStyle name="好_EU080320 Arcelik 2008-3-24 2" xfId="23263" xr:uid="{00000000-0005-0000-0000-0000255F0000}"/>
    <cellStyle name="好_EU080320 Arcelik 2008-3-24 2 2" xfId="23264" xr:uid="{00000000-0005-0000-0000-0000265F0000}"/>
    <cellStyle name="好_EU080320 Arcelik 2008-3-24 2 3" xfId="23265" xr:uid="{00000000-0005-0000-0000-0000275F0000}"/>
    <cellStyle name="好_EU080320 Arcelik 2008-3-24 3" xfId="23266" xr:uid="{00000000-0005-0000-0000-0000285F0000}"/>
    <cellStyle name="好_EU080320 Arcelik 2008-3-24 4" xfId="23267" xr:uid="{00000000-0005-0000-0000-0000295F0000}"/>
    <cellStyle name="好_EU080320 Arcelik 2008-3-24 5" xfId="23268" xr:uid="{00000000-0005-0000-0000-00002A5F0000}"/>
    <cellStyle name="好_EU080320 Arcelik 2008-3-24 6" xfId="23269" xr:uid="{00000000-0005-0000-0000-00002B5F0000}"/>
    <cellStyle name="好_EU080320 Arcelik 2008-4-18 updated" xfId="23270" xr:uid="{00000000-0005-0000-0000-00002C5F0000}"/>
    <cellStyle name="好_EU080320 Arcelik 2008-4-18 updated 2" xfId="23271" xr:uid="{00000000-0005-0000-0000-00002D5F0000}"/>
    <cellStyle name="好_EU080320 Arcelik 2008-4-18 updated 2 2" xfId="23272" xr:uid="{00000000-0005-0000-0000-00002E5F0000}"/>
    <cellStyle name="好_EU080320 Arcelik 2008-4-18 updated 2 3" xfId="23273" xr:uid="{00000000-0005-0000-0000-00002F5F0000}"/>
    <cellStyle name="好_EU080320 Arcelik 2008-4-18 updated 3" xfId="23274" xr:uid="{00000000-0005-0000-0000-0000305F0000}"/>
    <cellStyle name="好_EU080320 Arcelik 2008-4-18 updated 4" xfId="23275" xr:uid="{00000000-0005-0000-0000-0000315F0000}"/>
    <cellStyle name="好_EU080320 Arcelik 2008-4-18 updated 5" xfId="23276" xr:uid="{00000000-0005-0000-0000-0000325F0000}"/>
    <cellStyle name="好_EU080320 Arcelik 2008-4-18 updated 6" xfId="23277" xr:uid="{00000000-0005-0000-0000-0000335F0000}"/>
    <cellStyle name="好_EU080405 Crosslee 2008-4-9" xfId="23278" xr:uid="{00000000-0005-0000-0000-0000345F0000}"/>
    <cellStyle name="好_EU080405 Crosslee 2008-4-9 2" xfId="23279" xr:uid="{00000000-0005-0000-0000-0000355F0000}"/>
    <cellStyle name="好_EU080405 Crosslee 2008-4-9 2 2" xfId="23280" xr:uid="{00000000-0005-0000-0000-0000365F0000}"/>
    <cellStyle name="好_EU080405 Crosslee 2008-4-9 2 3" xfId="23281" xr:uid="{00000000-0005-0000-0000-0000375F0000}"/>
    <cellStyle name="好_EU080405 Crosslee 2008-4-9 3" xfId="23282" xr:uid="{00000000-0005-0000-0000-0000385F0000}"/>
    <cellStyle name="好_EU080405 Crosslee 2008-4-9 4" xfId="23283" xr:uid="{00000000-0005-0000-0000-0000395F0000}"/>
    <cellStyle name="好_EU080405 Crosslee 2008-4-9 5" xfId="23284" xr:uid="{00000000-0005-0000-0000-00003A5F0000}"/>
    <cellStyle name="好_EU080405 Crosslee 2008-4-9 6" xfId="23285" xr:uid="{00000000-0005-0000-0000-00003B5F0000}"/>
    <cellStyle name="好_GetMXBOM-2010-11-17" xfId="25716" xr:uid="{00000000-0005-0000-0000-00003C5F0000}"/>
    <cellStyle name="好_GetMXBOM-2010-11-17 2" xfId="25717" xr:uid="{00000000-0005-0000-0000-00003D5F0000}"/>
    <cellStyle name="好_GetMXBOM-2010-11-17 3" xfId="25718" xr:uid="{00000000-0005-0000-0000-00003E5F0000}"/>
    <cellStyle name="好_HZ090215 DESAY 2009-02-27" xfId="23286" xr:uid="{00000000-0005-0000-0000-00003F5F0000}"/>
    <cellStyle name="好_HZ090215 DESAY 2009-02-27 2" xfId="23287" xr:uid="{00000000-0005-0000-0000-0000405F0000}"/>
    <cellStyle name="好_HZ090215 DESAY 2009-02-27 3" xfId="23288" xr:uid="{00000000-0005-0000-0000-0000415F0000}"/>
    <cellStyle name="好_HZ090215 DESAY 2009-02-27 4" xfId="23289" xr:uid="{00000000-0005-0000-0000-0000425F0000}"/>
    <cellStyle name="好_HZ090215 DESAY 2009-02-27 5" xfId="23290" xr:uid="{00000000-0005-0000-0000-0000435F0000}"/>
    <cellStyle name="好_HZ090505 Electrolux 090514 edward" xfId="23291" xr:uid="{00000000-0005-0000-0000-0000445F0000}"/>
    <cellStyle name="好_HZ090505 Electrolux 090514 edward 2" xfId="23292" xr:uid="{00000000-0005-0000-0000-0000455F0000}"/>
    <cellStyle name="好_HZ090505 Electrolux 090514 edward 3" xfId="23293" xr:uid="{00000000-0005-0000-0000-0000465F0000}"/>
    <cellStyle name="好_HZ090505 Electrolux 2009-05" xfId="23294" xr:uid="{00000000-0005-0000-0000-0000475F0000}"/>
    <cellStyle name="好_HZ090505 Electrolux 2009-05 2" xfId="23295" xr:uid="{00000000-0005-0000-0000-0000485F0000}"/>
    <cellStyle name="好_HZ090505 Electrolux 2009-05 3" xfId="23296" xr:uid="{00000000-0005-0000-0000-0000495F0000}"/>
    <cellStyle name="好_HZ090505 Electrolux 2009-05 David" xfId="23297" xr:uid="{00000000-0005-0000-0000-00004A5F0000}"/>
    <cellStyle name="好_HZ090505 Electrolux 2009-05 David 2" xfId="23298" xr:uid="{00000000-0005-0000-0000-00004B5F0000}"/>
    <cellStyle name="好_HZ090505 Electrolux 2009-05 David 3" xfId="23299" xr:uid="{00000000-0005-0000-0000-00004C5F0000}"/>
    <cellStyle name="好_HZ090505 Electrolux 2009-05 george" xfId="23300" xr:uid="{00000000-0005-0000-0000-00004D5F0000}"/>
    <cellStyle name="好_HZ090505 Electrolux 2009-05 george 2" xfId="23301" xr:uid="{00000000-0005-0000-0000-00004E5F0000}"/>
    <cellStyle name="好_HZ090505 Electrolux 2009-05 george 3" xfId="23302" xr:uid="{00000000-0005-0000-0000-00004F5F0000}"/>
    <cellStyle name="好_HZ090505 Electrolux 2009-05 -Kaly" xfId="23303" xr:uid="{00000000-0005-0000-0000-0000505F0000}"/>
    <cellStyle name="好_HZ090505 Electrolux 2009-05 -Kaly 2" xfId="23304" xr:uid="{00000000-0005-0000-0000-0000515F0000}"/>
    <cellStyle name="好_HZ090505 Electrolux 2009-05 -Kaly 3" xfId="23305" xr:uid="{00000000-0005-0000-0000-0000525F0000}"/>
    <cellStyle name="好_HZ090505 Electrolux 2009-06" xfId="23306" xr:uid="{00000000-0005-0000-0000-0000535F0000}"/>
    <cellStyle name="好_HZ090505 Electrolux 2009-06 2" xfId="23307" xr:uid="{00000000-0005-0000-0000-0000545F0000}"/>
    <cellStyle name="好_HZ090505 Electrolux 2009-06 3" xfId="23308" xr:uid="{00000000-0005-0000-0000-0000555F0000}"/>
    <cellStyle name="好_HZ090505 Electrolux-David" xfId="23309" xr:uid="{00000000-0005-0000-0000-0000565F0000}"/>
    <cellStyle name="好_HZ090505 Electrolux-David 2" xfId="23310" xr:uid="{00000000-0005-0000-0000-0000575F0000}"/>
    <cellStyle name="好_HZ090505 Electrolux-David 2 2" xfId="23311" xr:uid="{00000000-0005-0000-0000-0000585F0000}"/>
    <cellStyle name="好_HZ090505 Electrolux-David 2 3" xfId="23312" xr:uid="{00000000-0005-0000-0000-0000595F0000}"/>
    <cellStyle name="好_HZ090505 Electrolux-David 3" xfId="23313" xr:uid="{00000000-0005-0000-0000-00005A5F0000}"/>
    <cellStyle name="好_HZ090505 Electrolux-David 4" xfId="23314" xr:uid="{00000000-0005-0000-0000-00005B5F0000}"/>
    <cellStyle name="好_HZ090505 Electrolux-David 5" xfId="23315" xr:uid="{00000000-0005-0000-0000-00005C5F0000}"/>
    <cellStyle name="好_HZ090505 Electrolux-David 6" xfId="23316" xr:uid="{00000000-0005-0000-0000-00005D5F0000}"/>
    <cellStyle name="好_HZ090703 Midea 2009" xfId="23317" xr:uid="{00000000-0005-0000-0000-00005E5F0000}"/>
    <cellStyle name="好_HZ090703 Midea 2009 2" xfId="23318" xr:uid="{00000000-0005-0000-0000-00005F5F0000}"/>
    <cellStyle name="好_HZ090703 Midea 2009 2 2" xfId="23319" xr:uid="{00000000-0005-0000-0000-0000605F0000}"/>
    <cellStyle name="好_HZ090703 Midea 2009 2 3" xfId="23320" xr:uid="{00000000-0005-0000-0000-0000615F0000}"/>
    <cellStyle name="好_HZ090703 Midea 2009 3" xfId="23321" xr:uid="{00000000-0005-0000-0000-0000625F0000}"/>
    <cellStyle name="好_HZ090703 Midea 2009 4" xfId="23322" xr:uid="{00000000-0005-0000-0000-0000635F0000}"/>
    <cellStyle name="好_HZ090703 Midea 2009 5" xfId="23323" xr:uid="{00000000-0005-0000-0000-0000645F0000}"/>
    <cellStyle name="好_HZ090703 Midea 2009 6" xfId="23324" xr:uid="{00000000-0005-0000-0000-0000655F0000}"/>
    <cellStyle name="好_HZ090806 Midea Samsung 2009-12-15" xfId="23325" xr:uid="{00000000-0005-0000-0000-0000665F0000}"/>
    <cellStyle name="好_HZ090806 Midea Samsung 2009-12-15 2" xfId="23326" xr:uid="{00000000-0005-0000-0000-0000675F0000}"/>
    <cellStyle name="好_HZ090806 Midea Samsung 2009-12-15 2 2" xfId="23327" xr:uid="{00000000-0005-0000-0000-0000685F0000}"/>
    <cellStyle name="好_HZ090806 Midea Samsung 2009-12-15 2 3" xfId="23328" xr:uid="{00000000-0005-0000-0000-0000695F0000}"/>
    <cellStyle name="好_HZ090806 Midea Samsung 2009-12-15 3" xfId="23329" xr:uid="{00000000-0005-0000-0000-00006A5F0000}"/>
    <cellStyle name="好_HZ090806 Midea Samsung 2009-12-15 4" xfId="23330" xr:uid="{00000000-0005-0000-0000-00006B5F0000}"/>
    <cellStyle name="好_HZ090806 Midea Samsung 2009-12-15 5" xfId="23331" xr:uid="{00000000-0005-0000-0000-00006C5F0000}"/>
    <cellStyle name="好_HZ090806 Midea Samsung 2009-12-15 6" xfId="23332" xr:uid="{00000000-0005-0000-0000-00006D5F0000}"/>
    <cellStyle name="好_HZ090806 Midea Samsung 2009-12-16" xfId="23333" xr:uid="{00000000-0005-0000-0000-00006E5F0000}"/>
    <cellStyle name="好_HZ090806 Midea Samsung 2009-12-16 2" xfId="23334" xr:uid="{00000000-0005-0000-0000-00006F5F0000}"/>
    <cellStyle name="好_HZ090806 Midea Samsung 2009-12-16 2 2" xfId="23335" xr:uid="{00000000-0005-0000-0000-0000705F0000}"/>
    <cellStyle name="好_HZ090806 Midea Samsung 2009-12-16 2 3" xfId="23336" xr:uid="{00000000-0005-0000-0000-0000715F0000}"/>
    <cellStyle name="好_HZ090806 Midea Samsung 2009-12-16 3" xfId="23337" xr:uid="{00000000-0005-0000-0000-0000725F0000}"/>
    <cellStyle name="好_HZ090806 Midea Samsung 2009-12-16 4" xfId="23338" xr:uid="{00000000-0005-0000-0000-0000735F0000}"/>
    <cellStyle name="好_HZ090806 Midea Samsung 2009-12-16 5" xfId="23339" xr:uid="{00000000-0005-0000-0000-0000745F0000}"/>
    <cellStyle name="好_HZ090806 Midea Samsung 2009-12-16 6" xfId="23340" xr:uid="{00000000-0005-0000-0000-0000755F0000}"/>
    <cellStyle name="好_HZ090806 Midea-Samsung 2009 (CHINA)" xfId="23341" xr:uid="{00000000-0005-0000-0000-0000765F0000}"/>
    <cellStyle name="好_HZ090806 Midea-Samsung 2009 (CHINA) 2" xfId="23342" xr:uid="{00000000-0005-0000-0000-0000775F0000}"/>
    <cellStyle name="好_HZ090806 Midea-Samsung 2009 (CHINA) 2 2" xfId="23343" xr:uid="{00000000-0005-0000-0000-0000785F0000}"/>
    <cellStyle name="好_HZ090806 Midea-Samsung 2009 (CHINA) 2 3" xfId="23344" xr:uid="{00000000-0005-0000-0000-0000795F0000}"/>
    <cellStyle name="好_HZ090806 Midea-Samsung 2009 (CHINA) 3" xfId="23345" xr:uid="{00000000-0005-0000-0000-00007A5F0000}"/>
    <cellStyle name="好_HZ090806 Midea-Samsung 2009 (CHINA) 4" xfId="23346" xr:uid="{00000000-0005-0000-0000-00007B5F0000}"/>
    <cellStyle name="好_HZ090806 Midea-Samsung 2009 (CHINA) 5" xfId="23347" xr:uid="{00000000-0005-0000-0000-00007C5F0000}"/>
    <cellStyle name="好_HZ090806 Midea-Samsung 2009 (CHINA) 6" xfId="23348" xr:uid="{00000000-0005-0000-0000-00007D5F0000}"/>
    <cellStyle name="好_HZ090806 Midea-Samsung 2009-09-08" xfId="23349" xr:uid="{00000000-0005-0000-0000-00007E5F0000}"/>
    <cellStyle name="好_HZ090806 Midea-Samsung 2009-09-08 2" xfId="23350" xr:uid="{00000000-0005-0000-0000-00007F5F0000}"/>
    <cellStyle name="好_HZ090806 Midea-Samsung 2009-09-08 2 2" xfId="23351" xr:uid="{00000000-0005-0000-0000-0000805F0000}"/>
    <cellStyle name="好_HZ090806 Midea-Samsung 2009-09-08 2 3" xfId="23352" xr:uid="{00000000-0005-0000-0000-0000815F0000}"/>
    <cellStyle name="好_HZ090806 Midea-Samsung 2009-09-08 3" xfId="23353" xr:uid="{00000000-0005-0000-0000-0000825F0000}"/>
    <cellStyle name="好_HZ090806 Midea-Samsung 2009-09-08 4" xfId="23354" xr:uid="{00000000-0005-0000-0000-0000835F0000}"/>
    <cellStyle name="好_HZ090806 Midea-Samsung 2009-09-08 5" xfId="23355" xr:uid="{00000000-0005-0000-0000-0000845F0000}"/>
    <cellStyle name="好_HZ090806 Midea-Samsung 2009-09-08 6" xfId="23356" xr:uid="{00000000-0005-0000-0000-0000855F0000}"/>
    <cellStyle name="好_HZ100307 Electrolux Brizal 2010 (CHINA)" xfId="23357" xr:uid="{00000000-0005-0000-0000-0000865F0000}"/>
    <cellStyle name="好_HZ100307 Electrolux Brizal 2010 (CHINA) 2" xfId="23358" xr:uid="{00000000-0005-0000-0000-0000875F0000}"/>
    <cellStyle name="好_HZ100307 Electrolux Brizal 2010 (CHINA) 2 2" xfId="23359" xr:uid="{00000000-0005-0000-0000-0000885F0000}"/>
    <cellStyle name="好_HZ100307 Electrolux Brizal 2010 (CHINA) 2 3" xfId="23360" xr:uid="{00000000-0005-0000-0000-0000895F0000}"/>
    <cellStyle name="好_HZ100307 Electrolux Brizal 2010 (CHINA) 3" xfId="23361" xr:uid="{00000000-0005-0000-0000-00008A5F0000}"/>
    <cellStyle name="好_HZ100307 Electrolux Brizal 2010 (CHINA) 4" xfId="23362" xr:uid="{00000000-0005-0000-0000-00008B5F0000}"/>
    <cellStyle name="好_HZ100307 Electrolux Brizal 2010 (CHINA) 5" xfId="23363" xr:uid="{00000000-0005-0000-0000-00008C5F0000}"/>
    <cellStyle name="好_HZ100307 Electrolux Brizal 2010 (CHINA) 6" xfId="23364" xr:uid="{00000000-0005-0000-0000-00008D5F0000}"/>
    <cellStyle name="好_HZ100408 Toshiba (2010.04)" xfId="23365" xr:uid="{00000000-0005-0000-0000-00008E5F0000}"/>
    <cellStyle name="好_HZ100408 Toshiba (2010.04) 2" xfId="23366" xr:uid="{00000000-0005-0000-0000-00008F5F0000}"/>
    <cellStyle name="好_HZ100408 Toshiba (2010.04) 3" xfId="23367" xr:uid="{00000000-0005-0000-0000-0000905F0000}"/>
    <cellStyle name="好_HZ100605 GCE 2010-6-7" xfId="23368" xr:uid="{00000000-0005-0000-0000-0000915F0000}"/>
    <cellStyle name="好_HZ100605 GCE 2010-6-7 2" xfId="23369" xr:uid="{00000000-0005-0000-0000-0000925F0000}"/>
    <cellStyle name="好_HZ100605 GCE 2010-6-7 3" xfId="23370" xr:uid="{00000000-0005-0000-0000-0000935F0000}"/>
    <cellStyle name="好_Itemaster on Whirlpool 2009-5-5" xfId="25719" xr:uid="{00000000-0005-0000-0000-0000945F0000}"/>
    <cellStyle name="好_Itemaster on Whirlpool 2009-5-5 2" xfId="25720" xr:uid="{00000000-0005-0000-0000-0000955F0000}"/>
    <cellStyle name="好_Itemaster on Whirlpool 2009-5-5 3" xfId="25721" xr:uid="{00000000-0005-0000-0000-0000965F0000}"/>
    <cellStyle name="好_MSR HZ100408 Toshiba" xfId="23371" xr:uid="{00000000-0005-0000-0000-0000975F0000}"/>
    <cellStyle name="好_MSR HZ100408 Toshiba 2" xfId="23372" xr:uid="{00000000-0005-0000-0000-0000985F0000}"/>
    <cellStyle name="好_MSR HZ100408 Toshiba 3" xfId="23373" xr:uid="{00000000-0005-0000-0000-0000995F0000}"/>
    <cellStyle name="好_MSR HZ100503 Delta (2)" xfId="23374" xr:uid="{00000000-0005-0000-0000-00009A5F0000}"/>
    <cellStyle name="好_MSR HZ100503 Delta (2) 2" xfId="23375" xr:uid="{00000000-0005-0000-0000-00009B5F0000}"/>
    <cellStyle name="好_MSR HZ100503 Delta (2) 3" xfId="23376" xr:uid="{00000000-0005-0000-0000-00009C5F0000}"/>
    <cellStyle name="好_MSR HZ100601 Welling" xfId="23377" xr:uid="{00000000-0005-0000-0000-00009D5F0000}"/>
    <cellStyle name="好_MSR HZ100601 Welling 2" xfId="23378" xr:uid="{00000000-0005-0000-0000-00009E5F0000}"/>
    <cellStyle name="好_MSR HZ100601 Welling 3" xfId="23379" xr:uid="{00000000-0005-0000-0000-00009F5F0000}"/>
    <cellStyle name="好_MSR Youngreem RG100602 2010-6-22" xfId="23380" xr:uid="{00000000-0005-0000-0000-0000A05F0000}"/>
    <cellStyle name="好_MSR Youngreem RG100602 2010-6-22 2" xfId="23381" xr:uid="{00000000-0005-0000-0000-0000A15F0000}"/>
    <cellStyle name="好_MSR Youngreem RG100602 2010-6-22 3" xfId="23382" xr:uid="{00000000-0005-0000-0000-0000A25F0000}"/>
    <cellStyle name="好_MSRCA080509 Madison" xfId="23383" xr:uid="{00000000-0005-0000-0000-0000A35F0000}"/>
    <cellStyle name="好_MSRCA080509 Madison 2" xfId="23384" xr:uid="{00000000-0005-0000-0000-0000A45F0000}"/>
    <cellStyle name="好_MSRCA080509 Madison 2 2" xfId="23385" xr:uid="{00000000-0005-0000-0000-0000A55F0000}"/>
    <cellStyle name="好_MSRCA080509 Madison 2 3" xfId="23386" xr:uid="{00000000-0005-0000-0000-0000A65F0000}"/>
    <cellStyle name="好_MSRCA080509 Madison 3" xfId="23387" xr:uid="{00000000-0005-0000-0000-0000A75F0000}"/>
    <cellStyle name="好_MSRCA080509 Madison 4" xfId="23388" xr:uid="{00000000-0005-0000-0000-0000A85F0000}"/>
    <cellStyle name="好_MSRCA080509 Madison 5" xfId="23389" xr:uid="{00000000-0005-0000-0000-0000A95F0000}"/>
    <cellStyle name="好_MSRCA080509 Madison 6" xfId="23390" xr:uid="{00000000-0005-0000-0000-0000AA5F0000}"/>
    <cellStyle name="好_MSR-NA090605" xfId="23391" xr:uid="{00000000-0005-0000-0000-0000AB5F0000}"/>
    <cellStyle name="好_MSR-NA090605 2" xfId="23392" xr:uid="{00000000-0005-0000-0000-0000AC5F0000}"/>
    <cellStyle name="好_MSR-NA090605 3" xfId="23393" xr:uid="{00000000-0005-0000-0000-0000AD5F0000}"/>
    <cellStyle name="好_MSR-NA091104 EHP-Webster City" xfId="23394" xr:uid="{00000000-0005-0000-0000-0000AE5F0000}"/>
    <cellStyle name="好_MSR-NA091104 EHP-Webster City 2" xfId="23395" xr:uid="{00000000-0005-0000-0000-0000AF5F0000}"/>
    <cellStyle name="好_MSR-NA091104 EHP-Webster City 3" xfId="23396" xr:uid="{00000000-0005-0000-0000-0000B05F0000}"/>
    <cellStyle name="好_MSR-NA100502 20100513" xfId="23397" xr:uid="{00000000-0005-0000-0000-0000B15F0000}"/>
    <cellStyle name="好_MSR-NA100502 20100513 (2)" xfId="23398" xr:uid="{00000000-0005-0000-0000-0000B25F0000}"/>
    <cellStyle name="好_MSR-NA100502 20100513 (2) 2" xfId="23399" xr:uid="{00000000-0005-0000-0000-0000B35F0000}"/>
    <cellStyle name="好_MSR-NA100502 20100513 (2) 3" xfId="23400" xr:uid="{00000000-0005-0000-0000-0000B45F0000}"/>
    <cellStyle name="好_MSR-NA100502 20100513 10" xfId="25722" xr:uid="{00000000-0005-0000-0000-0000B55F0000}"/>
    <cellStyle name="好_MSR-NA100502 20100513 11" xfId="25723" xr:uid="{00000000-0005-0000-0000-0000B65F0000}"/>
    <cellStyle name="好_MSR-NA100502 20100513 12" xfId="25724" xr:uid="{00000000-0005-0000-0000-0000B75F0000}"/>
    <cellStyle name="好_MSR-NA100502 20100513 13" xfId="25725" xr:uid="{00000000-0005-0000-0000-0000B85F0000}"/>
    <cellStyle name="好_MSR-NA100502 20100513 2" xfId="23401" xr:uid="{00000000-0005-0000-0000-0000B95F0000}"/>
    <cellStyle name="好_MSR-NA100502 20100513 3" xfId="23402" xr:uid="{00000000-0005-0000-0000-0000BA5F0000}"/>
    <cellStyle name="好_MSR-NA100502 20100513 4" xfId="23403" xr:uid="{00000000-0005-0000-0000-0000BB5F0000}"/>
    <cellStyle name="好_MSR-NA100502 20100513 5" xfId="23404" xr:uid="{00000000-0005-0000-0000-0000BC5F0000}"/>
    <cellStyle name="好_MSR-NA100502 20100513 6" xfId="25726" xr:uid="{00000000-0005-0000-0000-0000BD5F0000}"/>
    <cellStyle name="好_MSR-NA100502 20100513 7" xfId="25727" xr:uid="{00000000-0005-0000-0000-0000BE5F0000}"/>
    <cellStyle name="好_MSR-NA100502 20100513 8" xfId="25728" xr:uid="{00000000-0005-0000-0000-0000BF5F0000}"/>
    <cellStyle name="好_MSR-NA100502 20100513 9" xfId="25729" xr:uid="{00000000-0005-0000-0000-0000C05F0000}"/>
    <cellStyle name="好_NA080314 Electrolux 2005-3-26-updated" xfId="23405" xr:uid="{00000000-0005-0000-0000-0000C15F0000}"/>
    <cellStyle name="好_NA080314 Electrolux 2005-3-26-updated 2" xfId="23406" xr:uid="{00000000-0005-0000-0000-0000C25F0000}"/>
    <cellStyle name="好_NA080314 Electrolux 2005-3-26-updated 2 2" xfId="23407" xr:uid="{00000000-0005-0000-0000-0000C35F0000}"/>
    <cellStyle name="好_NA080314 Electrolux 2005-3-26-updated 2 3" xfId="23408" xr:uid="{00000000-0005-0000-0000-0000C45F0000}"/>
    <cellStyle name="好_NA080314 Electrolux 2005-3-26-updated 2 4" xfId="23409" xr:uid="{00000000-0005-0000-0000-0000C55F0000}"/>
    <cellStyle name="好_NA080314 Electrolux 2005-3-26-updated 2 5" xfId="23410" xr:uid="{00000000-0005-0000-0000-0000C65F0000}"/>
    <cellStyle name="好_NA080314 Electrolux 2005-3-26-updated 3" xfId="23411" xr:uid="{00000000-0005-0000-0000-0000C75F0000}"/>
    <cellStyle name="好_NA080314 Electrolux 2005-3-26-updated 3 2" xfId="23412" xr:uid="{00000000-0005-0000-0000-0000C85F0000}"/>
    <cellStyle name="好_NA080314 Electrolux 2005-3-26-updated 3 3" xfId="23413" xr:uid="{00000000-0005-0000-0000-0000C95F0000}"/>
    <cellStyle name="好_NA080314 Electrolux 2005-3-26-updated 4" xfId="23414" xr:uid="{00000000-0005-0000-0000-0000CA5F0000}"/>
    <cellStyle name="好_NA080314 Electrolux 2005-3-26-updated 5" xfId="23415" xr:uid="{00000000-0005-0000-0000-0000CB5F0000}"/>
    <cellStyle name="好_NA080314 Electrolux 2005-3-26-updated 6" xfId="23416" xr:uid="{00000000-0005-0000-0000-0000CC5F0000}"/>
    <cellStyle name="好_NA080314 Electrolux 2005-3-26-updated 7" xfId="23417" xr:uid="{00000000-0005-0000-0000-0000CD5F0000}"/>
    <cellStyle name="好_NA080314 Electrolux 2008-3-25 as new quote" xfId="23418" xr:uid="{00000000-0005-0000-0000-0000CE5F0000}"/>
    <cellStyle name="好_NA080314 Electrolux 2008-3-25 as new quote 2" xfId="23419" xr:uid="{00000000-0005-0000-0000-0000CF5F0000}"/>
    <cellStyle name="好_NA080314 Electrolux 2008-3-25 as new quote 2 2" xfId="23420" xr:uid="{00000000-0005-0000-0000-0000D05F0000}"/>
    <cellStyle name="好_NA080314 Electrolux 2008-3-25 as new quote 2 3" xfId="23421" xr:uid="{00000000-0005-0000-0000-0000D15F0000}"/>
    <cellStyle name="好_NA080314 Electrolux 2008-3-25 as new quote 2 4" xfId="23422" xr:uid="{00000000-0005-0000-0000-0000D25F0000}"/>
    <cellStyle name="好_NA080314 Electrolux 2008-3-25 as new quote 2 5" xfId="23423" xr:uid="{00000000-0005-0000-0000-0000D35F0000}"/>
    <cellStyle name="好_NA080314 Electrolux 2008-3-25 as new quote 3" xfId="23424" xr:uid="{00000000-0005-0000-0000-0000D45F0000}"/>
    <cellStyle name="好_NA080314 Electrolux 2008-3-25 as new quote 3 2" xfId="23425" xr:uid="{00000000-0005-0000-0000-0000D55F0000}"/>
    <cellStyle name="好_NA080314 Electrolux 2008-3-25 as new quote 3 3" xfId="23426" xr:uid="{00000000-0005-0000-0000-0000D65F0000}"/>
    <cellStyle name="好_NA080314 Electrolux 2008-3-25 as new quote 4" xfId="23427" xr:uid="{00000000-0005-0000-0000-0000D75F0000}"/>
    <cellStyle name="好_NA080314 Electrolux 2008-3-25 as new quote 5" xfId="23428" xr:uid="{00000000-0005-0000-0000-0000D85F0000}"/>
    <cellStyle name="好_NA080314 Electrolux 2008-3-25 as new quote 6" xfId="23429" xr:uid="{00000000-0005-0000-0000-0000D95F0000}"/>
    <cellStyle name="好_NA080314 Electrolux 2008-3-25 as new quote 7" xfId="23430" xr:uid="{00000000-0005-0000-0000-0000DA5F0000}"/>
    <cellStyle name="好_NA080314 Electrolux 2008-3-26(china to ECM)" xfId="23431" xr:uid="{00000000-0005-0000-0000-0000DB5F0000}"/>
    <cellStyle name="好_NA080314 Electrolux 2008-3-26(china to ECM) 2" xfId="23432" xr:uid="{00000000-0005-0000-0000-0000DC5F0000}"/>
    <cellStyle name="好_NA080314 Electrolux 2008-3-26(china to ECM) 2 2" xfId="23433" xr:uid="{00000000-0005-0000-0000-0000DD5F0000}"/>
    <cellStyle name="好_NA080314 Electrolux 2008-3-26(china to ECM) 2 3" xfId="23434" xr:uid="{00000000-0005-0000-0000-0000DE5F0000}"/>
    <cellStyle name="好_NA080314 Electrolux 2008-3-26(china to ECM) 2 4" xfId="23435" xr:uid="{00000000-0005-0000-0000-0000DF5F0000}"/>
    <cellStyle name="好_NA080314 Electrolux 2008-3-26(china to ECM) 2 5" xfId="23436" xr:uid="{00000000-0005-0000-0000-0000E05F0000}"/>
    <cellStyle name="好_NA080314 Electrolux 2008-3-26(china to ECM) 3" xfId="23437" xr:uid="{00000000-0005-0000-0000-0000E15F0000}"/>
    <cellStyle name="好_NA080314 Electrolux 2008-3-26(china to ECM) 3 2" xfId="23438" xr:uid="{00000000-0005-0000-0000-0000E25F0000}"/>
    <cellStyle name="好_NA080314 Electrolux 2008-3-26(china to ECM) 3 3" xfId="23439" xr:uid="{00000000-0005-0000-0000-0000E35F0000}"/>
    <cellStyle name="好_NA080314 Electrolux 2008-3-26(china to ECM) 4" xfId="23440" xr:uid="{00000000-0005-0000-0000-0000E45F0000}"/>
    <cellStyle name="好_NA080314 Electrolux 2008-3-26(china to ECM) 5" xfId="23441" xr:uid="{00000000-0005-0000-0000-0000E55F0000}"/>
    <cellStyle name="好_NA080314 Electrolux 2008-3-26(china to ECM) 6" xfId="23442" xr:uid="{00000000-0005-0000-0000-0000E65F0000}"/>
    <cellStyle name="好_NA080314 Electrolux 2008-3-26(china to ECM) 7" xfId="23443" xr:uid="{00000000-0005-0000-0000-0000E75F0000}"/>
    <cellStyle name="好_NA090903 Cherry 2009-9-18" xfId="23444" xr:uid="{00000000-0005-0000-0000-0000E85F0000}"/>
    <cellStyle name="好_NA090903 Cherry 2009-9-18 2" xfId="23445" xr:uid="{00000000-0005-0000-0000-0000E95F0000}"/>
    <cellStyle name="好_NA090903 Cherry 2009-9-18 3" xfId="23446" xr:uid="{00000000-0005-0000-0000-0000EA5F0000}"/>
    <cellStyle name="好_NA090903 Cherry 2009-9-18 4" xfId="23447" xr:uid="{00000000-0005-0000-0000-0000EB5F0000}"/>
    <cellStyle name="好_NA090903 Cherry 2009-9-18 5" xfId="23448" xr:uid="{00000000-0005-0000-0000-0000EC5F0000}"/>
    <cellStyle name="好_PDO-PE-20100106  Electrolux" xfId="25730" xr:uid="{00000000-0005-0000-0000-0000ED5F0000}"/>
    <cellStyle name="好_PDO-PE-20100106  Electrolux 2" xfId="25731" xr:uid="{00000000-0005-0000-0000-0000EE5F0000}"/>
    <cellStyle name="好_PDO-PE-20100106  Electrolux 3" xfId="25732" xr:uid="{00000000-0005-0000-0000-0000EF5F0000}"/>
    <cellStyle name="好_PDO-PE-20100145 SAMSUNG" xfId="25733" xr:uid="{00000000-0005-0000-0000-0000F05F0000}"/>
    <cellStyle name="好_PDO-PE-20100145 SAMSUNG 2" xfId="25734" xr:uid="{00000000-0005-0000-0000-0000F15F0000}"/>
    <cellStyle name="好_PDO-PE-20100145 SAMSUNG 3" xfId="25735" xr:uid="{00000000-0005-0000-0000-0000F25F0000}"/>
    <cellStyle name="好_PDO-PE-20100167 Samsung" xfId="25736" xr:uid="{00000000-0005-0000-0000-0000F35F0000}"/>
    <cellStyle name="好_PDO-PE-20100167 Samsung 2" xfId="25737" xr:uid="{00000000-0005-0000-0000-0000F45F0000}"/>
    <cellStyle name="好_PDO-PE-20100167 Samsung 3" xfId="25738" xr:uid="{00000000-0005-0000-0000-0000F55F0000}"/>
    <cellStyle name="好_PDO-PE-20100171 Whirlpool Findlay" xfId="25739" xr:uid="{00000000-0005-0000-0000-0000F65F0000}"/>
    <cellStyle name="好_PDO-PE-20100171 Whirlpool Findlay 2" xfId="25740" xr:uid="{00000000-0005-0000-0000-0000F75F0000}"/>
    <cellStyle name="好_PDO-PE-20100171 Whirlpool Findlay 3" xfId="25741" xr:uid="{00000000-0005-0000-0000-0000F85F0000}"/>
    <cellStyle name="好_PDO-PE-20100173 Electrolux Springfield" xfId="25742" xr:uid="{00000000-0005-0000-0000-0000F95F0000}"/>
    <cellStyle name="好_PDO-PE-20100173 Electrolux Springfield 2" xfId="25743" xr:uid="{00000000-0005-0000-0000-0000FA5F0000}"/>
    <cellStyle name="好_PDO-PE-20100173 Electrolux Springfield 3" xfId="25744" xr:uid="{00000000-0005-0000-0000-0000FB5F0000}"/>
    <cellStyle name="好_PDO-PE-20100199 Electrolux Springfield" xfId="25745" xr:uid="{00000000-0005-0000-0000-0000FC5F0000}"/>
    <cellStyle name="好_PDO-PE-20100199 Electrolux Springfield 2" xfId="25746" xr:uid="{00000000-0005-0000-0000-0000FD5F0000}"/>
    <cellStyle name="好_PDO-PE-20100199 Electrolux Springfield 3" xfId="25747" xr:uid="{00000000-0005-0000-0000-0000FE5F0000}"/>
    <cellStyle name="好_price comparison of 241628606 between 2005 and 2008" xfId="23449" xr:uid="{00000000-0005-0000-0000-0000FF5F0000}"/>
    <cellStyle name="好_price comparison of 241628606 between 2005 and 2008 2" xfId="23450" xr:uid="{00000000-0005-0000-0000-000000600000}"/>
    <cellStyle name="好_price comparison of 241628606 between 2005 and 2008 2 2" xfId="23451" xr:uid="{00000000-0005-0000-0000-000001600000}"/>
    <cellStyle name="好_price comparison of 241628606 between 2005 and 2008 2 3" xfId="23452" xr:uid="{00000000-0005-0000-0000-000002600000}"/>
    <cellStyle name="好_price comparison of 241628606 between 2005 and 2008 2 4" xfId="23453" xr:uid="{00000000-0005-0000-0000-000003600000}"/>
    <cellStyle name="好_price comparison of 241628606 between 2005 and 2008 2 5" xfId="23454" xr:uid="{00000000-0005-0000-0000-000004600000}"/>
    <cellStyle name="好_price comparison of 241628606 between 2005 and 2008 3" xfId="23455" xr:uid="{00000000-0005-0000-0000-000005600000}"/>
    <cellStyle name="好_price comparison of 241628606 between 2005 and 2008 3 2" xfId="23456" xr:uid="{00000000-0005-0000-0000-000006600000}"/>
    <cellStyle name="好_price comparison of 241628606 between 2005 and 2008 3 3" xfId="23457" xr:uid="{00000000-0005-0000-0000-000007600000}"/>
    <cellStyle name="好_price comparison of 241628606 between 2005 and 2008 4" xfId="23458" xr:uid="{00000000-0005-0000-0000-000008600000}"/>
    <cellStyle name="好_price comparison of 241628606 between 2005 and 2008 5" xfId="23459" xr:uid="{00000000-0005-0000-0000-000009600000}"/>
    <cellStyle name="好_price comparison of 241628606 between 2005 and 2008 6" xfId="23460" xr:uid="{00000000-0005-0000-0000-00000A600000}"/>
    <cellStyle name="好_price comparison of 241628606 between 2005 and 2008 7" xfId="23461" xr:uid="{00000000-0005-0000-0000-00000B600000}"/>
    <cellStyle name="好_quotation sheet" xfId="23462" xr:uid="{00000000-0005-0000-0000-00000C600000}"/>
    <cellStyle name="好_quotation sheet 2" xfId="23463" xr:uid="{00000000-0005-0000-0000-00000D600000}"/>
    <cellStyle name="好_quotation sheet 2 2" xfId="23464" xr:uid="{00000000-0005-0000-0000-00000E600000}"/>
    <cellStyle name="好_quotation sheet 2 3" xfId="23465" xr:uid="{00000000-0005-0000-0000-00000F600000}"/>
    <cellStyle name="好_quotation sheet 3" xfId="23466" xr:uid="{00000000-0005-0000-0000-000010600000}"/>
    <cellStyle name="好_quotation sheet 4" xfId="23467" xr:uid="{00000000-0005-0000-0000-000011600000}"/>
    <cellStyle name="好_quotation sheet 5" xfId="23468" xr:uid="{00000000-0005-0000-0000-000012600000}"/>
    <cellStyle name="好_quotation sheet 6" xfId="23469" xr:uid="{00000000-0005-0000-0000-000013600000}"/>
    <cellStyle name="好_quote format" xfId="23470" xr:uid="{00000000-0005-0000-0000-000014600000}"/>
    <cellStyle name="好_quote format (4)" xfId="23471" xr:uid="{00000000-0005-0000-0000-000015600000}"/>
    <cellStyle name="好_quote format (4) 2" xfId="23472" xr:uid="{00000000-0005-0000-0000-000016600000}"/>
    <cellStyle name="好_quote format (4) 2 2" xfId="23473" xr:uid="{00000000-0005-0000-0000-000017600000}"/>
    <cellStyle name="好_quote format (4) 2 3" xfId="23474" xr:uid="{00000000-0005-0000-0000-000018600000}"/>
    <cellStyle name="好_quote format (4) 3" xfId="23475" xr:uid="{00000000-0005-0000-0000-000019600000}"/>
    <cellStyle name="好_quote format (4) 4" xfId="23476" xr:uid="{00000000-0005-0000-0000-00001A600000}"/>
    <cellStyle name="好_quote format (4) 5" xfId="23477" xr:uid="{00000000-0005-0000-0000-00001B600000}"/>
    <cellStyle name="好_quote format (4) 6" xfId="23478" xr:uid="{00000000-0005-0000-0000-00001C600000}"/>
    <cellStyle name="好_quote format 10" xfId="23479" xr:uid="{00000000-0005-0000-0000-00001D600000}"/>
    <cellStyle name="好_quote format 11" xfId="23480" xr:uid="{00000000-0005-0000-0000-00001E600000}"/>
    <cellStyle name="好_quote format 12" xfId="23481" xr:uid="{00000000-0005-0000-0000-00001F600000}"/>
    <cellStyle name="好_quote format 13" xfId="23482" xr:uid="{00000000-0005-0000-0000-000020600000}"/>
    <cellStyle name="好_quote format 14" xfId="25748" xr:uid="{00000000-0005-0000-0000-000021600000}"/>
    <cellStyle name="好_quote format 2" xfId="23483" xr:uid="{00000000-0005-0000-0000-000022600000}"/>
    <cellStyle name="好_quote format 2 2" xfId="23484" xr:uid="{00000000-0005-0000-0000-000023600000}"/>
    <cellStyle name="好_quote format 2 3" xfId="23485" xr:uid="{00000000-0005-0000-0000-000024600000}"/>
    <cellStyle name="好_quote format 2 4" xfId="23486" xr:uid="{00000000-0005-0000-0000-000025600000}"/>
    <cellStyle name="好_quote format 2 5" xfId="23487" xr:uid="{00000000-0005-0000-0000-000026600000}"/>
    <cellStyle name="好_quote format 2008-04-15" xfId="23488" xr:uid="{00000000-0005-0000-0000-000027600000}"/>
    <cellStyle name="好_quote format 2008-04-15 2" xfId="23489" xr:uid="{00000000-0005-0000-0000-000028600000}"/>
    <cellStyle name="好_quote format 2008-04-15 2 2" xfId="23490" xr:uid="{00000000-0005-0000-0000-000029600000}"/>
    <cellStyle name="好_quote format 2008-04-15 2 3" xfId="23491" xr:uid="{00000000-0005-0000-0000-00002A600000}"/>
    <cellStyle name="好_quote format 2008-04-15 3" xfId="23492" xr:uid="{00000000-0005-0000-0000-00002B600000}"/>
    <cellStyle name="好_quote format 2008-04-15 4" xfId="23493" xr:uid="{00000000-0005-0000-0000-00002C600000}"/>
    <cellStyle name="好_quote format 2008-04-15 5" xfId="23494" xr:uid="{00000000-0005-0000-0000-00002D600000}"/>
    <cellStyle name="好_quote format 2008-04-15 6" xfId="23495" xr:uid="{00000000-0005-0000-0000-00002E600000}"/>
    <cellStyle name="好_quote format 3" xfId="23496" xr:uid="{00000000-0005-0000-0000-00002F600000}"/>
    <cellStyle name="好_quote format 3 2" xfId="23497" xr:uid="{00000000-0005-0000-0000-000030600000}"/>
    <cellStyle name="好_quote format 3 3" xfId="23498" xr:uid="{00000000-0005-0000-0000-000031600000}"/>
    <cellStyle name="好_quote format 3 4" xfId="23499" xr:uid="{00000000-0005-0000-0000-000032600000}"/>
    <cellStyle name="好_quote format 3 5" xfId="23500" xr:uid="{00000000-0005-0000-0000-000033600000}"/>
    <cellStyle name="好_quote format 4" xfId="23501" xr:uid="{00000000-0005-0000-0000-000034600000}"/>
    <cellStyle name="好_quote format 5" xfId="23502" xr:uid="{00000000-0005-0000-0000-000035600000}"/>
    <cellStyle name="好_quote format 6" xfId="23503" xr:uid="{00000000-0005-0000-0000-000036600000}"/>
    <cellStyle name="好_quote format 7" xfId="23504" xr:uid="{00000000-0005-0000-0000-000037600000}"/>
    <cellStyle name="好_quote format 8" xfId="23505" xr:uid="{00000000-0005-0000-0000-000038600000}"/>
    <cellStyle name="好_quote format 9" xfId="23506" xr:uid="{00000000-0005-0000-0000-000039600000}"/>
    <cellStyle name="好_RFQ CA080509 Madison 2008-5-19(from Colon)" xfId="23507" xr:uid="{00000000-0005-0000-0000-00003A600000}"/>
    <cellStyle name="好_RFQ CA080509 Madison 2008-5-19(from Colon) 2" xfId="23508" xr:uid="{00000000-0005-0000-0000-00003B600000}"/>
    <cellStyle name="好_RFQ CA080509 Madison 2008-5-19(from Colon) 2 2" xfId="23509" xr:uid="{00000000-0005-0000-0000-00003C600000}"/>
    <cellStyle name="好_RFQ CA080509 Madison 2008-5-19(from Colon) 2 3" xfId="23510" xr:uid="{00000000-0005-0000-0000-00003D600000}"/>
    <cellStyle name="好_RFQ CA080509 Madison 2008-5-19(from Colon) 3" xfId="23511" xr:uid="{00000000-0005-0000-0000-00003E600000}"/>
    <cellStyle name="好_RFQ CA080509 Madison 2008-5-19(from Colon) 4" xfId="23512" xr:uid="{00000000-0005-0000-0000-00003F600000}"/>
    <cellStyle name="好_RFQ CA080509 Madison 2008-5-19(from Colon) 5" xfId="23513" xr:uid="{00000000-0005-0000-0000-000040600000}"/>
    <cellStyle name="好_RFQ CA080509 Madison 2008-5-19(from Colon) 6" xfId="23514" xr:uid="{00000000-0005-0000-0000-000041600000}"/>
    <cellStyle name="好_RFQ CA080629 Computime" xfId="23515" xr:uid="{00000000-0005-0000-0000-000042600000}"/>
    <cellStyle name="好_RFQ CA080629 Computime 2" xfId="23516" xr:uid="{00000000-0005-0000-0000-000043600000}"/>
    <cellStyle name="好_RFQ CA080629 Computime 2 2" xfId="23517" xr:uid="{00000000-0005-0000-0000-000044600000}"/>
    <cellStyle name="好_RFQ CA080629 Computime 2 3" xfId="23518" xr:uid="{00000000-0005-0000-0000-000045600000}"/>
    <cellStyle name="好_RFQ CA080629 Computime 3" xfId="23519" xr:uid="{00000000-0005-0000-0000-000046600000}"/>
    <cellStyle name="好_RFQ CA080629 Computime 4" xfId="23520" xr:uid="{00000000-0005-0000-0000-000047600000}"/>
    <cellStyle name="好_RFQ CA080629 Computime 5" xfId="23521" xr:uid="{00000000-0005-0000-0000-000048600000}"/>
    <cellStyle name="好_RFQ CA080629 Computime 6" xfId="23522" xr:uid="{00000000-0005-0000-0000-000049600000}"/>
    <cellStyle name="好_RFQ CA081201 QIWEI" xfId="23523" xr:uid="{00000000-0005-0000-0000-00004A600000}"/>
    <cellStyle name="好_RFQ CA081201 QIWEI 2" xfId="23524" xr:uid="{00000000-0005-0000-0000-00004B600000}"/>
    <cellStyle name="好_RFQ CA081201 QIWEI 3" xfId="23525" xr:uid="{00000000-0005-0000-0000-00004C600000}"/>
    <cellStyle name="好_RFQ CA081201 QIWEI 4" xfId="23526" xr:uid="{00000000-0005-0000-0000-00004D600000}"/>
    <cellStyle name="好_RFQ CA081201 QIWEI 5" xfId="23527" xr:uid="{00000000-0005-0000-0000-00004E600000}"/>
    <cellStyle name="好_RFQ CA090401" xfId="23528" xr:uid="{00000000-0005-0000-0000-00004F600000}"/>
    <cellStyle name="好_RFQ CA090401 2" xfId="23529" xr:uid="{00000000-0005-0000-0000-000050600000}"/>
    <cellStyle name="好_RFQ CA090401 3" xfId="23530" xr:uid="{00000000-0005-0000-0000-000051600000}"/>
    <cellStyle name="好_RFQ CA090401 4" xfId="23531" xr:uid="{00000000-0005-0000-0000-000052600000}"/>
    <cellStyle name="好_RFQ CA090401 5" xfId="23532" xr:uid="{00000000-0005-0000-0000-000053600000}"/>
    <cellStyle name="好_RFQ EN081214 2008-12-15" xfId="23533" xr:uid="{00000000-0005-0000-0000-000054600000}"/>
    <cellStyle name="好_RFQ EN081214 2008-12-15 2" xfId="23534" xr:uid="{00000000-0005-0000-0000-000055600000}"/>
    <cellStyle name="好_RFQ EN081214 2008-12-15 2 2" xfId="23535" xr:uid="{00000000-0005-0000-0000-000056600000}"/>
    <cellStyle name="好_RFQ EN081214 2008-12-15 2 3" xfId="23536" xr:uid="{00000000-0005-0000-0000-000057600000}"/>
    <cellStyle name="好_RFQ EN081214 2008-12-15 3" xfId="23537" xr:uid="{00000000-0005-0000-0000-000058600000}"/>
    <cellStyle name="好_RFQ EN081214 2008-12-15 4" xfId="23538" xr:uid="{00000000-0005-0000-0000-000059600000}"/>
    <cellStyle name="好_RFQ EN081214 2008-12-15 5" xfId="23539" xr:uid="{00000000-0005-0000-0000-00005A600000}"/>
    <cellStyle name="好_RFQ EN081214 2008-12-15 6" xfId="23540" xr:uid="{00000000-0005-0000-0000-00005B600000}"/>
    <cellStyle name="好_RFQ EN090215 2009-2-23" xfId="23541" xr:uid="{00000000-0005-0000-0000-00005C600000}"/>
    <cellStyle name="好_RFQ EN090215 2009-2-23 2" xfId="23542" xr:uid="{00000000-0005-0000-0000-00005D600000}"/>
    <cellStyle name="好_RFQ EN090215 2009-2-23 2 2" xfId="23543" xr:uid="{00000000-0005-0000-0000-00005E600000}"/>
    <cellStyle name="好_RFQ EN090215 2009-2-23 2 3" xfId="23544" xr:uid="{00000000-0005-0000-0000-00005F600000}"/>
    <cellStyle name="好_RFQ EN090215 2009-2-23 3" xfId="23545" xr:uid="{00000000-0005-0000-0000-000060600000}"/>
    <cellStyle name="好_RFQ EN090215 2009-2-23 4" xfId="23546" xr:uid="{00000000-0005-0000-0000-000061600000}"/>
    <cellStyle name="好_RFQ EN090215 2009-2-23 5" xfId="23547" xr:uid="{00000000-0005-0000-0000-000062600000}"/>
    <cellStyle name="好_RFQ EN090215 2009-2-23 6" xfId="23548" xr:uid="{00000000-0005-0000-0000-000063600000}"/>
    <cellStyle name="好_RFQ EN100318 Whirlpool Ramos 2010-4-2" xfId="23549" xr:uid="{00000000-0005-0000-0000-000064600000}"/>
    <cellStyle name="好_RFQ EN100318 Whirlpool Ramos 2010-4-2 2" xfId="23550" xr:uid="{00000000-0005-0000-0000-000065600000}"/>
    <cellStyle name="好_RFQ EN100318 Whirlpool Ramos 2010-4-2 2 2" xfId="23551" xr:uid="{00000000-0005-0000-0000-000066600000}"/>
    <cellStyle name="好_RFQ EN100318 Whirlpool Ramos 2010-4-2 2 3" xfId="23552" xr:uid="{00000000-0005-0000-0000-000067600000}"/>
    <cellStyle name="好_RFQ EN100318 Whirlpool Ramos 2010-4-2 3" xfId="23553" xr:uid="{00000000-0005-0000-0000-000068600000}"/>
    <cellStyle name="好_RFQ EN100318 Whirlpool Ramos 2010-4-2 4" xfId="23554" xr:uid="{00000000-0005-0000-0000-000069600000}"/>
    <cellStyle name="好_RFQ EN100318 Whirlpool Ramos 2010-4-2 5" xfId="23555" xr:uid="{00000000-0005-0000-0000-00006A600000}"/>
    <cellStyle name="好_RFQ EN100318 Whirlpool Ramos 2010-4-2 6" xfId="23556" xr:uid="{00000000-0005-0000-0000-00006B600000}"/>
    <cellStyle name="好_RFQ EU080301 Vaillan 2008-03-21 (UL1015)" xfId="23557" xr:uid="{00000000-0005-0000-0000-00006C600000}"/>
    <cellStyle name="好_RFQ EU080301 Vaillan 2008-03-21 (UL1015) 2" xfId="23558" xr:uid="{00000000-0005-0000-0000-00006D600000}"/>
    <cellStyle name="好_RFQ EU080301 Vaillan 2008-03-21 (UL1015) 2 2" xfId="23559" xr:uid="{00000000-0005-0000-0000-00006E600000}"/>
    <cellStyle name="好_RFQ EU080301 Vaillan 2008-03-21 (UL1015) 2 3" xfId="23560" xr:uid="{00000000-0005-0000-0000-00006F600000}"/>
    <cellStyle name="好_RFQ EU080301 Vaillan 2008-03-21 (UL1015) 2 4" xfId="23561" xr:uid="{00000000-0005-0000-0000-000070600000}"/>
    <cellStyle name="好_RFQ EU080301 Vaillan 2008-03-21 (UL1015) 2 5" xfId="23562" xr:uid="{00000000-0005-0000-0000-000071600000}"/>
    <cellStyle name="好_RFQ EU080301 Vaillan 2008-03-21 (UL1015) 3" xfId="23563" xr:uid="{00000000-0005-0000-0000-000072600000}"/>
    <cellStyle name="好_RFQ EU080301 Vaillan 2008-03-21 (UL1015) 3 2" xfId="23564" xr:uid="{00000000-0005-0000-0000-000073600000}"/>
    <cellStyle name="好_RFQ EU080301 Vaillan 2008-03-21 (UL1015) 3 3" xfId="23565" xr:uid="{00000000-0005-0000-0000-000074600000}"/>
    <cellStyle name="好_RFQ EU080301 Vaillan 2008-03-21 (UL1015) 4" xfId="23566" xr:uid="{00000000-0005-0000-0000-000075600000}"/>
    <cellStyle name="好_RFQ EU080301 Vaillan 2008-03-21 (UL1015) 5" xfId="23567" xr:uid="{00000000-0005-0000-0000-000076600000}"/>
    <cellStyle name="好_RFQ EU080301 Vaillan 2008-03-21 (UL1015) 6" xfId="23568" xr:uid="{00000000-0005-0000-0000-000077600000}"/>
    <cellStyle name="好_RFQ EU080301 Vaillan 2008-03-21 (UL1015) 7" xfId="23569" xr:uid="{00000000-0005-0000-0000-000078600000}"/>
    <cellStyle name="好_RFQ HZ090309" xfId="23570" xr:uid="{00000000-0005-0000-0000-000079600000}"/>
    <cellStyle name="好_RFQ HZ090309 2" xfId="23571" xr:uid="{00000000-0005-0000-0000-00007A600000}"/>
    <cellStyle name="好_RFQ HZ090309 3" xfId="23572" xr:uid="{00000000-0005-0000-0000-00007B600000}"/>
    <cellStyle name="好_RFQ HZ090309 4" xfId="23573" xr:uid="{00000000-0005-0000-0000-00007C600000}"/>
    <cellStyle name="好_RFQ HZ090309 5" xfId="23574" xr:uid="{00000000-0005-0000-0000-00007D600000}"/>
    <cellStyle name="好_RFQ HZ090310" xfId="23575" xr:uid="{00000000-0005-0000-0000-00007E600000}"/>
    <cellStyle name="好_RFQ HZ090310 2" xfId="23576" xr:uid="{00000000-0005-0000-0000-00007F600000}"/>
    <cellStyle name="好_RFQ HZ090310 3" xfId="23577" xr:uid="{00000000-0005-0000-0000-000080600000}"/>
    <cellStyle name="好_RFQ HZ090310 4" xfId="23578" xr:uid="{00000000-0005-0000-0000-000081600000}"/>
    <cellStyle name="好_RFQ HZ090310 5" xfId="23579" xr:uid="{00000000-0005-0000-0000-000082600000}"/>
    <cellStyle name="好_RFQ HZ090507 普生" xfId="23580" xr:uid="{00000000-0005-0000-0000-000083600000}"/>
    <cellStyle name="好_RFQ HZ090507 普生 2" xfId="23581" xr:uid="{00000000-0005-0000-0000-000084600000}"/>
    <cellStyle name="好_RFQ HZ090507 普生 2 2" xfId="23582" xr:uid="{00000000-0005-0000-0000-000085600000}"/>
    <cellStyle name="好_RFQ HZ090507 普生 2 3" xfId="23583" xr:uid="{00000000-0005-0000-0000-000086600000}"/>
    <cellStyle name="好_RFQ HZ090507 普生 3" xfId="23584" xr:uid="{00000000-0005-0000-0000-000087600000}"/>
    <cellStyle name="好_RFQ HZ090507 普生 4" xfId="23585" xr:uid="{00000000-0005-0000-0000-000088600000}"/>
    <cellStyle name="好_RFQ HZ090507 普生 5" xfId="23586" xr:uid="{00000000-0005-0000-0000-000089600000}"/>
    <cellStyle name="好_RFQ HZ090507 普生 6" xfId="23587" xr:uid="{00000000-0005-0000-0000-00008A600000}"/>
    <cellStyle name="好_RFQ HZ090905 midea" xfId="23588" xr:uid="{00000000-0005-0000-0000-00008B600000}"/>
    <cellStyle name="好_RFQ HZ090905 midea 2" xfId="23589" xr:uid="{00000000-0005-0000-0000-00008C600000}"/>
    <cellStyle name="好_RFQ HZ090905 midea 2 2" xfId="23590" xr:uid="{00000000-0005-0000-0000-00008D600000}"/>
    <cellStyle name="好_RFQ HZ090905 midea 2 3" xfId="23591" xr:uid="{00000000-0005-0000-0000-00008E600000}"/>
    <cellStyle name="好_RFQ HZ090905 midea 3" xfId="23592" xr:uid="{00000000-0005-0000-0000-00008F600000}"/>
    <cellStyle name="好_RFQ HZ090905 midea 4" xfId="23593" xr:uid="{00000000-0005-0000-0000-000090600000}"/>
    <cellStyle name="好_RFQ HZ090905 midea 5" xfId="23594" xr:uid="{00000000-0005-0000-0000-000091600000}"/>
    <cellStyle name="好_RFQ HZ090905 midea 6" xfId="23595" xr:uid="{00000000-0005-0000-0000-000092600000}"/>
    <cellStyle name="好_RFQ HZ091104 WKK" xfId="23596" xr:uid="{00000000-0005-0000-0000-000093600000}"/>
    <cellStyle name="好_RFQ HZ091104 WKK 2" xfId="23597" xr:uid="{00000000-0005-0000-0000-000094600000}"/>
    <cellStyle name="好_RFQ HZ091104 WKK 3" xfId="23598" xr:uid="{00000000-0005-0000-0000-000095600000}"/>
    <cellStyle name="好_RFQ HZ091104 WKK 4" xfId="23599" xr:uid="{00000000-0005-0000-0000-000096600000}"/>
    <cellStyle name="好_RFQ HZ091104 WKK 5" xfId="23600" xr:uid="{00000000-0005-0000-0000-000097600000}"/>
    <cellStyle name="好_RFQ HZ091105 Celestica" xfId="23601" xr:uid="{00000000-0005-0000-0000-000098600000}"/>
    <cellStyle name="好_RFQ HZ091105 Celestica " xfId="23602" xr:uid="{00000000-0005-0000-0000-000099600000}"/>
    <cellStyle name="好_RFQ HZ091105 Celestica  2" xfId="23603" xr:uid="{00000000-0005-0000-0000-00009A600000}"/>
    <cellStyle name="好_RFQ HZ091105 Celestica  3" xfId="23604" xr:uid="{00000000-0005-0000-0000-00009B600000}"/>
    <cellStyle name="好_RFQ HZ091105 Celestica  4" xfId="23605" xr:uid="{00000000-0005-0000-0000-00009C600000}"/>
    <cellStyle name="好_RFQ HZ091105 Celestica  5" xfId="23606" xr:uid="{00000000-0005-0000-0000-00009D600000}"/>
    <cellStyle name="好_RFQ HZ091105 Celestica 10" xfId="23607" xr:uid="{00000000-0005-0000-0000-00009E600000}"/>
    <cellStyle name="好_RFQ HZ091105 Celestica 11" xfId="23608" xr:uid="{00000000-0005-0000-0000-00009F600000}"/>
    <cellStyle name="好_RFQ HZ091105 Celestica 2" xfId="23609" xr:uid="{00000000-0005-0000-0000-0000A0600000}"/>
    <cellStyle name="好_RFQ HZ091105 Celestica 2009-11-19" xfId="23610" xr:uid="{00000000-0005-0000-0000-0000A1600000}"/>
    <cellStyle name="好_RFQ HZ091105 Celestica 2009-11-19 2" xfId="23611" xr:uid="{00000000-0005-0000-0000-0000A2600000}"/>
    <cellStyle name="好_RFQ HZ091105 Celestica 2009-11-19 3" xfId="23612" xr:uid="{00000000-0005-0000-0000-0000A3600000}"/>
    <cellStyle name="好_RFQ HZ091105 Celestica 2009-11-19 4" xfId="23613" xr:uid="{00000000-0005-0000-0000-0000A4600000}"/>
    <cellStyle name="好_RFQ HZ091105 Celestica 2009-11-19 5" xfId="23614" xr:uid="{00000000-0005-0000-0000-0000A5600000}"/>
    <cellStyle name="好_RFQ HZ091105 Celestica 3" xfId="23615" xr:uid="{00000000-0005-0000-0000-0000A6600000}"/>
    <cellStyle name="好_RFQ HZ091105 Celestica 4" xfId="23616" xr:uid="{00000000-0005-0000-0000-0000A7600000}"/>
    <cellStyle name="好_RFQ HZ091105 Celestica 5" xfId="23617" xr:uid="{00000000-0005-0000-0000-0000A8600000}"/>
    <cellStyle name="好_RFQ HZ091105 Celestica 6" xfId="23618" xr:uid="{00000000-0005-0000-0000-0000A9600000}"/>
    <cellStyle name="好_RFQ HZ091105 Celestica 7" xfId="23619" xr:uid="{00000000-0005-0000-0000-0000AA600000}"/>
    <cellStyle name="好_RFQ HZ091105 Celestica 8" xfId="23620" xr:uid="{00000000-0005-0000-0000-0000AB600000}"/>
    <cellStyle name="好_RFQ HZ091105 Celestica 9" xfId="23621" xr:uid="{00000000-0005-0000-0000-0000AC600000}"/>
    <cellStyle name="好_RFQ HZ091206 德豪润达" xfId="23622" xr:uid="{00000000-0005-0000-0000-0000AD600000}"/>
    <cellStyle name="好_RFQ HZ091206 德豪润达 2" xfId="23623" xr:uid="{00000000-0005-0000-0000-0000AE600000}"/>
    <cellStyle name="好_RFQ HZ091206 德豪润达 3" xfId="23624" xr:uid="{00000000-0005-0000-0000-0000AF600000}"/>
    <cellStyle name="好_RFQ HZ091206 德豪润达 4" xfId="23625" xr:uid="{00000000-0005-0000-0000-0000B0600000}"/>
    <cellStyle name="好_RFQ HZ091206 德豪润达 5" xfId="23626" xr:uid="{00000000-0005-0000-0000-0000B1600000}"/>
    <cellStyle name="好_RFQ HZ101012 Midea-Candy" xfId="23627" xr:uid="{00000000-0005-0000-0000-0000B2600000}"/>
    <cellStyle name="好_RFQ HZ101012 Midea-Candy 2" xfId="23628" xr:uid="{00000000-0005-0000-0000-0000B3600000}"/>
    <cellStyle name="好_RFQ HZ101012 Midea-Candy 2010-11-11" xfId="23629" xr:uid="{00000000-0005-0000-0000-0000B4600000}"/>
    <cellStyle name="好_RFQ HZ101012 Midea-Candy 2010-11-11 2" xfId="23630" xr:uid="{00000000-0005-0000-0000-0000B5600000}"/>
    <cellStyle name="好_RFQ HZ101012 Midea-Candy 2010-11-11 3" xfId="23631" xr:uid="{00000000-0005-0000-0000-0000B6600000}"/>
    <cellStyle name="好_RFQ HZ101012 Midea-Candy 3" xfId="23632" xr:uid="{00000000-0005-0000-0000-0000B7600000}"/>
    <cellStyle name="好_RFQ HZ101012 Midea-Candy 4" xfId="23633" xr:uid="{00000000-0005-0000-0000-0000B8600000}"/>
    <cellStyle name="好_RFQ NA080741" xfId="25749" xr:uid="{00000000-0005-0000-0000-0000B9600000}"/>
    <cellStyle name="好_RFQ NA080741 2" xfId="25750" xr:uid="{00000000-0005-0000-0000-0000BA600000}"/>
    <cellStyle name="好_RFQ NA080741 3" xfId="25751" xr:uid="{00000000-0005-0000-0000-0000BB600000}"/>
    <cellStyle name="好_RFQ NA081102 Whirlpool 2008-11-11" xfId="23634" xr:uid="{00000000-0005-0000-0000-0000BC600000}"/>
    <cellStyle name="好_RFQ NA081102 Whirlpool 2008-11-11 2" xfId="23635" xr:uid="{00000000-0005-0000-0000-0000BD600000}"/>
    <cellStyle name="好_RFQ NA081102 Whirlpool 2008-11-11 2 2" xfId="23636" xr:uid="{00000000-0005-0000-0000-0000BE600000}"/>
    <cellStyle name="好_RFQ NA081102 Whirlpool 2008-11-11 2 3" xfId="23637" xr:uid="{00000000-0005-0000-0000-0000BF600000}"/>
    <cellStyle name="好_RFQ NA081102 Whirlpool 2008-11-11 3" xfId="23638" xr:uid="{00000000-0005-0000-0000-0000C0600000}"/>
    <cellStyle name="好_RFQ NA081102 Whirlpool 2008-11-11 4" xfId="23639" xr:uid="{00000000-0005-0000-0000-0000C1600000}"/>
    <cellStyle name="好_RFQ NA081102 Whirlpool 2008-11-11 5" xfId="23640" xr:uid="{00000000-0005-0000-0000-0000C2600000}"/>
    <cellStyle name="好_RFQ NA081102 Whirlpool 2008-11-11 6" xfId="23641" xr:uid="{00000000-0005-0000-0000-0000C3600000}"/>
    <cellStyle name="好_RFQ NA081103 Whirlpool 2008-12-8" xfId="23642" xr:uid="{00000000-0005-0000-0000-0000C4600000}"/>
    <cellStyle name="好_RFQ NA081103 Whirlpool 2008-12-8 2" xfId="23643" xr:uid="{00000000-0005-0000-0000-0000C5600000}"/>
    <cellStyle name="好_RFQ NA081103 Whirlpool 2008-12-8 2 2" xfId="23644" xr:uid="{00000000-0005-0000-0000-0000C6600000}"/>
    <cellStyle name="好_RFQ NA081103 Whirlpool 2008-12-8 2 3" xfId="23645" xr:uid="{00000000-0005-0000-0000-0000C7600000}"/>
    <cellStyle name="好_RFQ NA081103 Whirlpool 2008-12-8 3" xfId="23646" xr:uid="{00000000-0005-0000-0000-0000C8600000}"/>
    <cellStyle name="好_RFQ NA081103 Whirlpool 2008-12-8 4" xfId="23647" xr:uid="{00000000-0005-0000-0000-0000C9600000}"/>
    <cellStyle name="好_RFQ NA081103 Whirlpool 2008-12-8 5" xfId="23648" xr:uid="{00000000-0005-0000-0000-0000CA600000}"/>
    <cellStyle name="好_RFQ NA081103 Whirlpool 2008-12-8 6" xfId="23649" xr:uid="{00000000-0005-0000-0000-0000CB600000}"/>
    <cellStyle name="好_RFQ NA100306 Whirlpool power cord 2010-4-6" xfId="23650" xr:uid="{00000000-0005-0000-0000-0000CC600000}"/>
    <cellStyle name="好_RFQ NA100306 Whirlpool power cord 2010-4-6 2" xfId="23651" xr:uid="{00000000-0005-0000-0000-0000CD600000}"/>
    <cellStyle name="好_RFQ NA100306 Whirlpool power cord 2010-4-6 2 2" xfId="23652" xr:uid="{00000000-0005-0000-0000-0000CE600000}"/>
    <cellStyle name="好_RFQ NA100306 Whirlpool power cord 2010-4-6 2 3" xfId="23653" xr:uid="{00000000-0005-0000-0000-0000CF600000}"/>
    <cellStyle name="好_RFQ NA100306 Whirlpool power cord 2010-4-6 3" xfId="23654" xr:uid="{00000000-0005-0000-0000-0000D0600000}"/>
    <cellStyle name="好_RFQ NA100306 Whirlpool power cord 2010-4-6 4" xfId="23655" xr:uid="{00000000-0005-0000-0000-0000D1600000}"/>
    <cellStyle name="好_RFQ NA100306 Whirlpool power cord 2010-4-6 5" xfId="23656" xr:uid="{00000000-0005-0000-0000-0000D2600000}"/>
    <cellStyle name="好_RFQ NA100306 Whirlpool power cord 2010-4-6 6" xfId="23657" xr:uid="{00000000-0005-0000-0000-0000D3600000}"/>
    <cellStyle name="好_RFQ NA100406 Whirlpool Service 2010-04-28" xfId="23658" xr:uid="{00000000-0005-0000-0000-0000D4600000}"/>
    <cellStyle name="好_RFQ NA100406 Whirlpool Service 2010-04-28 2" xfId="23659" xr:uid="{00000000-0005-0000-0000-0000D5600000}"/>
    <cellStyle name="好_RFQ NA100406 Whirlpool Service 2010-04-28 3" xfId="23660" xr:uid="{00000000-0005-0000-0000-0000D6600000}"/>
    <cellStyle name="好_RFQ NA100502 Whirlpool Service 2010-05-20" xfId="23661" xr:uid="{00000000-0005-0000-0000-0000D7600000}"/>
    <cellStyle name="好_RFQ NA100502 Whirlpool Service 2010-05-20 2" xfId="23662" xr:uid="{00000000-0005-0000-0000-0000D8600000}"/>
    <cellStyle name="好_RFQ NA100502 Whirlpool Service 2010-05-20 3" xfId="23663" xr:uid="{00000000-0005-0000-0000-0000D9600000}"/>
    <cellStyle name="好_RFQ Quote format 2010-6-7" xfId="23664" xr:uid="{00000000-0005-0000-0000-0000DA600000}"/>
    <cellStyle name="好_RFQ Quote format 2010-6-7 2" xfId="23665" xr:uid="{00000000-0005-0000-0000-0000DB600000}"/>
    <cellStyle name="好_RFQ Quote format 2010-6-7 3" xfId="23666" xr:uid="{00000000-0005-0000-0000-0000DC600000}"/>
    <cellStyle name="好_RFQ RG091002 Haier 2009-10-15" xfId="23667" xr:uid="{00000000-0005-0000-0000-0000DD600000}"/>
    <cellStyle name="好_RFQ RG091002 Haier 2009-10-15 2" xfId="23668" xr:uid="{00000000-0005-0000-0000-0000DE600000}"/>
    <cellStyle name="好_RFQ RG091002 Haier 2009-10-15 3" xfId="23669" xr:uid="{00000000-0005-0000-0000-0000DF600000}"/>
    <cellStyle name="好_RFQ YOUNGREEM RG100602 2010-06-22" xfId="23670" xr:uid="{00000000-0005-0000-0000-0000E0600000}"/>
    <cellStyle name="好_RFQ YOUNGREEM RG100602 2010-06-22 2" xfId="23671" xr:uid="{00000000-0005-0000-0000-0000E1600000}"/>
    <cellStyle name="好_RFQ YOUNGREEM RG100602 2010-06-22 3" xfId="23672" xr:uid="{00000000-0005-0000-0000-0000E2600000}"/>
    <cellStyle name="好_RFQ Youngreem RG100602 2010-07-06" xfId="25752" xr:uid="{00000000-0005-0000-0000-0000E3600000}"/>
    <cellStyle name="好_RFQ Youngreem RG100602 2010-07-06 2" xfId="25753" xr:uid="{00000000-0005-0000-0000-0000E4600000}"/>
    <cellStyle name="好_RFQ Youngreem RG100602 2010-07-06 3" xfId="25754" xr:uid="{00000000-0005-0000-0000-0000E5600000}"/>
    <cellStyle name="好_RFQ-NA080402 Maytag Amana" xfId="23673" xr:uid="{00000000-0005-0000-0000-0000E6600000}"/>
    <cellStyle name="好_RFQ-NA080402 Maytag Amana 2" xfId="23674" xr:uid="{00000000-0005-0000-0000-0000E7600000}"/>
    <cellStyle name="好_RFQ-NA080402 Maytag Amana 2 2" xfId="23675" xr:uid="{00000000-0005-0000-0000-0000E8600000}"/>
    <cellStyle name="好_RFQ-NA080402 Maytag Amana 2 3" xfId="23676" xr:uid="{00000000-0005-0000-0000-0000E9600000}"/>
    <cellStyle name="好_RFQ-NA080402 Maytag Amana 2 4" xfId="23677" xr:uid="{00000000-0005-0000-0000-0000EA600000}"/>
    <cellStyle name="好_RFQ-NA080402 Maytag Amana 2 5" xfId="23678" xr:uid="{00000000-0005-0000-0000-0000EB600000}"/>
    <cellStyle name="好_RFQ-NA080402 Maytag Amana 3" xfId="23679" xr:uid="{00000000-0005-0000-0000-0000EC600000}"/>
    <cellStyle name="好_RFQ-NA080402 Maytag Amana 3 2" xfId="23680" xr:uid="{00000000-0005-0000-0000-0000ED600000}"/>
    <cellStyle name="好_RFQ-NA080402 Maytag Amana 3 3" xfId="23681" xr:uid="{00000000-0005-0000-0000-0000EE600000}"/>
    <cellStyle name="好_RFQ-NA080402 Maytag Amana 4" xfId="23682" xr:uid="{00000000-0005-0000-0000-0000EF600000}"/>
    <cellStyle name="好_RFQ-NA080402 Maytag Amana 5" xfId="23683" xr:uid="{00000000-0005-0000-0000-0000F0600000}"/>
    <cellStyle name="好_RFQ-NA080402 Maytag Amana 6" xfId="23684" xr:uid="{00000000-0005-0000-0000-0000F1600000}"/>
    <cellStyle name="好_RFQ-NA080402 Maytag Amana 7" xfId="23685" xr:uid="{00000000-0005-0000-0000-0000F2600000}"/>
    <cellStyle name="好_RT-EN100508（6-28）" xfId="23686" xr:uid="{00000000-0005-0000-0000-0000F3600000}"/>
    <cellStyle name="好_RT-EN100508（6-28） 2" xfId="23687" xr:uid="{00000000-0005-0000-0000-0000F4600000}"/>
    <cellStyle name="好_RT-EN100508（6-28） 3" xfId="23688" xr:uid="{00000000-0005-0000-0000-0000F5600000}"/>
    <cellStyle name="好_RT-EN100701" xfId="23689" xr:uid="{00000000-0005-0000-0000-0000F6600000}"/>
    <cellStyle name="好_RT-EN100701 2" xfId="23690" xr:uid="{00000000-0005-0000-0000-0000F7600000}"/>
    <cellStyle name="好_RT-EN100701 3" xfId="23691" xr:uid="{00000000-0005-0000-0000-0000F8600000}"/>
    <cellStyle name="好_RT-EN110118" xfId="25755" xr:uid="{00000000-0005-0000-0000-0000F9600000}"/>
    <cellStyle name="好_RT-EN110118 2" xfId="25756" xr:uid="{00000000-0005-0000-0000-0000FA600000}"/>
    <cellStyle name="好_RT-EN110118 3" xfId="25757" xr:uid="{00000000-0005-0000-0000-0000FB600000}"/>
    <cellStyle name="好_RT-HZ101012(Add a new PN)" xfId="23692" xr:uid="{00000000-0005-0000-0000-0000FC600000}"/>
    <cellStyle name="好_RT-HZ101012(Add a new PN) 2" xfId="23693" xr:uid="{00000000-0005-0000-0000-0000FD600000}"/>
    <cellStyle name="好_RT-HZ101012(Add a new PN) 3" xfId="23694" xr:uid="{00000000-0005-0000-0000-0000FE600000}"/>
    <cellStyle name="好_RT-HZ101012(checked 2010.11.9)" xfId="23695" xr:uid="{00000000-0005-0000-0000-0000FF600000}"/>
    <cellStyle name="好_RT-HZ101012(checked 2010.11.9) 2" xfId="23696" xr:uid="{00000000-0005-0000-0000-000000610000}"/>
    <cellStyle name="好_RT-HZ101012(checked 2010.11.9) 3" xfId="23697" xr:uid="{00000000-0005-0000-0000-000001610000}"/>
    <cellStyle name="好_RT-TF100801 " xfId="25758" xr:uid="{00000000-0005-0000-0000-000002610000}"/>
    <cellStyle name="好_RT-TF100801  2" xfId="25759" xr:uid="{00000000-0005-0000-0000-000003610000}"/>
    <cellStyle name="好_RT-TF100801  3" xfId="25760" xr:uid="{00000000-0005-0000-0000-000004610000}"/>
    <cellStyle name="好_ShenBao 2008-06-10" xfId="23698" xr:uid="{00000000-0005-0000-0000-000005610000}"/>
    <cellStyle name="好_ShenBao 2008-06-10 2" xfId="23699" xr:uid="{00000000-0005-0000-0000-000006610000}"/>
    <cellStyle name="好_ShenBao 2008-06-10 3" xfId="23700" xr:uid="{00000000-0005-0000-0000-000007610000}"/>
    <cellStyle name="好_TF090705 Findlay Non Equalized Prices @ 8% on 3 parts - 4% on 4 parts - WHP EAU's 8-20-09（Jose approved)" xfId="25761" xr:uid="{00000000-0005-0000-0000-000008610000}"/>
    <cellStyle name="好_TF090705 Findlay Non Equalized Prices @ 8% on 3 parts - 4% on 4 parts - WHP EAU's 8-20-09（Jose approved) 2" xfId="25762" xr:uid="{00000000-0005-0000-0000-000009610000}"/>
    <cellStyle name="好_TF090705 Findlay Non Equalized Prices @ 8% on 3 parts - 4% on 4 parts - WHP EAU's 8-20-09（Jose approved) 3" xfId="25763" xr:uid="{00000000-0005-0000-0000-00000A610000}"/>
    <cellStyle name="好_TF090708 Amana 2009-7-27(jose)" xfId="25764" xr:uid="{00000000-0005-0000-0000-00000B610000}"/>
    <cellStyle name="好_TF090708 Amana 2009-7-27(jose) 2" xfId="25765" xr:uid="{00000000-0005-0000-0000-00000C610000}"/>
    <cellStyle name="好_TF090708 Amana 2009-7-27(jose) 3" xfId="25766" xr:uid="{00000000-0005-0000-0000-00000D610000}"/>
    <cellStyle name="好_TF090711 Whirlpool Amana 2009-8-6(Jacob)" xfId="25767" xr:uid="{00000000-0005-0000-0000-00000E610000}"/>
    <cellStyle name="好_TF090711 Whirlpool Amana 2009-8-6(Jacob) 2" xfId="25768" xr:uid="{00000000-0005-0000-0000-00000F610000}"/>
    <cellStyle name="好_TF090711 Whirlpool Amana 2009-8-6(Jacob) 3" xfId="25769" xr:uid="{00000000-0005-0000-0000-000010610000}"/>
    <cellStyle name="好_TF090808 Whirlpool Amana 2009-9-9" xfId="25770" xr:uid="{00000000-0005-0000-0000-000011610000}"/>
    <cellStyle name="好_TF090808 Whirlpool Amana 2009-9-9 2" xfId="25771" xr:uid="{00000000-0005-0000-0000-000012610000}"/>
    <cellStyle name="好_TF090808 Whirlpool Amana 2009-9-9 3" xfId="25772" xr:uid="{00000000-0005-0000-0000-000013610000}"/>
    <cellStyle name="好_Whirlpool Ramos IP 11-03 rev" xfId="25773" xr:uid="{00000000-0005-0000-0000-000014610000}"/>
    <cellStyle name="好_Whirlpool Ramos IP 11-03 rev 2" xfId="25774" xr:uid="{00000000-0005-0000-0000-000015610000}"/>
    <cellStyle name="好_Whirlpool Ramos IP 11-03 rev 3" xfId="25775" xr:uid="{00000000-0005-0000-0000-000016610000}"/>
    <cellStyle name="好_副本MSR RG090603 Haier" xfId="23701" xr:uid="{00000000-0005-0000-0000-000017610000}"/>
    <cellStyle name="好_副本MSR RG090603 Haier 2" xfId="23702" xr:uid="{00000000-0005-0000-0000-000018610000}"/>
    <cellStyle name="好_副本MSR RG090603 Haier 3" xfId="23703" xr:uid="{00000000-0005-0000-0000-000019610000}"/>
    <cellStyle name="汇总" xfId="24459" xr:uid="{00000000-0005-0000-0000-00005A640000}"/>
    <cellStyle name="汇总 2" xfId="24460" xr:uid="{00000000-0005-0000-0000-00005B640000}"/>
    <cellStyle name="汇总 2 2" xfId="24461" xr:uid="{00000000-0005-0000-0000-00005C640000}"/>
    <cellStyle name="汇总 2 3" xfId="24462" xr:uid="{00000000-0005-0000-0000-00005D640000}"/>
    <cellStyle name="汇总 2 4" xfId="24463" xr:uid="{00000000-0005-0000-0000-00005E640000}"/>
    <cellStyle name="汇总 2 5" xfId="24464" xr:uid="{00000000-0005-0000-0000-00005F640000}"/>
    <cellStyle name="汇总 2 6" xfId="24465" xr:uid="{00000000-0005-0000-0000-000060640000}"/>
    <cellStyle name="汇总 3" xfId="24466" xr:uid="{00000000-0005-0000-0000-000061640000}"/>
    <cellStyle name="汇总 3 2" xfId="24467" xr:uid="{00000000-0005-0000-0000-000062640000}"/>
    <cellStyle name="汇总 3 3" xfId="24468" xr:uid="{00000000-0005-0000-0000-000063640000}"/>
    <cellStyle name="汇总 3 4" xfId="24469" xr:uid="{00000000-0005-0000-0000-000064640000}"/>
    <cellStyle name="汇总 3 5" xfId="24470" xr:uid="{00000000-0005-0000-0000-000065640000}"/>
    <cellStyle name="汇总 4" xfId="24471" xr:uid="{00000000-0005-0000-0000-000066640000}"/>
    <cellStyle name="汇总 5" xfId="24472" xr:uid="{00000000-0005-0000-0000-000067640000}"/>
    <cellStyle name="汇总 6" xfId="24473" xr:uid="{00000000-0005-0000-0000-000068640000}"/>
    <cellStyle name="汇总 7" xfId="24474" xr:uid="{00000000-0005-0000-0000-000069640000}"/>
    <cellStyle name="汇总 8" xfId="24475" xr:uid="{00000000-0005-0000-0000-00006A640000}"/>
    <cellStyle name="货币 2" xfId="24551" xr:uid="{00000000-0005-0000-0000-0000C5640000}"/>
    <cellStyle name="货币 2 2" xfId="24552" xr:uid="{00000000-0005-0000-0000-0000C6640000}"/>
    <cellStyle name="货币 2 3" xfId="24553" xr:uid="{00000000-0005-0000-0000-0000C7640000}"/>
    <cellStyle name="货币 2 4" xfId="24554" xr:uid="{00000000-0005-0000-0000-0000C8640000}"/>
    <cellStyle name="货币 2 5" xfId="24555" xr:uid="{00000000-0005-0000-0000-0000C9640000}"/>
    <cellStyle name="貨幣 [0]_APPCHECK" xfId="24548" xr:uid="{00000000-0005-0000-0000-0000C2640000}"/>
    <cellStyle name="貨幣[0]_AE USD40M (2)" xfId="24549" xr:uid="{00000000-0005-0000-0000-0000C3640000}"/>
    <cellStyle name="貨幣_AE USD40M (2)" xfId="24550" xr:uid="{00000000-0005-0000-0000-0000C4640000}"/>
    <cellStyle name="计算" xfId="24531" xr:uid="{00000000-0005-0000-0000-0000B1640000}"/>
    <cellStyle name="计算 2" xfId="24532" xr:uid="{00000000-0005-0000-0000-0000B2640000}"/>
    <cellStyle name="计算 2 2" xfId="24533" xr:uid="{00000000-0005-0000-0000-0000B3640000}"/>
    <cellStyle name="计算 2 3" xfId="24534" xr:uid="{00000000-0005-0000-0000-0000B4640000}"/>
    <cellStyle name="计算 2 4" xfId="24535" xr:uid="{00000000-0005-0000-0000-0000B5640000}"/>
    <cellStyle name="计算 2 5" xfId="24536" xr:uid="{00000000-0005-0000-0000-0000B6640000}"/>
    <cellStyle name="计算 2 6" xfId="24537" xr:uid="{00000000-0005-0000-0000-0000B7640000}"/>
    <cellStyle name="计算 3" xfId="24538" xr:uid="{00000000-0005-0000-0000-0000B8640000}"/>
    <cellStyle name="计算 3 2" xfId="24539" xr:uid="{00000000-0005-0000-0000-0000B9640000}"/>
    <cellStyle name="计算 3 3" xfId="24540" xr:uid="{00000000-0005-0000-0000-0000BA640000}"/>
    <cellStyle name="计算 3 4" xfId="24541" xr:uid="{00000000-0005-0000-0000-0000BB640000}"/>
    <cellStyle name="计算 3 5" xfId="24542" xr:uid="{00000000-0005-0000-0000-0000BC640000}"/>
    <cellStyle name="计算 4" xfId="24543" xr:uid="{00000000-0005-0000-0000-0000BD640000}"/>
    <cellStyle name="计算 5" xfId="24544" xr:uid="{00000000-0005-0000-0000-0000BE640000}"/>
    <cellStyle name="计算 6" xfId="24545" xr:uid="{00000000-0005-0000-0000-0000BF640000}"/>
    <cellStyle name="计算 7" xfId="24546" xr:uid="{00000000-0005-0000-0000-0000C0640000}"/>
    <cellStyle name="计算 8" xfId="24547" xr:uid="{00000000-0005-0000-0000-0000C1640000}"/>
    <cellStyle name="检查单元格" xfId="24445" xr:uid="{00000000-0005-0000-0000-00004C640000}"/>
    <cellStyle name="检查单元格 2" xfId="24446" xr:uid="{00000000-0005-0000-0000-00004D640000}"/>
    <cellStyle name="检查单元格 2 2" xfId="24447" xr:uid="{00000000-0005-0000-0000-00004E640000}"/>
    <cellStyle name="检查单元格 2 3" xfId="24448" xr:uid="{00000000-0005-0000-0000-00004F640000}"/>
    <cellStyle name="检查单元格 2 4" xfId="24449" xr:uid="{00000000-0005-0000-0000-000050640000}"/>
    <cellStyle name="检查单元格 2 5" xfId="24450" xr:uid="{00000000-0005-0000-0000-000051640000}"/>
    <cellStyle name="检查单元格 3" xfId="24451" xr:uid="{00000000-0005-0000-0000-000052640000}"/>
    <cellStyle name="检查单元格 3 2" xfId="24452" xr:uid="{00000000-0005-0000-0000-000053640000}"/>
    <cellStyle name="检查单元格 3 3" xfId="24453" xr:uid="{00000000-0005-0000-0000-000054640000}"/>
    <cellStyle name="检查单元格 4" xfId="24454" xr:uid="{00000000-0005-0000-0000-000055640000}"/>
    <cellStyle name="检查单元格 5" xfId="24455" xr:uid="{00000000-0005-0000-0000-000056640000}"/>
    <cellStyle name="检查单元格 6" xfId="24456" xr:uid="{00000000-0005-0000-0000-000057640000}"/>
    <cellStyle name="检查单元格 7" xfId="24457" xr:uid="{00000000-0005-0000-0000-000058640000}"/>
    <cellStyle name="解释性文本" xfId="24505" xr:uid="{00000000-0005-0000-0000-000097640000}"/>
    <cellStyle name="解释性文本 2" xfId="24506" xr:uid="{00000000-0005-0000-0000-000098640000}"/>
    <cellStyle name="解释性文本 2 2" xfId="24507" xr:uid="{00000000-0005-0000-0000-000099640000}"/>
    <cellStyle name="解释性文本 2 3" xfId="24508" xr:uid="{00000000-0005-0000-0000-00009A640000}"/>
    <cellStyle name="解释性文本 2 4" xfId="24509" xr:uid="{00000000-0005-0000-0000-00009B640000}"/>
    <cellStyle name="解释性文本 2 5" xfId="24510" xr:uid="{00000000-0005-0000-0000-00009C640000}"/>
    <cellStyle name="解释性文本 3" xfId="24511" xr:uid="{00000000-0005-0000-0000-00009D640000}"/>
    <cellStyle name="解释性文本 3 2" xfId="24512" xr:uid="{00000000-0005-0000-0000-00009E640000}"/>
    <cellStyle name="解释性文本 3 3" xfId="24513" xr:uid="{00000000-0005-0000-0000-00009F640000}"/>
    <cellStyle name="解释性文本 4" xfId="24514" xr:uid="{00000000-0005-0000-0000-0000A0640000}"/>
    <cellStyle name="解释性文本 5" xfId="24515" xr:uid="{00000000-0005-0000-0000-0000A1640000}"/>
    <cellStyle name="解释性文本 6" xfId="24516" xr:uid="{00000000-0005-0000-0000-0000A2640000}"/>
    <cellStyle name="解释性文本 7" xfId="24517" xr:uid="{00000000-0005-0000-0000-0000A3640000}"/>
    <cellStyle name="警告文本" xfId="24518" xr:uid="{00000000-0005-0000-0000-0000A4640000}"/>
    <cellStyle name="警告文本 2" xfId="24519" xr:uid="{00000000-0005-0000-0000-0000A5640000}"/>
    <cellStyle name="警告文本 2 2" xfId="24520" xr:uid="{00000000-0005-0000-0000-0000A6640000}"/>
    <cellStyle name="警告文本 2 3" xfId="24521" xr:uid="{00000000-0005-0000-0000-0000A7640000}"/>
    <cellStyle name="警告文本 2 4" xfId="24522" xr:uid="{00000000-0005-0000-0000-0000A8640000}"/>
    <cellStyle name="警告文本 2 5" xfId="24523" xr:uid="{00000000-0005-0000-0000-0000A9640000}"/>
    <cellStyle name="警告文本 3" xfId="24524" xr:uid="{00000000-0005-0000-0000-0000AA640000}"/>
    <cellStyle name="警告文本 3 2" xfId="24525" xr:uid="{00000000-0005-0000-0000-0000AB640000}"/>
    <cellStyle name="警告文本 3 3" xfId="24526" xr:uid="{00000000-0005-0000-0000-0000AC640000}"/>
    <cellStyle name="警告文本 4" xfId="24527" xr:uid="{00000000-0005-0000-0000-0000AD640000}"/>
    <cellStyle name="警告文本 5" xfId="24528" xr:uid="{00000000-0005-0000-0000-0000AE640000}"/>
    <cellStyle name="警告文本 6" xfId="24529" xr:uid="{00000000-0005-0000-0000-0000AF640000}"/>
    <cellStyle name="警告文本 7" xfId="24530" xr:uid="{00000000-0005-0000-0000-0000B0640000}"/>
    <cellStyle name="链接单元格" xfId="24613" xr:uid="{00000000-0005-0000-0000-000003650000}"/>
    <cellStyle name="链接单元格 2" xfId="24614" xr:uid="{00000000-0005-0000-0000-000004650000}"/>
    <cellStyle name="链接单元格 2 2" xfId="24615" xr:uid="{00000000-0005-0000-0000-000005650000}"/>
    <cellStyle name="链接单元格 2 3" xfId="24616" xr:uid="{00000000-0005-0000-0000-000006650000}"/>
    <cellStyle name="链接单元格 2 4" xfId="24617" xr:uid="{00000000-0005-0000-0000-000007650000}"/>
    <cellStyle name="链接单元格 2 5" xfId="24618" xr:uid="{00000000-0005-0000-0000-000008650000}"/>
    <cellStyle name="链接单元格 3" xfId="24619" xr:uid="{00000000-0005-0000-0000-000009650000}"/>
    <cellStyle name="链接单元格 3 2" xfId="24620" xr:uid="{00000000-0005-0000-0000-00000A650000}"/>
    <cellStyle name="链接单元格 3 3" xfId="24621" xr:uid="{00000000-0005-0000-0000-00000B650000}"/>
    <cellStyle name="链接单元格 4" xfId="24622" xr:uid="{00000000-0005-0000-0000-00000C650000}"/>
    <cellStyle name="链接单元格 5" xfId="24623" xr:uid="{00000000-0005-0000-0000-00000D650000}"/>
    <cellStyle name="链接单元格 6" xfId="24624" xr:uid="{00000000-0005-0000-0000-00000E650000}"/>
    <cellStyle name="链接单元格 7" xfId="24625" xr:uid="{00000000-0005-0000-0000-00000F650000}"/>
    <cellStyle name="砯?[0]_0109" xfId="24501" xr:uid="{00000000-0005-0000-0000-000093640000}"/>
    <cellStyle name="砯?_0109" xfId="24502" xr:uid="{00000000-0005-0000-0000-000094640000}"/>
    <cellStyle name="砯刽[0]_pldt" xfId="24503" xr:uid="{00000000-0005-0000-0000-000095640000}"/>
    <cellStyle name="砯刽_pldt" xfId="24504" xr:uid="{00000000-0005-0000-0000-000096640000}"/>
    <cellStyle name="普通_20106" xfId="24369" xr:uid="{00000000-0005-0000-0000-0000FD630000}"/>
    <cellStyle name="千分位[0]_AE USD40M (2)" xfId="23134" xr:uid="{00000000-0005-0000-0000-00009E5E0000}"/>
    <cellStyle name="千分位_AE USD40M (2)" xfId="23135" xr:uid="{00000000-0005-0000-0000-00009F5E0000}"/>
    <cellStyle name="千位分隔 2" xfId="23117" xr:uid="{00000000-0005-0000-0000-0000825E0000}"/>
    <cellStyle name="千位分隔 2 10" xfId="23118" xr:uid="{00000000-0005-0000-0000-0000835E0000}"/>
    <cellStyle name="千位分隔 2 11" xfId="23119" xr:uid="{00000000-0005-0000-0000-0000845E0000}"/>
    <cellStyle name="千位分隔 2 12" xfId="23120" xr:uid="{00000000-0005-0000-0000-0000855E0000}"/>
    <cellStyle name="千位分隔 2 2" xfId="23121" xr:uid="{00000000-0005-0000-0000-0000865E0000}"/>
    <cellStyle name="千位分隔 2 2 2" xfId="25699" xr:uid="{00000000-0005-0000-0000-0000875E0000}"/>
    <cellStyle name="千位分隔 2 3" xfId="23122" xr:uid="{00000000-0005-0000-0000-0000885E0000}"/>
    <cellStyle name="千位分隔 2 3 2" xfId="25700" xr:uid="{00000000-0005-0000-0000-0000895E0000}"/>
    <cellStyle name="千位分隔 2 4" xfId="23123" xr:uid="{00000000-0005-0000-0000-00008A5E0000}"/>
    <cellStyle name="千位分隔 2 4 2" xfId="25701" xr:uid="{00000000-0005-0000-0000-00008B5E0000}"/>
    <cellStyle name="千位分隔 2 5" xfId="23124" xr:uid="{00000000-0005-0000-0000-00008C5E0000}"/>
    <cellStyle name="千位分隔 2 5 2" xfId="25702" xr:uid="{00000000-0005-0000-0000-00008D5E0000}"/>
    <cellStyle name="千位分隔 2 6" xfId="23125" xr:uid="{00000000-0005-0000-0000-00008E5E0000}"/>
    <cellStyle name="千位分隔 2 7" xfId="23126" xr:uid="{00000000-0005-0000-0000-00008F5E0000}"/>
    <cellStyle name="千位分隔 2 8" xfId="23127" xr:uid="{00000000-0005-0000-0000-0000905E0000}"/>
    <cellStyle name="千位分隔 2 9" xfId="23128" xr:uid="{00000000-0005-0000-0000-0000915E0000}"/>
    <cellStyle name="千位分隔 2_RFQ NA091112 Electrolux 010810 (Approved) 3-12" xfId="25703" xr:uid="{00000000-0005-0000-0000-0000925E0000}"/>
    <cellStyle name="千位分隔 3" xfId="23129" xr:uid="{00000000-0005-0000-0000-0000935E0000}"/>
    <cellStyle name="千位分隔 3 2" xfId="23130" xr:uid="{00000000-0005-0000-0000-0000945E0000}"/>
    <cellStyle name="千位分隔 3 2 2" xfId="25704" xr:uid="{00000000-0005-0000-0000-0000955E0000}"/>
    <cellStyle name="千位分隔 3 3" xfId="23131" xr:uid="{00000000-0005-0000-0000-0000965E0000}"/>
    <cellStyle name="千位分隔 3 3 2" xfId="25705" xr:uid="{00000000-0005-0000-0000-0000975E0000}"/>
    <cellStyle name="千位分隔 3 4" xfId="23132" xr:uid="{00000000-0005-0000-0000-0000985E0000}"/>
    <cellStyle name="千位分隔 3 4 2" xfId="25706" xr:uid="{00000000-0005-0000-0000-0000995E0000}"/>
    <cellStyle name="千位分隔 3 5" xfId="23133" xr:uid="{00000000-0005-0000-0000-00009A5E0000}"/>
    <cellStyle name="千位分隔 3 5 2" xfId="25707" xr:uid="{00000000-0005-0000-0000-00009B5E0000}"/>
    <cellStyle name="千位分隔 3 6" xfId="25708" xr:uid="{00000000-0005-0000-0000-00009C5E0000}"/>
    <cellStyle name="千位分隔 4" xfId="25709" xr:uid="{00000000-0005-0000-0000-00009D5E0000}"/>
    <cellStyle name="强调文字颜色 1" xfId="24291" xr:uid="{00000000-0005-0000-0000-0000AF630000}"/>
    <cellStyle name="强调文字颜色 1 2" xfId="24292" xr:uid="{00000000-0005-0000-0000-0000B0630000}"/>
    <cellStyle name="强调文字颜色 1 2 2" xfId="24293" xr:uid="{00000000-0005-0000-0000-0000B1630000}"/>
    <cellStyle name="强调文字颜色 1 2 3" xfId="24294" xr:uid="{00000000-0005-0000-0000-0000B2630000}"/>
    <cellStyle name="强调文字颜色 1 2 4" xfId="24295" xr:uid="{00000000-0005-0000-0000-0000B3630000}"/>
    <cellStyle name="强调文字颜色 1 2 5" xfId="24296" xr:uid="{00000000-0005-0000-0000-0000B4630000}"/>
    <cellStyle name="强调文字颜色 1 3" xfId="24297" xr:uid="{00000000-0005-0000-0000-0000B5630000}"/>
    <cellStyle name="强调文字颜色 1 3 2" xfId="24298" xr:uid="{00000000-0005-0000-0000-0000B6630000}"/>
    <cellStyle name="强调文字颜色 1 3 3" xfId="24299" xr:uid="{00000000-0005-0000-0000-0000B7630000}"/>
    <cellStyle name="强调文字颜色 1 4" xfId="24300" xr:uid="{00000000-0005-0000-0000-0000B8630000}"/>
    <cellStyle name="强调文字颜色 1 5" xfId="24301" xr:uid="{00000000-0005-0000-0000-0000B9630000}"/>
    <cellStyle name="强调文字颜色 1 6" xfId="24302" xr:uid="{00000000-0005-0000-0000-0000BA630000}"/>
    <cellStyle name="强调文字颜色 1 7" xfId="24303" xr:uid="{00000000-0005-0000-0000-0000BB630000}"/>
    <cellStyle name="强调文字颜色 2" xfId="24304" xr:uid="{00000000-0005-0000-0000-0000BC630000}"/>
    <cellStyle name="强调文字颜色 2 2" xfId="24305" xr:uid="{00000000-0005-0000-0000-0000BD630000}"/>
    <cellStyle name="强调文字颜色 2 2 2" xfId="24306" xr:uid="{00000000-0005-0000-0000-0000BE630000}"/>
    <cellStyle name="强调文字颜色 2 2 3" xfId="24307" xr:uid="{00000000-0005-0000-0000-0000BF630000}"/>
    <cellStyle name="强调文字颜色 2 2 4" xfId="24308" xr:uid="{00000000-0005-0000-0000-0000C0630000}"/>
    <cellStyle name="强调文字颜色 2 2 5" xfId="24309" xr:uid="{00000000-0005-0000-0000-0000C1630000}"/>
    <cellStyle name="强调文字颜色 2 3" xfId="24310" xr:uid="{00000000-0005-0000-0000-0000C2630000}"/>
    <cellStyle name="强调文字颜色 2 3 2" xfId="24311" xr:uid="{00000000-0005-0000-0000-0000C3630000}"/>
    <cellStyle name="强调文字颜色 2 3 3" xfId="24312" xr:uid="{00000000-0005-0000-0000-0000C4630000}"/>
    <cellStyle name="强调文字颜色 2 4" xfId="24313" xr:uid="{00000000-0005-0000-0000-0000C5630000}"/>
    <cellStyle name="强调文字颜色 2 5" xfId="24314" xr:uid="{00000000-0005-0000-0000-0000C6630000}"/>
    <cellStyle name="强调文字颜色 2 6" xfId="24315" xr:uid="{00000000-0005-0000-0000-0000C7630000}"/>
    <cellStyle name="强调文字颜色 2 7" xfId="24316" xr:uid="{00000000-0005-0000-0000-0000C8630000}"/>
    <cellStyle name="强调文字颜色 3" xfId="24317" xr:uid="{00000000-0005-0000-0000-0000C9630000}"/>
    <cellStyle name="强调文字颜色 3 2" xfId="24318" xr:uid="{00000000-0005-0000-0000-0000CA630000}"/>
    <cellStyle name="强调文字颜色 3 2 2" xfId="24319" xr:uid="{00000000-0005-0000-0000-0000CB630000}"/>
    <cellStyle name="强调文字颜色 3 2 3" xfId="24320" xr:uid="{00000000-0005-0000-0000-0000CC630000}"/>
    <cellStyle name="强调文字颜色 3 2 4" xfId="24321" xr:uid="{00000000-0005-0000-0000-0000CD630000}"/>
    <cellStyle name="强调文字颜色 3 2 5" xfId="24322" xr:uid="{00000000-0005-0000-0000-0000CE630000}"/>
    <cellStyle name="强调文字颜色 3 3" xfId="24323" xr:uid="{00000000-0005-0000-0000-0000CF630000}"/>
    <cellStyle name="强调文字颜色 3 3 2" xfId="24324" xr:uid="{00000000-0005-0000-0000-0000D0630000}"/>
    <cellStyle name="强调文字颜色 3 3 3" xfId="24325" xr:uid="{00000000-0005-0000-0000-0000D1630000}"/>
    <cellStyle name="强调文字颜色 3 4" xfId="24326" xr:uid="{00000000-0005-0000-0000-0000D2630000}"/>
    <cellStyle name="强调文字颜色 3 5" xfId="24327" xr:uid="{00000000-0005-0000-0000-0000D3630000}"/>
    <cellStyle name="强调文字颜色 3 6" xfId="24328" xr:uid="{00000000-0005-0000-0000-0000D4630000}"/>
    <cellStyle name="强调文字颜色 3 7" xfId="24329" xr:uid="{00000000-0005-0000-0000-0000D5630000}"/>
    <cellStyle name="强调文字颜色 4" xfId="24330" xr:uid="{00000000-0005-0000-0000-0000D6630000}"/>
    <cellStyle name="强调文字颜色 4 2" xfId="24331" xr:uid="{00000000-0005-0000-0000-0000D7630000}"/>
    <cellStyle name="强调文字颜色 4 2 2" xfId="24332" xr:uid="{00000000-0005-0000-0000-0000D8630000}"/>
    <cellStyle name="强调文字颜色 4 2 3" xfId="24333" xr:uid="{00000000-0005-0000-0000-0000D9630000}"/>
    <cellStyle name="强调文字颜色 4 2 4" xfId="24334" xr:uid="{00000000-0005-0000-0000-0000DA630000}"/>
    <cellStyle name="强调文字颜色 4 2 5" xfId="24335" xr:uid="{00000000-0005-0000-0000-0000DB630000}"/>
    <cellStyle name="强调文字颜色 4 3" xfId="24336" xr:uid="{00000000-0005-0000-0000-0000DC630000}"/>
    <cellStyle name="强调文字颜色 4 3 2" xfId="24337" xr:uid="{00000000-0005-0000-0000-0000DD630000}"/>
    <cellStyle name="强调文字颜色 4 3 3" xfId="24338" xr:uid="{00000000-0005-0000-0000-0000DE630000}"/>
    <cellStyle name="强调文字颜色 4 4" xfId="24339" xr:uid="{00000000-0005-0000-0000-0000DF630000}"/>
    <cellStyle name="强调文字颜色 4 5" xfId="24340" xr:uid="{00000000-0005-0000-0000-0000E0630000}"/>
    <cellStyle name="强调文字颜色 4 6" xfId="24341" xr:uid="{00000000-0005-0000-0000-0000E1630000}"/>
    <cellStyle name="强调文字颜色 4 7" xfId="24342" xr:uid="{00000000-0005-0000-0000-0000E2630000}"/>
    <cellStyle name="强调文字颜色 5" xfId="24343" xr:uid="{00000000-0005-0000-0000-0000E3630000}"/>
    <cellStyle name="强调文字颜色 5 2" xfId="24344" xr:uid="{00000000-0005-0000-0000-0000E4630000}"/>
    <cellStyle name="强调文字颜色 5 2 2" xfId="24345" xr:uid="{00000000-0005-0000-0000-0000E5630000}"/>
    <cellStyle name="强调文字颜色 5 2 3" xfId="24346" xr:uid="{00000000-0005-0000-0000-0000E6630000}"/>
    <cellStyle name="强调文字颜色 5 2 4" xfId="24347" xr:uid="{00000000-0005-0000-0000-0000E7630000}"/>
    <cellStyle name="强调文字颜色 5 2 5" xfId="24348" xr:uid="{00000000-0005-0000-0000-0000E8630000}"/>
    <cellStyle name="强调文字颜色 5 3" xfId="24349" xr:uid="{00000000-0005-0000-0000-0000E9630000}"/>
    <cellStyle name="强调文字颜色 5 3 2" xfId="24350" xr:uid="{00000000-0005-0000-0000-0000EA630000}"/>
    <cellStyle name="强调文字颜色 5 3 3" xfId="24351" xr:uid="{00000000-0005-0000-0000-0000EB630000}"/>
    <cellStyle name="强调文字颜色 5 4" xfId="24352" xr:uid="{00000000-0005-0000-0000-0000EC630000}"/>
    <cellStyle name="强调文字颜色 5 5" xfId="24353" xr:uid="{00000000-0005-0000-0000-0000ED630000}"/>
    <cellStyle name="强调文字颜色 5 6" xfId="24354" xr:uid="{00000000-0005-0000-0000-0000EE630000}"/>
    <cellStyle name="强调文字颜色 5 7" xfId="24355" xr:uid="{00000000-0005-0000-0000-0000EF630000}"/>
    <cellStyle name="强调文字颜色 6" xfId="24356" xr:uid="{00000000-0005-0000-0000-0000F0630000}"/>
    <cellStyle name="强调文字颜色 6 2" xfId="24357" xr:uid="{00000000-0005-0000-0000-0000F1630000}"/>
    <cellStyle name="强调文字颜色 6 2 2" xfId="24358" xr:uid="{00000000-0005-0000-0000-0000F2630000}"/>
    <cellStyle name="强调文字颜色 6 2 3" xfId="24359" xr:uid="{00000000-0005-0000-0000-0000F3630000}"/>
    <cellStyle name="强调文字颜色 6 2 4" xfId="24360" xr:uid="{00000000-0005-0000-0000-0000F4630000}"/>
    <cellStyle name="强调文字颜色 6 2 5" xfId="24361" xr:uid="{00000000-0005-0000-0000-0000F5630000}"/>
    <cellStyle name="强调文字颜色 6 3" xfId="24362" xr:uid="{00000000-0005-0000-0000-0000F6630000}"/>
    <cellStyle name="强调文字颜色 6 3 2" xfId="24363" xr:uid="{00000000-0005-0000-0000-0000F7630000}"/>
    <cellStyle name="强调文字颜色 6 3 3" xfId="24364" xr:uid="{00000000-0005-0000-0000-0000F8630000}"/>
    <cellStyle name="强调文字颜色 6 4" xfId="24365" xr:uid="{00000000-0005-0000-0000-0000F9630000}"/>
    <cellStyle name="强调文字颜色 6 5" xfId="24366" xr:uid="{00000000-0005-0000-0000-0000FA630000}"/>
    <cellStyle name="强调文字颜色 6 6" xfId="24367" xr:uid="{00000000-0005-0000-0000-0000FB630000}"/>
    <cellStyle name="强调文字颜色 6 7" xfId="24368" xr:uid="{00000000-0005-0000-0000-0000FC630000}"/>
    <cellStyle name="适中" xfId="24600" xr:uid="{00000000-0005-0000-0000-0000F6640000}"/>
    <cellStyle name="适中 2" xfId="24601" xr:uid="{00000000-0005-0000-0000-0000F7640000}"/>
    <cellStyle name="适中 2 2" xfId="24602" xr:uid="{00000000-0005-0000-0000-0000F8640000}"/>
    <cellStyle name="适中 2 3" xfId="24603" xr:uid="{00000000-0005-0000-0000-0000F9640000}"/>
    <cellStyle name="适中 2 4" xfId="24604" xr:uid="{00000000-0005-0000-0000-0000FA640000}"/>
    <cellStyle name="适中 2 5" xfId="24605" xr:uid="{00000000-0005-0000-0000-0000FB640000}"/>
    <cellStyle name="适中 3" xfId="24606" xr:uid="{00000000-0005-0000-0000-0000FC640000}"/>
    <cellStyle name="适中 3 2" xfId="24607" xr:uid="{00000000-0005-0000-0000-0000FD640000}"/>
    <cellStyle name="适中 3 3" xfId="24608" xr:uid="{00000000-0005-0000-0000-0000FE640000}"/>
    <cellStyle name="适中 4" xfId="24609" xr:uid="{00000000-0005-0000-0000-0000FF640000}"/>
    <cellStyle name="适中 5" xfId="24610" xr:uid="{00000000-0005-0000-0000-000000650000}"/>
    <cellStyle name="适中 6" xfId="24611" xr:uid="{00000000-0005-0000-0000-000001650000}"/>
    <cellStyle name="适中 7" xfId="24612" xr:uid="{00000000-0005-0000-0000-000002650000}"/>
    <cellStyle name="输出" xfId="24583" xr:uid="{00000000-0005-0000-0000-0000E5640000}"/>
    <cellStyle name="输出 2" xfId="24584" xr:uid="{00000000-0005-0000-0000-0000E6640000}"/>
    <cellStyle name="输出 2 2" xfId="24585" xr:uid="{00000000-0005-0000-0000-0000E7640000}"/>
    <cellStyle name="输出 2 3" xfId="24586" xr:uid="{00000000-0005-0000-0000-0000E8640000}"/>
    <cellStyle name="输出 2 4" xfId="24587" xr:uid="{00000000-0005-0000-0000-0000E9640000}"/>
    <cellStyle name="输出 2 5" xfId="24588" xr:uid="{00000000-0005-0000-0000-0000EA640000}"/>
    <cellStyle name="输出 2 6" xfId="24589" xr:uid="{00000000-0005-0000-0000-0000EB640000}"/>
    <cellStyle name="输出 3" xfId="24590" xr:uid="{00000000-0005-0000-0000-0000EC640000}"/>
    <cellStyle name="输出 3 2" xfId="24591" xr:uid="{00000000-0005-0000-0000-0000ED640000}"/>
    <cellStyle name="输出 3 3" xfId="24592" xr:uid="{00000000-0005-0000-0000-0000EE640000}"/>
    <cellStyle name="输出 3 4" xfId="24593" xr:uid="{00000000-0005-0000-0000-0000EF640000}"/>
    <cellStyle name="输出 3 5" xfId="24594" xr:uid="{00000000-0005-0000-0000-0000F0640000}"/>
    <cellStyle name="输出 4" xfId="24595" xr:uid="{00000000-0005-0000-0000-0000F1640000}"/>
    <cellStyle name="输出 5" xfId="24596" xr:uid="{00000000-0005-0000-0000-0000F2640000}"/>
    <cellStyle name="输出 6" xfId="24597" xr:uid="{00000000-0005-0000-0000-0000F3640000}"/>
    <cellStyle name="输出 7" xfId="24598" xr:uid="{00000000-0005-0000-0000-0000F4640000}"/>
    <cellStyle name="输出 8" xfId="24599" xr:uid="{00000000-0005-0000-0000-0000F5640000}"/>
    <cellStyle name="输入" xfId="24566" xr:uid="{00000000-0005-0000-0000-0000D4640000}"/>
    <cellStyle name="输入 2" xfId="24567" xr:uid="{00000000-0005-0000-0000-0000D5640000}"/>
    <cellStyle name="输入 2 2" xfId="24568" xr:uid="{00000000-0005-0000-0000-0000D6640000}"/>
    <cellStyle name="输入 2 3" xfId="24569" xr:uid="{00000000-0005-0000-0000-0000D7640000}"/>
    <cellStyle name="输入 2 4" xfId="24570" xr:uid="{00000000-0005-0000-0000-0000D8640000}"/>
    <cellStyle name="输入 2 5" xfId="24571" xr:uid="{00000000-0005-0000-0000-0000D9640000}"/>
    <cellStyle name="输入 2 6" xfId="24572" xr:uid="{00000000-0005-0000-0000-0000DA640000}"/>
    <cellStyle name="输入 3" xfId="24573" xr:uid="{00000000-0005-0000-0000-0000DB640000}"/>
    <cellStyle name="输入 3 2" xfId="24574" xr:uid="{00000000-0005-0000-0000-0000DC640000}"/>
    <cellStyle name="输入 3 3" xfId="24575" xr:uid="{00000000-0005-0000-0000-0000DD640000}"/>
    <cellStyle name="输入 3 4" xfId="24576" xr:uid="{00000000-0005-0000-0000-0000DE640000}"/>
    <cellStyle name="输入 3 5" xfId="24577" xr:uid="{00000000-0005-0000-0000-0000DF640000}"/>
    <cellStyle name="输入 4" xfId="24578" xr:uid="{00000000-0005-0000-0000-0000E0640000}"/>
    <cellStyle name="输入 5" xfId="24579" xr:uid="{00000000-0005-0000-0000-0000E1640000}"/>
    <cellStyle name="输入 6" xfId="24580" xr:uid="{00000000-0005-0000-0000-0000E2640000}"/>
    <cellStyle name="输入 7" xfId="24581" xr:uid="{00000000-0005-0000-0000-0000E3640000}"/>
    <cellStyle name="输入 8" xfId="24582" xr:uid="{00000000-0005-0000-0000-0000E4640000}"/>
    <cellStyle name="메모" xfId="25654" xr:uid="{00000000-0005-0000-0000-0000515E0000}"/>
    <cellStyle name="메모 2" xfId="25655" xr:uid="{00000000-0005-0000-0000-0000525E0000}"/>
    <cellStyle name="메모 3" xfId="25656" xr:uid="{00000000-0005-0000-0000-0000535E0000}"/>
    <cellStyle name="样式 1" xfId="24436" xr:uid="{00000000-0005-0000-0000-000040640000}"/>
    <cellStyle name="样式 1 2" xfId="24437" xr:uid="{00000000-0005-0000-0000-000041640000}"/>
    <cellStyle name="样式 1 2 2" xfId="24438" xr:uid="{00000000-0005-0000-0000-000042640000}"/>
    <cellStyle name="样式 1 2 3" xfId="24439" xr:uid="{00000000-0005-0000-0000-000043640000}"/>
    <cellStyle name="样式 1 2 4" xfId="24440" xr:uid="{00000000-0005-0000-0000-000044640000}"/>
    <cellStyle name="样式 1 3" xfId="24441" xr:uid="{00000000-0005-0000-0000-000045640000}"/>
    <cellStyle name="样式 1 3 2" xfId="25850" xr:uid="{00000000-0005-0000-0000-000046640000}"/>
    <cellStyle name="样式 1 3 3" xfId="25851" xr:uid="{00000000-0005-0000-0000-000047640000}"/>
    <cellStyle name="样式 1 4" xfId="24442" xr:uid="{00000000-0005-0000-0000-000048640000}"/>
    <cellStyle name="样式 1 4 2" xfId="25852" xr:uid="{00000000-0005-0000-0000-000049640000}"/>
    <cellStyle name="样式 1 5" xfId="24443" xr:uid="{00000000-0005-0000-0000-00004A640000}"/>
    <cellStyle name="样式 1 6" xfId="24444" xr:uid="{00000000-0005-0000-0000-00004B640000}"/>
    <cellStyle name="一般_1 Average Cost Divided FT2" xfId="23114" xr:uid="{00000000-0005-0000-0000-00007F5E0000}"/>
    <cellStyle name="億啟[0]_pldt" xfId="23115" xr:uid="{00000000-0005-0000-0000-0000805E0000}"/>
    <cellStyle name="億啟_pldt" xfId="23116" xr:uid="{00000000-0005-0000-0000-0000815E0000}"/>
    <cellStyle name="보통" xfId="25657" xr:uid="{00000000-0005-0000-0000-0000545E0000}"/>
    <cellStyle name="보통 2" xfId="25658" xr:uid="{00000000-0005-0000-0000-0000555E0000}"/>
    <cellStyle name="보통 3" xfId="25659" xr:uid="{00000000-0005-0000-0000-0000565E0000}"/>
    <cellStyle name="注释" xfId="24476" xr:uid="{00000000-0005-0000-0000-00006B640000}"/>
    <cellStyle name="注释 2" xfId="24477" xr:uid="{00000000-0005-0000-0000-00006C640000}"/>
    <cellStyle name="注释 2 2" xfId="24478" xr:uid="{00000000-0005-0000-0000-00006D640000}"/>
    <cellStyle name="注释 2 2 2" xfId="25853" xr:uid="{00000000-0005-0000-0000-00006E640000}"/>
    <cellStyle name="注释 2 2 3" xfId="25854" xr:uid="{00000000-0005-0000-0000-00006F640000}"/>
    <cellStyle name="注释 2 3" xfId="24479" xr:uid="{00000000-0005-0000-0000-000070640000}"/>
    <cellStyle name="注释 2 4" xfId="24480" xr:uid="{00000000-0005-0000-0000-000071640000}"/>
    <cellStyle name="注释 2 5" xfId="24481" xr:uid="{00000000-0005-0000-0000-000072640000}"/>
    <cellStyle name="注释 3" xfId="24482" xr:uid="{00000000-0005-0000-0000-000073640000}"/>
    <cellStyle name="注释 3 2" xfId="24483" xr:uid="{00000000-0005-0000-0000-000074640000}"/>
    <cellStyle name="注释 3 2 2" xfId="25855" xr:uid="{00000000-0005-0000-0000-000075640000}"/>
    <cellStyle name="注释 3 2 3" xfId="25856" xr:uid="{00000000-0005-0000-0000-000076640000}"/>
    <cellStyle name="注释 3 3" xfId="24484" xr:uid="{00000000-0005-0000-0000-000077640000}"/>
    <cellStyle name="注释 3 4" xfId="24485" xr:uid="{00000000-0005-0000-0000-000078640000}"/>
    <cellStyle name="注释 4" xfId="24486" xr:uid="{00000000-0005-0000-0000-000079640000}"/>
    <cellStyle name="注释 4 2" xfId="24487" xr:uid="{00000000-0005-0000-0000-00007A640000}"/>
    <cellStyle name="注释 4 2 2" xfId="25857" xr:uid="{00000000-0005-0000-0000-00007B640000}"/>
    <cellStyle name="注释 4 2 3" xfId="25858" xr:uid="{00000000-0005-0000-0000-00007C640000}"/>
    <cellStyle name="注释 4 3" xfId="24488" xr:uid="{00000000-0005-0000-0000-00007D640000}"/>
    <cellStyle name="注释 4 4" xfId="24489" xr:uid="{00000000-0005-0000-0000-00007E640000}"/>
    <cellStyle name="注释 5" xfId="24490" xr:uid="{00000000-0005-0000-0000-00007F640000}"/>
    <cellStyle name="注释 5 2" xfId="25859" xr:uid="{00000000-0005-0000-0000-000080640000}"/>
    <cellStyle name="注释 5 2 2" xfId="25860" xr:uid="{00000000-0005-0000-0000-000081640000}"/>
    <cellStyle name="注释 5 2 3" xfId="25861" xr:uid="{00000000-0005-0000-0000-000082640000}"/>
    <cellStyle name="注释 5 3" xfId="25862" xr:uid="{00000000-0005-0000-0000-000083640000}"/>
    <cellStyle name="注释 5 4" xfId="25863" xr:uid="{00000000-0005-0000-0000-000084640000}"/>
    <cellStyle name="注释 6" xfId="24491" xr:uid="{00000000-0005-0000-0000-000085640000}"/>
    <cellStyle name="注释 6 2" xfId="25864" xr:uid="{00000000-0005-0000-0000-000086640000}"/>
    <cellStyle name="注释 6 3" xfId="25865" xr:uid="{00000000-0005-0000-0000-000087640000}"/>
    <cellStyle name="注释 7" xfId="24492" xr:uid="{00000000-0005-0000-0000-000088640000}"/>
    <cellStyle name="注释 8" xfId="24493" xr:uid="{00000000-0005-0000-0000-000089640000}"/>
    <cellStyle name="설명 텍스트" xfId="25660" xr:uid="{00000000-0005-0000-0000-0000575E0000}"/>
    <cellStyle name="설명 텍스트 2" xfId="25661" xr:uid="{00000000-0005-0000-0000-0000585E0000}"/>
    <cellStyle name="설명 텍스트 3" xfId="25662" xr:uid="{00000000-0005-0000-0000-0000595E0000}"/>
    <cellStyle name="셀 확인" xfId="25663" xr:uid="{00000000-0005-0000-0000-00005A5E0000}"/>
    <cellStyle name="셀 확인 2" xfId="25664" xr:uid="{00000000-0005-0000-0000-00005B5E0000}"/>
    <cellStyle name="셀 확인 3" xfId="25665" xr:uid="{00000000-0005-0000-0000-00005C5E0000}"/>
    <cellStyle name="연결된 셀" xfId="25666" xr:uid="{00000000-0005-0000-0000-00005D5E0000}"/>
    <cellStyle name="연결된 셀 2" xfId="25667" xr:uid="{00000000-0005-0000-0000-00005E5E0000}"/>
    <cellStyle name="연결된 셀 3" xfId="25668" xr:uid="{00000000-0005-0000-0000-00005F5E0000}"/>
    <cellStyle name="요약" xfId="25669" xr:uid="{00000000-0005-0000-0000-0000605E0000}"/>
    <cellStyle name="요약 2" xfId="25670" xr:uid="{00000000-0005-0000-0000-0000615E0000}"/>
    <cellStyle name="요약 3" xfId="25671" xr:uid="{00000000-0005-0000-0000-0000625E0000}"/>
    <cellStyle name="입력" xfId="25672" xr:uid="{00000000-0005-0000-0000-0000635E0000}"/>
    <cellStyle name="입력 2" xfId="25673" xr:uid="{00000000-0005-0000-0000-0000645E0000}"/>
    <cellStyle name="입력 3" xfId="25674" xr:uid="{00000000-0005-0000-0000-0000655E0000}"/>
    <cellStyle name="제목" xfId="25675" xr:uid="{00000000-0005-0000-0000-0000665E0000}"/>
    <cellStyle name="제목 1" xfId="25676" xr:uid="{00000000-0005-0000-0000-0000675E0000}"/>
    <cellStyle name="제목 1 2" xfId="25677" xr:uid="{00000000-0005-0000-0000-0000685E0000}"/>
    <cellStyle name="제목 1 3" xfId="25678" xr:uid="{00000000-0005-0000-0000-0000695E0000}"/>
    <cellStyle name="제목 2" xfId="25679" xr:uid="{00000000-0005-0000-0000-00006A5E0000}"/>
    <cellStyle name="제목 2 2" xfId="25680" xr:uid="{00000000-0005-0000-0000-00006B5E0000}"/>
    <cellStyle name="제목 2 3" xfId="25681" xr:uid="{00000000-0005-0000-0000-00006C5E0000}"/>
    <cellStyle name="제목 3" xfId="25682" xr:uid="{00000000-0005-0000-0000-00006D5E0000}"/>
    <cellStyle name="제목 3 2" xfId="25683" xr:uid="{00000000-0005-0000-0000-00006E5E0000}"/>
    <cellStyle name="제목 3 3" xfId="25684" xr:uid="{00000000-0005-0000-0000-00006F5E0000}"/>
    <cellStyle name="제목 4" xfId="25685" xr:uid="{00000000-0005-0000-0000-0000705E0000}"/>
    <cellStyle name="제목 4 2" xfId="25686" xr:uid="{00000000-0005-0000-0000-0000715E0000}"/>
    <cellStyle name="제목 4 3" xfId="25687" xr:uid="{00000000-0005-0000-0000-0000725E0000}"/>
    <cellStyle name="제목 5" xfId="25688" xr:uid="{00000000-0005-0000-0000-0000735E0000}"/>
    <cellStyle name="제목 6" xfId="25689" xr:uid="{00000000-0005-0000-0000-0000745E0000}"/>
    <cellStyle name="좋음" xfId="25690" xr:uid="{00000000-0005-0000-0000-0000755E0000}"/>
    <cellStyle name="좋음 2" xfId="25691" xr:uid="{00000000-0005-0000-0000-0000765E0000}"/>
    <cellStyle name="좋음 3" xfId="25692" xr:uid="{00000000-0005-0000-0000-0000775E0000}"/>
    <cellStyle name="출력" xfId="25693" xr:uid="{00000000-0005-0000-0000-0000785E0000}"/>
    <cellStyle name="출력 2" xfId="25694" xr:uid="{00000000-0005-0000-0000-0000795E0000}"/>
    <cellStyle name="출력 3" xfId="25695" xr:uid="{00000000-0005-0000-0000-00007A5E0000}"/>
    <cellStyle name="표준 2" xfId="25696" xr:uid="{00000000-0005-0000-0000-00007B5E0000}"/>
    <cellStyle name="표준 2 2" xfId="25697" xr:uid="{00000000-0005-0000-0000-00007C5E0000}"/>
    <cellStyle name="표준 2 3" xfId="25698" xr:uid="{00000000-0005-0000-0000-00007D5E0000}"/>
    <cellStyle name="표준_HAENG SUNG PART COSTS" xfId="23113" xr:uid="{00000000-0005-0000-0000-00007E5E0000}"/>
  </cellStyles>
  <dxfs count="1"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38100</xdr:rowOff>
        </xdr:from>
        <xdr:to>
          <xdr:col>9</xdr:col>
          <xdr:colOff>76200</xdr:colOff>
          <xdr:row>2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101600</xdr:rowOff>
        </xdr:from>
        <xdr:to>
          <xdr:col>4</xdr:col>
          <xdr:colOff>3378200</xdr:colOff>
          <xdr:row>13</xdr:row>
          <xdr:rowOff>76200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2438400" y="101600"/>
              <a:ext cx="3149600" cy="1885950"/>
              <a:chOff x="4133850" y="107950"/>
              <a:chExt cx="3149600" cy="188595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4133850" y="107950"/>
                <a:ext cx="8509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1. Inquiry PR</a:t>
                </a:r>
              </a:p>
            </xdr:txBody>
          </xdr:sp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4159250" y="520700"/>
                <a:ext cx="103505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3. Upload Buyer</a:t>
                </a:r>
              </a:p>
            </xdr:txBody>
          </xdr:sp>
          <xdr:sp macro="" textlink="">
            <xdr:nvSpPr>
              <xdr:cNvPr id="1045" name="CmdPO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100-000015040000}"/>
                  </a:ext>
                </a:extLst>
              </xdr:cNvPr>
              <xdr:cNvSpPr/>
            </xdr:nvSpPr>
            <xdr:spPr bwMode="auto">
              <a:xfrm>
                <a:off x="6413500" y="908050"/>
                <a:ext cx="86995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7" name="CmdRelease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100-000017040000}"/>
                  </a:ext>
                </a:extLst>
              </xdr:cNvPr>
              <xdr:cNvSpPr/>
            </xdr:nvSpPr>
            <xdr:spPr bwMode="auto">
              <a:xfrm>
                <a:off x="6432550" y="1308100"/>
                <a:ext cx="85090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100-00001D040000}"/>
                  </a:ext>
                </a:extLst>
              </xdr:cNvPr>
              <xdr:cNvSpPr/>
            </xdr:nvSpPr>
            <xdr:spPr bwMode="auto">
              <a:xfrm>
                <a:off x="6426200" y="520700"/>
                <a:ext cx="85725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5. Update PR</a:t>
                </a:r>
              </a:p>
            </xdr:txBody>
          </xdr:sp>
          <xdr:sp macro="" textlink="">
            <xdr:nvSpPr>
              <xdr:cNvPr id="1054" name="UploadPrice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100-00001E040000}"/>
                  </a:ext>
                </a:extLst>
              </xdr:cNvPr>
              <xdr:cNvSpPr/>
            </xdr:nvSpPr>
            <xdr:spPr bwMode="auto">
              <a:xfrm>
                <a:off x="5327649" y="520700"/>
                <a:ext cx="1009650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0" name="Button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100-000024040000}"/>
                  </a:ext>
                </a:extLst>
              </xdr:cNvPr>
              <xdr:cNvSpPr/>
            </xdr:nvSpPr>
            <xdr:spPr bwMode="auto">
              <a:xfrm>
                <a:off x="4133850" y="1308100"/>
                <a:ext cx="16637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Generate Prcie Comparison</a:t>
                </a:r>
              </a:p>
            </xdr:txBody>
          </xdr:sp>
          <xdr:sp macro="" textlink="">
            <xdr:nvSpPr>
              <xdr:cNvPr id="1061" name="btnAttachment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100-000025040000}"/>
                  </a:ext>
                </a:extLst>
              </xdr:cNvPr>
              <xdr:cNvSpPr/>
            </xdr:nvSpPr>
            <xdr:spPr bwMode="auto">
              <a:xfrm>
                <a:off x="4133850" y="1708150"/>
                <a:ext cx="1743075" cy="2857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62" name="Button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100-000026040000}"/>
                  </a:ext>
                </a:extLst>
              </xdr:cNvPr>
              <xdr:cNvSpPr/>
            </xdr:nvSpPr>
            <xdr:spPr bwMode="auto">
              <a:xfrm>
                <a:off x="5899150" y="107950"/>
                <a:ext cx="1371600" cy="2857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2. Inquiry BPCS Price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234950</xdr:colOff>
          <xdr:row>5</xdr:row>
          <xdr:rowOff>38100</xdr:rowOff>
        </xdr:from>
        <xdr:to>
          <xdr:col>4</xdr:col>
          <xdr:colOff>1149350</xdr:colOff>
          <xdr:row>7</xdr:row>
          <xdr:rowOff>6350</xdr:rowOff>
        </xdr:to>
        <xdr:sp macro="" textlink="">
          <xdr:nvSpPr>
            <xdr:cNvPr id="1064" name="CMDSen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2489200</xdr:colOff>
          <xdr:row>9</xdr:row>
          <xdr:rowOff>152400</xdr:rowOff>
        </xdr:from>
        <xdr:to>
          <xdr:col>4</xdr:col>
          <xdr:colOff>3403600</xdr:colOff>
          <xdr:row>13</xdr:row>
          <xdr:rowOff>88900</xdr:rowOff>
        </xdr:to>
        <xdr:sp macro="" textlink="">
          <xdr:nvSpPr>
            <xdr:cNvPr id="1065" name="CmdCancel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120650</xdr:rowOff>
        </xdr:from>
        <xdr:to>
          <xdr:col>10</xdr:col>
          <xdr:colOff>254000</xdr:colOff>
          <xdr:row>3</xdr:row>
          <xdr:rowOff>107950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Inquiry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1</xdr:row>
          <xdr:rowOff>139700</xdr:rowOff>
        </xdr:from>
        <xdr:to>
          <xdr:col>12</xdr:col>
          <xdr:colOff>539750</xdr:colOff>
          <xdr:row>3</xdr:row>
          <xdr:rowOff>120650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  PR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1</xdr:row>
          <xdr:rowOff>44450</xdr:rowOff>
        </xdr:from>
        <xdr:to>
          <xdr:col>0</xdr:col>
          <xdr:colOff>869950</xdr:colOff>
          <xdr:row>2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425450</xdr:colOff>
          <xdr:row>1</xdr:row>
          <xdr:rowOff>63500</xdr:rowOff>
        </xdr:from>
        <xdr:to>
          <xdr:col>2</xdr:col>
          <xdr:colOff>387350</xdr:colOff>
          <xdr:row>2</xdr:row>
          <xdr:rowOff>139700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609601</xdr:colOff>
      <xdr:row>2</xdr:row>
      <xdr:rowOff>166673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390650" cy="5667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20</xdr:row>
      <xdr:rowOff>0</xdr:rowOff>
    </xdr:from>
    <xdr:to>
      <xdr:col>3</xdr:col>
      <xdr:colOff>0</xdr:colOff>
      <xdr:row>20</xdr:row>
      <xdr:rowOff>0</xdr:rowOff>
    </xdr:to>
    <xdr:sp macro="" textlink="">
      <xdr:nvSpPr>
        <xdr:cNvPr id="2" name="Line 1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790575" y="8124825"/>
          <a:ext cx="3067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20</xdr:row>
      <xdr:rowOff>0</xdr:rowOff>
    </xdr:from>
    <xdr:to>
      <xdr:col>3</xdr:col>
      <xdr:colOff>0</xdr:colOff>
      <xdr:row>20</xdr:row>
      <xdr:rowOff>0</xdr:rowOff>
    </xdr:to>
    <xdr:sp macro="" textlink="">
      <xdr:nvSpPr>
        <xdr:cNvPr id="3" name="Line 1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790575" y="8124825"/>
          <a:ext cx="3067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.xml"/><Relationship Id="rId20" Type="http://schemas.openxmlformats.org/officeDocument/2006/relationships/ctrlProp" Target="../ctrlProps/ctrlProp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H400"/>
  <sheetViews>
    <sheetView showGridLines="0" workbookViewId="0">
      <selection activeCell="H16" sqref="H16"/>
    </sheetView>
  </sheetViews>
  <sheetFormatPr defaultColWidth="9" defaultRowHeight="14.5"/>
  <cols>
    <col min="1" max="1" width="7.36328125" style="107" bestFit="1" customWidth="1"/>
    <col min="2" max="2" width="9.453125" style="107" bestFit="1" customWidth="1"/>
    <col min="3" max="3" width="9.36328125" style="107" bestFit="1" customWidth="1"/>
    <col min="4" max="4" width="10.453125" style="106" bestFit="1" customWidth="1"/>
    <col min="5" max="5" width="9.90625" style="106" bestFit="1" customWidth="1"/>
    <col min="6" max="6" width="14.6328125" style="106" bestFit="1" customWidth="1"/>
    <col min="7" max="7" width="11.453125" style="106" bestFit="1" customWidth="1"/>
    <col min="8" max="8" width="18" style="106" bestFit="1" customWidth="1"/>
    <col min="9" max="16384" width="9" style="107"/>
  </cols>
  <sheetData>
    <row r="2" spans="1:8" ht="18.5">
      <c r="A2" s="209" t="s">
        <v>15</v>
      </c>
      <c r="B2" s="209"/>
      <c r="C2" s="209"/>
    </row>
    <row r="4" spans="1:8">
      <c r="A4" s="108" t="s">
        <v>14</v>
      </c>
      <c r="B4" s="109">
        <v>42795</v>
      </c>
    </row>
    <row r="6" spans="1:8">
      <c r="A6" s="110" t="s">
        <v>16</v>
      </c>
      <c r="B6" s="110" t="s">
        <v>17</v>
      </c>
      <c r="C6" s="110" t="s">
        <v>18</v>
      </c>
      <c r="D6" s="111" t="s">
        <v>19</v>
      </c>
      <c r="E6" s="111" t="s">
        <v>20</v>
      </c>
      <c r="F6" s="111" t="s">
        <v>21</v>
      </c>
      <c r="G6" s="111" t="s">
        <v>10</v>
      </c>
      <c r="H6" s="111" t="s">
        <v>22</v>
      </c>
    </row>
    <row r="7" spans="1:8">
      <c r="A7" s="112" t="s">
        <v>142</v>
      </c>
      <c r="B7" s="112" t="s">
        <v>143</v>
      </c>
      <c r="C7" s="112" t="s">
        <v>144</v>
      </c>
      <c r="D7" s="113">
        <v>0</v>
      </c>
      <c r="E7" s="113">
        <v>0</v>
      </c>
      <c r="F7" s="113">
        <v>0</v>
      </c>
      <c r="G7" s="113">
        <f t="shared" ref="G7:G32" si="0">D7-E7</f>
        <v>0</v>
      </c>
      <c r="H7" s="113">
        <f t="shared" ref="H7:H32" si="1">D7-F7</f>
        <v>0</v>
      </c>
    </row>
    <row r="8" spans="1:8">
      <c r="A8" s="112" t="s">
        <v>142</v>
      </c>
      <c r="B8" s="112" t="s">
        <v>136</v>
      </c>
      <c r="C8" s="112" t="s">
        <v>141</v>
      </c>
      <c r="D8" s="113">
        <v>2284</v>
      </c>
      <c r="E8" s="113">
        <v>7660.3309570000001</v>
      </c>
      <c r="F8" s="113">
        <v>14721.444630059999</v>
      </c>
      <c r="G8" s="113">
        <f t="shared" si="0"/>
        <v>-5376.3309570000001</v>
      </c>
      <c r="H8" s="113">
        <f t="shared" si="1"/>
        <v>-12437.444630059999</v>
      </c>
    </row>
    <row r="9" spans="1:8">
      <c r="A9" s="112" t="s">
        <v>142</v>
      </c>
      <c r="B9" s="112" t="s">
        <v>136</v>
      </c>
      <c r="C9" s="112" t="s">
        <v>137</v>
      </c>
      <c r="D9" s="113">
        <v>0</v>
      </c>
      <c r="E9" s="113">
        <v>0</v>
      </c>
      <c r="F9" s="113">
        <v>0</v>
      </c>
      <c r="G9" s="113">
        <f t="shared" si="0"/>
        <v>0</v>
      </c>
      <c r="H9" s="113">
        <f t="shared" si="1"/>
        <v>0</v>
      </c>
    </row>
    <row r="10" spans="1:8">
      <c r="A10" s="112" t="s">
        <v>142</v>
      </c>
      <c r="B10" s="112" t="s">
        <v>136</v>
      </c>
      <c r="C10" s="112" t="s">
        <v>145</v>
      </c>
      <c r="D10" s="113">
        <v>0</v>
      </c>
      <c r="E10" s="113">
        <v>0</v>
      </c>
      <c r="F10" s="113">
        <v>0</v>
      </c>
      <c r="G10" s="113">
        <f t="shared" si="0"/>
        <v>0</v>
      </c>
      <c r="H10" s="113">
        <f t="shared" si="1"/>
        <v>0</v>
      </c>
    </row>
    <row r="11" spans="1:8">
      <c r="A11" s="112" t="s">
        <v>142</v>
      </c>
      <c r="B11" s="112" t="s">
        <v>136</v>
      </c>
      <c r="C11" s="112" t="s">
        <v>146</v>
      </c>
      <c r="D11" s="113">
        <v>1900</v>
      </c>
      <c r="E11" s="113">
        <v>0</v>
      </c>
      <c r="F11" s="113">
        <v>0</v>
      </c>
      <c r="G11" s="113">
        <f t="shared" si="0"/>
        <v>1900</v>
      </c>
      <c r="H11" s="113">
        <f t="shared" si="1"/>
        <v>1900</v>
      </c>
    </row>
    <row r="12" spans="1:8">
      <c r="A12" s="112" t="s">
        <v>142</v>
      </c>
      <c r="B12" s="112" t="s">
        <v>136</v>
      </c>
      <c r="C12" s="112" t="s">
        <v>139</v>
      </c>
      <c r="D12" s="113">
        <v>1885</v>
      </c>
      <c r="E12" s="113">
        <v>0</v>
      </c>
      <c r="F12" s="113">
        <v>2137.5042806500001</v>
      </c>
      <c r="G12" s="113">
        <f t="shared" si="0"/>
        <v>1885</v>
      </c>
      <c r="H12" s="113">
        <f t="shared" si="1"/>
        <v>-252.50428065000006</v>
      </c>
    </row>
    <row r="13" spans="1:8">
      <c r="A13" s="112" t="s">
        <v>142</v>
      </c>
      <c r="B13" s="112" t="s">
        <v>136</v>
      </c>
      <c r="C13" s="112" t="s">
        <v>147</v>
      </c>
      <c r="D13" s="113">
        <v>7573</v>
      </c>
      <c r="E13" s="113">
        <v>0</v>
      </c>
      <c r="F13" s="113">
        <v>4239.1869739800004</v>
      </c>
      <c r="G13" s="113">
        <f t="shared" si="0"/>
        <v>7573</v>
      </c>
      <c r="H13" s="113">
        <f t="shared" si="1"/>
        <v>3333.8130260199996</v>
      </c>
    </row>
    <row r="14" spans="1:8">
      <c r="A14" s="112" t="s">
        <v>142</v>
      </c>
      <c r="B14" s="112" t="s">
        <v>136</v>
      </c>
      <c r="C14" s="112" t="s">
        <v>148</v>
      </c>
      <c r="D14" s="113">
        <v>0</v>
      </c>
      <c r="E14" s="113">
        <v>0</v>
      </c>
      <c r="F14" s="113">
        <v>0</v>
      </c>
      <c r="G14" s="113">
        <f t="shared" si="0"/>
        <v>0</v>
      </c>
      <c r="H14" s="113">
        <f t="shared" si="1"/>
        <v>0</v>
      </c>
    </row>
    <row r="15" spans="1:8">
      <c r="A15" s="112" t="s">
        <v>142</v>
      </c>
      <c r="B15" s="112" t="s">
        <v>136</v>
      </c>
      <c r="C15" s="112" t="s">
        <v>149</v>
      </c>
      <c r="D15" s="113">
        <v>0</v>
      </c>
      <c r="E15" s="113">
        <v>0</v>
      </c>
      <c r="F15" s="113">
        <v>0</v>
      </c>
      <c r="G15" s="113">
        <f t="shared" si="0"/>
        <v>0</v>
      </c>
      <c r="H15" s="113">
        <f t="shared" si="1"/>
        <v>0</v>
      </c>
    </row>
    <row r="16" spans="1:8">
      <c r="A16" s="112" t="s">
        <v>142</v>
      </c>
      <c r="B16" s="112" t="s">
        <v>136</v>
      </c>
      <c r="C16" s="112" t="s">
        <v>150</v>
      </c>
      <c r="D16" s="113">
        <v>0</v>
      </c>
      <c r="E16" s="113">
        <v>0</v>
      </c>
      <c r="F16" s="113">
        <v>1508.00973875</v>
      </c>
      <c r="G16" s="113">
        <f t="shared" si="0"/>
        <v>0</v>
      </c>
      <c r="H16" s="113">
        <f t="shared" si="1"/>
        <v>-1508.00973875</v>
      </c>
    </row>
    <row r="17" spans="1:8">
      <c r="A17" s="112" t="s">
        <v>142</v>
      </c>
      <c r="B17" s="112" t="s">
        <v>136</v>
      </c>
      <c r="C17" s="112" t="s">
        <v>151</v>
      </c>
      <c r="D17" s="113">
        <v>0</v>
      </c>
      <c r="E17" s="113">
        <v>0</v>
      </c>
      <c r="F17" s="113">
        <v>0</v>
      </c>
      <c r="G17" s="113">
        <f t="shared" si="0"/>
        <v>0</v>
      </c>
      <c r="H17" s="113">
        <f t="shared" si="1"/>
        <v>0</v>
      </c>
    </row>
    <row r="18" spans="1:8">
      <c r="A18" s="112" t="s">
        <v>142</v>
      </c>
      <c r="B18" s="112" t="s">
        <v>136</v>
      </c>
      <c r="C18" s="112" t="s">
        <v>152</v>
      </c>
      <c r="D18" s="113">
        <v>1170</v>
      </c>
      <c r="E18" s="113">
        <v>3009.1586550000002</v>
      </c>
      <c r="F18" s="113">
        <v>320.60700000000003</v>
      </c>
      <c r="G18" s="113">
        <f t="shared" si="0"/>
        <v>-1839.1586550000002</v>
      </c>
      <c r="H18" s="113">
        <f t="shared" si="1"/>
        <v>849.39300000000003</v>
      </c>
    </row>
    <row r="19" spans="1:8">
      <c r="A19" s="112" t="s">
        <v>142</v>
      </c>
      <c r="B19" s="112" t="s">
        <v>136</v>
      </c>
      <c r="C19" s="112" t="s">
        <v>140</v>
      </c>
      <c r="D19" s="113">
        <v>9028</v>
      </c>
      <c r="E19" s="113">
        <v>645.69414900000004</v>
      </c>
      <c r="F19" s="113">
        <v>994.59674666599994</v>
      </c>
      <c r="G19" s="113">
        <f t="shared" si="0"/>
        <v>8382.3058509999992</v>
      </c>
      <c r="H19" s="113">
        <f t="shared" si="1"/>
        <v>8033.4032533339996</v>
      </c>
    </row>
    <row r="20" spans="1:8">
      <c r="A20" s="112" t="s">
        <v>142</v>
      </c>
      <c r="B20" s="112" t="s">
        <v>136</v>
      </c>
      <c r="C20" s="112" t="s">
        <v>153</v>
      </c>
      <c r="D20" s="113">
        <v>0</v>
      </c>
      <c r="E20" s="113">
        <v>0</v>
      </c>
      <c r="F20" s="113">
        <v>0</v>
      </c>
      <c r="G20" s="113">
        <f t="shared" si="0"/>
        <v>0</v>
      </c>
      <c r="H20" s="113">
        <f t="shared" si="1"/>
        <v>0</v>
      </c>
    </row>
    <row r="21" spans="1:8">
      <c r="A21" s="112" t="s">
        <v>142</v>
      </c>
      <c r="B21" s="112" t="s">
        <v>136</v>
      </c>
      <c r="C21" s="112" t="s">
        <v>154</v>
      </c>
      <c r="D21" s="113">
        <v>0</v>
      </c>
      <c r="E21" s="113">
        <v>0</v>
      </c>
      <c r="F21" s="113">
        <v>0</v>
      </c>
      <c r="G21" s="113">
        <f t="shared" si="0"/>
        <v>0</v>
      </c>
      <c r="H21" s="113">
        <f t="shared" si="1"/>
        <v>0</v>
      </c>
    </row>
    <row r="22" spans="1:8">
      <c r="A22" s="112" t="s">
        <v>142</v>
      </c>
      <c r="B22" s="112" t="s">
        <v>136</v>
      </c>
      <c r="C22" s="112" t="s">
        <v>138</v>
      </c>
      <c r="D22" s="113">
        <v>5478</v>
      </c>
      <c r="E22" s="113">
        <v>1543.3931350000005</v>
      </c>
      <c r="F22" s="113">
        <v>3024.011106424</v>
      </c>
      <c r="G22" s="113">
        <f t="shared" si="0"/>
        <v>3934.6068649999997</v>
      </c>
      <c r="H22" s="113">
        <f t="shared" si="1"/>
        <v>2453.988893576</v>
      </c>
    </row>
    <row r="23" spans="1:8">
      <c r="A23" s="112" t="s">
        <v>142</v>
      </c>
      <c r="B23" s="112" t="s">
        <v>155</v>
      </c>
      <c r="C23" s="112" t="s">
        <v>156</v>
      </c>
      <c r="D23" s="113">
        <v>7541</v>
      </c>
      <c r="E23" s="113">
        <v>5856.2794349999995</v>
      </c>
      <c r="F23" s="113">
        <v>7194.1540421039999</v>
      </c>
      <c r="G23" s="113">
        <f t="shared" si="0"/>
        <v>1684.7205650000005</v>
      </c>
      <c r="H23" s="113">
        <f t="shared" si="1"/>
        <v>346.84595789600007</v>
      </c>
    </row>
    <row r="24" spans="1:8">
      <c r="A24" s="112" t="s">
        <v>142</v>
      </c>
      <c r="B24" s="112" t="s">
        <v>132</v>
      </c>
      <c r="C24" s="112" t="s">
        <v>133</v>
      </c>
      <c r="D24" s="113">
        <v>24599</v>
      </c>
      <c r="E24" s="113">
        <v>24235.768197000005</v>
      </c>
      <c r="F24" s="113">
        <v>4768.6707503500002</v>
      </c>
      <c r="G24" s="113">
        <f t="shared" si="0"/>
        <v>363.23180299999512</v>
      </c>
      <c r="H24" s="113">
        <f t="shared" si="1"/>
        <v>19830.32924965</v>
      </c>
    </row>
    <row r="25" spans="1:8">
      <c r="A25" s="112" t="s">
        <v>142</v>
      </c>
      <c r="B25" s="112" t="s">
        <v>132</v>
      </c>
      <c r="C25" s="112" t="s">
        <v>141</v>
      </c>
      <c r="D25" s="113">
        <v>2284</v>
      </c>
      <c r="E25" s="113">
        <v>0</v>
      </c>
      <c r="F25" s="113">
        <v>14721.444630059999</v>
      </c>
      <c r="G25" s="113">
        <f t="shared" si="0"/>
        <v>2284</v>
      </c>
      <c r="H25" s="113">
        <f t="shared" si="1"/>
        <v>-12437.444630059999</v>
      </c>
    </row>
    <row r="26" spans="1:8">
      <c r="A26" s="112" t="s">
        <v>142</v>
      </c>
      <c r="B26" s="112" t="s">
        <v>132</v>
      </c>
      <c r="C26" s="112" t="s">
        <v>139</v>
      </c>
      <c r="D26" s="113">
        <v>1885</v>
      </c>
      <c r="E26" s="113">
        <v>4833.9183809999995</v>
      </c>
      <c r="F26" s="113">
        <v>2137.5042806500001</v>
      </c>
      <c r="G26" s="113">
        <f t="shared" si="0"/>
        <v>-2948.9183809999995</v>
      </c>
      <c r="H26" s="113">
        <f t="shared" si="1"/>
        <v>-252.50428065000006</v>
      </c>
    </row>
    <row r="27" spans="1:8">
      <c r="A27" s="112" t="s">
        <v>142</v>
      </c>
      <c r="B27" s="112" t="s">
        <v>132</v>
      </c>
      <c r="C27" s="112" t="s">
        <v>157</v>
      </c>
      <c r="D27" s="113">
        <v>0</v>
      </c>
      <c r="E27" s="113">
        <v>0</v>
      </c>
      <c r="F27" s="113">
        <v>0</v>
      </c>
      <c r="G27" s="113">
        <f t="shared" si="0"/>
        <v>0</v>
      </c>
      <c r="H27" s="113">
        <f t="shared" si="1"/>
        <v>0</v>
      </c>
    </row>
    <row r="28" spans="1:8">
      <c r="A28" s="112" t="s">
        <v>142</v>
      </c>
      <c r="B28" s="112" t="s">
        <v>134</v>
      </c>
      <c r="C28" s="112" t="s">
        <v>135</v>
      </c>
      <c r="D28" s="113">
        <v>10000</v>
      </c>
      <c r="E28" s="113">
        <v>9445.4106339999944</v>
      </c>
      <c r="F28" s="113">
        <v>19885.379813578002</v>
      </c>
      <c r="G28" s="113">
        <f t="shared" si="0"/>
        <v>554.58936600000561</v>
      </c>
      <c r="H28" s="113">
        <f t="shared" si="1"/>
        <v>-9885.3798135780016</v>
      </c>
    </row>
    <row r="29" spans="1:8">
      <c r="A29" s="112" t="s">
        <v>142</v>
      </c>
      <c r="B29" s="112" t="s">
        <v>158</v>
      </c>
      <c r="C29" s="112" t="s">
        <v>159</v>
      </c>
      <c r="D29" s="113">
        <v>5239</v>
      </c>
      <c r="E29" s="113">
        <v>3022.792567</v>
      </c>
      <c r="F29" s="113">
        <v>3578.0050098500001</v>
      </c>
      <c r="G29" s="113">
        <f t="shared" si="0"/>
        <v>2216.207433</v>
      </c>
      <c r="H29" s="113">
        <f t="shared" si="1"/>
        <v>1660.9949901499999</v>
      </c>
    </row>
    <row r="30" spans="1:8">
      <c r="A30" s="112" t="s">
        <v>142</v>
      </c>
      <c r="B30" s="112" t="s">
        <v>158</v>
      </c>
      <c r="C30" s="112" t="s">
        <v>160</v>
      </c>
      <c r="D30" s="113">
        <v>0</v>
      </c>
      <c r="E30" s="113">
        <v>0</v>
      </c>
      <c r="F30" s="113">
        <v>0</v>
      </c>
      <c r="G30" s="113">
        <f t="shared" si="0"/>
        <v>0</v>
      </c>
      <c r="H30" s="113">
        <f t="shared" si="1"/>
        <v>0</v>
      </c>
    </row>
    <row r="31" spans="1:8">
      <c r="A31" s="112" t="s">
        <v>142</v>
      </c>
      <c r="B31" s="112" t="s">
        <v>161</v>
      </c>
      <c r="C31" s="112" t="s">
        <v>162</v>
      </c>
      <c r="D31" s="113">
        <v>22500</v>
      </c>
      <c r="E31" s="113">
        <v>58250.693454999375</v>
      </c>
      <c r="F31" s="113">
        <v>0</v>
      </c>
      <c r="G31" s="113">
        <f t="shared" si="0"/>
        <v>-35750.693454999375</v>
      </c>
      <c r="H31" s="113">
        <f t="shared" si="1"/>
        <v>22500</v>
      </c>
    </row>
    <row r="32" spans="1:8">
      <c r="A32" s="112" t="s">
        <v>142</v>
      </c>
      <c r="B32" s="112" t="s">
        <v>161</v>
      </c>
      <c r="C32" s="112" t="s">
        <v>135</v>
      </c>
      <c r="D32" s="113">
        <v>9943</v>
      </c>
      <c r="E32" s="113">
        <v>9685.884743999999</v>
      </c>
      <c r="F32" s="113">
        <v>19885.379813578002</v>
      </c>
      <c r="G32" s="113">
        <f t="shared" si="0"/>
        <v>257.11525600000095</v>
      </c>
      <c r="H32" s="113">
        <f t="shared" si="1"/>
        <v>-9942.3798135780016</v>
      </c>
    </row>
    <row r="33" spans="4:8">
      <c r="D33" s="114"/>
      <c r="E33" s="114"/>
      <c r="F33" s="114"/>
      <c r="G33" s="114"/>
      <c r="H33" s="114"/>
    </row>
    <row r="34" spans="4:8">
      <c r="D34" s="114"/>
      <c r="E34" s="114"/>
      <c r="F34" s="114"/>
      <c r="G34" s="114"/>
      <c r="H34" s="114"/>
    </row>
    <row r="35" spans="4:8">
      <c r="D35" s="107"/>
      <c r="E35" s="107"/>
      <c r="F35" s="107"/>
      <c r="G35" s="107"/>
      <c r="H35" s="107"/>
    </row>
    <row r="36" spans="4:8">
      <c r="D36" s="107"/>
      <c r="E36" s="107"/>
      <c r="F36" s="107"/>
      <c r="G36" s="107"/>
      <c r="H36" s="107"/>
    </row>
    <row r="37" spans="4:8">
      <c r="D37" s="107"/>
      <c r="E37" s="107"/>
      <c r="F37" s="107"/>
      <c r="G37" s="107"/>
      <c r="H37" s="107"/>
    </row>
    <row r="38" spans="4:8">
      <c r="D38" s="114"/>
      <c r="E38" s="114"/>
      <c r="F38" s="114"/>
      <c r="G38" s="114"/>
      <c r="H38" s="114"/>
    </row>
    <row r="39" spans="4:8">
      <c r="D39" s="114"/>
      <c r="E39" s="114"/>
      <c r="F39" s="114"/>
      <c r="G39" s="114"/>
      <c r="H39" s="114"/>
    </row>
    <row r="40" spans="4:8">
      <c r="D40" s="114"/>
      <c r="E40" s="114"/>
      <c r="F40" s="114"/>
      <c r="G40" s="114"/>
      <c r="H40" s="114"/>
    </row>
    <row r="41" spans="4:8">
      <c r="D41" s="114"/>
      <c r="E41" s="114"/>
      <c r="F41" s="114"/>
      <c r="G41" s="114"/>
      <c r="H41" s="114"/>
    </row>
    <row r="42" spans="4:8">
      <c r="D42" s="114"/>
      <c r="E42" s="114"/>
      <c r="F42" s="114"/>
      <c r="G42" s="114"/>
      <c r="H42" s="114"/>
    </row>
    <row r="43" spans="4:8">
      <c r="D43" s="114"/>
      <c r="E43" s="114"/>
      <c r="F43" s="114"/>
      <c r="G43" s="114"/>
      <c r="H43" s="114"/>
    </row>
    <row r="44" spans="4:8">
      <c r="D44" s="114"/>
      <c r="E44" s="114"/>
      <c r="F44" s="114"/>
      <c r="G44" s="114"/>
      <c r="H44" s="114"/>
    </row>
    <row r="45" spans="4:8">
      <c r="D45" s="114"/>
      <c r="E45" s="114"/>
      <c r="F45" s="114"/>
      <c r="G45" s="114"/>
      <c r="H45" s="114"/>
    </row>
    <row r="46" spans="4:8">
      <c r="D46" s="114"/>
      <c r="E46" s="114"/>
      <c r="F46" s="114"/>
      <c r="G46" s="114"/>
      <c r="H46" s="114"/>
    </row>
    <row r="47" spans="4:8">
      <c r="D47" s="114"/>
      <c r="E47" s="114"/>
      <c r="F47" s="114"/>
      <c r="G47" s="114"/>
      <c r="H47" s="114"/>
    </row>
    <row r="48" spans="4:8">
      <c r="D48" s="114"/>
      <c r="E48" s="114"/>
      <c r="F48" s="114"/>
      <c r="G48" s="114"/>
      <c r="H48" s="114"/>
    </row>
    <row r="49" spans="4:8">
      <c r="D49" s="114"/>
      <c r="E49" s="114"/>
      <c r="F49" s="114"/>
      <c r="G49" s="114"/>
      <c r="H49" s="114"/>
    </row>
    <row r="50" spans="4:8">
      <c r="D50" s="114"/>
      <c r="E50" s="114"/>
      <c r="F50" s="114"/>
      <c r="G50" s="114"/>
      <c r="H50" s="114"/>
    </row>
    <row r="51" spans="4:8">
      <c r="D51" s="114"/>
      <c r="E51" s="114"/>
      <c r="F51" s="114"/>
      <c r="G51" s="114"/>
      <c r="H51" s="114"/>
    </row>
    <row r="52" spans="4:8">
      <c r="D52" s="114"/>
      <c r="E52" s="114"/>
      <c r="F52" s="114"/>
      <c r="G52" s="114"/>
      <c r="H52" s="114"/>
    </row>
    <row r="53" spans="4:8">
      <c r="D53" s="114"/>
      <c r="E53" s="114"/>
      <c r="F53" s="114"/>
      <c r="G53" s="114"/>
      <c r="H53" s="114"/>
    </row>
    <row r="54" spans="4:8">
      <c r="D54" s="114"/>
      <c r="E54" s="114"/>
      <c r="F54" s="114"/>
      <c r="G54" s="114"/>
      <c r="H54" s="114"/>
    </row>
    <row r="55" spans="4:8">
      <c r="D55" s="114"/>
      <c r="E55" s="114"/>
      <c r="F55" s="114"/>
      <c r="G55" s="114"/>
      <c r="H55" s="114"/>
    </row>
    <row r="56" spans="4:8">
      <c r="D56" s="114"/>
      <c r="E56" s="114"/>
      <c r="F56" s="114"/>
      <c r="G56" s="114"/>
      <c r="H56" s="114"/>
    </row>
    <row r="57" spans="4:8">
      <c r="D57" s="114"/>
      <c r="E57" s="114"/>
      <c r="F57" s="114"/>
      <c r="G57" s="114"/>
      <c r="H57" s="114"/>
    </row>
    <row r="58" spans="4:8">
      <c r="D58" s="114"/>
      <c r="E58" s="114"/>
      <c r="F58" s="114"/>
      <c r="G58" s="114"/>
      <c r="H58" s="114"/>
    </row>
    <row r="59" spans="4:8">
      <c r="D59" s="114"/>
      <c r="E59" s="114"/>
      <c r="F59" s="114"/>
      <c r="G59" s="114"/>
      <c r="H59" s="114"/>
    </row>
    <row r="60" spans="4:8">
      <c r="D60" s="114"/>
      <c r="E60" s="114"/>
      <c r="F60" s="114"/>
      <c r="G60" s="114"/>
      <c r="H60" s="114"/>
    </row>
    <row r="61" spans="4:8">
      <c r="D61" s="114"/>
      <c r="E61" s="114"/>
      <c r="F61" s="114"/>
      <c r="G61" s="114"/>
      <c r="H61" s="114"/>
    </row>
    <row r="62" spans="4:8">
      <c r="D62" s="114"/>
      <c r="E62" s="114"/>
      <c r="F62" s="114"/>
      <c r="G62" s="114"/>
      <c r="H62" s="114"/>
    </row>
    <row r="63" spans="4:8">
      <c r="D63" s="114"/>
      <c r="E63" s="114"/>
      <c r="F63" s="114"/>
      <c r="G63" s="114"/>
      <c r="H63" s="114"/>
    </row>
    <row r="64" spans="4:8">
      <c r="D64" s="114"/>
      <c r="E64" s="114"/>
      <c r="F64" s="114"/>
      <c r="G64" s="114"/>
      <c r="H64" s="114"/>
    </row>
    <row r="65" spans="4:8">
      <c r="D65" s="114"/>
      <c r="E65" s="114"/>
      <c r="F65" s="114"/>
      <c r="G65" s="114"/>
      <c r="H65" s="114"/>
    </row>
    <row r="66" spans="4:8">
      <c r="D66" s="114"/>
      <c r="E66" s="114"/>
      <c r="F66" s="114"/>
      <c r="G66" s="114"/>
      <c r="H66" s="114"/>
    </row>
    <row r="67" spans="4:8">
      <c r="D67" s="114"/>
      <c r="E67" s="114"/>
      <c r="F67" s="114"/>
      <c r="G67" s="114"/>
      <c r="H67" s="114"/>
    </row>
    <row r="68" spans="4:8">
      <c r="D68" s="114"/>
      <c r="E68" s="114"/>
      <c r="F68" s="114"/>
      <c r="G68" s="114"/>
      <c r="H68" s="114"/>
    </row>
    <row r="69" spans="4:8">
      <c r="D69" s="114"/>
      <c r="E69" s="114"/>
      <c r="F69" s="114"/>
      <c r="G69" s="114"/>
      <c r="H69" s="114"/>
    </row>
    <row r="70" spans="4:8">
      <c r="D70" s="114"/>
      <c r="E70" s="114"/>
      <c r="F70" s="114"/>
      <c r="G70" s="114"/>
      <c r="H70" s="114"/>
    </row>
    <row r="71" spans="4:8">
      <c r="D71" s="114"/>
      <c r="E71" s="114"/>
      <c r="F71" s="114"/>
      <c r="G71" s="114"/>
      <c r="H71" s="114"/>
    </row>
    <row r="72" spans="4:8">
      <c r="D72" s="114"/>
      <c r="E72" s="114"/>
      <c r="F72" s="114"/>
      <c r="G72" s="114"/>
      <c r="H72" s="114"/>
    </row>
    <row r="73" spans="4:8">
      <c r="D73" s="114"/>
      <c r="E73" s="114"/>
      <c r="F73" s="114"/>
      <c r="G73" s="114"/>
      <c r="H73" s="114"/>
    </row>
    <row r="74" spans="4:8">
      <c r="D74" s="114"/>
      <c r="E74" s="114"/>
      <c r="F74" s="114"/>
      <c r="G74" s="114"/>
      <c r="H74" s="114"/>
    </row>
    <row r="75" spans="4:8">
      <c r="D75" s="114"/>
      <c r="E75" s="114"/>
      <c r="F75" s="114"/>
      <c r="G75" s="114"/>
      <c r="H75" s="114"/>
    </row>
    <row r="76" spans="4:8">
      <c r="D76" s="114"/>
      <c r="E76" s="114"/>
      <c r="F76" s="114"/>
      <c r="G76" s="114"/>
      <c r="H76" s="114"/>
    </row>
    <row r="77" spans="4:8">
      <c r="D77" s="114"/>
      <c r="E77" s="114"/>
      <c r="F77" s="114"/>
      <c r="G77" s="114"/>
      <c r="H77" s="114"/>
    </row>
    <row r="78" spans="4:8">
      <c r="D78" s="114"/>
      <c r="E78" s="114"/>
      <c r="F78" s="114"/>
      <c r="G78" s="114"/>
      <c r="H78" s="114"/>
    </row>
    <row r="79" spans="4:8">
      <c r="D79" s="114"/>
      <c r="E79" s="114"/>
      <c r="F79" s="114"/>
      <c r="G79" s="114"/>
      <c r="H79" s="114"/>
    </row>
    <row r="80" spans="4:8">
      <c r="D80" s="114"/>
      <c r="E80" s="114"/>
      <c r="F80" s="114"/>
      <c r="G80" s="114"/>
      <c r="H80" s="114"/>
    </row>
    <row r="81" spans="4:8">
      <c r="D81" s="114"/>
      <c r="E81" s="114"/>
      <c r="F81" s="114"/>
      <c r="G81" s="114"/>
      <c r="H81" s="114"/>
    </row>
    <row r="82" spans="4:8">
      <c r="D82" s="114"/>
      <c r="E82" s="114"/>
      <c r="F82" s="114"/>
      <c r="G82" s="114"/>
      <c r="H82" s="114"/>
    </row>
    <row r="83" spans="4:8">
      <c r="D83" s="114"/>
      <c r="E83" s="114"/>
      <c r="F83" s="114"/>
      <c r="G83" s="114"/>
      <c r="H83" s="114"/>
    </row>
    <row r="84" spans="4:8">
      <c r="D84" s="114"/>
      <c r="E84" s="114"/>
      <c r="F84" s="114"/>
      <c r="G84" s="114"/>
      <c r="H84" s="114"/>
    </row>
    <row r="85" spans="4:8">
      <c r="D85" s="114"/>
      <c r="E85" s="114"/>
      <c r="F85" s="114"/>
      <c r="G85" s="114"/>
      <c r="H85" s="114"/>
    </row>
    <row r="86" spans="4:8">
      <c r="D86" s="114"/>
      <c r="E86" s="114"/>
      <c r="F86" s="114"/>
      <c r="G86" s="114"/>
      <c r="H86" s="114"/>
    </row>
    <row r="87" spans="4:8">
      <c r="D87" s="114"/>
      <c r="E87" s="114"/>
      <c r="F87" s="114"/>
      <c r="G87" s="114"/>
      <c r="H87" s="114"/>
    </row>
    <row r="88" spans="4:8">
      <c r="D88" s="114"/>
      <c r="E88" s="114"/>
      <c r="F88" s="114"/>
      <c r="G88" s="114"/>
      <c r="H88" s="114"/>
    </row>
    <row r="89" spans="4:8">
      <c r="D89" s="114"/>
      <c r="E89" s="114"/>
      <c r="F89" s="114"/>
      <c r="G89" s="114"/>
      <c r="H89" s="114"/>
    </row>
    <row r="90" spans="4:8">
      <c r="D90" s="114"/>
      <c r="E90" s="114"/>
      <c r="F90" s="114"/>
      <c r="G90" s="114"/>
      <c r="H90" s="114"/>
    </row>
    <row r="91" spans="4:8">
      <c r="D91" s="114"/>
      <c r="E91" s="114"/>
      <c r="F91" s="114"/>
      <c r="G91" s="114"/>
      <c r="H91" s="114"/>
    </row>
    <row r="92" spans="4:8">
      <c r="D92" s="114"/>
      <c r="E92" s="114"/>
      <c r="F92" s="114"/>
      <c r="G92" s="114"/>
      <c r="H92" s="114"/>
    </row>
    <row r="93" spans="4:8">
      <c r="D93" s="114"/>
      <c r="E93" s="114"/>
      <c r="F93" s="114"/>
      <c r="G93" s="114"/>
      <c r="H93" s="114"/>
    </row>
    <row r="94" spans="4:8">
      <c r="D94" s="114"/>
      <c r="E94" s="114"/>
      <c r="F94" s="114"/>
      <c r="G94" s="114"/>
      <c r="H94" s="114"/>
    </row>
    <row r="95" spans="4:8">
      <c r="D95" s="114"/>
      <c r="E95" s="114"/>
      <c r="F95" s="114"/>
      <c r="G95" s="114"/>
      <c r="H95" s="114"/>
    </row>
    <row r="96" spans="4:8">
      <c r="D96" s="114"/>
      <c r="E96" s="114"/>
      <c r="F96" s="114"/>
      <c r="G96" s="114"/>
      <c r="H96" s="114"/>
    </row>
    <row r="97" spans="4:8">
      <c r="D97" s="114"/>
      <c r="E97" s="114"/>
      <c r="F97" s="114"/>
      <c r="G97" s="114"/>
      <c r="H97" s="114"/>
    </row>
    <row r="98" spans="4:8">
      <c r="D98" s="114"/>
      <c r="E98" s="114"/>
      <c r="F98" s="114"/>
      <c r="G98" s="114"/>
      <c r="H98" s="114"/>
    </row>
    <row r="99" spans="4:8">
      <c r="D99" s="114"/>
      <c r="E99" s="114"/>
      <c r="F99" s="114"/>
      <c r="G99" s="114"/>
      <c r="H99" s="114"/>
    </row>
    <row r="100" spans="4:8">
      <c r="D100" s="114"/>
      <c r="E100" s="114"/>
      <c r="F100" s="114"/>
      <c r="G100" s="114"/>
      <c r="H100" s="114"/>
    </row>
    <row r="101" spans="4:8">
      <c r="D101" s="114"/>
      <c r="E101" s="114"/>
      <c r="F101" s="114"/>
      <c r="G101" s="114"/>
      <c r="H101" s="114"/>
    </row>
    <row r="102" spans="4:8">
      <c r="D102" s="114"/>
      <c r="E102" s="114"/>
      <c r="F102" s="114"/>
      <c r="G102" s="114"/>
      <c r="H102" s="114"/>
    </row>
    <row r="103" spans="4:8">
      <c r="D103" s="114"/>
      <c r="E103" s="114"/>
      <c r="F103" s="114"/>
      <c r="G103" s="114"/>
      <c r="H103" s="114"/>
    </row>
    <row r="104" spans="4:8">
      <c r="D104" s="114"/>
      <c r="E104" s="114"/>
      <c r="F104" s="114"/>
      <c r="G104" s="114"/>
      <c r="H104" s="114"/>
    </row>
    <row r="105" spans="4:8">
      <c r="D105" s="114"/>
      <c r="E105" s="114"/>
      <c r="F105" s="114"/>
      <c r="G105" s="114"/>
      <c r="H105" s="114"/>
    </row>
    <row r="106" spans="4:8">
      <c r="D106" s="114"/>
      <c r="E106" s="114"/>
      <c r="F106" s="114"/>
      <c r="G106" s="114"/>
      <c r="H106" s="114"/>
    </row>
    <row r="107" spans="4:8">
      <c r="D107" s="114"/>
      <c r="E107" s="114"/>
      <c r="F107" s="114"/>
      <c r="G107" s="114"/>
      <c r="H107" s="114"/>
    </row>
    <row r="108" spans="4:8">
      <c r="D108" s="114"/>
      <c r="E108" s="114"/>
      <c r="F108" s="114"/>
      <c r="G108" s="114"/>
      <c r="H108" s="114"/>
    </row>
    <row r="109" spans="4:8">
      <c r="D109" s="114"/>
      <c r="E109" s="114"/>
      <c r="F109" s="114"/>
      <c r="G109" s="114"/>
      <c r="H109" s="114"/>
    </row>
    <row r="110" spans="4:8">
      <c r="D110" s="114"/>
      <c r="E110" s="114"/>
      <c r="F110" s="114"/>
      <c r="G110" s="114"/>
      <c r="H110" s="114"/>
    </row>
    <row r="111" spans="4:8">
      <c r="D111" s="114"/>
      <c r="E111" s="114"/>
      <c r="F111" s="114"/>
      <c r="G111" s="114"/>
      <c r="H111" s="114"/>
    </row>
    <row r="112" spans="4:8">
      <c r="D112" s="114"/>
      <c r="E112" s="114"/>
      <c r="F112" s="114"/>
      <c r="G112" s="114"/>
      <c r="H112" s="114"/>
    </row>
    <row r="113" spans="4:8">
      <c r="D113" s="114"/>
      <c r="E113" s="114"/>
      <c r="F113" s="114"/>
      <c r="G113" s="114"/>
      <c r="H113" s="114"/>
    </row>
    <row r="114" spans="4:8">
      <c r="D114" s="114"/>
      <c r="E114" s="114"/>
      <c r="F114" s="114"/>
      <c r="G114" s="114"/>
      <c r="H114" s="114"/>
    </row>
    <row r="115" spans="4:8">
      <c r="D115" s="114"/>
      <c r="E115" s="114"/>
      <c r="F115" s="114"/>
      <c r="G115" s="114"/>
      <c r="H115" s="114"/>
    </row>
    <row r="116" spans="4:8">
      <c r="D116" s="114"/>
      <c r="E116" s="114"/>
      <c r="F116" s="114"/>
      <c r="G116" s="114"/>
      <c r="H116" s="114"/>
    </row>
    <row r="117" spans="4:8">
      <c r="D117" s="114"/>
      <c r="E117" s="114"/>
      <c r="F117" s="114"/>
      <c r="G117" s="114"/>
      <c r="H117" s="114"/>
    </row>
    <row r="118" spans="4:8">
      <c r="D118" s="114"/>
      <c r="E118" s="114"/>
      <c r="F118" s="114"/>
      <c r="G118" s="114"/>
      <c r="H118" s="114"/>
    </row>
    <row r="119" spans="4:8">
      <c r="D119" s="114"/>
      <c r="E119" s="114"/>
      <c r="F119" s="114"/>
      <c r="G119" s="114"/>
      <c r="H119" s="114"/>
    </row>
    <row r="120" spans="4:8">
      <c r="D120" s="114"/>
      <c r="E120" s="114"/>
      <c r="F120" s="114"/>
      <c r="G120" s="114"/>
      <c r="H120" s="114"/>
    </row>
    <row r="121" spans="4:8">
      <c r="D121" s="114"/>
      <c r="E121" s="114"/>
      <c r="F121" s="114"/>
      <c r="G121" s="114"/>
      <c r="H121" s="114"/>
    </row>
    <row r="122" spans="4:8">
      <c r="D122" s="114"/>
      <c r="E122" s="114"/>
      <c r="F122" s="114"/>
      <c r="G122" s="114"/>
      <c r="H122" s="114"/>
    </row>
    <row r="123" spans="4:8">
      <c r="D123" s="114"/>
      <c r="E123" s="114"/>
      <c r="F123" s="114"/>
      <c r="G123" s="114"/>
      <c r="H123" s="114"/>
    </row>
    <row r="124" spans="4:8">
      <c r="D124" s="114"/>
      <c r="E124" s="114"/>
      <c r="F124" s="114"/>
      <c r="G124" s="114"/>
      <c r="H124" s="114"/>
    </row>
    <row r="125" spans="4:8">
      <c r="D125" s="114"/>
      <c r="E125" s="114"/>
      <c r="F125" s="114"/>
      <c r="G125" s="114"/>
      <c r="H125" s="114"/>
    </row>
    <row r="126" spans="4:8">
      <c r="D126" s="114"/>
      <c r="E126" s="114"/>
      <c r="F126" s="114"/>
      <c r="G126" s="114"/>
      <c r="H126" s="114"/>
    </row>
    <row r="127" spans="4:8">
      <c r="D127" s="114"/>
      <c r="E127" s="114"/>
      <c r="F127" s="114"/>
      <c r="G127" s="114"/>
      <c r="H127" s="114"/>
    </row>
    <row r="128" spans="4:8">
      <c r="D128" s="114"/>
      <c r="E128" s="114"/>
      <c r="F128" s="114"/>
      <c r="G128" s="114"/>
      <c r="H128" s="114"/>
    </row>
    <row r="129" spans="4:8">
      <c r="D129" s="114"/>
      <c r="E129" s="114"/>
      <c r="F129" s="114"/>
      <c r="G129" s="114"/>
      <c r="H129" s="114"/>
    </row>
    <row r="130" spans="4:8">
      <c r="D130" s="114"/>
      <c r="E130" s="114"/>
      <c r="F130" s="114"/>
      <c r="G130" s="114"/>
      <c r="H130" s="114"/>
    </row>
    <row r="131" spans="4:8">
      <c r="D131" s="114"/>
      <c r="E131" s="114"/>
      <c r="F131" s="114"/>
      <c r="G131" s="114"/>
      <c r="H131" s="114"/>
    </row>
    <row r="132" spans="4:8">
      <c r="D132" s="114"/>
      <c r="E132" s="114"/>
      <c r="F132" s="114"/>
      <c r="G132" s="114"/>
      <c r="H132" s="114"/>
    </row>
    <row r="133" spans="4:8">
      <c r="D133" s="114"/>
      <c r="E133" s="114"/>
      <c r="F133" s="114"/>
      <c r="G133" s="114"/>
      <c r="H133" s="114"/>
    </row>
    <row r="134" spans="4:8">
      <c r="D134" s="114"/>
      <c r="E134" s="114"/>
      <c r="F134" s="114"/>
      <c r="G134" s="114"/>
      <c r="H134" s="114"/>
    </row>
    <row r="135" spans="4:8">
      <c r="D135" s="114"/>
      <c r="E135" s="114"/>
      <c r="F135" s="114"/>
      <c r="G135" s="114"/>
      <c r="H135" s="114"/>
    </row>
    <row r="136" spans="4:8">
      <c r="D136" s="114"/>
      <c r="E136" s="114"/>
      <c r="F136" s="114"/>
      <c r="G136" s="114"/>
      <c r="H136" s="114"/>
    </row>
    <row r="137" spans="4:8">
      <c r="D137" s="114"/>
      <c r="E137" s="114"/>
      <c r="F137" s="114"/>
      <c r="G137" s="114"/>
      <c r="H137" s="114"/>
    </row>
    <row r="138" spans="4:8">
      <c r="D138" s="114"/>
      <c r="E138" s="114"/>
      <c r="F138" s="114"/>
      <c r="G138" s="114"/>
      <c r="H138" s="114"/>
    </row>
    <row r="139" spans="4:8">
      <c r="D139" s="114"/>
      <c r="E139" s="114"/>
      <c r="F139" s="114"/>
      <c r="G139" s="114"/>
      <c r="H139" s="114"/>
    </row>
    <row r="140" spans="4:8">
      <c r="D140" s="114"/>
      <c r="E140" s="114"/>
      <c r="F140" s="114"/>
      <c r="G140" s="114"/>
      <c r="H140" s="114"/>
    </row>
    <row r="141" spans="4:8">
      <c r="D141" s="114"/>
      <c r="E141" s="114"/>
      <c r="F141" s="114"/>
      <c r="G141" s="114"/>
      <c r="H141" s="114"/>
    </row>
    <row r="142" spans="4:8">
      <c r="D142" s="114"/>
      <c r="E142" s="114"/>
      <c r="F142" s="114"/>
      <c r="G142" s="114"/>
      <c r="H142" s="114"/>
    </row>
    <row r="143" spans="4:8">
      <c r="D143" s="114"/>
      <c r="E143" s="114"/>
      <c r="F143" s="114"/>
      <c r="G143" s="114"/>
      <c r="H143" s="114"/>
    </row>
    <row r="144" spans="4:8">
      <c r="D144" s="114"/>
      <c r="E144" s="114"/>
      <c r="F144" s="114"/>
      <c r="G144" s="114"/>
      <c r="H144" s="114"/>
    </row>
    <row r="145" spans="4:8">
      <c r="D145" s="114"/>
      <c r="E145" s="114"/>
      <c r="F145" s="114"/>
      <c r="G145" s="114"/>
      <c r="H145" s="114"/>
    </row>
    <row r="146" spans="4:8">
      <c r="D146" s="114"/>
      <c r="E146" s="114"/>
      <c r="F146" s="114"/>
      <c r="G146" s="114"/>
      <c r="H146" s="114"/>
    </row>
    <row r="147" spans="4:8">
      <c r="D147" s="114"/>
      <c r="E147" s="114"/>
      <c r="F147" s="114"/>
      <c r="G147" s="114"/>
      <c r="H147" s="114"/>
    </row>
    <row r="148" spans="4:8">
      <c r="D148" s="114"/>
      <c r="E148" s="114"/>
      <c r="F148" s="114"/>
      <c r="G148" s="114"/>
      <c r="H148" s="114"/>
    </row>
    <row r="149" spans="4:8">
      <c r="D149" s="114"/>
      <c r="E149" s="114"/>
      <c r="F149" s="114"/>
      <c r="G149" s="114"/>
      <c r="H149" s="114"/>
    </row>
    <row r="150" spans="4:8">
      <c r="D150" s="114"/>
      <c r="E150" s="114"/>
      <c r="F150" s="114"/>
      <c r="G150" s="114"/>
      <c r="H150" s="114"/>
    </row>
    <row r="151" spans="4:8">
      <c r="D151" s="114"/>
      <c r="E151" s="114"/>
      <c r="F151" s="114"/>
      <c r="G151" s="114"/>
      <c r="H151" s="114"/>
    </row>
    <row r="152" spans="4:8">
      <c r="D152" s="114"/>
      <c r="E152" s="114"/>
      <c r="F152" s="114"/>
      <c r="G152" s="114"/>
      <c r="H152" s="114"/>
    </row>
    <row r="153" spans="4:8">
      <c r="D153" s="114"/>
      <c r="E153" s="114"/>
      <c r="F153" s="114"/>
      <c r="G153" s="114"/>
      <c r="H153" s="114"/>
    </row>
    <row r="154" spans="4:8">
      <c r="D154" s="114"/>
      <c r="E154" s="114"/>
      <c r="F154" s="114"/>
      <c r="G154" s="114"/>
      <c r="H154" s="114"/>
    </row>
    <row r="155" spans="4:8">
      <c r="D155" s="114"/>
      <c r="E155" s="114"/>
      <c r="F155" s="114"/>
      <c r="G155" s="114"/>
      <c r="H155" s="114"/>
    </row>
    <row r="156" spans="4:8">
      <c r="D156" s="114"/>
      <c r="E156" s="114"/>
      <c r="F156" s="114"/>
      <c r="G156" s="114"/>
      <c r="H156" s="114"/>
    </row>
    <row r="157" spans="4:8">
      <c r="D157" s="114"/>
      <c r="E157" s="114"/>
      <c r="F157" s="114"/>
      <c r="G157" s="114"/>
      <c r="H157" s="114"/>
    </row>
    <row r="158" spans="4:8">
      <c r="D158" s="114"/>
      <c r="E158" s="114"/>
      <c r="F158" s="114"/>
      <c r="G158" s="114"/>
      <c r="H158" s="114"/>
    </row>
    <row r="159" spans="4:8">
      <c r="D159" s="114"/>
      <c r="E159" s="114"/>
      <c r="F159" s="114"/>
      <c r="G159" s="114"/>
      <c r="H159" s="114"/>
    </row>
    <row r="160" spans="4:8">
      <c r="D160" s="114"/>
      <c r="E160" s="114"/>
      <c r="F160" s="114"/>
      <c r="G160" s="114"/>
      <c r="H160" s="114"/>
    </row>
    <row r="161" spans="4:8">
      <c r="D161" s="114"/>
      <c r="E161" s="114"/>
      <c r="F161" s="114"/>
      <c r="G161" s="114"/>
      <c r="H161" s="114"/>
    </row>
    <row r="162" spans="4:8">
      <c r="D162" s="114"/>
      <c r="E162" s="114"/>
      <c r="F162" s="114"/>
      <c r="G162" s="114"/>
      <c r="H162" s="114"/>
    </row>
    <row r="163" spans="4:8">
      <c r="D163" s="114"/>
      <c r="E163" s="114"/>
      <c r="F163" s="114"/>
      <c r="G163" s="114"/>
      <c r="H163" s="114"/>
    </row>
    <row r="164" spans="4:8">
      <c r="D164" s="114"/>
      <c r="E164" s="114"/>
      <c r="F164" s="114"/>
      <c r="G164" s="114"/>
      <c r="H164" s="114"/>
    </row>
    <row r="165" spans="4:8">
      <c r="D165" s="114"/>
      <c r="E165" s="114"/>
      <c r="F165" s="114"/>
      <c r="G165" s="114"/>
      <c r="H165" s="114"/>
    </row>
    <row r="166" spans="4:8">
      <c r="D166" s="114"/>
      <c r="E166" s="114"/>
      <c r="F166" s="114"/>
      <c r="G166" s="114"/>
      <c r="H166" s="114"/>
    </row>
    <row r="167" spans="4:8">
      <c r="D167" s="114"/>
      <c r="E167" s="114"/>
      <c r="F167" s="114"/>
      <c r="G167" s="114"/>
      <c r="H167" s="114"/>
    </row>
    <row r="168" spans="4:8">
      <c r="D168" s="114"/>
      <c r="E168" s="114"/>
      <c r="F168" s="114"/>
      <c r="G168" s="114"/>
      <c r="H168" s="114"/>
    </row>
    <row r="169" spans="4:8">
      <c r="D169" s="114"/>
      <c r="E169" s="114"/>
      <c r="F169" s="114"/>
      <c r="G169" s="114"/>
      <c r="H169" s="114"/>
    </row>
    <row r="170" spans="4:8">
      <c r="D170" s="114"/>
      <c r="E170" s="114"/>
      <c r="F170" s="114"/>
      <c r="G170" s="114"/>
      <c r="H170" s="114"/>
    </row>
    <row r="171" spans="4:8">
      <c r="D171" s="114"/>
      <c r="E171" s="114"/>
      <c r="F171" s="114"/>
      <c r="G171" s="114"/>
      <c r="H171" s="114"/>
    </row>
    <row r="172" spans="4:8">
      <c r="D172" s="114"/>
      <c r="E172" s="114"/>
      <c r="F172" s="114"/>
      <c r="G172" s="114"/>
      <c r="H172" s="114"/>
    </row>
    <row r="173" spans="4:8">
      <c r="D173" s="114"/>
      <c r="E173" s="114"/>
      <c r="F173" s="114"/>
      <c r="G173" s="114"/>
      <c r="H173" s="114"/>
    </row>
    <row r="174" spans="4:8">
      <c r="D174" s="114"/>
      <c r="E174" s="114"/>
      <c r="F174" s="114"/>
      <c r="G174" s="114"/>
      <c r="H174" s="114"/>
    </row>
    <row r="175" spans="4:8">
      <c r="D175" s="114"/>
      <c r="E175" s="114"/>
      <c r="F175" s="114"/>
      <c r="G175" s="114"/>
      <c r="H175" s="114"/>
    </row>
    <row r="176" spans="4:8">
      <c r="D176" s="114"/>
      <c r="E176" s="114"/>
      <c r="F176" s="114"/>
      <c r="G176" s="114"/>
      <c r="H176" s="114"/>
    </row>
    <row r="177" spans="4:8">
      <c r="D177" s="114"/>
      <c r="E177" s="114"/>
      <c r="F177" s="114"/>
      <c r="G177" s="114"/>
      <c r="H177" s="114"/>
    </row>
    <row r="178" spans="4:8">
      <c r="D178" s="114"/>
      <c r="E178" s="114"/>
      <c r="F178" s="114"/>
      <c r="G178" s="114"/>
      <c r="H178" s="114"/>
    </row>
    <row r="179" spans="4:8">
      <c r="D179" s="114"/>
      <c r="E179" s="114"/>
      <c r="F179" s="114"/>
      <c r="G179" s="114"/>
      <c r="H179" s="114"/>
    </row>
    <row r="180" spans="4:8">
      <c r="D180" s="114"/>
      <c r="E180" s="114"/>
      <c r="F180" s="114"/>
      <c r="G180" s="114"/>
      <c r="H180" s="114"/>
    </row>
    <row r="181" spans="4:8">
      <c r="D181" s="114"/>
      <c r="E181" s="114"/>
      <c r="F181" s="114"/>
      <c r="G181" s="114"/>
      <c r="H181" s="114"/>
    </row>
    <row r="182" spans="4:8">
      <c r="D182" s="114"/>
      <c r="E182" s="114"/>
      <c r="F182" s="114"/>
      <c r="G182" s="114"/>
      <c r="H182" s="114"/>
    </row>
    <row r="183" spans="4:8">
      <c r="D183" s="114"/>
      <c r="E183" s="114"/>
      <c r="F183" s="114"/>
      <c r="G183" s="114"/>
      <c r="H183" s="114"/>
    </row>
    <row r="184" spans="4:8">
      <c r="D184" s="114"/>
      <c r="E184" s="114"/>
      <c r="F184" s="114"/>
      <c r="G184" s="114"/>
      <c r="H184" s="114"/>
    </row>
    <row r="185" spans="4:8">
      <c r="D185" s="114"/>
      <c r="E185" s="114"/>
      <c r="F185" s="114"/>
      <c r="G185" s="114"/>
      <c r="H185" s="114"/>
    </row>
    <row r="186" spans="4:8">
      <c r="D186" s="114"/>
      <c r="E186" s="114"/>
      <c r="F186" s="114"/>
      <c r="G186" s="114"/>
      <c r="H186" s="114"/>
    </row>
    <row r="187" spans="4:8">
      <c r="D187" s="114"/>
      <c r="E187" s="114"/>
      <c r="F187" s="114"/>
      <c r="G187" s="114"/>
      <c r="H187" s="114"/>
    </row>
    <row r="188" spans="4:8">
      <c r="D188" s="114"/>
      <c r="E188" s="114"/>
      <c r="F188" s="114"/>
      <c r="G188" s="114"/>
      <c r="H188" s="114"/>
    </row>
    <row r="189" spans="4:8">
      <c r="D189" s="114"/>
      <c r="E189" s="114"/>
      <c r="F189" s="114"/>
      <c r="G189" s="114"/>
      <c r="H189" s="114"/>
    </row>
    <row r="190" spans="4:8">
      <c r="D190" s="114"/>
      <c r="E190" s="114"/>
      <c r="F190" s="114"/>
      <c r="G190" s="114"/>
      <c r="H190" s="114"/>
    </row>
    <row r="191" spans="4:8">
      <c r="D191" s="114"/>
      <c r="E191" s="114"/>
      <c r="F191" s="114"/>
      <c r="G191" s="114"/>
      <c r="H191" s="114"/>
    </row>
    <row r="192" spans="4:8">
      <c r="D192" s="114"/>
      <c r="E192" s="114"/>
      <c r="F192" s="114"/>
      <c r="G192" s="114"/>
      <c r="H192" s="114"/>
    </row>
    <row r="193" spans="4:8">
      <c r="D193" s="114"/>
      <c r="E193" s="114"/>
      <c r="F193" s="114"/>
      <c r="G193" s="114"/>
      <c r="H193" s="114"/>
    </row>
    <row r="194" spans="4:8">
      <c r="D194" s="114"/>
      <c r="E194" s="114"/>
      <c r="F194" s="114"/>
      <c r="G194" s="114"/>
      <c r="H194" s="114"/>
    </row>
    <row r="195" spans="4:8">
      <c r="D195" s="114"/>
      <c r="E195" s="114"/>
      <c r="F195" s="114"/>
      <c r="G195" s="114"/>
      <c r="H195" s="114"/>
    </row>
    <row r="196" spans="4:8">
      <c r="D196" s="114"/>
      <c r="E196" s="114"/>
      <c r="F196" s="114"/>
      <c r="G196" s="114"/>
      <c r="H196" s="114"/>
    </row>
    <row r="197" spans="4:8">
      <c r="D197" s="114"/>
      <c r="E197" s="114"/>
      <c r="F197" s="114"/>
      <c r="G197" s="114"/>
      <c r="H197" s="114"/>
    </row>
    <row r="198" spans="4:8">
      <c r="D198" s="114"/>
      <c r="E198" s="114"/>
      <c r="F198" s="114"/>
      <c r="G198" s="114"/>
      <c r="H198" s="114"/>
    </row>
    <row r="199" spans="4:8">
      <c r="D199" s="114"/>
      <c r="E199" s="114"/>
      <c r="F199" s="114"/>
      <c r="G199" s="114"/>
      <c r="H199" s="114"/>
    </row>
    <row r="200" spans="4:8">
      <c r="D200" s="114"/>
      <c r="E200" s="114"/>
      <c r="F200" s="114"/>
      <c r="G200" s="114"/>
      <c r="H200" s="114"/>
    </row>
    <row r="201" spans="4:8">
      <c r="D201" s="114"/>
      <c r="E201" s="114"/>
      <c r="F201" s="114"/>
      <c r="G201" s="114"/>
      <c r="H201" s="114"/>
    </row>
    <row r="202" spans="4:8">
      <c r="D202" s="114"/>
      <c r="E202" s="114"/>
      <c r="F202" s="114"/>
      <c r="G202" s="114"/>
      <c r="H202" s="114"/>
    </row>
    <row r="203" spans="4:8">
      <c r="D203" s="114"/>
      <c r="E203" s="114"/>
      <c r="F203" s="114"/>
      <c r="G203" s="114"/>
      <c r="H203" s="114"/>
    </row>
    <row r="204" spans="4:8">
      <c r="D204" s="114"/>
      <c r="E204" s="114"/>
      <c r="F204" s="114"/>
      <c r="G204" s="114"/>
      <c r="H204" s="114"/>
    </row>
    <row r="205" spans="4:8">
      <c r="D205" s="114"/>
      <c r="E205" s="114"/>
      <c r="F205" s="114"/>
      <c r="G205" s="114"/>
      <c r="H205" s="114"/>
    </row>
    <row r="206" spans="4:8">
      <c r="D206" s="114"/>
      <c r="E206" s="114"/>
      <c r="F206" s="114"/>
      <c r="G206" s="114"/>
      <c r="H206" s="114"/>
    </row>
    <row r="207" spans="4:8">
      <c r="D207" s="114"/>
      <c r="E207" s="114"/>
      <c r="F207" s="114"/>
      <c r="G207" s="114"/>
      <c r="H207" s="114"/>
    </row>
    <row r="208" spans="4:8">
      <c r="D208" s="114"/>
      <c r="E208" s="114"/>
      <c r="F208" s="114"/>
      <c r="G208" s="114"/>
      <c r="H208" s="114"/>
    </row>
    <row r="209" spans="4:8">
      <c r="D209" s="114"/>
      <c r="E209" s="114"/>
      <c r="F209" s="114"/>
      <c r="G209" s="114"/>
      <c r="H209" s="114"/>
    </row>
    <row r="210" spans="4:8">
      <c r="D210" s="114"/>
      <c r="E210" s="114"/>
      <c r="F210" s="114"/>
      <c r="G210" s="114"/>
      <c r="H210" s="114"/>
    </row>
    <row r="211" spans="4:8">
      <c r="D211" s="114"/>
      <c r="E211" s="114"/>
      <c r="F211" s="114"/>
      <c r="G211" s="114"/>
      <c r="H211" s="114"/>
    </row>
    <row r="212" spans="4:8">
      <c r="D212" s="114"/>
      <c r="E212" s="114"/>
      <c r="F212" s="114"/>
      <c r="G212" s="114"/>
      <c r="H212" s="114"/>
    </row>
    <row r="213" spans="4:8">
      <c r="D213" s="114"/>
      <c r="E213" s="114"/>
      <c r="F213" s="114"/>
      <c r="G213" s="114"/>
      <c r="H213" s="114"/>
    </row>
    <row r="214" spans="4:8">
      <c r="D214" s="114"/>
      <c r="E214" s="114"/>
      <c r="F214" s="114"/>
      <c r="G214" s="114"/>
      <c r="H214" s="114"/>
    </row>
    <row r="215" spans="4:8">
      <c r="D215" s="114"/>
      <c r="E215" s="114"/>
      <c r="F215" s="114"/>
      <c r="G215" s="114"/>
      <c r="H215" s="114"/>
    </row>
    <row r="216" spans="4:8">
      <c r="D216" s="114"/>
      <c r="E216" s="114"/>
      <c r="F216" s="114"/>
      <c r="G216" s="114"/>
      <c r="H216" s="114"/>
    </row>
    <row r="217" spans="4:8">
      <c r="D217" s="114"/>
      <c r="E217" s="114"/>
      <c r="F217" s="114"/>
      <c r="G217" s="114"/>
      <c r="H217" s="114"/>
    </row>
    <row r="218" spans="4:8">
      <c r="D218" s="114"/>
      <c r="E218" s="114"/>
      <c r="F218" s="114"/>
      <c r="G218" s="114"/>
      <c r="H218" s="114"/>
    </row>
    <row r="219" spans="4:8">
      <c r="D219" s="114"/>
      <c r="E219" s="114"/>
      <c r="F219" s="114"/>
      <c r="G219" s="114"/>
      <c r="H219" s="114"/>
    </row>
    <row r="220" spans="4:8">
      <c r="D220" s="114"/>
      <c r="E220" s="114"/>
      <c r="F220" s="114"/>
      <c r="G220" s="114"/>
      <c r="H220" s="114"/>
    </row>
    <row r="221" spans="4:8">
      <c r="D221" s="114"/>
      <c r="E221" s="114"/>
      <c r="F221" s="114"/>
      <c r="G221" s="114"/>
      <c r="H221" s="114"/>
    </row>
    <row r="222" spans="4:8">
      <c r="D222" s="114"/>
      <c r="E222" s="114"/>
      <c r="F222" s="114"/>
      <c r="G222" s="114"/>
      <c r="H222" s="114"/>
    </row>
    <row r="223" spans="4:8">
      <c r="D223" s="114"/>
      <c r="E223" s="114"/>
      <c r="F223" s="114"/>
      <c r="G223" s="114"/>
      <c r="H223" s="114"/>
    </row>
    <row r="224" spans="4:8">
      <c r="D224" s="114"/>
      <c r="E224" s="114"/>
      <c r="F224" s="114"/>
      <c r="G224" s="114"/>
      <c r="H224" s="114"/>
    </row>
    <row r="225" spans="4:8">
      <c r="D225" s="114"/>
      <c r="E225" s="114"/>
      <c r="F225" s="114"/>
      <c r="G225" s="114"/>
      <c r="H225" s="114"/>
    </row>
    <row r="226" spans="4:8">
      <c r="D226" s="114"/>
      <c r="E226" s="114"/>
      <c r="F226" s="114"/>
      <c r="G226" s="114"/>
      <c r="H226" s="114"/>
    </row>
    <row r="227" spans="4:8">
      <c r="D227" s="114"/>
      <c r="E227" s="114"/>
      <c r="F227" s="114"/>
      <c r="G227" s="114"/>
      <c r="H227" s="114"/>
    </row>
    <row r="228" spans="4:8">
      <c r="D228" s="114"/>
      <c r="E228" s="114"/>
      <c r="F228" s="114"/>
      <c r="G228" s="114"/>
      <c r="H228" s="114"/>
    </row>
    <row r="229" spans="4:8">
      <c r="D229" s="114"/>
      <c r="E229" s="114"/>
      <c r="F229" s="114"/>
      <c r="G229" s="114"/>
      <c r="H229" s="114"/>
    </row>
    <row r="230" spans="4:8">
      <c r="D230" s="114"/>
      <c r="E230" s="114"/>
      <c r="F230" s="114"/>
      <c r="G230" s="114"/>
      <c r="H230" s="114"/>
    </row>
    <row r="231" spans="4:8">
      <c r="D231" s="114"/>
      <c r="E231" s="114"/>
      <c r="F231" s="114"/>
      <c r="G231" s="114"/>
      <c r="H231" s="114"/>
    </row>
    <row r="232" spans="4:8">
      <c r="D232" s="114"/>
      <c r="E232" s="114"/>
      <c r="F232" s="114"/>
      <c r="G232" s="114"/>
      <c r="H232" s="114"/>
    </row>
    <row r="233" spans="4:8">
      <c r="D233" s="114"/>
      <c r="E233" s="114"/>
      <c r="F233" s="114"/>
      <c r="G233" s="114"/>
      <c r="H233" s="114"/>
    </row>
    <row r="234" spans="4:8">
      <c r="D234" s="114"/>
      <c r="E234" s="114"/>
      <c r="F234" s="114"/>
      <c r="G234" s="114"/>
      <c r="H234" s="114"/>
    </row>
    <row r="235" spans="4:8">
      <c r="D235" s="114"/>
      <c r="E235" s="114"/>
      <c r="F235" s="114"/>
      <c r="G235" s="114"/>
      <c r="H235" s="114"/>
    </row>
    <row r="236" spans="4:8">
      <c r="D236" s="114"/>
      <c r="E236" s="114"/>
      <c r="F236" s="114"/>
      <c r="G236" s="114"/>
      <c r="H236" s="114"/>
    </row>
    <row r="237" spans="4:8">
      <c r="D237" s="114"/>
      <c r="E237" s="114"/>
      <c r="F237" s="114"/>
      <c r="G237" s="114"/>
      <c r="H237" s="114"/>
    </row>
    <row r="238" spans="4:8">
      <c r="D238" s="114"/>
      <c r="E238" s="114"/>
      <c r="F238" s="114"/>
      <c r="G238" s="114"/>
      <c r="H238" s="114"/>
    </row>
    <row r="239" spans="4:8">
      <c r="D239" s="114"/>
      <c r="E239" s="114"/>
      <c r="F239" s="114"/>
      <c r="G239" s="114"/>
      <c r="H239" s="114"/>
    </row>
    <row r="240" spans="4:8">
      <c r="D240" s="114"/>
      <c r="E240" s="114"/>
      <c r="F240" s="114"/>
      <c r="G240" s="114"/>
      <c r="H240" s="114"/>
    </row>
    <row r="241" spans="4:8">
      <c r="D241" s="114"/>
      <c r="E241" s="114"/>
      <c r="F241" s="114"/>
      <c r="G241" s="114"/>
      <c r="H241" s="114"/>
    </row>
    <row r="242" spans="4:8">
      <c r="D242" s="114"/>
      <c r="E242" s="114"/>
      <c r="F242" s="114"/>
      <c r="G242" s="114"/>
      <c r="H242" s="114"/>
    </row>
    <row r="243" spans="4:8">
      <c r="D243" s="114"/>
      <c r="E243" s="114"/>
      <c r="F243" s="114"/>
      <c r="G243" s="114"/>
      <c r="H243" s="114"/>
    </row>
    <row r="244" spans="4:8">
      <c r="D244" s="114"/>
      <c r="E244" s="114"/>
      <c r="F244" s="114"/>
      <c r="G244" s="114"/>
      <c r="H244" s="114"/>
    </row>
    <row r="245" spans="4:8">
      <c r="D245" s="114"/>
      <c r="E245" s="114"/>
      <c r="F245" s="114"/>
      <c r="G245" s="114"/>
      <c r="H245" s="114"/>
    </row>
    <row r="246" spans="4:8">
      <c r="D246" s="114"/>
      <c r="E246" s="114"/>
      <c r="F246" s="114"/>
      <c r="G246" s="114"/>
      <c r="H246" s="114"/>
    </row>
    <row r="247" spans="4:8">
      <c r="D247" s="114"/>
      <c r="E247" s="114"/>
      <c r="F247" s="114"/>
      <c r="G247" s="114"/>
      <c r="H247" s="114"/>
    </row>
    <row r="248" spans="4:8">
      <c r="D248" s="114"/>
      <c r="E248" s="114"/>
      <c r="F248" s="114"/>
      <c r="G248" s="114"/>
      <c r="H248" s="114"/>
    </row>
    <row r="249" spans="4:8">
      <c r="D249" s="114"/>
      <c r="E249" s="114"/>
      <c r="F249" s="114"/>
      <c r="G249" s="114"/>
      <c r="H249" s="114"/>
    </row>
    <row r="250" spans="4:8">
      <c r="D250" s="114"/>
      <c r="E250" s="114"/>
      <c r="F250" s="114"/>
      <c r="G250" s="114"/>
      <c r="H250" s="114"/>
    </row>
    <row r="251" spans="4:8">
      <c r="D251" s="114"/>
      <c r="E251" s="114"/>
      <c r="F251" s="114"/>
      <c r="G251" s="114"/>
      <c r="H251" s="114"/>
    </row>
    <row r="252" spans="4:8">
      <c r="D252" s="114"/>
      <c r="E252" s="114"/>
      <c r="F252" s="114"/>
      <c r="G252" s="114"/>
      <c r="H252" s="114"/>
    </row>
    <row r="253" spans="4:8">
      <c r="D253" s="114"/>
      <c r="E253" s="114"/>
      <c r="F253" s="114"/>
      <c r="G253" s="114"/>
      <c r="H253" s="114"/>
    </row>
    <row r="254" spans="4:8">
      <c r="D254" s="114"/>
      <c r="E254" s="114"/>
      <c r="F254" s="114"/>
      <c r="G254" s="114"/>
      <c r="H254" s="114"/>
    </row>
    <row r="255" spans="4:8">
      <c r="D255" s="114"/>
      <c r="E255" s="114"/>
      <c r="F255" s="114"/>
      <c r="G255" s="114"/>
      <c r="H255" s="114"/>
    </row>
    <row r="256" spans="4:8">
      <c r="D256" s="114"/>
      <c r="E256" s="114"/>
      <c r="F256" s="114"/>
      <c r="G256" s="114"/>
      <c r="H256" s="114"/>
    </row>
    <row r="257" spans="4:8">
      <c r="D257" s="114"/>
      <c r="E257" s="114"/>
      <c r="F257" s="114"/>
      <c r="G257" s="114"/>
      <c r="H257" s="114"/>
    </row>
    <row r="258" spans="4:8">
      <c r="D258" s="114"/>
      <c r="E258" s="114"/>
      <c r="F258" s="114"/>
      <c r="G258" s="114"/>
      <c r="H258" s="114"/>
    </row>
    <row r="259" spans="4:8">
      <c r="D259" s="114"/>
      <c r="E259" s="114"/>
      <c r="F259" s="114"/>
      <c r="G259" s="114"/>
      <c r="H259" s="114"/>
    </row>
    <row r="260" spans="4:8">
      <c r="D260" s="114"/>
      <c r="E260" s="114"/>
      <c r="F260" s="114"/>
      <c r="G260" s="114"/>
      <c r="H260" s="114"/>
    </row>
    <row r="261" spans="4:8">
      <c r="D261" s="114"/>
      <c r="E261" s="114"/>
      <c r="F261" s="114"/>
      <c r="G261" s="114"/>
      <c r="H261" s="114"/>
    </row>
    <row r="262" spans="4:8">
      <c r="D262" s="114"/>
      <c r="E262" s="114"/>
      <c r="F262" s="114"/>
      <c r="G262" s="114"/>
      <c r="H262" s="114"/>
    </row>
    <row r="263" spans="4:8">
      <c r="D263" s="114"/>
      <c r="E263" s="114"/>
      <c r="F263" s="114"/>
      <c r="G263" s="114"/>
      <c r="H263" s="114"/>
    </row>
    <row r="264" spans="4:8">
      <c r="D264" s="114"/>
      <c r="E264" s="114"/>
      <c r="F264" s="114"/>
      <c r="G264" s="114"/>
      <c r="H264" s="114"/>
    </row>
    <row r="265" spans="4:8">
      <c r="D265" s="114"/>
      <c r="E265" s="114"/>
      <c r="F265" s="114"/>
      <c r="G265" s="114"/>
      <c r="H265" s="114"/>
    </row>
    <row r="266" spans="4:8">
      <c r="D266" s="114"/>
      <c r="E266" s="114"/>
      <c r="F266" s="114"/>
      <c r="G266" s="114"/>
      <c r="H266" s="114"/>
    </row>
    <row r="267" spans="4:8">
      <c r="D267" s="114"/>
      <c r="E267" s="114"/>
      <c r="F267" s="114"/>
      <c r="G267" s="114"/>
      <c r="H267" s="114"/>
    </row>
    <row r="268" spans="4:8">
      <c r="D268" s="114"/>
      <c r="E268" s="114"/>
      <c r="F268" s="114"/>
      <c r="G268" s="114"/>
      <c r="H268" s="114"/>
    </row>
    <row r="269" spans="4:8">
      <c r="D269" s="114"/>
      <c r="E269" s="114"/>
      <c r="F269" s="114"/>
      <c r="G269" s="114"/>
      <c r="H269" s="114"/>
    </row>
    <row r="270" spans="4:8">
      <c r="D270" s="114"/>
      <c r="E270" s="114"/>
      <c r="F270" s="114"/>
      <c r="G270" s="114"/>
      <c r="H270" s="114"/>
    </row>
    <row r="271" spans="4:8">
      <c r="D271" s="114"/>
      <c r="E271" s="114"/>
      <c r="F271" s="114"/>
      <c r="G271" s="114"/>
      <c r="H271" s="114"/>
    </row>
    <row r="272" spans="4:8">
      <c r="D272" s="114"/>
      <c r="E272" s="114"/>
      <c r="F272" s="114"/>
      <c r="G272" s="114"/>
      <c r="H272" s="114"/>
    </row>
    <row r="273" spans="4:8">
      <c r="D273" s="114"/>
      <c r="E273" s="114"/>
      <c r="F273" s="114"/>
      <c r="G273" s="114"/>
      <c r="H273" s="114"/>
    </row>
    <row r="274" spans="4:8">
      <c r="D274" s="114"/>
      <c r="E274" s="114"/>
      <c r="F274" s="114"/>
      <c r="G274" s="114"/>
      <c r="H274" s="114"/>
    </row>
    <row r="275" spans="4:8">
      <c r="D275" s="114"/>
      <c r="E275" s="114"/>
      <c r="F275" s="114"/>
      <c r="G275" s="114"/>
      <c r="H275" s="114"/>
    </row>
    <row r="276" spans="4:8">
      <c r="D276" s="114"/>
      <c r="E276" s="114"/>
      <c r="F276" s="114"/>
      <c r="G276" s="114"/>
      <c r="H276" s="114"/>
    </row>
    <row r="277" spans="4:8">
      <c r="D277" s="114"/>
      <c r="E277" s="114"/>
      <c r="F277" s="114"/>
      <c r="G277" s="114"/>
      <c r="H277" s="114"/>
    </row>
    <row r="278" spans="4:8">
      <c r="D278" s="114"/>
      <c r="E278" s="114"/>
      <c r="F278" s="114"/>
      <c r="G278" s="114"/>
      <c r="H278" s="114"/>
    </row>
    <row r="279" spans="4:8">
      <c r="D279" s="114"/>
      <c r="E279" s="114"/>
      <c r="F279" s="114"/>
      <c r="G279" s="114"/>
      <c r="H279" s="114"/>
    </row>
    <row r="280" spans="4:8">
      <c r="D280" s="114"/>
      <c r="E280" s="114"/>
      <c r="F280" s="114"/>
      <c r="G280" s="114"/>
      <c r="H280" s="114"/>
    </row>
    <row r="281" spans="4:8">
      <c r="D281" s="114"/>
      <c r="E281" s="114"/>
      <c r="F281" s="114"/>
      <c r="G281" s="114"/>
      <c r="H281" s="114"/>
    </row>
    <row r="282" spans="4:8">
      <c r="D282" s="114"/>
      <c r="E282" s="114"/>
      <c r="F282" s="114"/>
      <c r="G282" s="114"/>
      <c r="H282" s="114"/>
    </row>
    <row r="283" spans="4:8">
      <c r="D283" s="114"/>
      <c r="E283" s="114"/>
      <c r="F283" s="114"/>
      <c r="G283" s="114"/>
      <c r="H283" s="114"/>
    </row>
    <row r="284" spans="4:8">
      <c r="D284" s="114"/>
      <c r="E284" s="114"/>
      <c r="F284" s="114"/>
      <c r="G284" s="114"/>
      <c r="H284" s="114"/>
    </row>
    <row r="285" spans="4:8">
      <c r="D285" s="114"/>
      <c r="E285" s="114"/>
      <c r="F285" s="114"/>
      <c r="G285" s="114"/>
      <c r="H285" s="114"/>
    </row>
    <row r="286" spans="4:8">
      <c r="D286" s="114"/>
      <c r="E286" s="114"/>
      <c r="F286" s="114"/>
      <c r="G286" s="114"/>
      <c r="H286" s="114"/>
    </row>
    <row r="287" spans="4:8">
      <c r="D287" s="114"/>
      <c r="E287" s="114"/>
      <c r="F287" s="114"/>
      <c r="G287" s="114"/>
      <c r="H287" s="114"/>
    </row>
    <row r="288" spans="4:8">
      <c r="D288" s="114"/>
      <c r="E288" s="114"/>
      <c r="F288" s="114"/>
      <c r="G288" s="114"/>
      <c r="H288" s="114"/>
    </row>
    <row r="289" spans="4:8">
      <c r="D289" s="114"/>
      <c r="E289" s="114"/>
      <c r="F289" s="114"/>
      <c r="G289" s="114"/>
      <c r="H289" s="114"/>
    </row>
    <row r="290" spans="4:8">
      <c r="D290" s="114"/>
      <c r="E290" s="114"/>
      <c r="F290" s="114"/>
      <c r="G290" s="114"/>
      <c r="H290" s="114"/>
    </row>
    <row r="291" spans="4:8">
      <c r="D291" s="114"/>
      <c r="E291" s="114"/>
      <c r="F291" s="114"/>
      <c r="G291" s="114"/>
      <c r="H291" s="114"/>
    </row>
    <row r="292" spans="4:8">
      <c r="D292" s="114"/>
      <c r="E292" s="114"/>
      <c r="F292" s="114"/>
      <c r="G292" s="114"/>
      <c r="H292" s="114"/>
    </row>
    <row r="293" spans="4:8">
      <c r="D293" s="114"/>
      <c r="E293" s="114"/>
      <c r="F293" s="114"/>
      <c r="G293" s="114"/>
      <c r="H293" s="114"/>
    </row>
    <row r="294" spans="4:8">
      <c r="D294" s="114"/>
      <c r="E294" s="114"/>
      <c r="F294" s="114"/>
      <c r="G294" s="114"/>
      <c r="H294" s="114"/>
    </row>
    <row r="295" spans="4:8">
      <c r="D295" s="114"/>
      <c r="E295" s="114"/>
      <c r="F295" s="114"/>
      <c r="G295" s="114"/>
      <c r="H295" s="114"/>
    </row>
    <row r="296" spans="4:8">
      <c r="D296" s="114"/>
      <c r="E296" s="114"/>
      <c r="F296" s="114"/>
      <c r="G296" s="114"/>
      <c r="H296" s="114"/>
    </row>
    <row r="297" spans="4:8">
      <c r="D297" s="114"/>
      <c r="E297" s="114"/>
      <c r="F297" s="114"/>
      <c r="G297" s="114"/>
      <c r="H297" s="114"/>
    </row>
    <row r="298" spans="4:8">
      <c r="D298" s="114"/>
      <c r="E298" s="114"/>
      <c r="F298" s="114"/>
      <c r="G298" s="114"/>
      <c r="H298" s="114"/>
    </row>
    <row r="299" spans="4:8">
      <c r="D299" s="114"/>
      <c r="E299" s="114"/>
      <c r="F299" s="114"/>
      <c r="G299" s="114"/>
      <c r="H299" s="114"/>
    </row>
    <row r="300" spans="4:8">
      <c r="D300" s="114"/>
      <c r="E300" s="114"/>
      <c r="F300" s="114"/>
      <c r="G300" s="114"/>
      <c r="H300" s="114"/>
    </row>
    <row r="301" spans="4:8">
      <c r="D301" s="114"/>
      <c r="E301" s="114"/>
      <c r="F301" s="114"/>
      <c r="G301" s="114"/>
      <c r="H301" s="114"/>
    </row>
    <row r="302" spans="4:8">
      <c r="D302" s="114"/>
      <c r="E302" s="114"/>
      <c r="F302" s="114"/>
      <c r="G302" s="114"/>
      <c r="H302" s="114"/>
    </row>
    <row r="303" spans="4:8">
      <c r="D303" s="114"/>
      <c r="E303" s="114"/>
      <c r="F303" s="114"/>
      <c r="G303" s="114"/>
      <c r="H303" s="114"/>
    </row>
    <row r="304" spans="4:8">
      <c r="D304" s="114"/>
      <c r="E304" s="114"/>
      <c r="F304" s="114"/>
      <c r="G304" s="114"/>
      <c r="H304" s="114"/>
    </row>
    <row r="305" spans="4:8">
      <c r="D305" s="114"/>
      <c r="E305" s="114"/>
      <c r="F305" s="114"/>
      <c r="G305" s="114"/>
      <c r="H305" s="114"/>
    </row>
    <row r="306" spans="4:8">
      <c r="D306" s="114"/>
      <c r="E306" s="114"/>
      <c r="F306" s="114"/>
      <c r="G306" s="114"/>
      <c r="H306" s="114"/>
    </row>
    <row r="307" spans="4:8">
      <c r="D307" s="114"/>
      <c r="E307" s="114"/>
      <c r="F307" s="114"/>
      <c r="G307" s="114"/>
      <c r="H307" s="114"/>
    </row>
    <row r="308" spans="4:8">
      <c r="D308" s="114"/>
      <c r="E308" s="114"/>
      <c r="F308" s="114"/>
      <c r="G308" s="114"/>
      <c r="H308" s="114"/>
    </row>
    <row r="309" spans="4:8">
      <c r="D309" s="114"/>
      <c r="E309" s="114"/>
      <c r="F309" s="114"/>
      <c r="G309" s="114"/>
      <c r="H309" s="114"/>
    </row>
    <row r="310" spans="4:8">
      <c r="D310" s="114"/>
      <c r="E310" s="114"/>
      <c r="F310" s="114"/>
      <c r="G310" s="114"/>
      <c r="H310" s="114"/>
    </row>
    <row r="311" spans="4:8">
      <c r="D311" s="114"/>
      <c r="E311" s="114"/>
      <c r="F311" s="114"/>
      <c r="G311" s="114"/>
      <c r="H311" s="114"/>
    </row>
    <row r="312" spans="4:8">
      <c r="D312" s="114"/>
      <c r="E312" s="114"/>
      <c r="F312" s="114"/>
      <c r="G312" s="114"/>
      <c r="H312" s="114"/>
    </row>
    <row r="313" spans="4:8">
      <c r="D313" s="114"/>
      <c r="E313" s="114"/>
      <c r="F313" s="114"/>
      <c r="G313" s="114"/>
      <c r="H313" s="114"/>
    </row>
    <row r="314" spans="4:8">
      <c r="D314" s="114"/>
      <c r="E314" s="114"/>
      <c r="F314" s="114"/>
      <c r="G314" s="114"/>
      <c r="H314" s="114"/>
    </row>
    <row r="315" spans="4:8">
      <c r="D315" s="114"/>
      <c r="E315" s="114"/>
      <c r="F315" s="114"/>
      <c r="G315" s="114"/>
      <c r="H315" s="114"/>
    </row>
    <row r="316" spans="4:8">
      <c r="D316" s="114"/>
      <c r="E316" s="114"/>
      <c r="F316" s="114"/>
      <c r="G316" s="114"/>
      <c r="H316" s="114"/>
    </row>
    <row r="317" spans="4:8">
      <c r="D317" s="114"/>
      <c r="E317" s="114"/>
      <c r="F317" s="114"/>
      <c r="G317" s="114"/>
      <c r="H317" s="114"/>
    </row>
    <row r="318" spans="4:8">
      <c r="D318" s="114"/>
      <c r="E318" s="114"/>
      <c r="F318" s="114"/>
      <c r="G318" s="114"/>
      <c r="H318" s="114"/>
    </row>
    <row r="319" spans="4:8">
      <c r="D319" s="114"/>
      <c r="E319" s="114"/>
      <c r="F319" s="114"/>
      <c r="G319" s="114"/>
      <c r="H319" s="114"/>
    </row>
    <row r="320" spans="4:8">
      <c r="D320" s="114"/>
      <c r="E320" s="114"/>
      <c r="F320" s="114"/>
      <c r="G320" s="114"/>
      <c r="H320" s="114"/>
    </row>
    <row r="321" spans="4:8">
      <c r="D321" s="114"/>
      <c r="E321" s="114"/>
      <c r="F321" s="114"/>
      <c r="G321" s="114"/>
      <c r="H321" s="114"/>
    </row>
    <row r="322" spans="4:8">
      <c r="D322" s="114"/>
      <c r="E322" s="114"/>
      <c r="F322" s="114"/>
      <c r="G322" s="114"/>
      <c r="H322" s="114"/>
    </row>
    <row r="323" spans="4:8">
      <c r="D323" s="114"/>
      <c r="E323" s="114"/>
      <c r="F323" s="114"/>
      <c r="G323" s="114"/>
      <c r="H323" s="114"/>
    </row>
    <row r="324" spans="4:8">
      <c r="D324" s="114"/>
      <c r="E324" s="114"/>
      <c r="F324" s="114"/>
      <c r="G324" s="114"/>
      <c r="H324" s="114"/>
    </row>
    <row r="325" spans="4:8">
      <c r="D325" s="114"/>
      <c r="E325" s="114"/>
      <c r="F325" s="114"/>
      <c r="G325" s="114"/>
      <c r="H325" s="114"/>
    </row>
    <row r="326" spans="4:8">
      <c r="D326" s="114"/>
      <c r="E326" s="114"/>
      <c r="F326" s="114"/>
      <c r="G326" s="114"/>
      <c r="H326" s="114"/>
    </row>
    <row r="327" spans="4:8">
      <c r="D327" s="114"/>
      <c r="E327" s="114"/>
      <c r="F327" s="114"/>
      <c r="G327" s="114"/>
      <c r="H327" s="114"/>
    </row>
    <row r="328" spans="4:8">
      <c r="D328" s="114"/>
      <c r="E328" s="114"/>
      <c r="F328" s="114"/>
      <c r="G328" s="114"/>
      <c r="H328" s="114"/>
    </row>
    <row r="329" spans="4:8">
      <c r="D329" s="114"/>
      <c r="E329" s="114"/>
      <c r="F329" s="114"/>
      <c r="G329" s="114"/>
      <c r="H329" s="114"/>
    </row>
    <row r="330" spans="4:8">
      <c r="D330" s="114"/>
      <c r="E330" s="114"/>
      <c r="F330" s="114"/>
      <c r="G330" s="114"/>
      <c r="H330" s="114"/>
    </row>
    <row r="331" spans="4:8">
      <c r="D331" s="114"/>
      <c r="E331" s="114"/>
      <c r="F331" s="114"/>
      <c r="G331" s="114"/>
      <c r="H331" s="114"/>
    </row>
    <row r="332" spans="4:8">
      <c r="D332" s="114"/>
      <c r="E332" s="114"/>
      <c r="F332" s="114"/>
      <c r="G332" s="114"/>
      <c r="H332" s="114"/>
    </row>
    <row r="333" spans="4:8">
      <c r="D333" s="114"/>
      <c r="E333" s="114"/>
      <c r="F333" s="114"/>
      <c r="G333" s="114"/>
      <c r="H333" s="114"/>
    </row>
    <row r="334" spans="4:8">
      <c r="D334" s="114"/>
      <c r="E334" s="114"/>
      <c r="F334" s="114"/>
      <c r="G334" s="114"/>
      <c r="H334" s="114"/>
    </row>
    <row r="335" spans="4:8">
      <c r="D335" s="114"/>
      <c r="E335" s="114"/>
      <c r="F335" s="114"/>
      <c r="G335" s="114"/>
      <c r="H335" s="114"/>
    </row>
    <row r="336" spans="4:8">
      <c r="D336" s="114"/>
      <c r="E336" s="114"/>
      <c r="F336" s="114"/>
      <c r="G336" s="114"/>
      <c r="H336" s="114"/>
    </row>
    <row r="337" spans="4:8">
      <c r="D337" s="114"/>
      <c r="E337" s="114"/>
      <c r="F337" s="114"/>
      <c r="G337" s="114"/>
      <c r="H337" s="114"/>
    </row>
    <row r="338" spans="4:8">
      <c r="D338" s="114"/>
      <c r="E338" s="114"/>
      <c r="F338" s="114"/>
      <c r="G338" s="114"/>
      <c r="H338" s="114"/>
    </row>
    <row r="339" spans="4:8">
      <c r="D339" s="114"/>
      <c r="E339" s="114"/>
      <c r="F339" s="114"/>
      <c r="G339" s="114"/>
      <c r="H339" s="114"/>
    </row>
    <row r="340" spans="4:8">
      <c r="D340" s="114"/>
      <c r="E340" s="114"/>
      <c r="F340" s="114"/>
      <c r="G340" s="114"/>
      <c r="H340" s="114"/>
    </row>
    <row r="341" spans="4:8">
      <c r="D341" s="114"/>
      <c r="E341" s="114"/>
      <c r="F341" s="114"/>
      <c r="G341" s="114"/>
      <c r="H341" s="114"/>
    </row>
    <row r="342" spans="4:8">
      <c r="D342" s="114"/>
      <c r="E342" s="114"/>
      <c r="F342" s="114"/>
      <c r="G342" s="114"/>
      <c r="H342" s="114"/>
    </row>
    <row r="343" spans="4:8">
      <c r="D343" s="114"/>
      <c r="E343" s="114"/>
      <c r="F343" s="114"/>
      <c r="G343" s="114"/>
      <c r="H343" s="114"/>
    </row>
    <row r="344" spans="4:8">
      <c r="D344" s="114"/>
      <c r="E344" s="114"/>
      <c r="F344" s="114"/>
      <c r="G344" s="114"/>
      <c r="H344" s="114"/>
    </row>
    <row r="345" spans="4:8">
      <c r="D345" s="114"/>
      <c r="E345" s="114"/>
      <c r="F345" s="114"/>
      <c r="G345" s="114"/>
      <c r="H345" s="114"/>
    </row>
    <row r="346" spans="4:8">
      <c r="D346" s="114"/>
      <c r="E346" s="114"/>
      <c r="F346" s="114"/>
      <c r="G346" s="114"/>
      <c r="H346" s="114"/>
    </row>
    <row r="347" spans="4:8">
      <c r="D347" s="114"/>
      <c r="E347" s="114"/>
      <c r="F347" s="114"/>
      <c r="G347" s="114"/>
      <c r="H347" s="114"/>
    </row>
    <row r="348" spans="4:8">
      <c r="D348" s="114"/>
      <c r="E348" s="114"/>
      <c r="F348" s="114"/>
      <c r="G348" s="114"/>
      <c r="H348" s="114"/>
    </row>
    <row r="349" spans="4:8">
      <c r="D349" s="114"/>
      <c r="E349" s="114"/>
      <c r="F349" s="114"/>
      <c r="G349" s="114"/>
      <c r="H349" s="114"/>
    </row>
    <row r="350" spans="4:8">
      <c r="D350" s="114"/>
      <c r="E350" s="114"/>
      <c r="F350" s="114"/>
      <c r="G350" s="114"/>
      <c r="H350" s="114"/>
    </row>
    <row r="351" spans="4:8">
      <c r="D351" s="114"/>
      <c r="E351" s="114"/>
      <c r="F351" s="114"/>
      <c r="G351" s="114"/>
      <c r="H351" s="114"/>
    </row>
    <row r="352" spans="4:8">
      <c r="D352" s="114"/>
      <c r="E352" s="114"/>
      <c r="F352" s="114"/>
      <c r="G352" s="114"/>
      <c r="H352" s="114"/>
    </row>
    <row r="353" spans="4:8">
      <c r="D353" s="114"/>
      <c r="E353" s="114"/>
      <c r="F353" s="114"/>
      <c r="G353" s="114"/>
      <c r="H353" s="114"/>
    </row>
    <row r="354" spans="4:8">
      <c r="D354" s="114"/>
      <c r="E354" s="114"/>
      <c r="F354" s="114"/>
      <c r="G354" s="114"/>
      <c r="H354" s="114"/>
    </row>
    <row r="355" spans="4:8">
      <c r="D355" s="114"/>
      <c r="E355" s="114"/>
      <c r="F355" s="114"/>
      <c r="G355" s="114"/>
      <c r="H355" s="114"/>
    </row>
    <row r="356" spans="4:8">
      <c r="D356" s="114"/>
      <c r="E356" s="114"/>
      <c r="F356" s="114"/>
      <c r="G356" s="114"/>
      <c r="H356" s="114"/>
    </row>
    <row r="357" spans="4:8">
      <c r="D357" s="114"/>
      <c r="E357" s="114"/>
      <c r="F357" s="114"/>
      <c r="G357" s="114"/>
      <c r="H357" s="114"/>
    </row>
    <row r="358" spans="4:8">
      <c r="D358" s="114"/>
      <c r="E358" s="114"/>
      <c r="F358" s="114"/>
      <c r="G358" s="114"/>
      <c r="H358" s="114"/>
    </row>
    <row r="359" spans="4:8">
      <c r="D359" s="114"/>
      <c r="E359" s="114"/>
      <c r="F359" s="114"/>
      <c r="G359" s="114"/>
      <c r="H359" s="114"/>
    </row>
    <row r="360" spans="4:8">
      <c r="D360" s="114"/>
      <c r="E360" s="114"/>
      <c r="F360" s="114"/>
      <c r="G360" s="114"/>
      <c r="H360" s="114"/>
    </row>
    <row r="361" spans="4:8">
      <c r="D361" s="114"/>
      <c r="E361" s="114"/>
      <c r="F361" s="114"/>
      <c r="G361" s="114"/>
      <c r="H361" s="114"/>
    </row>
    <row r="362" spans="4:8">
      <c r="D362" s="114"/>
      <c r="E362" s="114"/>
      <c r="F362" s="114"/>
      <c r="G362" s="114"/>
      <c r="H362" s="114"/>
    </row>
    <row r="363" spans="4:8">
      <c r="D363" s="114"/>
      <c r="E363" s="114"/>
      <c r="F363" s="114"/>
      <c r="G363" s="114"/>
      <c r="H363" s="114"/>
    </row>
    <row r="364" spans="4:8">
      <c r="D364" s="114"/>
      <c r="E364" s="114"/>
      <c r="F364" s="114"/>
      <c r="G364" s="114"/>
      <c r="H364" s="114"/>
    </row>
    <row r="365" spans="4:8">
      <c r="D365" s="114"/>
      <c r="E365" s="114"/>
      <c r="F365" s="114"/>
      <c r="G365" s="114"/>
      <c r="H365" s="114"/>
    </row>
    <row r="366" spans="4:8">
      <c r="D366" s="114"/>
      <c r="E366" s="114"/>
      <c r="F366" s="114"/>
      <c r="G366" s="114"/>
      <c r="H366" s="114"/>
    </row>
    <row r="367" spans="4:8">
      <c r="D367" s="114"/>
      <c r="E367" s="114"/>
      <c r="F367" s="114"/>
      <c r="G367" s="114"/>
      <c r="H367" s="114"/>
    </row>
    <row r="368" spans="4:8">
      <c r="D368" s="114"/>
      <c r="E368" s="114"/>
      <c r="F368" s="114"/>
      <c r="G368" s="114"/>
      <c r="H368" s="114"/>
    </row>
    <row r="369" spans="4:8">
      <c r="D369" s="114"/>
      <c r="E369" s="114"/>
      <c r="F369" s="114"/>
      <c r="G369" s="114"/>
      <c r="H369" s="114"/>
    </row>
    <row r="370" spans="4:8">
      <c r="D370" s="114"/>
      <c r="E370" s="114"/>
      <c r="F370" s="114"/>
      <c r="G370" s="114"/>
      <c r="H370" s="114"/>
    </row>
    <row r="371" spans="4:8">
      <c r="D371" s="114"/>
      <c r="E371" s="114"/>
      <c r="F371" s="114"/>
      <c r="G371" s="114"/>
      <c r="H371" s="114"/>
    </row>
    <row r="372" spans="4:8">
      <c r="D372" s="114"/>
      <c r="E372" s="114"/>
      <c r="F372" s="114"/>
      <c r="G372" s="114"/>
      <c r="H372" s="114"/>
    </row>
    <row r="373" spans="4:8">
      <c r="D373" s="114"/>
      <c r="E373" s="114"/>
      <c r="F373" s="114"/>
      <c r="G373" s="114"/>
      <c r="H373" s="114"/>
    </row>
    <row r="374" spans="4:8">
      <c r="D374" s="114"/>
      <c r="E374" s="114"/>
      <c r="F374" s="114"/>
      <c r="G374" s="114"/>
      <c r="H374" s="114"/>
    </row>
    <row r="375" spans="4:8">
      <c r="D375" s="114"/>
      <c r="E375" s="114"/>
      <c r="F375" s="114"/>
      <c r="G375" s="114"/>
      <c r="H375" s="114"/>
    </row>
    <row r="376" spans="4:8">
      <c r="D376" s="114"/>
      <c r="E376" s="114"/>
      <c r="F376" s="114"/>
      <c r="G376" s="114"/>
      <c r="H376" s="114"/>
    </row>
    <row r="377" spans="4:8">
      <c r="D377" s="114"/>
      <c r="E377" s="114"/>
      <c r="F377" s="114"/>
      <c r="G377" s="114"/>
      <c r="H377" s="114"/>
    </row>
    <row r="378" spans="4:8">
      <c r="D378" s="114"/>
      <c r="E378" s="114"/>
      <c r="F378" s="114"/>
      <c r="G378" s="114"/>
      <c r="H378" s="114"/>
    </row>
    <row r="379" spans="4:8">
      <c r="D379" s="114"/>
      <c r="E379" s="114"/>
      <c r="F379" s="114"/>
      <c r="G379" s="114"/>
      <c r="H379" s="114"/>
    </row>
    <row r="380" spans="4:8">
      <c r="D380" s="114"/>
      <c r="E380" s="114"/>
      <c r="F380" s="114"/>
      <c r="G380" s="114"/>
      <c r="H380" s="114"/>
    </row>
    <row r="381" spans="4:8">
      <c r="D381" s="114"/>
      <c r="E381" s="114"/>
      <c r="F381" s="114"/>
      <c r="G381" s="114"/>
      <c r="H381" s="114"/>
    </row>
    <row r="382" spans="4:8">
      <c r="D382" s="114"/>
      <c r="E382" s="114"/>
      <c r="F382" s="114"/>
      <c r="G382" s="114"/>
      <c r="H382" s="114"/>
    </row>
    <row r="383" spans="4:8">
      <c r="D383" s="114"/>
      <c r="E383" s="114"/>
      <c r="F383" s="114"/>
      <c r="G383" s="114"/>
      <c r="H383" s="114"/>
    </row>
    <row r="384" spans="4:8">
      <c r="D384" s="114"/>
      <c r="E384" s="114"/>
      <c r="F384" s="114"/>
      <c r="G384" s="114"/>
      <c r="H384" s="114"/>
    </row>
    <row r="385" spans="4:8">
      <c r="D385" s="114"/>
      <c r="E385" s="114"/>
      <c r="F385" s="114"/>
      <c r="G385" s="114"/>
      <c r="H385" s="114"/>
    </row>
    <row r="386" spans="4:8">
      <c r="D386" s="114"/>
      <c r="E386" s="114"/>
      <c r="F386" s="114"/>
      <c r="G386" s="114"/>
      <c r="H386" s="114"/>
    </row>
    <row r="387" spans="4:8">
      <c r="D387" s="114"/>
      <c r="E387" s="114"/>
      <c r="F387" s="114"/>
      <c r="G387" s="114"/>
      <c r="H387" s="114"/>
    </row>
    <row r="388" spans="4:8">
      <c r="D388" s="114"/>
      <c r="E388" s="114"/>
      <c r="F388" s="114"/>
      <c r="G388" s="114"/>
      <c r="H388" s="114"/>
    </row>
    <row r="389" spans="4:8">
      <c r="D389" s="114"/>
      <c r="E389" s="114"/>
      <c r="F389" s="114"/>
      <c r="G389" s="114"/>
      <c r="H389" s="114"/>
    </row>
    <row r="390" spans="4:8">
      <c r="D390" s="114"/>
      <c r="E390" s="114"/>
      <c r="F390" s="114"/>
      <c r="G390" s="114"/>
      <c r="H390" s="114"/>
    </row>
    <row r="391" spans="4:8">
      <c r="D391" s="114"/>
      <c r="E391" s="114"/>
      <c r="F391" s="114"/>
      <c r="G391" s="114"/>
      <c r="H391" s="114"/>
    </row>
    <row r="392" spans="4:8">
      <c r="D392" s="114"/>
      <c r="E392" s="114"/>
      <c r="F392" s="114"/>
      <c r="G392" s="114"/>
      <c r="H392" s="114"/>
    </row>
    <row r="393" spans="4:8">
      <c r="D393" s="114"/>
      <c r="E393" s="114"/>
      <c r="F393" s="114"/>
      <c r="G393" s="114"/>
      <c r="H393" s="114"/>
    </row>
    <row r="394" spans="4:8">
      <c r="D394" s="114"/>
      <c r="E394" s="114"/>
      <c r="F394" s="114"/>
      <c r="G394" s="114"/>
      <c r="H394" s="114"/>
    </row>
    <row r="395" spans="4:8">
      <c r="D395" s="114"/>
      <c r="E395" s="114"/>
      <c r="F395" s="114"/>
      <c r="G395" s="114"/>
      <c r="H395" s="114"/>
    </row>
    <row r="396" spans="4:8">
      <c r="D396" s="114"/>
      <c r="E396" s="114"/>
      <c r="F396" s="114"/>
      <c r="G396" s="114"/>
      <c r="H396" s="114"/>
    </row>
    <row r="397" spans="4:8">
      <c r="D397" s="114"/>
      <c r="E397" s="114"/>
      <c r="F397" s="114"/>
      <c r="G397" s="114"/>
      <c r="H397" s="114"/>
    </row>
    <row r="398" spans="4:8">
      <c r="D398" s="114"/>
      <c r="E398" s="114"/>
      <c r="F398" s="114"/>
      <c r="G398" s="114"/>
      <c r="H398" s="114"/>
    </row>
    <row r="399" spans="4:8">
      <c r="D399" s="114"/>
      <c r="E399" s="114"/>
      <c r="F399" s="114"/>
      <c r="G399" s="114"/>
      <c r="H399" s="114"/>
    </row>
    <row r="400" spans="4:8">
      <c r="D400" s="114"/>
      <c r="E400" s="114"/>
      <c r="F400" s="114"/>
      <c r="G400" s="114"/>
      <c r="H400" s="114"/>
    </row>
  </sheetData>
  <mergeCells count="1">
    <mergeCell ref="A2:C2"/>
  </mergeCells>
  <phoneticPr fontId="224" type="noConversion"/>
  <conditionalFormatting sqref="G7:H34 G38:H449">
    <cfRule type="cellIs" dxfId="0" priority="1" operator="lessThan">
      <formula>0</formula>
    </cfRule>
  </conditionalFormatting>
  <dataValidations count="1">
    <dataValidation type="custom" allowBlank="1" showInputMessage="1" showErrorMessage="1" error="请输入每个月的一号" sqref="B4" xr:uid="{00000000-0002-0000-0000-000000000000}">
      <formula1>DAY(B4)=1</formula1>
    </dataValidation>
  </dataValidations>
  <pageMargins left="0.7" right="0.7" top="0.75" bottom="0.75" header="0.3" footer="0.3"/>
  <pageSetup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Summary">
                <anchor moveWithCells="1" sizeWithCells="1">
                  <from>
                    <xdr:col>7</xdr:col>
                    <xdr:colOff>990600</xdr:colOff>
                    <xdr:row>1</xdr:row>
                    <xdr:rowOff>38100</xdr:rowOff>
                  </from>
                  <to>
                    <xdr:col>9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1"/>
  <dimension ref="A1:BN5000"/>
  <sheetViews>
    <sheetView showGridLines="0" tabSelected="1" zoomScaleNormal="100" workbookViewId="0">
      <pane xSplit="5" ySplit="15" topLeftCell="F16" activePane="bottomRight" state="frozen"/>
      <selection pane="topRight" activeCell="F1" sqref="F1"/>
      <selection pane="bottomLeft" activeCell="A9" sqref="A9"/>
      <selection pane="bottomRight" activeCell="K16" sqref="K16:K19"/>
    </sheetView>
  </sheetViews>
  <sheetFormatPr defaultColWidth="9" defaultRowHeight="14.5" outlineLevelCol="1"/>
  <cols>
    <col min="1" max="1" width="15.6328125" style="7" bestFit="1" customWidth="1"/>
    <col min="2" max="2" width="4.1796875" style="7" bestFit="1" customWidth="1"/>
    <col min="3" max="3" width="4.81640625" style="7" bestFit="1" customWidth="1"/>
    <col min="4" max="4" width="7" style="7" bestFit="1" customWidth="1"/>
    <col min="5" max="5" width="50.6328125" style="7" customWidth="1"/>
    <col min="6" max="6" width="10" style="7" bestFit="1" customWidth="1"/>
    <col min="7" max="7" width="9.90625" style="7" bestFit="1" customWidth="1"/>
    <col min="8" max="8" width="6.81640625" style="7" bestFit="1" customWidth="1"/>
    <col min="9" max="9" width="4.26953125" style="7" bestFit="1" customWidth="1"/>
    <col min="10" max="10" width="10.90625" style="7" bestFit="1" customWidth="1"/>
    <col min="11" max="11" width="7.453125" style="7" bestFit="1" customWidth="1"/>
    <col min="12" max="12" width="11.90625" style="8" bestFit="1" customWidth="1"/>
    <col min="13" max="13" width="16.6328125" style="8" bestFit="1" customWidth="1"/>
    <col min="14" max="14" width="6.453125" style="7" bestFit="1" customWidth="1"/>
    <col min="15" max="15" width="8.26953125" style="7" bestFit="1" customWidth="1"/>
    <col min="16" max="16" width="10.08984375" style="21" bestFit="1" customWidth="1"/>
    <col min="17" max="17" width="12.26953125" style="21" bestFit="1" customWidth="1"/>
    <col min="18" max="18" width="9.08984375" style="21" bestFit="1" customWidth="1"/>
    <col min="19" max="19" width="11.08984375" style="21" bestFit="1" customWidth="1"/>
    <col min="20" max="20" width="11.1796875" style="7" bestFit="1" customWidth="1"/>
    <col min="21" max="21" width="11.1796875" style="11" bestFit="1" customWidth="1"/>
    <col min="22" max="22" width="7.81640625" style="7" bestFit="1" customWidth="1"/>
    <col min="23" max="23" width="49.08984375" style="7" bestFit="1" customWidth="1"/>
    <col min="24" max="25" width="8.81640625" style="11" bestFit="1" customWidth="1"/>
    <col min="26" max="26" width="10.08984375" style="7" bestFit="1" customWidth="1"/>
    <col min="27" max="27" width="8.81640625" style="7" bestFit="1" customWidth="1"/>
    <col min="28" max="28" width="15.26953125" style="7" bestFit="1" customWidth="1"/>
    <col min="29" max="29" width="3.1796875" style="7" bestFit="1" customWidth="1"/>
    <col min="30" max="30" width="10.08984375" style="7" bestFit="1" customWidth="1"/>
    <col min="31" max="31" width="5.08984375" style="7" bestFit="1" customWidth="1"/>
    <col min="32" max="32" width="10.36328125" style="7" bestFit="1" customWidth="1"/>
    <col min="33" max="33" width="3.90625" style="7" bestFit="1" customWidth="1"/>
    <col min="34" max="34" width="6.36328125" style="7" bestFit="1" customWidth="1"/>
    <col min="35" max="35" width="10.6328125" style="7" bestFit="1" customWidth="1"/>
    <col min="36" max="36" width="6.1796875" style="7" bestFit="1" customWidth="1"/>
    <col min="37" max="37" width="8" style="7" bestFit="1" customWidth="1"/>
    <col min="38" max="38" width="7" style="7" bestFit="1" customWidth="1"/>
    <col min="39" max="39" width="6.453125" style="7" bestFit="1" customWidth="1"/>
    <col min="40" max="40" width="10.26953125" style="7" bestFit="1" customWidth="1"/>
    <col min="41" max="41" width="17.7265625" style="7" bestFit="1" customWidth="1"/>
    <col min="42" max="42" width="7.81640625" style="7" bestFit="1" customWidth="1"/>
    <col min="43" max="43" width="8.453125" style="7" bestFit="1" customWidth="1"/>
    <col min="44" max="44" width="10.1796875" style="7" bestFit="1" customWidth="1"/>
    <col min="45" max="45" width="5.1796875" style="199" bestFit="1" customWidth="1"/>
    <col min="46" max="46" width="8.54296875" style="7" bestFit="1" customWidth="1"/>
    <col min="47" max="47" width="4.81640625" style="7" bestFit="1" customWidth="1"/>
    <col min="48" max="48" width="9" style="7" bestFit="1" customWidth="1"/>
    <col min="49" max="49" width="5" style="7" bestFit="1" customWidth="1"/>
    <col min="50" max="50" width="7.81640625" style="7" bestFit="1" customWidth="1"/>
    <col min="51" max="51" width="12.26953125" style="7" bestFit="1" customWidth="1" outlineLevel="1"/>
    <col min="52" max="52" width="3.1796875" style="7" bestFit="1" customWidth="1"/>
    <col min="53" max="53" width="4.1796875" style="7" bestFit="1" customWidth="1"/>
    <col min="54" max="54" width="4.54296875" style="7" bestFit="1" customWidth="1"/>
    <col min="55" max="55" width="3.54296875" style="7" bestFit="1" customWidth="1"/>
    <col min="56" max="56" width="9.453125" style="7" bestFit="1" customWidth="1"/>
    <col min="57" max="57" width="5.7265625" style="7" bestFit="1" customWidth="1"/>
    <col min="58" max="58" width="9" style="7" bestFit="1" customWidth="1"/>
    <col min="59" max="59" width="5.90625" style="7" bestFit="1" customWidth="1"/>
    <col min="60" max="60" width="7.81640625" style="7" bestFit="1" customWidth="1"/>
    <col min="61" max="61" width="12.26953125" style="7" bestFit="1" customWidth="1" outlineLevel="1"/>
    <col min="62" max="62" width="3.1796875" style="7" bestFit="1" customWidth="1"/>
    <col min="63" max="63" width="4.1796875" style="7" bestFit="1" customWidth="1"/>
    <col min="64" max="64" width="4.54296875" style="7" bestFit="1" customWidth="1"/>
    <col min="65" max="65" width="3.54296875" style="7" bestFit="1" customWidth="1"/>
    <col min="66" max="66" width="9.1796875" style="7" bestFit="1" customWidth="1"/>
    <col min="67" max="16384" width="9" style="7"/>
  </cols>
  <sheetData>
    <row r="1" spans="1:66" ht="13.5" customHeight="1">
      <c r="L1" s="85" t="s">
        <v>91</v>
      </c>
      <c r="M1" s="84" t="s">
        <v>92</v>
      </c>
      <c r="P1" s="9" t="s">
        <v>0</v>
      </c>
      <c r="Q1" s="177" t="s">
        <v>1</v>
      </c>
      <c r="R1" s="10"/>
      <c r="S1" s="10"/>
    </row>
    <row r="2" spans="1:66" ht="13.5" customHeight="1">
      <c r="A2" s="2" t="s">
        <v>4</v>
      </c>
      <c r="B2" s="212" t="s">
        <v>2298</v>
      </c>
      <c r="C2" s="211"/>
      <c r="D2" s="213"/>
      <c r="E2" s="195"/>
      <c r="L2" s="196" t="s">
        <v>130</v>
      </c>
      <c r="M2" s="197" t="s">
        <v>191</v>
      </c>
      <c r="P2" s="201" t="s">
        <v>2</v>
      </c>
      <c r="Q2" s="202">
        <v>7.1999994240000458</v>
      </c>
      <c r="R2" s="14"/>
      <c r="S2" s="214" t="s">
        <v>171</v>
      </c>
      <c r="T2" s="214"/>
      <c r="U2" s="214"/>
      <c r="V2" s="214"/>
      <c r="W2" s="214"/>
      <c r="X2" s="214"/>
      <c r="Y2" s="214"/>
    </row>
    <row r="3" spans="1:66" ht="13.5" customHeight="1">
      <c r="A3" s="2" t="s">
        <v>11</v>
      </c>
      <c r="B3" s="210"/>
      <c r="C3" s="211"/>
      <c r="D3" s="211"/>
      <c r="E3" s="12" t="s">
        <v>6</v>
      </c>
      <c r="L3" s="167" t="s">
        <v>2170</v>
      </c>
      <c r="M3" s="168" t="s">
        <v>190</v>
      </c>
      <c r="P3" s="13" t="s">
        <v>3</v>
      </c>
      <c r="Q3" s="178">
        <v>7.8000017160003781</v>
      </c>
      <c r="R3" s="14"/>
      <c r="S3" s="14"/>
    </row>
    <row r="4" spans="1:66" ht="13.5" customHeight="1">
      <c r="L4" s="167" t="s">
        <v>2129</v>
      </c>
      <c r="M4" s="168" t="s">
        <v>192</v>
      </c>
      <c r="P4" s="13" t="s">
        <v>5</v>
      </c>
      <c r="Q4" s="178">
        <v>0.90999999909000007</v>
      </c>
      <c r="R4" s="14"/>
      <c r="S4" s="14"/>
    </row>
    <row r="5" spans="1:66" ht="13.5" customHeight="1">
      <c r="A5" s="15" t="s">
        <v>23</v>
      </c>
      <c r="B5" s="16"/>
      <c r="L5" s="167" t="s">
        <v>2297</v>
      </c>
      <c r="M5" s="168" t="s">
        <v>2296</v>
      </c>
      <c r="P5" s="13" t="s">
        <v>54</v>
      </c>
      <c r="Q5" s="178">
        <v>1319.9577613516365</v>
      </c>
      <c r="R5" s="14"/>
      <c r="S5" s="14"/>
    </row>
    <row r="6" spans="1:66" ht="13.5" customHeight="1">
      <c r="A6" s="2" t="s">
        <v>8</v>
      </c>
      <c r="B6" s="16"/>
      <c r="C6" s="2" t="s">
        <v>9</v>
      </c>
      <c r="D6" s="16"/>
      <c r="E6" s="18" t="s">
        <v>6</v>
      </c>
      <c r="L6" s="167" t="s">
        <v>2167</v>
      </c>
      <c r="M6" s="168" t="s">
        <v>172</v>
      </c>
      <c r="P6" s="203" t="s">
        <v>193</v>
      </c>
      <c r="Q6" s="178">
        <v>35.99997120002304</v>
      </c>
      <c r="R6" s="14"/>
      <c r="S6" s="14"/>
    </row>
    <row r="7" spans="1:66" ht="13.5" customHeight="1">
      <c r="L7" s="167" t="s">
        <v>2168</v>
      </c>
      <c r="M7" s="168" t="s">
        <v>173</v>
      </c>
      <c r="P7" s="203" t="s">
        <v>2137</v>
      </c>
      <c r="Q7" s="178">
        <v>0.88202866593164286</v>
      </c>
      <c r="R7" s="14"/>
      <c r="S7" s="14"/>
    </row>
    <row r="8" spans="1:66" ht="13.5" customHeight="1">
      <c r="A8" s="15" t="s">
        <v>53</v>
      </c>
      <c r="B8" s="86"/>
      <c r="L8" s="208" t="s">
        <v>2169</v>
      </c>
      <c r="M8" s="198" t="s">
        <v>189</v>
      </c>
      <c r="P8" s="17" t="s">
        <v>7</v>
      </c>
      <c r="Q8" s="179">
        <v>1</v>
      </c>
      <c r="R8" s="14"/>
      <c r="S8" s="14"/>
    </row>
    <row r="9" spans="1:66" ht="13.5" customHeight="1">
      <c r="A9" s="20" t="s">
        <v>8</v>
      </c>
      <c r="B9" s="16"/>
      <c r="C9" s="2" t="s">
        <v>9</v>
      </c>
      <c r="D9" s="16"/>
      <c r="P9" s="7"/>
      <c r="Q9" s="180"/>
      <c r="R9" s="14"/>
      <c r="S9" s="14"/>
    </row>
    <row r="10" spans="1:66">
      <c r="L10" s="7"/>
      <c r="M10" s="7"/>
      <c r="P10" s="7"/>
      <c r="Q10" s="7"/>
      <c r="R10" s="7"/>
      <c r="S10" s="7"/>
      <c r="U10" s="7"/>
      <c r="X10" s="7"/>
      <c r="Y10" s="7"/>
      <c r="AS10" s="7"/>
    </row>
    <row r="11" spans="1:66">
      <c r="A11" s="212"/>
      <c r="B11" s="211"/>
      <c r="C11" s="211"/>
      <c r="D11" s="213"/>
      <c r="L11" s="7"/>
      <c r="M11" s="7"/>
      <c r="P11" s="7"/>
      <c r="Q11" s="7"/>
      <c r="R11" s="7"/>
      <c r="S11" s="7"/>
      <c r="U11" s="7"/>
      <c r="X11" s="7"/>
      <c r="Y11" s="7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</row>
    <row r="12" spans="1:66" ht="9" hidden="1" customHeight="1">
      <c r="L12" s="7"/>
      <c r="M12" s="19"/>
      <c r="P12" s="7"/>
      <c r="Q12" s="7"/>
      <c r="R12" s="14"/>
      <c r="S12" s="14"/>
    </row>
    <row r="13" spans="1:66" ht="10.5" hidden="1" customHeight="1">
      <c r="L13" s="7"/>
      <c r="M13" s="19"/>
      <c r="P13" s="7"/>
      <c r="Q13" s="180"/>
      <c r="R13" s="14"/>
      <c r="S13" s="14"/>
    </row>
    <row r="14" spans="1:66" ht="15.75" customHeight="1">
      <c r="L14" s="7"/>
      <c r="M14" s="7"/>
      <c r="O14" s="241"/>
      <c r="P14" s="241"/>
      <c r="Q14" s="180"/>
      <c r="R14" s="7"/>
      <c r="S14" s="7"/>
      <c r="U14" s="7"/>
      <c r="X14" s="7"/>
      <c r="Y14" s="7"/>
      <c r="AT14" s="181" t="s">
        <v>174</v>
      </c>
      <c r="AU14" s="181"/>
      <c r="AV14" s="181"/>
      <c r="AW14" s="181"/>
      <c r="AX14" s="181"/>
      <c r="AY14" s="181"/>
      <c r="AZ14" s="181"/>
      <c r="BA14" s="181"/>
      <c r="BB14" s="181"/>
      <c r="BC14" s="181"/>
      <c r="BD14" s="186" t="s">
        <v>183</v>
      </c>
      <c r="BE14" s="187"/>
      <c r="BF14" s="187"/>
      <c r="BG14" s="187"/>
      <c r="BH14" s="187"/>
      <c r="BI14" s="187"/>
      <c r="BJ14" s="187"/>
      <c r="BK14" s="187"/>
      <c r="BL14" s="187"/>
      <c r="BM14" s="188"/>
      <c r="BN14" s="193" t="s">
        <v>184</v>
      </c>
    </row>
    <row r="15" spans="1:66">
      <c r="A15" s="1" t="s">
        <v>24</v>
      </c>
      <c r="B15" s="1" t="s">
        <v>25</v>
      </c>
      <c r="C15" s="1" t="s">
        <v>17</v>
      </c>
      <c r="D15" s="1" t="s">
        <v>27</v>
      </c>
      <c r="E15" s="1" t="s">
        <v>28</v>
      </c>
      <c r="F15" s="1" t="s">
        <v>29</v>
      </c>
      <c r="G15" s="1" t="s">
        <v>30</v>
      </c>
      <c r="H15" s="1" t="s">
        <v>31</v>
      </c>
      <c r="I15" s="1" t="s">
        <v>32</v>
      </c>
      <c r="J15" s="1" t="s">
        <v>33</v>
      </c>
      <c r="K15" s="1" t="s">
        <v>34</v>
      </c>
      <c r="L15" s="3" t="s">
        <v>10</v>
      </c>
      <c r="M15" s="3" t="s">
        <v>35</v>
      </c>
      <c r="N15" s="1" t="s">
        <v>36</v>
      </c>
      <c r="O15" s="1" t="s">
        <v>37</v>
      </c>
      <c r="P15" s="4" t="s">
        <v>186</v>
      </c>
      <c r="Q15" s="5" t="s">
        <v>39</v>
      </c>
      <c r="R15" s="5" t="s">
        <v>40</v>
      </c>
      <c r="S15" s="5" t="s">
        <v>41</v>
      </c>
      <c r="T15" s="1" t="s">
        <v>95</v>
      </c>
      <c r="U15" s="6" t="s">
        <v>43</v>
      </c>
      <c r="V15" s="1" t="s">
        <v>44</v>
      </c>
      <c r="W15" s="1" t="s">
        <v>45</v>
      </c>
      <c r="X15" s="1" t="s">
        <v>93</v>
      </c>
      <c r="Y15" s="1" t="s">
        <v>94</v>
      </c>
      <c r="Z15" s="83" t="s">
        <v>89</v>
      </c>
      <c r="AA15" s="83" t="s">
        <v>90</v>
      </c>
      <c r="AB15" s="1" t="s">
        <v>49</v>
      </c>
      <c r="AC15" s="1" t="s">
        <v>50</v>
      </c>
      <c r="AD15" s="1" t="s">
        <v>51</v>
      </c>
      <c r="AE15" s="1" t="s">
        <v>2165</v>
      </c>
      <c r="AF15" s="1" t="s">
        <v>188</v>
      </c>
      <c r="AG15" s="1" t="s">
        <v>88</v>
      </c>
      <c r="AH15" s="1" t="s">
        <v>96</v>
      </c>
      <c r="AI15" s="1" t="s">
        <v>97</v>
      </c>
      <c r="AJ15" s="1" t="s">
        <v>131</v>
      </c>
      <c r="AK15" s="1" t="s">
        <v>169</v>
      </c>
      <c r="AL15" s="1" t="s">
        <v>170</v>
      </c>
      <c r="AM15" s="1" t="s">
        <v>16</v>
      </c>
      <c r="AN15" s="1" t="s">
        <v>2107</v>
      </c>
      <c r="AO15" s="1" t="s">
        <v>2108</v>
      </c>
      <c r="AP15" s="1" t="s">
        <v>2109</v>
      </c>
      <c r="AQ15" s="1" t="s">
        <v>2143</v>
      </c>
      <c r="AR15" s="1" t="s">
        <v>2144</v>
      </c>
      <c r="AS15" s="200" t="s">
        <v>187</v>
      </c>
      <c r="AT15" s="182" t="s">
        <v>175</v>
      </c>
      <c r="AU15" s="183" t="s">
        <v>176</v>
      </c>
      <c r="AV15" s="184" t="s">
        <v>177</v>
      </c>
      <c r="AW15" s="183" t="s">
        <v>178</v>
      </c>
      <c r="AX15" s="185" t="s">
        <v>44</v>
      </c>
      <c r="AY15" s="182" t="s">
        <v>13</v>
      </c>
      <c r="AZ15" s="182" t="s">
        <v>179</v>
      </c>
      <c r="BA15" s="182" t="s">
        <v>180</v>
      </c>
      <c r="BB15" s="182" t="s">
        <v>181</v>
      </c>
      <c r="BC15" s="182" t="s">
        <v>182</v>
      </c>
      <c r="BD15" s="189" t="s">
        <v>175</v>
      </c>
      <c r="BE15" s="190" t="s">
        <v>176</v>
      </c>
      <c r="BF15" s="191" t="s">
        <v>177</v>
      </c>
      <c r="BG15" s="190" t="s">
        <v>178</v>
      </c>
      <c r="BH15" s="189" t="s">
        <v>44</v>
      </c>
      <c r="BI15" s="192" t="s">
        <v>13</v>
      </c>
      <c r="BJ15" s="192" t="s">
        <v>179</v>
      </c>
      <c r="BK15" s="192" t="s">
        <v>180</v>
      </c>
      <c r="BL15" s="192" t="s">
        <v>181</v>
      </c>
      <c r="BM15" s="192" t="s">
        <v>182</v>
      </c>
      <c r="BN15" s="194" t="s">
        <v>185</v>
      </c>
    </row>
    <row r="16" spans="1:66">
      <c r="A16" s="204" t="s">
        <v>2298</v>
      </c>
      <c r="B16" s="204">
        <v>1</v>
      </c>
      <c r="C16" s="204" t="s">
        <v>155</v>
      </c>
      <c r="D16" s="204"/>
      <c r="E16" s="204" t="s">
        <v>2299</v>
      </c>
      <c r="F16" s="204">
        <v>20250902</v>
      </c>
      <c r="G16" s="204" t="s">
        <v>2300</v>
      </c>
      <c r="H16" s="204">
        <v>131976</v>
      </c>
      <c r="I16" s="204" t="s">
        <v>2301</v>
      </c>
      <c r="J16" s="204" t="s">
        <v>156</v>
      </c>
      <c r="K16" s="204"/>
      <c r="L16" s="205">
        <v>-948.38962599999923</v>
      </c>
      <c r="M16" s="205">
        <v>4270</v>
      </c>
      <c r="N16" s="204" t="s">
        <v>2302</v>
      </c>
      <c r="O16" s="204" t="s">
        <v>2</v>
      </c>
      <c r="P16" s="206">
        <v>6.5000000000000002E-2</v>
      </c>
      <c r="Q16" s="206">
        <f>IFERROR(P16/VLOOKUP(O16,Currency,2,0),0)</f>
        <v>9.0277784999999999E-3</v>
      </c>
      <c r="R16" s="206">
        <f>P16*H16</f>
        <v>8578.44</v>
      </c>
      <c r="S16" s="206">
        <f>Q16*H16</f>
        <v>1191.450095316</v>
      </c>
      <c r="T16" s="204">
        <v>20250909</v>
      </c>
      <c r="U16" s="240">
        <v>0</v>
      </c>
      <c r="V16" s="204" t="s">
        <v>2303</v>
      </c>
      <c r="W16" s="204" t="s">
        <v>2304</v>
      </c>
      <c r="X16" s="207"/>
      <c r="Y16" s="207"/>
      <c r="Z16" s="204">
        <v>20250909</v>
      </c>
      <c r="AA16" s="204" t="s">
        <v>2305</v>
      </c>
      <c r="AB16" s="204"/>
      <c r="AC16" s="204" t="s">
        <v>2306</v>
      </c>
      <c r="AD16" s="7" t="s">
        <v>2306</v>
      </c>
      <c r="AH16" s="7" t="s">
        <v>2307</v>
      </c>
      <c r="AI16" s="7" t="s">
        <v>2308</v>
      </c>
      <c r="AL16" s="7">
        <v>1</v>
      </c>
      <c r="AM16" s="7" t="s">
        <v>142</v>
      </c>
      <c r="AN16" s="7" t="s">
        <v>2309</v>
      </c>
      <c r="AO16" s="7" t="s">
        <v>2310</v>
      </c>
      <c r="AP16" s="7">
        <v>0</v>
      </c>
      <c r="AQ16" s="7" t="s">
        <v>2311</v>
      </c>
      <c r="AR16" s="7">
        <v>230</v>
      </c>
    </row>
    <row r="17" spans="1:44">
      <c r="A17" s="204" t="s">
        <v>2298</v>
      </c>
      <c r="B17" s="204">
        <v>2</v>
      </c>
      <c r="C17" s="204" t="s">
        <v>155</v>
      </c>
      <c r="D17" s="204"/>
      <c r="E17" s="204" t="s">
        <v>2312</v>
      </c>
      <c r="F17" s="204">
        <v>20250902</v>
      </c>
      <c r="G17" s="204" t="s">
        <v>2300</v>
      </c>
      <c r="H17" s="204">
        <v>16679</v>
      </c>
      <c r="I17" s="204" t="s">
        <v>2301</v>
      </c>
      <c r="J17" s="204" t="s">
        <v>156</v>
      </c>
      <c r="K17" s="204"/>
      <c r="L17" s="205">
        <v>-948.38962599999923</v>
      </c>
      <c r="M17" s="205">
        <v>4270</v>
      </c>
      <c r="N17" s="204" t="s">
        <v>2302</v>
      </c>
      <c r="O17" s="204" t="s">
        <v>2</v>
      </c>
      <c r="P17" s="206">
        <v>0.4</v>
      </c>
      <c r="Q17" s="206">
        <f>IFERROR(P17/VLOOKUP(O17,Currency,2,0),0)</f>
        <v>5.5555560000000004E-2</v>
      </c>
      <c r="R17" s="206">
        <f>P17*H17</f>
        <v>6671.6</v>
      </c>
      <c r="S17" s="206">
        <f>Q17*H17</f>
        <v>926.61118524000005</v>
      </c>
      <c r="T17" s="204">
        <v>20250909</v>
      </c>
      <c r="U17" s="240">
        <v>0</v>
      </c>
      <c r="V17" s="204" t="s">
        <v>2303</v>
      </c>
      <c r="W17" s="204" t="s">
        <v>2304</v>
      </c>
      <c r="X17" s="207"/>
      <c r="Y17" s="207"/>
      <c r="Z17" s="204">
        <v>20250909</v>
      </c>
      <c r="AA17" s="204" t="s">
        <v>2305</v>
      </c>
      <c r="AB17" s="204"/>
      <c r="AC17" s="204" t="s">
        <v>2306</v>
      </c>
      <c r="AD17" s="7" t="s">
        <v>2306</v>
      </c>
      <c r="AH17" s="7" t="s">
        <v>2307</v>
      </c>
      <c r="AI17" s="7" t="s">
        <v>2308</v>
      </c>
      <c r="AL17" s="7">
        <v>2</v>
      </c>
      <c r="AM17" s="7" t="s">
        <v>142</v>
      </c>
      <c r="AN17" s="7" t="s">
        <v>2309</v>
      </c>
      <c r="AO17" s="7" t="s">
        <v>2310</v>
      </c>
      <c r="AP17" s="7">
        <v>0</v>
      </c>
      <c r="AQ17" s="7" t="s">
        <v>2311</v>
      </c>
      <c r="AR17" s="7">
        <v>230</v>
      </c>
    </row>
    <row r="18" spans="1:44">
      <c r="A18" s="204" t="s">
        <v>2298</v>
      </c>
      <c r="B18" s="204">
        <v>3</v>
      </c>
      <c r="C18" s="204" t="s">
        <v>155</v>
      </c>
      <c r="D18" s="204"/>
      <c r="E18" s="204" t="s">
        <v>2313</v>
      </c>
      <c r="F18" s="204">
        <v>20250902</v>
      </c>
      <c r="G18" s="204" t="s">
        <v>2300</v>
      </c>
      <c r="H18" s="204">
        <v>100</v>
      </c>
      <c r="I18" s="204" t="s">
        <v>2314</v>
      </c>
      <c r="J18" s="204" t="s">
        <v>156</v>
      </c>
      <c r="K18" s="204"/>
      <c r="L18" s="205">
        <v>-948.38962599999923</v>
      </c>
      <c r="M18" s="205">
        <v>4270</v>
      </c>
      <c r="N18" s="204" t="s">
        <v>2302</v>
      </c>
      <c r="O18" s="204" t="s">
        <v>2</v>
      </c>
      <c r="P18" s="206">
        <v>65</v>
      </c>
      <c r="Q18" s="206">
        <f>IFERROR(P18/VLOOKUP(O18,Currency,2,0),0)</f>
        <v>9.0277785000000002</v>
      </c>
      <c r="R18" s="206">
        <f>P18*H18</f>
        <v>6500</v>
      </c>
      <c r="S18" s="206">
        <f>Q18*H18</f>
        <v>902.77785000000006</v>
      </c>
      <c r="T18" s="204">
        <v>20250909</v>
      </c>
      <c r="U18" s="240">
        <v>0</v>
      </c>
      <c r="V18" s="204" t="s">
        <v>2315</v>
      </c>
      <c r="W18" s="204" t="s">
        <v>2316</v>
      </c>
      <c r="X18" s="207"/>
      <c r="Y18" s="207"/>
      <c r="Z18" s="204">
        <v>20250909</v>
      </c>
      <c r="AA18" s="204" t="s">
        <v>2305</v>
      </c>
      <c r="AB18" s="204" t="s">
        <v>2317</v>
      </c>
      <c r="AC18" s="204" t="s">
        <v>2306</v>
      </c>
      <c r="AD18" s="7" t="s">
        <v>2306</v>
      </c>
      <c r="AH18" s="7" t="s">
        <v>2307</v>
      </c>
      <c r="AI18" s="7" t="s">
        <v>2308</v>
      </c>
      <c r="AL18" s="7">
        <v>1</v>
      </c>
      <c r="AM18" s="7" t="s">
        <v>142</v>
      </c>
      <c r="AN18" s="7" t="s">
        <v>2309</v>
      </c>
      <c r="AO18" s="7" t="s">
        <v>2310</v>
      </c>
      <c r="AP18" s="7">
        <v>0</v>
      </c>
      <c r="AQ18" s="7" t="s">
        <v>2311</v>
      </c>
      <c r="AR18" s="7">
        <v>230</v>
      </c>
    </row>
    <row r="19" spans="1:44">
      <c r="A19" s="204" t="s">
        <v>2298</v>
      </c>
      <c r="B19" s="204">
        <v>4</v>
      </c>
      <c r="C19" s="204" t="s">
        <v>155</v>
      </c>
      <c r="D19" s="204"/>
      <c r="E19" s="204" t="s">
        <v>2318</v>
      </c>
      <c r="F19" s="204">
        <v>20250902</v>
      </c>
      <c r="G19" s="204" t="s">
        <v>2300</v>
      </c>
      <c r="H19" s="204">
        <v>2</v>
      </c>
      <c r="I19" s="204" t="s">
        <v>2319</v>
      </c>
      <c r="J19" s="204" t="s">
        <v>156</v>
      </c>
      <c r="K19" s="204"/>
      <c r="L19" s="205">
        <v>-948.38962599999923</v>
      </c>
      <c r="M19" s="205">
        <v>4270</v>
      </c>
      <c r="N19" s="204" t="s">
        <v>2302</v>
      </c>
      <c r="O19" s="204" t="s">
        <v>2</v>
      </c>
      <c r="P19" s="206">
        <v>213.72566</v>
      </c>
      <c r="Q19" s="206">
        <f>IFERROR(P19/VLOOKUP(O19,Currency,2,0),0)</f>
        <v>29.684121819174003</v>
      </c>
      <c r="R19" s="206">
        <f>P19*H19</f>
        <v>427.45132000000001</v>
      </c>
      <c r="S19" s="206">
        <f>Q19*H19</f>
        <v>59.368243638348005</v>
      </c>
      <c r="T19" s="204">
        <v>20250909</v>
      </c>
      <c r="U19" s="240">
        <v>0</v>
      </c>
      <c r="V19" s="204" t="s">
        <v>2320</v>
      </c>
      <c r="W19" s="204" t="s">
        <v>2321</v>
      </c>
      <c r="X19" s="207"/>
      <c r="Y19" s="207"/>
      <c r="Z19" s="204">
        <v>20250909</v>
      </c>
      <c r="AA19" s="204" t="s">
        <v>2305</v>
      </c>
      <c r="AB19" s="204"/>
      <c r="AC19" s="204" t="s">
        <v>2306</v>
      </c>
      <c r="AD19" s="7" t="s">
        <v>2306</v>
      </c>
      <c r="AH19" s="7" t="s">
        <v>2307</v>
      </c>
      <c r="AI19" s="7" t="s">
        <v>2308</v>
      </c>
      <c r="AL19" s="7">
        <v>1</v>
      </c>
      <c r="AM19" s="7" t="s">
        <v>142</v>
      </c>
      <c r="AN19" s="7" t="s">
        <v>2309</v>
      </c>
      <c r="AO19" s="7" t="s">
        <v>2310</v>
      </c>
      <c r="AP19" s="7">
        <v>0</v>
      </c>
      <c r="AQ19" s="7" t="s">
        <v>2311</v>
      </c>
      <c r="AR19" s="7">
        <v>230</v>
      </c>
    </row>
    <row r="20" spans="1:44">
      <c r="A20" s="204"/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5"/>
      <c r="M20" s="205"/>
      <c r="N20" s="204"/>
      <c r="O20" s="204"/>
      <c r="P20" s="206"/>
      <c r="Q20" s="206"/>
      <c r="R20" s="206"/>
      <c r="S20" s="206"/>
      <c r="T20" s="204"/>
      <c r="U20" s="207"/>
      <c r="V20" s="204"/>
      <c r="W20" s="204"/>
      <c r="X20" s="207"/>
      <c r="Y20" s="207"/>
      <c r="Z20" s="204"/>
      <c r="AA20" s="204"/>
      <c r="AB20" s="204"/>
      <c r="AC20" s="204"/>
    </row>
    <row r="21" spans="1:44">
      <c r="A21" s="204"/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5"/>
      <c r="M21" s="205"/>
      <c r="N21" s="204"/>
      <c r="O21" s="204"/>
      <c r="P21" s="206"/>
      <c r="Q21" s="206"/>
      <c r="R21" s="206"/>
      <c r="S21" s="206"/>
      <c r="T21" s="204"/>
      <c r="U21" s="207"/>
      <c r="V21" s="204"/>
      <c r="W21" s="204"/>
      <c r="X21" s="207"/>
      <c r="Y21" s="207"/>
      <c r="Z21" s="204"/>
      <c r="AA21" s="204"/>
      <c r="AB21" s="204"/>
      <c r="AC21" s="204"/>
    </row>
    <row r="22" spans="1:44">
      <c r="A22" s="204"/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5"/>
      <c r="M22" s="205"/>
      <c r="N22" s="204"/>
      <c r="O22" s="204"/>
      <c r="P22" s="206"/>
      <c r="Q22" s="206"/>
      <c r="R22" s="206"/>
      <c r="S22" s="206"/>
      <c r="T22" s="204"/>
      <c r="U22" s="207"/>
      <c r="V22" s="204"/>
      <c r="W22" s="204"/>
      <c r="X22" s="207"/>
      <c r="Y22" s="207"/>
      <c r="Z22" s="204"/>
      <c r="AA22" s="204"/>
      <c r="AB22" s="204"/>
      <c r="AC22" s="204"/>
    </row>
    <row r="23" spans="1:44">
      <c r="A23" s="204"/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5"/>
      <c r="M23" s="205"/>
      <c r="N23" s="204"/>
      <c r="O23" s="204"/>
      <c r="P23" s="206"/>
      <c r="Q23" s="206"/>
      <c r="R23" s="206"/>
      <c r="S23" s="206"/>
      <c r="T23" s="204"/>
      <c r="U23" s="207"/>
      <c r="V23" s="204"/>
      <c r="W23" s="204"/>
      <c r="X23" s="207"/>
      <c r="Y23" s="207"/>
      <c r="Z23" s="204"/>
      <c r="AA23" s="204"/>
      <c r="AB23" s="204"/>
      <c r="AC23" s="204"/>
    </row>
    <row r="24" spans="1:44">
      <c r="A24" s="204"/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5"/>
      <c r="M24" s="205"/>
      <c r="N24" s="204"/>
      <c r="O24" s="204"/>
      <c r="P24" s="206"/>
      <c r="Q24" s="206"/>
      <c r="R24" s="206"/>
      <c r="S24" s="206"/>
      <c r="T24" s="204"/>
      <c r="U24" s="207"/>
      <c r="V24" s="204"/>
      <c r="W24" s="204"/>
      <c r="X24" s="207"/>
      <c r="Y24" s="207"/>
      <c r="Z24" s="204"/>
      <c r="AA24" s="204"/>
      <c r="AB24" s="204"/>
      <c r="AC24" s="204"/>
    </row>
    <row r="25" spans="1:44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5"/>
      <c r="M25" s="205"/>
      <c r="N25" s="204"/>
      <c r="O25" s="204"/>
      <c r="P25" s="206"/>
      <c r="Q25" s="206"/>
      <c r="R25" s="206"/>
      <c r="S25" s="206"/>
      <c r="T25" s="204"/>
      <c r="U25" s="207"/>
      <c r="V25" s="204"/>
      <c r="W25" s="204"/>
      <c r="X25" s="207"/>
      <c r="Y25" s="207"/>
      <c r="Z25" s="204"/>
      <c r="AA25" s="204"/>
      <c r="AB25" s="204"/>
      <c r="AC25" s="204"/>
    </row>
    <row r="26" spans="1:44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5"/>
      <c r="M26" s="205"/>
      <c r="N26" s="204"/>
      <c r="O26" s="204"/>
      <c r="P26" s="206"/>
      <c r="Q26" s="206"/>
      <c r="R26" s="206"/>
      <c r="S26" s="206"/>
      <c r="T26" s="204"/>
      <c r="U26" s="207"/>
      <c r="V26" s="204"/>
      <c r="W26" s="204"/>
      <c r="X26" s="207"/>
      <c r="Y26" s="207"/>
      <c r="Z26" s="204"/>
      <c r="AA26" s="204"/>
      <c r="AB26" s="204"/>
      <c r="AC26" s="204"/>
    </row>
    <row r="27" spans="1:44">
      <c r="A27" s="204"/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5"/>
      <c r="M27" s="205"/>
      <c r="N27" s="204"/>
      <c r="O27" s="204"/>
      <c r="P27" s="206"/>
      <c r="Q27" s="206"/>
      <c r="R27" s="206"/>
      <c r="S27" s="206"/>
      <c r="T27" s="204"/>
      <c r="U27" s="207"/>
      <c r="V27" s="204"/>
      <c r="W27" s="204"/>
      <c r="X27" s="207"/>
      <c r="Y27" s="207"/>
      <c r="Z27" s="204"/>
      <c r="AA27" s="204"/>
      <c r="AB27" s="204"/>
      <c r="AC27" s="204"/>
    </row>
    <row r="28" spans="1:44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5"/>
      <c r="M28" s="205"/>
      <c r="N28" s="204"/>
      <c r="O28" s="204"/>
      <c r="P28" s="206"/>
      <c r="Q28" s="206"/>
      <c r="R28" s="206"/>
      <c r="S28" s="206"/>
      <c r="T28" s="204"/>
      <c r="U28" s="207"/>
      <c r="V28" s="204"/>
      <c r="W28" s="204"/>
      <c r="X28" s="207"/>
      <c r="Y28" s="207"/>
      <c r="Z28" s="204"/>
      <c r="AA28" s="204"/>
      <c r="AB28" s="204"/>
      <c r="AC28" s="204"/>
    </row>
    <row r="29" spans="1:44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5"/>
      <c r="M29" s="205"/>
      <c r="N29" s="204"/>
      <c r="O29" s="204"/>
      <c r="P29" s="206"/>
      <c r="Q29" s="206"/>
      <c r="R29" s="206"/>
      <c r="S29" s="206"/>
      <c r="T29" s="204"/>
      <c r="U29" s="207"/>
      <c r="V29" s="204"/>
      <c r="W29" s="204"/>
      <c r="X29" s="207"/>
      <c r="Y29" s="207"/>
      <c r="Z29" s="204"/>
      <c r="AA29" s="204"/>
      <c r="AB29" s="204"/>
      <c r="AC29" s="204"/>
    </row>
    <row r="30" spans="1:44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5"/>
      <c r="M30" s="205"/>
      <c r="N30" s="204"/>
      <c r="O30" s="204"/>
      <c r="P30" s="206"/>
      <c r="Q30" s="206"/>
      <c r="R30" s="206"/>
      <c r="S30" s="206"/>
      <c r="T30" s="204"/>
      <c r="U30" s="207"/>
      <c r="V30" s="204"/>
      <c r="W30" s="204"/>
      <c r="X30" s="207"/>
      <c r="Y30" s="207"/>
      <c r="Z30" s="204"/>
      <c r="AA30" s="204"/>
      <c r="AB30" s="204"/>
      <c r="AC30" s="204"/>
    </row>
    <row r="31" spans="1:4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5"/>
      <c r="M31" s="205"/>
      <c r="N31" s="204"/>
      <c r="O31" s="204"/>
      <c r="P31" s="206"/>
      <c r="Q31" s="206"/>
      <c r="R31" s="206"/>
      <c r="S31" s="206"/>
      <c r="T31" s="204"/>
      <c r="U31" s="207"/>
      <c r="V31" s="204"/>
      <c r="W31" s="204"/>
      <c r="X31" s="207"/>
      <c r="Y31" s="207"/>
      <c r="Z31" s="204"/>
      <c r="AA31" s="204"/>
      <c r="AB31" s="204"/>
      <c r="AC31" s="204"/>
    </row>
    <row r="32" spans="1:44">
      <c r="A32" s="204"/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5"/>
      <c r="M32" s="205"/>
      <c r="N32" s="204"/>
      <c r="O32" s="204"/>
      <c r="P32" s="206"/>
      <c r="Q32" s="206"/>
      <c r="R32" s="206"/>
      <c r="S32" s="206"/>
      <c r="T32" s="204"/>
      <c r="U32" s="207"/>
      <c r="V32" s="204"/>
      <c r="W32" s="204"/>
      <c r="X32" s="207"/>
      <c r="Y32" s="207"/>
      <c r="Z32" s="204"/>
      <c r="AA32" s="204"/>
      <c r="AB32" s="204"/>
      <c r="AC32" s="204"/>
    </row>
    <row r="33" spans="1:29">
      <c r="A33" s="204"/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5"/>
      <c r="M33" s="205"/>
      <c r="N33" s="204"/>
      <c r="O33" s="204"/>
      <c r="P33" s="206"/>
      <c r="Q33" s="206"/>
      <c r="R33" s="206"/>
      <c r="S33" s="206"/>
      <c r="T33" s="204"/>
      <c r="U33" s="207"/>
      <c r="V33" s="204"/>
      <c r="W33" s="204"/>
      <c r="X33" s="207"/>
      <c r="Y33" s="207"/>
      <c r="Z33" s="204"/>
      <c r="AA33" s="204"/>
      <c r="AB33" s="204"/>
      <c r="AC33" s="204"/>
    </row>
    <row r="34" spans="1:29">
      <c r="A34" s="204"/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5"/>
      <c r="M34" s="205"/>
      <c r="N34" s="204"/>
      <c r="O34" s="204"/>
      <c r="P34" s="206"/>
      <c r="Q34" s="206"/>
      <c r="R34" s="206"/>
      <c r="S34" s="206"/>
      <c r="T34" s="204"/>
      <c r="U34" s="207"/>
      <c r="V34" s="204"/>
      <c r="W34" s="204"/>
      <c r="X34" s="207"/>
      <c r="Y34" s="207"/>
      <c r="Z34" s="204"/>
      <c r="AA34" s="204"/>
      <c r="AB34" s="204"/>
      <c r="AC34" s="204"/>
    </row>
    <row r="35" spans="1:29">
      <c r="A35" s="204"/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5"/>
      <c r="M35" s="205"/>
      <c r="N35" s="204"/>
      <c r="O35" s="204"/>
      <c r="P35" s="206"/>
      <c r="Q35" s="206"/>
      <c r="R35" s="206"/>
      <c r="S35" s="206"/>
      <c r="T35" s="204"/>
      <c r="U35" s="207"/>
      <c r="V35" s="204"/>
      <c r="W35" s="204"/>
      <c r="X35" s="207"/>
      <c r="Y35" s="207"/>
      <c r="Z35" s="204"/>
      <c r="AA35" s="204"/>
      <c r="AB35" s="204"/>
      <c r="AC35" s="204"/>
    </row>
    <row r="36" spans="1:29">
      <c r="A36" s="204"/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5"/>
      <c r="M36" s="205"/>
      <c r="N36" s="204"/>
      <c r="O36" s="204"/>
      <c r="P36" s="206"/>
      <c r="Q36" s="206"/>
      <c r="R36" s="206"/>
      <c r="S36" s="206"/>
      <c r="T36" s="204"/>
      <c r="U36" s="207"/>
      <c r="V36" s="204"/>
      <c r="W36" s="204"/>
      <c r="X36" s="207"/>
      <c r="Y36" s="207"/>
      <c r="Z36" s="204"/>
      <c r="AA36" s="204"/>
      <c r="AB36" s="204"/>
      <c r="AC36" s="204"/>
    </row>
    <row r="37" spans="1:29">
      <c r="A37" s="204"/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5"/>
      <c r="M37" s="205"/>
      <c r="N37" s="204"/>
      <c r="O37" s="204"/>
      <c r="P37" s="206"/>
      <c r="Q37" s="206"/>
      <c r="R37" s="206"/>
      <c r="S37" s="206"/>
      <c r="T37" s="204"/>
      <c r="U37" s="207"/>
      <c r="V37" s="204"/>
      <c r="W37" s="204"/>
      <c r="X37" s="207"/>
      <c r="Y37" s="207"/>
      <c r="Z37" s="204"/>
      <c r="AA37" s="204"/>
      <c r="AB37" s="204"/>
      <c r="AC37" s="204"/>
    </row>
    <row r="38" spans="1:29">
      <c r="A38" s="204"/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5"/>
      <c r="M38" s="205"/>
      <c r="N38" s="204"/>
      <c r="O38" s="204"/>
      <c r="P38" s="206"/>
      <c r="Q38" s="206"/>
      <c r="R38" s="206"/>
      <c r="S38" s="206"/>
      <c r="T38" s="204"/>
      <c r="U38" s="207"/>
      <c r="V38" s="204"/>
      <c r="W38" s="204"/>
      <c r="X38" s="207"/>
      <c r="Y38" s="207"/>
      <c r="Z38" s="204"/>
      <c r="AA38" s="204"/>
      <c r="AB38" s="204"/>
      <c r="AC38" s="204"/>
    </row>
    <row r="39" spans="1:29">
      <c r="A39" s="204"/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5"/>
      <c r="M39" s="205"/>
      <c r="N39" s="204"/>
      <c r="O39" s="204"/>
      <c r="P39" s="206"/>
      <c r="Q39" s="206"/>
      <c r="R39" s="206"/>
      <c r="S39" s="206"/>
      <c r="T39" s="204"/>
      <c r="U39" s="207"/>
      <c r="V39" s="204"/>
      <c r="W39" s="204"/>
      <c r="X39" s="207"/>
      <c r="Y39" s="207"/>
      <c r="Z39" s="204"/>
      <c r="AA39" s="204"/>
      <c r="AB39" s="204"/>
      <c r="AC39" s="204"/>
    </row>
    <row r="40" spans="1:29">
      <c r="A40" s="204"/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5"/>
      <c r="M40" s="205"/>
      <c r="N40" s="204"/>
      <c r="O40" s="204"/>
      <c r="P40" s="206"/>
      <c r="Q40" s="206"/>
      <c r="R40" s="206"/>
      <c r="S40" s="206"/>
      <c r="T40" s="204"/>
      <c r="U40" s="207"/>
      <c r="V40" s="204"/>
      <c r="W40" s="204"/>
      <c r="X40" s="207"/>
      <c r="Y40" s="207"/>
      <c r="Z40" s="204"/>
      <c r="AA40" s="204"/>
      <c r="AB40" s="204"/>
      <c r="AC40" s="204"/>
    </row>
    <row r="41" spans="1:29">
      <c r="A41" s="204"/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5"/>
      <c r="M41" s="205"/>
      <c r="N41" s="204"/>
      <c r="O41" s="204"/>
      <c r="P41" s="206"/>
      <c r="Q41" s="206"/>
      <c r="R41" s="206"/>
      <c r="S41" s="206"/>
      <c r="T41" s="204"/>
      <c r="U41" s="207"/>
      <c r="V41" s="204"/>
      <c r="W41" s="204"/>
      <c r="X41" s="207"/>
      <c r="Y41" s="207"/>
      <c r="Z41" s="204"/>
      <c r="AA41" s="204"/>
      <c r="AB41" s="204"/>
      <c r="AC41" s="204"/>
    </row>
    <row r="42" spans="1:29">
      <c r="A42" s="204"/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5"/>
      <c r="M42" s="205"/>
      <c r="N42" s="204"/>
      <c r="O42" s="204"/>
      <c r="P42" s="206"/>
      <c r="Q42" s="206"/>
      <c r="R42" s="206"/>
      <c r="S42" s="206"/>
      <c r="T42" s="204"/>
      <c r="U42" s="207"/>
      <c r="V42" s="204"/>
      <c r="W42" s="204"/>
      <c r="X42" s="207"/>
      <c r="Y42" s="207"/>
      <c r="Z42" s="204"/>
      <c r="AA42" s="204"/>
      <c r="AB42" s="204"/>
      <c r="AC42" s="204"/>
    </row>
    <row r="43" spans="1:29">
      <c r="A43" s="204"/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5"/>
      <c r="M43" s="205"/>
      <c r="N43" s="204"/>
      <c r="O43" s="204"/>
      <c r="P43" s="206"/>
      <c r="Q43" s="206"/>
      <c r="R43" s="206"/>
      <c r="S43" s="206"/>
      <c r="T43" s="204"/>
      <c r="U43" s="207"/>
      <c r="V43" s="204"/>
      <c r="W43" s="204"/>
      <c r="X43" s="207"/>
      <c r="Y43" s="207"/>
      <c r="Z43" s="204"/>
      <c r="AA43" s="204"/>
      <c r="AB43" s="204"/>
      <c r="AC43" s="204"/>
    </row>
    <row r="44" spans="1:29">
      <c r="A44" s="204"/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5"/>
      <c r="M44" s="205"/>
      <c r="N44" s="204"/>
      <c r="O44" s="204"/>
      <c r="P44" s="206"/>
      <c r="Q44" s="206"/>
      <c r="R44" s="206"/>
      <c r="S44" s="206"/>
      <c r="T44" s="204"/>
      <c r="U44" s="207"/>
      <c r="V44" s="204"/>
      <c r="W44" s="204"/>
      <c r="X44" s="207"/>
      <c r="Y44" s="207"/>
      <c r="Z44" s="204"/>
      <c r="AA44" s="204"/>
      <c r="AB44" s="204"/>
      <c r="AC44" s="204"/>
    </row>
    <row r="45" spans="1:29">
      <c r="A45" s="204"/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5"/>
      <c r="M45" s="205"/>
      <c r="N45" s="204"/>
      <c r="O45" s="204"/>
      <c r="P45" s="206"/>
      <c r="Q45" s="206"/>
      <c r="R45" s="206"/>
      <c r="S45" s="206"/>
      <c r="T45" s="204"/>
      <c r="U45" s="207"/>
      <c r="V45" s="204"/>
      <c r="W45" s="204"/>
      <c r="X45" s="207"/>
      <c r="Y45" s="207"/>
      <c r="Z45" s="204"/>
      <c r="AA45" s="204"/>
      <c r="AB45" s="204"/>
      <c r="AC45" s="204"/>
    </row>
    <row r="46" spans="1:29">
      <c r="A46" s="204"/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5"/>
      <c r="M46" s="205"/>
      <c r="N46" s="204"/>
      <c r="O46" s="204"/>
      <c r="P46" s="206"/>
      <c r="Q46" s="206"/>
      <c r="R46" s="206"/>
      <c r="S46" s="206"/>
      <c r="T46" s="204"/>
      <c r="U46" s="207"/>
      <c r="V46" s="204"/>
      <c r="W46" s="204"/>
      <c r="X46" s="207"/>
      <c r="Y46" s="207"/>
      <c r="Z46" s="204"/>
      <c r="AA46" s="204"/>
      <c r="AB46" s="204"/>
      <c r="AC46" s="204"/>
    </row>
    <row r="47" spans="1:29">
      <c r="A47" s="204"/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5"/>
      <c r="M47" s="205"/>
      <c r="N47" s="204"/>
      <c r="O47" s="204"/>
      <c r="P47" s="206"/>
      <c r="Q47" s="206"/>
      <c r="R47" s="206"/>
      <c r="S47" s="206"/>
      <c r="T47" s="204"/>
      <c r="U47" s="207"/>
      <c r="V47" s="204"/>
      <c r="W47" s="204"/>
      <c r="X47" s="207"/>
      <c r="Y47" s="207"/>
      <c r="Z47" s="204"/>
      <c r="AA47" s="204"/>
      <c r="AB47" s="204"/>
      <c r="AC47" s="204"/>
    </row>
    <row r="48" spans="1:29">
      <c r="A48" s="204"/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5"/>
      <c r="M48" s="205"/>
      <c r="N48" s="204"/>
      <c r="O48" s="204"/>
      <c r="P48" s="206"/>
      <c r="Q48" s="206"/>
      <c r="R48" s="206"/>
      <c r="S48" s="206"/>
      <c r="T48" s="204"/>
      <c r="U48" s="207"/>
      <c r="V48" s="204"/>
      <c r="W48" s="204"/>
      <c r="X48" s="207"/>
      <c r="Y48" s="207"/>
      <c r="Z48" s="204"/>
      <c r="AA48" s="204"/>
      <c r="AB48" s="204"/>
      <c r="AC48" s="204"/>
    </row>
    <row r="49" spans="1:29">
      <c r="A49" s="204"/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5"/>
      <c r="M49" s="205"/>
      <c r="N49" s="204"/>
      <c r="O49" s="204"/>
      <c r="P49" s="206"/>
      <c r="Q49" s="206"/>
      <c r="R49" s="206"/>
      <c r="S49" s="206"/>
      <c r="T49" s="204"/>
      <c r="U49" s="207"/>
      <c r="V49" s="204"/>
      <c r="W49" s="204"/>
      <c r="X49" s="207"/>
      <c r="Y49" s="207"/>
      <c r="Z49" s="204"/>
      <c r="AA49" s="204"/>
      <c r="AB49" s="204"/>
      <c r="AC49" s="204"/>
    </row>
    <row r="50" spans="1:29">
      <c r="A50" s="204"/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5"/>
      <c r="M50" s="205"/>
      <c r="N50" s="204"/>
      <c r="O50" s="204"/>
      <c r="P50" s="206"/>
      <c r="Q50" s="206"/>
      <c r="R50" s="206"/>
      <c r="S50" s="206"/>
      <c r="T50" s="204"/>
      <c r="U50" s="207"/>
      <c r="V50" s="204"/>
      <c r="W50" s="204"/>
      <c r="X50" s="207"/>
      <c r="Y50" s="207"/>
      <c r="Z50" s="204"/>
      <c r="AA50" s="204"/>
      <c r="AB50" s="204"/>
      <c r="AC50" s="204"/>
    </row>
    <row r="51" spans="1:29">
      <c r="A51" s="204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5"/>
      <c r="M51" s="205"/>
      <c r="N51" s="204"/>
      <c r="O51" s="204"/>
      <c r="P51" s="206"/>
      <c r="Q51" s="206"/>
      <c r="R51" s="206"/>
      <c r="S51" s="206"/>
      <c r="T51" s="204"/>
      <c r="U51" s="207"/>
      <c r="V51" s="204"/>
      <c r="W51" s="204"/>
      <c r="X51" s="207"/>
      <c r="Y51" s="207"/>
      <c r="Z51" s="204"/>
      <c r="AA51" s="204"/>
      <c r="AB51" s="204"/>
      <c r="AC51" s="204"/>
    </row>
    <row r="52" spans="1:29">
      <c r="A52" s="204"/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5"/>
      <c r="M52" s="205"/>
      <c r="N52" s="204"/>
      <c r="O52" s="204"/>
      <c r="P52" s="206"/>
      <c r="Q52" s="206"/>
      <c r="R52" s="206"/>
      <c r="S52" s="206"/>
      <c r="T52" s="204"/>
      <c r="U52" s="207"/>
      <c r="V52" s="204"/>
      <c r="W52" s="204"/>
      <c r="X52" s="207"/>
      <c r="Y52" s="207"/>
      <c r="Z52" s="204"/>
      <c r="AA52" s="204"/>
      <c r="AB52" s="204"/>
      <c r="AC52" s="204"/>
    </row>
    <row r="53" spans="1:29">
      <c r="A53" s="204"/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5"/>
      <c r="M53" s="205"/>
      <c r="N53" s="204"/>
      <c r="O53" s="204"/>
      <c r="P53" s="206"/>
      <c r="Q53" s="206"/>
      <c r="R53" s="206"/>
      <c r="S53" s="206"/>
      <c r="T53" s="204"/>
      <c r="U53" s="207"/>
      <c r="V53" s="204"/>
      <c r="W53" s="204"/>
      <c r="X53" s="207"/>
      <c r="Y53" s="207"/>
      <c r="Z53" s="204"/>
      <c r="AA53" s="204"/>
      <c r="AB53" s="204"/>
      <c r="AC53" s="204"/>
    </row>
    <row r="54" spans="1:29">
      <c r="A54" s="204"/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5"/>
      <c r="M54" s="205"/>
      <c r="N54" s="204"/>
      <c r="O54" s="204"/>
      <c r="P54" s="206"/>
      <c r="Q54" s="206"/>
      <c r="R54" s="206"/>
      <c r="S54" s="206"/>
      <c r="T54" s="204"/>
      <c r="U54" s="207"/>
      <c r="V54" s="204"/>
      <c r="W54" s="204"/>
      <c r="X54" s="207"/>
      <c r="Y54" s="207"/>
      <c r="Z54" s="204"/>
      <c r="AA54" s="204"/>
      <c r="AB54" s="204"/>
      <c r="AC54" s="204"/>
    </row>
    <row r="55" spans="1:29">
      <c r="A55" s="204"/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5"/>
      <c r="M55" s="205"/>
      <c r="N55" s="204"/>
      <c r="O55" s="204"/>
      <c r="P55" s="206"/>
      <c r="Q55" s="206"/>
      <c r="R55" s="206"/>
      <c r="S55" s="206"/>
      <c r="T55" s="204"/>
      <c r="U55" s="207"/>
      <c r="V55" s="204"/>
      <c r="W55" s="204"/>
      <c r="X55" s="207"/>
      <c r="Y55" s="207"/>
      <c r="Z55" s="204"/>
      <c r="AA55" s="204"/>
      <c r="AB55" s="204"/>
      <c r="AC55" s="204"/>
    </row>
    <row r="56" spans="1:29">
      <c r="A56" s="204"/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5"/>
      <c r="M56" s="205"/>
      <c r="N56" s="204"/>
      <c r="O56" s="204"/>
      <c r="P56" s="206"/>
      <c r="Q56" s="206"/>
      <c r="R56" s="206"/>
      <c r="S56" s="206"/>
      <c r="T56" s="204"/>
      <c r="U56" s="207"/>
      <c r="V56" s="204"/>
      <c r="W56" s="204"/>
      <c r="X56" s="207"/>
      <c r="Y56" s="207"/>
      <c r="Z56" s="204"/>
      <c r="AA56" s="204"/>
      <c r="AB56" s="204"/>
      <c r="AC56" s="204"/>
    </row>
    <row r="57" spans="1:29">
      <c r="A57" s="204"/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5"/>
      <c r="M57" s="205"/>
      <c r="N57" s="204"/>
      <c r="O57" s="204"/>
      <c r="P57" s="206"/>
      <c r="Q57" s="206"/>
      <c r="R57" s="206"/>
      <c r="S57" s="206"/>
      <c r="T57" s="204"/>
      <c r="U57" s="207"/>
      <c r="V57" s="204"/>
      <c r="W57" s="204"/>
      <c r="X57" s="207"/>
      <c r="Y57" s="207"/>
      <c r="Z57" s="204"/>
      <c r="AA57" s="204"/>
      <c r="AB57" s="204"/>
      <c r="AC57" s="204"/>
    </row>
    <row r="58" spans="1:29">
      <c r="A58" s="204"/>
      <c r="B58" s="204"/>
      <c r="C58" s="204"/>
      <c r="D58" s="204"/>
      <c r="E58" s="204"/>
      <c r="F58" s="204"/>
      <c r="G58" s="204"/>
      <c r="H58" s="204"/>
      <c r="I58" s="204"/>
      <c r="J58" s="204"/>
      <c r="K58" s="204"/>
      <c r="L58" s="205"/>
      <c r="M58" s="205"/>
      <c r="N58" s="204"/>
      <c r="O58" s="204"/>
      <c r="P58" s="206"/>
      <c r="Q58" s="206"/>
      <c r="R58" s="206"/>
      <c r="S58" s="206"/>
      <c r="T58" s="204"/>
      <c r="U58" s="207"/>
      <c r="V58" s="204"/>
      <c r="W58" s="204"/>
      <c r="X58" s="207"/>
      <c r="Y58" s="207"/>
      <c r="Z58" s="204"/>
      <c r="AA58" s="204"/>
      <c r="AB58" s="204"/>
      <c r="AC58" s="204"/>
    </row>
    <row r="59" spans="1:29">
      <c r="A59" s="204"/>
      <c r="B59" s="204"/>
      <c r="C59" s="204"/>
      <c r="D59" s="204"/>
      <c r="E59" s="204"/>
      <c r="F59" s="204"/>
      <c r="G59" s="204"/>
      <c r="H59" s="204"/>
      <c r="I59" s="204"/>
      <c r="J59" s="204"/>
      <c r="K59" s="204"/>
      <c r="L59" s="205"/>
      <c r="M59" s="205"/>
      <c r="N59" s="204"/>
      <c r="O59" s="204"/>
      <c r="P59" s="206"/>
      <c r="Q59" s="206"/>
      <c r="R59" s="206"/>
      <c r="S59" s="206"/>
      <c r="T59" s="204"/>
      <c r="U59" s="207"/>
      <c r="V59" s="204"/>
      <c r="W59" s="204"/>
      <c r="X59" s="207"/>
      <c r="Y59" s="207"/>
      <c r="Z59" s="204"/>
      <c r="AA59" s="204"/>
      <c r="AB59" s="204"/>
      <c r="AC59" s="204"/>
    </row>
    <row r="60" spans="1:29">
      <c r="A60" s="204"/>
      <c r="B60" s="204"/>
      <c r="C60" s="204"/>
      <c r="D60" s="204"/>
      <c r="E60" s="204"/>
      <c r="F60" s="204"/>
      <c r="G60" s="204"/>
      <c r="H60" s="204"/>
      <c r="I60" s="204"/>
      <c r="J60" s="204"/>
      <c r="K60" s="204"/>
      <c r="L60" s="205"/>
      <c r="M60" s="205"/>
      <c r="N60" s="204"/>
      <c r="O60" s="204"/>
      <c r="P60" s="206"/>
      <c r="Q60" s="206"/>
      <c r="R60" s="206"/>
      <c r="S60" s="206"/>
      <c r="T60" s="204"/>
      <c r="U60" s="207"/>
      <c r="V60" s="204"/>
      <c r="W60" s="204"/>
      <c r="X60" s="207"/>
      <c r="Y60" s="207"/>
      <c r="Z60" s="204"/>
      <c r="AA60" s="204"/>
      <c r="AB60" s="204"/>
      <c r="AC60" s="204"/>
    </row>
    <row r="61" spans="1:29">
      <c r="A61" s="204"/>
      <c r="B61" s="204"/>
      <c r="C61" s="204"/>
      <c r="D61" s="204"/>
      <c r="E61" s="204"/>
      <c r="F61" s="204"/>
      <c r="G61" s="204"/>
      <c r="H61" s="204"/>
      <c r="I61" s="204"/>
      <c r="J61" s="204"/>
      <c r="K61" s="204"/>
      <c r="L61" s="205"/>
      <c r="M61" s="205"/>
      <c r="N61" s="204"/>
      <c r="O61" s="204"/>
      <c r="P61" s="206"/>
      <c r="Q61" s="206"/>
      <c r="R61" s="206"/>
      <c r="S61" s="206"/>
      <c r="T61" s="204"/>
      <c r="U61" s="207"/>
      <c r="V61" s="204"/>
      <c r="W61" s="204"/>
      <c r="X61" s="207"/>
      <c r="Y61" s="207"/>
      <c r="Z61" s="204"/>
      <c r="AA61" s="204"/>
      <c r="AB61" s="204"/>
      <c r="AC61" s="204"/>
    </row>
    <row r="62" spans="1:29">
      <c r="A62" s="204"/>
      <c r="B62" s="204"/>
      <c r="C62" s="204"/>
      <c r="D62" s="204"/>
      <c r="E62" s="204"/>
      <c r="F62" s="204"/>
      <c r="G62" s="204"/>
      <c r="H62" s="204"/>
      <c r="I62" s="204"/>
      <c r="J62" s="204"/>
      <c r="K62" s="204"/>
      <c r="L62" s="205"/>
      <c r="M62" s="205"/>
      <c r="N62" s="204"/>
      <c r="O62" s="204"/>
      <c r="P62" s="206"/>
      <c r="Q62" s="206"/>
      <c r="R62" s="206"/>
      <c r="S62" s="206"/>
      <c r="T62" s="204"/>
      <c r="U62" s="207"/>
      <c r="V62" s="204"/>
      <c r="W62" s="204"/>
      <c r="X62" s="207"/>
      <c r="Y62" s="207"/>
      <c r="Z62" s="204"/>
      <c r="AA62" s="204"/>
      <c r="AB62" s="204"/>
      <c r="AC62" s="204"/>
    </row>
    <row r="63" spans="1:29">
      <c r="A63" s="204"/>
      <c r="B63" s="204"/>
      <c r="C63" s="204"/>
      <c r="D63" s="204"/>
      <c r="E63" s="204"/>
      <c r="F63" s="204"/>
      <c r="G63" s="204"/>
      <c r="H63" s="204"/>
      <c r="I63" s="204"/>
      <c r="J63" s="204"/>
      <c r="K63" s="204"/>
      <c r="L63" s="205"/>
      <c r="M63" s="205"/>
      <c r="N63" s="204"/>
      <c r="O63" s="204"/>
      <c r="P63" s="206"/>
      <c r="Q63" s="206"/>
      <c r="R63" s="206"/>
      <c r="S63" s="206"/>
      <c r="T63" s="204"/>
      <c r="U63" s="207"/>
      <c r="V63" s="204"/>
      <c r="W63" s="204"/>
      <c r="X63" s="207"/>
      <c r="Y63" s="207"/>
      <c r="Z63" s="204"/>
      <c r="AA63" s="204"/>
      <c r="AB63" s="204"/>
      <c r="AC63" s="204"/>
    </row>
    <row r="64" spans="1:29">
      <c r="A64" s="204"/>
      <c r="B64" s="204"/>
      <c r="C64" s="204"/>
      <c r="D64" s="204"/>
      <c r="E64" s="204"/>
      <c r="F64" s="204"/>
      <c r="G64" s="204"/>
      <c r="H64" s="204"/>
      <c r="I64" s="204"/>
      <c r="J64" s="204"/>
      <c r="K64" s="204"/>
      <c r="L64" s="205"/>
      <c r="M64" s="205"/>
      <c r="N64" s="204"/>
      <c r="O64" s="204"/>
      <c r="P64" s="206"/>
      <c r="Q64" s="206"/>
      <c r="R64" s="206"/>
      <c r="S64" s="206"/>
      <c r="T64" s="204"/>
      <c r="U64" s="207"/>
      <c r="V64" s="204"/>
      <c r="W64" s="204"/>
      <c r="X64" s="207"/>
      <c r="Y64" s="207"/>
      <c r="Z64" s="204"/>
      <c r="AA64" s="204"/>
      <c r="AB64" s="204"/>
      <c r="AC64" s="204"/>
    </row>
    <row r="65" spans="1:29">
      <c r="A65" s="204"/>
      <c r="B65" s="204"/>
      <c r="C65" s="204"/>
      <c r="D65" s="204"/>
      <c r="E65" s="204"/>
      <c r="F65" s="204"/>
      <c r="G65" s="204"/>
      <c r="H65" s="204"/>
      <c r="I65" s="204"/>
      <c r="J65" s="204"/>
      <c r="K65" s="204"/>
      <c r="L65" s="205"/>
      <c r="M65" s="205"/>
      <c r="N65" s="204"/>
      <c r="O65" s="204"/>
      <c r="P65" s="206"/>
      <c r="Q65" s="206"/>
      <c r="R65" s="206"/>
      <c r="S65" s="206"/>
      <c r="T65" s="204"/>
      <c r="U65" s="207"/>
      <c r="V65" s="204"/>
      <c r="W65" s="204"/>
      <c r="X65" s="207"/>
      <c r="Y65" s="207"/>
      <c r="Z65" s="204"/>
      <c r="AA65" s="204"/>
      <c r="AB65" s="204"/>
      <c r="AC65" s="204"/>
    </row>
    <row r="66" spans="1:29">
      <c r="A66" s="204"/>
      <c r="B66" s="204"/>
      <c r="C66" s="204"/>
      <c r="D66" s="204"/>
      <c r="E66" s="204"/>
      <c r="F66" s="204"/>
      <c r="G66" s="204"/>
      <c r="H66" s="204"/>
      <c r="I66" s="204"/>
      <c r="J66" s="204"/>
      <c r="K66" s="204"/>
      <c r="L66" s="205"/>
      <c r="M66" s="205"/>
      <c r="N66" s="204"/>
      <c r="O66" s="204"/>
      <c r="P66" s="206"/>
      <c r="Q66" s="206"/>
      <c r="R66" s="206"/>
      <c r="S66" s="206"/>
      <c r="T66" s="204"/>
      <c r="U66" s="207"/>
      <c r="V66" s="204"/>
      <c r="W66" s="204"/>
      <c r="X66" s="207"/>
      <c r="Y66" s="207"/>
      <c r="Z66" s="204"/>
      <c r="AA66" s="204"/>
      <c r="AB66" s="204"/>
      <c r="AC66" s="204"/>
    </row>
    <row r="67" spans="1:29">
      <c r="A67" s="204"/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5"/>
      <c r="M67" s="205"/>
      <c r="N67" s="204"/>
      <c r="O67" s="204"/>
      <c r="P67" s="206"/>
      <c r="Q67" s="206"/>
      <c r="R67" s="206"/>
      <c r="S67" s="206"/>
      <c r="T67" s="204"/>
      <c r="U67" s="207"/>
      <c r="V67" s="204"/>
      <c r="W67" s="204"/>
      <c r="X67" s="207"/>
      <c r="Y67" s="207"/>
      <c r="Z67" s="204"/>
      <c r="AA67" s="204"/>
      <c r="AB67" s="204"/>
      <c r="AC67" s="204"/>
    </row>
    <row r="68" spans="1:29">
      <c r="A68" s="204"/>
      <c r="B68" s="204"/>
      <c r="C68" s="204"/>
      <c r="D68" s="204"/>
      <c r="E68" s="204"/>
      <c r="F68" s="204"/>
      <c r="G68" s="204"/>
      <c r="H68" s="204"/>
      <c r="I68" s="204"/>
      <c r="J68" s="204"/>
      <c r="K68" s="204"/>
      <c r="L68" s="205"/>
      <c r="M68" s="205"/>
      <c r="N68" s="204"/>
      <c r="O68" s="204"/>
      <c r="P68" s="206"/>
      <c r="Q68" s="206"/>
      <c r="R68" s="206"/>
      <c r="S68" s="206"/>
      <c r="T68" s="204"/>
      <c r="U68" s="207"/>
      <c r="V68" s="204"/>
      <c r="W68" s="204"/>
      <c r="X68" s="207"/>
      <c r="Y68" s="207"/>
      <c r="Z68" s="204"/>
      <c r="AA68" s="204"/>
      <c r="AB68" s="204"/>
      <c r="AC68" s="204"/>
    </row>
    <row r="69" spans="1:29">
      <c r="A69" s="204"/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5"/>
      <c r="M69" s="205"/>
      <c r="N69" s="204"/>
      <c r="O69" s="204"/>
      <c r="P69" s="206"/>
      <c r="Q69" s="206"/>
      <c r="R69" s="206"/>
      <c r="S69" s="206"/>
      <c r="T69" s="204"/>
      <c r="U69" s="207"/>
      <c r="V69" s="204"/>
      <c r="W69" s="204"/>
      <c r="X69" s="207"/>
      <c r="Y69" s="207"/>
      <c r="Z69" s="204"/>
      <c r="AA69" s="204"/>
      <c r="AB69" s="204"/>
      <c r="AC69" s="204"/>
    </row>
    <row r="70" spans="1:29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4"/>
      <c r="L70" s="205"/>
      <c r="M70" s="205"/>
      <c r="N70" s="204"/>
      <c r="O70" s="204"/>
      <c r="P70" s="206"/>
      <c r="Q70" s="206"/>
      <c r="R70" s="206"/>
      <c r="S70" s="206"/>
      <c r="T70" s="204"/>
      <c r="U70" s="207"/>
      <c r="V70" s="204"/>
      <c r="W70" s="204"/>
      <c r="X70" s="207"/>
      <c r="Y70" s="207"/>
      <c r="Z70" s="204"/>
      <c r="AA70" s="204"/>
      <c r="AB70" s="204"/>
      <c r="AC70" s="204"/>
    </row>
    <row r="71" spans="1:29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4"/>
      <c r="L71" s="205"/>
      <c r="M71" s="205"/>
      <c r="N71" s="204"/>
      <c r="O71" s="204"/>
      <c r="P71" s="206"/>
      <c r="Q71" s="206"/>
      <c r="R71" s="206"/>
      <c r="S71" s="206"/>
      <c r="T71" s="204"/>
      <c r="U71" s="207"/>
      <c r="V71" s="204"/>
      <c r="W71" s="204"/>
      <c r="X71" s="207"/>
      <c r="Y71" s="207"/>
      <c r="Z71" s="204"/>
      <c r="AA71" s="204"/>
      <c r="AB71" s="204"/>
      <c r="AC71" s="204"/>
    </row>
    <row r="72" spans="1:29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4"/>
      <c r="L72" s="205"/>
      <c r="M72" s="205"/>
      <c r="N72" s="204"/>
      <c r="O72" s="204"/>
      <c r="P72" s="206"/>
      <c r="Q72" s="206"/>
      <c r="R72" s="206"/>
      <c r="S72" s="206"/>
      <c r="T72" s="204"/>
      <c r="U72" s="207"/>
      <c r="V72" s="204"/>
      <c r="W72" s="204"/>
      <c r="X72" s="207"/>
      <c r="Y72" s="207"/>
      <c r="Z72" s="204"/>
      <c r="AA72" s="204"/>
      <c r="AB72" s="204"/>
      <c r="AC72" s="204"/>
    </row>
    <row r="73" spans="1:29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4"/>
      <c r="L73" s="205"/>
      <c r="M73" s="205"/>
      <c r="N73" s="204"/>
      <c r="O73" s="204"/>
      <c r="P73" s="206"/>
      <c r="Q73" s="206"/>
      <c r="R73" s="206"/>
      <c r="S73" s="206"/>
      <c r="T73" s="204"/>
      <c r="U73" s="207"/>
      <c r="V73" s="204"/>
      <c r="W73" s="204"/>
      <c r="X73" s="207"/>
      <c r="Y73" s="207"/>
      <c r="Z73" s="204"/>
      <c r="AA73" s="204"/>
      <c r="AB73" s="204"/>
      <c r="AC73" s="204"/>
    </row>
    <row r="74" spans="1:29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4"/>
      <c r="L74" s="205"/>
      <c r="M74" s="205"/>
      <c r="N74" s="204"/>
      <c r="O74" s="204"/>
      <c r="P74" s="206"/>
      <c r="Q74" s="206"/>
      <c r="R74" s="206"/>
      <c r="S74" s="206"/>
      <c r="T74" s="204"/>
      <c r="U74" s="207"/>
      <c r="V74" s="204"/>
      <c r="W74" s="204"/>
      <c r="X74" s="207"/>
      <c r="Y74" s="207"/>
      <c r="Z74" s="204"/>
      <c r="AA74" s="204"/>
      <c r="AB74" s="204"/>
      <c r="AC74" s="204"/>
    </row>
    <row r="75" spans="1:29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4"/>
      <c r="L75" s="205"/>
      <c r="M75" s="205"/>
      <c r="N75" s="204"/>
      <c r="O75" s="204"/>
      <c r="P75" s="206"/>
      <c r="Q75" s="206"/>
      <c r="R75" s="206"/>
      <c r="S75" s="206"/>
      <c r="T75" s="204"/>
      <c r="U75" s="207"/>
      <c r="V75" s="204"/>
      <c r="W75" s="204"/>
      <c r="X75" s="207"/>
      <c r="Y75" s="207"/>
      <c r="Z75" s="204"/>
      <c r="AA75" s="204"/>
      <c r="AB75" s="204"/>
      <c r="AC75" s="204"/>
    </row>
    <row r="76" spans="1:29">
      <c r="A76" s="204"/>
      <c r="B76" s="204"/>
      <c r="C76" s="204"/>
      <c r="D76" s="204"/>
      <c r="E76" s="204"/>
      <c r="F76" s="204"/>
      <c r="G76" s="204"/>
      <c r="H76" s="204"/>
      <c r="I76" s="204"/>
      <c r="J76" s="204"/>
      <c r="K76" s="204"/>
      <c r="L76" s="205"/>
      <c r="M76" s="205"/>
      <c r="N76" s="204"/>
      <c r="O76" s="204"/>
      <c r="P76" s="206"/>
      <c r="Q76" s="206"/>
      <c r="R76" s="206"/>
      <c r="S76" s="206"/>
      <c r="T76" s="204"/>
      <c r="U76" s="207"/>
      <c r="V76" s="204"/>
      <c r="W76" s="204"/>
      <c r="X76" s="207"/>
      <c r="Y76" s="207"/>
      <c r="Z76" s="204"/>
      <c r="AA76" s="204"/>
      <c r="AB76" s="204"/>
      <c r="AC76" s="204"/>
    </row>
    <row r="77" spans="1:29">
      <c r="A77" s="204"/>
      <c r="B77" s="204"/>
      <c r="C77" s="204"/>
      <c r="D77" s="204"/>
      <c r="E77" s="204"/>
      <c r="F77" s="204"/>
      <c r="G77" s="204"/>
      <c r="H77" s="204"/>
      <c r="I77" s="204"/>
      <c r="J77" s="204"/>
      <c r="K77" s="204"/>
      <c r="L77" s="205"/>
      <c r="M77" s="205"/>
      <c r="N77" s="204"/>
      <c r="O77" s="204"/>
      <c r="P77" s="206"/>
      <c r="Q77" s="206"/>
      <c r="R77" s="206"/>
      <c r="S77" s="206"/>
      <c r="T77" s="204"/>
      <c r="U77" s="207"/>
      <c r="V77" s="204"/>
      <c r="W77" s="204"/>
      <c r="X77" s="207"/>
      <c r="Y77" s="207"/>
      <c r="Z77" s="204"/>
      <c r="AA77" s="204"/>
      <c r="AB77" s="204"/>
      <c r="AC77" s="204"/>
    </row>
    <row r="78" spans="1:29">
      <c r="A78" s="204"/>
      <c r="B78" s="204"/>
      <c r="C78" s="204"/>
      <c r="D78" s="204"/>
      <c r="E78" s="204"/>
      <c r="F78" s="204"/>
      <c r="G78" s="204"/>
      <c r="H78" s="204"/>
      <c r="I78" s="204"/>
      <c r="J78" s="204"/>
      <c r="K78" s="204"/>
      <c r="L78" s="205"/>
      <c r="M78" s="205"/>
      <c r="N78" s="204"/>
      <c r="O78" s="204"/>
      <c r="P78" s="206"/>
      <c r="Q78" s="206"/>
      <c r="R78" s="206"/>
      <c r="S78" s="206"/>
      <c r="T78" s="204"/>
      <c r="U78" s="207"/>
      <c r="V78" s="204"/>
      <c r="W78" s="204"/>
      <c r="X78" s="207"/>
      <c r="Y78" s="207"/>
      <c r="Z78" s="204"/>
      <c r="AA78" s="204"/>
      <c r="AB78" s="204"/>
      <c r="AC78" s="204"/>
    </row>
    <row r="79" spans="1:29">
      <c r="A79" s="204"/>
      <c r="B79" s="204"/>
      <c r="C79" s="204"/>
      <c r="D79" s="204"/>
      <c r="E79" s="204"/>
      <c r="F79" s="204"/>
      <c r="G79" s="204"/>
      <c r="H79" s="204"/>
      <c r="I79" s="204"/>
      <c r="J79" s="204"/>
      <c r="K79" s="204"/>
      <c r="L79" s="205"/>
      <c r="M79" s="205"/>
      <c r="N79" s="204"/>
      <c r="O79" s="204"/>
      <c r="P79" s="206"/>
      <c r="Q79" s="206"/>
      <c r="R79" s="206"/>
      <c r="S79" s="206"/>
      <c r="T79" s="204"/>
      <c r="U79" s="207"/>
      <c r="V79" s="204"/>
      <c r="W79" s="204"/>
      <c r="X79" s="207"/>
      <c r="Y79" s="207"/>
      <c r="Z79" s="204"/>
      <c r="AA79" s="204"/>
      <c r="AB79" s="204"/>
      <c r="AC79" s="204"/>
    </row>
    <row r="80" spans="1:29">
      <c r="A80" s="204"/>
      <c r="B80" s="204"/>
      <c r="C80" s="204"/>
      <c r="D80" s="204"/>
      <c r="E80" s="204"/>
      <c r="F80" s="204"/>
      <c r="G80" s="204"/>
      <c r="H80" s="204"/>
      <c r="I80" s="204"/>
      <c r="J80" s="204"/>
      <c r="K80" s="204"/>
      <c r="L80" s="205"/>
      <c r="M80" s="205"/>
      <c r="N80" s="204"/>
      <c r="O80" s="204"/>
      <c r="P80" s="206"/>
      <c r="Q80" s="206"/>
      <c r="R80" s="206"/>
      <c r="S80" s="206"/>
      <c r="T80" s="204"/>
      <c r="U80" s="207"/>
      <c r="V80" s="204"/>
      <c r="W80" s="204"/>
      <c r="X80" s="207"/>
      <c r="Y80" s="207"/>
      <c r="Z80" s="204"/>
      <c r="AA80" s="204"/>
      <c r="AB80" s="204"/>
      <c r="AC80" s="204"/>
    </row>
    <row r="81" spans="1:29">
      <c r="A81" s="204"/>
      <c r="B81" s="204"/>
      <c r="C81" s="204"/>
      <c r="D81" s="204"/>
      <c r="E81" s="204"/>
      <c r="F81" s="204"/>
      <c r="G81" s="204"/>
      <c r="H81" s="204"/>
      <c r="I81" s="204"/>
      <c r="J81" s="204"/>
      <c r="K81" s="204"/>
      <c r="L81" s="205"/>
      <c r="M81" s="205"/>
      <c r="N81" s="204"/>
      <c r="O81" s="204"/>
      <c r="P81" s="206"/>
      <c r="Q81" s="206"/>
      <c r="R81" s="206"/>
      <c r="S81" s="206"/>
      <c r="T81" s="204"/>
      <c r="U81" s="207"/>
      <c r="V81" s="204"/>
      <c r="W81" s="204"/>
      <c r="X81" s="207"/>
      <c r="Y81" s="207"/>
      <c r="Z81" s="204"/>
      <c r="AA81" s="204"/>
      <c r="AB81" s="204"/>
      <c r="AC81" s="204"/>
    </row>
    <row r="82" spans="1:29">
      <c r="A82" s="204"/>
      <c r="B82" s="204"/>
      <c r="C82" s="204"/>
      <c r="D82" s="204"/>
      <c r="E82" s="204"/>
      <c r="F82" s="204"/>
      <c r="G82" s="204"/>
      <c r="H82" s="204"/>
      <c r="I82" s="204"/>
      <c r="J82" s="204"/>
      <c r="K82" s="204"/>
      <c r="L82" s="205"/>
      <c r="M82" s="205"/>
      <c r="N82" s="204"/>
      <c r="O82" s="204"/>
      <c r="P82" s="206"/>
      <c r="Q82" s="206"/>
      <c r="R82" s="206"/>
      <c r="S82" s="206"/>
      <c r="T82" s="204"/>
      <c r="U82" s="207"/>
      <c r="V82" s="204"/>
      <c r="W82" s="204"/>
      <c r="X82" s="207"/>
      <c r="Y82" s="207"/>
      <c r="Z82" s="204"/>
      <c r="AA82" s="204"/>
      <c r="AB82" s="204"/>
      <c r="AC82" s="204"/>
    </row>
    <row r="83" spans="1:29">
      <c r="A83" s="204"/>
      <c r="B83" s="204"/>
      <c r="C83" s="204"/>
      <c r="D83" s="204"/>
      <c r="E83" s="204"/>
      <c r="F83" s="204"/>
      <c r="G83" s="204"/>
      <c r="H83" s="204"/>
      <c r="I83" s="204"/>
      <c r="J83" s="204"/>
      <c r="K83" s="204"/>
      <c r="L83" s="205"/>
      <c r="M83" s="205"/>
      <c r="N83" s="204"/>
      <c r="O83" s="204"/>
      <c r="P83" s="206"/>
      <c r="Q83" s="206"/>
      <c r="R83" s="206"/>
      <c r="S83" s="206"/>
      <c r="T83" s="204"/>
      <c r="U83" s="207"/>
      <c r="V83" s="204"/>
      <c r="W83" s="204"/>
      <c r="X83" s="207"/>
      <c r="Y83" s="207"/>
      <c r="Z83" s="204"/>
      <c r="AA83" s="204"/>
      <c r="AB83" s="204"/>
      <c r="AC83" s="204"/>
    </row>
    <row r="84" spans="1:29">
      <c r="A84" s="204"/>
      <c r="B84" s="204"/>
      <c r="C84" s="204"/>
      <c r="D84" s="204"/>
      <c r="E84" s="204"/>
      <c r="F84" s="204"/>
      <c r="G84" s="204"/>
      <c r="H84" s="204"/>
      <c r="I84" s="204"/>
      <c r="J84" s="204"/>
      <c r="K84" s="204"/>
      <c r="L84" s="205"/>
      <c r="M84" s="205"/>
      <c r="N84" s="204"/>
      <c r="O84" s="204"/>
      <c r="P84" s="206"/>
      <c r="Q84" s="206"/>
      <c r="R84" s="206"/>
      <c r="S84" s="206"/>
      <c r="T84" s="204"/>
      <c r="U84" s="207"/>
      <c r="V84" s="204"/>
      <c r="W84" s="204"/>
      <c r="X84" s="207"/>
      <c r="Y84" s="207"/>
      <c r="Z84" s="204"/>
      <c r="AA84" s="204"/>
      <c r="AB84" s="204"/>
      <c r="AC84" s="204"/>
    </row>
    <row r="85" spans="1:29">
      <c r="A85" s="204"/>
      <c r="B85" s="204"/>
      <c r="C85" s="204"/>
      <c r="D85" s="204"/>
      <c r="E85" s="204"/>
      <c r="F85" s="204"/>
      <c r="G85" s="204"/>
      <c r="H85" s="204"/>
      <c r="I85" s="204"/>
      <c r="J85" s="204"/>
      <c r="K85" s="204"/>
      <c r="L85" s="205"/>
      <c r="M85" s="205"/>
      <c r="N85" s="204"/>
      <c r="O85" s="204"/>
      <c r="P85" s="206"/>
      <c r="Q85" s="206"/>
      <c r="R85" s="206"/>
      <c r="S85" s="206"/>
      <c r="T85" s="204"/>
      <c r="U85" s="207"/>
      <c r="V85" s="204"/>
      <c r="W85" s="204"/>
      <c r="X85" s="207"/>
      <c r="Y85" s="207"/>
      <c r="Z85" s="204"/>
      <c r="AA85" s="204"/>
      <c r="AB85" s="204"/>
      <c r="AC85" s="204"/>
    </row>
    <row r="86" spans="1:29">
      <c r="A86" s="204"/>
      <c r="B86" s="204"/>
      <c r="C86" s="204"/>
      <c r="D86" s="204"/>
      <c r="E86" s="204"/>
      <c r="F86" s="204"/>
      <c r="G86" s="204"/>
      <c r="H86" s="204"/>
      <c r="I86" s="204"/>
      <c r="J86" s="204"/>
      <c r="K86" s="204"/>
      <c r="L86" s="205"/>
      <c r="M86" s="205"/>
      <c r="N86" s="204"/>
      <c r="O86" s="204"/>
      <c r="P86" s="206"/>
      <c r="Q86" s="206"/>
      <c r="R86" s="206"/>
      <c r="S86" s="206"/>
      <c r="T86" s="204"/>
      <c r="U86" s="207"/>
      <c r="V86" s="204"/>
      <c r="W86" s="204"/>
      <c r="X86" s="207"/>
      <c r="Y86" s="207"/>
      <c r="Z86" s="204"/>
      <c r="AA86" s="204"/>
      <c r="AB86" s="204"/>
      <c r="AC86" s="204"/>
    </row>
    <row r="87" spans="1:29">
      <c r="A87" s="204"/>
      <c r="B87" s="204"/>
      <c r="C87" s="204"/>
      <c r="D87" s="204"/>
      <c r="E87" s="204"/>
      <c r="F87" s="204"/>
      <c r="G87" s="204"/>
      <c r="H87" s="204"/>
      <c r="I87" s="204"/>
      <c r="J87" s="204"/>
      <c r="K87" s="204"/>
      <c r="L87" s="205"/>
      <c r="M87" s="205"/>
      <c r="N87" s="204"/>
      <c r="O87" s="204"/>
      <c r="P87" s="206"/>
      <c r="Q87" s="206"/>
      <c r="R87" s="206"/>
      <c r="S87" s="206"/>
      <c r="T87" s="204"/>
      <c r="U87" s="207"/>
      <c r="V87" s="204"/>
      <c r="W87" s="204"/>
      <c r="X87" s="207"/>
      <c r="Y87" s="207"/>
      <c r="Z87" s="204"/>
      <c r="AA87" s="204"/>
      <c r="AB87" s="204"/>
      <c r="AC87" s="204"/>
    </row>
    <row r="88" spans="1:29">
      <c r="A88" s="204"/>
      <c r="B88" s="204"/>
      <c r="C88" s="204"/>
      <c r="D88" s="204"/>
      <c r="E88" s="204"/>
      <c r="F88" s="204"/>
      <c r="G88" s="204"/>
      <c r="H88" s="204"/>
      <c r="I88" s="204"/>
      <c r="J88" s="204"/>
      <c r="K88" s="204"/>
      <c r="L88" s="205"/>
      <c r="M88" s="205"/>
      <c r="N88" s="204"/>
      <c r="O88" s="204"/>
      <c r="P88" s="206"/>
      <c r="Q88" s="206"/>
      <c r="R88" s="206"/>
      <c r="S88" s="206"/>
      <c r="T88" s="204"/>
      <c r="U88" s="207"/>
      <c r="V88" s="204"/>
      <c r="W88" s="204"/>
      <c r="X88" s="207"/>
      <c r="Y88" s="207"/>
      <c r="Z88" s="204"/>
      <c r="AA88" s="204"/>
      <c r="AB88" s="204"/>
      <c r="AC88" s="204"/>
    </row>
    <row r="89" spans="1:29">
      <c r="A89" s="204"/>
      <c r="B89" s="204"/>
      <c r="C89" s="204"/>
      <c r="D89" s="204"/>
      <c r="E89" s="204"/>
      <c r="F89" s="204"/>
      <c r="G89" s="204"/>
      <c r="H89" s="204"/>
      <c r="I89" s="204"/>
      <c r="J89" s="204"/>
      <c r="K89" s="204"/>
      <c r="L89" s="205"/>
      <c r="M89" s="205"/>
      <c r="N89" s="204"/>
      <c r="O89" s="204"/>
      <c r="P89" s="206"/>
      <c r="Q89" s="206"/>
      <c r="R89" s="206"/>
      <c r="S89" s="206"/>
      <c r="T89" s="204"/>
      <c r="U89" s="207"/>
      <c r="V89" s="204"/>
      <c r="W89" s="204"/>
      <c r="X89" s="207"/>
      <c r="Y89" s="207"/>
      <c r="Z89" s="204"/>
      <c r="AA89" s="204"/>
      <c r="AB89" s="204"/>
      <c r="AC89" s="204"/>
    </row>
    <row r="90" spans="1:29">
      <c r="A90" s="204"/>
      <c r="B90" s="204"/>
      <c r="C90" s="204"/>
      <c r="D90" s="204"/>
      <c r="E90" s="204"/>
      <c r="F90" s="204"/>
      <c r="G90" s="204"/>
      <c r="H90" s="204"/>
      <c r="I90" s="204"/>
      <c r="J90" s="204"/>
      <c r="K90" s="204"/>
      <c r="L90" s="205"/>
      <c r="M90" s="205"/>
      <c r="N90" s="204"/>
      <c r="O90" s="204"/>
      <c r="P90" s="206"/>
      <c r="Q90" s="206"/>
      <c r="R90" s="206"/>
      <c r="S90" s="206"/>
      <c r="T90" s="204"/>
      <c r="U90" s="207"/>
      <c r="V90" s="204"/>
      <c r="W90" s="204"/>
      <c r="X90" s="207"/>
      <c r="Y90" s="207"/>
      <c r="Z90" s="204"/>
      <c r="AA90" s="204"/>
      <c r="AB90" s="204"/>
      <c r="AC90" s="204"/>
    </row>
    <row r="91" spans="1:29">
      <c r="A91" s="204"/>
      <c r="B91" s="204"/>
      <c r="C91" s="204"/>
      <c r="D91" s="204"/>
      <c r="E91" s="204"/>
      <c r="F91" s="204"/>
      <c r="G91" s="204"/>
      <c r="H91" s="204"/>
      <c r="I91" s="204"/>
      <c r="J91" s="204"/>
      <c r="K91" s="204"/>
      <c r="L91" s="205"/>
      <c r="M91" s="205"/>
      <c r="N91" s="204"/>
      <c r="O91" s="204"/>
      <c r="P91" s="206"/>
      <c r="Q91" s="206"/>
      <c r="R91" s="206"/>
      <c r="S91" s="206"/>
      <c r="T91" s="204"/>
      <c r="U91" s="207"/>
      <c r="V91" s="204"/>
      <c r="W91" s="204"/>
      <c r="X91" s="207"/>
      <c r="Y91" s="207"/>
      <c r="Z91" s="204"/>
      <c r="AA91" s="204"/>
      <c r="AB91" s="204"/>
      <c r="AC91" s="204"/>
    </row>
    <row r="92" spans="1:29">
      <c r="A92" s="204"/>
      <c r="B92" s="204"/>
      <c r="C92" s="204"/>
      <c r="D92" s="204"/>
      <c r="E92" s="204"/>
      <c r="F92" s="204"/>
      <c r="G92" s="204"/>
      <c r="H92" s="204"/>
      <c r="I92" s="204"/>
      <c r="J92" s="204"/>
      <c r="K92" s="204"/>
      <c r="L92" s="205"/>
      <c r="M92" s="205"/>
      <c r="N92" s="204"/>
      <c r="O92" s="204"/>
      <c r="P92" s="206"/>
      <c r="Q92" s="206"/>
      <c r="R92" s="206"/>
      <c r="S92" s="206"/>
      <c r="T92" s="204"/>
      <c r="U92" s="207"/>
      <c r="V92" s="204"/>
      <c r="W92" s="204"/>
      <c r="X92" s="207"/>
      <c r="Y92" s="207"/>
      <c r="Z92" s="204"/>
      <c r="AA92" s="204"/>
      <c r="AB92" s="204"/>
      <c r="AC92" s="204"/>
    </row>
    <row r="93" spans="1:29">
      <c r="A93" s="204"/>
      <c r="B93" s="204"/>
      <c r="C93" s="204"/>
      <c r="D93" s="204"/>
      <c r="E93" s="204"/>
      <c r="F93" s="204"/>
      <c r="G93" s="204"/>
      <c r="H93" s="204"/>
      <c r="I93" s="204"/>
      <c r="J93" s="204"/>
      <c r="K93" s="204"/>
      <c r="L93" s="205"/>
      <c r="M93" s="205"/>
      <c r="N93" s="204"/>
      <c r="O93" s="204"/>
      <c r="P93" s="206"/>
      <c r="Q93" s="206"/>
      <c r="R93" s="206"/>
      <c r="S93" s="206"/>
      <c r="T93" s="204"/>
      <c r="U93" s="207"/>
      <c r="V93" s="204"/>
      <c r="W93" s="204"/>
      <c r="X93" s="207"/>
      <c r="Y93" s="207"/>
      <c r="Z93" s="204"/>
      <c r="AA93" s="204"/>
      <c r="AB93" s="204"/>
      <c r="AC93" s="204"/>
    </row>
    <row r="94" spans="1:29">
      <c r="A94" s="204"/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5"/>
      <c r="M94" s="205"/>
      <c r="N94" s="204"/>
      <c r="O94" s="204"/>
      <c r="P94" s="206"/>
      <c r="Q94" s="206"/>
      <c r="R94" s="206"/>
      <c r="S94" s="206"/>
      <c r="T94" s="204"/>
      <c r="U94" s="207"/>
      <c r="V94" s="204"/>
      <c r="W94" s="204"/>
      <c r="X94" s="207"/>
      <c r="Y94" s="207"/>
      <c r="Z94" s="204"/>
      <c r="AA94" s="204"/>
      <c r="AB94" s="204"/>
      <c r="AC94" s="204"/>
    </row>
    <row r="95" spans="1:29">
      <c r="A95" s="204"/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5"/>
      <c r="M95" s="205"/>
      <c r="N95" s="204"/>
      <c r="O95" s="204"/>
      <c r="P95" s="206"/>
      <c r="Q95" s="206"/>
      <c r="R95" s="206"/>
      <c r="S95" s="206"/>
      <c r="T95" s="204"/>
      <c r="U95" s="207"/>
      <c r="V95" s="204"/>
      <c r="W95" s="204"/>
      <c r="X95" s="207"/>
      <c r="Y95" s="207"/>
      <c r="Z95" s="204"/>
      <c r="AA95" s="204"/>
      <c r="AB95" s="204"/>
      <c r="AC95" s="204"/>
    </row>
    <row r="96" spans="1:29">
      <c r="A96" s="204"/>
      <c r="B96" s="204"/>
      <c r="C96" s="204"/>
      <c r="D96" s="204"/>
      <c r="E96" s="204"/>
      <c r="F96" s="204"/>
      <c r="G96" s="204"/>
      <c r="H96" s="204"/>
      <c r="I96" s="204"/>
      <c r="J96" s="204"/>
      <c r="K96" s="204"/>
      <c r="L96" s="205"/>
      <c r="M96" s="205"/>
      <c r="N96" s="204"/>
      <c r="O96" s="204"/>
      <c r="P96" s="206"/>
      <c r="Q96" s="206"/>
      <c r="R96" s="206"/>
      <c r="S96" s="206"/>
      <c r="T96" s="204"/>
      <c r="U96" s="207"/>
      <c r="V96" s="204"/>
      <c r="W96" s="204"/>
      <c r="X96" s="207"/>
      <c r="Y96" s="207"/>
      <c r="Z96" s="204"/>
      <c r="AA96" s="204"/>
      <c r="AB96" s="204"/>
      <c r="AC96" s="204"/>
    </row>
    <row r="97" spans="1:29">
      <c r="A97" s="204"/>
      <c r="B97" s="204"/>
      <c r="C97" s="204"/>
      <c r="D97" s="204"/>
      <c r="E97" s="204"/>
      <c r="F97" s="204"/>
      <c r="G97" s="204"/>
      <c r="H97" s="204"/>
      <c r="I97" s="204"/>
      <c r="J97" s="204"/>
      <c r="K97" s="204"/>
      <c r="L97" s="205"/>
      <c r="M97" s="205"/>
      <c r="N97" s="204"/>
      <c r="O97" s="204"/>
      <c r="P97" s="206"/>
      <c r="Q97" s="206"/>
      <c r="R97" s="206"/>
      <c r="S97" s="206"/>
      <c r="T97" s="204"/>
      <c r="U97" s="207"/>
      <c r="V97" s="204"/>
      <c r="W97" s="204"/>
      <c r="X97" s="207"/>
      <c r="Y97" s="207"/>
      <c r="Z97" s="204"/>
      <c r="AA97" s="204"/>
      <c r="AB97" s="204"/>
      <c r="AC97" s="204"/>
    </row>
    <row r="98" spans="1:29">
      <c r="A98" s="204"/>
      <c r="B98" s="204"/>
      <c r="C98" s="204"/>
      <c r="D98" s="204"/>
      <c r="E98" s="204"/>
      <c r="F98" s="204"/>
      <c r="G98" s="204"/>
      <c r="H98" s="204"/>
      <c r="I98" s="204"/>
      <c r="J98" s="204"/>
      <c r="K98" s="204"/>
      <c r="L98" s="205"/>
      <c r="M98" s="205"/>
      <c r="N98" s="204"/>
      <c r="O98" s="204"/>
      <c r="P98" s="206"/>
      <c r="Q98" s="206"/>
      <c r="R98" s="206"/>
      <c r="S98" s="206"/>
      <c r="T98" s="204"/>
      <c r="U98" s="207"/>
      <c r="V98" s="204"/>
      <c r="W98" s="204"/>
      <c r="X98" s="207"/>
      <c r="Y98" s="207"/>
      <c r="Z98" s="204"/>
      <c r="AA98" s="204"/>
      <c r="AB98" s="204"/>
      <c r="AC98" s="204"/>
    </row>
    <row r="99" spans="1:29">
      <c r="A99" s="204"/>
      <c r="B99" s="204"/>
      <c r="C99" s="204"/>
      <c r="D99" s="204"/>
      <c r="E99" s="204"/>
      <c r="F99" s="204"/>
      <c r="G99" s="204"/>
      <c r="H99" s="204"/>
      <c r="I99" s="204"/>
      <c r="J99" s="204"/>
      <c r="K99" s="204"/>
      <c r="L99" s="205"/>
      <c r="M99" s="205"/>
      <c r="N99" s="204"/>
      <c r="O99" s="204"/>
      <c r="P99" s="206"/>
      <c r="Q99" s="206"/>
      <c r="R99" s="206"/>
      <c r="S99" s="206"/>
      <c r="T99" s="204"/>
      <c r="U99" s="207"/>
      <c r="V99" s="204"/>
      <c r="W99" s="204"/>
      <c r="X99" s="207"/>
      <c r="Y99" s="207"/>
      <c r="Z99" s="204"/>
      <c r="AA99" s="204"/>
      <c r="AB99" s="204"/>
      <c r="AC99" s="204"/>
    </row>
    <row r="100" spans="1:29">
      <c r="A100" s="204"/>
      <c r="B100" s="204"/>
      <c r="C100" s="204"/>
      <c r="D100" s="204"/>
      <c r="E100" s="204"/>
      <c r="F100" s="204"/>
      <c r="G100" s="204"/>
      <c r="H100" s="204"/>
      <c r="I100" s="204"/>
      <c r="J100" s="204"/>
      <c r="K100" s="204"/>
      <c r="L100" s="205"/>
      <c r="M100" s="205"/>
      <c r="N100" s="204"/>
      <c r="O100" s="204"/>
      <c r="P100" s="206"/>
      <c r="Q100" s="206"/>
      <c r="R100" s="206"/>
      <c r="S100" s="206"/>
      <c r="T100" s="204"/>
      <c r="U100" s="207"/>
      <c r="V100" s="204"/>
      <c r="W100" s="204"/>
      <c r="X100" s="207"/>
      <c r="Y100" s="207"/>
      <c r="Z100" s="204"/>
      <c r="AA100" s="204"/>
      <c r="AB100" s="204"/>
      <c r="AC100" s="204"/>
    </row>
    <row r="101" spans="1:29">
      <c r="A101" s="204"/>
      <c r="B101" s="204"/>
      <c r="C101" s="204"/>
      <c r="D101" s="204"/>
      <c r="E101" s="204"/>
      <c r="F101" s="204"/>
      <c r="G101" s="204"/>
      <c r="H101" s="204"/>
      <c r="I101" s="204"/>
      <c r="J101" s="204"/>
      <c r="K101" s="204"/>
      <c r="L101" s="205"/>
      <c r="M101" s="205"/>
      <c r="N101" s="204"/>
      <c r="O101" s="204"/>
      <c r="P101" s="206"/>
      <c r="Q101" s="206"/>
      <c r="R101" s="206"/>
      <c r="S101" s="206"/>
      <c r="T101" s="204"/>
      <c r="U101" s="207"/>
      <c r="V101" s="204"/>
      <c r="W101" s="204"/>
      <c r="X101" s="207"/>
      <c r="Y101" s="207"/>
      <c r="Z101" s="204"/>
      <c r="AA101" s="204"/>
      <c r="AB101" s="204"/>
      <c r="AC101" s="204"/>
    </row>
    <row r="102" spans="1:29">
      <c r="A102" s="204"/>
      <c r="B102" s="204"/>
      <c r="C102" s="204"/>
      <c r="D102" s="204"/>
      <c r="E102" s="204"/>
      <c r="F102" s="204"/>
      <c r="G102" s="204"/>
      <c r="H102" s="204"/>
      <c r="I102" s="204"/>
      <c r="J102" s="204"/>
      <c r="K102" s="204"/>
      <c r="L102" s="205"/>
      <c r="M102" s="205"/>
      <c r="N102" s="204"/>
      <c r="O102" s="204"/>
      <c r="P102" s="206"/>
      <c r="Q102" s="206"/>
      <c r="R102" s="206"/>
      <c r="S102" s="206"/>
      <c r="T102" s="204"/>
      <c r="U102" s="207"/>
      <c r="V102" s="204"/>
      <c r="W102" s="204"/>
      <c r="X102" s="207"/>
      <c r="Y102" s="207"/>
      <c r="Z102" s="204"/>
      <c r="AA102" s="204"/>
      <c r="AB102" s="204"/>
      <c r="AC102" s="204"/>
    </row>
    <row r="103" spans="1:29">
      <c r="A103" s="204"/>
      <c r="B103" s="204"/>
      <c r="C103" s="204"/>
      <c r="D103" s="204"/>
      <c r="E103" s="204"/>
      <c r="F103" s="204"/>
      <c r="G103" s="204"/>
      <c r="H103" s="204"/>
      <c r="I103" s="204"/>
      <c r="J103" s="204"/>
      <c r="K103" s="204"/>
      <c r="L103" s="205"/>
      <c r="M103" s="205"/>
      <c r="N103" s="204"/>
      <c r="O103" s="204"/>
      <c r="P103" s="206"/>
      <c r="Q103" s="206"/>
      <c r="R103" s="206"/>
      <c r="S103" s="206"/>
      <c r="T103" s="204"/>
      <c r="U103" s="207"/>
      <c r="V103" s="204"/>
      <c r="W103" s="204"/>
      <c r="X103" s="207"/>
      <c r="Y103" s="207"/>
      <c r="Z103" s="204"/>
      <c r="AA103" s="204"/>
      <c r="AB103" s="204"/>
      <c r="AC103" s="204"/>
    </row>
    <row r="104" spans="1:29">
      <c r="A104" s="204"/>
      <c r="B104" s="204"/>
      <c r="C104" s="204"/>
      <c r="D104" s="204"/>
      <c r="E104" s="204"/>
      <c r="F104" s="204"/>
      <c r="G104" s="204"/>
      <c r="H104" s="204"/>
      <c r="I104" s="204"/>
      <c r="J104" s="204"/>
      <c r="K104" s="204"/>
      <c r="L104" s="205"/>
      <c r="M104" s="205"/>
      <c r="N104" s="204"/>
      <c r="O104" s="204"/>
      <c r="P104" s="206"/>
      <c r="Q104" s="206"/>
      <c r="R104" s="206"/>
      <c r="S104" s="206"/>
      <c r="T104" s="204"/>
      <c r="U104" s="207"/>
      <c r="V104" s="204"/>
      <c r="W104" s="204"/>
      <c r="X104" s="207"/>
      <c r="Y104" s="207"/>
      <c r="Z104" s="204"/>
      <c r="AA104" s="204"/>
      <c r="AB104" s="204"/>
      <c r="AC104" s="204"/>
    </row>
    <row r="105" spans="1:29">
      <c r="A105" s="204"/>
      <c r="B105" s="204"/>
      <c r="C105" s="204"/>
      <c r="D105" s="204"/>
      <c r="E105" s="204"/>
      <c r="F105" s="204"/>
      <c r="G105" s="204"/>
      <c r="H105" s="204"/>
      <c r="I105" s="204"/>
      <c r="J105" s="204"/>
      <c r="K105" s="204"/>
      <c r="L105" s="205"/>
      <c r="M105" s="205"/>
      <c r="N105" s="204"/>
      <c r="O105" s="204"/>
      <c r="P105" s="206"/>
      <c r="Q105" s="206"/>
      <c r="R105" s="206"/>
      <c r="S105" s="206"/>
      <c r="T105" s="204"/>
      <c r="U105" s="207"/>
      <c r="V105" s="204"/>
      <c r="W105" s="204"/>
      <c r="X105" s="207"/>
      <c r="Y105" s="207"/>
      <c r="Z105" s="204"/>
      <c r="AA105" s="204"/>
      <c r="AB105" s="204"/>
      <c r="AC105" s="204"/>
    </row>
    <row r="106" spans="1:29">
      <c r="A106" s="204"/>
      <c r="B106" s="204"/>
      <c r="C106" s="204"/>
      <c r="D106" s="204"/>
      <c r="E106" s="204"/>
      <c r="F106" s="204"/>
      <c r="G106" s="204"/>
      <c r="H106" s="204"/>
      <c r="I106" s="204"/>
      <c r="J106" s="204"/>
      <c r="K106" s="204"/>
      <c r="L106" s="205"/>
      <c r="M106" s="205"/>
      <c r="N106" s="204"/>
      <c r="O106" s="204"/>
      <c r="P106" s="206"/>
      <c r="Q106" s="206"/>
      <c r="R106" s="206"/>
      <c r="S106" s="206"/>
      <c r="T106" s="204"/>
      <c r="U106" s="207"/>
      <c r="V106" s="204"/>
      <c r="W106" s="204"/>
      <c r="X106" s="207"/>
      <c r="Y106" s="207"/>
      <c r="Z106" s="204"/>
      <c r="AA106" s="204"/>
      <c r="AB106" s="204"/>
      <c r="AC106" s="204"/>
    </row>
    <row r="107" spans="1:29">
      <c r="A107" s="204"/>
      <c r="B107" s="204"/>
      <c r="C107" s="204"/>
      <c r="D107" s="204"/>
      <c r="E107" s="204"/>
      <c r="F107" s="204"/>
      <c r="G107" s="204"/>
      <c r="H107" s="204"/>
      <c r="I107" s="204"/>
      <c r="J107" s="204"/>
      <c r="K107" s="204"/>
      <c r="L107" s="205"/>
      <c r="M107" s="205"/>
      <c r="N107" s="204"/>
      <c r="O107" s="204"/>
      <c r="P107" s="206"/>
      <c r="Q107" s="206"/>
      <c r="R107" s="206"/>
      <c r="S107" s="206"/>
      <c r="T107" s="204"/>
      <c r="U107" s="207"/>
      <c r="V107" s="204"/>
      <c r="W107" s="204"/>
      <c r="X107" s="207"/>
      <c r="Y107" s="207"/>
      <c r="Z107" s="204"/>
      <c r="AA107" s="204"/>
      <c r="AB107" s="204"/>
      <c r="AC107" s="204"/>
    </row>
    <row r="108" spans="1:29">
      <c r="A108" s="204"/>
      <c r="B108" s="204"/>
      <c r="C108" s="204"/>
      <c r="D108" s="204"/>
      <c r="E108" s="204"/>
      <c r="F108" s="204"/>
      <c r="G108" s="204"/>
      <c r="H108" s="204"/>
      <c r="I108" s="204"/>
      <c r="J108" s="204"/>
      <c r="K108" s="204"/>
      <c r="L108" s="205"/>
      <c r="M108" s="205"/>
      <c r="N108" s="204"/>
      <c r="O108" s="204"/>
      <c r="P108" s="206"/>
      <c r="Q108" s="206"/>
      <c r="R108" s="206"/>
      <c r="S108" s="206"/>
      <c r="T108" s="204"/>
      <c r="U108" s="207"/>
      <c r="V108" s="204"/>
      <c r="W108" s="204"/>
      <c r="X108" s="207"/>
      <c r="Y108" s="207"/>
      <c r="Z108" s="204"/>
      <c r="AA108" s="204"/>
      <c r="AB108" s="204"/>
      <c r="AC108" s="204"/>
    </row>
    <row r="109" spans="1:29">
      <c r="A109" s="204"/>
      <c r="B109" s="204"/>
      <c r="C109" s="204"/>
      <c r="D109" s="204"/>
      <c r="E109" s="204"/>
      <c r="F109" s="204"/>
      <c r="G109" s="204"/>
      <c r="H109" s="204"/>
      <c r="I109" s="204"/>
      <c r="J109" s="204"/>
      <c r="K109" s="204"/>
      <c r="L109" s="205"/>
      <c r="M109" s="205"/>
      <c r="N109" s="204"/>
      <c r="O109" s="204"/>
      <c r="P109" s="206"/>
      <c r="Q109" s="206"/>
      <c r="R109" s="206"/>
      <c r="S109" s="206"/>
      <c r="T109" s="204"/>
      <c r="U109" s="207"/>
      <c r="V109" s="204"/>
      <c r="W109" s="204"/>
      <c r="X109" s="207"/>
      <c r="Y109" s="207"/>
      <c r="Z109" s="204"/>
      <c r="AA109" s="204"/>
      <c r="AB109" s="204"/>
      <c r="AC109" s="204"/>
    </row>
    <row r="110" spans="1:29">
      <c r="A110" s="204"/>
      <c r="B110" s="204"/>
      <c r="C110" s="204"/>
      <c r="D110" s="204"/>
      <c r="E110" s="204"/>
      <c r="F110" s="204"/>
      <c r="G110" s="204"/>
      <c r="H110" s="204"/>
      <c r="I110" s="204"/>
      <c r="J110" s="204"/>
      <c r="K110" s="204"/>
      <c r="L110" s="205"/>
      <c r="M110" s="205"/>
      <c r="N110" s="204"/>
      <c r="O110" s="204"/>
      <c r="P110" s="206"/>
      <c r="Q110" s="206"/>
      <c r="R110" s="206"/>
      <c r="S110" s="206"/>
      <c r="T110" s="204"/>
      <c r="U110" s="207"/>
      <c r="V110" s="204"/>
      <c r="W110" s="204"/>
      <c r="X110" s="207"/>
      <c r="Y110" s="207"/>
      <c r="Z110" s="204"/>
      <c r="AA110" s="204"/>
      <c r="AB110" s="204"/>
      <c r="AC110" s="204"/>
    </row>
    <row r="111" spans="1:29">
      <c r="A111" s="204"/>
      <c r="B111" s="204"/>
      <c r="C111" s="204"/>
      <c r="D111" s="204"/>
      <c r="E111" s="204"/>
      <c r="F111" s="204"/>
      <c r="G111" s="204"/>
      <c r="H111" s="204"/>
      <c r="I111" s="204"/>
      <c r="J111" s="204"/>
      <c r="K111" s="204"/>
      <c r="L111" s="205"/>
      <c r="M111" s="205"/>
      <c r="N111" s="204"/>
      <c r="O111" s="204"/>
      <c r="P111" s="206"/>
      <c r="Q111" s="206"/>
      <c r="R111" s="206"/>
      <c r="S111" s="206"/>
      <c r="T111" s="204"/>
      <c r="U111" s="207"/>
      <c r="V111" s="204"/>
      <c r="W111" s="204"/>
      <c r="X111" s="207"/>
      <c r="Y111" s="207"/>
      <c r="Z111" s="204"/>
      <c r="AA111" s="204"/>
      <c r="AB111" s="204"/>
      <c r="AC111" s="204"/>
    </row>
    <row r="112" spans="1:29">
      <c r="A112" s="204"/>
      <c r="B112" s="204"/>
      <c r="C112" s="204"/>
      <c r="D112" s="204"/>
      <c r="E112" s="204"/>
      <c r="F112" s="204"/>
      <c r="G112" s="204"/>
      <c r="H112" s="204"/>
      <c r="I112" s="204"/>
      <c r="J112" s="204"/>
      <c r="K112" s="204"/>
      <c r="L112" s="205"/>
      <c r="M112" s="205"/>
      <c r="N112" s="204"/>
      <c r="O112" s="204"/>
      <c r="P112" s="206"/>
      <c r="Q112" s="206"/>
      <c r="R112" s="206"/>
      <c r="S112" s="206"/>
      <c r="T112" s="204"/>
      <c r="U112" s="207"/>
      <c r="V112" s="204"/>
      <c r="W112" s="204"/>
      <c r="X112" s="207"/>
      <c r="Y112" s="207"/>
      <c r="Z112" s="204"/>
      <c r="AA112" s="204"/>
      <c r="AB112" s="204"/>
      <c r="AC112" s="204"/>
    </row>
    <row r="113" spans="1:29">
      <c r="A113" s="204"/>
      <c r="B113" s="204"/>
      <c r="C113" s="204"/>
      <c r="D113" s="204"/>
      <c r="E113" s="204"/>
      <c r="F113" s="204"/>
      <c r="G113" s="204"/>
      <c r="H113" s="204"/>
      <c r="I113" s="204"/>
      <c r="J113" s="204"/>
      <c r="K113" s="204"/>
      <c r="L113" s="205"/>
      <c r="M113" s="205"/>
      <c r="N113" s="204"/>
      <c r="O113" s="204"/>
      <c r="P113" s="206"/>
      <c r="Q113" s="206"/>
      <c r="R113" s="206"/>
      <c r="S113" s="206"/>
      <c r="T113" s="204"/>
      <c r="U113" s="207"/>
      <c r="V113" s="204"/>
      <c r="W113" s="204"/>
      <c r="X113" s="207"/>
      <c r="Y113" s="207"/>
      <c r="Z113" s="204"/>
      <c r="AA113" s="204"/>
      <c r="AB113" s="204"/>
      <c r="AC113" s="204"/>
    </row>
    <row r="114" spans="1:29">
      <c r="A114" s="204"/>
      <c r="B114" s="204"/>
      <c r="C114" s="204"/>
      <c r="D114" s="204"/>
      <c r="E114" s="204"/>
      <c r="F114" s="204"/>
      <c r="G114" s="204"/>
      <c r="H114" s="204"/>
      <c r="I114" s="204"/>
      <c r="J114" s="204"/>
      <c r="K114" s="204"/>
      <c r="L114" s="205"/>
      <c r="M114" s="205"/>
      <c r="N114" s="204"/>
      <c r="O114" s="204"/>
      <c r="P114" s="206"/>
      <c r="Q114" s="206"/>
      <c r="R114" s="206"/>
      <c r="S114" s="206"/>
      <c r="T114" s="204"/>
      <c r="U114" s="207"/>
      <c r="V114" s="204"/>
      <c r="W114" s="204"/>
      <c r="X114" s="207"/>
      <c r="Y114" s="207"/>
      <c r="Z114" s="204"/>
      <c r="AA114" s="204"/>
      <c r="AB114" s="204"/>
      <c r="AC114" s="204"/>
    </row>
    <row r="115" spans="1:29">
      <c r="A115" s="204"/>
      <c r="B115" s="204"/>
      <c r="C115" s="204"/>
      <c r="D115" s="204"/>
      <c r="E115" s="204"/>
      <c r="F115" s="204"/>
      <c r="G115" s="204"/>
      <c r="H115" s="204"/>
      <c r="I115" s="204"/>
      <c r="J115" s="204"/>
      <c r="K115" s="204"/>
      <c r="L115" s="205"/>
      <c r="M115" s="205"/>
      <c r="N115" s="204"/>
      <c r="O115" s="204"/>
      <c r="P115" s="206"/>
      <c r="Q115" s="206"/>
      <c r="R115" s="206"/>
      <c r="S115" s="206"/>
      <c r="T115" s="204"/>
      <c r="U115" s="207"/>
      <c r="V115" s="204"/>
      <c r="W115" s="204"/>
      <c r="X115" s="207"/>
      <c r="Y115" s="207"/>
      <c r="Z115" s="204"/>
      <c r="AA115" s="204"/>
      <c r="AB115" s="204"/>
      <c r="AC115" s="204"/>
    </row>
    <row r="116" spans="1:29">
      <c r="A116" s="204"/>
      <c r="B116" s="204"/>
      <c r="C116" s="204"/>
      <c r="D116" s="204"/>
      <c r="E116" s="204"/>
      <c r="F116" s="204"/>
      <c r="G116" s="204"/>
      <c r="H116" s="204"/>
      <c r="I116" s="204"/>
      <c r="J116" s="204"/>
      <c r="K116" s="204"/>
      <c r="L116" s="205"/>
      <c r="M116" s="205"/>
      <c r="N116" s="204"/>
      <c r="O116" s="204"/>
      <c r="P116" s="206"/>
      <c r="Q116" s="206"/>
      <c r="R116" s="206"/>
      <c r="S116" s="206"/>
      <c r="T116" s="204"/>
      <c r="U116" s="207"/>
      <c r="V116" s="204"/>
      <c r="W116" s="204"/>
      <c r="X116" s="207"/>
      <c r="Y116" s="207"/>
      <c r="Z116" s="204"/>
      <c r="AA116" s="204"/>
      <c r="AB116" s="204"/>
      <c r="AC116" s="204"/>
    </row>
    <row r="117" spans="1:29">
      <c r="A117" s="204"/>
      <c r="B117" s="204"/>
      <c r="C117" s="204"/>
      <c r="D117" s="204"/>
      <c r="E117" s="204"/>
      <c r="F117" s="204"/>
      <c r="G117" s="204"/>
      <c r="H117" s="204"/>
      <c r="I117" s="204"/>
      <c r="J117" s="204"/>
      <c r="K117" s="204"/>
      <c r="L117" s="205"/>
      <c r="M117" s="205"/>
      <c r="N117" s="204"/>
      <c r="O117" s="204"/>
      <c r="P117" s="206"/>
      <c r="Q117" s="206"/>
      <c r="R117" s="206"/>
      <c r="S117" s="206"/>
      <c r="T117" s="204"/>
      <c r="U117" s="207"/>
      <c r="V117" s="204"/>
      <c r="W117" s="204"/>
      <c r="X117" s="207"/>
      <c r="Y117" s="207"/>
      <c r="Z117" s="204"/>
      <c r="AA117" s="204"/>
      <c r="AB117" s="204"/>
      <c r="AC117" s="204"/>
    </row>
    <row r="118" spans="1:29">
      <c r="A118" s="204"/>
      <c r="B118" s="204"/>
      <c r="C118" s="204"/>
      <c r="D118" s="204"/>
      <c r="E118" s="204"/>
      <c r="F118" s="204"/>
      <c r="G118" s="204"/>
      <c r="H118" s="204"/>
      <c r="I118" s="204"/>
      <c r="J118" s="204"/>
      <c r="K118" s="204"/>
      <c r="L118" s="205"/>
      <c r="M118" s="205"/>
      <c r="N118" s="204"/>
      <c r="O118" s="204"/>
      <c r="P118" s="206"/>
      <c r="Q118" s="206"/>
      <c r="R118" s="206"/>
      <c r="S118" s="206"/>
      <c r="T118" s="204"/>
      <c r="U118" s="207"/>
      <c r="V118" s="204"/>
      <c r="W118" s="204"/>
      <c r="X118" s="207"/>
      <c r="Y118" s="207"/>
      <c r="Z118" s="204"/>
      <c r="AA118" s="204"/>
      <c r="AB118" s="204"/>
      <c r="AC118" s="204"/>
    </row>
    <row r="119" spans="1:29">
      <c r="A119" s="204"/>
      <c r="B119" s="204"/>
      <c r="C119" s="204"/>
      <c r="D119" s="204"/>
      <c r="E119" s="204"/>
      <c r="F119" s="204"/>
      <c r="G119" s="204"/>
      <c r="H119" s="204"/>
      <c r="I119" s="204"/>
      <c r="J119" s="204"/>
      <c r="K119" s="204"/>
      <c r="L119" s="205"/>
      <c r="M119" s="205"/>
      <c r="N119" s="204"/>
      <c r="O119" s="204"/>
      <c r="P119" s="206"/>
      <c r="Q119" s="206"/>
      <c r="R119" s="206"/>
      <c r="S119" s="206"/>
      <c r="T119" s="204"/>
      <c r="U119" s="207"/>
      <c r="V119" s="204"/>
      <c r="W119" s="204"/>
      <c r="X119" s="207"/>
      <c r="Y119" s="207"/>
      <c r="Z119" s="204"/>
      <c r="AA119" s="204"/>
      <c r="AB119" s="204"/>
      <c r="AC119" s="204"/>
    </row>
    <row r="120" spans="1:29">
      <c r="A120" s="204"/>
      <c r="B120" s="204"/>
      <c r="C120" s="204"/>
      <c r="D120" s="204"/>
      <c r="E120" s="204"/>
      <c r="F120" s="204"/>
      <c r="G120" s="204"/>
      <c r="H120" s="204"/>
      <c r="I120" s="204"/>
      <c r="J120" s="204"/>
      <c r="K120" s="204"/>
      <c r="L120" s="205"/>
      <c r="M120" s="205"/>
      <c r="N120" s="204"/>
      <c r="O120" s="204"/>
      <c r="P120" s="206"/>
      <c r="Q120" s="206"/>
      <c r="R120" s="206"/>
      <c r="S120" s="206"/>
      <c r="T120" s="204"/>
      <c r="U120" s="207"/>
      <c r="V120" s="204"/>
      <c r="W120" s="204"/>
      <c r="X120" s="207"/>
      <c r="Y120" s="207"/>
      <c r="Z120" s="204"/>
      <c r="AA120" s="204"/>
      <c r="AB120" s="204"/>
      <c r="AC120" s="204"/>
    </row>
    <row r="121" spans="1:29">
      <c r="A121" s="204"/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5"/>
      <c r="M121" s="205"/>
      <c r="N121" s="204"/>
      <c r="O121" s="204"/>
      <c r="P121" s="206"/>
      <c r="Q121" s="206"/>
      <c r="R121" s="206"/>
      <c r="S121" s="206"/>
      <c r="T121" s="204"/>
      <c r="U121" s="207"/>
      <c r="V121" s="204"/>
      <c r="W121" s="204"/>
      <c r="X121" s="207"/>
      <c r="Y121" s="207"/>
      <c r="Z121" s="204"/>
      <c r="AA121" s="204"/>
      <c r="AB121" s="204"/>
      <c r="AC121" s="204"/>
    </row>
    <row r="122" spans="1:29">
      <c r="A122" s="204"/>
      <c r="B122" s="204"/>
      <c r="C122" s="204"/>
      <c r="D122" s="204"/>
      <c r="E122" s="204"/>
      <c r="F122" s="204"/>
      <c r="G122" s="204"/>
      <c r="H122" s="204"/>
      <c r="I122" s="204"/>
      <c r="J122" s="204"/>
      <c r="K122" s="204"/>
      <c r="L122" s="205"/>
      <c r="M122" s="205"/>
      <c r="N122" s="204"/>
      <c r="O122" s="204"/>
      <c r="P122" s="206"/>
      <c r="Q122" s="206"/>
      <c r="R122" s="206"/>
      <c r="S122" s="206"/>
      <c r="T122" s="204"/>
      <c r="U122" s="207"/>
      <c r="V122" s="204"/>
      <c r="W122" s="204"/>
      <c r="X122" s="207"/>
      <c r="Y122" s="207"/>
      <c r="Z122" s="204"/>
      <c r="AA122" s="204"/>
      <c r="AB122" s="204"/>
      <c r="AC122" s="204"/>
    </row>
    <row r="123" spans="1:29">
      <c r="A123" s="204"/>
      <c r="B123" s="204"/>
      <c r="C123" s="204"/>
      <c r="D123" s="204"/>
      <c r="E123" s="204"/>
      <c r="F123" s="204"/>
      <c r="G123" s="204"/>
      <c r="H123" s="204"/>
      <c r="I123" s="204"/>
      <c r="J123" s="204"/>
      <c r="K123" s="204"/>
      <c r="L123" s="205"/>
      <c r="M123" s="205"/>
      <c r="N123" s="204"/>
      <c r="O123" s="204"/>
      <c r="P123" s="206"/>
      <c r="Q123" s="206"/>
      <c r="R123" s="206"/>
      <c r="S123" s="206"/>
      <c r="T123" s="204"/>
      <c r="U123" s="207"/>
      <c r="V123" s="204"/>
      <c r="W123" s="204"/>
      <c r="X123" s="207"/>
      <c r="Y123" s="207"/>
      <c r="Z123" s="204"/>
      <c r="AA123" s="204"/>
      <c r="AB123" s="204"/>
      <c r="AC123" s="204"/>
    </row>
    <row r="124" spans="1:29">
      <c r="A124" s="204"/>
      <c r="B124" s="204"/>
      <c r="C124" s="204"/>
      <c r="D124" s="204"/>
      <c r="E124" s="204"/>
      <c r="F124" s="204"/>
      <c r="G124" s="204"/>
      <c r="H124" s="204"/>
      <c r="I124" s="204"/>
      <c r="J124" s="204"/>
      <c r="K124" s="204"/>
      <c r="L124" s="205"/>
      <c r="M124" s="205"/>
      <c r="N124" s="204"/>
      <c r="O124" s="204"/>
      <c r="P124" s="206"/>
      <c r="Q124" s="206"/>
      <c r="R124" s="206"/>
      <c r="S124" s="206"/>
      <c r="T124" s="204"/>
      <c r="U124" s="207"/>
      <c r="V124" s="204"/>
      <c r="W124" s="204"/>
      <c r="X124" s="207"/>
      <c r="Y124" s="207"/>
      <c r="Z124" s="204"/>
      <c r="AA124" s="204"/>
      <c r="AB124" s="204"/>
      <c r="AC124" s="204"/>
    </row>
    <row r="125" spans="1:29">
      <c r="A125" s="204"/>
      <c r="B125" s="204"/>
      <c r="C125" s="204"/>
      <c r="D125" s="204"/>
      <c r="E125" s="204"/>
      <c r="F125" s="204"/>
      <c r="G125" s="204"/>
      <c r="H125" s="204"/>
      <c r="I125" s="204"/>
      <c r="J125" s="204"/>
      <c r="K125" s="204"/>
      <c r="L125" s="205"/>
      <c r="M125" s="205"/>
      <c r="N125" s="204"/>
      <c r="O125" s="204"/>
      <c r="P125" s="206"/>
      <c r="Q125" s="206"/>
      <c r="R125" s="206"/>
      <c r="S125" s="206"/>
      <c r="T125" s="204"/>
      <c r="U125" s="207"/>
      <c r="V125" s="204"/>
      <c r="W125" s="204"/>
      <c r="X125" s="207"/>
      <c r="Y125" s="207"/>
      <c r="Z125" s="204"/>
      <c r="AA125" s="204"/>
      <c r="AB125" s="204"/>
      <c r="AC125" s="204"/>
    </row>
    <row r="126" spans="1:29">
      <c r="A126" s="204"/>
      <c r="B126" s="204"/>
      <c r="C126" s="204"/>
      <c r="D126" s="204"/>
      <c r="E126" s="204"/>
      <c r="F126" s="204"/>
      <c r="G126" s="204"/>
      <c r="H126" s="204"/>
      <c r="I126" s="204"/>
      <c r="J126" s="204"/>
      <c r="K126" s="204"/>
      <c r="L126" s="205"/>
      <c r="M126" s="205"/>
      <c r="N126" s="204"/>
      <c r="O126" s="204"/>
      <c r="P126" s="206"/>
      <c r="Q126" s="206"/>
      <c r="R126" s="206"/>
      <c r="S126" s="206"/>
      <c r="T126" s="204"/>
      <c r="U126" s="207"/>
      <c r="V126" s="204"/>
      <c r="W126" s="204"/>
      <c r="X126" s="207"/>
      <c r="Y126" s="207"/>
      <c r="Z126" s="204"/>
      <c r="AA126" s="204"/>
      <c r="AB126" s="204"/>
      <c r="AC126" s="204"/>
    </row>
    <row r="127" spans="1:29">
      <c r="A127" s="204"/>
      <c r="B127" s="204"/>
      <c r="C127" s="204"/>
      <c r="D127" s="204"/>
      <c r="E127" s="204"/>
      <c r="F127" s="204"/>
      <c r="G127" s="204"/>
      <c r="H127" s="204"/>
      <c r="I127" s="204"/>
      <c r="J127" s="204"/>
      <c r="K127" s="204"/>
      <c r="L127" s="205"/>
      <c r="M127" s="205"/>
      <c r="N127" s="204"/>
      <c r="O127" s="204"/>
      <c r="P127" s="206"/>
      <c r="Q127" s="206"/>
      <c r="R127" s="206"/>
      <c r="S127" s="206"/>
      <c r="T127" s="204"/>
      <c r="U127" s="207"/>
      <c r="V127" s="204"/>
      <c r="W127" s="204"/>
      <c r="X127" s="207"/>
      <c r="Y127" s="207"/>
      <c r="Z127" s="204"/>
      <c r="AA127" s="204"/>
      <c r="AB127" s="204"/>
      <c r="AC127" s="204"/>
    </row>
    <row r="128" spans="1:29">
      <c r="A128" s="204"/>
      <c r="B128" s="204"/>
      <c r="C128" s="204"/>
      <c r="D128" s="204"/>
      <c r="E128" s="204"/>
      <c r="F128" s="204"/>
      <c r="G128" s="204"/>
      <c r="H128" s="204"/>
      <c r="I128" s="204"/>
      <c r="J128" s="204"/>
      <c r="K128" s="204"/>
      <c r="L128" s="205"/>
      <c r="M128" s="205"/>
      <c r="N128" s="204"/>
      <c r="O128" s="204"/>
      <c r="P128" s="206"/>
      <c r="Q128" s="206"/>
      <c r="R128" s="206"/>
      <c r="S128" s="206"/>
      <c r="T128" s="204"/>
      <c r="U128" s="207"/>
      <c r="V128" s="204"/>
      <c r="W128" s="204"/>
      <c r="X128" s="207"/>
      <c r="Y128" s="207"/>
      <c r="Z128" s="204"/>
      <c r="AA128" s="204"/>
      <c r="AB128" s="204"/>
      <c r="AC128" s="204"/>
    </row>
    <row r="129" spans="1:29">
      <c r="A129" s="204"/>
      <c r="B129" s="204"/>
      <c r="C129" s="204"/>
      <c r="D129" s="204"/>
      <c r="E129" s="204"/>
      <c r="F129" s="204"/>
      <c r="G129" s="204"/>
      <c r="H129" s="204"/>
      <c r="I129" s="204"/>
      <c r="J129" s="204"/>
      <c r="K129" s="204"/>
      <c r="L129" s="205"/>
      <c r="M129" s="205"/>
      <c r="N129" s="204"/>
      <c r="O129" s="204"/>
      <c r="P129" s="206"/>
      <c r="Q129" s="206"/>
      <c r="R129" s="206"/>
      <c r="S129" s="206"/>
      <c r="T129" s="204"/>
      <c r="U129" s="207"/>
      <c r="V129" s="204"/>
      <c r="W129" s="204"/>
      <c r="X129" s="207"/>
      <c r="Y129" s="207"/>
      <c r="Z129" s="204"/>
      <c r="AA129" s="204"/>
      <c r="AB129" s="204"/>
      <c r="AC129" s="204"/>
    </row>
    <row r="130" spans="1:29">
      <c r="A130" s="204"/>
      <c r="B130" s="204"/>
      <c r="C130" s="204"/>
      <c r="D130" s="204"/>
      <c r="E130" s="204"/>
      <c r="F130" s="204"/>
      <c r="G130" s="204"/>
      <c r="H130" s="204"/>
      <c r="I130" s="204"/>
      <c r="J130" s="204"/>
      <c r="K130" s="204"/>
      <c r="L130" s="205"/>
      <c r="M130" s="205"/>
      <c r="N130" s="204"/>
      <c r="O130" s="204"/>
      <c r="P130" s="206"/>
      <c r="Q130" s="206"/>
      <c r="R130" s="206"/>
      <c r="S130" s="206"/>
      <c r="T130" s="204"/>
      <c r="U130" s="207"/>
      <c r="V130" s="204"/>
      <c r="W130" s="204"/>
      <c r="X130" s="207"/>
      <c r="Y130" s="207"/>
      <c r="Z130" s="204"/>
      <c r="AA130" s="204"/>
      <c r="AB130" s="204"/>
      <c r="AC130" s="204"/>
    </row>
    <row r="131" spans="1:29">
      <c r="A131" s="204"/>
      <c r="B131" s="204"/>
      <c r="C131" s="204"/>
      <c r="D131" s="204"/>
      <c r="E131" s="204"/>
      <c r="F131" s="204"/>
      <c r="G131" s="204"/>
      <c r="H131" s="204"/>
      <c r="I131" s="204"/>
      <c r="J131" s="204"/>
      <c r="K131" s="204"/>
      <c r="L131" s="205"/>
      <c r="M131" s="205"/>
      <c r="N131" s="204"/>
      <c r="O131" s="204"/>
      <c r="P131" s="206"/>
      <c r="Q131" s="206"/>
      <c r="R131" s="206"/>
      <c r="S131" s="206"/>
      <c r="T131" s="204"/>
      <c r="U131" s="207"/>
      <c r="V131" s="204"/>
      <c r="W131" s="204"/>
      <c r="X131" s="207"/>
      <c r="Y131" s="207"/>
      <c r="Z131" s="204"/>
      <c r="AA131" s="204"/>
      <c r="AB131" s="204"/>
      <c r="AC131" s="204"/>
    </row>
    <row r="132" spans="1:29">
      <c r="A132" s="204"/>
      <c r="B132" s="204"/>
      <c r="C132" s="204"/>
      <c r="D132" s="204"/>
      <c r="E132" s="204"/>
      <c r="F132" s="204"/>
      <c r="G132" s="204"/>
      <c r="H132" s="204"/>
      <c r="I132" s="204"/>
      <c r="J132" s="204"/>
      <c r="K132" s="204"/>
      <c r="L132" s="205"/>
      <c r="M132" s="205"/>
      <c r="N132" s="204"/>
      <c r="O132" s="204"/>
      <c r="P132" s="206"/>
      <c r="Q132" s="206"/>
      <c r="R132" s="206"/>
      <c r="S132" s="206"/>
      <c r="T132" s="204"/>
      <c r="U132" s="207"/>
      <c r="V132" s="204"/>
      <c r="W132" s="204"/>
      <c r="X132" s="207"/>
      <c r="Y132" s="207"/>
      <c r="Z132" s="204"/>
      <c r="AA132" s="204"/>
      <c r="AB132" s="204"/>
      <c r="AC132" s="204"/>
    </row>
    <row r="133" spans="1:29">
      <c r="A133" s="204"/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5"/>
      <c r="M133" s="205"/>
      <c r="N133" s="204"/>
      <c r="O133" s="204"/>
      <c r="P133" s="206"/>
      <c r="Q133" s="206"/>
      <c r="R133" s="206"/>
      <c r="S133" s="206"/>
      <c r="T133" s="204"/>
      <c r="U133" s="207"/>
      <c r="V133" s="204"/>
      <c r="W133" s="204"/>
      <c r="X133" s="207"/>
      <c r="Y133" s="207"/>
      <c r="Z133" s="204"/>
      <c r="AA133" s="204"/>
      <c r="AB133" s="204"/>
      <c r="AC133" s="204"/>
    </row>
    <row r="134" spans="1:29">
      <c r="A134" s="204"/>
      <c r="B134" s="204"/>
      <c r="C134" s="204"/>
      <c r="D134" s="204"/>
      <c r="E134" s="204"/>
      <c r="F134" s="204"/>
      <c r="G134" s="204"/>
      <c r="H134" s="204"/>
      <c r="I134" s="204"/>
      <c r="J134" s="204"/>
      <c r="K134" s="204"/>
      <c r="L134" s="205"/>
      <c r="M134" s="205"/>
      <c r="N134" s="204"/>
      <c r="O134" s="204"/>
      <c r="P134" s="206"/>
      <c r="Q134" s="206"/>
      <c r="R134" s="206"/>
      <c r="S134" s="206"/>
      <c r="T134" s="204"/>
      <c r="U134" s="207"/>
      <c r="V134" s="204"/>
      <c r="W134" s="204"/>
      <c r="X134" s="207"/>
      <c r="Y134" s="207"/>
      <c r="Z134" s="204"/>
      <c r="AA134" s="204"/>
      <c r="AB134" s="204"/>
      <c r="AC134" s="204"/>
    </row>
    <row r="135" spans="1:29">
      <c r="A135" s="204"/>
      <c r="B135" s="204"/>
      <c r="C135" s="204"/>
      <c r="D135" s="204"/>
      <c r="E135" s="204"/>
      <c r="F135" s="204"/>
      <c r="G135" s="204"/>
      <c r="H135" s="204"/>
      <c r="I135" s="204"/>
      <c r="J135" s="204"/>
      <c r="K135" s="204"/>
      <c r="L135" s="205"/>
      <c r="M135" s="205"/>
      <c r="N135" s="204"/>
      <c r="O135" s="204"/>
      <c r="P135" s="206"/>
      <c r="Q135" s="206"/>
      <c r="R135" s="206"/>
      <c r="S135" s="206"/>
      <c r="T135" s="204"/>
      <c r="U135" s="207"/>
      <c r="V135" s="204"/>
      <c r="W135" s="204"/>
      <c r="X135" s="207"/>
      <c r="Y135" s="207"/>
      <c r="Z135" s="204"/>
      <c r="AA135" s="204"/>
      <c r="AB135" s="204"/>
      <c r="AC135" s="204"/>
    </row>
    <row r="136" spans="1:29">
      <c r="A136" s="204"/>
      <c r="B136" s="204"/>
      <c r="C136" s="204"/>
      <c r="D136" s="204"/>
      <c r="E136" s="204"/>
      <c r="F136" s="204"/>
      <c r="G136" s="204"/>
      <c r="H136" s="204"/>
      <c r="I136" s="204"/>
      <c r="J136" s="204"/>
      <c r="K136" s="204"/>
      <c r="L136" s="205"/>
      <c r="M136" s="205"/>
      <c r="N136" s="204"/>
      <c r="O136" s="204"/>
      <c r="P136" s="206"/>
      <c r="Q136" s="206"/>
      <c r="R136" s="206"/>
      <c r="S136" s="206"/>
      <c r="T136" s="204"/>
      <c r="U136" s="207"/>
      <c r="V136" s="204"/>
      <c r="W136" s="204"/>
      <c r="X136" s="207"/>
      <c r="Y136" s="207"/>
      <c r="Z136" s="204"/>
      <c r="AA136" s="204"/>
      <c r="AB136" s="204"/>
      <c r="AC136" s="204"/>
    </row>
    <row r="137" spans="1:29">
      <c r="A137" s="204"/>
      <c r="B137" s="204"/>
      <c r="C137" s="204"/>
      <c r="D137" s="204"/>
      <c r="E137" s="204"/>
      <c r="F137" s="204"/>
      <c r="G137" s="204"/>
      <c r="H137" s="204"/>
      <c r="I137" s="204"/>
      <c r="J137" s="204"/>
      <c r="K137" s="204"/>
      <c r="L137" s="205"/>
      <c r="M137" s="205"/>
      <c r="N137" s="204"/>
      <c r="O137" s="204"/>
      <c r="P137" s="206"/>
      <c r="Q137" s="206"/>
      <c r="R137" s="206"/>
      <c r="S137" s="206"/>
      <c r="T137" s="204"/>
      <c r="U137" s="207"/>
      <c r="V137" s="204"/>
      <c r="W137" s="204"/>
      <c r="X137" s="207"/>
      <c r="Y137" s="207"/>
      <c r="Z137" s="204"/>
      <c r="AA137" s="204"/>
      <c r="AB137" s="204"/>
      <c r="AC137" s="204"/>
    </row>
    <row r="138" spans="1:29">
      <c r="A138" s="204"/>
      <c r="B138" s="204"/>
      <c r="C138" s="204"/>
      <c r="D138" s="204"/>
      <c r="E138" s="204"/>
      <c r="F138" s="204"/>
      <c r="G138" s="204"/>
      <c r="H138" s="204"/>
      <c r="I138" s="204"/>
      <c r="J138" s="204"/>
      <c r="K138" s="204"/>
      <c r="L138" s="205"/>
      <c r="M138" s="205"/>
      <c r="N138" s="204"/>
      <c r="O138" s="204"/>
      <c r="P138" s="206"/>
      <c r="Q138" s="206"/>
      <c r="R138" s="206"/>
      <c r="S138" s="206"/>
      <c r="T138" s="204"/>
      <c r="U138" s="207"/>
      <c r="V138" s="204"/>
      <c r="W138" s="204"/>
      <c r="X138" s="207"/>
      <c r="Y138" s="207"/>
      <c r="Z138" s="204"/>
      <c r="AA138" s="204"/>
      <c r="AB138" s="204"/>
      <c r="AC138" s="204"/>
    </row>
    <row r="139" spans="1:29">
      <c r="A139" s="204"/>
      <c r="B139" s="204"/>
      <c r="C139" s="204"/>
      <c r="D139" s="204"/>
      <c r="E139" s="204"/>
      <c r="F139" s="204"/>
      <c r="G139" s="204"/>
      <c r="H139" s="204"/>
      <c r="I139" s="204"/>
      <c r="J139" s="204"/>
      <c r="K139" s="204"/>
      <c r="L139" s="205"/>
      <c r="M139" s="205"/>
      <c r="N139" s="204"/>
      <c r="O139" s="204"/>
      <c r="P139" s="206"/>
      <c r="Q139" s="206"/>
      <c r="R139" s="206"/>
      <c r="S139" s="206"/>
      <c r="T139" s="204"/>
      <c r="U139" s="207"/>
      <c r="V139" s="204"/>
      <c r="W139" s="204"/>
      <c r="X139" s="207"/>
      <c r="Y139" s="207"/>
      <c r="Z139" s="204"/>
      <c r="AA139" s="204"/>
      <c r="AB139" s="204"/>
      <c r="AC139" s="204"/>
    </row>
    <row r="140" spans="1:29">
      <c r="A140" s="204"/>
      <c r="B140" s="204"/>
      <c r="C140" s="204"/>
      <c r="D140" s="204"/>
      <c r="E140" s="204"/>
      <c r="F140" s="204"/>
      <c r="G140" s="204"/>
      <c r="H140" s="204"/>
      <c r="I140" s="204"/>
      <c r="J140" s="204"/>
      <c r="K140" s="204"/>
      <c r="L140" s="205"/>
      <c r="M140" s="205"/>
      <c r="N140" s="204"/>
      <c r="O140" s="204"/>
      <c r="P140" s="206"/>
      <c r="Q140" s="206"/>
      <c r="R140" s="206"/>
      <c r="S140" s="206"/>
      <c r="T140" s="204"/>
      <c r="U140" s="207"/>
      <c r="V140" s="204"/>
      <c r="W140" s="204"/>
      <c r="X140" s="207"/>
      <c r="Y140" s="207"/>
      <c r="Z140" s="204"/>
      <c r="AA140" s="204"/>
      <c r="AB140" s="204"/>
      <c r="AC140" s="204"/>
    </row>
    <row r="141" spans="1:29">
      <c r="A141" s="204"/>
      <c r="B141" s="204"/>
      <c r="C141" s="204"/>
      <c r="D141" s="204"/>
      <c r="E141" s="204"/>
      <c r="F141" s="204"/>
      <c r="G141" s="204"/>
      <c r="H141" s="204"/>
      <c r="I141" s="204"/>
      <c r="J141" s="204"/>
      <c r="K141" s="204"/>
      <c r="L141" s="205"/>
      <c r="M141" s="205"/>
      <c r="N141" s="204"/>
      <c r="O141" s="204"/>
      <c r="P141" s="206"/>
      <c r="Q141" s="206"/>
      <c r="R141" s="206"/>
      <c r="S141" s="206"/>
      <c r="T141" s="204"/>
      <c r="U141" s="207"/>
      <c r="V141" s="204"/>
      <c r="W141" s="204"/>
      <c r="X141" s="207"/>
      <c r="Y141" s="207"/>
      <c r="Z141" s="204"/>
      <c r="AA141" s="204"/>
      <c r="AB141" s="204"/>
      <c r="AC141" s="204"/>
    </row>
    <row r="142" spans="1:29">
      <c r="A142" s="204"/>
      <c r="B142" s="204"/>
      <c r="C142" s="204"/>
      <c r="D142" s="204"/>
      <c r="E142" s="204"/>
      <c r="F142" s="204"/>
      <c r="G142" s="204"/>
      <c r="H142" s="204"/>
      <c r="I142" s="204"/>
      <c r="J142" s="204"/>
      <c r="K142" s="204"/>
      <c r="L142" s="205"/>
      <c r="M142" s="205"/>
      <c r="N142" s="204"/>
      <c r="O142" s="204"/>
      <c r="P142" s="206"/>
      <c r="Q142" s="206"/>
      <c r="R142" s="206"/>
      <c r="S142" s="206"/>
      <c r="T142" s="204"/>
      <c r="U142" s="207"/>
      <c r="V142" s="204"/>
      <c r="W142" s="204"/>
      <c r="X142" s="207"/>
      <c r="Y142" s="207"/>
      <c r="Z142" s="204"/>
      <c r="AA142" s="204"/>
      <c r="AB142" s="204"/>
      <c r="AC142" s="204"/>
    </row>
    <row r="143" spans="1:29">
      <c r="A143" s="204"/>
      <c r="B143" s="204"/>
      <c r="C143" s="204"/>
      <c r="D143" s="204"/>
      <c r="E143" s="204"/>
      <c r="F143" s="204"/>
      <c r="G143" s="204"/>
      <c r="H143" s="204"/>
      <c r="I143" s="204"/>
      <c r="J143" s="204"/>
      <c r="K143" s="204"/>
      <c r="L143" s="205"/>
      <c r="M143" s="205"/>
      <c r="N143" s="204"/>
      <c r="O143" s="204"/>
      <c r="P143" s="206"/>
      <c r="Q143" s="206"/>
      <c r="R143" s="206"/>
      <c r="S143" s="206"/>
      <c r="T143" s="204"/>
      <c r="U143" s="207"/>
      <c r="V143" s="204"/>
      <c r="W143" s="204"/>
      <c r="X143" s="207"/>
      <c r="Y143" s="207"/>
      <c r="Z143" s="204"/>
      <c r="AA143" s="204"/>
      <c r="AB143" s="204"/>
      <c r="AC143" s="204"/>
    </row>
    <row r="144" spans="1:29">
      <c r="A144" s="204"/>
      <c r="B144" s="204"/>
      <c r="C144" s="204"/>
      <c r="D144" s="204"/>
      <c r="E144" s="204"/>
      <c r="F144" s="204"/>
      <c r="G144" s="204"/>
      <c r="H144" s="204"/>
      <c r="I144" s="204"/>
      <c r="J144" s="204"/>
      <c r="K144" s="204"/>
      <c r="L144" s="205"/>
      <c r="M144" s="205"/>
      <c r="N144" s="204"/>
      <c r="O144" s="204"/>
      <c r="P144" s="206"/>
      <c r="Q144" s="206"/>
      <c r="R144" s="206"/>
      <c r="S144" s="206"/>
      <c r="T144" s="204"/>
      <c r="U144" s="207"/>
      <c r="V144" s="204"/>
      <c r="W144" s="204"/>
      <c r="X144" s="207"/>
      <c r="Y144" s="207"/>
      <c r="Z144" s="204"/>
      <c r="AA144" s="204"/>
      <c r="AB144" s="204"/>
      <c r="AC144" s="204"/>
    </row>
    <row r="145" spans="1:29">
      <c r="A145" s="204"/>
      <c r="B145" s="204"/>
      <c r="C145" s="204"/>
      <c r="D145" s="204"/>
      <c r="E145" s="204"/>
      <c r="F145" s="204"/>
      <c r="G145" s="204"/>
      <c r="H145" s="204"/>
      <c r="I145" s="204"/>
      <c r="J145" s="204"/>
      <c r="K145" s="204"/>
      <c r="L145" s="205"/>
      <c r="M145" s="205"/>
      <c r="N145" s="204"/>
      <c r="O145" s="204"/>
      <c r="P145" s="206"/>
      <c r="Q145" s="206"/>
      <c r="R145" s="206"/>
      <c r="S145" s="206"/>
      <c r="T145" s="204"/>
      <c r="U145" s="207"/>
      <c r="V145" s="204"/>
      <c r="W145" s="204"/>
      <c r="X145" s="207"/>
      <c r="Y145" s="207"/>
      <c r="Z145" s="204"/>
      <c r="AA145" s="204"/>
      <c r="AB145" s="204"/>
      <c r="AC145" s="204"/>
    </row>
    <row r="146" spans="1:29">
      <c r="A146" s="204"/>
      <c r="B146" s="204"/>
      <c r="C146" s="204"/>
      <c r="D146" s="204"/>
      <c r="E146" s="204"/>
      <c r="F146" s="204"/>
      <c r="G146" s="204"/>
      <c r="H146" s="204"/>
      <c r="I146" s="204"/>
      <c r="J146" s="204"/>
      <c r="K146" s="204"/>
      <c r="L146" s="205"/>
      <c r="M146" s="205"/>
      <c r="N146" s="204"/>
      <c r="O146" s="204"/>
      <c r="P146" s="206"/>
      <c r="Q146" s="206"/>
      <c r="R146" s="206"/>
      <c r="S146" s="206"/>
      <c r="T146" s="204"/>
      <c r="U146" s="207"/>
      <c r="V146" s="204"/>
      <c r="W146" s="204"/>
      <c r="X146" s="207"/>
      <c r="Y146" s="207"/>
      <c r="Z146" s="204"/>
      <c r="AA146" s="204"/>
      <c r="AB146" s="204"/>
      <c r="AC146" s="204"/>
    </row>
    <row r="147" spans="1:29">
      <c r="A147" s="204"/>
      <c r="B147" s="204"/>
      <c r="C147" s="204"/>
      <c r="D147" s="204"/>
      <c r="E147" s="204"/>
      <c r="F147" s="204"/>
      <c r="G147" s="204"/>
      <c r="H147" s="204"/>
      <c r="I147" s="204"/>
      <c r="J147" s="204"/>
      <c r="K147" s="204"/>
      <c r="L147" s="205"/>
      <c r="M147" s="205"/>
      <c r="N147" s="204"/>
      <c r="O147" s="204"/>
      <c r="P147" s="206"/>
      <c r="Q147" s="206"/>
      <c r="R147" s="206"/>
      <c r="S147" s="206"/>
      <c r="T147" s="204"/>
      <c r="U147" s="207"/>
      <c r="V147" s="204"/>
      <c r="W147" s="204"/>
      <c r="X147" s="207"/>
      <c r="Y147" s="207"/>
      <c r="Z147" s="204"/>
      <c r="AA147" s="204"/>
      <c r="AB147" s="204"/>
      <c r="AC147" s="204"/>
    </row>
    <row r="148" spans="1:29">
      <c r="A148" s="204"/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5"/>
      <c r="M148" s="205"/>
      <c r="N148" s="204"/>
      <c r="O148" s="204"/>
      <c r="P148" s="206"/>
      <c r="Q148" s="206"/>
      <c r="R148" s="206"/>
      <c r="S148" s="206"/>
      <c r="T148" s="204"/>
      <c r="U148" s="207"/>
      <c r="V148" s="204"/>
      <c r="W148" s="204"/>
      <c r="X148" s="207"/>
      <c r="Y148" s="207"/>
      <c r="Z148" s="204"/>
      <c r="AA148" s="204"/>
      <c r="AB148" s="204"/>
      <c r="AC148" s="204"/>
    </row>
    <row r="149" spans="1:29">
      <c r="A149" s="204"/>
      <c r="B149" s="204"/>
      <c r="C149" s="204"/>
      <c r="D149" s="204"/>
      <c r="E149" s="204"/>
      <c r="F149" s="204"/>
      <c r="G149" s="204"/>
      <c r="H149" s="204"/>
      <c r="I149" s="204"/>
      <c r="J149" s="204"/>
      <c r="K149" s="204"/>
      <c r="L149" s="205"/>
      <c r="M149" s="205"/>
      <c r="N149" s="204"/>
      <c r="O149" s="204"/>
      <c r="P149" s="206"/>
      <c r="Q149" s="206"/>
      <c r="R149" s="206"/>
      <c r="S149" s="206"/>
      <c r="T149" s="204"/>
      <c r="U149" s="207"/>
      <c r="V149" s="204"/>
      <c r="W149" s="204"/>
      <c r="X149" s="207"/>
      <c r="Y149" s="207"/>
      <c r="Z149" s="204"/>
      <c r="AA149" s="204"/>
      <c r="AB149" s="204"/>
      <c r="AC149" s="204"/>
    </row>
    <row r="150" spans="1:29">
      <c r="A150" s="204"/>
      <c r="B150" s="204"/>
      <c r="C150" s="204"/>
      <c r="D150" s="204"/>
      <c r="E150" s="204"/>
      <c r="F150" s="204"/>
      <c r="G150" s="204"/>
      <c r="H150" s="204"/>
      <c r="I150" s="204"/>
      <c r="J150" s="204"/>
      <c r="K150" s="204"/>
      <c r="L150" s="205"/>
      <c r="M150" s="205"/>
      <c r="N150" s="204"/>
      <c r="O150" s="204"/>
      <c r="P150" s="206"/>
      <c r="Q150" s="206"/>
      <c r="R150" s="206"/>
      <c r="S150" s="206"/>
      <c r="T150" s="204"/>
      <c r="U150" s="207"/>
      <c r="V150" s="204"/>
      <c r="W150" s="204"/>
      <c r="X150" s="207"/>
      <c r="Y150" s="207"/>
      <c r="Z150" s="204"/>
      <c r="AA150" s="204"/>
      <c r="AB150" s="204"/>
      <c r="AC150" s="204"/>
    </row>
    <row r="151" spans="1:29">
      <c r="A151" s="204"/>
      <c r="B151" s="204"/>
      <c r="C151" s="204"/>
      <c r="D151" s="204"/>
      <c r="E151" s="204"/>
      <c r="F151" s="204"/>
      <c r="G151" s="204"/>
      <c r="H151" s="204"/>
      <c r="I151" s="204"/>
      <c r="J151" s="204"/>
      <c r="K151" s="204"/>
      <c r="L151" s="205"/>
      <c r="M151" s="205"/>
      <c r="N151" s="204"/>
      <c r="O151" s="204"/>
      <c r="P151" s="206"/>
      <c r="Q151" s="206"/>
      <c r="R151" s="206"/>
      <c r="S151" s="206"/>
      <c r="T151" s="204"/>
      <c r="U151" s="207"/>
      <c r="V151" s="204"/>
      <c r="W151" s="204"/>
      <c r="X151" s="207"/>
      <c r="Y151" s="207"/>
      <c r="Z151" s="204"/>
      <c r="AA151" s="204"/>
      <c r="AB151" s="204"/>
      <c r="AC151" s="204"/>
    </row>
    <row r="152" spans="1:29">
      <c r="A152" s="204"/>
      <c r="B152" s="204"/>
      <c r="C152" s="204"/>
      <c r="D152" s="204"/>
      <c r="E152" s="204"/>
      <c r="F152" s="204"/>
      <c r="G152" s="204"/>
      <c r="H152" s="204"/>
      <c r="I152" s="204"/>
      <c r="J152" s="204"/>
      <c r="K152" s="204"/>
      <c r="L152" s="205"/>
      <c r="M152" s="205"/>
      <c r="N152" s="204"/>
      <c r="O152" s="204"/>
      <c r="P152" s="206"/>
      <c r="Q152" s="206"/>
      <c r="R152" s="206"/>
      <c r="S152" s="206"/>
      <c r="T152" s="204"/>
      <c r="U152" s="207"/>
      <c r="V152" s="204"/>
      <c r="W152" s="204"/>
      <c r="X152" s="207"/>
      <c r="Y152" s="207"/>
      <c r="Z152" s="204"/>
      <c r="AA152" s="204"/>
      <c r="AB152" s="204"/>
      <c r="AC152" s="204"/>
    </row>
    <row r="153" spans="1:29">
      <c r="A153" s="204"/>
      <c r="B153" s="204"/>
      <c r="C153" s="204"/>
      <c r="D153" s="204"/>
      <c r="E153" s="204"/>
      <c r="F153" s="204"/>
      <c r="G153" s="204"/>
      <c r="H153" s="204"/>
      <c r="I153" s="204"/>
      <c r="J153" s="204"/>
      <c r="K153" s="204"/>
      <c r="L153" s="205"/>
      <c r="M153" s="205"/>
      <c r="N153" s="204"/>
      <c r="O153" s="204"/>
      <c r="P153" s="206"/>
      <c r="Q153" s="206"/>
      <c r="R153" s="206"/>
      <c r="S153" s="206"/>
      <c r="T153" s="204"/>
      <c r="U153" s="207"/>
      <c r="V153" s="204"/>
      <c r="W153" s="204"/>
      <c r="X153" s="207"/>
      <c r="Y153" s="207"/>
      <c r="Z153" s="204"/>
      <c r="AA153" s="204"/>
      <c r="AB153" s="204"/>
      <c r="AC153" s="204"/>
    </row>
    <row r="154" spans="1:29">
      <c r="A154" s="204"/>
      <c r="B154" s="204"/>
      <c r="C154" s="204"/>
      <c r="D154" s="204"/>
      <c r="E154" s="204"/>
      <c r="F154" s="204"/>
      <c r="G154" s="204"/>
      <c r="H154" s="204"/>
      <c r="I154" s="204"/>
      <c r="J154" s="204"/>
      <c r="K154" s="204"/>
      <c r="L154" s="205"/>
      <c r="M154" s="205"/>
      <c r="N154" s="204"/>
      <c r="O154" s="204"/>
      <c r="P154" s="206"/>
      <c r="Q154" s="206"/>
      <c r="R154" s="206"/>
      <c r="S154" s="206"/>
      <c r="T154" s="204"/>
      <c r="U154" s="207"/>
      <c r="V154" s="204"/>
      <c r="W154" s="204"/>
      <c r="X154" s="207"/>
      <c r="Y154" s="207"/>
      <c r="Z154" s="204"/>
      <c r="AA154" s="204"/>
      <c r="AB154" s="204"/>
      <c r="AC154" s="204"/>
    </row>
    <row r="155" spans="1:29">
      <c r="A155" s="204"/>
      <c r="B155" s="204"/>
      <c r="C155" s="204"/>
      <c r="D155" s="204"/>
      <c r="E155" s="204"/>
      <c r="F155" s="204"/>
      <c r="G155" s="204"/>
      <c r="H155" s="204"/>
      <c r="I155" s="204"/>
      <c r="J155" s="204"/>
      <c r="K155" s="204"/>
      <c r="L155" s="205"/>
      <c r="M155" s="205"/>
      <c r="N155" s="204"/>
      <c r="O155" s="204"/>
      <c r="P155" s="206"/>
      <c r="Q155" s="206"/>
      <c r="R155" s="206"/>
      <c r="S155" s="206"/>
      <c r="T155" s="204"/>
      <c r="U155" s="207"/>
      <c r="V155" s="204"/>
      <c r="W155" s="204"/>
      <c r="X155" s="207"/>
      <c r="Y155" s="207"/>
      <c r="Z155" s="204"/>
      <c r="AA155" s="204"/>
      <c r="AB155" s="204"/>
      <c r="AC155" s="204"/>
    </row>
    <row r="156" spans="1:29">
      <c r="A156" s="204"/>
      <c r="B156" s="204"/>
      <c r="C156" s="204"/>
      <c r="D156" s="204"/>
      <c r="E156" s="204"/>
      <c r="F156" s="204"/>
      <c r="G156" s="204"/>
      <c r="H156" s="204"/>
      <c r="I156" s="204"/>
      <c r="J156" s="204"/>
      <c r="K156" s="204"/>
      <c r="L156" s="205"/>
      <c r="M156" s="205"/>
      <c r="N156" s="204"/>
      <c r="O156" s="204"/>
      <c r="P156" s="206"/>
      <c r="Q156" s="206"/>
      <c r="R156" s="206"/>
      <c r="S156" s="206"/>
      <c r="T156" s="204"/>
      <c r="U156" s="207"/>
      <c r="V156" s="204"/>
      <c r="W156" s="204"/>
      <c r="X156" s="207"/>
      <c r="Y156" s="207"/>
      <c r="Z156" s="204"/>
      <c r="AA156" s="204"/>
      <c r="AB156" s="204"/>
      <c r="AC156" s="204"/>
    </row>
    <row r="157" spans="1:29">
      <c r="A157" s="204"/>
      <c r="B157" s="204"/>
      <c r="C157" s="204"/>
      <c r="D157" s="204"/>
      <c r="E157" s="204"/>
      <c r="F157" s="204"/>
      <c r="G157" s="204"/>
      <c r="H157" s="204"/>
      <c r="I157" s="204"/>
      <c r="J157" s="204"/>
      <c r="K157" s="204"/>
      <c r="L157" s="205"/>
      <c r="M157" s="205"/>
      <c r="N157" s="204"/>
      <c r="O157" s="204"/>
      <c r="P157" s="206"/>
      <c r="Q157" s="206"/>
      <c r="R157" s="206"/>
      <c r="S157" s="206"/>
      <c r="T157" s="204"/>
      <c r="U157" s="207"/>
      <c r="V157" s="204"/>
      <c r="W157" s="204"/>
      <c r="X157" s="207"/>
      <c r="Y157" s="207"/>
      <c r="Z157" s="204"/>
      <c r="AA157" s="204"/>
      <c r="AB157" s="204"/>
      <c r="AC157" s="204"/>
    </row>
    <row r="158" spans="1:29">
      <c r="A158" s="204"/>
      <c r="B158" s="204"/>
      <c r="C158" s="204"/>
      <c r="D158" s="204"/>
      <c r="E158" s="204"/>
      <c r="F158" s="204"/>
      <c r="G158" s="204"/>
      <c r="H158" s="204"/>
      <c r="I158" s="204"/>
      <c r="J158" s="204"/>
      <c r="K158" s="204"/>
      <c r="L158" s="205"/>
      <c r="M158" s="205"/>
      <c r="N158" s="204"/>
      <c r="O158" s="204"/>
      <c r="P158" s="206"/>
      <c r="Q158" s="206"/>
      <c r="R158" s="206"/>
      <c r="S158" s="206"/>
      <c r="T158" s="204"/>
      <c r="U158" s="207"/>
      <c r="V158" s="204"/>
      <c r="W158" s="204"/>
      <c r="X158" s="207"/>
      <c r="Y158" s="207"/>
      <c r="Z158" s="204"/>
      <c r="AA158" s="204"/>
      <c r="AB158" s="204"/>
      <c r="AC158" s="204"/>
    </row>
    <row r="159" spans="1:29">
      <c r="A159" s="204"/>
      <c r="B159" s="204"/>
      <c r="C159" s="204"/>
      <c r="D159" s="204"/>
      <c r="E159" s="204"/>
      <c r="F159" s="204"/>
      <c r="G159" s="204"/>
      <c r="H159" s="204"/>
      <c r="I159" s="204"/>
      <c r="J159" s="204"/>
      <c r="K159" s="204"/>
      <c r="L159" s="205"/>
      <c r="M159" s="205"/>
      <c r="N159" s="204"/>
      <c r="O159" s="204"/>
      <c r="P159" s="206"/>
      <c r="Q159" s="206"/>
      <c r="R159" s="206"/>
      <c r="S159" s="206"/>
      <c r="T159" s="204"/>
      <c r="U159" s="207"/>
      <c r="V159" s="204"/>
      <c r="W159" s="204"/>
      <c r="X159" s="207"/>
      <c r="Y159" s="207"/>
      <c r="Z159" s="204"/>
      <c r="AA159" s="204"/>
      <c r="AB159" s="204"/>
      <c r="AC159" s="204"/>
    </row>
    <row r="160" spans="1:29">
      <c r="A160" s="204"/>
      <c r="B160" s="204"/>
      <c r="C160" s="204"/>
      <c r="D160" s="204"/>
      <c r="E160" s="204"/>
      <c r="F160" s="204"/>
      <c r="G160" s="204"/>
      <c r="H160" s="204"/>
      <c r="I160" s="204"/>
      <c r="J160" s="204"/>
      <c r="K160" s="204"/>
      <c r="L160" s="205"/>
      <c r="M160" s="205"/>
      <c r="N160" s="204"/>
      <c r="O160" s="204"/>
      <c r="P160" s="206"/>
      <c r="Q160" s="206"/>
      <c r="R160" s="206"/>
      <c r="S160" s="206"/>
      <c r="T160" s="204"/>
      <c r="U160" s="207"/>
      <c r="V160" s="204"/>
      <c r="W160" s="204"/>
      <c r="X160" s="207"/>
      <c r="Y160" s="207"/>
      <c r="Z160" s="204"/>
      <c r="AA160" s="204"/>
      <c r="AB160" s="204"/>
      <c r="AC160" s="204"/>
    </row>
    <row r="161" spans="1:29">
      <c r="A161" s="204"/>
      <c r="B161" s="204"/>
      <c r="C161" s="204"/>
      <c r="D161" s="204"/>
      <c r="E161" s="204"/>
      <c r="F161" s="204"/>
      <c r="G161" s="204"/>
      <c r="H161" s="204"/>
      <c r="I161" s="204"/>
      <c r="J161" s="204"/>
      <c r="K161" s="204"/>
      <c r="L161" s="205"/>
      <c r="M161" s="205"/>
      <c r="N161" s="204"/>
      <c r="O161" s="204"/>
      <c r="P161" s="206"/>
      <c r="Q161" s="206"/>
      <c r="R161" s="206"/>
      <c r="S161" s="206"/>
      <c r="T161" s="204"/>
      <c r="U161" s="207"/>
      <c r="V161" s="204"/>
      <c r="W161" s="204"/>
      <c r="X161" s="207"/>
      <c r="Y161" s="207"/>
      <c r="Z161" s="204"/>
      <c r="AA161" s="204"/>
      <c r="AB161" s="204"/>
      <c r="AC161" s="204"/>
    </row>
    <row r="162" spans="1:29">
      <c r="A162" s="204"/>
      <c r="B162" s="204"/>
      <c r="C162" s="204"/>
      <c r="D162" s="204"/>
      <c r="E162" s="204"/>
      <c r="F162" s="204"/>
      <c r="G162" s="204"/>
      <c r="H162" s="204"/>
      <c r="I162" s="204"/>
      <c r="J162" s="204"/>
      <c r="K162" s="204"/>
      <c r="L162" s="205"/>
      <c r="M162" s="205"/>
      <c r="N162" s="204"/>
      <c r="O162" s="204"/>
      <c r="P162" s="206"/>
      <c r="Q162" s="206"/>
      <c r="R162" s="206"/>
      <c r="S162" s="206"/>
      <c r="T162" s="204"/>
      <c r="U162" s="207"/>
      <c r="V162" s="204"/>
      <c r="W162" s="204"/>
      <c r="X162" s="207"/>
      <c r="Y162" s="207"/>
      <c r="Z162" s="204"/>
      <c r="AA162" s="204"/>
      <c r="AB162" s="204"/>
      <c r="AC162" s="204"/>
    </row>
    <row r="163" spans="1:29">
      <c r="A163" s="204"/>
      <c r="B163" s="204"/>
      <c r="C163" s="204"/>
      <c r="D163" s="204"/>
      <c r="E163" s="204"/>
      <c r="F163" s="204"/>
      <c r="G163" s="204"/>
      <c r="H163" s="204"/>
      <c r="I163" s="204"/>
      <c r="J163" s="204"/>
      <c r="K163" s="204"/>
      <c r="L163" s="205"/>
      <c r="M163" s="205"/>
      <c r="N163" s="204"/>
      <c r="O163" s="204"/>
      <c r="P163" s="206"/>
      <c r="Q163" s="206"/>
      <c r="R163" s="206"/>
      <c r="S163" s="206"/>
      <c r="T163" s="204"/>
      <c r="U163" s="207"/>
      <c r="V163" s="204"/>
      <c r="W163" s="204"/>
      <c r="X163" s="207"/>
      <c r="Y163" s="207"/>
      <c r="Z163" s="204"/>
      <c r="AA163" s="204"/>
      <c r="AB163" s="204"/>
      <c r="AC163" s="204"/>
    </row>
    <row r="164" spans="1:29">
      <c r="A164" s="204"/>
      <c r="B164" s="204"/>
      <c r="C164" s="204"/>
      <c r="D164" s="204"/>
      <c r="E164" s="204"/>
      <c r="F164" s="204"/>
      <c r="G164" s="204"/>
      <c r="H164" s="204"/>
      <c r="I164" s="204"/>
      <c r="J164" s="204"/>
      <c r="K164" s="204"/>
      <c r="L164" s="205"/>
      <c r="M164" s="205"/>
      <c r="N164" s="204"/>
      <c r="O164" s="204"/>
      <c r="P164" s="206"/>
      <c r="Q164" s="206"/>
      <c r="R164" s="206"/>
      <c r="S164" s="206"/>
      <c r="T164" s="204"/>
      <c r="U164" s="207"/>
      <c r="V164" s="204"/>
      <c r="W164" s="204"/>
      <c r="X164" s="207"/>
      <c r="Y164" s="207"/>
      <c r="Z164" s="204"/>
      <c r="AA164" s="204"/>
      <c r="AB164" s="204"/>
      <c r="AC164" s="204"/>
    </row>
    <row r="165" spans="1:29">
      <c r="A165" s="204"/>
      <c r="B165" s="204"/>
      <c r="C165" s="204"/>
      <c r="D165" s="204"/>
      <c r="E165" s="204"/>
      <c r="F165" s="204"/>
      <c r="G165" s="204"/>
      <c r="H165" s="204"/>
      <c r="I165" s="204"/>
      <c r="J165" s="204"/>
      <c r="K165" s="204"/>
      <c r="L165" s="205"/>
      <c r="M165" s="205"/>
      <c r="N165" s="204"/>
      <c r="O165" s="204"/>
      <c r="P165" s="206"/>
      <c r="Q165" s="206"/>
      <c r="R165" s="206"/>
      <c r="S165" s="206"/>
      <c r="T165" s="204"/>
      <c r="U165" s="207"/>
      <c r="V165" s="204"/>
      <c r="W165" s="204"/>
      <c r="X165" s="207"/>
      <c r="Y165" s="207"/>
      <c r="Z165" s="204"/>
      <c r="AA165" s="204"/>
      <c r="AB165" s="204"/>
      <c r="AC165" s="204"/>
    </row>
    <row r="166" spans="1:29">
      <c r="A166" s="204"/>
      <c r="B166" s="204"/>
      <c r="C166" s="204"/>
      <c r="D166" s="204"/>
      <c r="E166" s="204"/>
      <c r="F166" s="204"/>
      <c r="G166" s="204"/>
      <c r="H166" s="204"/>
      <c r="I166" s="204"/>
      <c r="J166" s="204"/>
      <c r="K166" s="204"/>
      <c r="L166" s="205"/>
      <c r="M166" s="205"/>
      <c r="N166" s="204"/>
      <c r="O166" s="204"/>
      <c r="P166" s="206"/>
      <c r="Q166" s="206"/>
      <c r="R166" s="206"/>
      <c r="S166" s="206"/>
      <c r="T166" s="204"/>
      <c r="U166" s="207"/>
      <c r="V166" s="204"/>
      <c r="W166" s="204"/>
      <c r="X166" s="207"/>
      <c r="Y166" s="207"/>
      <c r="Z166" s="204"/>
      <c r="AA166" s="204"/>
      <c r="AB166" s="204"/>
      <c r="AC166" s="204"/>
    </row>
    <row r="167" spans="1:29">
      <c r="A167" s="204"/>
      <c r="B167" s="204"/>
      <c r="C167" s="204"/>
      <c r="D167" s="204"/>
      <c r="E167" s="204"/>
      <c r="F167" s="204"/>
      <c r="G167" s="204"/>
      <c r="H167" s="204"/>
      <c r="I167" s="204"/>
      <c r="J167" s="204"/>
      <c r="K167" s="204"/>
      <c r="L167" s="205"/>
      <c r="M167" s="205"/>
      <c r="N167" s="204"/>
      <c r="O167" s="204"/>
      <c r="P167" s="206"/>
      <c r="Q167" s="206"/>
      <c r="R167" s="206"/>
      <c r="S167" s="206"/>
      <c r="T167" s="204"/>
      <c r="U167" s="207"/>
      <c r="V167" s="204"/>
      <c r="W167" s="204"/>
      <c r="X167" s="207"/>
      <c r="Y167" s="207"/>
      <c r="Z167" s="204"/>
      <c r="AA167" s="204"/>
      <c r="AB167" s="204"/>
      <c r="AC167" s="204"/>
    </row>
    <row r="168" spans="1:29">
      <c r="A168" s="204"/>
      <c r="B168" s="204"/>
      <c r="C168" s="204"/>
      <c r="D168" s="204"/>
      <c r="E168" s="204"/>
      <c r="F168" s="204"/>
      <c r="G168" s="204"/>
      <c r="H168" s="204"/>
      <c r="I168" s="204"/>
      <c r="J168" s="204"/>
      <c r="K168" s="204"/>
      <c r="L168" s="205"/>
      <c r="M168" s="205"/>
      <c r="N168" s="204"/>
      <c r="O168" s="204"/>
      <c r="P168" s="206"/>
      <c r="Q168" s="206"/>
      <c r="R168" s="206"/>
      <c r="S168" s="206"/>
      <c r="T168" s="204"/>
      <c r="U168" s="207"/>
      <c r="V168" s="204"/>
      <c r="W168" s="204"/>
      <c r="X168" s="207"/>
      <c r="Y168" s="207"/>
      <c r="Z168" s="204"/>
      <c r="AA168" s="204"/>
      <c r="AB168" s="204"/>
      <c r="AC168" s="204"/>
    </row>
    <row r="169" spans="1:29">
      <c r="A169" s="204"/>
      <c r="B169" s="204"/>
      <c r="C169" s="204"/>
      <c r="D169" s="204"/>
      <c r="E169" s="204"/>
      <c r="F169" s="204"/>
      <c r="G169" s="204"/>
      <c r="H169" s="204"/>
      <c r="I169" s="204"/>
      <c r="J169" s="204"/>
      <c r="K169" s="204"/>
      <c r="L169" s="205"/>
      <c r="M169" s="205"/>
      <c r="N169" s="204"/>
      <c r="O169" s="204"/>
      <c r="P169" s="206"/>
      <c r="Q169" s="206"/>
      <c r="R169" s="206"/>
      <c r="S169" s="206"/>
      <c r="T169" s="204"/>
      <c r="U169" s="207"/>
      <c r="V169" s="204"/>
      <c r="W169" s="204"/>
      <c r="X169" s="207"/>
      <c r="Y169" s="207"/>
      <c r="Z169" s="204"/>
      <c r="AA169" s="204"/>
      <c r="AB169" s="204"/>
      <c r="AC169" s="204"/>
    </row>
    <row r="170" spans="1:29">
      <c r="A170" s="204"/>
      <c r="B170" s="204"/>
      <c r="C170" s="204"/>
      <c r="D170" s="204"/>
      <c r="E170" s="204"/>
      <c r="F170" s="204"/>
      <c r="G170" s="204"/>
      <c r="H170" s="204"/>
      <c r="I170" s="204"/>
      <c r="J170" s="204"/>
      <c r="K170" s="204"/>
      <c r="L170" s="205"/>
      <c r="M170" s="205"/>
      <c r="N170" s="204"/>
      <c r="O170" s="204"/>
      <c r="P170" s="206"/>
      <c r="Q170" s="206"/>
      <c r="R170" s="206"/>
      <c r="S170" s="206"/>
      <c r="T170" s="204"/>
      <c r="U170" s="207"/>
      <c r="V170" s="204"/>
      <c r="W170" s="204"/>
      <c r="X170" s="207"/>
      <c r="Y170" s="207"/>
      <c r="Z170" s="204"/>
      <c r="AA170" s="204"/>
      <c r="AB170" s="204"/>
      <c r="AC170" s="204"/>
    </row>
    <row r="171" spans="1:29">
      <c r="A171" s="204"/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5"/>
      <c r="M171" s="205"/>
      <c r="N171" s="204"/>
      <c r="O171" s="204"/>
      <c r="P171" s="206"/>
      <c r="Q171" s="206"/>
      <c r="R171" s="206"/>
      <c r="S171" s="206"/>
      <c r="T171" s="204"/>
      <c r="U171" s="207"/>
      <c r="V171" s="204"/>
      <c r="W171" s="204"/>
      <c r="X171" s="207"/>
      <c r="Y171" s="207"/>
      <c r="Z171" s="204"/>
      <c r="AA171" s="204"/>
      <c r="AB171" s="204"/>
      <c r="AC171" s="204"/>
    </row>
    <row r="172" spans="1:29">
      <c r="A172" s="204"/>
      <c r="B172" s="204"/>
      <c r="C172" s="204"/>
      <c r="D172" s="204"/>
      <c r="E172" s="204"/>
      <c r="F172" s="204"/>
      <c r="G172" s="204"/>
      <c r="H172" s="204"/>
      <c r="I172" s="204"/>
      <c r="J172" s="204"/>
      <c r="K172" s="204"/>
      <c r="L172" s="205"/>
      <c r="M172" s="205"/>
      <c r="N172" s="204"/>
      <c r="O172" s="204"/>
      <c r="P172" s="206"/>
      <c r="Q172" s="206"/>
      <c r="R172" s="206"/>
      <c r="S172" s="206"/>
      <c r="T172" s="204"/>
      <c r="U172" s="207"/>
      <c r="V172" s="204"/>
      <c r="W172" s="204"/>
      <c r="X172" s="207"/>
      <c r="Y172" s="207"/>
      <c r="Z172" s="204"/>
      <c r="AA172" s="204"/>
      <c r="AB172" s="204"/>
      <c r="AC172" s="204"/>
    </row>
    <row r="173" spans="1:29">
      <c r="A173" s="204"/>
      <c r="B173" s="204"/>
      <c r="C173" s="204"/>
      <c r="D173" s="204"/>
      <c r="E173" s="204"/>
      <c r="F173" s="204"/>
      <c r="G173" s="204"/>
      <c r="H173" s="204"/>
      <c r="I173" s="204"/>
      <c r="J173" s="204"/>
      <c r="K173" s="204"/>
      <c r="L173" s="205"/>
      <c r="M173" s="205"/>
      <c r="N173" s="204"/>
      <c r="O173" s="204"/>
      <c r="P173" s="206"/>
      <c r="Q173" s="206"/>
      <c r="R173" s="206"/>
      <c r="S173" s="206"/>
      <c r="T173" s="204"/>
      <c r="U173" s="207"/>
      <c r="V173" s="204"/>
      <c r="W173" s="204"/>
      <c r="X173" s="207"/>
      <c r="Y173" s="207"/>
      <c r="Z173" s="204"/>
      <c r="AA173" s="204"/>
      <c r="AB173" s="204"/>
      <c r="AC173" s="204"/>
    </row>
    <row r="174" spans="1:29">
      <c r="A174" s="204"/>
      <c r="B174" s="204"/>
      <c r="C174" s="204"/>
      <c r="D174" s="204"/>
      <c r="E174" s="204"/>
      <c r="F174" s="204"/>
      <c r="G174" s="204"/>
      <c r="H174" s="204"/>
      <c r="I174" s="204"/>
      <c r="J174" s="204"/>
      <c r="K174" s="204"/>
      <c r="L174" s="205"/>
      <c r="M174" s="205"/>
      <c r="N174" s="204"/>
      <c r="O174" s="204"/>
      <c r="P174" s="206"/>
      <c r="Q174" s="206"/>
      <c r="R174" s="206"/>
      <c r="S174" s="206"/>
      <c r="T174" s="204"/>
      <c r="U174" s="207"/>
      <c r="V174" s="204"/>
      <c r="W174" s="204"/>
      <c r="X174" s="207"/>
      <c r="Y174" s="207"/>
      <c r="Z174" s="204"/>
      <c r="AA174" s="204"/>
      <c r="AB174" s="204"/>
      <c r="AC174" s="204"/>
    </row>
    <row r="175" spans="1:29">
      <c r="A175" s="204"/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5"/>
      <c r="M175" s="205"/>
      <c r="N175" s="204"/>
      <c r="O175" s="204"/>
      <c r="P175" s="206"/>
      <c r="Q175" s="206"/>
      <c r="R175" s="206"/>
      <c r="S175" s="206"/>
      <c r="T175" s="204"/>
      <c r="U175" s="207"/>
      <c r="V175" s="204"/>
      <c r="W175" s="204"/>
      <c r="X175" s="207"/>
      <c r="Y175" s="207"/>
      <c r="Z175" s="204"/>
      <c r="AA175" s="204"/>
      <c r="AB175" s="204"/>
      <c r="AC175" s="204"/>
    </row>
    <row r="176" spans="1:29">
      <c r="A176" s="204"/>
      <c r="B176" s="204"/>
      <c r="C176" s="204"/>
      <c r="D176" s="204"/>
      <c r="E176" s="204"/>
      <c r="F176" s="204"/>
      <c r="G176" s="204"/>
      <c r="H176" s="204"/>
      <c r="I176" s="204"/>
      <c r="J176" s="204"/>
      <c r="K176" s="204"/>
      <c r="L176" s="205"/>
      <c r="M176" s="205"/>
      <c r="N176" s="204"/>
      <c r="O176" s="204"/>
      <c r="P176" s="206"/>
      <c r="Q176" s="206"/>
      <c r="R176" s="206"/>
      <c r="S176" s="206"/>
      <c r="T176" s="204"/>
      <c r="U176" s="207"/>
      <c r="V176" s="204"/>
      <c r="W176" s="204"/>
      <c r="X176" s="207"/>
      <c r="Y176" s="207"/>
      <c r="Z176" s="204"/>
      <c r="AA176" s="204"/>
      <c r="AB176" s="204"/>
      <c r="AC176" s="204"/>
    </row>
    <row r="177" spans="1:29">
      <c r="A177" s="204"/>
      <c r="B177" s="204"/>
      <c r="C177" s="204"/>
      <c r="D177" s="204"/>
      <c r="E177" s="204"/>
      <c r="F177" s="204"/>
      <c r="G177" s="204"/>
      <c r="H177" s="204"/>
      <c r="I177" s="204"/>
      <c r="J177" s="204"/>
      <c r="K177" s="204"/>
      <c r="L177" s="205"/>
      <c r="M177" s="205"/>
      <c r="N177" s="204"/>
      <c r="O177" s="204"/>
      <c r="P177" s="206"/>
      <c r="Q177" s="206"/>
      <c r="R177" s="206"/>
      <c r="S177" s="206"/>
      <c r="T177" s="204"/>
      <c r="U177" s="207"/>
      <c r="V177" s="204"/>
      <c r="W177" s="204"/>
      <c r="X177" s="207"/>
      <c r="Y177" s="207"/>
      <c r="Z177" s="204"/>
      <c r="AA177" s="204"/>
      <c r="AB177" s="204"/>
      <c r="AC177" s="204"/>
    </row>
    <row r="178" spans="1:29">
      <c r="A178" s="204"/>
      <c r="B178" s="204"/>
      <c r="C178" s="204"/>
      <c r="D178" s="204"/>
      <c r="E178" s="204"/>
      <c r="F178" s="204"/>
      <c r="G178" s="204"/>
      <c r="H178" s="204"/>
      <c r="I178" s="204"/>
      <c r="J178" s="204"/>
      <c r="K178" s="204"/>
      <c r="L178" s="205"/>
      <c r="M178" s="205"/>
      <c r="N178" s="204"/>
      <c r="O178" s="204"/>
      <c r="P178" s="206"/>
      <c r="Q178" s="206"/>
      <c r="R178" s="206"/>
      <c r="S178" s="206"/>
      <c r="T178" s="204"/>
      <c r="U178" s="207"/>
      <c r="V178" s="204"/>
      <c r="W178" s="204"/>
      <c r="X178" s="207"/>
      <c r="Y178" s="207"/>
      <c r="Z178" s="204"/>
      <c r="AA178" s="204"/>
      <c r="AB178" s="204"/>
      <c r="AC178" s="204"/>
    </row>
    <row r="179" spans="1:29">
      <c r="A179" s="204"/>
      <c r="B179" s="204"/>
      <c r="C179" s="204"/>
      <c r="D179" s="204"/>
      <c r="E179" s="204"/>
      <c r="F179" s="204"/>
      <c r="G179" s="204"/>
      <c r="H179" s="204"/>
      <c r="I179" s="204"/>
      <c r="J179" s="204"/>
      <c r="K179" s="204"/>
      <c r="L179" s="205"/>
      <c r="M179" s="205"/>
      <c r="N179" s="204"/>
      <c r="O179" s="204"/>
      <c r="P179" s="206"/>
      <c r="Q179" s="206"/>
      <c r="R179" s="206"/>
      <c r="S179" s="206"/>
      <c r="T179" s="204"/>
      <c r="U179" s="207"/>
      <c r="V179" s="204"/>
      <c r="W179" s="204"/>
      <c r="X179" s="207"/>
      <c r="Y179" s="207"/>
      <c r="Z179" s="204"/>
      <c r="AA179" s="204"/>
      <c r="AB179" s="204"/>
      <c r="AC179" s="204"/>
    </row>
    <row r="180" spans="1:29">
      <c r="A180" s="204"/>
      <c r="B180" s="204"/>
      <c r="C180" s="204"/>
      <c r="D180" s="204"/>
      <c r="E180" s="204"/>
      <c r="F180" s="204"/>
      <c r="G180" s="204"/>
      <c r="H180" s="204"/>
      <c r="I180" s="204"/>
      <c r="J180" s="204"/>
      <c r="K180" s="204"/>
      <c r="L180" s="205"/>
      <c r="M180" s="205"/>
      <c r="N180" s="204"/>
      <c r="O180" s="204"/>
      <c r="P180" s="206"/>
      <c r="Q180" s="206"/>
      <c r="R180" s="206"/>
      <c r="S180" s="206"/>
      <c r="T180" s="204"/>
      <c r="U180" s="207"/>
      <c r="V180" s="204"/>
      <c r="W180" s="204"/>
      <c r="X180" s="207"/>
      <c r="Y180" s="207"/>
      <c r="Z180" s="204"/>
      <c r="AA180" s="204"/>
      <c r="AB180" s="204"/>
      <c r="AC180" s="204"/>
    </row>
    <row r="181" spans="1:29">
      <c r="A181" s="204"/>
      <c r="B181" s="204"/>
      <c r="C181" s="204"/>
      <c r="D181" s="204"/>
      <c r="E181" s="204"/>
      <c r="F181" s="204"/>
      <c r="G181" s="204"/>
      <c r="H181" s="204"/>
      <c r="I181" s="204"/>
      <c r="J181" s="204"/>
      <c r="K181" s="204"/>
      <c r="L181" s="205"/>
      <c r="M181" s="205"/>
      <c r="N181" s="204"/>
      <c r="O181" s="204"/>
      <c r="P181" s="206"/>
      <c r="Q181" s="206"/>
      <c r="R181" s="206"/>
      <c r="S181" s="206"/>
      <c r="T181" s="204"/>
      <c r="U181" s="207"/>
      <c r="V181" s="204"/>
      <c r="W181" s="204"/>
      <c r="X181" s="207"/>
      <c r="Y181" s="207"/>
      <c r="Z181" s="204"/>
      <c r="AA181" s="204"/>
      <c r="AB181" s="204"/>
      <c r="AC181" s="204"/>
    </row>
    <row r="182" spans="1:29">
      <c r="A182" s="204"/>
      <c r="B182" s="204"/>
      <c r="C182" s="204"/>
      <c r="D182" s="204"/>
      <c r="E182" s="204"/>
      <c r="F182" s="204"/>
      <c r="G182" s="204"/>
      <c r="H182" s="204"/>
      <c r="I182" s="204"/>
      <c r="J182" s="204"/>
      <c r="K182" s="204"/>
      <c r="L182" s="205"/>
      <c r="M182" s="205"/>
      <c r="N182" s="204"/>
      <c r="O182" s="204"/>
      <c r="P182" s="206"/>
      <c r="Q182" s="206"/>
      <c r="R182" s="206"/>
      <c r="S182" s="206"/>
      <c r="T182" s="204"/>
      <c r="U182" s="207"/>
      <c r="V182" s="204"/>
      <c r="W182" s="204"/>
      <c r="X182" s="207"/>
      <c r="Y182" s="207"/>
      <c r="Z182" s="204"/>
      <c r="AA182" s="204"/>
      <c r="AB182" s="204"/>
      <c r="AC182" s="204"/>
    </row>
    <row r="183" spans="1:29">
      <c r="A183" s="204"/>
      <c r="B183" s="204"/>
      <c r="C183" s="204"/>
      <c r="D183" s="204"/>
      <c r="E183" s="204"/>
      <c r="F183" s="204"/>
      <c r="G183" s="204"/>
      <c r="H183" s="204"/>
      <c r="I183" s="204"/>
      <c r="J183" s="204"/>
      <c r="K183" s="204"/>
      <c r="L183" s="205"/>
      <c r="M183" s="205"/>
      <c r="N183" s="204"/>
      <c r="O183" s="204"/>
      <c r="P183" s="206"/>
      <c r="Q183" s="206"/>
      <c r="R183" s="206"/>
      <c r="S183" s="206"/>
      <c r="T183" s="204"/>
      <c r="U183" s="207"/>
      <c r="V183" s="204"/>
      <c r="W183" s="204"/>
      <c r="X183" s="207"/>
      <c r="Y183" s="207"/>
      <c r="Z183" s="204"/>
      <c r="AA183" s="204"/>
      <c r="AB183" s="204"/>
      <c r="AC183" s="204"/>
    </row>
    <row r="184" spans="1:29">
      <c r="A184" s="204"/>
      <c r="B184" s="204"/>
      <c r="C184" s="204"/>
      <c r="D184" s="204"/>
      <c r="E184" s="204"/>
      <c r="F184" s="204"/>
      <c r="G184" s="204"/>
      <c r="H184" s="204"/>
      <c r="I184" s="204"/>
      <c r="J184" s="204"/>
      <c r="K184" s="204"/>
      <c r="L184" s="205"/>
      <c r="M184" s="205"/>
      <c r="N184" s="204"/>
      <c r="O184" s="204"/>
      <c r="P184" s="206"/>
      <c r="Q184" s="206"/>
      <c r="R184" s="206"/>
      <c r="S184" s="206"/>
      <c r="T184" s="204"/>
      <c r="U184" s="207"/>
      <c r="V184" s="204"/>
      <c r="W184" s="204"/>
      <c r="X184" s="207"/>
      <c r="Y184" s="207"/>
      <c r="Z184" s="204"/>
      <c r="AA184" s="204"/>
      <c r="AB184" s="204"/>
      <c r="AC184" s="204"/>
    </row>
    <row r="185" spans="1:29">
      <c r="A185" s="204"/>
      <c r="B185" s="204"/>
      <c r="C185" s="204"/>
      <c r="D185" s="204"/>
      <c r="E185" s="204"/>
      <c r="F185" s="204"/>
      <c r="G185" s="204"/>
      <c r="H185" s="204"/>
      <c r="I185" s="204"/>
      <c r="J185" s="204"/>
      <c r="K185" s="204"/>
      <c r="L185" s="205"/>
      <c r="M185" s="205"/>
      <c r="N185" s="204"/>
      <c r="O185" s="204"/>
      <c r="P185" s="206"/>
      <c r="Q185" s="206"/>
      <c r="R185" s="206"/>
      <c r="S185" s="206"/>
      <c r="T185" s="204"/>
      <c r="U185" s="207"/>
      <c r="V185" s="204"/>
      <c r="W185" s="204"/>
      <c r="X185" s="207"/>
      <c r="Y185" s="207"/>
      <c r="Z185" s="204"/>
      <c r="AA185" s="204"/>
      <c r="AB185" s="204"/>
      <c r="AC185" s="204"/>
    </row>
    <row r="186" spans="1:29">
      <c r="A186" s="204"/>
      <c r="B186" s="204"/>
      <c r="C186" s="204"/>
      <c r="D186" s="204"/>
      <c r="E186" s="204"/>
      <c r="F186" s="204"/>
      <c r="G186" s="204"/>
      <c r="H186" s="204"/>
      <c r="I186" s="204"/>
      <c r="J186" s="204"/>
      <c r="K186" s="204"/>
      <c r="L186" s="205"/>
      <c r="M186" s="205"/>
      <c r="N186" s="204"/>
      <c r="O186" s="204"/>
      <c r="P186" s="206"/>
      <c r="Q186" s="206"/>
      <c r="R186" s="206"/>
      <c r="S186" s="206"/>
      <c r="T186" s="204"/>
      <c r="U186" s="207"/>
      <c r="V186" s="204"/>
      <c r="W186" s="204"/>
      <c r="X186" s="207"/>
      <c r="Y186" s="207"/>
      <c r="Z186" s="204"/>
      <c r="AA186" s="204"/>
      <c r="AB186" s="204"/>
      <c r="AC186" s="204"/>
    </row>
    <row r="187" spans="1:29">
      <c r="A187" s="204"/>
      <c r="B187" s="204"/>
      <c r="C187" s="204"/>
      <c r="D187" s="204"/>
      <c r="E187" s="204"/>
      <c r="F187" s="204"/>
      <c r="G187" s="204"/>
      <c r="H187" s="204"/>
      <c r="I187" s="204"/>
      <c r="J187" s="204"/>
      <c r="K187" s="204"/>
      <c r="L187" s="205"/>
      <c r="M187" s="205"/>
      <c r="N187" s="204"/>
      <c r="O187" s="204"/>
      <c r="P187" s="206"/>
      <c r="Q187" s="206"/>
      <c r="R187" s="206"/>
      <c r="S187" s="206"/>
      <c r="T187" s="204"/>
      <c r="U187" s="207"/>
      <c r="V187" s="204"/>
      <c r="W187" s="204"/>
      <c r="X187" s="207"/>
      <c r="Y187" s="207"/>
      <c r="Z187" s="204"/>
      <c r="AA187" s="204"/>
      <c r="AB187" s="204"/>
      <c r="AC187" s="204"/>
    </row>
    <row r="188" spans="1:29">
      <c r="A188" s="204"/>
      <c r="B188" s="204"/>
      <c r="C188" s="204"/>
      <c r="D188" s="204"/>
      <c r="E188" s="204"/>
      <c r="F188" s="204"/>
      <c r="G188" s="204"/>
      <c r="H188" s="204"/>
      <c r="I188" s="204"/>
      <c r="J188" s="204"/>
      <c r="K188" s="204"/>
      <c r="L188" s="205"/>
      <c r="M188" s="205"/>
      <c r="N188" s="204"/>
      <c r="O188" s="204"/>
      <c r="P188" s="206"/>
      <c r="Q188" s="206"/>
      <c r="R188" s="206"/>
      <c r="S188" s="206"/>
      <c r="T188" s="204"/>
      <c r="U188" s="207"/>
      <c r="V188" s="204"/>
      <c r="W188" s="204"/>
      <c r="X188" s="207"/>
      <c r="Y188" s="207"/>
      <c r="Z188" s="204"/>
      <c r="AA188" s="204"/>
      <c r="AB188" s="204"/>
      <c r="AC188" s="204"/>
    </row>
    <row r="189" spans="1:29">
      <c r="A189" s="204"/>
      <c r="B189" s="204"/>
      <c r="C189" s="204"/>
      <c r="D189" s="204"/>
      <c r="E189" s="204"/>
      <c r="F189" s="204"/>
      <c r="G189" s="204"/>
      <c r="H189" s="204"/>
      <c r="I189" s="204"/>
      <c r="J189" s="204"/>
      <c r="K189" s="204"/>
      <c r="L189" s="205"/>
      <c r="M189" s="205"/>
      <c r="N189" s="204"/>
      <c r="O189" s="204"/>
      <c r="P189" s="206"/>
      <c r="Q189" s="206"/>
      <c r="R189" s="206"/>
      <c r="S189" s="206"/>
      <c r="T189" s="204"/>
      <c r="U189" s="207"/>
      <c r="V189" s="204"/>
      <c r="W189" s="204"/>
      <c r="X189" s="207"/>
      <c r="Y189" s="207"/>
      <c r="Z189" s="204"/>
      <c r="AA189" s="204"/>
      <c r="AB189" s="204"/>
      <c r="AC189" s="204"/>
    </row>
    <row r="190" spans="1:29">
      <c r="A190" s="204"/>
      <c r="B190" s="204"/>
      <c r="C190" s="204"/>
      <c r="D190" s="204"/>
      <c r="E190" s="204"/>
      <c r="F190" s="204"/>
      <c r="G190" s="204"/>
      <c r="H190" s="204"/>
      <c r="I190" s="204"/>
      <c r="J190" s="204"/>
      <c r="K190" s="204"/>
      <c r="L190" s="205"/>
      <c r="M190" s="205"/>
      <c r="N190" s="204"/>
      <c r="O190" s="204"/>
      <c r="P190" s="206"/>
      <c r="Q190" s="206"/>
      <c r="R190" s="206"/>
      <c r="S190" s="206"/>
      <c r="T190" s="204"/>
      <c r="U190" s="207"/>
      <c r="V190" s="204"/>
      <c r="W190" s="204"/>
      <c r="X190" s="207"/>
      <c r="Y190" s="207"/>
      <c r="Z190" s="204"/>
      <c r="AA190" s="204"/>
      <c r="AB190" s="204"/>
      <c r="AC190" s="204"/>
    </row>
    <row r="191" spans="1:29">
      <c r="A191" s="204"/>
      <c r="B191" s="204"/>
      <c r="C191" s="204"/>
      <c r="D191" s="204"/>
      <c r="E191" s="204"/>
      <c r="F191" s="204"/>
      <c r="G191" s="204"/>
      <c r="H191" s="204"/>
      <c r="I191" s="204"/>
      <c r="J191" s="204"/>
      <c r="K191" s="204"/>
      <c r="L191" s="205"/>
      <c r="M191" s="205"/>
      <c r="N191" s="204"/>
      <c r="O191" s="204"/>
      <c r="P191" s="206"/>
      <c r="Q191" s="206"/>
      <c r="R191" s="206"/>
      <c r="S191" s="206"/>
      <c r="T191" s="204"/>
      <c r="U191" s="207"/>
      <c r="V191" s="204"/>
      <c r="W191" s="204"/>
      <c r="X191" s="207"/>
      <c r="Y191" s="207"/>
      <c r="Z191" s="204"/>
      <c r="AA191" s="204"/>
      <c r="AB191" s="204"/>
      <c r="AC191" s="204"/>
    </row>
    <row r="192" spans="1:29">
      <c r="A192" s="204"/>
      <c r="B192" s="204"/>
      <c r="C192" s="204"/>
      <c r="D192" s="204"/>
      <c r="E192" s="204"/>
      <c r="F192" s="204"/>
      <c r="G192" s="204"/>
      <c r="H192" s="204"/>
      <c r="I192" s="204"/>
      <c r="J192" s="204"/>
      <c r="K192" s="204"/>
      <c r="L192" s="205"/>
      <c r="M192" s="205"/>
      <c r="N192" s="204"/>
      <c r="O192" s="204"/>
      <c r="P192" s="206"/>
      <c r="Q192" s="206"/>
      <c r="R192" s="206"/>
      <c r="S192" s="206"/>
      <c r="T192" s="204"/>
      <c r="U192" s="207"/>
      <c r="V192" s="204"/>
      <c r="W192" s="204"/>
      <c r="X192" s="207"/>
      <c r="Y192" s="207"/>
      <c r="Z192" s="204"/>
      <c r="AA192" s="204"/>
      <c r="AB192" s="204"/>
      <c r="AC192" s="204"/>
    </row>
    <row r="193" spans="1:29">
      <c r="A193" s="204"/>
      <c r="B193" s="204"/>
      <c r="C193" s="204"/>
      <c r="D193" s="204"/>
      <c r="E193" s="204"/>
      <c r="F193" s="204"/>
      <c r="G193" s="204"/>
      <c r="H193" s="204"/>
      <c r="I193" s="204"/>
      <c r="J193" s="204"/>
      <c r="K193" s="204"/>
      <c r="L193" s="205"/>
      <c r="M193" s="205"/>
      <c r="N193" s="204"/>
      <c r="O193" s="204"/>
      <c r="P193" s="206"/>
      <c r="Q193" s="206"/>
      <c r="R193" s="206"/>
      <c r="S193" s="206"/>
      <c r="T193" s="204"/>
      <c r="U193" s="207"/>
      <c r="V193" s="204"/>
      <c r="W193" s="204"/>
      <c r="X193" s="207"/>
      <c r="Y193" s="207"/>
      <c r="Z193" s="204"/>
      <c r="AA193" s="204"/>
      <c r="AB193" s="204"/>
      <c r="AC193" s="204"/>
    </row>
    <row r="194" spans="1:29">
      <c r="A194" s="204"/>
      <c r="B194" s="204"/>
      <c r="C194" s="204"/>
      <c r="D194" s="204"/>
      <c r="E194" s="204"/>
      <c r="F194" s="204"/>
      <c r="G194" s="204"/>
      <c r="H194" s="204"/>
      <c r="I194" s="204"/>
      <c r="J194" s="204"/>
      <c r="K194" s="204"/>
      <c r="L194" s="205"/>
      <c r="M194" s="205"/>
      <c r="N194" s="204"/>
      <c r="O194" s="204"/>
      <c r="P194" s="206"/>
      <c r="Q194" s="206"/>
      <c r="R194" s="206"/>
      <c r="S194" s="206"/>
      <c r="T194" s="204"/>
      <c r="U194" s="207"/>
      <c r="V194" s="204"/>
      <c r="W194" s="204"/>
      <c r="X194" s="207"/>
      <c r="Y194" s="207"/>
      <c r="Z194" s="204"/>
      <c r="AA194" s="204"/>
      <c r="AB194" s="204"/>
      <c r="AC194" s="204"/>
    </row>
    <row r="195" spans="1:29">
      <c r="A195" s="204"/>
      <c r="B195" s="204"/>
      <c r="C195" s="204"/>
      <c r="D195" s="204"/>
      <c r="E195" s="204"/>
      <c r="F195" s="204"/>
      <c r="G195" s="204"/>
      <c r="H195" s="204"/>
      <c r="I195" s="204"/>
      <c r="J195" s="204"/>
      <c r="K195" s="204"/>
      <c r="L195" s="205"/>
      <c r="M195" s="205"/>
      <c r="N195" s="204"/>
      <c r="O195" s="204"/>
      <c r="P195" s="206"/>
      <c r="Q195" s="206"/>
      <c r="R195" s="206"/>
      <c r="S195" s="206"/>
      <c r="T195" s="204"/>
      <c r="U195" s="207"/>
      <c r="V195" s="204"/>
      <c r="W195" s="204"/>
      <c r="X195" s="207"/>
      <c r="Y195" s="207"/>
      <c r="Z195" s="204"/>
      <c r="AA195" s="204"/>
      <c r="AB195" s="204"/>
      <c r="AC195" s="204"/>
    </row>
    <row r="196" spans="1:29">
      <c r="A196" s="204"/>
      <c r="B196" s="204"/>
      <c r="C196" s="204"/>
      <c r="D196" s="204"/>
      <c r="E196" s="204"/>
      <c r="F196" s="204"/>
      <c r="G196" s="204"/>
      <c r="H196" s="204"/>
      <c r="I196" s="204"/>
      <c r="J196" s="204"/>
      <c r="K196" s="204"/>
      <c r="L196" s="205"/>
      <c r="M196" s="205"/>
      <c r="N196" s="204"/>
      <c r="O196" s="204"/>
      <c r="P196" s="206"/>
      <c r="Q196" s="206"/>
      <c r="R196" s="206"/>
      <c r="S196" s="206"/>
      <c r="T196" s="204"/>
      <c r="U196" s="207"/>
      <c r="V196" s="204"/>
      <c r="W196" s="204"/>
      <c r="X196" s="207"/>
      <c r="Y196" s="207"/>
      <c r="Z196" s="204"/>
      <c r="AA196" s="204"/>
      <c r="AB196" s="204"/>
      <c r="AC196" s="204"/>
    </row>
    <row r="197" spans="1:29">
      <c r="A197" s="204"/>
      <c r="B197" s="204"/>
      <c r="C197" s="204"/>
      <c r="D197" s="204"/>
      <c r="E197" s="204"/>
      <c r="F197" s="204"/>
      <c r="G197" s="204"/>
      <c r="H197" s="204"/>
      <c r="I197" s="204"/>
      <c r="J197" s="204"/>
      <c r="K197" s="204"/>
      <c r="L197" s="205"/>
      <c r="M197" s="205"/>
      <c r="N197" s="204"/>
      <c r="O197" s="204"/>
      <c r="P197" s="206"/>
      <c r="Q197" s="206"/>
      <c r="R197" s="206"/>
      <c r="S197" s="206"/>
      <c r="T197" s="204"/>
      <c r="U197" s="207"/>
      <c r="V197" s="204"/>
      <c r="W197" s="204"/>
      <c r="X197" s="207"/>
      <c r="Y197" s="207"/>
      <c r="Z197" s="204"/>
      <c r="AA197" s="204"/>
      <c r="AB197" s="204"/>
      <c r="AC197" s="204"/>
    </row>
    <row r="198" spans="1:29">
      <c r="A198" s="204"/>
      <c r="B198" s="204"/>
      <c r="C198" s="204"/>
      <c r="D198" s="204"/>
      <c r="E198" s="204"/>
      <c r="F198" s="204"/>
      <c r="G198" s="204"/>
      <c r="H198" s="204"/>
      <c r="I198" s="204"/>
      <c r="J198" s="204"/>
      <c r="K198" s="204"/>
      <c r="L198" s="205"/>
      <c r="M198" s="205"/>
      <c r="N198" s="204"/>
      <c r="O198" s="204"/>
      <c r="P198" s="206"/>
      <c r="Q198" s="206"/>
      <c r="R198" s="206"/>
      <c r="S198" s="206"/>
      <c r="T198" s="204"/>
      <c r="U198" s="207"/>
      <c r="V198" s="204"/>
      <c r="W198" s="204"/>
      <c r="X198" s="207"/>
      <c r="Y198" s="207"/>
      <c r="Z198" s="204"/>
      <c r="AA198" s="204"/>
      <c r="AB198" s="204"/>
      <c r="AC198" s="204"/>
    </row>
    <row r="199" spans="1:29">
      <c r="A199" s="204"/>
      <c r="B199" s="204"/>
      <c r="C199" s="204"/>
      <c r="D199" s="204"/>
      <c r="E199" s="204"/>
      <c r="F199" s="204"/>
      <c r="G199" s="204"/>
      <c r="H199" s="204"/>
      <c r="I199" s="204"/>
      <c r="J199" s="204"/>
      <c r="K199" s="204"/>
      <c r="L199" s="205"/>
      <c r="M199" s="205"/>
      <c r="N199" s="204"/>
      <c r="O199" s="204"/>
      <c r="P199" s="206"/>
      <c r="Q199" s="206"/>
      <c r="R199" s="206"/>
      <c r="S199" s="206"/>
      <c r="T199" s="204"/>
      <c r="U199" s="207"/>
      <c r="V199" s="204"/>
      <c r="W199" s="204"/>
      <c r="X199" s="207"/>
      <c r="Y199" s="207"/>
      <c r="Z199" s="204"/>
      <c r="AA199" s="204"/>
      <c r="AB199" s="204"/>
      <c r="AC199" s="204"/>
    </row>
    <row r="200" spans="1:29">
      <c r="A200" s="204"/>
      <c r="B200" s="204"/>
      <c r="C200" s="204"/>
      <c r="D200" s="204"/>
      <c r="E200" s="204"/>
      <c r="F200" s="204"/>
      <c r="G200" s="204"/>
      <c r="H200" s="204"/>
      <c r="I200" s="204"/>
      <c r="J200" s="204"/>
      <c r="K200" s="204"/>
      <c r="L200" s="205"/>
      <c r="M200" s="205"/>
      <c r="N200" s="204"/>
      <c r="O200" s="204"/>
      <c r="P200" s="206"/>
      <c r="Q200" s="206"/>
      <c r="R200" s="206"/>
      <c r="S200" s="206"/>
      <c r="T200" s="204"/>
      <c r="U200" s="207"/>
      <c r="V200" s="204"/>
      <c r="W200" s="204"/>
      <c r="X200" s="207"/>
      <c r="Y200" s="207"/>
      <c r="Z200" s="204"/>
      <c r="AA200" s="204"/>
      <c r="AB200" s="204"/>
      <c r="AC200" s="204"/>
    </row>
    <row r="201" spans="1:29">
      <c r="A201" s="204"/>
      <c r="B201" s="204"/>
      <c r="C201" s="204"/>
      <c r="D201" s="204"/>
      <c r="E201" s="204"/>
      <c r="F201" s="204"/>
      <c r="G201" s="204"/>
      <c r="H201" s="204"/>
      <c r="I201" s="204"/>
      <c r="J201" s="204"/>
      <c r="K201" s="204"/>
      <c r="L201" s="205"/>
      <c r="M201" s="205"/>
      <c r="N201" s="204"/>
      <c r="O201" s="204"/>
      <c r="P201" s="206"/>
      <c r="Q201" s="206"/>
      <c r="R201" s="206"/>
      <c r="S201" s="206"/>
      <c r="T201" s="204"/>
      <c r="U201" s="207"/>
      <c r="V201" s="204"/>
      <c r="W201" s="204"/>
      <c r="X201" s="207"/>
      <c r="Y201" s="207"/>
      <c r="Z201" s="204"/>
      <c r="AA201" s="204"/>
      <c r="AB201" s="204"/>
      <c r="AC201" s="204"/>
    </row>
    <row r="202" spans="1:29">
      <c r="A202" s="204"/>
      <c r="B202" s="204"/>
      <c r="C202" s="204"/>
      <c r="D202" s="204"/>
      <c r="E202" s="204"/>
      <c r="F202" s="204"/>
      <c r="G202" s="204"/>
      <c r="H202" s="204"/>
      <c r="I202" s="204"/>
      <c r="J202" s="204"/>
      <c r="K202" s="204"/>
      <c r="L202" s="205"/>
      <c r="M202" s="205"/>
      <c r="N202" s="204"/>
      <c r="O202" s="204"/>
      <c r="P202" s="206"/>
      <c r="Q202" s="206"/>
      <c r="R202" s="206"/>
      <c r="S202" s="206"/>
      <c r="T202" s="204"/>
      <c r="U202" s="207"/>
      <c r="V202" s="204"/>
      <c r="W202" s="204"/>
      <c r="X202" s="207"/>
      <c r="Y202" s="207"/>
      <c r="Z202" s="204"/>
      <c r="AA202" s="204"/>
      <c r="AB202" s="204"/>
      <c r="AC202" s="204"/>
    </row>
    <row r="203" spans="1:29">
      <c r="A203" s="204"/>
      <c r="B203" s="204"/>
      <c r="C203" s="204"/>
      <c r="D203" s="204"/>
      <c r="E203" s="204"/>
      <c r="F203" s="204"/>
      <c r="G203" s="204"/>
      <c r="H203" s="204"/>
      <c r="I203" s="204"/>
      <c r="J203" s="204"/>
      <c r="K203" s="204"/>
      <c r="L203" s="205"/>
      <c r="M203" s="205"/>
      <c r="N203" s="204"/>
      <c r="O203" s="204"/>
      <c r="P203" s="206"/>
      <c r="Q203" s="206"/>
      <c r="R203" s="206"/>
      <c r="S203" s="206"/>
      <c r="T203" s="204"/>
      <c r="U203" s="207"/>
      <c r="V203" s="204"/>
      <c r="W203" s="204"/>
      <c r="X203" s="207"/>
      <c r="Y203" s="207"/>
      <c r="Z203" s="204"/>
      <c r="AA203" s="204"/>
      <c r="AB203" s="204"/>
      <c r="AC203" s="204"/>
    </row>
    <row r="204" spans="1:29">
      <c r="A204" s="204"/>
      <c r="B204" s="204"/>
      <c r="C204" s="204"/>
      <c r="D204" s="204"/>
      <c r="E204" s="204"/>
      <c r="F204" s="204"/>
      <c r="G204" s="204"/>
      <c r="H204" s="204"/>
      <c r="I204" s="204"/>
      <c r="J204" s="204"/>
      <c r="K204" s="204"/>
      <c r="L204" s="205"/>
      <c r="M204" s="205"/>
      <c r="N204" s="204"/>
      <c r="O204" s="204"/>
      <c r="P204" s="206"/>
      <c r="Q204" s="206"/>
      <c r="R204" s="206"/>
      <c r="S204" s="206"/>
      <c r="T204" s="204"/>
      <c r="U204" s="207"/>
      <c r="V204" s="204"/>
      <c r="W204" s="204"/>
      <c r="X204" s="207"/>
      <c r="Y204" s="207"/>
      <c r="Z204" s="204"/>
      <c r="AA204" s="204"/>
      <c r="AB204" s="204"/>
      <c r="AC204" s="204"/>
    </row>
    <row r="205" spans="1:29">
      <c r="A205" s="204"/>
      <c r="B205" s="204"/>
      <c r="C205" s="204"/>
      <c r="D205" s="204"/>
      <c r="E205" s="204"/>
      <c r="F205" s="204"/>
      <c r="G205" s="204"/>
      <c r="H205" s="204"/>
      <c r="I205" s="204"/>
      <c r="J205" s="204"/>
      <c r="K205" s="204"/>
      <c r="L205" s="205"/>
      <c r="M205" s="205"/>
      <c r="N205" s="204"/>
      <c r="O205" s="204"/>
      <c r="P205" s="206"/>
      <c r="Q205" s="206"/>
      <c r="R205" s="206"/>
      <c r="S205" s="206"/>
      <c r="T205" s="204"/>
      <c r="U205" s="207"/>
      <c r="V205" s="204"/>
      <c r="W205" s="204"/>
      <c r="X205" s="207"/>
      <c r="Y205" s="207"/>
      <c r="Z205" s="204"/>
      <c r="AA205" s="204"/>
      <c r="AB205" s="204"/>
      <c r="AC205" s="204"/>
    </row>
    <row r="206" spans="1:29">
      <c r="A206" s="204"/>
      <c r="B206" s="204"/>
      <c r="C206" s="204"/>
      <c r="D206" s="204"/>
      <c r="E206" s="204"/>
      <c r="F206" s="204"/>
      <c r="G206" s="204"/>
      <c r="H206" s="204"/>
      <c r="I206" s="204"/>
      <c r="J206" s="204"/>
      <c r="K206" s="204"/>
      <c r="L206" s="205"/>
      <c r="M206" s="205"/>
      <c r="N206" s="204"/>
      <c r="O206" s="204"/>
      <c r="P206" s="206"/>
      <c r="Q206" s="206"/>
      <c r="R206" s="206"/>
      <c r="S206" s="206"/>
      <c r="T206" s="204"/>
      <c r="U206" s="207"/>
      <c r="V206" s="204"/>
      <c r="W206" s="204"/>
      <c r="X206" s="207"/>
      <c r="Y206" s="207"/>
      <c r="Z206" s="204"/>
      <c r="AA206" s="204"/>
      <c r="AB206" s="204"/>
      <c r="AC206" s="204"/>
    </row>
    <row r="207" spans="1:29">
      <c r="A207" s="204"/>
      <c r="B207" s="204"/>
      <c r="C207" s="204"/>
      <c r="D207" s="204"/>
      <c r="E207" s="204"/>
      <c r="F207" s="204"/>
      <c r="G207" s="204"/>
      <c r="H207" s="204"/>
      <c r="I207" s="204"/>
      <c r="J207" s="204"/>
      <c r="K207" s="204"/>
      <c r="L207" s="205"/>
      <c r="M207" s="205"/>
      <c r="N207" s="204"/>
      <c r="O207" s="204"/>
      <c r="P207" s="206"/>
      <c r="Q207" s="206"/>
      <c r="R207" s="206"/>
      <c r="S207" s="206"/>
      <c r="T207" s="204"/>
      <c r="U207" s="207"/>
      <c r="V207" s="204"/>
      <c r="W207" s="204"/>
      <c r="X207" s="207"/>
      <c r="Y207" s="207"/>
      <c r="Z207" s="204"/>
      <c r="AA207" s="204"/>
      <c r="AB207" s="204"/>
      <c r="AC207" s="204"/>
    </row>
    <row r="208" spans="1:29">
      <c r="A208" s="204"/>
      <c r="B208" s="204"/>
      <c r="C208" s="204"/>
      <c r="D208" s="204"/>
      <c r="E208" s="204"/>
      <c r="F208" s="204"/>
      <c r="G208" s="204"/>
      <c r="H208" s="204"/>
      <c r="I208" s="204"/>
      <c r="J208" s="204"/>
      <c r="K208" s="204"/>
      <c r="L208" s="205"/>
      <c r="M208" s="205"/>
      <c r="N208" s="204"/>
      <c r="O208" s="204"/>
      <c r="P208" s="206"/>
      <c r="Q208" s="206"/>
      <c r="R208" s="206"/>
      <c r="S208" s="206"/>
      <c r="T208" s="204"/>
      <c r="U208" s="207"/>
      <c r="V208" s="204"/>
      <c r="W208" s="204"/>
      <c r="X208" s="207"/>
      <c r="Y208" s="207"/>
      <c r="Z208" s="204"/>
      <c r="AA208" s="204"/>
      <c r="AB208" s="204"/>
      <c r="AC208" s="204"/>
    </row>
    <row r="209" spans="1:29">
      <c r="A209" s="204"/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5"/>
      <c r="M209" s="205"/>
      <c r="N209" s="204"/>
      <c r="O209" s="204"/>
      <c r="P209" s="206"/>
      <c r="Q209" s="206"/>
      <c r="R209" s="206"/>
      <c r="S209" s="206"/>
      <c r="T209" s="204"/>
      <c r="U209" s="207"/>
      <c r="V209" s="204"/>
      <c r="W209" s="204"/>
      <c r="X209" s="207"/>
      <c r="Y209" s="207"/>
      <c r="Z209" s="204"/>
      <c r="AA209" s="204"/>
      <c r="AB209" s="204"/>
      <c r="AC209" s="204"/>
    </row>
    <row r="210" spans="1:29">
      <c r="A210" s="204"/>
      <c r="B210" s="204"/>
      <c r="C210" s="204"/>
      <c r="D210" s="204"/>
      <c r="E210" s="204"/>
      <c r="F210" s="204"/>
      <c r="G210" s="204"/>
      <c r="H210" s="204"/>
      <c r="I210" s="204"/>
      <c r="J210" s="204"/>
      <c r="K210" s="204"/>
      <c r="L210" s="205"/>
      <c r="M210" s="205"/>
      <c r="N210" s="204"/>
      <c r="O210" s="204"/>
      <c r="P210" s="206"/>
      <c r="Q210" s="206"/>
      <c r="R210" s="206"/>
      <c r="S210" s="206"/>
      <c r="T210" s="204"/>
      <c r="U210" s="207"/>
      <c r="V210" s="204"/>
      <c r="W210" s="204"/>
      <c r="X210" s="207"/>
      <c r="Y210" s="207"/>
      <c r="Z210" s="204"/>
      <c r="AA210" s="204"/>
      <c r="AB210" s="204"/>
      <c r="AC210" s="204"/>
    </row>
    <row r="211" spans="1:29">
      <c r="A211" s="204"/>
      <c r="B211" s="204"/>
      <c r="C211" s="204"/>
      <c r="D211" s="204"/>
      <c r="E211" s="204"/>
      <c r="F211" s="204"/>
      <c r="G211" s="204"/>
      <c r="H211" s="204"/>
      <c r="I211" s="204"/>
      <c r="J211" s="204"/>
      <c r="K211" s="204"/>
      <c r="L211" s="205"/>
      <c r="M211" s="205"/>
      <c r="N211" s="204"/>
      <c r="O211" s="204"/>
      <c r="P211" s="206"/>
      <c r="Q211" s="206"/>
      <c r="R211" s="206"/>
      <c r="S211" s="206"/>
      <c r="T211" s="204"/>
      <c r="U211" s="207"/>
      <c r="V211" s="204"/>
      <c r="W211" s="204"/>
      <c r="X211" s="207"/>
      <c r="Y211" s="207"/>
      <c r="Z211" s="204"/>
      <c r="AA211" s="204"/>
      <c r="AB211" s="204"/>
      <c r="AC211" s="204"/>
    </row>
    <row r="212" spans="1:29">
      <c r="A212" s="204"/>
      <c r="B212" s="204"/>
      <c r="C212" s="204"/>
      <c r="D212" s="204"/>
      <c r="E212" s="204"/>
      <c r="F212" s="204"/>
      <c r="G212" s="204"/>
      <c r="H212" s="204"/>
      <c r="I212" s="204"/>
      <c r="J212" s="204"/>
      <c r="K212" s="204"/>
      <c r="L212" s="205"/>
      <c r="M212" s="205"/>
      <c r="N212" s="204"/>
      <c r="O212" s="204"/>
      <c r="P212" s="206"/>
      <c r="Q212" s="206"/>
      <c r="R212" s="206"/>
      <c r="S212" s="206"/>
      <c r="T212" s="204"/>
      <c r="U212" s="207"/>
      <c r="V212" s="204"/>
      <c r="W212" s="204"/>
      <c r="X212" s="207"/>
      <c r="Y212" s="207"/>
      <c r="Z212" s="204"/>
      <c r="AA212" s="204"/>
      <c r="AB212" s="204"/>
      <c r="AC212" s="204"/>
    </row>
    <row r="213" spans="1:29">
      <c r="A213" s="204"/>
      <c r="B213" s="204"/>
      <c r="C213" s="204"/>
      <c r="D213" s="204"/>
      <c r="E213" s="204"/>
      <c r="F213" s="204"/>
      <c r="G213" s="204"/>
      <c r="H213" s="204"/>
      <c r="I213" s="204"/>
      <c r="J213" s="204"/>
      <c r="K213" s="204"/>
      <c r="L213" s="205"/>
      <c r="M213" s="205"/>
      <c r="N213" s="204"/>
      <c r="O213" s="204"/>
      <c r="P213" s="206"/>
      <c r="Q213" s="206"/>
      <c r="R213" s="206"/>
      <c r="S213" s="206"/>
      <c r="T213" s="204"/>
      <c r="U213" s="207"/>
      <c r="V213" s="204"/>
      <c r="W213" s="204"/>
      <c r="X213" s="207"/>
      <c r="Y213" s="207"/>
      <c r="Z213" s="204"/>
      <c r="AA213" s="204"/>
      <c r="AB213" s="204"/>
      <c r="AC213" s="204"/>
    </row>
    <row r="214" spans="1:29">
      <c r="A214" s="204"/>
      <c r="B214" s="204"/>
      <c r="C214" s="204"/>
      <c r="D214" s="204"/>
      <c r="E214" s="204"/>
      <c r="F214" s="204"/>
      <c r="G214" s="204"/>
      <c r="H214" s="204"/>
      <c r="I214" s="204"/>
      <c r="J214" s="204"/>
      <c r="K214" s="204"/>
      <c r="L214" s="205"/>
      <c r="M214" s="205"/>
      <c r="N214" s="204"/>
      <c r="O214" s="204"/>
      <c r="P214" s="206"/>
      <c r="Q214" s="206"/>
      <c r="R214" s="206"/>
      <c r="S214" s="206"/>
      <c r="T214" s="204"/>
      <c r="U214" s="207"/>
      <c r="V214" s="204"/>
      <c r="W214" s="204"/>
      <c r="X214" s="207"/>
      <c r="Y214" s="207"/>
      <c r="Z214" s="204"/>
      <c r="AA214" s="204"/>
      <c r="AB214" s="204"/>
      <c r="AC214" s="204"/>
    </row>
    <row r="215" spans="1:29">
      <c r="A215" s="204"/>
      <c r="B215" s="204"/>
      <c r="C215" s="204"/>
      <c r="D215" s="204"/>
      <c r="E215" s="204"/>
      <c r="F215" s="204"/>
      <c r="G215" s="204"/>
      <c r="H215" s="204"/>
      <c r="I215" s="204"/>
      <c r="J215" s="204"/>
      <c r="K215" s="204"/>
      <c r="L215" s="205"/>
      <c r="M215" s="205"/>
      <c r="N215" s="204"/>
      <c r="O215" s="204"/>
      <c r="P215" s="206"/>
      <c r="Q215" s="206"/>
      <c r="R215" s="206"/>
      <c r="S215" s="206"/>
      <c r="T215" s="204"/>
      <c r="U215" s="207"/>
      <c r="V215" s="204"/>
      <c r="W215" s="204"/>
      <c r="X215" s="207"/>
      <c r="Y215" s="207"/>
      <c r="Z215" s="204"/>
      <c r="AA215" s="204"/>
      <c r="AB215" s="204"/>
      <c r="AC215" s="204"/>
    </row>
    <row r="216" spans="1:29">
      <c r="A216" s="204"/>
      <c r="B216" s="204"/>
      <c r="C216" s="204"/>
      <c r="D216" s="204"/>
      <c r="E216" s="204"/>
      <c r="F216" s="204"/>
      <c r="G216" s="204"/>
      <c r="H216" s="204"/>
      <c r="I216" s="204"/>
      <c r="J216" s="204"/>
      <c r="K216" s="204"/>
      <c r="L216" s="205"/>
      <c r="M216" s="205"/>
      <c r="N216" s="204"/>
      <c r="O216" s="204"/>
      <c r="P216" s="206"/>
      <c r="Q216" s="206"/>
      <c r="R216" s="206"/>
      <c r="S216" s="206"/>
      <c r="T216" s="204"/>
      <c r="U216" s="207"/>
      <c r="V216" s="204"/>
      <c r="W216" s="204"/>
      <c r="X216" s="207"/>
      <c r="Y216" s="207"/>
      <c r="Z216" s="204"/>
      <c r="AA216" s="204"/>
      <c r="AB216" s="204"/>
      <c r="AC216" s="204"/>
    </row>
    <row r="217" spans="1:29">
      <c r="A217" s="204"/>
      <c r="B217" s="204"/>
      <c r="C217" s="204"/>
      <c r="D217" s="204"/>
      <c r="E217" s="204"/>
      <c r="F217" s="204"/>
      <c r="G217" s="204"/>
      <c r="H217" s="204"/>
      <c r="I217" s="204"/>
      <c r="J217" s="204"/>
      <c r="K217" s="204"/>
      <c r="L217" s="205"/>
      <c r="M217" s="205"/>
      <c r="N217" s="204"/>
      <c r="O217" s="204"/>
      <c r="P217" s="206"/>
      <c r="Q217" s="206"/>
      <c r="R217" s="206"/>
      <c r="S217" s="206"/>
      <c r="T217" s="204"/>
      <c r="U217" s="207"/>
      <c r="V217" s="204"/>
      <c r="W217" s="204"/>
      <c r="X217" s="207"/>
      <c r="Y217" s="207"/>
      <c r="Z217" s="204"/>
      <c r="AA217" s="204"/>
      <c r="AB217" s="204"/>
      <c r="AC217" s="204"/>
    </row>
    <row r="218" spans="1:29">
      <c r="A218" s="204"/>
      <c r="B218" s="204"/>
      <c r="C218" s="204"/>
      <c r="D218" s="204"/>
      <c r="E218" s="204"/>
      <c r="F218" s="204"/>
      <c r="G218" s="204"/>
      <c r="H218" s="204"/>
      <c r="I218" s="204"/>
      <c r="J218" s="204"/>
      <c r="K218" s="204"/>
      <c r="L218" s="205"/>
      <c r="M218" s="205"/>
      <c r="N218" s="204"/>
      <c r="O218" s="204"/>
      <c r="P218" s="206"/>
      <c r="Q218" s="206"/>
      <c r="R218" s="206"/>
      <c r="S218" s="206"/>
      <c r="T218" s="204"/>
      <c r="U218" s="207"/>
      <c r="V218" s="204"/>
      <c r="W218" s="204"/>
      <c r="X218" s="207"/>
      <c r="Y218" s="207"/>
      <c r="Z218" s="204"/>
      <c r="AA218" s="204"/>
      <c r="AB218" s="204"/>
      <c r="AC218" s="204"/>
    </row>
    <row r="219" spans="1:29">
      <c r="A219" s="204"/>
      <c r="B219" s="204"/>
      <c r="C219" s="204"/>
      <c r="D219" s="204"/>
      <c r="E219" s="204"/>
      <c r="F219" s="204"/>
      <c r="G219" s="204"/>
      <c r="H219" s="204"/>
      <c r="I219" s="204"/>
      <c r="J219" s="204"/>
      <c r="K219" s="204"/>
      <c r="L219" s="205"/>
      <c r="M219" s="205"/>
      <c r="N219" s="204"/>
      <c r="O219" s="204"/>
      <c r="P219" s="206"/>
      <c r="Q219" s="206"/>
      <c r="R219" s="206"/>
      <c r="S219" s="206"/>
      <c r="T219" s="204"/>
      <c r="U219" s="207"/>
      <c r="V219" s="204"/>
      <c r="W219" s="204"/>
      <c r="X219" s="207"/>
      <c r="Y219" s="207"/>
      <c r="Z219" s="204"/>
      <c r="AA219" s="204"/>
      <c r="AB219" s="204"/>
      <c r="AC219" s="204"/>
    </row>
    <row r="220" spans="1:29">
      <c r="A220" s="204"/>
      <c r="B220" s="204"/>
      <c r="C220" s="204"/>
      <c r="D220" s="204"/>
      <c r="E220" s="204"/>
      <c r="F220" s="204"/>
      <c r="G220" s="204"/>
      <c r="H220" s="204"/>
      <c r="I220" s="204"/>
      <c r="J220" s="204"/>
      <c r="K220" s="204"/>
      <c r="L220" s="205"/>
      <c r="M220" s="205"/>
      <c r="N220" s="204"/>
      <c r="O220" s="204"/>
      <c r="P220" s="206"/>
      <c r="Q220" s="206"/>
      <c r="R220" s="206"/>
      <c r="S220" s="206"/>
      <c r="T220" s="204"/>
      <c r="U220" s="207"/>
      <c r="V220" s="204"/>
      <c r="W220" s="204"/>
      <c r="X220" s="207"/>
      <c r="Y220" s="207"/>
      <c r="Z220" s="204"/>
      <c r="AA220" s="204"/>
      <c r="AB220" s="204"/>
      <c r="AC220" s="204"/>
    </row>
    <row r="221" spans="1:29">
      <c r="A221" s="204"/>
      <c r="B221" s="204"/>
      <c r="C221" s="204"/>
      <c r="D221" s="204"/>
      <c r="E221" s="204"/>
      <c r="F221" s="204"/>
      <c r="G221" s="204"/>
      <c r="H221" s="204"/>
      <c r="I221" s="204"/>
      <c r="J221" s="204"/>
      <c r="K221" s="204"/>
      <c r="L221" s="205"/>
      <c r="M221" s="205"/>
      <c r="N221" s="204"/>
      <c r="O221" s="204"/>
      <c r="P221" s="206"/>
      <c r="Q221" s="206"/>
      <c r="R221" s="206"/>
      <c r="S221" s="206"/>
      <c r="T221" s="204"/>
      <c r="U221" s="207"/>
      <c r="V221" s="204"/>
      <c r="W221" s="204"/>
      <c r="X221" s="207"/>
      <c r="Y221" s="207"/>
      <c r="Z221" s="204"/>
      <c r="AA221" s="204"/>
      <c r="AB221" s="204"/>
      <c r="AC221" s="204"/>
    </row>
    <row r="222" spans="1:29">
      <c r="A222" s="204"/>
      <c r="B222" s="204"/>
      <c r="C222" s="204"/>
      <c r="D222" s="204"/>
      <c r="E222" s="204"/>
      <c r="F222" s="204"/>
      <c r="G222" s="204"/>
      <c r="H222" s="204"/>
      <c r="I222" s="204"/>
      <c r="J222" s="204"/>
      <c r="K222" s="204"/>
      <c r="L222" s="205"/>
      <c r="M222" s="205"/>
      <c r="N222" s="204"/>
      <c r="O222" s="204"/>
      <c r="P222" s="206"/>
      <c r="Q222" s="206"/>
      <c r="R222" s="206"/>
      <c r="S222" s="206"/>
      <c r="T222" s="204"/>
      <c r="U222" s="207"/>
      <c r="V222" s="204"/>
      <c r="W222" s="204"/>
      <c r="X222" s="207"/>
      <c r="Y222" s="207"/>
      <c r="Z222" s="204"/>
      <c r="AA222" s="204"/>
      <c r="AB222" s="204"/>
      <c r="AC222" s="204"/>
    </row>
    <row r="223" spans="1:29">
      <c r="A223" s="204"/>
      <c r="B223" s="204"/>
      <c r="C223" s="204"/>
      <c r="D223" s="204"/>
      <c r="E223" s="204"/>
      <c r="F223" s="204"/>
      <c r="G223" s="204"/>
      <c r="H223" s="204"/>
      <c r="I223" s="204"/>
      <c r="J223" s="204"/>
      <c r="K223" s="204"/>
      <c r="L223" s="205"/>
      <c r="M223" s="205"/>
      <c r="N223" s="204"/>
      <c r="O223" s="204"/>
      <c r="P223" s="206"/>
      <c r="Q223" s="206"/>
      <c r="R223" s="206"/>
      <c r="S223" s="206"/>
      <c r="T223" s="204"/>
      <c r="U223" s="207"/>
      <c r="V223" s="204"/>
      <c r="W223" s="204"/>
      <c r="X223" s="207"/>
      <c r="Y223" s="207"/>
      <c r="Z223" s="204"/>
      <c r="AA223" s="204"/>
      <c r="AB223" s="204"/>
      <c r="AC223" s="204"/>
    </row>
    <row r="224" spans="1:29">
      <c r="A224" s="204"/>
      <c r="B224" s="204"/>
      <c r="C224" s="204"/>
      <c r="D224" s="204"/>
      <c r="E224" s="204"/>
      <c r="F224" s="204"/>
      <c r="G224" s="204"/>
      <c r="H224" s="204"/>
      <c r="I224" s="204"/>
      <c r="J224" s="204"/>
      <c r="K224" s="204"/>
      <c r="L224" s="205"/>
      <c r="M224" s="205"/>
      <c r="N224" s="204"/>
      <c r="O224" s="204"/>
      <c r="P224" s="206"/>
      <c r="Q224" s="206"/>
      <c r="R224" s="206"/>
      <c r="S224" s="206"/>
      <c r="T224" s="204"/>
      <c r="U224" s="207"/>
      <c r="V224" s="204"/>
      <c r="W224" s="204"/>
      <c r="X224" s="207"/>
      <c r="Y224" s="207"/>
      <c r="Z224" s="204"/>
      <c r="AA224" s="204"/>
      <c r="AB224" s="204"/>
      <c r="AC224" s="204"/>
    </row>
    <row r="225" spans="1:29">
      <c r="A225" s="204"/>
      <c r="B225" s="204"/>
      <c r="C225" s="204"/>
      <c r="D225" s="204"/>
      <c r="E225" s="204"/>
      <c r="F225" s="204"/>
      <c r="G225" s="204"/>
      <c r="H225" s="204"/>
      <c r="I225" s="204"/>
      <c r="J225" s="204"/>
      <c r="K225" s="204"/>
      <c r="L225" s="205"/>
      <c r="M225" s="205"/>
      <c r="N225" s="204"/>
      <c r="O225" s="204"/>
      <c r="P225" s="206"/>
      <c r="Q225" s="206"/>
      <c r="R225" s="206"/>
      <c r="S225" s="206"/>
      <c r="T225" s="204"/>
      <c r="U225" s="207"/>
      <c r="V225" s="204"/>
      <c r="W225" s="204"/>
      <c r="X225" s="207"/>
      <c r="Y225" s="207"/>
      <c r="Z225" s="204"/>
      <c r="AA225" s="204"/>
      <c r="AB225" s="204"/>
      <c r="AC225" s="204"/>
    </row>
    <row r="226" spans="1:29">
      <c r="A226" s="204"/>
      <c r="B226" s="204"/>
      <c r="C226" s="204"/>
      <c r="D226" s="204"/>
      <c r="E226" s="204"/>
      <c r="F226" s="204"/>
      <c r="G226" s="204"/>
      <c r="H226" s="204"/>
      <c r="I226" s="204"/>
      <c r="J226" s="204"/>
      <c r="K226" s="204"/>
      <c r="L226" s="205"/>
      <c r="M226" s="205"/>
      <c r="N226" s="204"/>
      <c r="O226" s="204"/>
      <c r="P226" s="206"/>
      <c r="Q226" s="206"/>
      <c r="R226" s="206"/>
      <c r="S226" s="206"/>
      <c r="T226" s="204"/>
      <c r="U226" s="207"/>
      <c r="V226" s="204"/>
      <c r="W226" s="204"/>
      <c r="X226" s="207"/>
      <c r="Y226" s="207"/>
      <c r="Z226" s="204"/>
      <c r="AA226" s="204"/>
      <c r="AB226" s="204"/>
      <c r="AC226" s="204"/>
    </row>
    <row r="227" spans="1:29">
      <c r="A227" s="204"/>
      <c r="B227" s="204"/>
      <c r="C227" s="204"/>
      <c r="D227" s="204"/>
      <c r="E227" s="204"/>
      <c r="F227" s="204"/>
      <c r="G227" s="204"/>
      <c r="H227" s="204"/>
      <c r="I227" s="204"/>
      <c r="J227" s="204"/>
      <c r="K227" s="204"/>
      <c r="L227" s="205"/>
      <c r="M227" s="205"/>
      <c r="N227" s="204"/>
      <c r="O227" s="204"/>
      <c r="P227" s="206"/>
      <c r="Q227" s="206"/>
      <c r="R227" s="206"/>
      <c r="S227" s="206"/>
      <c r="T227" s="204"/>
      <c r="U227" s="207"/>
      <c r="V227" s="204"/>
      <c r="W227" s="204"/>
      <c r="X227" s="207"/>
      <c r="Y227" s="207"/>
      <c r="Z227" s="204"/>
      <c r="AA227" s="204"/>
      <c r="AB227" s="204"/>
      <c r="AC227" s="204"/>
    </row>
    <row r="228" spans="1:29">
      <c r="A228" s="204"/>
      <c r="B228" s="204"/>
      <c r="C228" s="204"/>
      <c r="D228" s="204"/>
      <c r="E228" s="204"/>
      <c r="F228" s="204"/>
      <c r="G228" s="204"/>
      <c r="H228" s="204"/>
      <c r="I228" s="204"/>
      <c r="J228" s="204"/>
      <c r="K228" s="204"/>
      <c r="L228" s="205"/>
      <c r="M228" s="205"/>
      <c r="N228" s="204"/>
      <c r="O228" s="204"/>
      <c r="P228" s="206"/>
      <c r="Q228" s="206"/>
      <c r="R228" s="206"/>
      <c r="S228" s="206"/>
      <c r="T228" s="204"/>
      <c r="U228" s="207"/>
      <c r="V228" s="204"/>
      <c r="W228" s="204"/>
      <c r="X228" s="207"/>
      <c r="Y228" s="207"/>
      <c r="Z228" s="204"/>
      <c r="AA228" s="204"/>
      <c r="AB228" s="204"/>
      <c r="AC228" s="204"/>
    </row>
    <row r="229" spans="1:29">
      <c r="A229" s="204"/>
      <c r="B229" s="204"/>
      <c r="C229" s="204"/>
      <c r="D229" s="204"/>
      <c r="E229" s="204"/>
      <c r="F229" s="204"/>
      <c r="G229" s="204"/>
      <c r="H229" s="204"/>
      <c r="I229" s="204"/>
      <c r="J229" s="204"/>
      <c r="K229" s="204"/>
      <c r="L229" s="205"/>
      <c r="M229" s="205"/>
      <c r="N229" s="204"/>
      <c r="O229" s="204"/>
      <c r="P229" s="206"/>
      <c r="Q229" s="206"/>
      <c r="R229" s="206"/>
      <c r="S229" s="206"/>
      <c r="T229" s="204"/>
      <c r="U229" s="207"/>
      <c r="V229" s="204"/>
      <c r="W229" s="204"/>
      <c r="X229" s="207"/>
      <c r="Y229" s="207"/>
      <c r="Z229" s="204"/>
      <c r="AA229" s="204"/>
      <c r="AB229" s="204"/>
      <c r="AC229" s="204"/>
    </row>
    <row r="230" spans="1:29">
      <c r="A230" s="204"/>
      <c r="B230" s="204"/>
      <c r="C230" s="204"/>
      <c r="D230" s="204"/>
      <c r="E230" s="204"/>
      <c r="F230" s="204"/>
      <c r="G230" s="204"/>
      <c r="H230" s="204"/>
      <c r="I230" s="204"/>
      <c r="J230" s="204"/>
      <c r="K230" s="204"/>
      <c r="L230" s="205"/>
      <c r="M230" s="205"/>
      <c r="N230" s="204"/>
      <c r="O230" s="204"/>
      <c r="P230" s="206"/>
      <c r="Q230" s="206"/>
      <c r="R230" s="206"/>
      <c r="S230" s="206"/>
      <c r="T230" s="204"/>
      <c r="U230" s="207"/>
      <c r="V230" s="204"/>
      <c r="W230" s="204"/>
      <c r="X230" s="207"/>
      <c r="Y230" s="207"/>
      <c r="Z230" s="204"/>
      <c r="AA230" s="204"/>
      <c r="AB230" s="204"/>
      <c r="AC230" s="204"/>
    </row>
    <row r="231" spans="1:29">
      <c r="A231" s="204"/>
      <c r="B231" s="204"/>
      <c r="C231" s="204"/>
      <c r="D231" s="204"/>
      <c r="E231" s="204"/>
      <c r="F231" s="204"/>
      <c r="G231" s="204"/>
      <c r="H231" s="204"/>
      <c r="I231" s="204"/>
      <c r="J231" s="204"/>
      <c r="K231" s="204"/>
      <c r="L231" s="205"/>
      <c r="M231" s="205"/>
      <c r="N231" s="204"/>
      <c r="O231" s="204"/>
      <c r="P231" s="206"/>
      <c r="Q231" s="206"/>
      <c r="R231" s="206"/>
      <c r="S231" s="206"/>
      <c r="T231" s="204"/>
      <c r="U231" s="207"/>
      <c r="V231" s="204"/>
      <c r="W231" s="204"/>
      <c r="X231" s="207"/>
      <c r="Y231" s="207"/>
      <c r="Z231" s="204"/>
      <c r="AA231" s="204"/>
      <c r="AB231" s="204"/>
      <c r="AC231" s="204"/>
    </row>
    <row r="232" spans="1:29">
      <c r="A232" s="204"/>
      <c r="B232" s="204"/>
      <c r="C232" s="204"/>
      <c r="D232" s="204"/>
      <c r="E232" s="204"/>
      <c r="F232" s="204"/>
      <c r="G232" s="204"/>
      <c r="H232" s="204"/>
      <c r="I232" s="204"/>
      <c r="J232" s="204"/>
      <c r="K232" s="204"/>
      <c r="L232" s="205"/>
      <c r="M232" s="205"/>
      <c r="N232" s="204"/>
      <c r="O232" s="204"/>
      <c r="P232" s="206"/>
      <c r="Q232" s="206"/>
      <c r="R232" s="206"/>
      <c r="S232" s="206"/>
      <c r="T232" s="204"/>
      <c r="U232" s="207"/>
      <c r="V232" s="204"/>
      <c r="W232" s="204"/>
      <c r="X232" s="207"/>
      <c r="Y232" s="207"/>
      <c r="Z232" s="204"/>
      <c r="AA232" s="204"/>
      <c r="AB232" s="204"/>
      <c r="AC232" s="204"/>
    </row>
    <row r="233" spans="1:29">
      <c r="A233" s="204"/>
      <c r="B233" s="204"/>
      <c r="C233" s="204"/>
      <c r="D233" s="204"/>
      <c r="E233" s="204"/>
      <c r="F233" s="204"/>
      <c r="G233" s="204"/>
      <c r="H233" s="204"/>
      <c r="I233" s="204"/>
      <c r="J233" s="204"/>
      <c r="K233" s="204"/>
      <c r="L233" s="205"/>
      <c r="M233" s="205"/>
      <c r="N233" s="204"/>
      <c r="O233" s="204"/>
      <c r="P233" s="206"/>
      <c r="Q233" s="206"/>
      <c r="R233" s="206"/>
      <c r="S233" s="206"/>
      <c r="T233" s="204"/>
      <c r="U233" s="207"/>
      <c r="V233" s="204"/>
      <c r="W233" s="204"/>
      <c r="X233" s="207"/>
      <c r="Y233" s="207"/>
      <c r="Z233" s="204"/>
      <c r="AA233" s="204"/>
      <c r="AB233" s="204"/>
      <c r="AC233" s="204"/>
    </row>
    <row r="234" spans="1:29">
      <c r="A234" s="204"/>
      <c r="B234" s="204"/>
      <c r="C234" s="204"/>
      <c r="D234" s="204"/>
      <c r="E234" s="204"/>
      <c r="F234" s="204"/>
      <c r="G234" s="204"/>
      <c r="H234" s="204"/>
      <c r="I234" s="204"/>
      <c r="J234" s="204"/>
      <c r="K234" s="204"/>
      <c r="L234" s="205"/>
      <c r="M234" s="205"/>
      <c r="N234" s="204"/>
      <c r="O234" s="204"/>
      <c r="P234" s="206"/>
      <c r="Q234" s="206"/>
      <c r="R234" s="206"/>
      <c r="S234" s="206"/>
      <c r="T234" s="204"/>
      <c r="U234" s="207"/>
      <c r="V234" s="204"/>
      <c r="W234" s="204"/>
      <c r="X234" s="207"/>
      <c r="Y234" s="207"/>
      <c r="Z234" s="204"/>
      <c r="AA234" s="204"/>
      <c r="AB234" s="204"/>
      <c r="AC234" s="204"/>
    </row>
    <row r="235" spans="1:29">
      <c r="A235" s="204"/>
      <c r="B235" s="204"/>
      <c r="C235" s="204"/>
      <c r="D235" s="204"/>
      <c r="E235" s="204"/>
      <c r="F235" s="204"/>
      <c r="G235" s="204"/>
      <c r="H235" s="204"/>
      <c r="I235" s="204"/>
      <c r="J235" s="204"/>
      <c r="K235" s="204"/>
      <c r="L235" s="205"/>
      <c r="M235" s="205"/>
      <c r="N235" s="204"/>
      <c r="O235" s="204"/>
      <c r="P235" s="206"/>
      <c r="Q235" s="206"/>
      <c r="R235" s="206"/>
      <c r="S235" s="206"/>
      <c r="T235" s="204"/>
      <c r="U235" s="207"/>
      <c r="V235" s="204"/>
      <c r="W235" s="204"/>
      <c r="X235" s="207"/>
      <c r="Y235" s="207"/>
      <c r="Z235" s="204"/>
      <c r="AA235" s="204"/>
      <c r="AB235" s="204"/>
      <c r="AC235" s="204"/>
    </row>
    <row r="236" spans="1:29">
      <c r="A236" s="204"/>
      <c r="B236" s="204"/>
      <c r="C236" s="204"/>
      <c r="D236" s="204"/>
      <c r="E236" s="204"/>
      <c r="F236" s="204"/>
      <c r="G236" s="204"/>
      <c r="H236" s="204"/>
      <c r="I236" s="204"/>
      <c r="J236" s="204"/>
      <c r="K236" s="204"/>
      <c r="L236" s="205"/>
      <c r="M236" s="205"/>
      <c r="N236" s="204"/>
      <c r="O236" s="204"/>
      <c r="P236" s="206"/>
      <c r="Q236" s="206"/>
      <c r="R236" s="206"/>
      <c r="S236" s="206"/>
      <c r="T236" s="204"/>
      <c r="U236" s="207"/>
      <c r="V236" s="204"/>
      <c r="W236" s="204"/>
      <c r="X236" s="207"/>
      <c r="Y236" s="207"/>
      <c r="Z236" s="204"/>
      <c r="AA236" s="204"/>
      <c r="AB236" s="204"/>
      <c r="AC236" s="204"/>
    </row>
    <row r="237" spans="1:29">
      <c r="A237" s="204"/>
      <c r="B237" s="204"/>
      <c r="C237" s="204"/>
      <c r="D237" s="204"/>
      <c r="E237" s="204"/>
      <c r="F237" s="204"/>
      <c r="G237" s="204"/>
      <c r="H237" s="204"/>
      <c r="I237" s="204"/>
      <c r="J237" s="204"/>
      <c r="K237" s="204"/>
      <c r="L237" s="205"/>
      <c r="M237" s="205"/>
      <c r="N237" s="204"/>
      <c r="O237" s="204"/>
      <c r="P237" s="206"/>
      <c r="Q237" s="206"/>
      <c r="R237" s="206"/>
      <c r="S237" s="206"/>
      <c r="T237" s="204"/>
      <c r="U237" s="207"/>
      <c r="V237" s="204"/>
      <c r="W237" s="204"/>
      <c r="X237" s="207"/>
      <c r="Y237" s="207"/>
      <c r="Z237" s="204"/>
      <c r="AA237" s="204"/>
      <c r="AB237" s="204"/>
      <c r="AC237" s="204"/>
    </row>
    <row r="238" spans="1:29">
      <c r="A238" s="204"/>
      <c r="B238" s="204"/>
      <c r="C238" s="204"/>
      <c r="D238" s="204"/>
      <c r="E238" s="204"/>
      <c r="F238" s="204"/>
      <c r="G238" s="204"/>
      <c r="H238" s="204"/>
      <c r="I238" s="204"/>
      <c r="J238" s="204"/>
      <c r="K238" s="204"/>
      <c r="L238" s="205"/>
      <c r="M238" s="205"/>
      <c r="N238" s="204"/>
      <c r="O238" s="204"/>
      <c r="P238" s="206"/>
      <c r="Q238" s="206"/>
      <c r="R238" s="206"/>
      <c r="S238" s="206"/>
      <c r="T238" s="204"/>
      <c r="U238" s="207"/>
      <c r="V238" s="204"/>
      <c r="W238" s="204"/>
      <c r="X238" s="207"/>
      <c r="Y238" s="207"/>
      <c r="Z238" s="204"/>
      <c r="AA238" s="204"/>
      <c r="AB238" s="204"/>
      <c r="AC238" s="204"/>
    </row>
    <row r="239" spans="1:29">
      <c r="A239" s="204"/>
      <c r="B239" s="204"/>
      <c r="C239" s="204"/>
      <c r="D239" s="204"/>
      <c r="E239" s="204"/>
      <c r="F239" s="204"/>
      <c r="G239" s="204"/>
      <c r="H239" s="204"/>
      <c r="I239" s="204"/>
      <c r="J239" s="204"/>
      <c r="K239" s="204"/>
      <c r="L239" s="205"/>
      <c r="M239" s="205"/>
      <c r="N239" s="204"/>
      <c r="O239" s="204"/>
      <c r="P239" s="206"/>
      <c r="Q239" s="206"/>
      <c r="R239" s="206"/>
      <c r="S239" s="206"/>
      <c r="T239" s="204"/>
      <c r="U239" s="207"/>
      <c r="V239" s="204"/>
      <c r="W239" s="204"/>
      <c r="X239" s="207"/>
      <c r="Y239" s="207"/>
      <c r="Z239" s="204"/>
      <c r="AA239" s="204"/>
      <c r="AB239" s="204"/>
      <c r="AC239" s="204"/>
    </row>
    <row r="240" spans="1:29">
      <c r="A240" s="204"/>
      <c r="B240" s="204"/>
      <c r="C240" s="204"/>
      <c r="D240" s="204"/>
      <c r="E240" s="204"/>
      <c r="F240" s="204"/>
      <c r="G240" s="204"/>
      <c r="H240" s="204"/>
      <c r="I240" s="204"/>
      <c r="J240" s="204"/>
      <c r="K240" s="204"/>
      <c r="L240" s="205"/>
      <c r="M240" s="205"/>
      <c r="N240" s="204"/>
      <c r="O240" s="204"/>
      <c r="P240" s="206"/>
      <c r="Q240" s="206"/>
      <c r="R240" s="206"/>
      <c r="S240" s="206"/>
      <c r="T240" s="204"/>
      <c r="U240" s="207"/>
      <c r="V240" s="204"/>
      <c r="W240" s="204"/>
      <c r="X240" s="207"/>
      <c r="Y240" s="207"/>
      <c r="Z240" s="204"/>
      <c r="AA240" s="204"/>
      <c r="AB240" s="204"/>
      <c r="AC240" s="204"/>
    </row>
    <row r="241" spans="1:29">
      <c r="A241" s="204"/>
      <c r="B241" s="204"/>
      <c r="C241" s="204"/>
      <c r="D241" s="204"/>
      <c r="E241" s="204"/>
      <c r="F241" s="204"/>
      <c r="G241" s="204"/>
      <c r="H241" s="204"/>
      <c r="I241" s="204"/>
      <c r="J241" s="204"/>
      <c r="K241" s="204"/>
      <c r="L241" s="205"/>
      <c r="M241" s="205"/>
      <c r="N241" s="204"/>
      <c r="O241" s="204"/>
      <c r="P241" s="206"/>
      <c r="Q241" s="206"/>
      <c r="R241" s="206"/>
      <c r="S241" s="206"/>
      <c r="T241" s="204"/>
      <c r="U241" s="207"/>
      <c r="V241" s="204"/>
      <c r="W241" s="204"/>
      <c r="X241" s="207"/>
      <c r="Y241" s="207"/>
      <c r="Z241" s="204"/>
      <c r="AA241" s="204"/>
      <c r="AB241" s="204"/>
      <c r="AC241" s="204"/>
    </row>
    <row r="242" spans="1:29">
      <c r="A242" s="204"/>
      <c r="B242" s="204"/>
      <c r="C242" s="204"/>
      <c r="D242" s="204"/>
      <c r="E242" s="204"/>
      <c r="F242" s="204"/>
      <c r="G242" s="204"/>
      <c r="H242" s="204"/>
      <c r="I242" s="204"/>
      <c r="J242" s="204"/>
      <c r="K242" s="204"/>
      <c r="L242" s="205"/>
      <c r="M242" s="205"/>
      <c r="N242" s="204"/>
      <c r="O242" s="204"/>
      <c r="P242" s="206"/>
      <c r="Q242" s="206"/>
      <c r="R242" s="206"/>
      <c r="S242" s="206"/>
      <c r="T242" s="204"/>
      <c r="U242" s="207"/>
      <c r="V242" s="204"/>
      <c r="W242" s="204"/>
      <c r="X242" s="207"/>
      <c r="Y242" s="207"/>
      <c r="Z242" s="204"/>
      <c r="AA242" s="204"/>
      <c r="AB242" s="204"/>
      <c r="AC242" s="204"/>
    </row>
    <row r="243" spans="1:29">
      <c r="A243" s="204"/>
      <c r="B243" s="204"/>
      <c r="C243" s="204"/>
      <c r="D243" s="204"/>
      <c r="E243" s="204"/>
      <c r="F243" s="204"/>
      <c r="G243" s="204"/>
      <c r="H243" s="204"/>
      <c r="I243" s="204"/>
      <c r="J243" s="204"/>
      <c r="K243" s="204"/>
      <c r="L243" s="205"/>
      <c r="M243" s="205"/>
      <c r="N243" s="204"/>
      <c r="O243" s="204"/>
      <c r="P243" s="206"/>
      <c r="Q243" s="206"/>
      <c r="R243" s="206"/>
      <c r="S243" s="206"/>
      <c r="T243" s="204"/>
      <c r="U243" s="207"/>
      <c r="V243" s="204"/>
      <c r="W243" s="204"/>
      <c r="X243" s="207"/>
      <c r="Y243" s="207"/>
      <c r="Z243" s="204"/>
      <c r="AA243" s="204"/>
      <c r="AB243" s="204"/>
      <c r="AC243" s="204"/>
    </row>
    <row r="244" spans="1:29">
      <c r="A244" s="204"/>
      <c r="B244" s="204"/>
      <c r="C244" s="204"/>
      <c r="D244" s="204"/>
      <c r="E244" s="204"/>
      <c r="F244" s="204"/>
      <c r="G244" s="204"/>
      <c r="H244" s="204"/>
      <c r="I244" s="204"/>
      <c r="J244" s="204"/>
      <c r="K244" s="204"/>
      <c r="L244" s="205"/>
      <c r="M244" s="205"/>
      <c r="N244" s="204"/>
      <c r="O244" s="204"/>
      <c r="P244" s="206"/>
      <c r="Q244" s="206"/>
      <c r="R244" s="206"/>
      <c r="S244" s="206"/>
      <c r="T244" s="204"/>
      <c r="U244" s="207"/>
      <c r="V244" s="204"/>
      <c r="W244" s="204"/>
      <c r="X244" s="207"/>
      <c r="Y244" s="207"/>
      <c r="Z244" s="204"/>
      <c r="AA244" s="204"/>
      <c r="AB244" s="204"/>
      <c r="AC244" s="204"/>
    </row>
    <row r="245" spans="1:29">
      <c r="A245" s="204"/>
      <c r="B245" s="204"/>
      <c r="C245" s="204"/>
      <c r="D245" s="204"/>
      <c r="E245" s="204"/>
      <c r="F245" s="204"/>
      <c r="G245" s="204"/>
      <c r="H245" s="204"/>
      <c r="I245" s="204"/>
      <c r="J245" s="204"/>
      <c r="K245" s="204"/>
      <c r="L245" s="205"/>
      <c r="M245" s="205"/>
      <c r="N245" s="204"/>
      <c r="O245" s="204"/>
      <c r="P245" s="206"/>
      <c r="Q245" s="206"/>
      <c r="R245" s="206"/>
      <c r="S245" s="206"/>
      <c r="T245" s="204"/>
      <c r="U245" s="207"/>
      <c r="V245" s="204"/>
      <c r="W245" s="204"/>
      <c r="X245" s="207"/>
      <c r="Y245" s="207"/>
      <c r="Z245" s="204"/>
      <c r="AA245" s="204"/>
      <c r="AB245" s="204"/>
      <c r="AC245" s="204"/>
    </row>
    <row r="246" spans="1:29">
      <c r="A246" s="204"/>
      <c r="B246" s="204"/>
      <c r="C246" s="204"/>
      <c r="D246" s="204"/>
      <c r="E246" s="204"/>
      <c r="F246" s="204"/>
      <c r="G246" s="204"/>
      <c r="H246" s="204"/>
      <c r="I246" s="204"/>
      <c r="J246" s="204"/>
      <c r="K246" s="204"/>
      <c r="L246" s="205"/>
      <c r="M246" s="205"/>
      <c r="N246" s="204"/>
      <c r="O246" s="204"/>
      <c r="P246" s="206"/>
      <c r="Q246" s="206"/>
      <c r="R246" s="206"/>
      <c r="S246" s="206"/>
      <c r="T246" s="204"/>
      <c r="U246" s="207"/>
      <c r="V246" s="204"/>
      <c r="W246" s="204"/>
      <c r="X246" s="207"/>
      <c r="Y246" s="207"/>
      <c r="Z246" s="204"/>
      <c r="AA246" s="204"/>
      <c r="AB246" s="204"/>
      <c r="AC246" s="204"/>
    </row>
    <row r="247" spans="1:29">
      <c r="A247" s="204"/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5"/>
      <c r="M247" s="205"/>
      <c r="N247" s="204"/>
      <c r="O247" s="204"/>
      <c r="P247" s="206"/>
      <c r="Q247" s="206"/>
      <c r="R247" s="206"/>
      <c r="S247" s="206"/>
      <c r="T247" s="204"/>
      <c r="U247" s="207"/>
      <c r="V247" s="204"/>
      <c r="W247" s="204"/>
      <c r="X247" s="207"/>
      <c r="Y247" s="207"/>
      <c r="Z247" s="204"/>
      <c r="AA247" s="204"/>
      <c r="AB247" s="204"/>
      <c r="AC247" s="204"/>
    </row>
    <row r="248" spans="1:29">
      <c r="A248" s="204"/>
      <c r="B248" s="204"/>
      <c r="C248" s="204"/>
      <c r="D248" s="204"/>
      <c r="E248" s="204"/>
      <c r="F248" s="204"/>
      <c r="G248" s="204"/>
      <c r="H248" s="204"/>
      <c r="I248" s="204"/>
      <c r="J248" s="204"/>
      <c r="K248" s="204"/>
      <c r="L248" s="205"/>
      <c r="M248" s="205"/>
      <c r="N248" s="204"/>
      <c r="O248" s="204"/>
      <c r="P248" s="206"/>
      <c r="Q248" s="206"/>
      <c r="R248" s="206"/>
      <c r="S248" s="206"/>
      <c r="T248" s="204"/>
      <c r="U248" s="207"/>
      <c r="V248" s="204"/>
      <c r="W248" s="204"/>
      <c r="X248" s="207"/>
      <c r="Y248" s="207"/>
      <c r="Z248" s="204"/>
      <c r="AA248" s="204"/>
      <c r="AB248" s="204"/>
      <c r="AC248" s="204"/>
    </row>
    <row r="249" spans="1:29">
      <c r="A249" s="204"/>
      <c r="B249" s="204"/>
      <c r="C249" s="204"/>
      <c r="D249" s="204"/>
      <c r="E249" s="204"/>
      <c r="F249" s="204"/>
      <c r="G249" s="204"/>
      <c r="H249" s="204"/>
      <c r="I249" s="204"/>
      <c r="J249" s="204"/>
      <c r="K249" s="204"/>
      <c r="L249" s="205"/>
      <c r="M249" s="205"/>
      <c r="N249" s="204"/>
      <c r="O249" s="204"/>
      <c r="P249" s="206"/>
      <c r="Q249" s="206"/>
      <c r="R249" s="206"/>
      <c r="S249" s="206"/>
      <c r="T249" s="204"/>
      <c r="U249" s="207"/>
      <c r="V249" s="204"/>
      <c r="W249" s="204"/>
      <c r="X249" s="207"/>
      <c r="Y249" s="207"/>
      <c r="Z249" s="204"/>
      <c r="AA249" s="204"/>
      <c r="AB249" s="204"/>
      <c r="AC249" s="204"/>
    </row>
    <row r="250" spans="1:29">
      <c r="A250" s="204"/>
      <c r="B250" s="204"/>
      <c r="C250" s="204"/>
      <c r="D250" s="204"/>
      <c r="E250" s="204"/>
      <c r="F250" s="204"/>
      <c r="G250" s="204"/>
      <c r="H250" s="204"/>
      <c r="I250" s="204"/>
      <c r="J250" s="204"/>
      <c r="K250" s="204"/>
      <c r="L250" s="205"/>
      <c r="M250" s="205"/>
      <c r="N250" s="204"/>
      <c r="O250" s="204"/>
      <c r="P250" s="206"/>
      <c r="Q250" s="206"/>
      <c r="R250" s="206"/>
      <c r="S250" s="206"/>
      <c r="T250" s="204"/>
      <c r="U250" s="207"/>
      <c r="V250" s="204"/>
      <c r="W250" s="204"/>
      <c r="X250" s="207"/>
      <c r="Y250" s="207"/>
      <c r="Z250" s="204"/>
      <c r="AA250" s="204"/>
      <c r="AB250" s="204"/>
      <c r="AC250" s="204"/>
    </row>
    <row r="251" spans="1:29">
      <c r="A251" s="204"/>
      <c r="B251" s="204"/>
      <c r="C251" s="204"/>
      <c r="D251" s="204"/>
      <c r="E251" s="204"/>
      <c r="F251" s="204"/>
      <c r="G251" s="204"/>
      <c r="H251" s="204"/>
      <c r="I251" s="204"/>
      <c r="J251" s="204"/>
      <c r="K251" s="204"/>
      <c r="L251" s="205"/>
      <c r="M251" s="205"/>
      <c r="N251" s="204"/>
      <c r="O251" s="204"/>
      <c r="P251" s="206"/>
      <c r="Q251" s="206"/>
      <c r="R251" s="206"/>
      <c r="S251" s="206"/>
      <c r="T251" s="204"/>
      <c r="U251" s="207"/>
      <c r="V251" s="204"/>
      <c r="W251" s="204"/>
      <c r="X251" s="207"/>
      <c r="Y251" s="207"/>
      <c r="Z251" s="204"/>
      <c r="AA251" s="204"/>
      <c r="AB251" s="204"/>
      <c r="AC251" s="204"/>
    </row>
    <row r="252" spans="1:29">
      <c r="A252" s="204"/>
      <c r="B252" s="204"/>
      <c r="C252" s="204"/>
      <c r="D252" s="204"/>
      <c r="E252" s="204"/>
      <c r="F252" s="204"/>
      <c r="G252" s="204"/>
      <c r="H252" s="204"/>
      <c r="I252" s="204"/>
      <c r="J252" s="204"/>
      <c r="K252" s="204"/>
      <c r="L252" s="205"/>
      <c r="M252" s="205"/>
      <c r="N252" s="204"/>
      <c r="O252" s="204"/>
      <c r="P252" s="206"/>
      <c r="Q252" s="206"/>
      <c r="R252" s="206"/>
      <c r="S252" s="206"/>
      <c r="T252" s="204"/>
      <c r="U252" s="207"/>
      <c r="V252" s="204"/>
      <c r="W252" s="204"/>
      <c r="X252" s="207"/>
      <c r="Y252" s="207"/>
      <c r="Z252" s="204"/>
      <c r="AA252" s="204"/>
      <c r="AB252" s="204"/>
      <c r="AC252" s="204"/>
    </row>
    <row r="253" spans="1:29">
      <c r="A253" s="204"/>
      <c r="B253" s="204"/>
      <c r="C253" s="204"/>
      <c r="D253" s="204"/>
      <c r="E253" s="204"/>
      <c r="F253" s="204"/>
      <c r="G253" s="204"/>
      <c r="H253" s="204"/>
      <c r="I253" s="204"/>
      <c r="J253" s="204"/>
      <c r="K253" s="204"/>
      <c r="L253" s="205"/>
      <c r="M253" s="205"/>
      <c r="N253" s="204"/>
      <c r="O253" s="204"/>
      <c r="P253" s="206"/>
      <c r="Q253" s="206"/>
      <c r="R253" s="206"/>
      <c r="S253" s="206"/>
      <c r="T253" s="204"/>
      <c r="U253" s="207"/>
      <c r="V253" s="204"/>
      <c r="W253" s="204"/>
      <c r="X253" s="207"/>
      <c r="Y253" s="207"/>
      <c r="Z253" s="204"/>
      <c r="AA253" s="204"/>
      <c r="AB253" s="204"/>
      <c r="AC253" s="204"/>
    </row>
    <row r="254" spans="1:29">
      <c r="A254" s="204"/>
      <c r="B254" s="204"/>
      <c r="C254" s="204"/>
      <c r="D254" s="204"/>
      <c r="E254" s="204"/>
      <c r="F254" s="204"/>
      <c r="G254" s="204"/>
      <c r="H254" s="204"/>
      <c r="I254" s="204"/>
      <c r="J254" s="204"/>
      <c r="K254" s="204"/>
      <c r="L254" s="205"/>
      <c r="M254" s="205"/>
      <c r="N254" s="204"/>
      <c r="O254" s="204"/>
      <c r="P254" s="206"/>
      <c r="Q254" s="206"/>
      <c r="R254" s="206"/>
      <c r="S254" s="206"/>
      <c r="T254" s="204"/>
      <c r="U254" s="207"/>
      <c r="V254" s="204"/>
      <c r="W254" s="204"/>
      <c r="X254" s="207"/>
      <c r="Y254" s="207"/>
      <c r="Z254" s="204"/>
      <c r="AA254" s="204"/>
      <c r="AB254" s="204"/>
      <c r="AC254" s="204"/>
    </row>
    <row r="255" spans="1:29">
      <c r="A255" s="204"/>
      <c r="B255" s="204"/>
      <c r="C255" s="204"/>
      <c r="D255" s="204"/>
      <c r="E255" s="204"/>
      <c r="F255" s="204"/>
      <c r="G255" s="204"/>
      <c r="H255" s="204"/>
      <c r="I255" s="204"/>
      <c r="J255" s="204"/>
      <c r="K255" s="204"/>
      <c r="L255" s="205"/>
      <c r="M255" s="205"/>
      <c r="N255" s="204"/>
      <c r="O255" s="204"/>
      <c r="P255" s="206"/>
      <c r="Q255" s="206"/>
      <c r="R255" s="206"/>
      <c r="S255" s="206"/>
      <c r="T255" s="204"/>
      <c r="U255" s="207"/>
      <c r="V255" s="204"/>
      <c r="W255" s="204"/>
      <c r="X255" s="207"/>
      <c r="Y255" s="207"/>
      <c r="Z255" s="204"/>
      <c r="AA255" s="204"/>
      <c r="AB255" s="204"/>
      <c r="AC255" s="204"/>
    </row>
    <row r="256" spans="1:29">
      <c r="A256" s="204"/>
      <c r="B256" s="204"/>
      <c r="C256" s="204"/>
      <c r="D256" s="204"/>
      <c r="E256" s="204"/>
      <c r="F256" s="204"/>
      <c r="G256" s="204"/>
      <c r="H256" s="204"/>
      <c r="I256" s="204"/>
      <c r="J256" s="204"/>
      <c r="K256" s="204"/>
      <c r="L256" s="205"/>
      <c r="M256" s="205"/>
      <c r="N256" s="204"/>
      <c r="O256" s="204"/>
      <c r="P256" s="206"/>
      <c r="Q256" s="206"/>
      <c r="R256" s="206"/>
      <c r="S256" s="206"/>
      <c r="T256" s="204"/>
      <c r="U256" s="207"/>
      <c r="V256" s="204"/>
      <c r="W256" s="204"/>
      <c r="X256" s="207"/>
      <c r="Y256" s="207"/>
      <c r="Z256" s="204"/>
      <c r="AA256" s="204"/>
      <c r="AB256" s="204"/>
      <c r="AC256" s="204"/>
    </row>
    <row r="257" spans="1:29">
      <c r="A257" s="204"/>
      <c r="B257" s="204"/>
      <c r="C257" s="204"/>
      <c r="D257" s="204"/>
      <c r="E257" s="204"/>
      <c r="F257" s="204"/>
      <c r="G257" s="204"/>
      <c r="H257" s="204"/>
      <c r="I257" s="204"/>
      <c r="J257" s="204"/>
      <c r="K257" s="204"/>
      <c r="L257" s="205"/>
      <c r="M257" s="205"/>
      <c r="N257" s="204"/>
      <c r="O257" s="204"/>
      <c r="P257" s="206"/>
      <c r="Q257" s="206"/>
      <c r="R257" s="206"/>
      <c r="S257" s="206"/>
      <c r="T257" s="204"/>
      <c r="U257" s="207"/>
      <c r="V257" s="204"/>
      <c r="W257" s="204"/>
      <c r="X257" s="207"/>
      <c r="Y257" s="207"/>
      <c r="Z257" s="204"/>
      <c r="AA257" s="204"/>
      <c r="AB257" s="204"/>
      <c r="AC257" s="204"/>
    </row>
    <row r="258" spans="1:29">
      <c r="A258" s="204"/>
      <c r="B258" s="204"/>
      <c r="C258" s="204"/>
      <c r="D258" s="204"/>
      <c r="E258" s="204"/>
      <c r="F258" s="204"/>
      <c r="G258" s="204"/>
      <c r="H258" s="204"/>
      <c r="I258" s="204"/>
      <c r="J258" s="204"/>
      <c r="K258" s="204"/>
      <c r="L258" s="205"/>
      <c r="M258" s="205"/>
      <c r="N258" s="204"/>
      <c r="O258" s="204"/>
      <c r="P258" s="206"/>
      <c r="Q258" s="206"/>
      <c r="R258" s="206"/>
      <c r="S258" s="206"/>
      <c r="T258" s="204"/>
      <c r="U258" s="207"/>
      <c r="V258" s="204"/>
      <c r="W258" s="204"/>
      <c r="X258" s="207"/>
      <c r="Y258" s="207"/>
      <c r="Z258" s="204"/>
      <c r="AA258" s="204"/>
      <c r="AB258" s="204"/>
      <c r="AC258" s="204"/>
    </row>
    <row r="259" spans="1:29">
      <c r="A259" s="204"/>
      <c r="B259" s="204"/>
      <c r="C259" s="204"/>
      <c r="D259" s="204"/>
      <c r="E259" s="204"/>
      <c r="F259" s="204"/>
      <c r="G259" s="204"/>
      <c r="H259" s="204"/>
      <c r="I259" s="204"/>
      <c r="J259" s="204"/>
      <c r="K259" s="204"/>
      <c r="L259" s="205"/>
      <c r="M259" s="205"/>
      <c r="N259" s="204"/>
      <c r="O259" s="204"/>
      <c r="P259" s="206"/>
      <c r="Q259" s="206"/>
      <c r="R259" s="206"/>
      <c r="S259" s="206"/>
      <c r="T259" s="204"/>
      <c r="U259" s="207"/>
      <c r="V259" s="204"/>
      <c r="W259" s="204"/>
      <c r="X259" s="207"/>
      <c r="Y259" s="207"/>
      <c r="Z259" s="204"/>
      <c r="AA259" s="204"/>
      <c r="AB259" s="204"/>
      <c r="AC259" s="204"/>
    </row>
    <row r="260" spans="1:29">
      <c r="A260" s="204"/>
      <c r="B260" s="204"/>
      <c r="C260" s="204"/>
      <c r="D260" s="204"/>
      <c r="E260" s="204"/>
      <c r="F260" s="204"/>
      <c r="G260" s="204"/>
      <c r="H260" s="204"/>
      <c r="I260" s="204"/>
      <c r="J260" s="204"/>
      <c r="K260" s="204"/>
      <c r="L260" s="205"/>
      <c r="M260" s="205"/>
      <c r="N260" s="204"/>
      <c r="O260" s="204"/>
      <c r="P260" s="206"/>
      <c r="Q260" s="206"/>
      <c r="R260" s="206"/>
      <c r="S260" s="206"/>
      <c r="T260" s="204"/>
      <c r="U260" s="207"/>
      <c r="V260" s="204"/>
      <c r="W260" s="204"/>
      <c r="X260" s="207"/>
      <c r="Y260" s="207"/>
      <c r="Z260" s="204"/>
      <c r="AA260" s="204"/>
      <c r="AB260" s="204"/>
      <c r="AC260" s="204"/>
    </row>
    <row r="261" spans="1:29">
      <c r="A261" s="204"/>
      <c r="B261" s="204"/>
      <c r="C261" s="204"/>
      <c r="D261" s="204"/>
      <c r="E261" s="204"/>
      <c r="F261" s="204"/>
      <c r="G261" s="204"/>
      <c r="H261" s="204"/>
      <c r="I261" s="204"/>
      <c r="J261" s="204"/>
      <c r="K261" s="204"/>
      <c r="L261" s="205"/>
      <c r="M261" s="205"/>
      <c r="N261" s="204"/>
      <c r="O261" s="204"/>
      <c r="P261" s="206"/>
      <c r="Q261" s="206"/>
      <c r="R261" s="206"/>
      <c r="S261" s="206"/>
      <c r="T261" s="204"/>
      <c r="U261" s="207"/>
      <c r="V261" s="204"/>
      <c r="W261" s="204"/>
      <c r="X261" s="207"/>
      <c r="Y261" s="207"/>
      <c r="Z261" s="204"/>
      <c r="AA261" s="204"/>
      <c r="AB261" s="204"/>
      <c r="AC261" s="204"/>
    </row>
    <row r="262" spans="1:29">
      <c r="A262" s="204"/>
      <c r="B262" s="204"/>
      <c r="C262" s="204"/>
      <c r="D262" s="204"/>
      <c r="E262" s="204"/>
      <c r="F262" s="204"/>
      <c r="G262" s="204"/>
      <c r="H262" s="204"/>
      <c r="I262" s="204"/>
      <c r="J262" s="204"/>
      <c r="K262" s="204"/>
      <c r="L262" s="205"/>
      <c r="M262" s="205"/>
      <c r="N262" s="204"/>
      <c r="O262" s="204"/>
      <c r="P262" s="206"/>
      <c r="Q262" s="206"/>
      <c r="R262" s="206"/>
      <c r="S262" s="206"/>
      <c r="T262" s="204"/>
      <c r="U262" s="207"/>
      <c r="V262" s="204"/>
      <c r="W262" s="204"/>
      <c r="X262" s="207"/>
      <c r="Y262" s="207"/>
      <c r="Z262" s="204"/>
      <c r="AA262" s="204"/>
      <c r="AB262" s="204"/>
      <c r="AC262" s="204"/>
    </row>
    <row r="263" spans="1:29">
      <c r="A263" s="204"/>
      <c r="B263" s="204"/>
      <c r="C263" s="204"/>
      <c r="D263" s="204"/>
      <c r="E263" s="204"/>
      <c r="F263" s="204"/>
      <c r="G263" s="204"/>
      <c r="H263" s="204"/>
      <c r="I263" s="204"/>
      <c r="J263" s="204"/>
      <c r="K263" s="204"/>
      <c r="L263" s="205"/>
      <c r="M263" s="205"/>
      <c r="N263" s="204"/>
      <c r="O263" s="204"/>
      <c r="P263" s="206"/>
      <c r="Q263" s="206"/>
      <c r="R263" s="206"/>
      <c r="S263" s="206"/>
      <c r="T263" s="204"/>
      <c r="U263" s="207"/>
      <c r="V263" s="204"/>
      <c r="W263" s="204"/>
      <c r="X263" s="207"/>
      <c r="Y263" s="207"/>
      <c r="Z263" s="204"/>
      <c r="AA263" s="204"/>
      <c r="AB263" s="204"/>
      <c r="AC263" s="204"/>
    </row>
    <row r="264" spans="1:29">
      <c r="A264" s="204"/>
      <c r="B264" s="204"/>
      <c r="C264" s="204"/>
      <c r="D264" s="204"/>
      <c r="E264" s="204"/>
      <c r="F264" s="204"/>
      <c r="G264" s="204"/>
      <c r="H264" s="204"/>
      <c r="I264" s="204"/>
      <c r="J264" s="204"/>
      <c r="K264" s="204"/>
      <c r="L264" s="205"/>
      <c r="M264" s="205"/>
      <c r="N264" s="204"/>
      <c r="O264" s="204"/>
      <c r="P264" s="206"/>
      <c r="Q264" s="206"/>
      <c r="R264" s="206"/>
      <c r="S264" s="206"/>
      <c r="T264" s="204"/>
      <c r="U264" s="207"/>
      <c r="V264" s="204"/>
      <c r="W264" s="204"/>
      <c r="X264" s="207"/>
      <c r="Y264" s="207"/>
      <c r="Z264" s="204"/>
      <c r="AA264" s="204"/>
      <c r="AB264" s="204"/>
      <c r="AC264" s="204"/>
    </row>
    <row r="265" spans="1:29">
      <c r="A265" s="204"/>
      <c r="B265" s="204"/>
      <c r="C265" s="204"/>
      <c r="D265" s="204"/>
      <c r="E265" s="204"/>
      <c r="F265" s="204"/>
      <c r="G265" s="204"/>
      <c r="H265" s="204"/>
      <c r="I265" s="204"/>
      <c r="J265" s="204"/>
      <c r="K265" s="204"/>
      <c r="L265" s="205"/>
      <c r="M265" s="205"/>
      <c r="N265" s="204"/>
      <c r="O265" s="204"/>
      <c r="P265" s="206"/>
      <c r="Q265" s="206"/>
      <c r="R265" s="206"/>
      <c r="S265" s="206"/>
      <c r="T265" s="204"/>
      <c r="U265" s="207"/>
      <c r="V265" s="204"/>
      <c r="W265" s="204"/>
      <c r="X265" s="207"/>
      <c r="Y265" s="207"/>
      <c r="Z265" s="204"/>
      <c r="AA265" s="204"/>
      <c r="AB265" s="204"/>
      <c r="AC265" s="204"/>
    </row>
    <row r="266" spans="1:29">
      <c r="A266" s="204"/>
      <c r="B266" s="204"/>
      <c r="C266" s="204"/>
      <c r="D266" s="204"/>
      <c r="E266" s="204"/>
      <c r="F266" s="204"/>
      <c r="G266" s="204"/>
      <c r="H266" s="204"/>
      <c r="I266" s="204"/>
      <c r="J266" s="204"/>
      <c r="K266" s="204"/>
      <c r="L266" s="205"/>
      <c r="M266" s="205"/>
      <c r="N266" s="204"/>
      <c r="O266" s="204"/>
      <c r="P266" s="206"/>
      <c r="Q266" s="206"/>
      <c r="R266" s="206"/>
      <c r="S266" s="206"/>
      <c r="T266" s="204"/>
      <c r="U266" s="207"/>
      <c r="V266" s="204"/>
      <c r="W266" s="204"/>
      <c r="X266" s="207"/>
      <c r="Y266" s="207"/>
      <c r="Z266" s="204"/>
      <c r="AA266" s="204"/>
      <c r="AB266" s="204"/>
      <c r="AC266" s="204"/>
    </row>
    <row r="267" spans="1:29">
      <c r="A267" s="204"/>
      <c r="B267" s="204"/>
      <c r="C267" s="204"/>
      <c r="D267" s="204"/>
      <c r="E267" s="204"/>
      <c r="F267" s="204"/>
      <c r="G267" s="204"/>
      <c r="H267" s="204"/>
      <c r="I267" s="204"/>
      <c r="J267" s="204"/>
      <c r="K267" s="204"/>
      <c r="L267" s="205"/>
      <c r="M267" s="205"/>
      <c r="N267" s="204"/>
      <c r="O267" s="204"/>
      <c r="P267" s="206"/>
      <c r="Q267" s="206"/>
      <c r="R267" s="206"/>
      <c r="S267" s="206"/>
      <c r="T267" s="204"/>
      <c r="U267" s="207"/>
      <c r="V267" s="204"/>
      <c r="W267" s="204"/>
      <c r="X267" s="207"/>
      <c r="Y267" s="207"/>
      <c r="Z267" s="204"/>
      <c r="AA267" s="204"/>
      <c r="AB267" s="204"/>
      <c r="AC267" s="204"/>
    </row>
    <row r="268" spans="1:29">
      <c r="A268" s="204"/>
      <c r="B268" s="204"/>
      <c r="C268" s="204"/>
      <c r="D268" s="204"/>
      <c r="E268" s="204"/>
      <c r="F268" s="204"/>
      <c r="G268" s="204"/>
      <c r="H268" s="204"/>
      <c r="I268" s="204"/>
      <c r="J268" s="204"/>
      <c r="K268" s="204"/>
      <c r="L268" s="205"/>
      <c r="M268" s="205"/>
      <c r="N268" s="204"/>
      <c r="O268" s="204"/>
      <c r="P268" s="206"/>
      <c r="Q268" s="206"/>
      <c r="R268" s="206"/>
      <c r="S268" s="206"/>
      <c r="T268" s="204"/>
      <c r="U268" s="207"/>
      <c r="V268" s="204"/>
      <c r="W268" s="204"/>
      <c r="X268" s="207"/>
      <c r="Y268" s="207"/>
      <c r="Z268" s="204"/>
      <c r="AA268" s="204"/>
      <c r="AB268" s="204"/>
      <c r="AC268" s="204"/>
    </row>
    <row r="269" spans="1:29">
      <c r="A269" s="204"/>
      <c r="B269" s="204"/>
      <c r="C269" s="204"/>
      <c r="D269" s="204"/>
      <c r="E269" s="204"/>
      <c r="F269" s="204"/>
      <c r="G269" s="204"/>
      <c r="H269" s="204"/>
      <c r="I269" s="204"/>
      <c r="J269" s="204"/>
      <c r="K269" s="204"/>
      <c r="L269" s="205"/>
      <c r="M269" s="205"/>
      <c r="N269" s="204"/>
      <c r="O269" s="204"/>
      <c r="P269" s="206"/>
      <c r="Q269" s="206"/>
      <c r="R269" s="206"/>
      <c r="S269" s="206"/>
      <c r="T269" s="204"/>
      <c r="U269" s="207"/>
      <c r="V269" s="204"/>
      <c r="W269" s="204"/>
      <c r="X269" s="207"/>
      <c r="Y269" s="207"/>
      <c r="Z269" s="204"/>
      <c r="AA269" s="204"/>
      <c r="AB269" s="204"/>
      <c r="AC269" s="204"/>
    </row>
    <row r="270" spans="1:29">
      <c r="A270" s="204"/>
      <c r="B270" s="204"/>
      <c r="C270" s="204"/>
      <c r="D270" s="204"/>
      <c r="E270" s="204"/>
      <c r="F270" s="204"/>
      <c r="G270" s="204"/>
      <c r="H270" s="204"/>
      <c r="I270" s="204"/>
      <c r="J270" s="204"/>
      <c r="K270" s="204"/>
      <c r="L270" s="205"/>
      <c r="M270" s="205"/>
      <c r="N270" s="204"/>
      <c r="O270" s="204"/>
      <c r="P270" s="206"/>
      <c r="Q270" s="206"/>
      <c r="R270" s="206"/>
      <c r="S270" s="206"/>
      <c r="T270" s="204"/>
      <c r="U270" s="207"/>
      <c r="V270" s="204"/>
      <c r="W270" s="204"/>
      <c r="X270" s="207"/>
      <c r="Y270" s="207"/>
      <c r="Z270" s="204"/>
      <c r="AA270" s="204"/>
      <c r="AB270" s="204"/>
      <c r="AC270" s="204"/>
    </row>
    <row r="271" spans="1:29">
      <c r="A271" s="204"/>
      <c r="B271" s="204"/>
      <c r="C271" s="204"/>
      <c r="D271" s="204"/>
      <c r="E271" s="204"/>
      <c r="F271" s="204"/>
      <c r="G271" s="204"/>
      <c r="H271" s="204"/>
      <c r="I271" s="204"/>
      <c r="J271" s="204"/>
      <c r="K271" s="204"/>
      <c r="L271" s="205"/>
      <c r="M271" s="205"/>
      <c r="N271" s="204"/>
      <c r="O271" s="204"/>
      <c r="P271" s="206"/>
      <c r="Q271" s="206"/>
      <c r="R271" s="206"/>
      <c r="S271" s="206"/>
      <c r="T271" s="204"/>
      <c r="U271" s="207"/>
      <c r="V271" s="204"/>
      <c r="W271" s="204"/>
      <c r="X271" s="207"/>
      <c r="Y271" s="207"/>
      <c r="Z271" s="204"/>
      <c r="AA271" s="204"/>
      <c r="AB271" s="204"/>
      <c r="AC271" s="204"/>
    </row>
    <row r="272" spans="1:29">
      <c r="A272" s="204"/>
      <c r="B272" s="204"/>
      <c r="C272" s="204"/>
      <c r="D272" s="204"/>
      <c r="E272" s="204"/>
      <c r="F272" s="204"/>
      <c r="G272" s="204"/>
      <c r="H272" s="204"/>
      <c r="I272" s="204"/>
      <c r="J272" s="204"/>
      <c r="K272" s="204"/>
      <c r="L272" s="205"/>
      <c r="M272" s="205"/>
      <c r="N272" s="204"/>
      <c r="O272" s="204"/>
      <c r="P272" s="206"/>
      <c r="Q272" s="206"/>
      <c r="R272" s="206"/>
      <c r="S272" s="206"/>
      <c r="T272" s="204"/>
      <c r="U272" s="207"/>
      <c r="V272" s="204"/>
      <c r="W272" s="204"/>
      <c r="X272" s="207"/>
      <c r="Y272" s="207"/>
      <c r="Z272" s="204"/>
      <c r="AA272" s="204"/>
      <c r="AB272" s="204"/>
      <c r="AC272" s="204"/>
    </row>
    <row r="273" spans="1:29">
      <c r="A273" s="204"/>
      <c r="B273" s="204"/>
      <c r="C273" s="204"/>
      <c r="D273" s="204"/>
      <c r="E273" s="204"/>
      <c r="F273" s="204"/>
      <c r="G273" s="204"/>
      <c r="H273" s="204"/>
      <c r="I273" s="204"/>
      <c r="J273" s="204"/>
      <c r="K273" s="204"/>
      <c r="L273" s="205"/>
      <c r="M273" s="205"/>
      <c r="N273" s="204"/>
      <c r="O273" s="204"/>
      <c r="P273" s="206"/>
      <c r="Q273" s="206"/>
      <c r="R273" s="206"/>
      <c r="S273" s="206"/>
      <c r="T273" s="204"/>
      <c r="U273" s="207"/>
      <c r="V273" s="204"/>
      <c r="W273" s="204"/>
      <c r="X273" s="207"/>
      <c r="Y273" s="207"/>
      <c r="Z273" s="204"/>
      <c r="AA273" s="204"/>
      <c r="AB273" s="204"/>
      <c r="AC273" s="204"/>
    </row>
    <row r="274" spans="1:29">
      <c r="A274" s="204"/>
      <c r="B274" s="204"/>
      <c r="C274" s="204"/>
      <c r="D274" s="204"/>
      <c r="E274" s="204"/>
      <c r="F274" s="204"/>
      <c r="G274" s="204"/>
      <c r="H274" s="204"/>
      <c r="I274" s="204"/>
      <c r="J274" s="204"/>
      <c r="K274" s="204"/>
      <c r="L274" s="205"/>
      <c r="M274" s="205"/>
      <c r="N274" s="204"/>
      <c r="O274" s="204"/>
      <c r="P274" s="206"/>
      <c r="Q274" s="206"/>
      <c r="R274" s="206"/>
      <c r="S274" s="206"/>
      <c r="T274" s="204"/>
      <c r="U274" s="207"/>
      <c r="V274" s="204"/>
      <c r="W274" s="204"/>
      <c r="X274" s="207"/>
      <c r="Y274" s="207"/>
      <c r="Z274" s="204"/>
      <c r="AA274" s="204"/>
      <c r="AB274" s="204"/>
      <c r="AC274" s="204"/>
    </row>
    <row r="275" spans="1:29">
      <c r="A275" s="204"/>
      <c r="B275" s="204"/>
      <c r="C275" s="204"/>
      <c r="D275" s="204"/>
      <c r="E275" s="204"/>
      <c r="F275" s="204"/>
      <c r="G275" s="204"/>
      <c r="H275" s="204"/>
      <c r="I275" s="204"/>
      <c r="J275" s="204"/>
      <c r="K275" s="204"/>
      <c r="L275" s="205"/>
      <c r="M275" s="205"/>
      <c r="N275" s="204"/>
      <c r="O275" s="204"/>
      <c r="P275" s="206"/>
      <c r="Q275" s="206"/>
      <c r="R275" s="206"/>
      <c r="S275" s="206"/>
      <c r="T275" s="204"/>
      <c r="U275" s="207"/>
      <c r="V275" s="204"/>
      <c r="W275" s="204"/>
      <c r="X275" s="207"/>
      <c r="Y275" s="207"/>
      <c r="Z275" s="204"/>
      <c r="AA275" s="204"/>
      <c r="AB275" s="204"/>
      <c r="AC275" s="204"/>
    </row>
    <row r="276" spans="1:29">
      <c r="A276" s="204"/>
      <c r="B276" s="204"/>
      <c r="C276" s="204"/>
      <c r="D276" s="204"/>
      <c r="E276" s="204"/>
      <c r="F276" s="204"/>
      <c r="G276" s="204"/>
      <c r="H276" s="204"/>
      <c r="I276" s="204"/>
      <c r="J276" s="204"/>
      <c r="K276" s="204"/>
      <c r="L276" s="205"/>
      <c r="M276" s="205"/>
      <c r="N276" s="204"/>
      <c r="O276" s="204"/>
      <c r="P276" s="206"/>
      <c r="Q276" s="206"/>
      <c r="R276" s="206"/>
      <c r="S276" s="206"/>
      <c r="T276" s="204"/>
      <c r="U276" s="207"/>
      <c r="V276" s="204"/>
      <c r="W276" s="204"/>
      <c r="X276" s="207"/>
      <c r="Y276" s="207"/>
      <c r="Z276" s="204"/>
      <c r="AA276" s="204"/>
      <c r="AB276" s="204"/>
      <c r="AC276" s="204"/>
    </row>
    <row r="277" spans="1:29">
      <c r="A277" s="204"/>
      <c r="B277" s="204"/>
      <c r="C277" s="204"/>
      <c r="D277" s="204"/>
      <c r="E277" s="204"/>
      <c r="F277" s="204"/>
      <c r="G277" s="204"/>
      <c r="H277" s="204"/>
      <c r="I277" s="204"/>
      <c r="J277" s="204"/>
      <c r="K277" s="204"/>
      <c r="L277" s="205"/>
      <c r="M277" s="205"/>
      <c r="N277" s="204"/>
      <c r="O277" s="204"/>
      <c r="P277" s="206"/>
      <c r="Q277" s="206"/>
      <c r="R277" s="206"/>
      <c r="S277" s="206"/>
      <c r="T277" s="204"/>
      <c r="U277" s="207"/>
      <c r="V277" s="204"/>
      <c r="W277" s="204"/>
      <c r="X277" s="207"/>
      <c r="Y277" s="207"/>
      <c r="Z277" s="204"/>
      <c r="AA277" s="204"/>
      <c r="AB277" s="204"/>
      <c r="AC277" s="204"/>
    </row>
    <row r="278" spans="1:29">
      <c r="A278" s="204"/>
      <c r="B278" s="204"/>
      <c r="C278" s="204"/>
      <c r="D278" s="204"/>
      <c r="E278" s="204"/>
      <c r="F278" s="204"/>
      <c r="G278" s="204"/>
      <c r="H278" s="204"/>
      <c r="I278" s="204"/>
      <c r="J278" s="204"/>
      <c r="K278" s="204"/>
      <c r="L278" s="205"/>
      <c r="M278" s="205"/>
      <c r="N278" s="204"/>
      <c r="O278" s="204"/>
      <c r="P278" s="206"/>
      <c r="Q278" s="206"/>
      <c r="R278" s="206"/>
      <c r="S278" s="206"/>
      <c r="T278" s="204"/>
      <c r="U278" s="207"/>
      <c r="V278" s="204"/>
      <c r="W278" s="204"/>
      <c r="X278" s="207"/>
      <c r="Y278" s="207"/>
      <c r="Z278" s="204"/>
      <c r="AA278" s="204"/>
      <c r="AB278" s="204"/>
      <c r="AC278" s="204"/>
    </row>
    <row r="279" spans="1:29">
      <c r="A279" s="204"/>
      <c r="B279" s="204"/>
      <c r="C279" s="204"/>
      <c r="D279" s="204"/>
      <c r="E279" s="204"/>
      <c r="F279" s="204"/>
      <c r="G279" s="204"/>
      <c r="H279" s="204"/>
      <c r="I279" s="204"/>
      <c r="J279" s="204"/>
      <c r="K279" s="204"/>
      <c r="L279" s="205"/>
      <c r="M279" s="205"/>
      <c r="N279" s="204"/>
      <c r="O279" s="204"/>
      <c r="P279" s="206"/>
      <c r="Q279" s="206"/>
      <c r="R279" s="206"/>
      <c r="S279" s="206"/>
      <c r="T279" s="204"/>
      <c r="U279" s="207"/>
      <c r="V279" s="204"/>
      <c r="W279" s="204"/>
      <c r="X279" s="207"/>
      <c r="Y279" s="207"/>
      <c r="Z279" s="204"/>
      <c r="AA279" s="204"/>
      <c r="AB279" s="204"/>
      <c r="AC279" s="204"/>
    </row>
    <row r="280" spans="1:29">
      <c r="A280" s="204"/>
      <c r="B280" s="204"/>
      <c r="C280" s="204"/>
      <c r="D280" s="204"/>
      <c r="E280" s="204"/>
      <c r="F280" s="204"/>
      <c r="G280" s="204"/>
      <c r="H280" s="204"/>
      <c r="I280" s="204"/>
      <c r="J280" s="204"/>
      <c r="K280" s="204"/>
      <c r="L280" s="205"/>
      <c r="M280" s="205"/>
      <c r="N280" s="204"/>
      <c r="O280" s="204"/>
      <c r="P280" s="206"/>
      <c r="Q280" s="206"/>
      <c r="R280" s="206"/>
      <c r="S280" s="206"/>
      <c r="T280" s="204"/>
      <c r="U280" s="207"/>
      <c r="V280" s="204"/>
      <c r="W280" s="204"/>
      <c r="X280" s="207"/>
      <c r="Y280" s="207"/>
      <c r="Z280" s="204"/>
      <c r="AA280" s="204"/>
      <c r="AB280" s="204"/>
      <c r="AC280" s="204"/>
    </row>
    <row r="281" spans="1:29">
      <c r="A281" s="204"/>
      <c r="B281" s="204"/>
      <c r="C281" s="204"/>
      <c r="D281" s="204"/>
      <c r="E281" s="204"/>
      <c r="F281" s="204"/>
      <c r="G281" s="204"/>
      <c r="H281" s="204"/>
      <c r="I281" s="204"/>
      <c r="J281" s="204"/>
      <c r="K281" s="204"/>
      <c r="L281" s="205"/>
      <c r="M281" s="205"/>
      <c r="N281" s="204"/>
      <c r="O281" s="204"/>
      <c r="P281" s="206"/>
      <c r="Q281" s="206"/>
      <c r="R281" s="206"/>
      <c r="S281" s="206"/>
      <c r="T281" s="204"/>
      <c r="U281" s="207"/>
      <c r="V281" s="204"/>
      <c r="W281" s="204"/>
      <c r="X281" s="207"/>
      <c r="Y281" s="207"/>
      <c r="Z281" s="204"/>
      <c r="AA281" s="204"/>
      <c r="AB281" s="204"/>
      <c r="AC281" s="204"/>
    </row>
    <row r="282" spans="1:29">
      <c r="A282" s="204"/>
      <c r="B282" s="204"/>
      <c r="C282" s="204"/>
      <c r="D282" s="204"/>
      <c r="E282" s="204"/>
      <c r="F282" s="204"/>
      <c r="G282" s="204"/>
      <c r="H282" s="204"/>
      <c r="I282" s="204"/>
      <c r="J282" s="204"/>
      <c r="K282" s="204"/>
      <c r="L282" s="205"/>
      <c r="M282" s="205"/>
      <c r="N282" s="204"/>
      <c r="O282" s="204"/>
      <c r="P282" s="206"/>
      <c r="Q282" s="206"/>
      <c r="R282" s="206"/>
      <c r="S282" s="206"/>
      <c r="T282" s="204"/>
      <c r="U282" s="207"/>
      <c r="V282" s="204"/>
      <c r="W282" s="204"/>
      <c r="X282" s="207"/>
      <c r="Y282" s="207"/>
      <c r="Z282" s="204"/>
      <c r="AA282" s="204"/>
      <c r="AB282" s="204"/>
      <c r="AC282" s="204"/>
    </row>
    <row r="283" spans="1:29">
      <c r="A283" s="204"/>
      <c r="B283" s="204"/>
      <c r="C283" s="204"/>
      <c r="D283" s="204"/>
      <c r="E283" s="204"/>
      <c r="F283" s="204"/>
      <c r="G283" s="204"/>
      <c r="H283" s="204"/>
      <c r="I283" s="204"/>
      <c r="J283" s="204"/>
      <c r="K283" s="204"/>
      <c r="L283" s="205"/>
      <c r="M283" s="205"/>
      <c r="N283" s="204"/>
      <c r="O283" s="204"/>
      <c r="P283" s="206"/>
      <c r="Q283" s="206"/>
      <c r="R283" s="206"/>
      <c r="S283" s="206"/>
      <c r="T283" s="204"/>
      <c r="U283" s="207"/>
      <c r="V283" s="204"/>
      <c r="W283" s="204"/>
      <c r="X283" s="207"/>
      <c r="Y283" s="207"/>
      <c r="Z283" s="204"/>
      <c r="AA283" s="204"/>
      <c r="AB283" s="204"/>
      <c r="AC283" s="204"/>
    </row>
    <row r="284" spans="1:29">
      <c r="A284" s="204"/>
      <c r="B284" s="204"/>
      <c r="C284" s="204"/>
      <c r="D284" s="204"/>
      <c r="E284" s="204"/>
      <c r="F284" s="204"/>
      <c r="G284" s="204"/>
      <c r="H284" s="204"/>
      <c r="I284" s="204"/>
      <c r="J284" s="204"/>
      <c r="K284" s="204"/>
      <c r="L284" s="205"/>
      <c r="M284" s="205"/>
      <c r="N284" s="204"/>
      <c r="O284" s="204"/>
      <c r="P284" s="206"/>
      <c r="Q284" s="206"/>
      <c r="R284" s="206"/>
      <c r="S284" s="206"/>
      <c r="T284" s="204"/>
      <c r="U284" s="207"/>
      <c r="V284" s="204"/>
      <c r="W284" s="204"/>
      <c r="X284" s="207"/>
      <c r="Y284" s="207"/>
      <c r="Z284" s="204"/>
      <c r="AA284" s="204"/>
      <c r="AB284" s="204"/>
      <c r="AC284" s="204"/>
    </row>
    <row r="285" spans="1:29">
      <c r="A285" s="204"/>
      <c r="B285" s="204"/>
      <c r="C285" s="204"/>
      <c r="D285" s="204"/>
      <c r="E285" s="204"/>
      <c r="F285" s="204"/>
      <c r="G285" s="204"/>
      <c r="H285" s="204"/>
      <c r="I285" s="204"/>
      <c r="J285" s="204"/>
      <c r="K285" s="204"/>
      <c r="L285" s="205"/>
      <c r="M285" s="205"/>
      <c r="N285" s="204"/>
      <c r="O285" s="204"/>
      <c r="P285" s="206"/>
      <c r="Q285" s="206"/>
      <c r="R285" s="206"/>
      <c r="S285" s="206"/>
      <c r="T285" s="204"/>
      <c r="U285" s="207"/>
      <c r="V285" s="204"/>
      <c r="W285" s="204"/>
      <c r="X285" s="207"/>
      <c r="Y285" s="207"/>
      <c r="Z285" s="204"/>
      <c r="AA285" s="204"/>
      <c r="AB285" s="204"/>
      <c r="AC285" s="204"/>
    </row>
    <row r="286" spans="1:29">
      <c r="A286" s="204"/>
      <c r="B286" s="204"/>
      <c r="C286" s="204"/>
      <c r="D286" s="204"/>
      <c r="E286" s="204"/>
      <c r="F286" s="204"/>
      <c r="G286" s="204"/>
      <c r="H286" s="204"/>
      <c r="I286" s="204"/>
      <c r="J286" s="204"/>
      <c r="K286" s="204"/>
      <c r="L286" s="205"/>
      <c r="M286" s="205"/>
      <c r="N286" s="204"/>
      <c r="O286" s="204"/>
      <c r="P286" s="206"/>
      <c r="Q286" s="206"/>
      <c r="R286" s="206"/>
      <c r="S286" s="206"/>
      <c r="T286" s="204"/>
      <c r="U286" s="207"/>
      <c r="V286" s="204"/>
      <c r="W286" s="204"/>
      <c r="X286" s="207"/>
      <c r="Y286" s="207"/>
      <c r="Z286" s="204"/>
      <c r="AA286" s="204"/>
      <c r="AB286" s="204"/>
      <c r="AC286" s="204"/>
    </row>
    <row r="287" spans="1:29">
      <c r="A287" s="204"/>
      <c r="B287" s="204"/>
      <c r="C287" s="204"/>
      <c r="D287" s="204"/>
      <c r="E287" s="204"/>
      <c r="F287" s="204"/>
      <c r="G287" s="204"/>
      <c r="H287" s="204"/>
      <c r="I287" s="204"/>
      <c r="J287" s="204"/>
      <c r="K287" s="204"/>
      <c r="L287" s="205"/>
      <c r="M287" s="205"/>
      <c r="N287" s="204"/>
      <c r="O287" s="204"/>
      <c r="P287" s="206"/>
      <c r="Q287" s="206"/>
      <c r="R287" s="206"/>
      <c r="S287" s="206"/>
      <c r="T287" s="204"/>
      <c r="U287" s="207"/>
      <c r="V287" s="204"/>
      <c r="W287" s="204"/>
      <c r="X287" s="207"/>
      <c r="Y287" s="207"/>
      <c r="Z287" s="204"/>
      <c r="AA287" s="204"/>
      <c r="AB287" s="204"/>
      <c r="AC287" s="204"/>
    </row>
    <row r="288" spans="1:29">
      <c r="A288" s="204"/>
      <c r="B288" s="204"/>
      <c r="C288" s="204"/>
      <c r="D288" s="204"/>
      <c r="E288" s="204"/>
      <c r="F288" s="204"/>
      <c r="G288" s="204"/>
      <c r="H288" s="204"/>
      <c r="I288" s="204"/>
      <c r="J288" s="204"/>
      <c r="K288" s="204"/>
      <c r="L288" s="205"/>
      <c r="M288" s="205"/>
      <c r="N288" s="204"/>
      <c r="O288" s="204"/>
      <c r="P288" s="206"/>
      <c r="Q288" s="206"/>
      <c r="R288" s="206"/>
      <c r="S288" s="206"/>
      <c r="T288" s="204"/>
      <c r="U288" s="207"/>
      <c r="V288" s="204"/>
      <c r="W288" s="204"/>
      <c r="X288" s="207"/>
      <c r="Y288" s="207"/>
      <c r="Z288" s="204"/>
      <c r="AA288" s="204"/>
      <c r="AB288" s="204"/>
      <c r="AC288" s="204"/>
    </row>
    <row r="289" spans="1:29">
      <c r="A289" s="204"/>
      <c r="B289" s="204"/>
      <c r="C289" s="204"/>
      <c r="D289" s="204"/>
      <c r="E289" s="204"/>
      <c r="F289" s="204"/>
      <c r="G289" s="204"/>
      <c r="H289" s="204"/>
      <c r="I289" s="204"/>
      <c r="J289" s="204"/>
      <c r="K289" s="204"/>
      <c r="L289" s="205"/>
      <c r="M289" s="205"/>
      <c r="N289" s="204"/>
      <c r="O289" s="204"/>
      <c r="P289" s="206"/>
      <c r="Q289" s="206"/>
      <c r="R289" s="206"/>
      <c r="S289" s="206"/>
      <c r="T289" s="204"/>
      <c r="U289" s="207"/>
      <c r="V289" s="204"/>
      <c r="W289" s="204"/>
      <c r="X289" s="207"/>
      <c r="Y289" s="207"/>
      <c r="Z289" s="204"/>
      <c r="AA289" s="204"/>
      <c r="AB289" s="204"/>
      <c r="AC289" s="204"/>
    </row>
    <row r="290" spans="1:29">
      <c r="A290" s="204"/>
      <c r="B290" s="204"/>
      <c r="C290" s="204"/>
      <c r="D290" s="204"/>
      <c r="E290" s="204"/>
      <c r="F290" s="204"/>
      <c r="G290" s="204"/>
      <c r="H290" s="204"/>
      <c r="I290" s="204"/>
      <c r="J290" s="204"/>
      <c r="K290" s="204"/>
      <c r="L290" s="205"/>
      <c r="M290" s="205"/>
      <c r="N290" s="204"/>
      <c r="O290" s="204"/>
      <c r="P290" s="206"/>
      <c r="Q290" s="206"/>
      <c r="R290" s="206"/>
      <c r="S290" s="206"/>
      <c r="T290" s="204"/>
      <c r="U290" s="207"/>
      <c r="V290" s="204"/>
      <c r="W290" s="204"/>
      <c r="X290" s="207"/>
      <c r="Y290" s="207"/>
      <c r="Z290" s="204"/>
      <c r="AA290" s="204"/>
      <c r="AB290" s="204"/>
      <c r="AC290" s="204"/>
    </row>
    <row r="291" spans="1:29">
      <c r="A291" s="204"/>
      <c r="B291" s="204"/>
      <c r="C291" s="204"/>
      <c r="D291" s="204"/>
      <c r="E291" s="204"/>
      <c r="F291" s="204"/>
      <c r="G291" s="204"/>
      <c r="H291" s="204"/>
      <c r="I291" s="204"/>
      <c r="J291" s="204"/>
      <c r="K291" s="204"/>
      <c r="L291" s="205"/>
      <c r="M291" s="205"/>
      <c r="N291" s="204"/>
      <c r="O291" s="204"/>
      <c r="P291" s="206"/>
      <c r="Q291" s="206"/>
      <c r="R291" s="206"/>
      <c r="S291" s="206"/>
      <c r="T291" s="204"/>
      <c r="U291" s="207"/>
      <c r="V291" s="204"/>
      <c r="W291" s="204"/>
      <c r="X291" s="207"/>
      <c r="Y291" s="207"/>
      <c r="Z291" s="204"/>
      <c r="AA291" s="204"/>
      <c r="AB291" s="204"/>
      <c r="AC291" s="204"/>
    </row>
    <row r="292" spans="1:29">
      <c r="A292" s="204"/>
      <c r="B292" s="204"/>
      <c r="C292" s="204"/>
      <c r="D292" s="204"/>
      <c r="E292" s="204"/>
      <c r="F292" s="204"/>
      <c r="G292" s="204"/>
      <c r="H292" s="204"/>
      <c r="I292" s="204"/>
      <c r="J292" s="204"/>
      <c r="K292" s="204"/>
      <c r="L292" s="205"/>
      <c r="M292" s="205"/>
      <c r="N292" s="204"/>
      <c r="O292" s="204"/>
      <c r="P292" s="206"/>
      <c r="Q292" s="206"/>
      <c r="R292" s="206"/>
      <c r="S292" s="206"/>
      <c r="T292" s="204"/>
      <c r="U292" s="207"/>
      <c r="V292" s="204"/>
      <c r="W292" s="204"/>
      <c r="X292" s="207"/>
      <c r="Y292" s="207"/>
      <c r="Z292" s="204"/>
      <c r="AA292" s="204"/>
      <c r="AB292" s="204"/>
      <c r="AC292" s="204"/>
    </row>
    <row r="293" spans="1:29">
      <c r="A293" s="204"/>
      <c r="B293" s="204"/>
      <c r="C293" s="204"/>
      <c r="D293" s="204"/>
      <c r="E293" s="204"/>
      <c r="F293" s="204"/>
      <c r="G293" s="204"/>
      <c r="H293" s="204"/>
      <c r="I293" s="204"/>
      <c r="J293" s="204"/>
      <c r="K293" s="204"/>
      <c r="L293" s="205"/>
      <c r="M293" s="205"/>
      <c r="N293" s="204"/>
      <c r="O293" s="204"/>
      <c r="P293" s="206"/>
      <c r="Q293" s="206"/>
      <c r="R293" s="206"/>
      <c r="S293" s="206"/>
      <c r="T293" s="204"/>
      <c r="U293" s="207"/>
      <c r="V293" s="204"/>
      <c r="W293" s="204"/>
      <c r="X293" s="207"/>
      <c r="Y293" s="207"/>
      <c r="Z293" s="204"/>
      <c r="AA293" s="204"/>
      <c r="AB293" s="204"/>
      <c r="AC293" s="204"/>
    </row>
    <row r="294" spans="1:29">
      <c r="A294" s="204"/>
      <c r="B294" s="204"/>
      <c r="C294" s="204"/>
      <c r="D294" s="204"/>
      <c r="E294" s="204"/>
      <c r="F294" s="204"/>
      <c r="G294" s="204"/>
      <c r="H294" s="204"/>
      <c r="I294" s="204"/>
      <c r="J294" s="204"/>
      <c r="K294" s="204"/>
      <c r="L294" s="205"/>
      <c r="M294" s="205"/>
      <c r="N294" s="204"/>
      <c r="O294" s="204"/>
      <c r="P294" s="206"/>
      <c r="Q294" s="206"/>
      <c r="R294" s="206"/>
      <c r="S294" s="206"/>
      <c r="T294" s="204"/>
      <c r="U294" s="207"/>
      <c r="V294" s="204"/>
      <c r="W294" s="204"/>
      <c r="X294" s="207"/>
      <c r="Y294" s="207"/>
      <c r="Z294" s="204"/>
      <c r="AA294" s="204"/>
      <c r="AB294" s="204"/>
      <c r="AC294" s="204"/>
    </row>
    <row r="295" spans="1:29">
      <c r="A295" s="204"/>
      <c r="B295" s="204"/>
      <c r="C295" s="204"/>
      <c r="D295" s="204"/>
      <c r="E295" s="204"/>
      <c r="F295" s="204"/>
      <c r="G295" s="204"/>
      <c r="H295" s="204"/>
      <c r="I295" s="204"/>
      <c r="J295" s="204"/>
      <c r="K295" s="204"/>
      <c r="L295" s="205"/>
      <c r="M295" s="205"/>
      <c r="N295" s="204"/>
      <c r="O295" s="204"/>
      <c r="P295" s="206"/>
      <c r="Q295" s="206"/>
      <c r="R295" s="206"/>
      <c r="S295" s="206"/>
      <c r="T295" s="204"/>
      <c r="U295" s="207"/>
      <c r="V295" s="204"/>
      <c r="W295" s="204"/>
      <c r="X295" s="207"/>
      <c r="Y295" s="207"/>
      <c r="Z295" s="204"/>
      <c r="AA295" s="204"/>
      <c r="AB295" s="204"/>
      <c r="AC295" s="204"/>
    </row>
    <row r="296" spans="1:29">
      <c r="A296" s="204"/>
      <c r="B296" s="204"/>
      <c r="C296" s="204"/>
      <c r="D296" s="204"/>
      <c r="E296" s="204"/>
      <c r="F296" s="204"/>
      <c r="G296" s="204"/>
      <c r="H296" s="204"/>
      <c r="I296" s="204"/>
      <c r="J296" s="204"/>
      <c r="K296" s="204"/>
      <c r="L296" s="205"/>
      <c r="M296" s="205"/>
      <c r="N296" s="204"/>
      <c r="O296" s="204"/>
      <c r="P296" s="206"/>
      <c r="Q296" s="206"/>
      <c r="R296" s="206"/>
      <c r="S296" s="206"/>
      <c r="T296" s="204"/>
      <c r="U296" s="207"/>
      <c r="V296" s="204"/>
      <c r="W296" s="204"/>
      <c r="X296" s="207"/>
      <c r="Y296" s="207"/>
      <c r="Z296" s="204"/>
      <c r="AA296" s="204"/>
      <c r="AB296" s="204"/>
      <c r="AC296" s="204"/>
    </row>
    <row r="297" spans="1:29">
      <c r="A297" s="204"/>
      <c r="B297" s="204"/>
      <c r="C297" s="204"/>
      <c r="D297" s="204"/>
      <c r="E297" s="204"/>
      <c r="F297" s="204"/>
      <c r="G297" s="204"/>
      <c r="H297" s="204"/>
      <c r="I297" s="204"/>
      <c r="J297" s="204"/>
      <c r="K297" s="204"/>
      <c r="L297" s="205"/>
      <c r="M297" s="205"/>
      <c r="N297" s="204"/>
      <c r="O297" s="204"/>
      <c r="P297" s="206"/>
      <c r="Q297" s="206"/>
      <c r="R297" s="206"/>
      <c r="S297" s="206"/>
      <c r="T297" s="204"/>
      <c r="U297" s="207"/>
      <c r="V297" s="204"/>
      <c r="W297" s="204"/>
      <c r="X297" s="207"/>
      <c r="Y297" s="207"/>
      <c r="Z297" s="204"/>
      <c r="AA297" s="204"/>
      <c r="AB297" s="204"/>
      <c r="AC297" s="204"/>
    </row>
    <row r="298" spans="1:29">
      <c r="A298" s="204"/>
      <c r="B298" s="204"/>
      <c r="C298" s="204"/>
      <c r="D298" s="204"/>
      <c r="E298" s="204"/>
      <c r="F298" s="204"/>
      <c r="G298" s="204"/>
      <c r="H298" s="204"/>
      <c r="I298" s="204"/>
      <c r="J298" s="204"/>
      <c r="K298" s="204"/>
      <c r="L298" s="205"/>
      <c r="M298" s="205"/>
      <c r="N298" s="204"/>
      <c r="O298" s="204"/>
      <c r="P298" s="206"/>
      <c r="Q298" s="206"/>
      <c r="R298" s="206"/>
      <c r="S298" s="206"/>
      <c r="T298" s="204"/>
      <c r="U298" s="207"/>
      <c r="V298" s="204"/>
      <c r="W298" s="204"/>
      <c r="X298" s="207"/>
      <c r="Y298" s="207"/>
      <c r="Z298" s="204"/>
      <c r="AA298" s="204"/>
      <c r="AB298" s="204"/>
      <c r="AC298" s="204"/>
    </row>
    <row r="299" spans="1:29">
      <c r="A299" s="204"/>
      <c r="B299" s="204"/>
      <c r="C299" s="204"/>
      <c r="D299" s="204"/>
      <c r="E299" s="204"/>
      <c r="F299" s="204"/>
      <c r="G299" s="204"/>
      <c r="H299" s="204"/>
      <c r="I299" s="204"/>
      <c r="J299" s="204"/>
      <c r="K299" s="204"/>
      <c r="L299" s="205"/>
      <c r="M299" s="205"/>
      <c r="N299" s="204"/>
      <c r="O299" s="204"/>
      <c r="P299" s="206"/>
      <c r="Q299" s="206"/>
      <c r="R299" s="206"/>
      <c r="S299" s="206"/>
      <c r="T299" s="204"/>
      <c r="U299" s="207"/>
      <c r="V299" s="204"/>
      <c r="W299" s="204"/>
      <c r="X299" s="207"/>
      <c r="Y299" s="207"/>
      <c r="Z299" s="204"/>
      <c r="AA299" s="204"/>
      <c r="AB299" s="204"/>
      <c r="AC299" s="204"/>
    </row>
    <row r="300" spans="1:29">
      <c r="A300" s="204"/>
      <c r="B300" s="204"/>
      <c r="C300" s="204"/>
      <c r="D300" s="204"/>
      <c r="E300" s="204"/>
      <c r="F300" s="204"/>
      <c r="G300" s="204"/>
      <c r="H300" s="204"/>
      <c r="I300" s="204"/>
      <c r="J300" s="204"/>
      <c r="K300" s="204"/>
      <c r="L300" s="205"/>
      <c r="M300" s="205"/>
      <c r="N300" s="204"/>
      <c r="O300" s="204"/>
      <c r="P300" s="206"/>
      <c r="Q300" s="206"/>
      <c r="R300" s="206"/>
      <c r="S300" s="206"/>
      <c r="T300" s="204"/>
      <c r="U300" s="207"/>
      <c r="V300" s="204"/>
      <c r="W300" s="204"/>
      <c r="X300" s="207"/>
      <c r="Y300" s="207"/>
      <c r="Z300" s="204"/>
      <c r="AA300" s="204"/>
      <c r="AB300" s="204"/>
      <c r="AC300" s="204"/>
    </row>
    <row r="301" spans="1:29">
      <c r="A301" s="204"/>
      <c r="B301" s="204"/>
      <c r="C301" s="204"/>
      <c r="D301" s="204"/>
      <c r="E301" s="204"/>
      <c r="F301" s="204"/>
      <c r="G301" s="204"/>
      <c r="H301" s="204"/>
      <c r="I301" s="204"/>
      <c r="J301" s="204"/>
      <c r="K301" s="204"/>
      <c r="L301" s="205"/>
      <c r="M301" s="205"/>
      <c r="N301" s="204"/>
      <c r="O301" s="204"/>
      <c r="P301" s="206"/>
      <c r="Q301" s="206"/>
      <c r="R301" s="206"/>
      <c r="S301" s="206"/>
      <c r="T301" s="204"/>
      <c r="U301" s="207"/>
      <c r="V301" s="204"/>
      <c r="W301" s="204"/>
      <c r="X301" s="207"/>
      <c r="Y301" s="207"/>
      <c r="Z301" s="204"/>
      <c r="AA301" s="204"/>
      <c r="AB301" s="204"/>
      <c r="AC301" s="204"/>
    </row>
    <row r="302" spans="1:29">
      <c r="A302" s="204"/>
      <c r="B302" s="204"/>
      <c r="C302" s="204"/>
      <c r="D302" s="204"/>
      <c r="E302" s="204"/>
      <c r="F302" s="204"/>
      <c r="G302" s="204"/>
      <c r="H302" s="204"/>
      <c r="I302" s="204"/>
      <c r="J302" s="204"/>
      <c r="K302" s="204"/>
      <c r="L302" s="205"/>
      <c r="M302" s="205"/>
      <c r="N302" s="204"/>
      <c r="O302" s="204"/>
      <c r="P302" s="206"/>
      <c r="Q302" s="206"/>
      <c r="R302" s="206"/>
      <c r="S302" s="206"/>
      <c r="T302" s="204"/>
      <c r="U302" s="207"/>
      <c r="V302" s="204"/>
      <c r="W302" s="204"/>
      <c r="X302" s="207"/>
      <c r="Y302" s="207"/>
      <c r="Z302" s="204"/>
      <c r="AA302" s="204"/>
      <c r="AB302" s="204"/>
      <c r="AC302" s="204"/>
    </row>
    <row r="303" spans="1:29">
      <c r="A303" s="204"/>
      <c r="B303" s="204"/>
      <c r="C303" s="204"/>
      <c r="D303" s="204"/>
      <c r="E303" s="204"/>
      <c r="F303" s="204"/>
      <c r="G303" s="204"/>
      <c r="H303" s="204"/>
      <c r="I303" s="204"/>
      <c r="J303" s="204"/>
      <c r="K303" s="204"/>
      <c r="L303" s="205"/>
      <c r="M303" s="205"/>
      <c r="N303" s="204"/>
      <c r="O303" s="204"/>
      <c r="P303" s="206"/>
      <c r="Q303" s="206"/>
      <c r="R303" s="206"/>
      <c r="S303" s="206"/>
      <c r="T303" s="204"/>
      <c r="U303" s="207"/>
      <c r="V303" s="204"/>
      <c r="W303" s="204"/>
      <c r="X303" s="207"/>
      <c r="Y303" s="207"/>
      <c r="Z303" s="204"/>
      <c r="AA303" s="204"/>
      <c r="AB303" s="204"/>
      <c r="AC303" s="204"/>
    </row>
    <row r="304" spans="1:29">
      <c r="A304" s="204"/>
      <c r="B304" s="204"/>
      <c r="C304" s="204"/>
      <c r="D304" s="204"/>
      <c r="E304" s="204"/>
      <c r="F304" s="204"/>
      <c r="G304" s="204"/>
      <c r="H304" s="204"/>
      <c r="I304" s="204"/>
      <c r="J304" s="204"/>
      <c r="K304" s="204"/>
      <c r="L304" s="205"/>
      <c r="M304" s="205"/>
      <c r="N304" s="204"/>
      <c r="O304" s="204"/>
      <c r="P304" s="206"/>
      <c r="Q304" s="206"/>
      <c r="R304" s="206"/>
      <c r="S304" s="206"/>
      <c r="T304" s="204"/>
      <c r="U304" s="207"/>
      <c r="V304" s="204"/>
      <c r="W304" s="204"/>
      <c r="X304" s="207"/>
      <c r="Y304" s="207"/>
      <c r="Z304" s="204"/>
      <c r="AA304" s="204"/>
      <c r="AB304" s="204"/>
      <c r="AC304" s="204"/>
    </row>
    <row r="305" spans="1:29">
      <c r="A305" s="204"/>
      <c r="B305" s="204"/>
      <c r="C305" s="204"/>
      <c r="D305" s="204"/>
      <c r="E305" s="204"/>
      <c r="F305" s="204"/>
      <c r="G305" s="204"/>
      <c r="H305" s="204"/>
      <c r="I305" s="204"/>
      <c r="J305" s="204"/>
      <c r="K305" s="204"/>
      <c r="L305" s="205"/>
      <c r="M305" s="205"/>
      <c r="N305" s="204"/>
      <c r="O305" s="204"/>
      <c r="P305" s="206"/>
      <c r="Q305" s="206"/>
      <c r="R305" s="206"/>
      <c r="S305" s="206"/>
      <c r="T305" s="204"/>
      <c r="U305" s="207"/>
      <c r="V305" s="204"/>
      <c r="W305" s="204"/>
      <c r="X305" s="207"/>
      <c r="Y305" s="207"/>
      <c r="Z305" s="204"/>
      <c r="AA305" s="204"/>
      <c r="AB305" s="204"/>
      <c r="AC305" s="204"/>
    </row>
    <row r="306" spans="1:29">
      <c r="A306" s="204"/>
      <c r="B306" s="204"/>
      <c r="C306" s="204"/>
      <c r="D306" s="204"/>
      <c r="E306" s="204"/>
      <c r="F306" s="204"/>
      <c r="G306" s="204"/>
      <c r="H306" s="204"/>
      <c r="I306" s="204"/>
      <c r="J306" s="204"/>
      <c r="K306" s="204"/>
      <c r="L306" s="205"/>
      <c r="M306" s="205"/>
      <c r="N306" s="204"/>
      <c r="O306" s="204"/>
      <c r="P306" s="206"/>
      <c r="Q306" s="206"/>
      <c r="R306" s="206"/>
      <c r="S306" s="206"/>
      <c r="T306" s="204"/>
      <c r="U306" s="207"/>
      <c r="V306" s="204"/>
      <c r="W306" s="204"/>
      <c r="X306" s="207"/>
      <c r="Y306" s="207"/>
      <c r="Z306" s="204"/>
      <c r="AA306" s="204"/>
      <c r="AB306" s="204"/>
      <c r="AC306" s="204"/>
    </row>
    <row r="307" spans="1:29">
      <c r="A307" s="204"/>
      <c r="B307" s="204"/>
      <c r="C307" s="204"/>
      <c r="D307" s="204"/>
      <c r="E307" s="204"/>
      <c r="F307" s="204"/>
      <c r="G307" s="204"/>
      <c r="H307" s="204"/>
      <c r="I307" s="204"/>
      <c r="J307" s="204"/>
      <c r="K307" s="204"/>
      <c r="L307" s="205"/>
      <c r="M307" s="205"/>
      <c r="N307" s="204"/>
      <c r="O307" s="204"/>
      <c r="P307" s="206"/>
      <c r="Q307" s="206"/>
      <c r="R307" s="206"/>
      <c r="S307" s="206"/>
      <c r="T307" s="204"/>
      <c r="U307" s="207"/>
      <c r="V307" s="204"/>
      <c r="W307" s="204"/>
      <c r="X307" s="207"/>
      <c r="Y307" s="207"/>
      <c r="Z307" s="204"/>
      <c r="AA307" s="204"/>
      <c r="AB307" s="204"/>
      <c r="AC307" s="204"/>
    </row>
    <row r="308" spans="1:29">
      <c r="A308" s="204"/>
      <c r="B308" s="204"/>
      <c r="C308" s="204"/>
      <c r="D308" s="204"/>
      <c r="E308" s="204"/>
      <c r="F308" s="204"/>
      <c r="G308" s="204"/>
      <c r="H308" s="204"/>
      <c r="I308" s="204"/>
      <c r="J308" s="204"/>
      <c r="K308" s="204"/>
      <c r="L308" s="205"/>
      <c r="M308" s="205"/>
      <c r="N308" s="204"/>
      <c r="O308" s="204"/>
      <c r="P308" s="206"/>
      <c r="Q308" s="206"/>
      <c r="R308" s="206"/>
      <c r="S308" s="206"/>
      <c r="T308" s="204"/>
      <c r="U308" s="207"/>
      <c r="V308" s="204"/>
      <c r="W308" s="204"/>
      <c r="X308" s="207"/>
      <c r="Y308" s="207"/>
      <c r="Z308" s="204"/>
      <c r="AA308" s="204"/>
      <c r="AB308" s="204"/>
      <c r="AC308" s="204"/>
    </row>
    <row r="309" spans="1:29">
      <c r="A309" s="204"/>
      <c r="B309" s="204"/>
      <c r="C309" s="204"/>
      <c r="D309" s="204"/>
      <c r="E309" s="204"/>
      <c r="F309" s="204"/>
      <c r="G309" s="204"/>
      <c r="H309" s="204"/>
      <c r="I309" s="204"/>
      <c r="J309" s="204"/>
      <c r="K309" s="204"/>
      <c r="L309" s="205"/>
      <c r="M309" s="205"/>
      <c r="N309" s="204"/>
      <c r="O309" s="204"/>
      <c r="P309" s="206"/>
      <c r="Q309" s="206"/>
      <c r="R309" s="206"/>
      <c r="S309" s="206"/>
      <c r="T309" s="204"/>
      <c r="U309" s="207"/>
      <c r="V309" s="204"/>
      <c r="W309" s="204"/>
      <c r="X309" s="207"/>
      <c r="Y309" s="207"/>
      <c r="Z309" s="204"/>
      <c r="AA309" s="204"/>
      <c r="AB309" s="204"/>
      <c r="AC309" s="204"/>
    </row>
    <row r="310" spans="1:29">
      <c r="A310" s="204"/>
      <c r="B310" s="204"/>
      <c r="C310" s="204"/>
      <c r="D310" s="204"/>
      <c r="E310" s="204"/>
      <c r="F310" s="204"/>
      <c r="G310" s="204"/>
      <c r="H310" s="204"/>
      <c r="I310" s="204"/>
      <c r="J310" s="204"/>
      <c r="K310" s="204"/>
      <c r="L310" s="205"/>
      <c r="M310" s="205"/>
      <c r="N310" s="204"/>
      <c r="O310" s="204"/>
      <c r="P310" s="206"/>
      <c r="Q310" s="206"/>
      <c r="R310" s="206"/>
      <c r="S310" s="206"/>
      <c r="T310" s="204"/>
      <c r="U310" s="207"/>
      <c r="V310" s="204"/>
      <c r="W310" s="204"/>
      <c r="X310" s="207"/>
      <c r="Y310" s="207"/>
      <c r="Z310" s="204"/>
      <c r="AA310" s="204"/>
      <c r="AB310" s="204"/>
      <c r="AC310" s="204"/>
    </row>
    <row r="311" spans="1:29">
      <c r="A311" s="204"/>
      <c r="B311" s="204"/>
      <c r="C311" s="204"/>
      <c r="D311" s="204"/>
      <c r="E311" s="204"/>
      <c r="F311" s="204"/>
      <c r="G311" s="204"/>
      <c r="H311" s="204"/>
      <c r="I311" s="204"/>
      <c r="J311" s="204"/>
      <c r="K311" s="204"/>
      <c r="L311" s="205"/>
      <c r="M311" s="205"/>
      <c r="N311" s="204"/>
      <c r="O311" s="204"/>
      <c r="P311" s="206"/>
      <c r="Q311" s="206"/>
      <c r="R311" s="206"/>
      <c r="S311" s="206"/>
      <c r="T311" s="204"/>
      <c r="U311" s="207"/>
      <c r="V311" s="204"/>
      <c r="W311" s="204"/>
      <c r="X311" s="207"/>
      <c r="Y311" s="207"/>
      <c r="Z311" s="204"/>
      <c r="AA311" s="204"/>
      <c r="AB311" s="204"/>
      <c r="AC311" s="204"/>
    </row>
    <row r="312" spans="1:29">
      <c r="A312" s="204"/>
      <c r="B312" s="204"/>
      <c r="C312" s="204"/>
      <c r="D312" s="204"/>
      <c r="E312" s="204"/>
      <c r="F312" s="204"/>
      <c r="G312" s="204"/>
      <c r="H312" s="204"/>
      <c r="I312" s="204"/>
      <c r="J312" s="204"/>
      <c r="K312" s="204"/>
      <c r="L312" s="205"/>
      <c r="M312" s="205"/>
      <c r="N312" s="204"/>
      <c r="O312" s="204"/>
      <c r="P312" s="206"/>
      <c r="Q312" s="206"/>
      <c r="R312" s="206"/>
      <c r="S312" s="206"/>
      <c r="T312" s="204"/>
      <c r="U312" s="207"/>
      <c r="V312" s="204"/>
      <c r="W312" s="204"/>
      <c r="X312" s="207"/>
      <c r="Y312" s="207"/>
      <c r="Z312" s="204"/>
      <c r="AA312" s="204"/>
      <c r="AB312" s="204"/>
      <c r="AC312" s="204"/>
    </row>
    <row r="313" spans="1:29">
      <c r="A313" s="204"/>
      <c r="B313" s="204"/>
      <c r="C313" s="204"/>
      <c r="D313" s="204"/>
      <c r="E313" s="204"/>
      <c r="F313" s="204"/>
      <c r="G313" s="204"/>
      <c r="H313" s="204"/>
      <c r="I313" s="204"/>
      <c r="J313" s="204"/>
      <c r="K313" s="204"/>
      <c r="L313" s="205"/>
      <c r="M313" s="205"/>
      <c r="N313" s="204"/>
      <c r="O313" s="204"/>
      <c r="P313" s="206"/>
      <c r="Q313" s="206"/>
      <c r="R313" s="206"/>
      <c r="S313" s="206"/>
      <c r="T313" s="204"/>
      <c r="U313" s="207"/>
      <c r="V313" s="204"/>
      <c r="W313" s="204"/>
      <c r="X313" s="207"/>
      <c r="Y313" s="207"/>
      <c r="Z313" s="204"/>
      <c r="AA313" s="204"/>
      <c r="AB313" s="204"/>
      <c r="AC313" s="204"/>
    </row>
    <row r="314" spans="1:29">
      <c r="A314" s="204"/>
      <c r="B314" s="204"/>
      <c r="C314" s="204"/>
      <c r="D314" s="204"/>
      <c r="E314" s="204"/>
      <c r="F314" s="204"/>
      <c r="G314" s="204"/>
      <c r="H314" s="204"/>
      <c r="I314" s="204"/>
      <c r="J314" s="204"/>
      <c r="K314" s="204"/>
      <c r="L314" s="205"/>
      <c r="M314" s="205"/>
      <c r="N314" s="204"/>
      <c r="O314" s="204"/>
      <c r="P314" s="206"/>
      <c r="Q314" s="206"/>
      <c r="R314" s="206"/>
      <c r="S314" s="206"/>
      <c r="T314" s="204"/>
      <c r="U314" s="207"/>
      <c r="V314" s="204"/>
      <c r="W314" s="204"/>
      <c r="X314" s="207"/>
      <c r="Y314" s="207"/>
      <c r="Z314" s="204"/>
      <c r="AA314" s="204"/>
      <c r="AB314" s="204"/>
      <c r="AC314" s="204"/>
    </row>
    <row r="315" spans="1:29">
      <c r="A315" s="204"/>
      <c r="B315" s="204"/>
      <c r="C315" s="204"/>
      <c r="D315" s="204"/>
      <c r="E315" s="204"/>
      <c r="F315" s="204"/>
      <c r="G315" s="204"/>
      <c r="H315" s="204"/>
      <c r="I315" s="204"/>
      <c r="J315" s="204"/>
      <c r="K315" s="204"/>
      <c r="L315" s="205"/>
      <c r="M315" s="205"/>
      <c r="N315" s="204"/>
      <c r="O315" s="204"/>
      <c r="P315" s="206"/>
      <c r="Q315" s="206"/>
      <c r="R315" s="206"/>
      <c r="S315" s="206"/>
      <c r="T315" s="204"/>
      <c r="U315" s="207"/>
      <c r="V315" s="204"/>
      <c r="W315" s="204"/>
      <c r="X315" s="207"/>
      <c r="Y315" s="207"/>
      <c r="Z315" s="204"/>
      <c r="AA315" s="204"/>
      <c r="AB315" s="204"/>
      <c r="AC315" s="204"/>
    </row>
    <row r="316" spans="1:29">
      <c r="A316" s="204"/>
      <c r="B316" s="204"/>
      <c r="C316" s="204"/>
      <c r="D316" s="204"/>
      <c r="E316" s="204"/>
      <c r="F316" s="204"/>
      <c r="G316" s="204"/>
      <c r="H316" s="204"/>
      <c r="I316" s="204"/>
      <c r="J316" s="204"/>
      <c r="K316" s="204"/>
      <c r="L316" s="205"/>
      <c r="M316" s="205"/>
      <c r="N316" s="204"/>
      <c r="O316" s="204"/>
      <c r="P316" s="206"/>
      <c r="Q316" s="206"/>
      <c r="R316" s="206"/>
      <c r="S316" s="206"/>
      <c r="T316" s="204"/>
      <c r="U316" s="207"/>
      <c r="V316" s="204"/>
      <c r="W316" s="204"/>
      <c r="X316" s="207"/>
      <c r="Y316" s="207"/>
      <c r="Z316" s="204"/>
      <c r="AA316" s="204"/>
      <c r="AB316" s="204"/>
      <c r="AC316" s="204"/>
    </row>
    <row r="317" spans="1:29">
      <c r="A317" s="204"/>
      <c r="B317" s="204"/>
      <c r="C317" s="204"/>
      <c r="D317" s="204"/>
      <c r="E317" s="204"/>
      <c r="F317" s="204"/>
      <c r="G317" s="204"/>
      <c r="H317" s="204"/>
      <c r="I317" s="204"/>
      <c r="J317" s="204"/>
      <c r="K317" s="204"/>
      <c r="L317" s="205"/>
      <c r="M317" s="205"/>
      <c r="N317" s="204"/>
      <c r="O317" s="204"/>
      <c r="P317" s="206"/>
      <c r="Q317" s="206"/>
      <c r="R317" s="206"/>
      <c r="S317" s="206"/>
      <c r="T317" s="204"/>
      <c r="U317" s="207"/>
      <c r="V317" s="204"/>
      <c r="W317" s="204"/>
      <c r="X317" s="207"/>
      <c r="Y317" s="207"/>
      <c r="Z317" s="204"/>
      <c r="AA317" s="204"/>
      <c r="AB317" s="204"/>
      <c r="AC317" s="204"/>
    </row>
    <row r="318" spans="1:29">
      <c r="A318" s="204"/>
      <c r="B318" s="204"/>
      <c r="C318" s="204"/>
      <c r="D318" s="204"/>
      <c r="E318" s="204"/>
      <c r="F318" s="204"/>
      <c r="G318" s="204"/>
      <c r="H318" s="204"/>
      <c r="I318" s="204"/>
      <c r="J318" s="204"/>
      <c r="K318" s="204"/>
      <c r="L318" s="205"/>
      <c r="M318" s="205"/>
      <c r="N318" s="204"/>
      <c r="O318" s="204"/>
      <c r="P318" s="206"/>
      <c r="Q318" s="206"/>
      <c r="R318" s="206"/>
      <c r="S318" s="206"/>
      <c r="T318" s="204"/>
      <c r="U318" s="207"/>
      <c r="V318" s="204"/>
      <c r="W318" s="204"/>
      <c r="X318" s="207"/>
      <c r="Y318" s="207"/>
      <c r="Z318" s="204"/>
      <c r="AA318" s="204"/>
      <c r="AB318" s="204"/>
      <c r="AC318" s="204"/>
    </row>
    <row r="319" spans="1:29">
      <c r="A319" s="204"/>
      <c r="B319" s="204"/>
      <c r="C319" s="204"/>
      <c r="D319" s="204"/>
      <c r="E319" s="204"/>
      <c r="F319" s="204"/>
      <c r="G319" s="204"/>
      <c r="H319" s="204"/>
      <c r="I319" s="204"/>
      <c r="J319" s="204"/>
      <c r="K319" s="204"/>
      <c r="L319" s="205"/>
      <c r="M319" s="205"/>
      <c r="N319" s="204"/>
      <c r="O319" s="204"/>
      <c r="P319" s="206"/>
      <c r="Q319" s="206"/>
      <c r="R319" s="206"/>
      <c r="S319" s="206"/>
      <c r="T319" s="204"/>
      <c r="U319" s="207"/>
      <c r="V319" s="204"/>
      <c r="W319" s="204"/>
      <c r="X319" s="207"/>
      <c r="Y319" s="207"/>
      <c r="Z319" s="204"/>
      <c r="AA319" s="204"/>
      <c r="AB319" s="204"/>
      <c r="AC319" s="204"/>
    </row>
    <row r="320" spans="1:29">
      <c r="A320" s="204"/>
      <c r="B320" s="204"/>
      <c r="C320" s="204"/>
      <c r="D320" s="204"/>
      <c r="E320" s="204"/>
      <c r="F320" s="204"/>
      <c r="G320" s="204"/>
      <c r="H320" s="204"/>
      <c r="I320" s="204"/>
      <c r="J320" s="204"/>
      <c r="K320" s="204"/>
      <c r="L320" s="205"/>
      <c r="M320" s="205"/>
      <c r="N320" s="204"/>
      <c r="O320" s="204"/>
      <c r="P320" s="206"/>
      <c r="Q320" s="206"/>
      <c r="R320" s="206"/>
      <c r="S320" s="206"/>
      <c r="T320" s="204"/>
      <c r="U320" s="207"/>
      <c r="V320" s="204"/>
      <c r="W320" s="204"/>
      <c r="X320" s="207"/>
      <c r="Y320" s="207"/>
      <c r="Z320" s="204"/>
      <c r="AA320" s="204"/>
      <c r="AB320" s="204"/>
      <c r="AC320" s="204"/>
    </row>
    <row r="321" spans="1:29">
      <c r="A321" s="204"/>
      <c r="B321" s="204"/>
      <c r="C321" s="204"/>
      <c r="D321" s="204"/>
      <c r="E321" s="204"/>
      <c r="F321" s="204"/>
      <c r="G321" s="204"/>
      <c r="H321" s="204"/>
      <c r="I321" s="204"/>
      <c r="J321" s="204"/>
      <c r="K321" s="204"/>
      <c r="L321" s="205"/>
      <c r="M321" s="205"/>
      <c r="N321" s="204"/>
      <c r="O321" s="204"/>
      <c r="P321" s="206"/>
      <c r="Q321" s="206"/>
      <c r="R321" s="206"/>
      <c r="S321" s="206"/>
      <c r="T321" s="204"/>
      <c r="U321" s="207"/>
      <c r="V321" s="204"/>
      <c r="W321" s="204"/>
      <c r="X321" s="207"/>
      <c r="Y321" s="207"/>
      <c r="Z321" s="204"/>
      <c r="AA321" s="204"/>
      <c r="AB321" s="204"/>
      <c r="AC321" s="204"/>
    </row>
    <row r="322" spans="1:29">
      <c r="A322" s="204"/>
      <c r="B322" s="204"/>
      <c r="C322" s="204"/>
      <c r="D322" s="204"/>
      <c r="E322" s="204"/>
      <c r="F322" s="204"/>
      <c r="G322" s="204"/>
      <c r="H322" s="204"/>
      <c r="I322" s="204"/>
      <c r="J322" s="204"/>
      <c r="K322" s="204"/>
      <c r="L322" s="205"/>
      <c r="M322" s="205"/>
      <c r="N322" s="204"/>
      <c r="O322" s="204"/>
      <c r="P322" s="206"/>
      <c r="Q322" s="206"/>
      <c r="R322" s="206"/>
      <c r="S322" s="206"/>
      <c r="T322" s="204"/>
      <c r="U322" s="207"/>
      <c r="V322" s="204"/>
      <c r="W322" s="204"/>
      <c r="X322" s="207"/>
      <c r="Y322" s="207"/>
      <c r="Z322" s="204"/>
      <c r="AA322" s="204"/>
      <c r="AB322" s="204"/>
      <c r="AC322" s="204"/>
    </row>
    <row r="323" spans="1:29">
      <c r="A323" s="204"/>
      <c r="B323" s="204"/>
      <c r="C323" s="204"/>
      <c r="D323" s="204"/>
      <c r="E323" s="204"/>
      <c r="F323" s="204"/>
      <c r="G323" s="204"/>
      <c r="H323" s="204"/>
      <c r="I323" s="204"/>
      <c r="J323" s="204"/>
      <c r="K323" s="204"/>
      <c r="L323" s="205"/>
      <c r="M323" s="205"/>
      <c r="N323" s="204"/>
      <c r="O323" s="204"/>
      <c r="P323" s="206"/>
      <c r="Q323" s="206"/>
      <c r="R323" s="206"/>
      <c r="S323" s="206"/>
      <c r="T323" s="204"/>
      <c r="U323" s="207"/>
      <c r="V323" s="204"/>
      <c r="W323" s="204"/>
      <c r="X323" s="207"/>
      <c r="Y323" s="207"/>
      <c r="Z323" s="204"/>
      <c r="AA323" s="204"/>
      <c r="AB323" s="204"/>
      <c r="AC323" s="204"/>
    </row>
    <row r="324" spans="1:29">
      <c r="A324" s="204"/>
      <c r="B324" s="204"/>
      <c r="C324" s="204"/>
      <c r="D324" s="204"/>
      <c r="E324" s="204"/>
      <c r="F324" s="204"/>
      <c r="G324" s="204"/>
      <c r="H324" s="204"/>
      <c r="I324" s="204"/>
      <c r="J324" s="204"/>
      <c r="K324" s="204"/>
      <c r="L324" s="205"/>
      <c r="M324" s="205"/>
      <c r="N324" s="204"/>
      <c r="O324" s="204"/>
      <c r="P324" s="206"/>
      <c r="Q324" s="206"/>
      <c r="R324" s="206"/>
      <c r="S324" s="206"/>
      <c r="T324" s="204"/>
      <c r="U324" s="207"/>
      <c r="V324" s="204"/>
      <c r="W324" s="204"/>
      <c r="X324" s="207"/>
      <c r="Y324" s="207"/>
      <c r="Z324" s="204"/>
      <c r="AA324" s="204"/>
      <c r="AB324" s="204"/>
      <c r="AC324" s="204"/>
    </row>
    <row r="325" spans="1:29">
      <c r="A325" s="204"/>
      <c r="B325" s="204"/>
      <c r="C325" s="204"/>
      <c r="D325" s="204"/>
      <c r="E325" s="204"/>
      <c r="F325" s="204"/>
      <c r="G325" s="204"/>
      <c r="H325" s="204"/>
      <c r="I325" s="204"/>
      <c r="J325" s="204"/>
      <c r="K325" s="204"/>
      <c r="L325" s="205"/>
      <c r="M325" s="205"/>
      <c r="N325" s="204"/>
      <c r="O325" s="204"/>
      <c r="P325" s="206"/>
      <c r="Q325" s="206"/>
      <c r="R325" s="206"/>
      <c r="S325" s="206"/>
      <c r="T325" s="204"/>
      <c r="U325" s="207"/>
      <c r="V325" s="204"/>
      <c r="W325" s="204"/>
      <c r="X325" s="207"/>
      <c r="Y325" s="207"/>
      <c r="Z325" s="204"/>
      <c r="AA325" s="204"/>
      <c r="AB325" s="204"/>
      <c r="AC325" s="204"/>
    </row>
    <row r="326" spans="1:29">
      <c r="A326" s="204"/>
      <c r="B326" s="204"/>
      <c r="C326" s="204"/>
      <c r="D326" s="204"/>
      <c r="E326" s="204"/>
      <c r="F326" s="204"/>
      <c r="G326" s="204"/>
      <c r="H326" s="204"/>
      <c r="I326" s="204"/>
      <c r="J326" s="204"/>
      <c r="K326" s="204"/>
      <c r="L326" s="205"/>
      <c r="M326" s="205"/>
      <c r="N326" s="204"/>
      <c r="O326" s="204"/>
      <c r="P326" s="206"/>
      <c r="Q326" s="206"/>
      <c r="R326" s="206"/>
      <c r="S326" s="206"/>
      <c r="T326" s="204"/>
      <c r="U326" s="207"/>
      <c r="V326" s="204"/>
      <c r="W326" s="204"/>
      <c r="X326" s="207"/>
      <c r="Y326" s="207"/>
      <c r="Z326" s="204"/>
      <c r="AA326" s="204"/>
      <c r="AB326" s="204"/>
      <c r="AC326" s="204"/>
    </row>
    <row r="327" spans="1:29">
      <c r="A327" s="204"/>
      <c r="B327" s="204"/>
      <c r="C327" s="204"/>
      <c r="D327" s="204"/>
      <c r="E327" s="204"/>
      <c r="F327" s="204"/>
      <c r="G327" s="204"/>
      <c r="H327" s="204"/>
      <c r="I327" s="204"/>
      <c r="J327" s="204"/>
      <c r="K327" s="204"/>
      <c r="L327" s="205"/>
      <c r="M327" s="205"/>
      <c r="N327" s="204"/>
      <c r="O327" s="204"/>
      <c r="P327" s="206"/>
      <c r="Q327" s="206"/>
      <c r="R327" s="206"/>
      <c r="S327" s="206"/>
      <c r="T327" s="204"/>
      <c r="U327" s="207"/>
      <c r="V327" s="204"/>
      <c r="W327" s="204"/>
      <c r="X327" s="207"/>
      <c r="Y327" s="207"/>
      <c r="Z327" s="204"/>
      <c r="AA327" s="204"/>
      <c r="AB327" s="204"/>
      <c r="AC327" s="204"/>
    </row>
    <row r="328" spans="1:29">
      <c r="A328" s="204"/>
      <c r="B328" s="204"/>
      <c r="C328" s="204"/>
      <c r="D328" s="204"/>
      <c r="E328" s="204"/>
      <c r="F328" s="204"/>
      <c r="G328" s="204"/>
      <c r="H328" s="204"/>
      <c r="I328" s="204"/>
      <c r="J328" s="204"/>
      <c r="K328" s="204"/>
      <c r="L328" s="205"/>
      <c r="M328" s="205"/>
      <c r="N328" s="204"/>
      <c r="O328" s="204"/>
      <c r="P328" s="206"/>
      <c r="Q328" s="206"/>
      <c r="R328" s="206"/>
      <c r="S328" s="206"/>
      <c r="T328" s="204"/>
      <c r="U328" s="207"/>
      <c r="V328" s="204"/>
      <c r="W328" s="204"/>
      <c r="X328" s="207"/>
      <c r="Y328" s="207"/>
      <c r="Z328" s="204"/>
      <c r="AA328" s="204"/>
      <c r="AB328" s="204"/>
      <c r="AC328" s="204"/>
    </row>
    <row r="329" spans="1:29">
      <c r="A329" s="204"/>
      <c r="B329" s="204"/>
      <c r="C329" s="204"/>
      <c r="D329" s="204"/>
      <c r="E329" s="204"/>
      <c r="F329" s="204"/>
      <c r="G329" s="204"/>
      <c r="H329" s="204"/>
      <c r="I329" s="204"/>
      <c r="J329" s="204"/>
      <c r="K329" s="204"/>
      <c r="L329" s="205"/>
      <c r="M329" s="205"/>
      <c r="N329" s="204"/>
      <c r="O329" s="204"/>
      <c r="P329" s="206"/>
      <c r="Q329" s="206"/>
      <c r="R329" s="206"/>
      <c r="S329" s="206"/>
      <c r="T329" s="204"/>
      <c r="U329" s="207"/>
      <c r="V329" s="204"/>
      <c r="W329" s="204"/>
      <c r="X329" s="207"/>
      <c r="Y329" s="207"/>
      <c r="Z329" s="204"/>
      <c r="AA329" s="204"/>
      <c r="AB329" s="204"/>
      <c r="AC329" s="204"/>
    </row>
    <row r="330" spans="1:29">
      <c r="A330" s="204"/>
      <c r="B330" s="204"/>
      <c r="C330" s="204"/>
      <c r="D330" s="204"/>
      <c r="E330" s="204"/>
      <c r="F330" s="204"/>
      <c r="G330" s="204"/>
      <c r="H330" s="204"/>
      <c r="I330" s="204"/>
      <c r="J330" s="204"/>
      <c r="K330" s="204"/>
      <c r="L330" s="205"/>
      <c r="M330" s="205"/>
      <c r="N330" s="204"/>
      <c r="O330" s="204"/>
      <c r="P330" s="206"/>
      <c r="Q330" s="206"/>
      <c r="R330" s="206"/>
      <c r="S330" s="206"/>
      <c r="T330" s="204"/>
      <c r="U330" s="207"/>
      <c r="V330" s="204"/>
      <c r="W330" s="204"/>
      <c r="X330" s="207"/>
      <c r="Y330" s="207"/>
      <c r="Z330" s="204"/>
      <c r="AA330" s="204"/>
      <c r="AB330" s="204"/>
      <c r="AC330" s="204"/>
    </row>
    <row r="331" spans="1:29">
      <c r="A331" s="204"/>
      <c r="B331" s="204"/>
      <c r="C331" s="204"/>
      <c r="D331" s="204"/>
      <c r="E331" s="204"/>
      <c r="F331" s="204"/>
      <c r="G331" s="204"/>
      <c r="H331" s="204"/>
      <c r="I331" s="204"/>
      <c r="J331" s="204"/>
      <c r="K331" s="204"/>
      <c r="L331" s="205"/>
      <c r="M331" s="205"/>
      <c r="N331" s="204"/>
      <c r="O331" s="204"/>
      <c r="P331" s="206"/>
      <c r="Q331" s="206"/>
      <c r="R331" s="206"/>
      <c r="S331" s="206"/>
      <c r="T331" s="204"/>
      <c r="U331" s="207"/>
      <c r="V331" s="204"/>
      <c r="W331" s="204"/>
      <c r="X331" s="207"/>
      <c r="Y331" s="207"/>
      <c r="Z331" s="204"/>
      <c r="AA331" s="204"/>
      <c r="AB331" s="204"/>
      <c r="AC331" s="204"/>
    </row>
    <row r="332" spans="1:29">
      <c r="A332" s="204"/>
      <c r="B332" s="204"/>
      <c r="C332" s="204"/>
      <c r="D332" s="204"/>
      <c r="E332" s="204"/>
      <c r="F332" s="204"/>
      <c r="G332" s="204"/>
      <c r="H332" s="204"/>
      <c r="I332" s="204"/>
      <c r="J332" s="204"/>
      <c r="K332" s="204"/>
      <c r="L332" s="205"/>
      <c r="M332" s="205"/>
      <c r="N332" s="204"/>
      <c r="O332" s="204"/>
      <c r="P332" s="206"/>
      <c r="Q332" s="206"/>
      <c r="R332" s="206"/>
      <c r="S332" s="206"/>
      <c r="T332" s="204"/>
      <c r="U332" s="207"/>
      <c r="V332" s="204"/>
      <c r="W332" s="204"/>
      <c r="X332" s="207"/>
      <c r="Y332" s="207"/>
      <c r="Z332" s="204"/>
      <c r="AA332" s="204"/>
      <c r="AB332" s="204"/>
      <c r="AC332" s="204"/>
    </row>
    <row r="333" spans="1:29">
      <c r="A333" s="204"/>
      <c r="B333" s="204"/>
      <c r="C333" s="204"/>
      <c r="D333" s="204"/>
      <c r="E333" s="204"/>
      <c r="F333" s="204"/>
      <c r="G333" s="204"/>
      <c r="H333" s="204"/>
      <c r="I333" s="204"/>
      <c r="J333" s="204"/>
      <c r="K333" s="204"/>
      <c r="L333" s="205"/>
      <c r="M333" s="205"/>
      <c r="N333" s="204"/>
      <c r="O333" s="204"/>
      <c r="P333" s="206"/>
      <c r="Q333" s="206"/>
      <c r="R333" s="206"/>
      <c r="S333" s="206"/>
      <c r="T333" s="204"/>
      <c r="U333" s="207"/>
      <c r="V333" s="204"/>
      <c r="W333" s="204"/>
      <c r="X333" s="207"/>
      <c r="Y333" s="207"/>
      <c r="Z333" s="204"/>
      <c r="AA333" s="204"/>
      <c r="AB333" s="204"/>
      <c r="AC333" s="204"/>
    </row>
    <row r="334" spans="1:29">
      <c r="A334" s="204"/>
      <c r="B334" s="204"/>
      <c r="C334" s="204"/>
      <c r="D334" s="204"/>
      <c r="E334" s="204"/>
      <c r="F334" s="204"/>
      <c r="G334" s="204"/>
      <c r="H334" s="204"/>
      <c r="I334" s="204"/>
      <c r="J334" s="204"/>
      <c r="K334" s="204"/>
      <c r="L334" s="205"/>
      <c r="M334" s="205"/>
      <c r="N334" s="204"/>
      <c r="O334" s="204"/>
      <c r="P334" s="206"/>
      <c r="Q334" s="206"/>
      <c r="R334" s="206"/>
      <c r="S334" s="206"/>
      <c r="T334" s="204"/>
      <c r="U334" s="207"/>
      <c r="V334" s="204"/>
      <c r="W334" s="204"/>
      <c r="X334" s="207"/>
      <c r="Y334" s="207"/>
      <c r="Z334" s="204"/>
      <c r="AA334" s="204"/>
      <c r="AB334" s="204"/>
      <c r="AC334" s="204"/>
    </row>
    <row r="335" spans="1:29">
      <c r="A335" s="204"/>
      <c r="B335" s="204"/>
      <c r="C335" s="204"/>
      <c r="D335" s="204"/>
      <c r="E335" s="204"/>
      <c r="F335" s="204"/>
      <c r="G335" s="204"/>
      <c r="H335" s="204"/>
      <c r="I335" s="204"/>
      <c r="J335" s="204"/>
      <c r="K335" s="204"/>
      <c r="L335" s="205"/>
      <c r="M335" s="205"/>
      <c r="N335" s="204"/>
      <c r="O335" s="204"/>
      <c r="P335" s="206"/>
      <c r="Q335" s="206"/>
      <c r="R335" s="206"/>
      <c r="S335" s="206"/>
      <c r="T335" s="204"/>
      <c r="U335" s="207"/>
      <c r="V335" s="204"/>
      <c r="W335" s="204"/>
      <c r="X335" s="207"/>
      <c r="Y335" s="207"/>
      <c r="Z335" s="204"/>
      <c r="AA335" s="204"/>
      <c r="AB335" s="204"/>
      <c r="AC335" s="204"/>
    </row>
    <row r="336" spans="1:29">
      <c r="A336" s="204"/>
      <c r="B336" s="204"/>
      <c r="C336" s="204"/>
      <c r="D336" s="204"/>
      <c r="E336" s="204"/>
      <c r="F336" s="204"/>
      <c r="G336" s="204"/>
      <c r="H336" s="204"/>
      <c r="I336" s="204"/>
      <c r="J336" s="204"/>
      <c r="K336" s="204"/>
      <c r="L336" s="205"/>
      <c r="M336" s="205"/>
      <c r="N336" s="204"/>
      <c r="O336" s="204"/>
      <c r="P336" s="206"/>
      <c r="Q336" s="206"/>
      <c r="R336" s="206"/>
      <c r="S336" s="206"/>
      <c r="T336" s="204"/>
      <c r="U336" s="207"/>
      <c r="V336" s="204"/>
      <c r="W336" s="204"/>
      <c r="X336" s="207"/>
      <c r="Y336" s="207"/>
      <c r="Z336" s="204"/>
      <c r="AA336" s="204"/>
      <c r="AB336" s="204"/>
      <c r="AC336" s="204"/>
    </row>
    <row r="337" spans="1:29">
      <c r="A337" s="204"/>
      <c r="B337" s="204"/>
      <c r="C337" s="204"/>
      <c r="D337" s="204"/>
      <c r="E337" s="204"/>
      <c r="F337" s="204"/>
      <c r="G337" s="204"/>
      <c r="H337" s="204"/>
      <c r="I337" s="204"/>
      <c r="J337" s="204"/>
      <c r="K337" s="204"/>
      <c r="L337" s="205"/>
      <c r="M337" s="205"/>
      <c r="N337" s="204"/>
      <c r="O337" s="204"/>
      <c r="P337" s="206"/>
      <c r="Q337" s="206"/>
      <c r="R337" s="206"/>
      <c r="S337" s="206"/>
      <c r="T337" s="204"/>
      <c r="U337" s="207"/>
      <c r="V337" s="204"/>
      <c r="W337" s="204"/>
      <c r="X337" s="207"/>
      <c r="Y337" s="207"/>
      <c r="Z337" s="204"/>
      <c r="AA337" s="204"/>
      <c r="AB337" s="204"/>
      <c r="AC337" s="204"/>
    </row>
    <row r="338" spans="1:29">
      <c r="A338" s="204"/>
      <c r="B338" s="204"/>
      <c r="C338" s="204"/>
      <c r="D338" s="204"/>
      <c r="E338" s="204"/>
      <c r="F338" s="204"/>
      <c r="G338" s="204"/>
      <c r="H338" s="204"/>
      <c r="I338" s="204"/>
      <c r="J338" s="204"/>
      <c r="K338" s="204"/>
      <c r="L338" s="205"/>
      <c r="M338" s="205"/>
      <c r="N338" s="204"/>
      <c r="O338" s="204"/>
      <c r="P338" s="206"/>
      <c r="Q338" s="206"/>
      <c r="R338" s="206"/>
      <c r="S338" s="206"/>
      <c r="T338" s="204"/>
      <c r="U338" s="207"/>
      <c r="V338" s="204"/>
      <c r="W338" s="204"/>
      <c r="X338" s="207"/>
      <c r="Y338" s="207"/>
      <c r="Z338" s="204"/>
      <c r="AA338" s="204"/>
      <c r="AB338" s="204"/>
      <c r="AC338" s="204"/>
    </row>
    <row r="339" spans="1:29">
      <c r="A339" s="204"/>
      <c r="B339" s="204"/>
      <c r="C339" s="204"/>
      <c r="D339" s="204"/>
      <c r="E339" s="204"/>
      <c r="F339" s="204"/>
      <c r="G339" s="204"/>
      <c r="H339" s="204"/>
      <c r="I339" s="204"/>
      <c r="J339" s="204"/>
      <c r="K339" s="204"/>
      <c r="L339" s="205"/>
      <c r="M339" s="205"/>
      <c r="N339" s="204"/>
      <c r="O339" s="204"/>
      <c r="P339" s="206"/>
      <c r="Q339" s="206"/>
      <c r="R339" s="206"/>
      <c r="S339" s="206"/>
      <c r="T339" s="204"/>
      <c r="U339" s="207"/>
      <c r="V339" s="204"/>
      <c r="W339" s="204"/>
      <c r="X339" s="207"/>
      <c r="Y339" s="207"/>
      <c r="Z339" s="204"/>
      <c r="AA339" s="204"/>
      <c r="AB339" s="204"/>
      <c r="AC339" s="204"/>
    </row>
    <row r="340" spans="1:29">
      <c r="A340" s="204"/>
      <c r="B340" s="204"/>
      <c r="C340" s="204"/>
      <c r="D340" s="204"/>
      <c r="E340" s="204"/>
      <c r="F340" s="204"/>
      <c r="G340" s="204"/>
      <c r="H340" s="204"/>
      <c r="I340" s="204"/>
      <c r="J340" s="204"/>
      <c r="K340" s="204"/>
      <c r="L340" s="205"/>
      <c r="M340" s="205"/>
      <c r="N340" s="204"/>
      <c r="O340" s="204"/>
      <c r="P340" s="206"/>
      <c r="Q340" s="206"/>
      <c r="R340" s="206"/>
      <c r="S340" s="206"/>
      <c r="T340" s="204"/>
      <c r="U340" s="207"/>
      <c r="V340" s="204"/>
      <c r="W340" s="204"/>
      <c r="X340" s="207"/>
      <c r="Y340" s="207"/>
      <c r="Z340" s="204"/>
      <c r="AA340" s="204"/>
      <c r="AB340" s="204"/>
      <c r="AC340" s="204"/>
    </row>
    <row r="341" spans="1:29">
      <c r="A341" s="204"/>
      <c r="B341" s="204"/>
      <c r="C341" s="204"/>
      <c r="D341" s="204"/>
      <c r="E341" s="204"/>
      <c r="F341" s="204"/>
      <c r="G341" s="204"/>
      <c r="H341" s="204"/>
      <c r="I341" s="204"/>
      <c r="J341" s="204"/>
      <c r="K341" s="204"/>
      <c r="L341" s="205"/>
      <c r="M341" s="205"/>
      <c r="N341" s="204"/>
      <c r="O341" s="204"/>
      <c r="P341" s="206"/>
      <c r="Q341" s="206"/>
      <c r="R341" s="206"/>
      <c r="S341" s="206"/>
      <c r="T341" s="204"/>
      <c r="U341" s="207"/>
      <c r="V341" s="204"/>
      <c r="W341" s="204"/>
      <c r="X341" s="207"/>
      <c r="Y341" s="207"/>
      <c r="Z341" s="204"/>
      <c r="AA341" s="204"/>
      <c r="AB341" s="204"/>
      <c r="AC341" s="204"/>
    </row>
    <row r="342" spans="1:29">
      <c r="A342" s="204"/>
      <c r="B342" s="204"/>
      <c r="C342" s="204"/>
      <c r="D342" s="204"/>
      <c r="E342" s="204"/>
      <c r="F342" s="204"/>
      <c r="G342" s="204"/>
      <c r="H342" s="204"/>
      <c r="I342" s="204"/>
      <c r="J342" s="204"/>
      <c r="K342" s="204"/>
      <c r="L342" s="205"/>
      <c r="M342" s="205"/>
      <c r="N342" s="204"/>
      <c r="O342" s="204"/>
      <c r="P342" s="206"/>
      <c r="Q342" s="206"/>
      <c r="R342" s="206"/>
      <c r="S342" s="206"/>
      <c r="T342" s="204"/>
      <c r="U342" s="207"/>
      <c r="V342" s="204"/>
      <c r="W342" s="204"/>
      <c r="X342" s="207"/>
      <c r="Y342" s="207"/>
      <c r="Z342" s="204"/>
      <c r="AA342" s="204"/>
      <c r="AB342" s="204"/>
      <c r="AC342" s="204"/>
    </row>
    <row r="343" spans="1:29">
      <c r="A343" s="204"/>
      <c r="B343" s="204"/>
      <c r="C343" s="204"/>
      <c r="D343" s="204"/>
      <c r="E343" s="204"/>
      <c r="F343" s="204"/>
      <c r="G343" s="204"/>
      <c r="H343" s="204"/>
      <c r="I343" s="204"/>
      <c r="J343" s="204"/>
      <c r="K343" s="204"/>
      <c r="L343" s="205"/>
      <c r="M343" s="205"/>
      <c r="N343" s="204"/>
      <c r="O343" s="204"/>
      <c r="P343" s="206"/>
      <c r="Q343" s="206"/>
      <c r="R343" s="206"/>
      <c r="S343" s="206"/>
      <c r="T343" s="204"/>
      <c r="U343" s="207"/>
      <c r="V343" s="204"/>
      <c r="W343" s="204"/>
      <c r="X343" s="207"/>
      <c r="Y343" s="207"/>
      <c r="Z343" s="204"/>
      <c r="AA343" s="204"/>
      <c r="AB343" s="204"/>
      <c r="AC343" s="204"/>
    </row>
    <row r="344" spans="1:29">
      <c r="A344" s="204"/>
      <c r="B344" s="204"/>
      <c r="C344" s="204"/>
      <c r="D344" s="204"/>
      <c r="E344" s="204"/>
      <c r="F344" s="204"/>
      <c r="G344" s="204"/>
      <c r="H344" s="204"/>
      <c r="I344" s="204"/>
      <c r="J344" s="204"/>
      <c r="K344" s="204"/>
      <c r="L344" s="205"/>
      <c r="M344" s="205"/>
      <c r="N344" s="204"/>
      <c r="O344" s="204"/>
      <c r="P344" s="206"/>
      <c r="Q344" s="206"/>
      <c r="R344" s="206"/>
      <c r="S344" s="206"/>
      <c r="T344" s="204"/>
      <c r="U344" s="207"/>
      <c r="V344" s="204"/>
      <c r="W344" s="204"/>
      <c r="X344" s="207"/>
      <c r="Y344" s="207"/>
      <c r="Z344" s="204"/>
      <c r="AA344" s="204"/>
      <c r="AB344" s="204"/>
      <c r="AC344" s="204"/>
    </row>
    <row r="345" spans="1:29">
      <c r="A345" s="204"/>
      <c r="B345" s="204"/>
      <c r="C345" s="204"/>
      <c r="D345" s="204"/>
      <c r="E345" s="204"/>
      <c r="F345" s="204"/>
      <c r="G345" s="204"/>
      <c r="H345" s="204"/>
      <c r="I345" s="204"/>
      <c r="J345" s="204"/>
      <c r="K345" s="204"/>
      <c r="L345" s="205"/>
      <c r="M345" s="205"/>
      <c r="N345" s="204"/>
      <c r="O345" s="204"/>
      <c r="P345" s="206"/>
      <c r="Q345" s="206"/>
      <c r="R345" s="206"/>
      <c r="S345" s="206"/>
      <c r="T345" s="204"/>
      <c r="U345" s="207"/>
      <c r="V345" s="204"/>
      <c r="W345" s="204"/>
      <c r="X345" s="207"/>
      <c r="Y345" s="207"/>
      <c r="Z345" s="204"/>
      <c r="AA345" s="204"/>
      <c r="AB345" s="204"/>
      <c r="AC345" s="204"/>
    </row>
    <row r="346" spans="1:29">
      <c r="A346" s="204"/>
      <c r="B346" s="204"/>
      <c r="C346" s="204"/>
      <c r="D346" s="204"/>
      <c r="E346" s="204"/>
      <c r="F346" s="204"/>
      <c r="G346" s="204"/>
      <c r="H346" s="204"/>
      <c r="I346" s="204"/>
      <c r="J346" s="204"/>
      <c r="K346" s="204"/>
      <c r="L346" s="205"/>
      <c r="M346" s="205"/>
      <c r="N346" s="204"/>
      <c r="O346" s="204"/>
      <c r="P346" s="206"/>
      <c r="Q346" s="206"/>
      <c r="R346" s="206"/>
      <c r="S346" s="206"/>
      <c r="T346" s="204"/>
      <c r="U346" s="207"/>
      <c r="V346" s="204"/>
      <c r="W346" s="204"/>
      <c r="X346" s="207"/>
      <c r="Y346" s="207"/>
      <c r="Z346" s="204"/>
      <c r="AA346" s="204"/>
      <c r="AB346" s="204"/>
      <c r="AC346" s="204"/>
    </row>
    <row r="347" spans="1:29">
      <c r="A347" s="204"/>
      <c r="B347" s="204"/>
      <c r="C347" s="204"/>
      <c r="D347" s="204"/>
      <c r="E347" s="204"/>
      <c r="F347" s="204"/>
      <c r="G347" s="204"/>
      <c r="H347" s="204"/>
      <c r="I347" s="204"/>
      <c r="J347" s="204"/>
      <c r="K347" s="204"/>
      <c r="L347" s="205"/>
      <c r="M347" s="205"/>
      <c r="N347" s="204"/>
      <c r="O347" s="204"/>
      <c r="P347" s="206"/>
      <c r="Q347" s="206"/>
      <c r="R347" s="206"/>
      <c r="S347" s="206"/>
      <c r="T347" s="204"/>
      <c r="U347" s="207"/>
      <c r="V347" s="204"/>
      <c r="W347" s="204"/>
      <c r="X347" s="207"/>
      <c r="Y347" s="207"/>
      <c r="Z347" s="204"/>
      <c r="AA347" s="204"/>
      <c r="AB347" s="204"/>
      <c r="AC347" s="204"/>
    </row>
    <row r="348" spans="1:29">
      <c r="A348" s="204"/>
      <c r="B348" s="204"/>
      <c r="C348" s="204"/>
      <c r="D348" s="204"/>
      <c r="E348" s="204"/>
      <c r="F348" s="204"/>
      <c r="G348" s="204"/>
      <c r="H348" s="204"/>
      <c r="I348" s="204"/>
      <c r="J348" s="204"/>
      <c r="K348" s="204"/>
      <c r="L348" s="205"/>
      <c r="M348" s="205"/>
      <c r="N348" s="204"/>
      <c r="O348" s="204"/>
      <c r="P348" s="206"/>
      <c r="Q348" s="206"/>
      <c r="R348" s="206"/>
      <c r="S348" s="206"/>
      <c r="T348" s="204"/>
      <c r="U348" s="207"/>
      <c r="V348" s="204"/>
      <c r="W348" s="204"/>
      <c r="X348" s="207"/>
      <c r="Y348" s="207"/>
      <c r="Z348" s="204"/>
      <c r="AA348" s="204"/>
      <c r="AB348" s="204"/>
      <c r="AC348" s="204"/>
    </row>
    <row r="349" spans="1:29">
      <c r="A349" s="204"/>
      <c r="B349" s="204"/>
      <c r="C349" s="204"/>
      <c r="D349" s="204"/>
      <c r="E349" s="204"/>
      <c r="F349" s="204"/>
      <c r="G349" s="204"/>
      <c r="H349" s="204"/>
      <c r="I349" s="204"/>
      <c r="J349" s="204"/>
      <c r="K349" s="204"/>
      <c r="L349" s="205"/>
      <c r="M349" s="205"/>
      <c r="N349" s="204"/>
      <c r="O349" s="204"/>
      <c r="P349" s="206"/>
      <c r="Q349" s="206"/>
      <c r="R349" s="206"/>
      <c r="S349" s="206"/>
      <c r="T349" s="204"/>
      <c r="U349" s="207"/>
      <c r="V349" s="204"/>
      <c r="W349" s="204"/>
      <c r="X349" s="207"/>
      <c r="Y349" s="207"/>
      <c r="Z349" s="204"/>
      <c r="AA349" s="204"/>
      <c r="AB349" s="204"/>
      <c r="AC349" s="204"/>
    </row>
    <row r="350" spans="1:29">
      <c r="A350" s="204"/>
      <c r="B350" s="204"/>
      <c r="C350" s="204"/>
      <c r="D350" s="204"/>
      <c r="E350" s="204"/>
      <c r="F350" s="204"/>
      <c r="G350" s="204"/>
      <c r="H350" s="204"/>
      <c r="I350" s="204"/>
      <c r="J350" s="204"/>
      <c r="K350" s="204"/>
      <c r="L350" s="205"/>
      <c r="M350" s="205"/>
      <c r="N350" s="204"/>
      <c r="O350" s="204"/>
      <c r="P350" s="206"/>
      <c r="Q350" s="206"/>
      <c r="R350" s="206"/>
      <c r="S350" s="206"/>
      <c r="T350" s="204"/>
      <c r="U350" s="207"/>
      <c r="V350" s="204"/>
      <c r="W350" s="204"/>
      <c r="X350" s="207"/>
      <c r="Y350" s="207"/>
      <c r="Z350" s="204"/>
      <c r="AA350" s="204"/>
      <c r="AB350" s="204"/>
      <c r="AC350" s="204"/>
    </row>
    <row r="351" spans="1:29">
      <c r="A351" s="204"/>
      <c r="B351" s="204"/>
      <c r="C351" s="204"/>
      <c r="D351" s="204"/>
      <c r="E351" s="204"/>
      <c r="F351" s="204"/>
      <c r="G351" s="204"/>
      <c r="H351" s="204"/>
      <c r="I351" s="204"/>
      <c r="J351" s="204"/>
      <c r="K351" s="204"/>
      <c r="L351" s="205"/>
      <c r="M351" s="205"/>
      <c r="N351" s="204"/>
      <c r="O351" s="204"/>
      <c r="P351" s="206"/>
      <c r="Q351" s="206"/>
      <c r="R351" s="206"/>
      <c r="S351" s="206"/>
      <c r="T351" s="204"/>
      <c r="U351" s="207"/>
      <c r="V351" s="204"/>
      <c r="W351" s="204"/>
      <c r="X351" s="207"/>
      <c r="Y351" s="207"/>
      <c r="Z351" s="204"/>
      <c r="AA351" s="204"/>
      <c r="AB351" s="204"/>
      <c r="AC351" s="204"/>
    </row>
    <row r="352" spans="1:29">
      <c r="A352" s="204"/>
      <c r="B352" s="204"/>
      <c r="C352" s="204"/>
      <c r="D352" s="204"/>
      <c r="E352" s="204"/>
      <c r="F352" s="204"/>
      <c r="G352" s="204"/>
      <c r="H352" s="204"/>
      <c r="I352" s="204"/>
      <c r="J352" s="204"/>
      <c r="K352" s="204"/>
      <c r="L352" s="205"/>
      <c r="M352" s="205"/>
      <c r="N352" s="204"/>
      <c r="O352" s="204"/>
      <c r="P352" s="206"/>
      <c r="Q352" s="206"/>
      <c r="R352" s="206"/>
      <c r="S352" s="206"/>
      <c r="T352" s="204"/>
      <c r="U352" s="207"/>
      <c r="V352" s="204"/>
      <c r="W352" s="204"/>
      <c r="X352" s="207"/>
      <c r="Y352" s="207"/>
      <c r="Z352" s="204"/>
      <c r="AA352" s="204"/>
      <c r="AB352" s="204"/>
      <c r="AC352" s="204"/>
    </row>
    <row r="353" spans="1:29">
      <c r="A353" s="204"/>
      <c r="B353" s="204"/>
      <c r="C353" s="204"/>
      <c r="D353" s="204"/>
      <c r="E353" s="204"/>
      <c r="F353" s="204"/>
      <c r="G353" s="204"/>
      <c r="H353" s="204"/>
      <c r="I353" s="204"/>
      <c r="J353" s="204"/>
      <c r="K353" s="204"/>
      <c r="L353" s="205"/>
      <c r="M353" s="205"/>
      <c r="N353" s="204"/>
      <c r="O353" s="204"/>
      <c r="P353" s="206"/>
      <c r="Q353" s="206"/>
      <c r="R353" s="206"/>
      <c r="S353" s="206"/>
      <c r="T353" s="204"/>
      <c r="U353" s="207"/>
      <c r="V353" s="204"/>
      <c r="W353" s="204"/>
      <c r="X353" s="207"/>
      <c r="Y353" s="207"/>
      <c r="Z353" s="204"/>
      <c r="AA353" s="204"/>
      <c r="AB353" s="204"/>
      <c r="AC353" s="204"/>
    </row>
    <row r="354" spans="1:29">
      <c r="A354" s="204"/>
      <c r="B354" s="204"/>
      <c r="C354" s="204"/>
      <c r="D354" s="204"/>
      <c r="E354" s="204"/>
      <c r="F354" s="204"/>
      <c r="G354" s="204"/>
      <c r="H354" s="204"/>
      <c r="I354" s="204"/>
      <c r="J354" s="204"/>
      <c r="K354" s="204"/>
      <c r="L354" s="205"/>
      <c r="M354" s="205"/>
      <c r="N354" s="204"/>
      <c r="O354" s="204"/>
      <c r="P354" s="206"/>
      <c r="Q354" s="206"/>
      <c r="R354" s="206"/>
      <c r="S354" s="206"/>
      <c r="T354" s="204"/>
      <c r="U354" s="207"/>
      <c r="V354" s="204"/>
      <c r="W354" s="204"/>
      <c r="X354" s="207"/>
      <c r="Y354" s="207"/>
      <c r="Z354" s="204"/>
      <c r="AA354" s="204"/>
      <c r="AB354" s="204"/>
      <c r="AC354" s="204"/>
    </row>
    <row r="355" spans="1:29">
      <c r="A355" s="204"/>
      <c r="B355" s="204"/>
      <c r="C355" s="204"/>
      <c r="D355" s="204"/>
      <c r="E355" s="204"/>
      <c r="F355" s="204"/>
      <c r="G355" s="204"/>
      <c r="H355" s="204"/>
      <c r="I355" s="204"/>
      <c r="J355" s="204"/>
      <c r="K355" s="204"/>
      <c r="L355" s="205"/>
      <c r="M355" s="205"/>
      <c r="N355" s="204"/>
      <c r="O355" s="204"/>
      <c r="P355" s="206"/>
      <c r="Q355" s="206"/>
      <c r="R355" s="206"/>
      <c r="S355" s="206"/>
      <c r="T355" s="204"/>
      <c r="U355" s="207"/>
      <c r="V355" s="204"/>
      <c r="W355" s="204"/>
      <c r="X355" s="207"/>
      <c r="Y355" s="207"/>
      <c r="Z355" s="204"/>
      <c r="AA355" s="204"/>
      <c r="AB355" s="204"/>
      <c r="AC355" s="204"/>
    </row>
    <row r="356" spans="1:29">
      <c r="A356" s="204"/>
      <c r="B356" s="204"/>
      <c r="C356" s="204"/>
      <c r="D356" s="204"/>
      <c r="E356" s="204"/>
      <c r="F356" s="204"/>
      <c r="G356" s="204"/>
      <c r="H356" s="204"/>
      <c r="I356" s="204"/>
      <c r="J356" s="204"/>
      <c r="K356" s="204"/>
      <c r="L356" s="205"/>
      <c r="M356" s="205"/>
      <c r="N356" s="204"/>
      <c r="O356" s="204"/>
      <c r="P356" s="206"/>
      <c r="Q356" s="206"/>
      <c r="R356" s="206"/>
      <c r="S356" s="206"/>
      <c r="T356" s="204"/>
      <c r="U356" s="207"/>
      <c r="V356" s="204"/>
      <c r="W356" s="204"/>
      <c r="X356" s="207"/>
      <c r="Y356" s="207"/>
      <c r="Z356" s="204"/>
      <c r="AA356" s="204"/>
      <c r="AB356" s="204"/>
      <c r="AC356" s="204"/>
    </row>
    <row r="357" spans="1:29">
      <c r="A357" s="204"/>
      <c r="B357" s="204"/>
      <c r="C357" s="204"/>
      <c r="D357" s="204"/>
      <c r="E357" s="204"/>
      <c r="F357" s="204"/>
      <c r="G357" s="204"/>
      <c r="H357" s="204"/>
      <c r="I357" s="204"/>
      <c r="J357" s="204"/>
      <c r="K357" s="204"/>
      <c r="L357" s="205"/>
      <c r="M357" s="205"/>
      <c r="N357" s="204"/>
      <c r="O357" s="204"/>
      <c r="P357" s="206"/>
      <c r="Q357" s="206"/>
      <c r="R357" s="206"/>
      <c r="S357" s="206"/>
      <c r="T357" s="204"/>
      <c r="U357" s="207"/>
      <c r="V357" s="204"/>
      <c r="W357" s="204"/>
      <c r="X357" s="207"/>
      <c r="Y357" s="207"/>
      <c r="Z357" s="204"/>
      <c r="AA357" s="204"/>
      <c r="AB357" s="204"/>
      <c r="AC357" s="204"/>
    </row>
    <row r="358" spans="1:29">
      <c r="A358" s="204"/>
      <c r="B358" s="204"/>
      <c r="C358" s="204"/>
      <c r="D358" s="204"/>
      <c r="E358" s="204"/>
      <c r="F358" s="204"/>
      <c r="G358" s="204"/>
      <c r="H358" s="204"/>
      <c r="I358" s="204"/>
      <c r="J358" s="204"/>
      <c r="K358" s="204"/>
      <c r="L358" s="205"/>
      <c r="M358" s="205"/>
      <c r="N358" s="204"/>
      <c r="O358" s="204"/>
      <c r="P358" s="206"/>
      <c r="Q358" s="206"/>
      <c r="R358" s="206"/>
      <c r="S358" s="206"/>
      <c r="T358" s="204"/>
      <c r="U358" s="207"/>
      <c r="V358" s="204"/>
      <c r="W358" s="204"/>
      <c r="X358" s="207"/>
      <c r="Y358" s="207"/>
      <c r="Z358" s="204"/>
      <c r="AA358" s="204"/>
      <c r="AB358" s="204"/>
      <c r="AC358" s="204"/>
    </row>
    <row r="359" spans="1:29">
      <c r="A359" s="204"/>
      <c r="B359" s="204"/>
      <c r="C359" s="204"/>
      <c r="D359" s="204"/>
      <c r="E359" s="204"/>
      <c r="F359" s="204"/>
      <c r="G359" s="204"/>
      <c r="H359" s="204"/>
      <c r="I359" s="204"/>
      <c r="J359" s="204"/>
      <c r="K359" s="204"/>
      <c r="L359" s="205"/>
      <c r="M359" s="205"/>
      <c r="N359" s="204"/>
      <c r="O359" s="204"/>
      <c r="P359" s="206"/>
      <c r="Q359" s="206"/>
      <c r="R359" s="206"/>
      <c r="S359" s="206"/>
      <c r="T359" s="204"/>
      <c r="U359" s="207"/>
      <c r="V359" s="204"/>
      <c r="W359" s="204"/>
      <c r="X359" s="207"/>
      <c r="Y359" s="207"/>
      <c r="Z359" s="204"/>
      <c r="AA359" s="204"/>
      <c r="AB359" s="204"/>
      <c r="AC359" s="204"/>
    </row>
    <row r="360" spans="1:29">
      <c r="A360" s="204"/>
      <c r="B360" s="204"/>
      <c r="C360" s="204"/>
      <c r="D360" s="204"/>
      <c r="E360" s="204"/>
      <c r="F360" s="204"/>
      <c r="G360" s="204"/>
      <c r="H360" s="204"/>
      <c r="I360" s="204"/>
      <c r="J360" s="204"/>
      <c r="K360" s="204"/>
      <c r="L360" s="205"/>
      <c r="M360" s="205"/>
      <c r="N360" s="204"/>
      <c r="O360" s="204"/>
      <c r="P360" s="206"/>
      <c r="Q360" s="206"/>
      <c r="R360" s="206"/>
      <c r="S360" s="206"/>
      <c r="T360" s="204"/>
      <c r="U360" s="207"/>
      <c r="V360" s="204"/>
      <c r="W360" s="204"/>
      <c r="X360" s="207"/>
      <c r="Y360" s="207"/>
      <c r="Z360" s="204"/>
      <c r="AA360" s="204"/>
      <c r="AB360" s="204"/>
      <c r="AC360" s="204"/>
    </row>
    <row r="361" spans="1:29">
      <c r="A361" s="204"/>
      <c r="B361" s="204"/>
      <c r="C361" s="204"/>
      <c r="D361" s="204"/>
      <c r="E361" s="204"/>
      <c r="F361" s="204"/>
      <c r="G361" s="204"/>
      <c r="H361" s="204"/>
      <c r="I361" s="204"/>
      <c r="J361" s="204"/>
      <c r="K361" s="204"/>
      <c r="L361" s="205"/>
      <c r="M361" s="205"/>
      <c r="N361" s="204"/>
      <c r="O361" s="204"/>
      <c r="P361" s="206"/>
      <c r="Q361" s="206"/>
      <c r="R361" s="206"/>
      <c r="S361" s="206"/>
      <c r="T361" s="204"/>
      <c r="U361" s="207"/>
      <c r="V361" s="204"/>
      <c r="W361" s="204"/>
      <c r="X361" s="207"/>
      <c r="Y361" s="207"/>
      <c r="Z361" s="204"/>
      <c r="AA361" s="204"/>
      <c r="AB361" s="204"/>
      <c r="AC361" s="204"/>
    </row>
    <row r="362" spans="1:29">
      <c r="A362" s="204"/>
      <c r="B362" s="204"/>
      <c r="C362" s="204"/>
      <c r="D362" s="204"/>
      <c r="E362" s="204"/>
      <c r="F362" s="204"/>
      <c r="G362" s="204"/>
      <c r="H362" s="204"/>
      <c r="I362" s="204"/>
      <c r="J362" s="204"/>
      <c r="K362" s="204"/>
      <c r="L362" s="205"/>
      <c r="M362" s="205"/>
      <c r="N362" s="204"/>
      <c r="O362" s="204"/>
      <c r="P362" s="206"/>
      <c r="Q362" s="206"/>
      <c r="R362" s="206"/>
      <c r="S362" s="206"/>
      <c r="T362" s="204"/>
      <c r="U362" s="207"/>
      <c r="V362" s="204"/>
      <c r="W362" s="204"/>
      <c r="X362" s="207"/>
      <c r="Y362" s="207"/>
      <c r="Z362" s="204"/>
      <c r="AA362" s="204"/>
      <c r="AB362" s="204"/>
      <c r="AC362" s="204"/>
    </row>
    <row r="363" spans="1:29">
      <c r="A363" s="204"/>
      <c r="B363" s="204"/>
      <c r="C363" s="204"/>
      <c r="D363" s="204"/>
      <c r="E363" s="204"/>
      <c r="F363" s="204"/>
      <c r="G363" s="204"/>
      <c r="H363" s="204"/>
      <c r="I363" s="204"/>
      <c r="J363" s="204"/>
      <c r="K363" s="204"/>
      <c r="L363" s="205"/>
      <c r="M363" s="205"/>
      <c r="N363" s="204"/>
      <c r="O363" s="204"/>
      <c r="P363" s="206"/>
      <c r="Q363" s="206"/>
      <c r="R363" s="206"/>
      <c r="S363" s="206"/>
      <c r="T363" s="204"/>
      <c r="U363" s="207"/>
      <c r="V363" s="204"/>
      <c r="W363" s="204"/>
      <c r="X363" s="207"/>
      <c r="Y363" s="207"/>
      <c r="Z363" s="204"/>
      <c r="AA363" s="204"/>
      <c r="AB363" s="204"/>
      <c r="AC363" s="204"/>
    </row>
    <row r="364" spans="1:29">
      <c r="A364" s="204"/>
      <c r="B364" s="204"/>
      <c r="C364" s="204"/>
      <c r="D364" s="204"/>
      <c r="E364" s="204"/>
      <c r="F364" s="204"/>
      <c r="G364" s="204"/>
      <c r="H364" s="204"/>
      <c r="I364" s="204"/>
      <c r="J364" s="204"/>
      <c r="K364" s="204"/>
      <c r="L364" s="205"/>
      <c r="M364" s="205"/>
      <c r="N364" s="204"/>
      <c r="O364" s="204"/>
      <c r="P364" s="206"/>
      <c r="Q364" s="206"/>
      <c r="R364" s="206"/>
      <c r="S364" s="206"/>
      <c r="T364" s="204"/>
      <c r="U364" s="207"/>
      <c r="V364" s="204"/>
      <c r="W364" s="204"/>
      <c r="X364" s="207"/>
      <c r="Y364" s="207"/>
      <c r="Z364" s="204"/>
      <c r="AA364" s="204"/>
      <c r="AB364" s="204"/>
      <c r="AC364" s="204"/>
    </row>
    <row r="365" spans="1:29">
      <c r="A365" s="204"/>
      <c r="B365" s="204"/>
      <c r="C365" s="204"/>
      <c r="D365" s="204"/>
      <c r="E365" s="204"/>
      <c r="F365" s="204"/>
      <c r="G365" s="204"/>
      <c r="H365" s="204"/>
      <c r="I365" s="204"/>
      <c r="J365" s="204"/>
      <c r="K365" s="204"/>
      <c r="L365" s="205"/>
      <c r="M365" s="205"/>
      <c r="N365" s="204"/>
      <c r="O365" s="204"/>
      <c r="P365" s="206"/>
      <c r="Q365" s="206"/>
      <c r="R365" s="206"/>
      <c r="S365" s="206"/>
      <c r="T365" s="204"/>
      <c r="U365" s="207"/>
      <c r="V365" s="204"/>
      <c r="W365" s="204"/>
      <c r="X365" s="207"/>
      <c r="Y365" s="207"/>
      <c r="Z365" s="204"/>
      <c r="AA365" s="204"/>
      <c r="AB365" s="204"/>
      <c r="AC365" s="204"/>
    </row>
    <row r="366" spans="1:29">
      <c r="A366" s="204"/>
      <c r="B366" s="204"/>
      <c r="C366" s="204"/>
      <c r="D366" s="204"/>
      <c r="E366" s="204"/>
      <c r="F366" s="204"/>
      <c r="G366" s="204"/>
      <c r="H366" s="204"/>
      <c r="I366" s="204"/>
      <c r="J366" s="204"/>
      <c r="K366" s="204"/>
      <c r="L366" s="205"/>
      <c r="M366" s="205"/>
      <c r="N366" s="204"/>
      <c r="O366" s="204"/>
      <c r="P366" s="206"/>
      <c r="Q366" s="206"/>
      <c r="R366" s="206"/>
      <c r="S366" s="206"/>
      <c r="T366" s="204"/>
      <c r="U366" s="207"/>
      <c r="V366" s="204"/>
      <c r="W366" s="204"/>
      <c r="X366" s="207"/>
      <c r="Y366" s="207"/>
      <c r="Z366" s="204"/>
      <c r="AA366" s="204"/>
      <c r="AB366" s="204"/>
      <c r="AC366" s="204"/>
    </row>
    <row r="367" spans="1:29">
      <c r="A367" s="204"/>
      <c r="B367" s="204"/>
      <c r="C367" s="204"/>
      <c r="D367" s="204"/>
      <c r="E367" s="204"/>
      <c r="F367" s="204"/>
      <c r="G367" s="204"/>
      <c r="H367" s="204"/>
      <c r="I367" s="204"/>
      <c r="J367" s="204"/>
      <c r="K367" s="204"/>
      <c r="L367" s="205"/>
      <c r="M367" s="205"/>
      <c r="N367" s="204"/>
      <c r="O367" s="204"/>
      <c r="P367" s="206"/>
      <c r="Q367" s="206"/>
      <c r="R367" s="206"/>
      <c r="S367" s="206"/>
      <c r="T367" s="204"/>
      <c r="U367" s="207"/>
      <c r="V367" s="204"/>
      <c r="W367" s="204"/>
      <c r="X367" s="207"/>
      <c r="Y367" s="207"/>
      <c r="Z367" s="204"/>
      <c r="AA367" s="204"/>
      <c r="AB367" s="204"/>
      <c r="AC367" s="204"/>
    </row>
    <row r="368" spans="1:29">
      <c r="A368" s="204"/>
      <c r="B368" s="204"/>
      <c r="C368" s="204"/>
      <c r="D368" s="204"/>
      <c r="E368" s="204"/>
      <c r="F368" s="204"/>
      <c r="G368" s="204"/>
      <c r="H368" s="204"/>
      <c r="I368" s="204"/>
      <c r="J368" s="204"/>
      <c r="K368" s="204"/>
      <c r="L368" s="205"/>
      <c r="M368" s="205"/>
      <c r="N368" s="204"/>
      <c r="O368" s="204"/>
      <c r="P368" s="206"/>
      <c r="Q368" s="206"/>
      <c r="R368" s="206"/>
      <c r="S368" s="206"/>
      <c r="T368" s="204"/>
      <c r="U368" s="207"/>
      <c r="V368" s="204"/>
      <c r="W368" s="204"/>
      <c r="X368" s="207"/>
      <c r="Y368" s="207"/>
      <c r="Z368" s="204"/>
      <c r="AA368" s="204"/>
      <c r="AB368" s="204"/>
      <c r="AC368" s="204"/>
    </row>
    <row r="369" spans="1:29">
      <c r="A369" s="204"/>
      <c r="B369" s="204"/>
      <c r="C369" s="204"/>
      <c r="D369" s="204"/>
      <c r="E369" s="204"/>
      <c r="F369" s="204"/>
      <c r="G369" s="204"/>
      <c r="H369" s="204"/>
      <c r="I369" s="204"/>
      <c r="J369" s="204"/>
      <c r="K369" s="204"/>
      <c r="L369" s="205"/>
      <c r="M369" s="205"/>
      <c r="N369" s="204"/>
      <c r="O369" s="204"/>
      <c r="P369" s="206"/>
      <c r="Q369" s="206"/>
      <c r="R369" s="206"/>
      <c r="S369" s="206"/>
      <c r="T369" s="204"/>
      <c r="U369" s="207"/>
      <c r="V369" s="204"/>
      <c r="W369" s="204"/>
      <c r="X369" s="207"/>
      <c r="Y369" s="207"/>
      <c r="Z369" s="204"/>
      <c r="AA369" s="204"/>
      <c r="AB369" s="204"/>
      <c r="AC369" s="204"/>
    </row>
    <row r="370" spans="1:29">
      <c r="A370" s="204"/>
      <c r="B370" s="204"/>
      <c r="C370" s="204"/>
      <c r="D370" s="204"/>
      <c r="E370" s="204"/>
      <c r="F370" s="204"/>
      <c r="G370" s="204"/>
      <c r="H370" s="204"/>
      <c r="I370" s="204"/>
      <c r="J370" s="204"/>
      <c r="K370" s="204"/>
      <c r="L370" s="205"/>
      <c r="M370" s="205"/>
      <c r="N370" s="204"/>
      <c r="O370" s="204"/>
      <c r="P370" s="206"/>
      <c r="Q370" s="206"/>
      <c r="R370" s="206"/>
      <c r="S370" s="206"/>
      <c r="T370" s="204"/>
      <c r="U370" s="207"/>
      <c r="V370" s="204"/>
      <c r="W370" s="204"/>
      <c r="X370" s="207"/>
      <c r="Y370" s="207"/>
      <c r="Z370" s="204"/>
      <c r="AA370" s="204"/>
      <c r="AB370" s="204"/>
      <c r="AC370" s="204"/>
    </row>
    <row r="371" spans="1:29">
      <c r="A371" s="204"/>
      <c r="B371" s="204"/>
      <c r="C371" s="204"/>
      <c r="D371" s="204"/>
      <c r="E371" s="204"/>
      <c r="F371" s="204"/>
      <c r="G371" s="204"/>
      <c r="H371" s="204"/>
      <c r="I371" s="204"/>
      <c r="J371" s="204"/>
      <c r="K371" s="204"/>
      <c r="L371" s="205"/>
      <c r="M371" s="205"/>
      <c r="N371" s="204"/>
      <c r="O371" s="204"/>
      <c r="P371" s="206"/>
      <c r="Q371" s="206"/>
      <c r="R371" s="206"/>
      <c r="S371" s="206"/>
      <c r="T371" s="204"/>
      <c r="U371" s="207"/>
      <c r="V371" s="204"/>
      <c r="W371" s="204"/>
      <c r="X371" s="207"/>
      <c r="Y371" s="207"/>
      <c r="Z371" s="204"/>
      <c r="AA371" s="204"/>
      <c r="AB371" s="204"/>
      <c r="AC371" s="204"/>
    </row>
    <row r="372" spans="1:29">
      <c r="A372" s="204"/>
      <c r="B372" s="204"/>
      <c r="C372" s="204"/>
      <c r="D372" s="204"/>
      <c r="E372" s="204"/>
      <c r="F372" s="204"/>
      <c r="G372" s="204"/>
      <c r="H372" s="204"/>
      <c r="I372" s="204"/>
      <c r="J372" s="204"/>
      <c r="K372" s="204"/>
      <c r="L372" s="205"/>
      <c r="M372" s="205"/>
      <c r="N372" s="204"/>
      <c r="O372" s="204"/>
      <c r="P372" s="206"/>
      <c r="Q372" s="206"/>
      <c r="R372" s="206"/>
      <c r="S372" s="206"/>
      <c r="T372" s="204"/>
      <c r="U372" s="207"/>
      <c r="V372" s="204"/>
      <c r="W372" s="204"/>
      <c r="X372" s="207"/>
      <c r="Y372" s="207"/>
      <c r="Z372" s="204"/>
      <c r="AA372" s="204"/>
      <c r="AB372" s="204"/>
      <c r="AC372" s="204"/>
    </row>
    <row r="373" spans="1:29">
      <c r="A373" s="204"/>
      <c r="B373" s="204"/>
      <c r="C373" s="204"/>
      <c r="D373" s="204"/>
      <c r="E373" s="204"/>
      <c r="F373" s="204"/>
      <c r="G373" s="204"/>
      <c r="H373" s="204"/>
      <c r="I373" s="204"/>
      <c r="J373" s="204"/>
      <c r="K373" s="204"/>
      <c r="L373" s="205"/>
      <c r="M373" s="205"/>
      <c r="N373" s="204"/>
      <c r="O373" s="204"/>
      <c r="P373" s="206"/>
      <c r="Q373" s="206"/>
      <c r="R373" s="206"/>
      <c r="S373" s="206"/>
      <c r="T373" s="204"/>
      <c r="U373" s="207"/>
      <c r="V373" s="204"/>
      <c r="W373" s="204"/>
      <c r="X373" s="207"/>
      <c r="Y373" s="207"/>
      <c r="Z373" s="204"/>
      <c r="AA373" s="204"/>
      <c r="AB373" s="204"/>
      <c r="AC373" s="204"/>
    </row>
    <row r="374" spans="1:29">
      <c r="A374" s="204"/>
      <c r="B374" s="204"/>
      <c r="C374" s="204"/>
      <c r="D374" s="204"/>
      <c r="E374" s="204"/>
      <c r="F374" s="204"/>
      <c r="G374" s="204"/>
      <c r="H374" s="204"/>
      <c r="I374" s="204"/>
      <c r="J374" s="204"/>
      <c r="K374" s="204"/>
      <c r="L374" s="205"/>
      <c r="M374" s="205"/>
      <c r="N374" s="204"/>
      <c r="O374" s="204"/>
      <c r="P374" s="206"/>
      <c r="Q374" s="206"/>
      <c r="R374" s="206"/>
      <c r="S374" s="206"/>
      <c r="T374" s="204"/>
      <c r="U374" s="207"/>
      <c r="V374" s="204"/>
      <c r="W374" s="204"/>
      <c r="X374" s="207"/>
      <c r="Y374" s="207"/>
      <c r="Z374" s="204"/>
      <c r="AA374" s="204"/>
      <c r="AB374" s="204"/>
      <c r="AC374" s="204"/>
    </row>
    <row r="375" spans="1:29">
      <c r="A375" s="204"/>
      <c r="B375" s="204"/>
      <c r="C375" s="204"/>
      <c r="D375" s="204"/>
      <c r="E375" s="204"/>
      <c r="F375" s="204"/>
      <c r="G375" s="204"/>
      <c r="H375" s="204"/>
      <c r="I375" s="204"/>
      <c r="J375" s="204"/>
      <c r="K375" s="204"/>
      <c r="L375" s="205"/>
      <c r="M375" s="205"/>
      <c r="N375" s="204"/>
      <c r="O375" s="204"/>
      <c r="P375" s="206"/>
      <c r="Q375" s="206"/>
      <c r="R375" s="206"/>
      <c r="S375" s="206"/>
      <c r="T375" s="204"/>
      <c r="U375" s="207"/>
      <c r="V375" s="204"/>
      <c r="W375" s="204"/>
      <c r="X375" s="207"/>
      <c r="Y375" s="207"/>
      <c r="Z375" s="204"/>
      <c r="AA375" s="204"/>
      <c r="AB375" s="204"/>
      <c r="AC375" s="204"/>
    </row>
    <row r="376" spans="1:29">
      <c r="A376" s="204"/>
      <c r="B376" s="204"/>
      <c r="C376" s="204"/>
      <c r="D376" s="204"/>
      <c r="E376" s="204"/>
      <c r="F376" s="204"/>
      <c r="G376" s="204"/>
      <c r="H376" s="204"/>
      <c r="I376" s="204"/>
      <c r="J376" s="204"/>
      <c r="K376" s="204"/>
      <c r="L376" s="205"/>
      <c r="M376" s="205"/>
      <c r="N376" s="204"/>
      <c r="O376" s="204"/>
      <c r="P376" s="206"/>
      <c r="Q376" s="206"/>
      <c r="R376" s="206"/>
      <c r="S376" s="206"/>
      <c r="T376" s="204"/>
      <c r="U376" s="207"/>
      <c r="V376" s="204"/>
      <c r="W376" s="204"/>
      <c r="X376" s="207"/>
      <c r="Y376" s="207"/>
      <c r="Z376" s="204"/>
      <c r="AA376" s="204"/>
      <c r="AB376" s="204"/>
      <c r="AC376" s="204"/>
    </row>
    <row r="377" spans="1:29">
      <c r="A377" s="204"/>
      <c r="B377" s="204"/>
      <c r="C377" s="204"/>
      <c r="D377" s="204"/>
      <c r="E377" s="204"/>
      <c r="F377" s="204"/>
      <c r="G377" s="204"/>
      <c r="H377" s="204"/>
      <c r="I377" s="204"/>
      <c r="J377" s="204"/>
      <c r="K377" s="204"/>
      <c r="L377" s="205"/>
      <c r="M377" s="205"/>
      <c r="N377" s="204"/>
      <c r="O377" s="204"/>
      <c r="P377" s="206"/>
      <c r="Q377" s="206"/>
      <c r="R377" s="206"/>
      <c r="S377" s="206"/>
      <c r="T377" s="204"/>
      <c r="U377" s="207"/>
      <c r="V377" s="204"/>
      <c r="W377" s="204"/>
      <c r="X377" s="207"/>
      <c r="Y377" s="207"/>
      <c r="Z377" s="204"/>
      <c r="AA377" s="204"/>
      <c r="AB377" s="204"/>
      <c r="AC377" s="204"/>
    </row>
    <row r="378" spans="1:29">
      <c r="A378" s="204"/>
      <c r="B378" s="204"/>
      <c r="C378" s="204"/>
      <c r="D378" s="204"/>
      <c r="E378" s="204"/>
      <c r="F378" s="204"/>
      <c r="G378" s="204"/>
      <c r="H378" s="204"/>
      <c r="I378" s="204"/>
      <c r="J378" s="204"/>
      <c r="K378" s="204"/>
      <c r="L378" s="205"/>
      <c r="M378" s="205"/>
      <c r="N378" s="204"/>
      <c r="O378" s="204"/>
      <c r="P378" s="206"/>
      <c r="Q378" s="206"/>
      <c r="R378" s="206"/>
      <c r="S378" s="206"/>
      <c r="T378" s="204"/>
      <c r="U378" s="207"/>
      <c r="V378" s="204"/>
      <c r="W378" s="204"/>
      <c r="X378" s="207"/>
      <c r="Y378" s="207"/>
      <c r="Z378" s="204"/>
      <c r="AA378" s="204"/>
      <c r="AB378" s="204"/>
      <c r="AC378" s="204"/>
    </row>
    <row r="379" spans="1:29">
      <c r="A379" s="204"/>
      <c r="B379" s="204"/>
      <c r="C379" s="204"/>
      <c r="D379" s="204"/>
      <c r="E379" s="204"/>
      <c r="F379" s="204"/>
      <c r="G379" s="204"/>
      <c r="H379" s="204"/>
      <c r="I379" s="204"/>
      <c r="J379" s="204"/>
      <c r="K379" s="204"/>
      <c r="L379" s="205"/>
      <c r="M379" s="205"/>
      <c r="N379" s="204"/>
      <c r="O379" s="204"/>
      <c r="P379" s="206"/>
      <c r="Q379" s="206"/>
      <c r="R379" s="206"/>
      <c r="S379" s="206"/>
      <c r="T379" s="204"/>
      <c r="U379" s="207"/>
      <c r="V379" s="204"/>
      <c r="W379" s="204"/>
      <c r="X379" s="207"/>
      <c r="Y379" s="207"/>
      <c r="Z379" s="204"/>
      <c r="AA379" s="204"/>
      <c r="AB379" s="204"/>
      <c r="AC379" s="204"/>
    </row>
    <row r="380" spans="1:29">
      <c r="A380" s="204"/>
      <c r="B380" s="204"/>
      <c r="C380" s="204"/>
      <c r="D380" s="204"/>
      <c r="E380" s="204"/>
      <c r="F380" s="204"/>
      <c r="G380" s="204"/>
      <c r="H380" s="204"/>
      <c r="I380" s="204"/>
      <c r="J380" s="204"/>
      <c r="K380" s="204"/>
      <c r="L380" s="205"/>
      <c r="M380" s="205"/>
      <c r="N380" s="204"/>
      <c r="O380" s="204"/>
      <c r="P380" s="206"/>
      <c r="Q380" s="206"/>
      <c r="R380" s="206"/>
      <c r="S380" s="206"/>
      <c r="T380" s="204"/>
      <c r="U380" s="207"/>
      <c r="V380" s="204"/>
      <c r="W380" s="204"/>
      <c r="X380" s="207"/>
      <c r="Y380" s="207"/>
      <c r="Z380" s="204"/>
      <c r="AA380" s="204"/>
      <c r="AB380" s="204"/>
      <c r="AC380" s="204"/>
    </row>
    <row r="381" spans="1:29">
      <c r="A381" s="204"/>
      <c r="B381" s="204"/>
      <c r="C381" s="204"/>
      <c r="D381" s="204"/>
      <c r="E381" s="204"/>
      <c r="F381" s="204"/>
      <c r="G381" s="204"/>
      <c r="H381" s="204"/>
      <c r="I381" s="204"/>
      <c r="J381" s="204"/>
      <c r="K381" s="204"/>
      <c r="L381" s="205"/>
      <c r="M381" s="205"/>
      <c r="N381" s="204"/>
      <c r="O381" s="204"/>
      <c r="P381" s="206"/>
      <c r="Q381" s="206"/>
      <c r="R381" s="206"/>
      <c r="S381" s="206"/>
      <c r="T381" s="204"/>
      <c r="U381" s="207"/>
      <c r="V381" s="204"/>
      <c r="W381" s="204"/>
      <c r="X381" s="207"/>
      <c r="Y381" s="207"/>
      <c r="Z381" s="204"/>
      <c r="AA381" s="204"/>
      <c r="AB381" s="204"/>
      <c r="AC381" s="204"/>
    </row>
    <row r="382" spans="1:29">
      <c r="A382" s="204"/>
      <c r="B382" s="204"/>
      <c r="C382" s="204"/>
      <c r="D382" s="204"/>
      <c r="E382" s="204"/>
      <c r="F382" s="204"/>
      <c r="G382" s="204"/>
      <c r="H382" s="204"/>
      <c r="I382" s="204"/>
      <c r="J382" s="204"/>
      <c r="K382" s="204"/>
      <c r="L382" s="205"/>
      <c r="M382" s="205"/>
      <c r="N382" s="204"/>
      <c r="O382" s="204"/>
      <c r="P382" s="206"/>
      <c r="Q382" s="206"/>
      <c r="R382" s="206"/>
      <c r="S382" s="206"/>
      <c r="T382" s="204"/>
      <c r="U382" s="207"/>
      <c r="V382" s="204"/>
      <c r="W382" s="204"/>
      <c r="X382" s="207"/>
      <c r="Y382" s="207"/>
      <c r="Z382" s="204"/>
      <c r="AA382" s="204"/>
      <c r="AB382" s="204"/>
      <c r="AC382" s="204"/>
    </row>
    <row r="383" spans="1:29">
      <c r="A383" s="204"/>
      <c r="B383" s="204"/>
      <c r="C383" s="204"/>
      <c r="D383" s="204"/>
      <c r="E383" s="204"/>
      <c r="F383" s="204"/>
      <c r="G383" s="204"/>
      <c r="H383" s="204"/>
      <c r="I383" s="204"/>
      <c r="J383" s="204"/>
      <c r="K383" s="204"/>
      <c r="L383" s="205"/>
      <c r="M383" s="205"/>
      <c r="N383" s="204"/>
      <c r="O383" s="204"/>
      <c r="P383" s="206"/>
      <c r="Q383" s="206"/>
      <c r="R383" s="206"/>
      <c r="S383" s="206"/>
      <c r="T383" s="204"/>
      <c r="U383" s="207"/>
      <c r="V383" s="204"/>
      <c r="W383" s="204"/>
      <c r="X383" s="207"/>
      <c r="Y383" s="207"/>
      <c r="Z383" s="204"/>
      <c r="AA383" s="204"/>
      <c r="AB383" s="204"/>
      <c r="AC383" s="204"/>
    </row>
    <row r="384" spans="1:29">
      <c r="A384" s="204"/>
      <c r="B384" s="204"/>
      <c r="C384" s="204"/>
      <c r="D384" s="204"/>
      <c r="E384" s="204"/>
      <c r="F384" s="204"/>
      <c r="G384" s="204"/>
      <c r="H384" s="204"/>
      <c r="I384" s="204"/>
      <c r="J384" s="204"/>
      <c r="K384" s="204"/>
      <c r="L384" s="205"/>
      <c r="M384" s="205"/>
      <c r="N384" s="204"/>
      <c r="O384" s="204"/>
      <c r="P384" s="206"/>
      <c r="Q384" s="206"/>
      <c r="R384" s="206"/>
      <c r="S384" s="206"/>
      <c r="T384" s="204"/>
      <c r="U384" s="207"/>
      <c r="V384" s="204"/>
      <c r="W384" s="204"/>
      <c r="X384" s="207"/>
      <c r="Y384" s="207"/>
      <c r="Z384" s="204"/>
      <c r="AA384" s="204"/>
      <c r="AB384" s="204"/>
      <c r="AC384" s="204"/>
    </row>
    <row r="385" spans="1:29">
      <c r="A385" s="204"/>
      <c r="B385" s="204"/>
      <c r="C385" s="204"/>
      <c r="D385" s="204"/>
      <c r="E385" s="204"/>
      <c r="F385" s="204"/>
      <c r="G385" s="204"/>
      <c r="H385" s="204"/>
      <c r="I385" s="204"/>
      <c r="J385" s="204"/>
      <c r="K385" s="204"/>
      <c r="L385" s="205"/>
      <c r="M385" s="205"/>
      <c r="N385" s="204"/>
      <c r="O385" s="204"/>
      <c r="P385" s="206"/>
      <c r="Q385" s="206"/>
      <c r="R385" s="206"/>
      <c r="S385" s="206"/>
      <c r="T385" s="204"/>
      <c r="U385" s="207"/>
      <c r="V385" s="204"/>
      <c r="W385" s="204"/>
      <c r="X385" s="207"/>
      <c r="Y385" s="207"/>
      <c r="Z385" s="204"/>
      <c r="AA385" s="204"/>
      <c r="AB385" s="204"/>
      <c r="AC385" s="204"/>
    </row>
    <row r="386" spans="1:29">
      <c r="A386" s="204"/>
      <c r="B386" s="204"/>
      <c r="C386" s="204"/>
      <c r="D386" s="204"/>
      <c r="E386" s="204"/>
      <c r="F386" s="204"/>
      <c r="G386" s="204"/>
      <c r="H386" s="204"/>
      <c r="I386" s="204"/>
      <c r="J386" s="204"/>
      <c r="K386" s="204"/>
      <c r="L386" s="205"/>
      <c r="M386" s="205"/>
      <c r="N386" s="204"/>
      <c r="O386" s="204"/>
      <c r="P386" s="206"/>
      <c r="Q386" s="206"/>
      <c r="R386" s="206"/>
      <c r="S386" s="206"/>
      <c r="T386" s="204"/>
      <c r="U386" s="207"/>
      <c r="V386" s="204"/>
      <c r="W386" s="204"/>
      <c r="X386" s="207"/>
      <c r="Y386" s="207"/>
      <c r="Z386" s="204"/>
      <c r="AA386" s="204"/>
      <c r="AB386" s="204"/>
      <c r="AC386" s="204"/>
    </row>
    <row r="387" spans="1:29">
      <c r="A387" s="204"/>
      <c r="B387" s="204"/>
      <c r="C387" s="204"/>
      <c r="D387" s="204"/>
      <c r="E387" s="204"/>
      <c r="F387" s="204"/>
      <c r="G387" s="204"/>
      <c r="H387" s="204"/>
      <c r="I387" s="204"/>
      <c r="J387" s="204"/>
      <c r="K387" s="204"/>
      <c r="L387" s="205"/>
      <c r="M387" s="205"/>
      <c r="N387" s="204"/>
      <c r="O387" s="204"/>
      <c r="P387" s="206"/>
      <c r="Q387" s="206"/>
      <c r="R387" s="206"/>
      <c r="S387" s="206"/>
      <c r="T387" s="204"/>
      <c r="U387" s="207"/>
      <c r="V387" s="204"/>
      <c r="W387" s="204"/>
      <c r="X387" s="207"/>
      <c r="Y387" s="207"/>
      <c r="Z387" s="204"/>
      <c r="AA387" s="204"/>
      <c r="AB387" s="204"/>
      <c r="AC387" s="204"/>
    </row>
    <row r="388" spans="1:29">
      <c r="A388" s="204"/>
      <c r="B388" s="204"/>
      <c r="C388" s="204"/>
      <c r="D388" s="204"/>
      <c r="E388" s="204"/>
      <c r="F388" s="204"/>
      <c r="G388" s="204"/>
      <c r="H388" s="204"/>
      <c r="I388" s="204"/>
      <c r="J388" s="204"/>
      <c r="K388" s="204"/>
      <c r="L388" s="205"/>
      <c r="M388" s="205"/>
      <c r="N388" s="204"/>
      <c r="O388" s="204"/>
      <c r="P388" s="206"/>
      <c r="Q388" s="206"/>
      <c r="R388" s="206"/>
      <c r="S388" s="206"/>
      <c r="T388" s="204"/>
      <c r="U388" s="207"/>
      <c r="V388" s="204"/>
      <c r="W388" s="204"/>
      <c r="X388" s="207"/>
      <c r="Y388" s="207"/>
      <c r="Z388" s="204"/>
      <c r="AA388" s="204"/>
      <c r="AB388" s="204"/>
      <c r="AC388" s="204"/>
    </row>
    <row r="389" spans="1:29">
      <c r="A389" s="204"/>
      <c r="B389" s="204"/>
      <c r="C389" s="204"/>
      <c r="D389" s="204"/>
      <c r="E389" s="204"/>
      <c r="F389" s="204"/>
      <c r="G389" s="204"/>
      <c r="H389" s="204"/>
      <c r="I389" s="204"/>
      <c r="J389" s="204"/>
      <c r="K389" s="204"/>
      <c r="L389" s="205"/>
      <c r="M389" s="205"/>
      <c r="N389" s="204"/>
      <c r="O389" s="204"/>
      <c r="P389" s="206"/>
      <c r="Q389" s="206"/>
      <c r="R389" s="206"/>
      <c r="S389" s="206"/>
      <c r="T389" s="204"/>
      <c r="U389" s="207"/>
      <c r="V389" s="204"/>
      <c r="W389" s="204"/>
      <c r="X389" s="207"/>
      <c r="Y389" s="207"/>
      <c r="Z389" s="204"/>
      <c r="AA389" s="204"/>
      <c r="AB389" s="204"/>
      <c r="AC389" s="204"/>
    </row>
    <row r="390" spans="1:29">
      <c r="A390" s="204"/>
      <c r="B390" s="204"/>
      <c r="C390" s="204"/>
      <c r="D390" s="204"/>
      <c r="E390" s="204"/>
      <c r="F390" s="204"/>
      <c r="G390" s="204"/>
      <c r="H390" s="204"/>
      <c r="I390" s="204"/>
      <c r="J390" s="204"/>
      <c r="K390" s="204"/>
      <c r="L390" s="205"/>
      <c r="M390" s="205"/>
      <c r="N390" s="204"/>
      <c r="O390" s="204"/>
      <c r="P390" s="206"/>
      <c r="Q390" s="206"/>
      <c r="R390" s="206"/>
      <c r="S390" s="206"/>
      <c r="T390" s="204"/>
      <c r="U390" s="207"/>
      <c r="V390" s="204"/>
      <c r="W390" s="204"/>
      <c r="X390" s="207"/>
      <c r="Y390" s="207"/>
      <c r="Z390" s="204"/>
      <c r="AA390" s="204"/>
      <c r="AB390" s="204"/>
      <c r="AC390" s="204"/>
    </row>
    <row r="391" spans="1:29">
      <c r="A391" s="204"/>
      <c r="B391" s="204"/>
      <c r="C391" s="204"/>
      <c r="D391" s="204"/>
      <c r="E391" s="204"/>
      <c r="F391" s="204"/>
      <c r="G391" s="204"/>
      <c r="H391" s="204"/>
      <c r="I391" s="204"/>
      <c r="J391" s="204"/>
      <c r="K391" s="204"/>
      <c r="L391" s="205"/>
      <c r="M391" s="205"/>
      <c r="N391" s="204"/>
      <c r="O391" s="204"/>
      <c r="P391" s="206"/>
      <c r="Q391" s="206"/>
      <c r="R391" s="206"/>
      <c r="S391" s="206"/>
      <c r="T391" s="204"/>
      <c r="U391" s="207"/>
      <c r="V391" s="204"/>
      <c r="W391" s="204"/>
      <c r="X391" s="207"/>
      <c r="Y391" s="207"/>
      <c r="Z391" s="204"/>
      <c r="AA391" s="204"/>
      <c r="AB391" s="204"/>
      <c r="AC391" s="204"/>
    </row>
    <row r="392" spans="1:29">
      <c r="A392" s="204"/>
      <c r="B392" s="204"/>
      <c r="C392" s="204"/>
      <c r="D392" s="204"/>
      <c r="E392" s="204"/>
      <c r="F392" s="204"/>
      <c r="G392" s="204"/>
      <c r="H392" s="204"/>
      <c r="I392" s="204"/>
      <c r="J392" s="204"/>
      <c r="K392" s="204"/>
      <c r="L392" s="205"/>
      <c r="M392" s="205"/>
      <c r="N392" s="204"/>
      <c r="O392" s="204"/>
      <c r="P392" s="206"/>
      <c r="Q392" s="206"/>
      <c r="R392" s="206"/>
      <c r="S392" s="206"/>
      <c r="T392" s="204"/>
      <c r="U392" s="207"/>
      <c r="V392" s="204"/>
      <c r="W392" s="204"/>
      <c r="X392" s="207"/>
      <c r="Y392" s="207"/>
      <c r="Z392" s="204"/>
      <c r="AA392" s="204"/>
      <c r="AB392" s="204"/>
      <c r="AC392" s="204"/>
    </row>
    <row r="393" spans="1:29">
      <c r="A393" s="204"/>
      <c r="B393" s="204"/>
      <c r="C393" s="204"/>
      <c r="D393" s="204"/>
      <c r="E393" s="204"/>
      <c r="F393" s="204"/>
      <c r="G393" s="204"/>
      <c r="H393" s="204"/>
      <c r="I393" s="204"/>
      <c r="J393" s="204"/>
      <c r="K393" s="204"/>
      <c r="L393" s="205"/>
      <c r="M393" s="205"/>
      <c r="N393" s="204"/>
      <c r="O393" s="204"/>
      <c r="P393" s="206"/>
      <c r="Q393" s="206"/>
      <c r="R393" s="206"/>
      <c r="S393" s="206"/>
      <c r="T393" s="204"/>
      <c r="U393" s="207"/>
      <c r="V393" s="204"/>
      <c r="W393" s="204"/>
      <c r="X393" s="207"/>
      <c r="Y393" s="207"/>
      <c r="Z393" s="204"/>
      <c r="AA393" s="204"/>
      <c r="AB393" s="204"/>
      <c r="AC393" s="204"/>
    </row>
    <row r="394" spans="1:29">
      <c r="A394" s="204"/>
      <c r="B394" s="204"/>
      <c r="C394" s="204"/>
      <c r="D394" s="204"/>
      <c r="E394" s="204"/>
      <c r="F394" s="204"/>
      <c r="G394" s="204"/>
      <c r="H394" s="204"/>
      <c r="I394" s="204"/>
      <c r="J394" s="204"/>
      <c r="K394" s="204"/>
      <c r="L394" s="205"/>
      <c r="M394" s="205"/>
      <c r="N394" s="204"/>
      <c r="O394" s="204"/>
      <c r="P394" s="206"/>
      <c r="Q394" s="206"/>
      <c r="R394" s="206"/>
      <c r="S394" s="206"/>
      <c r="T394" s="204"/>
      <c r="U394" s="207"/>
      <c r="V394" s="204"/>
      <c r="W394" s="204"/>
      <c r="X394" s="207"/>
      <c r="Y394" s="207"/>
      <c r="Z394" s="204"/>
      <c r="AA394" s="204"/>
      <c r="AB394" s="204"/>
      <c r="AC394" s="204"/>
    </row>
    <row r="395" spans="1:29">
      <c r="A395" s="204"/>
      <c r="B395" s="204"/>
      <c r="C395" s="204"/>
      <c r="D395" s="204"/>
      <c r="E395" s="204"/>
      <c r="F395" s="204"/>
      <c r="G395" s="204"/>
      <c r="H395" s="204"/>
      <c r="I395" s="204"/>
      <c r="J395" s="204"/>
      <c r="K395" s="204"/>
      <c r="L395" s="205"/>
      <c r="M395" s="205"/>
      <c r="N395" s="204"/>
      <c r="O395" s="204"/>
      <c r="P395" s="206"/>
      <c r="Q395" s="206"/>
      <c r="R395" s="206"/>
      <c r="S395" s="206"/>
      <c r="T395" s="204"/>
      <c r="U395" s="207"/>
      <c r="V395" s="204"/>
      <c r="W395" s="204"/>
      <c r="X395" s="207"/>
      <c r="Y395" s="207"/>
      <c r="Z395" s="204"/>
      <c r="AA395" s="204"/>
      <c r="AB395" s="204"/>
      <c r="AC395" s="204"/>
    </row>
    <row r="396" spans="1:29">
      <c r="A396" s="204"/>
      <c r="B396" s="204"/>
      <c r="C396" s="204"/>
      <c r="D396" s="204"/>
      <c r="E396" s="204"/>
      <c r="F396" s="204"/>
      <c r="G396" s="204"/>
      <c r="H396" s="204"/>
      <c r="I396" s="204"/>
      <c r="J396" s="204"/>
      <c r="K396" s="204"/>
      <c r="L396" s="205"/>
      <c r="M396" s="205"/>
      <c r="N396" s="204"/>
      <c r="O396" s="204"/>
      <c r="P396" s="206"/>
      <c r="Q396" s="206"/>
      <c r="R396" s="206"/>
      <c r="S396" s="206"/>
      <c r="T396" s="204"/>
      <c r="U396" s="207"/>
      <c r="V396" s="204"/>
      <c r="W396" s="204"/>
      <c r="X396" s="207"/>
      <c r="Y396" s="207"/>
      <c r="Z396" s="204"/>
      <c r="AA396" s="204"/>
      <c r="AB396" s="204"/>
      <c r="AC396" s="204"/>
    </row>
    <row r="397" spans="1:29">
      <c r="A397" s="204"/>
      <c r="B397" s="204"/>
      <c r="C397" s="204"/>
      <c r="D397" s="204"/>
      <c r="E397" s="204"/>
      <c r="F397" s="204"/>
      <c r="G397" s="204"/>
      <c r="H397" s="204"/>
      <c r="I397" s="204"/>
      <c r="J397" s="204"/>
      <c r="K397" s="204"/>
      <c r="L397" s="205"/>
      <c r="M397" s="205"/>
      <c r="N397" s="204"/>
      <c r="O397" s="204"/>
      <c r="P397" s="206"/>
      <c r="Q397" s="206"/>
      <c r="R397" s="206"/>
      <c r="S397" s="206"/>
      <c r="T397" s="204"/>
      <c r="U397" s="207"/>
      <c r="V397" s="204"/>
      <c r="W397" s="204"/>
      <c r="X397" s="207"/>
      <c r="Y397" s="207"/>
      <c r="Z397" s="204"/>
      <c r="AA397" s="204"/>
      <c r="AB397" s="204"/>
      <c r="AC397" s="204"/>
    </row>
    <row r="398" spans="1:29">
      <c r="A398" s="204"/>
      <c r="B398" s="204"/>
      <c r="C398" s="204"/>
      <c r="D398" s="204"/>
      <c r="E398" s="204"/>
      <c r="F398" s="204"/>
      <c r="G398" s="204"/>
      <c r="H398" s="204"/>
      <c r="I398" s="204"/>
      <c r="J398" s="204"/>
      <c r="K398" s="204"/>
      <c r="L398" s="205"/>
      <c r="M398" s="205"/>
      <c r="N398" s="204"/>
      <c r="O398" s="204"/>
      <c r="P398" s="206"/>
      <c r="Q398" s="206"/>
      <c r="R398" s="206"/>
      <c r="S398" s="206"/>
      <c r="T398" s="204"/>
      <c r="U398" s="207"/>
      <c r="V398" s="204"/>
      <c r="W398" s="204"/>
      <c r="X398" s="207"/>
      <c r="Y398" s="207"/>
      <c r="Z398" s="204"/>
      <c r="AA398" s="204"/>
      <c r="AB398" s="204"/>
      <c r="AC398" s="204"/>
    </row>
    <row r="399" spans="1:29">
      <c r="A399" s="204"/>
      <c r="B399" s="204"/>
      <c r="C399" s="204"/>
      <c r="D399" s="204"/>
      <c r="E399" s="204"/>
      <c r="F399" s="204"/>
      <c r="G399" s="204"/>
      <c r="H399" s="204"/>
      <c r="I399" s="204"/>
      <c r="J399" s="204"/>
      <c r="K399" s="204"/>
      <c r="L399" s="205"/>
      <c r="M399" s="205"/>
      <c r="N399" s="204"/>
      <c r="O399" s="204"/>
      <c r="P399" s="206"/>
      <c r="Q399" s="206"/>
      <c r="R399" s="206"/>
      <c r="S399" s="206"/>
      <c r="T399" s="204"/>
      <c r="U399" s="207"/>
      <c r="V399" s="204"/>
      <c r="W399" s="204"/>
      <c r="X399" s="207"/>
      <c r="Y399" s="207"/>
      <c r="Z399" s="204"/>
      <c r="AA399" s="204"/>
      <c r="AB399" s="204"/>
      <c r="AC399" s="204"/>
    </row>
    <row r="400" spans="1:29">
      <c r="A400" s="204"/>
      <c r="B400" s="204"/>
      <c r="C400" s="204"/>
      <c r="D400" s="204"/>
      <c r="E400" s="204"/>
      <c r="F400" s="204"/>
      <c r="G400" s="204"/>
      <c r="H400" s="204"/>
      <c r="I400" s="204"/>
      <c r="J400" s="204"/>
      <c r="K400" s="204"/>
      <c r="L400" s="205"/>
      <c r="M400" s="205"/>
      <c r="N400" s="204"/>
      <c r="O400" s="204"/>
      <c r="P400" s="206"/>
      <c r="Q400" s="206"/>
      <c r="R400" s="206"/>
      <c r="S400" s="206"/>
      <c r="T400" s="204"/>
      <c r="U400" s="207"/>
      <c r="V400" s="204"/>
      <c r="W400" s="204"/>
      <c r="X400" s="207"/>
      <c r="Y400" s="207"/>
      <c r="Z400" s="204"/>
      <c r="AA400" s="204"/>
      <c r="AB400" s="204"/>
      <c r="AC400" s="204"/>
    </row>
    <row r="401" spans="1:29">
      <c r="A401" s="204"/>
      <c r="B401" s="204"/>
      <c r="C401" s="204"/>
      <c r="D401" s="204"/>
      <c r="E401" s="204"/>
      <c r="F401" s="204"/>
      <c r="G401" s="204"/>
      <c r="H401" s="204"/>
      <c r="I401" s="204"/>
      <c r="J401" s="204"/>
      <c r="K401" s="204"/>
      <c r="L401" s="205"/>
      <c r="M401" s="205"/>
      <c r="N401" s="204"/>
      <c r="O401" s="204"/>
      <c r="P401" s="206"/>
      <c r="Q401" s="206"/>
      <c r="R401" s="206"/>
      <c r="S401" s="206"/>
      <c r="T401" s="204"/>
      <c r="U401" s="207"/>
      <c r="V401" s="204"/>
      <c r="W401" s="204"/>
      <c r="X401" s="207"/>
      <c r="Y401" s="207"/>
      <c r="Z401" s="204"/>
      <c r="AA401" s="204"/>
      <c r="AB401" s="204"/>
      <c r="AC401" s="204"/>
    </row>
    <row r="402" spans="1:29">
      <c r="A402" s="204"/>
      <c r="B402" s="204"/>
      <c r="C402" s="204"/>
      <c r="D402" s="204"/>
      <c r="E402" s="204"/>
      <c r="F402" s="204"/>
      <c r="G402" s="204"/>
      <c r="H402" s="204"/>
      <c r="I402" s="204"/>
      <c r="J402" s="204"/>
      <c r="K402" s="204"/>
      <c r="L402" s="205"/>
      <c r="M402" s="205"/>
      <c r="N402" s="204"/>
      <c r="O402" s="204"/>
      <c r="P402" s="206"/>
      <c r="Q402" s="206"/>
      <c r="R402" s="206"/>
      <c r="S402" s="206"/>
      <c r="T402" s="204"/>
      <c r="U402" s="207"/>
      <c r="V402" s="204"/>
      <c r="W402" s="204"/>
      <c r="X402" s="207"/>
      <c r="Y402" s="207"/>
      <c r="Z402" s="204"/>
      <c r="AA402" s="204"/>
      <c r="AB402" s="204"/>
      <c r="AC402" s="204"/>
    </row>
    <row r="403" spans="1:29">
      <c r="A403" s="204"/>
      <c r="B403" s="204"/>
      <c r="C403" s="204"/>
      <c r="D403" s="204"/>
      <c r="E403" s="204"/>
      <c r="F403" s="204"/>
      <c r="G403" s="204"/>
      <c r="H403" s="204"/>
      <c r="I403" s="204"/>
      <c r="J403" s="204"/>
      <c r="K403" s="204"/>
      <c r="L403" s="205"/>
      <c r="M403" s="205"/>
      <c r="N403" s="204"/>
      <c r="O403" s="204"/>
      <c r="P403" s="206"/>
      <c r="Q403" s="206"/>
      <c r="R403" s="206"/>
      <c r="S403" s="206"/>
      <c r="T403" s="204"/>
      <c r="U403" s="207"/>
      <c r="V403" s="204"/>
      <c r="W403" s="204"/>
      <c r="X403" s="207"/>
      <c r="Y403" s="207"/>
      <c r="Z403" s="204"/>
      <c r="AA403" s="204"/>
      <c r="AB403" s="204"/>
      <c r="AC403" s="204"/>
    </row>
    <row r="404" spans="1:29">
      <c r="A404" s="204"/>
      <c r="B404" s="204"/>
      <c r="C404" s="204"/>
      <c r="D404" s="204"/>
      <c r="E404" s="204"/>
      <c r="F404" s="204"/>
      <c r="G404" s="204"/>
      <c r="H404" s="204"/>
      <c r="I404" s="204"/>
      <c r="J404" s="204"/>
      <c r="K404" s="204"/>
      <c r="L404" s="205"/>
      <c r="M404" s="205"/>
      <c r="N404" s="204"/>
      <c r="O404" s="204"/>
      <c r="P404" s="206"/>
      <c r="Q404" s="206"/>
      <c r="R404" s="206"/>
      <c r="S404" s="206"/>
      <c r="T404" s="204"/>
      <c r="U404" s="207"/>
      <c r="V404" s="204"/>
      <c r="W404" s="204"/>
      <c r="X404" s="207"/>
      <c r="Y404" s="207"/>
      <c r="Z404" s="204"/>
      <c r="AA404" s="204"/>
      <c r="AB404" s="204"/>
      <c r="AC404" s="204"/>
    </row>
    <row r="405" spans="1:29">
      <c r="A405" s="204"/>
      <c r="B405" s="204"/>
      <c r="C405" s="204"/>
      <c r="D405" s="204"/>
      <c r="E405" s="204"/>
      <c r="F405" s="204"/>
      <c r="G405" s="204"/>
      <c r="H405" s="204"/>
      <c r="I405" s="204"/>
      <c r="J405" s="204"/>
      <c r="K405" s="204"/>
      <c r="L405" s="205"/>
      <c r="M405" s="205"/>
      <c r="N405" s="204"/>
      <c r="O405" s="204"/>
      <c r="P405" s="206"/>
      <c r="Q405" s="206"/>
      <c r="R405" s="206"/>
      <c r="S405" s="206"/>
      <c r="T405" s="204"/>
      <c r="U405" s="207"/>
      <c r="V405" s="204"/>
      <c r="W405" s="204"/>
      <c r="X405" s="207"/>
      <c r="Y405" s="207"/>
      <c r="Z405" s="204"/>
      <c r="AA405" s="204"/>
      <c r="AB405" s="204"/>
      <c r="AC405" s="204"/>
    </row>
    <row r="406" spans="1:29">
      <c r="A406" s="204"/>
      <c r="B406" s="204"/>
      <c r="C406" s="204"/>
      <c r="D406" s="204"/>
      <c r="E406" s="204"/>
      <c r="F406" s="204"/>
      <c r="G406" s="204"/>
      <c r="H406" s="204"/>
      <c r="I406" s="204"/>
      <c r="J406" s="204"/>
      <c r="K406" s="204"/>
      <c r="L406" s="205"/>
      <c r="M406" s="205"/>
      <c r="N406" s="204"/>
      <c r="O406" s="204"/>
      <c r="P406" s="206"/>
      <c r="Q406" s="206"/>
      <c r="R406" s="206"/>
      <c r="S406" s="206"/>
      <c r="T406" s="204"/>
      <c r="U406" s="207"/>
      <c r="V406" s="204"/>
      <c r="W406" s="204"/>
      <c r="X406" s="207"/>
      <c r="Y406" s="207"/>
      <c r="Z406" s="204"/>
      <c r="AA406" s="204"/>
      <c r="AB406" s="204"/>
      <c r="AC406" s="204"/>
    </row>
    <row r="407" spans="1:29">
      <c r="A407" s="204"/>
      <c r="B407" s="204"/>
      <c r="C407" s="204"/>
      <c r="D407" s="204"/>
      <c r="E407" s="204"/>
      <c r="F407" s="204"/>
      <c r="G407" s="204"/>
      <c r="H407" s="204"/>
      <c r="I407" s="204"/>
      <c r="J407" s="204"/>
      <c r="K407" s="204"/>
      <c r="L407" s="205"/>
      <c r="M407" s="205"/>
      <c r="N407" s="204"/>
      <c r="O407" s="204"/>
      <c r="P407" s="206"/>
      <c r="Q407" s="206"/>
      <c r="R407" s="206"/>
      <c r="S407" s="206"/>
      <c r="T407" s="204"/>
      <c r="U407" s="207"/>
      <c r="V407" s="204"/>
      <c r="W407" s="204"/>
      <c r="X407" s="207"/>
      <c r="Y407" s="207"/>
      <c r="Z407" s="204"/>
      <c r="AA407" s="204"/>
      <c r="AB407" s="204"/>
      <c r="AC407" s="204"/>
    </row>
    <row r="408" spans="1:29">
      <c r="A408" s="204"/>
      <c r="B408" s="204"/>
      <c r="C408" s="204"/>
      <c r="D408" s="204"/>
      <c r="E408" s="204"/>
      <c r="F408" s="204"/>
      <c r="G408" s="204"/>
      <c r="H408" s="204"/>
      <c r="I408" s="204"/>
      <c r="J408" s="204"/>
      <c r="K408" s="204"/>
      <c r="L408" s="205"/>
      <c r="M408" s="205"/>
      <c r="N408" s="204"/>
      <c r="O408" s="204"/>
      <c r="P408" s="206"/>
      <c r="Q408" s="206"/>
      <c r="R408" s="206"/>
      <c r="S408" s="206"/>
      <c r="T408" s="204"/>
      <c r="U408" s="207"/>
      <c r="V408" s="204"/>
      <c r="W408" s="204"/>
      <c r="X408" s="207"/>
      <c r="Y408" s="207"/>
      <c r="Z408" s="204"/>
      <c r="AA408" s="204"/>
      <c r="AB408" s="204"/>
      <c r="AC408" s="204"/>
    </row>
    <row r="409" spans="1:29">
      <c r="A409" s="204"/>
      <c r="B409" s="204"/>
      <c r="C409" s="204"/>
      <c r="D409" s="204"/>
      <c r="E409" s="204"/>
      <c r="F409" s="204"/>
      <c r="G409" s="204"/>
      <c r="H409" s="204"/>
      <c r="I409" s="204"/>
      <c r="J409" s="204"/>
      <c r="K409" s="204"/>
      <c r="L409" s="205"/>
      <c r="M409" s="205"/>
      <c r="N409" s="204"/>
      <c r="O409" s="204"/>
      <c r="P409" s="206"/>
      <c r="Q409" s="206"/>
      <c r="R409" s="206"/>
      <c r="S409" s="206"/>
      <c r="T409" s="204"/>
      <c r="U409" s="207"/>
      <c r="V409" s="204"/>
      <c r="W409" s="204"/>
      <c r="X409" s="207"/>
      <c r="Y409" s="207"/>
      <c r="Z409" s="204"/>
      <c r="AA409" s="204"/>
      <c r="AB409" s="204"/>
      <c r="AC409" s="204"/>
    </row>
    <row r="410" spans="1:29">
      <c r="A410" s="204"/>
      <c r="B410" s="204"/>
      <c r="C410" s="204"/>
      <c r="D410" s="204"/>
      <c r="E410" s="204"/>
      <c r="F410" s="204"/>
      <c r="G410" s="204"/>
      <c r="H410" s="204"/>
      <c r="I410" s="204"/>
      <c r="J410" s="204"/>
      <c r="K410" s="204"/>
      <c r="L410" s="205"/>
      <c r="M410" s="205"/>
      <c r="N410" s="204"/>
      <c r="O410" s="204"/>
      <c r="P410" s="206"/>
      <c r="Q410" s="206"/>
      <c r="R410" s="206"/>
      <c r="S410" s="206"/>
      <c r="T410" s="204"/>
      <c r="U410" s="207"/>
      <c r="V410" s="204"/>
      <c r="W410" s="204"/>
      <c r="X410" s="207"/>
      <c r="Y410" s="207"/>
      <c r="Z410" s="204"/>
      <c r="AA410" s="204"/>
      <c r="AB410" s="204"/>
      <c r="AC410" s="204"/>
    </row>
    <row r="411" spans="1:29">
      <c r="A411" s="204"/>
      <c r="B411" s="204"/>
      <c r="C411" s="204"/>
      <c r="D411" s="204"/>
      <c r="E411" s="204"/>
      <c r="F411" s="204"/>
      <c r="G411" s="204"/>
      <c r="H411" s="204"/>
      <c r="I411" s="204"/>
      <c r="J411" s="204"/>
      <c r="K411" s="204"/>
      <c r="L411" s="205"/>
      <c r="M411" s="205"/>
      <c r="N411" s="204"/>
      <c r="O411" s="204"/>
      <c r="P411" s="206"/>
      <c r="Q411" s="206"/>
      <c r="R411" s="206"/>
      <c r="S411" s="206"/>
      <c r="T411" s="204"/>
      <c r="U411" s="207"/>
      <c r="V411" s="204"/>
      <c r="W411" s="204"/>
      <c r="X411" s="207"/>
      <c r="Y411" s="207"/>
      <c r="Z411" s="204"/>
      <c r="AA411" s="204"/>
      <c r="AB411" s="204"/>
      <c r="AC411" s="204"/>
    </row>
    <row r="412" spans="1:29">
      <c r="A412" s="204"/>
      <c r="B412" s="204"/>
      <c r="C412" s="204"/>
      <c r="D412" s="204"/>
      <c r="E412" s="204"/>
      <c r="F412" s="204"/>
      <c r="G412" s="204"/>
      <c r="H412" s="204"/>
      <c r="I412" s="204"/>
      <c r="J412" s="204"/>
      <c r="K412" s="204"/>
      <c r="L412" s="205"/>
      <c r="M412" s="205"/>
      <c r="N412" s="204"/>
      <c r="O412" s="204"/>
      <c r="P412" s="206"/>
      <c r="Q412" s="206"/>
      <c r="R412" s="206"/>
      <c r="S412" s="206"/>
      <c r="T412" s="204"/>
      <c r="U412" s="207"/>
      <c r="V412" s="204"/>
      <c r="W412" s="204"/>
      <c r="X412" s="207"/>
      <c r="Y412" s="207"/>
      <c r="Z412" s="204"/>
      <c r="AA412" s="204"/>
      <c r="AB412" s="204"/>
      <c r="AC412" s="204"/>
    </row>
    <row r="413" spans="1:29">
      <c r="A413" s="204"/>
      <c r="B413" s="204"/>
      <c r="C413" s="204"/>
      <c r="D413" s="204"/>
      <c r="E413" s="204"/>
      <c r="F413" s="204"/>
      <c r="G413" s="204"/>
      <c r="H413" s="204"/>
      <c r="I413" s="204"/>
      <c r="J413" s="204"/>
      <c r="K413" s="204"/>
      <c r="L413" s="205"/>
      <c r="M413" s="205"/>
      <c r="N413" s="204"/>
      <c r="O413" s="204"/>
      <c r="P413" s="206"/>
      <c r="Q413" s="206"/>
      <c r="R413" s="206"/>
      <c r="S413" s="206"/>
      <c r="T413" s="204"/>
      <c r="U413" s="207"/>
      <c r="V413" s="204"/>
      <c r="W413" s="204"/>
      <c r="X413" s="207"/>
      <c r="Y413" s="207"/>
      <c r="Z413" s="204"/>
      <c r="AA413" s="204"/>
      <c r="AB413" s="204"/>
      <c r="AC413" s="204"/>
    </row>
    <row r="414" spans="1:29">
      <c r="A414" s="204"/>
      <c r="B414" s="204"/>
      <c r="C414" s="204"/>
      <c r="D414" s="204"/>
      <c r="E414" s="204"/>
      <c r="F414" s="204"/>
      <c r="G414" s="204"/>
      <c r="H414" s="204"/>
      <c r="I414" s="204"/>
      <c r="J414" s="204"/>
      <c r="K414" s="204"/>
      <c r="L414" s="205"/>
      <c r="M414" s="205"/>
      <c r="N414" s="204"/>
      <c r="O414" s="204"/>
      <c r="P414" s="206"/>
      <c r="Q414" s="206"/>
      <c r="R414" s="206"/>
      <c r="S414" s="206"/>
      <c r="T414" s="204"/>
      <c r="U414" s="207"/>
      <c r="V414" s="204"/>
      <c r="W414" s="204"/>
      <c r="X414" s="207"/>
      <c r="Y414" s="207"/>
      <c r="Z414" s="204"/>
      <c r="AA414" s="204"/>
      <c r="AB414" s="204"/>
      <c r="AC414" s="204"/>
    </row>
    <row r="415" spans="1:29">
      <c r="A415" s="204"/>
      <c r="B415" s="204"/>
      <c r="C415" s="204"/>
      <c r="D415" s="204"/>
      <c r="E415" s="204"/>
      <c r="F415" s="204"/>
      <c r="G415" s="204"/>
      <c r="H415" s="204"/>
      <c r="I415" s="204"/>
      <c r="J415" s="204"/>
      <c r="K415" s="204"/>
      <c r="L415" s="205"/>
      <c r="M415" s="205"/>
      <c r="N415" s="204"/>
      <c r="O415" s="204"/>
      <c r="P415" s="206"/>
      <c r="Q415" s="206"/>
      <c r="R415" s="206"/>
      <c r="S415" s="206"/>
      <c r="T415" s="204"/>
      <c r="U415" s="207"/>
      <c r="V415" s="204"/>
      <c r="W415" s="204"/>
      <c r="X415" s="207"/>
      <c r="Y415" s="207"/>
      <c r="Z415" s="204"/>
      <c r="AA415" s="204"/>
      <c r="AB415" s="204"/>
      <c r="AC415" s="204"/>
    </row>
    <row r="416" spans="1:29">
      <c r="A416" s="204"/>
      <c r="B416" s="204"/>
      <c r="C416" s="204"/>
      <c r="D416" s="204"/>
      <c r="E416" s="204"/>
      <c r="F416" s="204"/>
      <c r="G416" s="204"/>
      <c r="H416" s="204"/>
      <c r="I416" s="204"/>
      <c r="J416" s="204"/>
      <c r="K416" s="204"/>
      <c r="L416" s="205"/>
      <c r="M416" s="205"/>
      <c r="N416" s="204"/>
      <c r="O416" s="204"/>
      <c r="P416" s="206"/>
      <c r="Q416" s="206"/>
      <c r="R416" s="206"/>
      <c r="S416" s="206"/>
      <c r="T416" s="204"/>
      <c r="U416" s="207"/>
      <c r="V416" s="204"/>
      <c r="W416" s="204"/>
      <c r="X416" s="207"/>
      <c r="Y416" s="207"/>
      <c r="Z416" s="204"/>
      <c r="AA416" s="204"/>
      <c r="AB416" s="204"/>
      <c r="AC416" s="204"/>
    </row>
    <row r="417" spans="1:29">
      <c r="A417" s="204"/>
      <c r="B417" s="204"/>
      <c r="C417" s="204"/>
      <c r="D417" s="204"/>
      <c r="E417" s="204"/>
      <c r="F417" s="204"/>
      <c r="G417" s="204"/>
      <c r="H417" s="204"/>
      <c r="I417" s="204"/>
      <c r="J417" s="204"/>
      <c r="K417" s="204"/>
      <c r="L417" s="205"/>
      <c r="M417" s="205"/>
      <c r="N417" s="204"/>
      <c r="O417" s="204"/>
      <c r="P417" s="206"/>
      <c r="Q417" s="206"/>
      <c r="R417" s="206"/>
      <c r="S417" s="206"/>
      <c r="T417" s="204"/>
      <c r="U417" s="207"/>
      <c r="V417" s="204"/>
      <c r="W417" s="204"/>
      <c r="X417" s="207"/>
      <c r="Y417" s="207"/>
      <c r="Z417" s="204"/>
      <c r="AA417" s="204"/>
      <c r="AB417" s="204"/>
      <c r="AC417" s="204"/>
    </row>
    <row r="418" spans="1:29">
      <c r="A418" s="204"/>
      <c r="B418" s="204"/>
      <c r="C418" s="204"/>
      <c r="D418" s="204"/>
      <c r="E418" s="204"/>
      <c r="F418" s="204"/>
      <c r="G418" s="204"/>
      <c r="H418" s="204"/>
      <c r="I418" s="204"/>
      <c r="J418" s="204"/>
      <c r="K418" s="204"/>
      <c r="L418" s="205"/>
      <c r="M418" s="205"/>
      <c r="N418" s="204"/>
      <c r="O418" s="204"/>
      <c r="P418" s="206"/>
      <c r="Q418" s="206"/>
      <c r="R418" s="206"/>
      <c r="S418" s="206"/>
      <c r="T418" s="204"/>
      <c r="U418" s="207"/>
      <c r="V418" s="204"/>
      <c r="W418" s="204"/>
      <c r="X418" s="207"/>
      <c r="Y418" s="207"/>
      <c r="Z418" s="204"/>
      <c r="AA418" s="204"/>
      <c r="AB418" s="204"/>
      <c r="AC418" s="204"/>
    </row>
    <row r="419" spans="1:29">
      <c r="A419" s="204"/>
      <c r="B419" s="204"/>
      <c r="C419" s="204"/>
      <c r="D419" s="204"/>
      <c r="E419" s="204"/>
      <c r="F419" s="204"/>
      <c r="G419" s="204"/>
      <c r="H419" s="204"/>
      <c r="I419" s="204"/>
      <c r="J419" s="204"/>
      <c r="K419" s="204"/>
      <c r="L419" s="205"/>
      <c r="M419" s="205"/>
      <c r="N419" s="204"/>
      <c r="O419" s="204"/>
      <c r="P419" s="206"/>
      <c r="Q419" s="206"/>
      <c r="R419" s="206"/>
      <c r="S419" s="206"/>
      <c r="T419" s="204"/>
      <c r="U419" s="207"/>
      <c r="V419" s="204"/>
      <c r="W419" s="204"/>
      <c r="X419" s="207"/>
      <c r="Y419" s="207"/>
      <c r="Z419" s="204"/>
      <c r="AA419" s="204"/>
      <c r="AB419" s="204"/>
      <c r="AC419" s="204"/>
    </row>
    <row r="420" spans="1:29">
      <c r="A420" s="204"/>
      <c r="B420" s="204"/>
      <c r="C420" s="204"/>
      <c r="D420" s="204"/>
      <c r="E420" s="204"/>
      <c r="F420" s="204"/>
      <c r="G420" s="204"/>
      <c r="H420" s="204"/>
      <c r="I420" s="204"/>
      <c r="J420" s="204"/>
      <c r="K420" s="204"/>
      <c r="L420" s="205"/>
      <c r="M420" s="205"/>
      <c r="N420" s="204"/>
      <c r="O420" s="204"/>
      <c r="P420" s="206"/>
      <c r="Q420" s="206"/>
      <c r="R420" s="206"/>
      <c r="S420" s="206"/>
      <c r="T420" s="204"/>
      <c r="U420" s="207"/>
      <c r="V420" s="204"/>
      <c r="W420" s="204"/>
      <c r="X420" s="207"/>
      <c r="Y420" s="207"/>
      <c r="Z420" s="204"/>
      <c r="AA420" s="204"/>
      <c r="AB420" s="204"/>
      <c r="AC420" s="204"/>
    </row>
    <row r="421" spans="1:29">
      <c r="A421" s="204"/>
      <c r="B421" s="204"/>
      <c r="C421" s="204"/>
      <c r="D421" s="204"/>
      <c r="E421" s="204"/>
      <c r="F421" s="204"/>
      <c r="G421" s="204"/>
      <c r="H421" s="204"/>
      <c r="I421" s="204"/>
      <c r="J421" s="204"/>
      <c r="K421" s="204"/>
      <c r="L421" s="205"/>
      <c r="M421" s="205"/>
      <c r="N421" s="204"/>
      <c r="O421" s="204"/>
      <c r="P421" s="206"/>
      <c r="Q421" s="206"/>
      <c r="R421" s="206"/>
      <c r="S421" s="206"/>
      <c r="T421" s="204"/>
      <c r="U421" s="207"/>
      <c r="V421" s="204"/>
      <c r="W421" s="204"/>
      <c r="X421" s="207"/>
      <c r="Y421" s="207"/>
      <c r="Z421" s="204"/>
      <c r="AA421" s="204"/>
      <c r="AB421" s="204"/>
      <c r="AC421" s="204"/>
    </row>
    <row r="422" spans="1:29">
      <c r="A422" s="204"/>
      <c r="B422" s="204"/>
      <c r="C422" s="204"/>
      <c r="D422" s="204"/>
      <c r="E422" s="204"/>
      <c r="F422" s="204"/>
      <c r="G422" s="204"/>
      <c r="H422" s="204"/>
      <c r="I422" s="204"/>
      <c r="J422" s="204"/>
      <c r="K422" s="204"/>
      <c r="L422" s="205"/>
      <c r="M422" s="205"/>
      <c r="N422" s="204"/>
      <c r="O422" s="204"/>
      <c r="P422" s="206"/>
      <c r="Q422" s="206"/>
      <c r="R422" s="206"/>
      <c r="S422" s="206"/>
      <c r="T422" s="204"/>
      <c r="U422" s="207"/>
      <c r="V422" s="204"/>
      <c r="W422" s="204"/>
      <c r="X422" s="207"/>
      <c r="Y422" s="207"/>
      <c r="Z422" s="204"/>
      <c r="AA422" s="204"/>
      <c r="AB422" s="204"/>
      <c r="AC422" s="204"/>
    </row>
    <row r="423" spans="1:29">
      <c r="A423" s="204"/>
      <c r="B423" s="204"/>
      <c r="C423" s="204"/>
      <c r="D423" s="204"/>
      <c r="E423" s="204"/>
      <c r="F423" s="204"/>
      <c r="G423" s="204"/>
      <c r="H423" s="204"/>
      <c r="I423" s="204"/>
      <c r="J423" s="204"/>
      <c r="K423" s="204"/>
      <c r="L423" s="205"/>
      <c r="M423" s="205"/>
      <c r="N423" s="204"/>
      <c r="O423" s="204"/>
      <c r="P423" s="206"/>
      <c r="Q423" s="206"/>
      <c r="R423" s="206"/>
      <c r="S423" s="206"/>
      <c r="T423" s="204"/>
      <c r="U423" s="207"/>
      <c r="V423" s="204"/>
      <c r="W423" s="204"/>
      <c r="X423" s="207"/>
      <c r="Y423" s="207"/>
      <c r="Z423" s="204"/>
      <c r="AA423" s="204"/>
      <c r="AB423" s="204"/>
      <c r="AC423" s="204"/>
    </row>
    <row r="424" spans="1:29">
      <c r="A424" s="204"/>
      <c r="B424" s="204"/>
      <c r="C424" s="204"/>
      <c r="D424" s="204"/>
      <c r="E424" s="204"/>
      <c r="F424" s="204"/>
      <c r="G424" s="204"/>
      <c r="H424" s="204"/>
      <c r="I424" s="204"/>
      <c r="J424" s="204"/>
      <c r="K424" s="204"/>
      <c r="L424" s="205"/>
      <c r="M424" s="205"/>
      <c r="N424" s="204"/>
      <c r="O424" s="204"/>
      <c r="P424" s="206"/>
      <c r="Q424" s="206"/>
      <c r="R424" s="206"/>
      <c r="S424" s="206"/>
      <c r="T424" s="204"/>
      <c r="U424" s="207"/>
      <c r="V424" s="204"/>
      <c r="W424" s="204"/>
      <c r="X424" s="207"/>
      <c r="Y424" s="207"/>
      <c r="Z424" s="204"/>
      <c r="AA424" s="204"/>
      <c r="AB424" s="204"/>
      <c r="AC424" s="204"/>
    </row>
    <row r="425" spans="1:29">
      <c r="A425" s="204"/>
      <c r="B425" s="204"/>
      <c r="C425" s="204"/>
      <c r="D425" s="204"/>
      <c r="E425" s="204"/>
      <c r="F425" s="204"/>
      <c r="G425" s="204"/>
      <c r="H425" s="204"/>
      <c r="I425" s="204"/>
      <c r="J425" s="204"/>
      <c r="K425" s="204"/>
      <c r="L425" s="205"/>
      <c r="M425" s="205"/>
      <c r="N425" s="204"/>
      <c r="O425" s="204"/>
      <c r="P425" s="206"/>
      <c r="Q425" s="206"/>
      <c r="R425" s="206"/>
      <c r="S425" s="206"/>
      <c r="T425" s="204"/>
      <c r="U425" s="207"/>
      <c r="V425" s="204"/>
      <c r="W425" s="204"/>
      <c r="X425" s="207"/>
      <c r="Y425" s="207"/>
      <c r="Z425" s="204"/>
      <c r="AA425" s="204"/>
      <c r="AB425" s="204"/>
      <c r="AC425" s="204"/>
    </row>
    <row r="426" spans="1:29">
      <c r="A426" s="204"/>
      <c r="B426" s="204"/>
      <c r="C426" s="204"/>
      <c r="D426" s="204"/>
      <c r="E426" s="204"/>
      <c r="F426" s="204"/>
      <c r="G426" s="204"/>
      <c r="H426" s="204"/>
      <c r="I426" s="204"/>
      <c r="J426" s="204"/>
      <c r="K426" s="204"/>
      <c r="L426" s="205"/>
      <c r="M426" s="205"/>
      <c r="N426" s="204"/>
      <c r="O426" s="204"/>
      <c r="P426" s="206"/>
      <c r="Q426" s="206"/>
      <c r="R426" s="206"/>
      <c r="S426" s="206"/>
      <c r="T426" s="204"/>
      <c r="U426" s="207"/>
      <c r="V426" s="204"/>
      <c r="W426" s="204"/>
      <c r="X426" s="207"/>
      <c r="Y426" s="207"/>
      <c r="Z426" s="204"/>
      <c r="AA426" s="204"/>
      <c r="AB426" s="204"/>
      <c r="AC426" s="204"/>
    </row>
    <row r="427" spans="1:29">
      <c r="A427" s="204"/>
      <c r="B427" s="204"/>
      <c r="C427" s="204"/>
      <c r="D427" s="204"/>
      <c r="E427" s="204"/>
      <c r="F427" s="204"/>
      <c r="G427" s="204"/>
      <c r="H427" s="204"/>
      <c r="I427" s="204"/>
      <c r="J427" s="204"/>
      <c r="K427" s="204"/>
      <c r="L427" s="205"/>
      <c r="M427" s="205"/>
      <c r="N427" s="204"/>
      <c r="O427" s="204"/>
      <c r="P427" s="206"/>
      <c r="Q427" s="206"/>
      <c r="R427" s="206"/>
      <c r="S427" s="206"/>
      <c r="T427" s="204"/>
      <c r="U427" s="207"/>
      <c r="V427" s="204"/>
      <c r="W427" s="204"/>
      <c r="X427" s="207"/>
      <c r="Y427" s="207"/>
      <c r="Z427" s="204"/>
      <c r="AA427" s="204"/>
      <c r="AB427" s="204"/>
      <c r="AC427" s="204"/>
    </row>
    <row r="428" spans="1:29">
      <c r="A428" s="204"/>
      <c r="B428" s="204"/>
      <c r="C428" s="204"/>
      <c r="D428" s="204"/>
      <c r="E428" s="204"/>
      <c r="F428" s="204"/>
      <c r="G428" s="204"/>
      <c r="H428" s="204"/>
      <c r="I428" s="204"/>
      <c r="J428" s="204"/>
      <c r="K428" s="204"/>
      <c r="L428" s="205"/>
      <c r="M428" s="205"/>
      <c r="N428" s="204"/>
      <c r="O428" s="204"/>
      <c r="P428" s="206"/>
      <c r="Q428" s="206"/>
      <c r="R428" s="206"/>
      <c r="S428" s="206"/>
      <c r="T428" s="204"/>
      <c r="U428" s="207"/>
      <c r="V428" s="204"/>
      <c r="W428" s="204"/>
      <c r="X428" s="207"/>
      <c r="Y428" s="207"/>
      <c r="Z428" s="204"/>
      <c r="AA428" s="204"/>
      <c r="AB428" s="204"/>
      <c r="AC428" s="204"/>
    </row>
    <row r="429" spans="1:29">
      <c r="A429" s="204"/>
      <c r="B429" s="204"/>
      <c r="C429" s="204"/>
      <c r="D429" s="204"/>
      <c r="E429" s="204"/>
      <c r="F429" s="204"/>
      <c r="G429" s="204"/>
      <c r="H429" s="204"/>
      <c r="I429" s="204"/>
      <c r="J429" s="204"/>
      <c r="K429" s="204"/>
      <c r="L429" s="205"/>
      <c r="M429" s="205"/>
      <c r="N429" s="204"/>
      <c r="O429" s="204"/>
      <c r="P429" s="206"/>
      <c r="Q429" s="206"/>
      <c r="R429" s="206"/>
      <c r="S429" s="206"/>
      <c r="T429" s="204"/>
      <c r="U429" s="207"/>
      <c r="V429" s="204"/>
      <c r="W429" s="204"/>
      <c r="X429" s="207"/>
      <c r="Y429" s="207"/>
      <c r="Z429" s="204"/>
      <c r="AA429" s="204"/>
      <c r="AB429" s="204"/>
      <c r="AC429" s="204"/>
    </row>
    <row r="430" spans="1:29">
      <c r="A430" s="204"/>
      <c r="B430" s="204"/>
      <c r="C430" s="204"/>
      <c r="D430" s="204"/>
      <c r="E430" s="204"/>
      <c r="F430" s="204"/>
      <c r="G430" s="204"/>
      <c r="H430" s="204"/>
      <c r="I430" s="204"/>
      <c r="J430" s="204"/>
      <c r="K430" s="204"/>
      <c r="L430" s="205"/>
      <c r="M430" s="205"/>
      <c r="N430" s="204"/>
      <c r="O430" s="204"/>
      <c r="P430" s="206"/>
      <c r="Q430" s="206"/>
      <c r="R430" s="206"/>
      <c r="S430" s="206"/>
      <c r="T430" s="204"/>
      <c r="U430" s="207"/>
      <c r="V430" s="204"/>
      <c r="W430" s="204"/>
      <c r="X430" s="207"/>
      <c r="Y430" s="207"/>
      <c r="Z430" s="204"/>
      <c r="AA430" s="204"/>
      <c r="AB430" s="204"/>
      <c r="AC430" s="204"/>
    </row>
    <row r="431" spans="1:29">
      <c r="A431" s="204"/>
      <c r="B431" s="204"/>
      <c r="C431" s="204"/>
      <c r="D431" s="204"/>
      <c r="E431" s="204"/>
      <c r="F431" s="204"/>
      <c r="G431" s="204"/>
      <c r="H431" s="204"/>
      <c r="I431" s="204"/>
      <c r="J431" s="204"/>
      <c r="K431" s="204"/>
      <c r="L431" s="205"/>
      <c r="M431" s="205"/>
      <c r="N431" s="204"/>
      <c r="O431" s="204"/>
      <c r="P431" s="206"/>
      <c r="Q431" s="206"/>
      <c r="R431" s="206"/>
      <c r="S431" s="206"/>
      <c r="T431" s="204"/>
      <c r="U431" s="207"/>
      <c r="V431" s="204"/>
      <c r="W431" s="204"/>
      <c r="X431" s="207"/>
      <c r="Y431" s="207"/>
      <c r="Z431" s="204"/>
      <c r="AA431" s="204"/>
      <c r="AB431" s="204"/>
      <c r="AC431" s="204"/>
    </row>
    <row r="432" spans="1:29">
      <c r="A432" s="204"/>
      <c r="B432" s="204"/>
      <c r="C432" s="204"/>
      <c r="D432" s="204"/>
      <c r="E432" s="204"/>
      <c r="F432" s="204"/>
      <c r="G432" s="204"/>
      <c r="H432" s="204"/>
      <c r="I432" s="204"/>
      <c r="J432" s="204"/>
      <c r="K432" s="204"/>
      <c r="L432" s="205"/>
      <c r="M432" s="205"/>
      <c r="N432" s="204"/>
      <c r="O432" s="204"/>
      <c r="P432" s="206"/>
      <c r="Q432" s="206"/>
      <c r="R432" s="206"/>
      <c r="S432" s="206"/>
      <c r="T432" s="204"/>
      <c r="U432" s="207"/>
      <c r="V432" s="204"/>
      <c r="W432" s="204"/>
      <c r="X432" s="207"/>
      <c r="Y432" s="207"/>
      <c r="Z432" s="204"/>
      <c r="AA432" s="204"/>
      <c r="AB432" s="204"/>
      <c r="AC432" s="204"/>
    </row>
    <row r="433" spans="1:29">
      <c r="A433" s="204"/>
      <c r="B433" s="204"/>
      <c r="C433" s="204"/>
      <c r="D433" s="204"/>
      <c r="E433" s="204"/>
      <c r="F433" s="204"/>
      <c r="G433" s="204"/>
      <c r="H433" s="204"/>
      <c r="I433" s="204"/>
      <c r="J433" s="204"/>
      <c r="K433" s="204"/>
      <c r="L433" s="205"/>
      <c r="M433" s="205"/>
      <c r="N433" s="204"/>
      <c r="O433" s="204"/>
      <c r="P433" s="206"/>
      <c r="Q433" s="206"/>
      <c r="R433" s="206"/>
      <c r="S433" s="206"/>
      <c r="T433" s="204"/>
      <c r="U433" s="207"/>
      <c r="V433" s="204"/>
      <c r="W433" s="204"/>
      <c r="X433" s="207"/>
      <c r="Y433" s="207"/>
      <c r="Z433" s="204"/>
      <c r="AA433" s="204"/>
      <c r="AB433" s="204"/>
      <c r="AC433" s="204"/>
    </row>
    <row r="434" spans="1:29">
      <c r="A434" s="204"/>
      <c r="B434" s="204"/>
      <c r="C434" s="204"/>
      <c r="D434" s="204"/>
      <c r="E434" s="204"/>
      <c r="F434" s="204"/>
      <c r="G434" s="204"/>
      <c r="H434" s="204"/>
      <c r="I434" s="204"/>
      <c r="J434" s="204"/>
      <c r="K434" s="204"/>
      <c r="L434" s="205"/>
      <c r="M434" s="205"/>
      <c r="N434" s="204"/>
      <c r="O434" s="204"/>
      <c r="P434" s="206"/>
      <c r="Q434" s="206"/>
      <c r="R434" s="206"/>
      <c r="S434" s="206"/>
      <c r="T434" s="204"/>
      <c r="U434" s="207"/>
      <c r="V434" s="204"/>
      <c r="W434" s="204"/>
      <c r="X434" s="207"/>
      <c r="Y434" s="207"/>
      <c r="Z434" s="204"/>
      <c r="AA434" s="204"/>
      <c r="AB434" s="204"/>
      <c r="AC434" s="204"/>
    </row>
    <row r="435" spans="1:29">
      <c r="A435" s="204"/>
      <c r="B435" s="204"/>
      <c r="C435" s="204"/>
      <c r="D435" s="204"/>
      <c r="E435" s="204"/>
      <c r="F435" s="204"/>
      <c r="G435" s="204"/>
      <c r="H435" s="204"/>
      <c r="I435" s="204"/>
      <c r="J435" s="204"/>
      <c r="K435" s="204"/>
      <c r="L435" s="205"/>
      <c r="M435" s="205"/>
      <c r="N435" s="204"/>
      <c r="O435" s="204"/>
      <c r="P435" s="206"/>
      <c r="Q435" s="206"/>
      <c r="R435" s="206"/>
      <c r="S435" s="206"/>
      <c r="T435" s="204"/>
      <c r="U435" s="207"/>
      <c r="V435" s="204"/>
      <c r="W435" s="204"/>
      <c r="X435" s="207"/>
      <c r="Y435" s="207"/>
      <c r="Z435" s="204"/>
      <c r="AA435" s="204"/>
      <c r="AB435" s="204"/>
      <c r="AC435" s="204"/>
    </row>
    <row r="436" spans="1:29">
      <c r="A436" s="204"/>
      <c r="B436" s="204"/>
      <c r="C436" s="204"/>
      <c r="D436" s="204"/>
      <c r="E436" s="204"/>
      <c r="F436" s="204"/>
      <c r="G436" s="204"/>
      <c r="H436" s="204"/>
      <c r="I436" s="204"/>
      <c r="J436" s="204"/>
      <c r="K436" s="204"/>
      <c r="L436" s="205"/>
      <c r="M436" s="205"/>
      <c r="N436" s="204"/>
      <c r="O436" s="204"/>
      <c r="P436" s="206"/>
      <c r="Q436" s="206"/>
      <c r="R436" s="206"/>
      <c r="S436" s="206"/>
      <c r="T436" s="204"/>
      <c r="U436" s="207"/>
      <c r="V436" s="204"/>
      <c r="W436" s="204"/>
      <c r="X436" s="207"/>
      <c r="Y436" s="207"/>
      <c r="Z436" s="204"/>
      <c r="AA436" s="204"/>
      <c r="AB436" s="204"/>
      <c r="AC436" s="204"/>
    </row>
    <row r="437" spans="1:29">
      <c r="A437" s="204"/>
      <c r="B437" s="204"/>
      <c r="C437" s="204"/>
      <c r="D437" s="204"/>
      <c r="E437" s="204"/>
      <c r="F437" s="204"/>
      <c r="G437" s="204"/>
      <c r="H437" s="204"/>
      <c r="I437" s="204"/>
      <c r="J437" s="204"/>
      <c r="K437" s="204"/>
      <c r="L437" s="205"/>
      <c r="M437" s="205"/>
      <c r="N437" s="204"/>
      <c r="O437" s="204"/>
      <c r="P437" s="206"/>
      <c r="Q437" s="206"/>
      <c r="R437" s="206"/>
      <c r="S437" s="206"/>
      <c r="T437" s="204"/>
      <c r="U437" s="207"/>
      <c r="V437" s="204"/>
      <c r="W437" s="204"/>
      <c r="X437" s="207"/>
      <c r="Y437" s="207"/>
      <c r="Z437" s="204"/>
      <c r="AA437" s="204"/>
      <c r="AB437" s="204"/>
      <c r="AC437" s="204"/>
    </row>
    <row r="438" spans="1:29">
      <c r="A438" s="204"/>
      <c r="B438" s="204"/>
      <c r="C438" s="204"/>
      <c r="D438" s="204"/>
      <c r="E438" s="204"/>
      <c r="F438" s="204"/>
      <c r="G438" s="204"/>
      <c r="H438" s="204"/>
      <c r="I438" s="204"/>
      <c r="J438" s="204"/>
      <c r="K438" s="204"/>
      <c r="L438" s="205"/>
      <c r="M438" s="205"/>
      <c r="N438" s="204"/>
      <c r="O438" s="204"/>
      <c r="P438" s="206"/>
      <c r="Q438" s="206"/>
      <c r="R438" s="206"/>
      <c r="S438" s="206"/>
      <c r="T438" s="204"/>
      <c r="U438" s="207"/>
      <c r="V438" s="204"/>
      <c r="W438" s="204"/>
      <c r="X438" s="207"/>
      <c r="Y438" s="207"/>
      <c r="Z438" s="204"/>
      <c r="AA438" s="204"/>
      <c r="AB438" s="204"/>
      <c r="AC438" s="204"/>
    </row>
    <row r="439" spans="1:29">
      <c r="A439" s="204"/>
      <c r="B439" s="204"/>
      <c r="C439" s="204"/>
      <c r="D439" s="204"/>
      <c r="E439" s="204"/>
      <c r="F439" s="204"/>
      <c r="G439" s="204"/>
      <c r="H439" s="204"/>
      <c r="I439" s="204"/>
      <c r="J439" s="204"/>
      <c r="K439" s="204"/>
      <c r="L439" s="205"/>
      <c r="M439" s="205"/>
      <c r="N439" s="204"/>
      <c r="O439" s="204"/>
      <c r="P439" s="206"/>
      <c r="Q439" s="206"/>
      <c r="R439" s="206"/>
      <c r="S439" s="206"/>
      <c r="T439" s="204"/>
      <c r="U439" s="207"/>
      <c r="V439" s="204"/>
      <c r="W439" s="204"/>
      <c r="X439" s="207"/>
      <c r="Y439" s="207"/>
      <c r="Z439" s="204"/>
      <c r="AA439" s="204"/>
      <c r="AB439" s="204"/>
      <c r="AC439" s="204"/>
    </row>
    <row r="440" spans="1:29">
      <c r="A440" s="204"/>
      <c r="B440" s="204"/>
      <c r="C440" s="204"/>
      <c r="D440" s="204"/>
      <c r="E440" s="204"/>
      <c r="F440" s="204"/>
      <c r="G440" s="204"/>
      <c r="H440" s="204"/>
      <c r="I440" s="204"/>
      <c r="J440" s="204"/>
      <c r="K440" s="204"/>
      <c r="L440" s="205"/>
      <c r="M440" s="205"/>
      <c r="N440" s="204"/>
      <c r="O440" s="204"/>
      <c r="P440" s="206"/>
      <c r="Q440" s="206"/>
      <c r="R440" s="206"/>
      <c r="S440" s="206"/>
      <c r="T440" s="204"/>
      <c r="U440" s="207"/>
      <c r="V440" s="204"/>
      <c r="W440" s="204"/>
      <c r="X440" s="207"/>
      <c r="Y440" s="207"/>
      <c r="Z440" s="204"/>
      <c r="AA440" s="204"/>
      <c r="AB440" s="204"/>
      <c r="AC440" s="204"/>
    </row>
    <row r="441" spans="1:29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5"/>
      <c r="M441" s="205"/>
      <c r="N441" s="204"/>
      <c r="O441" s="204"/>
      <c r="P441" s="206"/>
      <c r="Q441" s="206"/>
      <c r="R441" s="206"/>
      <c r="S441" s="206"/>
      <c r="T441" s="204"/>
      <c r="U441" s="207"/>
      <c r="V441" s="204"/>
      <c r="W441" s="204"/>
      <c r="X441" s="207"/>
      <c r="Y441" s="207"/>
      <c r="Z441" s="204"/>
      <c r="AA441" s="204"/>
      <c r="AB441" s="204"/>
      <c r="AC441" s="204"/>
    </row>
    <row r="442" spans="1:29">
      <c r="A442" s="204"/>
      <c r="B442" s="204"/>
      <c r="C442" s="204"/>
      <c r="D442" s="204"/>
      <c r="E442" s="204"/>
      <c r="F442" s="204"/>
      <c r="G442" s="204"/>
      <c r="H442" s="204"/>
      <c r="I442" s="204"/>
      <c r="J442" s="204"/>
      <c r="K442" s="204"/>
      <c r="L442" s="205"/>
      <c r="M442" s="205"/>
      <c r="N442" s="204"/>
      <c r="O442" s="204"/>
      <c r="P442" s="206"/>
      <c r="Q442" s="206"/>
      <c r="R442" s="206"/>
      <c r="S442" s="206"/>
      <c r="T442" s="204"/>
      <c r="U442" s="207"/>
      <c r="V442" s="204"/>
      <c r="W442" s="204"/>
      <c r="X442" s="207"/>
      <c r="Y442" s="207"/>
      <c r="Z442" s="204"/>
      <c r="AA442" s="204"/>
      <c r="AB442" s="204"/>
      <c r="AC442" s="204"/>
    </row>
    <row r="443" spans="1:29">
      <c r="A443" s="204"/>
      <c r="B443" s="204"/>
      <c r="C443" s="204"/>
      <c r="D443" s="204"/>
      <c r="E443" s="204"/>
      <c r="F443" s="204"/>
      <c r="G443" s="204"/>
      <c r="H443" s="204"/>
      <c r="I443" s="204"/>
      <c r="J443" s="204"/>
      <c r="K443" s="204"/>
      <c r="L443" s="205"/>
      <c r="M443" s="205"/>
      <c r="N443" s="204"/>
      <c r="O443" s="204"/>
      <c r="P443" s="206"/>
      <c r="Q443" s="206"/>
      <c r="R443" s="206"/>
      <c r="S443" s="206"/>
      <c r="T443" s="204"/>
      <c r="U443" s="207"/>
      <c r="V443" s="204"/>
      <c r="W443" s="204"/>
      <c r="X443" s="207"/>
      <c r="Y443" s="207"/>
      <c r="Z443" s="204"/>
      <c r="AA443" s="204"/>
      <c r="AB443" s="204"/>
      <c r="AC443" s="204"/>
    </row>
    <row r="444" spans="1:29">
      <c r="A444" s="204"/>
      <c r="B444" s="204"/>
      <c r="C444" s="204"/>
      <c r="D444" s="204"/>
      <c r="E444" s="204"/>
      <c r="F444" s="204"/>
      <c r="G444" s="204"/>
      <c r="H444" s="204"/>
      <c r="I444" s="204"/>
      <c r="J444" s="204"/>
      <c r="K444" s="204"/>
      <c r="L444" s="205"/>
      <c r="M444" s="205"/>
      <c r="N444" s="204"/>
      <c r="O444" s="204"/>
      <c r="P444" s="206"/>
      <c r="Q444" s="206"/>
      <c r="R444" s="206"/>
      <c r="S444" s="206"/>
      <c r="T444" s="204"/>
      <c r="U444" s="207"/>
      <c r="V444" s="204"/>
      <c r="W444" s="204"/>
      <c r="X444" s="207"/>
      <c r="Y444" s="207"/>
      <c r="Z444" s="204"/>
      <c r="AA444" s="204"/>
      <c r="AB444" s="204"/>
      <c r="AC444" s="204"/>
    </row>
    <row r="445" spans="1:29">
      <c r="A445" s="204"/>
      <c r="B445" s="204"/>
      <c r="C445" s="204"/>
      <c r="D445" s="204"/>
      <c r="E445" s="204"/>
      <c r="F445" s="204"/>
      <c r="G445" s="204"/>
      <c r="H445" s="204"/>
      <c r="I445" s="204"/>
      <c r="J445" s="204"/>
      <c r="K445" s="204"/>
      <c r="L445" s="205"/>
      <c r="M445" s="205"/>
      <c r="N445" s="204"/>
      <c r="O445" s="204"/>
      <c r="P445" s="206"/>
      <c r="Q445" s="206"/>
      <c r="R445" s="206"/>
      <c r="S445" s="206"/>
      <c r="T445" s="204"/>
      <c r="U445" s="207"/>
      <c r="V445" s="204"/>
      <c r="W445" s="204"/>
      <c r="X445" s="207"/>
      <c r="Y445" s="207"/>
      <c r="Z445" s="204"/>
      <c r="AA445" s="204"/>
      <c r="AB445" s="204"/>
      <c r="AC445" s="204"/>
    </row>
    <row r="446" spans="1:29">
      <c r="A446" s="204"/>
      <c r="B446" s="204"/>
      <c r="C446" s="204"/>
      <c r="D446" s="204"/>
      <c r="E446" s="204"/>
      <c r="F446" s="204"/>
      <c r="G446" s="204"/>
      <c r="H446" s="204"/>
      <c r="I446" s="204"/>
      <c r="J446" s="204"/>
      <c r="K446" s="204"/>
      <c r="L446" s="205"/>
      <c r="M446" s="205"/>
      <c r="N446" s="204"/>
      <c r="O446" s="204"/>
      <c r="P446" s="206"/>
      <c r="Q446" s="206"/>
      <c r="R446" s="206"/>
      <c r="S446" s="206"/>
      <c r="T446" s="204"/>
      <c r="U446" s="207"/>
      <c r="V446" s="204"/>
      <c r="W446" s="204"/>
      <c r="X446" s="207"/>
      <c r="Y446" s="207"/>
      <c r="Z446" s="204"/>
      <c r="AA446" s="204"/>
      <c r="AB446" s="204"/>
      <c r="AC446" s="204"/>
    </row>
    <row r="447" spans="1:29">
      <c r="A447" s="204"/>
      <c r="B447" s="204"/>
      <c r="C447" s="204"/>
      <c r="D447" s="204"/>
      <c r="E447" s="204"/>
      <c r="F447" s="204"/>
      <c r="G447" s="204"/>
      <c r="H447" s="204"/>
      <c r="I447" s="204"/>
      <c r="J447" s="204"/>
      <c r="K447" s="204"/>
      <c r="L447" s="205"/>
      <c r="M447" s="205"/>
      <c r="N447" s="204"/>
      <c r="O447" s="204"/>
      <c r="P447" s="206"/>
      <c r="Q447" s="206"/>
      <c r="R447" s="206"/>
      <c r="S447" s="206"/>
      <c r="T447" s="204"/>
      <c r="U447" s="207"/>
      <c r="V447" s="204"/>
      <c r="W447" s="204"/>
      <c r="X447" s="207"/>
      <c r="Y447" s="207"/>
      <c r="Z447" s="204"/>
      <c r="AA447" s="204"/>
      <c r="AB447" s="204"/>
      <c r="AC447" s="204"/>
    </row>
    <row r="448" spans="1:29">
      <c r="A448" s="204"/>
      <c r="B448" s="204"/>
      <c r="C448" s="204"/>
      <c r="D448" s="204"/>
      <c r="E448" s="204"/>
      <c r="F448" s="204"/>
      <c r="G448" s="204"/>
      <c r="H448" s="204"/>
      <c r="I448" s="204"/>
      <c r="J448" s="204"/>
      <c r="K448" s="204"/>
      <c r="L448" s="205"/>
      <c r="M448" s="205"/>
      <c r="N448" s="204"/>
      <c r="O448" s="204"/>
      <c r="P448" s="206"/>
      <c r="Q448" s="206"/>
      <c r="R448" s="206"/>
      <c r="S448" s="206"/>
      <c r="T448" s="204"/>
      <c r="U448" s="207"/>
      <c r="V448" s="204"/>
      <c r="W448" s="204"/>
      <c r="X448" s="207"/>
      <c r="Y448" s="207"/>
      <c r="Z448" s="204"/>
      <c r="AA448" s="204"/>
      <c r="AB448" s="204"/>
      <c r="AC448" s="204"/>
    </row>
    <row r="449" spans="1:29">
      <c r="A449" s="204"/>
      <c r="B449" s="204"/>
      <c r="C449" s="204"/>
      <c r="D449" s="204"/>
      <c r="E449" s="204"/>
      <c r="F449" s="204"/>
      <c r="G449" s="204"/>
      <c r="H449" s="204"/>
      <c r="I449" s="204"/>
      <c r="J449" s="204"/>
      <c r="K449" s="204"/>
      <c r="L449" s="205"/>
      <c r="M449" s="205"/>
      <c r="N449" s="204"/>
      <c r="O449" s="204"/>
      <c r="P449" s="206"/>
      <c r="Q449" s="206"/>
      <c r="R449" s="206"/>
      <c r="S449" s="206"/>
      <c r="T449" s="204"/>
      <c r="U449" s="207"/>
      <c r="V449" s="204"/>
      <c r="W449" s="204"/>
      <c r="X449" s="207"/>
      <c r="Y449" s="207"/>
      <c r="Z449" s="204"/>
      <c r="AA449" s="204"/>
      <c r="AB449" s="204"/>
      <c r="AC449" s="204"/>
    </row>
    <row r="450" spans="1:29">
      <c r="A450" s="204"/>
      <c r="B450" s="204"/>
      <c r="C450" s="204"/>
      <c r="D450" s="204"/>
      <c r="E450" s="204"/>
      <c r="F450" s="204"/>
      <c r="G450" s="204"/>
      <c r="H450" s="204"/>
      <c r="I450" s="204"/>
      <c r="J450" s="204"/>
      <c r="K450" s="204"/>
      <c r="L450" s="205"/>
      <c r="M450" s="205"/>
      <c r="N450" s="204"/>
      <c r="O450" s="204"/>
      <c r="P450" s="206"/>
      <c r="Q450" s="206"/>
      <c r="R450" s="206"/>
      <c r="S450" s="206"/>
      <c r="T450" s="204"/>
      <c r="U450" s="207"/>
      <c r="V450" s="204"/>
      <c r="W450" s="204"/>
      <c r="X450" s="207"/>
      <c r="Y450" s="207"/>
      <c r="Z450" s="204"/>
      <c r="AA450" s="204"/>
      <c r="AB450" s="204"/>
      <c r="AC450" s="204"/>
    </row>
    <row r="451" spans="1:29">
      <c r="A451" s="204"/>
      <c r="B451" s="204"/>
      <c r="C451" s="204"/>
      <c r="D451" s="204"/>
      <c r="E451" s="204"/>
      <c r="F451" s="204"/>
      <c r="G451" s="204"/>
      <c r="H451" s="204"/>
      <c r="I451" s="204"/>
      <c r="J451" s="204"/>
      <c r="K451" s="204"/>
      <c r="L451" s="205"/>
      <c r="M451" s="205"/>
      <c r="N451" s="204"/>
      <c r="O451" s="204"/>
      <c r="P451" s="206"/>
      <c r="Q451" s="206"/>
      <c r="R451" s="206"/>
      <c r="S451" s="206"/>
      <c r="T451" s="204"/>
      <c r="U451" s="207"/>
      <c r="V451" s="204"/>
      <c r="W451" s="204"/>
      <c r="X451" s="207"/>
      <c r="Y451" s="207"/>
      <c r="Z451" s="204"/>
      <c r="AA451" s="204"/>
      <c r="AB451" s="204"/>
      <c r="AC451" s="204"/>
    </row>
    <row r="452" spans="1:29">
      <c r="A452" s="204"/>
      <c r="B452" s="204"/>
      <c r="C452" s="204"/>
      <c r="D452" s="204"/>
      <c r="E452" s="204"/>
      <c r="F452" s="204"/>
      <c r="G452" s="204"/>
      <c r="H452" s="204"/>
      <c r="I452" s="204"/>
      <c r="J452" s="204"/>
      <c r="K452" s="204"/>
      <c r="L452" s="205"/>
      <c r="M452" s="205"/>
      <c r="N452" s="204"/>
      <c r="O452" s="204"/>
      <c r="P452" s="206"/>
      <c r="Q452" s="206"/>
      <c r="R452" s="206"/>
      <c r="S452" s="206"/>
      <c r="T452" s="204"/>
      <c r="U452" s="207"/>
      <c r="V452" s="204"/>
      <c r="W452" s="204"/>
      <c r="X452" s="207"/>
      <c r="Y452" s="207"/>
      <c r="Z452" s="204"/>
      <c r="AA452" s="204"/>
      <c r="AB452" s="204"/>
      <c r="AC452" s="204"/>
    </row>
    <row r="453" spans="1:29">
      <c r="A453" s="204"/>
      <c r="B453" s="204"/>
      <c r="C453" s="204"/>
      <c r="D453" s="204"/>
      <c r="E453" s="204"/>
      <c r="F453" s="204"/>
      <c r="G453" s="204"/>
      <c r="H453" s="204"/>
      <c r="I453" s="204"/>
      <c r="J453" s="204"/>
      <c r="K453" s="204"/>
      <c r="L453" s="205"/>
      <c r="M453" s="205"/>
      <c r="N453" s="204"/>
      <c r="O453" s="204"/>
      <c r="P453" s="206"/>
      <c r="Q453" s="206"/>
      <c r="R453" s="206"/>
      <c r="S453" s="206"/>
      <c r="T453" s="204"/>
      <c r="U453" s="207"/>
      <c r="V453" s="204"/>
      <c r="W453" s="204"/>
      <c r="X453" s="207"/>
      <c r="Y453" s="207"/>
      <c r="Z453" s="204"/>
      <c r="AA453" s="204"/>
      <c r="AB453" s="204"/>
      <c r="AC453" s="204"/>
    </row>
    <row r="454" spans="1:29">
      <c r="A454" s="204"/>
      <c r="B454" s="204"/>
      <c r="C454" s="204"/>
      <c r="D454" s="204"/>
      <c r="E454" s="204"/>
      <c r="F454" s="204"/>
      <c r="G454" s="204"/>
      <c r="H454" s="204"/>
      <c r="I454" s="204"/>
      <c r="J454" s="204"/>
      <c r="K454" s="204"/>
      <c r="L454" s="205"/>
      <c r="M454" s="205"/>
      <c r="N454" s="204"/>
      <c r="O454" s="204"/>
      <c r="P454" s="206"/>
      <c r="Q454" s="206"/>
      <c r="R454" s="206"/>
      <c r="S454" s="206"/>
      <c r="T454" s="204"/>
      <c r="U454" s="207"/>
      <c r="V454" s="204"/>
      <c r="W454" s="204"/>
      <c r="X454" s="207"/>
      <c r="Y454" s="207"/>
      <c r="Z454" s="204"/>
      <c r="AA454" s="204"/>
      <c r="AB454" s="204"/>
      <c r="AC454" s="204"/>
    </row>
    <row r="455" spans="1:29">
      <c r="A455" s="204"/>
      <c r="B455" s="204"/>
      <c r="C455" s="204"/>
      <c r="D455" s="204"/>
      <c r="E455" s="204"/>
      <c r="F455" s="204"/>
      <c r="G455" s="204"/>
      <c r="H455" s="204"/>
      <c r="I455" s="204"/>
      <c r="J455" s="204"/>
      <c r="K455" s="204"/>
      <c r="L455" s="205"/>
      <c r="M455" s="205"/>
      <c r="N455" s="204"/>
      <c r="O455" s="204"/>
      <c r="P455" s="206"/>
      <c r="Q455" s="206"/>
      <c r="R455" s="206"/>
      <c r="S455" s="206"/>
      <c r="T455" s="204"/>
      <c r="U455" s="207"/>
      <c r="V455" s="204"/>
      <c r="W455" s="204"/>
      <c r="X455" s="207"/>
      <c r="Y455" s="207"/>
      <c r="Z455" s="204"/>
      <c r="AA455" s="204"/>
      <c r="AB455" s="204"/>
      <c r="AC455" s="204"/>
    </row>
    <row r="456" spans="1:29">
      <c r="A456" s="204"/>
      <c r="B456" s="204"/>
      <c r="C456" s="204"/>
      <c r="D456" s="204"/>
      <c r="E456" s="204"/>
      <c r="F456" s="204"/>
      <c r="G456" s="204"/>
      <c r="H456" s="204"/>
      <c r="I456" s="204"/>
      <c r="J456" s="204"/>
      <c r="K456" s="204"/>
      <c r="L456" s="205"/>
      <c r="M456" s="205"/>
      <c r="N456" s="204"/>
      <c r="O456" s="204"/>
      <c r="P456" s="206"/>
      <c r="Q456" s="206"/>
      <c r="R456" s="206"/>
      <c r="S456" s="206"/>
      <c r="T456" s="204"/>
      <c r="U456" s="207"/>
      <c r="V456" s="204"/>
      <c r="W456" s="204"/>
      <c r="X456" s="207"/>
      <c r="Y456" s="207"/>
      <c r="Z456" s="204"/>
      <c r="AA456" s="204"/>
      <c r="AB456" s="204"/>
      <c r="AC456" s="204"/>
    </row>
    <row r="457" spans="1:29">
      <c r="A457" s="204"/>
      <c r="B457" s="204"/>
      <c r="C457" s="204"/>
      <c r="D457" s="204"/>
      <c r="E457" s="204"/>
      <c r="F457" s="204"/>
      <c r="G457" s="204"/>
      <c r="H457" s="204"/>
      <c r="I457" s="204"/>
      <c r="J457" s="204"/>
      <c r="K457" s="204"/>
      <c r="L457" s="205"/>
      <c r="M457" s="205"/>
      <c r="N457" s="204"/>
      <c r="O457" s="204"/>
      <c r="P457" s="206"/>
      <c r="Q457" s="206"/>
      <c r="R457" s="206"/>
      <c r="S457" s="206"/>
      <c r="T457" s="204"/>
      <c r="U457" s="207"/>
      <c r="V457" s="204"/>
      <c r="W457" s="204"/>
      <c r="X457" s="207"/>
      <c r="Y457" s="207"/>
      <c r="Z457" s="204"/>
      <c r="AA457" s="204"/>
      <c r="AB457" s="204"/>
      <c r="AC457" s="204"/>
    </row>
    <row r="458" spans="1:29">
      <c r="A458" s="204"/>
      <c r="B458" s="204"/>
      <c r="C458" s="204"/>
      <c r="D458" s="204"/>
      <c r="E458" s="204"/>
      <c r="F458" s="204"/>
      <c r="G458" s="204"/>
      <c r="H458" s="204"/>
      <c r="I458" s="204"/>
      <c r="J458" s="204"/>
      <c r="K458" s="204"/>
      <c r="L458" s="205"/>
      <c r="M458" s="205"/>
      <c r="N458" s="204"/>
      <c r="O458" s="204"/>
      <c r="P458" s="206"/>
      <c r="Q458" s="206"/>
      <c r="R458" s="206"/>
      <c r="S458" s="206"/>
      <c r="T458" s="204"/>
      <c r="U458" s="207"/>
      <c r="V458" s="204"/>
      <c r="W458" s="204"/>
      <c r="X458" s="207"/>
      <c r="Y458" s="207"/>
      <c r="Z458" s="204"/>
      <c r="AA458" s="204"/>
      <c r="AB458" s="204"/>
      <c r="AC458" s="204"/>
    </row>
    <row r="459" spans="1:29">
      <c r="A459" s="204"/>
      <c r="B459" s="204"/>
      <c r="C459" s="204"/>
      <c r="D459" s="204"/>
      <c r="E459" s="204"/>
      <c r="F459" s="204"/>
      <c r="G459" s="204"/>
      <c r="H459" s="204"/>
      <c r="I459" s="204"/>
      <c r="J459" s="204"/>
      <c r="K459" s="204"/>
      <c r="L459" s="205"/>
      <c r="M459" s="205"/>
      <c r="N459" s="204"/>
      <c r="O459" s="204"/>
      <c r="P459" s="206"/>
      <c r="Q459" s="206"/>
      <c r="R459" s="206"/>
      <c r="S459" s="206"/>
      <c r="T459" s="204"/>
      <c r="U459" s="207"/>
      <c r="V459" s="204"/>
      <c r="W459" s="204"/>
      <c r="X459" s="207"/>
      <c r="Y459" s="207"/>
      <c r="Z459" s="204"/>
      <c r="AA459" s="204"/>
      <c r="AB459" s="204"/>
      <c r="AC459" s="204"/>
    </row>
    <row r="460" spans="1:29">
      <c r="A460" s="204"/>
      <c r="B460" s="204"/>
      <c r="C460" s="204"/>
      <c r="D460" s="204"/>
      <c r="E460" s="204"/>
      <c r="F460" s="204"/>
      <c r="G460" s="204"/>
      <c r="H460" s="204"/>
      <c r="I460" s="204"/>
      <c r="J460" s="204"/>
      <c r="K460" s="204"/>
      <c r="L460" s="205"/>
      <c r="M460" s="205"/>
      <c r="N460" s="204"/>
      <c r="O460" s="204"/>
      <c r="P460" s="206"/>
      <c r="Q460" s="206"/>
      <c r="R460" s="206"/>
      <c r="S460" s="206"/>
      <c r="T460" s="204"/>
      <c r="U460" s="207"/>
      <c r="V460" s="204"/>
      <c r="W460" s="204"/>
      <c r="X460" s="207"/>
      <c r="Y460" s="207"/>
      <c r="Z460" s="204"/>
      <c r="AA460" s="204"/>
      <c r="AB460" s="204"/>
      <c r="AC460" s="204"/>
    </row>
    <row r="461" spans="1:29">
      <c r="A461" s="204"/>
      <c r="B461" s="204"/>
      <c r="C461" s="204"/>
      <c r="D461" s="204"/>
      <c r="E461" s="204"/>
      <c r="F461" s="204"/>
      <c r="G461" s="204"/>
      <c r="H461" s="204"/>
      <c r="I461" s="204"/>
      <c r="J461" s="204"/>
      <c r="K461" s="204"/>
      <c r="L461" s="205"/>
      <c r="M461" s="205"/>
      <c r="N461" s="204"/>
      <c r="O461" s="204"/>
      <c r="P461" s="206"/>
      <c r="Q461" s="206"/>
      <c r="R461" s="206"/>
      <c r="S461" s="206"/>
      <c r="T461" s="204"/>
      <c r="U461" s="207"/>
      <c r="V461" s="204"/>
      <c r="W461" s="204"/>
      <c r="X461" s="207"/>
      <c r="Y461" s="207"/>
      <c r="Z461" s="204"/>
      <c r="AA461" s="204"/>
      <c r="AB461" s="204"/>
      <c r="AC461" s="204"/>
    </row>
    <row r="462" spans="1:29">
      <c r="A462" s="204"/>
      <c r="B462" s="204"/>
      <c r="C462" s="204"/>
      <c r="D462" s="204"/>
      <c r="E462" s="204"/>
      <c r="F462" s="204"/>
      <c r="G462" s="204"/>
      <c r="H462" s="204"/>
      <c r="I462" s="204"/>
      <c r="J462" s="204"/>
      <c r="K462" s="204"/>
      <c r="L462" s="205"/>
      <c r="M462" s="205"/>
      <c r="N462" s="204"/>
      <c r="O462" s="204"/>
      <c r="P462" s="206"/>
      <c r="Q462" s="206"/>
      <c r="R462" s="206"/>
      <c r="S462" s="206"/>
      <c r="T462" s="204"/>
      <c r="U462" s="207"/>
      <c r="V462" s="204"/>
      <c r="W462" s="204"/>
      <c r="X462" s="207"/>
      <c r="Y462" s="207"/>
      <c r="Z462" s="204"/>
      <c r="AA462" s="204"/>
      <c r="AB462" s="204"/>
      <c r="AC462" s="204"/>
    </row>
    <row r="463" spans="1:29">
      <c r="A463" s="204"/>
      <c r="B463" s="204"/>
      <c r="C463" s="204"/>
      <c r="D463" s="204"/>
      <c r="E463" s="204"/>
      <c r="F463" s="204"/>
      <c r="G463" s="204"/>
      <c r="H463" s="204"/>
      <c r="I463" s="204"/>
      <c r="J463" s="204"/>
      <c r="K463" s="204"/>
      <c r="L463" s="205"/>
      <c r="M463" s="205"/>
      <c r="N463" s="204"/>
      <c r="O463" s="204"/>
      <c r="P463" s="206"/>
      <c r="Q463" s="206"/>
      <c r="R463" s="206"/>
      <c r="S463" s="206"/>
      <c r="T463" s="204"/>
      <c r="U463" s="207"/>
      <c r="V463" s="204"/>
      <c r="W463" s="204"/>
      <c r="X463" s="207"/>
      <c r="Y463" s="207"/>
      <c r="Z463" s="204"/>
      <c r="AA463" s="204"/>
      <c r="AB463" s="204"/>
      <c r="AC463" s="204"/>
    </row>
    <row r="464" spans="1:29">
      <c r="A464" s="204"/>
      <c r="B464" s="204"/>
      <c r="C464" s="204"/>
      <c r="D464" s="204"/>
      <c r="E464" s="204"/>
      <c r="F464" s="204"/>
      <c r="G464" s="204"/>
      <c r="H464" s="204"/>
      <c r="I464" s="204"/>
      <c r="J464" s="204"/>
      <c r="K464" s="204"/>
      <c r="L464" s="205"/>
      <c r="M464" s="205"/>
      <c r="N464" s="204"/>
      <c r="O464" s="204"/>
      <c r="P464" s="206"/>
      <c r="Q464" s="206"/>
      <c r="R464" s="206"/>
      <c r="S464" s="206"/>
      <c r="T464" s="204"/>
      <c r="U464" s="207"/>
      <c r="V464" s="204"/>
      <c r="W464" s="204"/>
      <c r="X464" s="207"/>
      <c r="Y464" s="207"/>
      <c r="Z464" s="204"/>
      <c r="AA464" s="204"/>
      <c r="AB464" s="204"/>
      <c r="AC464" s="204"/>
    </row>
    <row r="465" spans="1:29">
      <c r="A465" s="204"/>
      <c r="B465" s="204"/>
      <c r="C465" s="204"/>
      <c r="D465" s="204"/>
      <c r="E465" s="204"/>
      <c r="F465" s="204"/>
      <c r="G465" s="204"/>
      <c r="H465" s="204"/>
      <c r="I465" s="204"/>
      <c r="J465" s="204"/>
      <c r="K465" s="204"/>
      <c r="L465" s="205"/>
      <c r="M465" s="205"/>
      <c r="N465" s="204"/>
      <c r="O465" s="204"/>
      <c r="P465" s="206"/>
      <c r="Q465" s="206"/>
      <c r="R465" s="206"/>
      <c r="S465" s="206"/>
      <c r="T465" s="204"/>
      <c r="U465" s="207"/>
      <c r="V465" s="204"/>
      <c r="W465" s="204"/>
      <c r="X465" s="207"/>
      <c r="Y465" s="207"/>
      <c r="Z465" s="204"/>
      <c r="AA465" s="204"/>
      <c r="AB465" s="204"/>
      <c r="AC465" s="204"/>
    </row>
    <row r="466" spans="1:29">
      <c r="A466" s="204"/>
      <c r="B466" s="204"/>
      <c r="C466" s="204"/>
      <c r="D466" s="204"/>
      <c r="E466" s="204"/>
      <c r="F466" s="204"/>
      <c r="G466" s="204"/>
      <c r="H466" s="204"/>
      <c r="I466" s="204"/>
      <c r="J466" s="204"/>
      <c r="K466" s="204"/>
      <c r="L466" s="205"/>
      <c r="M466" s="205"/>
      <c r="N466" s="204"/>
      <c r="O466" s="204"/>
      <c r="P466" s="206"/>
      <c r="Q466" s="206"/>
      <c r="R466" s="206"/>
      <c r="S466" s="206"/>
      <c r="T466" s="204"/>
      <c r="U466" s="207"/>
      <c r="V466" s="204"/>
      <c r="W466" s="204"/>
      <c r="X466" s="207"/>
      <c r="Y466" s="207"/>
      <c r="Z466" s="204"/>
      <c r="AA466" s="204"/>
      <c r="AB466" s="204"/>
      <c r="AC466" s="204"/>
    </row>
    <row r="467" spans="1:29">
      <c r="A467" s="204"/>
      <c r="B467" s="204"/>
      <c r="C467" s="204"/>
      <c r="D467" s="204"/>
      <c r="E467" s="204"/>
      <c r="F467" s="204"/>
      <c r="G467" s="204"/>
      <c r="H467" s="204"/>
      <c r="I467" s="204"/>
      <c r="J467" s="204"/>
      <c r="K467" s="204"/>
      <c r="L467" s="205"/>
      <c r="M467" s="205"/>
      <c r="N467" s="204"/>
      <c r="O467" s="204"/>
      <c r="P467" s="206"/>
      <c r="Q467" s="206"/>
      <c r="R467" s="206"/>
      <c r="S467" s="206"/>
      <c r="T467" s="204"/>
      <c r="U467" s="207"/>
      <c r="V467" s="204"/>
      <c r="W467" s="204"/>
      <c r="X467" s="207"/>
      <c r="Y467" s="207"/>
      <c r="Z467" s="204"/>
      <c r="AA467" s="204"/>
      <c r="AB467" s="204"/>
      <c r="AC467" s="204"/>
    </row>
    <row r="468" spans="1:29">
      <c r="A468" s="204"/>
      <c r="B468" s="204"/>
      <c r="C468" s="204"/>
      <c r="D468" s="204"/>
      <c r="E468" s="204"/>
      <c r="F468" s="204"/>
      <c r="G468" s="204"/>
      <c r="H468" s="204"/>
      <c r="I468" s="204"/>
      <c r="J468" s="204"/>
      <c r="K468" s="204"/>
      <c r="L468" s="205"/>
      <c r="M468" s="205"/>
      <c r="N468" s="204"/>
      <c r="O468" s="204"/>
      <c r="P468" s="206"/>
      <c r="Q468" s="206"/>
      <c r="R468" s="206"/>
      <c r="S468" s="206"/>
      <c r="T468" s="204"/>
      <c r="U468" s="207"/>
      <c r="V468" s="204"/>
      <c r="W468" s="204"/>
      <c r="X468" s="207"/>
      <c r="Y468" s="207"/>
      <c r="Z468" s="204"/>
      <c r="AA468" s="204"/>
      <c r="AB468" s="204"/>
      <c r="AC468" s="204"/>
    </row>
    <row r="469" spans="1:29">
      <c r="A469" s="204"/>
      <c r="B469" s="204"/>
      <c r="C469" s="204"/>
      <c r="D469" s="204"/>
      <c r="E469" s="204"/>
      <c r="F469" s="204"/>
      <c r="G469" s="204"/>
      <c r="H469" s="204"/>
      <c r="I469" s="204"/>
      <c r="J469" s="204"/>
      <c r="K469" s="204"/>
      <c r="L469" s="205"/>
      <c r="M469" s="205"/>
      <c r="N469" s="204"/>
      <c r="O469" s="204"/>
      <c r="P469" s="206"/>
      <c r="Q469" s="206"/>
      <c r="R469" s="206"/>
      <c r="S469" s="206"/>
      <c r="T469" s="204"/>
      <c r="U469" s="207"/>
      <c r="V469" s="204"/>
      <c r="W469" s="204"/>
      <c r="X469" s="207"/>
      <c r="Y469" s="207"/>
      <c r="Z469" s="204"/>
      <c r="AA469" s="204"/>
      <c r="AB469" s="204"/>
      <c r="AC469" s="204"/>
    </row>
    <row r="470" spans="1:29">
      <c r="A470" s="204"/>
      <c r="B470" s="204"/>
      <c r="C470" s="204"/>
      <c r="D470" s="204"/>
      <c r="E470" s="204"/>
      <c r="F470" s="204"/>
      <c r="G470" s="204"/>
      <c r="H470" s="204"/>
      <c r="I470" s="204"/>
      <c r="J470" s="204"/>
      <c r="K470" s="204"/>
      <c r="L470" s="205"/>
      <c r="M470" s="205"/>
      <c r="N470" s="204"/>
      <c r="O470" s="204"/>
      <c r="P470" s="206"/>
      <c r="Q470" s="206"/>
      <c r="R470" s="206"/>
      <c r="S470" s="206"/>
      <c r="T470" s="204"/>
      <c r="U470" s="207"/>
      <c r="V470" s="204"/>
      <c r="W470" s="204"/>
      <c r="X470" s="207"/>
      <c r="Y470" s="207"/>
      <c r="Z470" s="204"/>
      <c r="AA470" s="204"/>
      <c r="AB470" s="204"/>
      <c r="AC470" s="204"/>
    </row>
    <row r="471" spans="1:29">
      <c r="A471" s="204"/>
      <c r="B471" s="204"/>
      <c r="C471" s="204"/>
      <c r="D471" s="204"/>
      <c r="E471" s="204"/>
      <c r="F471" s="204"/>
      <c r="G471" s="204"/>
      <c r="H471" s="204"/>
      <c r="I471" s="204"/>
      <c r="J471" s="204"/>
      <c r="K471" s="204"/>
      <c r="L471" s="205"/>
      <c r="M471" s="205"/>
      <c r="N471" s="204"/>
      <c r="O471" s="204"/>
      <c r="P471" s="206"/>
      <c r="Q471" s="206"/>
      <c r="R471" s="206"/>
      <c r="S471" s="206"/>
      <c r="T471" s="204"/>
      <c r="U471" s="207"/>
      <c r="V471" s="204"/>
      <c r="W471" s="204"/>
      <c r="X471" s="207"/>
      <c r="Y471" s="207"/>
      <c r="Z471" s="204"/>
      <c r="AA471" s="204"/>
      <c r="AB471" s="204"/>
      <c r="AC471" s="204"/>
    </row>
    <row r="472" spans="1:29">
      <c r="A472" s="204"/>
      <c r="B472" s="204"/>
      <c r="C472" s="204"/>
      <c r="D472" s="204"/>
      <c r="E472" s="204"/>
      <c r="F472" s="204"/>
      <c r="G472" s="204"/>
      <c r="H472" s="204"/>
      <c r="I472" s="204"/>
      <c r="J472" s="204"/>
      <c r="K472" s="204"/>
      <c r="L472" s="205"/>
      <c r="M472" s="205"/>
      <c r="N472" s="204"/>
      <c r="O472" s="204"/>
      <c r="P472" s="206"/>
      <c r="Q472" s="206"/>
      <c r="R472" s="206"/>
      <c r="S472" s="206"/>
      <c r="T472" s="204"/>
      <c r="U472" s="207"/>
      <c r="V472" s="204"/>
      <c r="W472" s="204"/>
      <c r="X472" s="207"/>
      <c r="Y472" s="207"/>
      <c r="Z472" s="204"/>
      <c r="AA472" s="204"/>
      <c r="AB472" s="204"/>
      <c r="AC472" s="204"/>
    </row>
    <row r="473" spans="1:29">
      <c r="A473" s="204"/>
      <c r="B473" s="204"/>
      <c r="C473" s="204"/>
      <c r="D473" s="204"/>
      <c r="E473" s="204"/>
      <c r="F473" s="204"/>
      <c r="G473" s="204"/>
      <c r="H473" s="204"/>
      <c r="I473" s="204"/>
      <c r="J473" s="204"/>
      <c r="K473" s="204"/>
      <c r="L473" s="205"/>
      <c r="M473" s="205"/>
      <c r="N473" s="204"/>
      <c r="O473" s="204"/>
      <c r="P473" s="206"/>
      <c r="Q473" s="206"/>
      <c r="R473" s="206"/>
      <c r="S473" s="206"/>
      <c r="T473" s="204"/>
      <c r="U473" s="207"/>
      <c r="V473" s="204"/>
      <c r="W473" s="204"/>
      <c r="X473" s="207"/>
      <c r="Y473" s="207"/>
      <c r="Z473" s="204"/>
      <c r="AA473" s="204"/>
      <c r="AB473" s="204"/>
      <c r="AC473" s="204"/>
    </row>
    <row r="474" spans="1:29">
      <c r="A474" s="204"/>
      <c r="B474" s="204"/>
      <c r="C474" s="204"/>
      <c r="D474" s="204"/>
      <c r="E474" s="204"/>
      <c r="F474" s="204"/>
      <c r="G474" s="204"/>
      <c r="H474" s="204"/>
      <c r="I474" s="204"/>
      <c r="J474" s="204"/>
      <c r="K474" s="204"/>
      <c r="L474" s="205"/>
      <c r="M474" s="205"/>
      <c r="N474" s="204"/>
      <c r="O474" s="204"/>
      <c r="P474" s="206"/>
      <c r="Q474" s="206"/>
      <c r="R474" s="206"/>
      <c r="S474" s="206"/>
      <c r="T474" s="204"/>
      <c r="U474" s="207"/>
      <c r="V474" s="204"/>
      <c r="W474" s="204"/>
      <c r="X474" s="207"/>
      <c r="Y474" s="207"/>
      <c r="Z474" s="204"/>
      <c r="AA474" s="204"/>
      <c r="AB474" s="204"/>
      <c r="AC474" s="204"/>
    </row>
    <row r="475" spans="1:29">
      <c r="A475" s="204"/>
      <c r="B475" s="204"/>
      <c r="C475" s="204"/>
      <c r="D475" s="204"/>
      <c r="E475" s="204"/>
      <c r="F475" s="204"/>
      <c r="G475" s="204"/>
      <c r="H475" s="204"/>
      <c r="I475" s="204"/>
      <c r="J475" s="204"/>
      <c r="K475" s="204"/>
      <c r="L475" s="205"/>
      <c r="M475" s="205"/>
      <c r="N475" s="204"/>
      <c r="O475" s="204"/>
      <c r="P475" s="206"/>
      <c r="Q475" s="206"/>
      <c r="R475" s="206"/>
      <c r="S475" s="206"/>
      <c r="T475" s="204"/>
      <c r="U475" s="207"/>
      <c r="V475" s="204"/>
      <c r="W475" s="204"/>
      <c r="X475" s="207"/>
      <c r="Y475" s="207"/>
      <c r="Z475" s="204"/>
      <c r="AA475" s="204"/>
      <c r="AB475" s="204"/>
      <c r="AC475" s="204"/>
    </row>
    <row r="476" spans="1:29">
      <c r="A476" s="204"/>
      <c r="B476" s="204"/>
      <c r="C476" s="204"/>
      <c r="D476" s="204"/>
      <c r="E476" s="204"/>
      <c r="F476" s="204"/>
      <c r="G476" s="204"/>
      <c r="H476" s="204"/>
      <c r="I476" s="204"/>
      <c r="J476" s="204"/>
      <c r="K476" s="204"/>
      <c r="L476" s="205"/>
      <c r="M476" s="205"/>
      <c r="N476" s="204"/>
      <c r="O476" s="204"/>
      <c r="P476" s="206"/>
      <c r="Q476" s="206"/>
      <c r="R476" s="206"/>
      <c r="S476" s="206"/>
      <c r="T476" s="204"/>
      <c r="U476" s="207"/>
      <c r="V476" s="204"/>
      <c r="W476" s="204"/>
      <c r="X476" s="207"/>
      <c r="Y476" s="207"/>
      <c r="Z476" s="204"/>
      <c r="AA476" s="204"/>
      <c r="AB476" s="204"/>
      <c r="AC476" s="204"/>
    </row>
    <row r="477" spans="1:29">
      <c r="A477" s="204"/>
      <c r="B477" s="204"/>
      <c r="C477" s="204"/>
      <c r="D477" s="204"/>
      <c r="E477" s="204"/>
      <c r="F477" s="204"/>
      <c r="G477" s="204"/>
      <c r="H477" s="204"/>
      <c r="I477" s="204"/>
      <c r="J477" s="204"/>
      <c r="K477" s="204"/>
      <c r="L477" s="205"/>
      <c r="M477" s="205"/>
      <c r="N477" s="204"/>
      <c r="O477" s="204"/>
      <c r="P477" s="206"/>
      <c r="Q477" s="206"/>
      <c r="R477" s="206"/>
      <c r="S477" s="206"/>
      <c r="T477" s="204"/>
      <c r="U477" s="207"/>
      <c r="V477" s="204"/>
      <c r="W477" s="204"/>
      <c r="X477" s="207"/>
      <c r="Y477" s="207"/>
      <c r="Z477" s="204"/>
      <c r="AA477" s="204"/>
      <c r="AB477" s="204"/>
      <c r="AC477" s="204"/>
    </row>
    <row r="478" spans="1:29">
      <c r="A478" s="204"/>
      <c r="B478" s="204"/>
      <c r="C478" s="204"/>
      <c r="D478" s="204"/>
      <c r="E478" s="204"/>
      <c r="F478" s="204"/>
      <c r="G478" s="204"/>
      <c r="H478" s="204"/>
      <c r="I478" s="204"/>
      <c r="J478" s="204"/>
      <c r="K478" s="204"/>
      <c r="L478" s="205"/>
      <c r="M478" s="205"/>
      <c r="N478" s="204"/>
      <c r="O478" s="204"/>
      <c r="P478" s="206"/>
      <c r="Q478" s="206"/>
      <c r="R478" s="206"/>
      <c r="S478" s="206"/>
      <c r="T478" s="204"/>
      <c r="U478" s="207"/>
      <c r="V478" s="204"/>
      <c r="W478" s="204"/>
      <c r="X478" s="207"/>
      <c r="Y478" s="207"/>
      <c r="Z478" s="204"/>
      <c r="AA478" s="204"/>
      <c r="AB478" s="204"/>
      <c r="AC478" s="204"/>
    </row>
    <row r="479" spans="1:29">
      <c r="A479" s="204"/>
      <c r="B479" s="204"/>
      <c r="C479" s="204"/>
      <c r="D479" s="204"/>
      <c r="E479" s="204"/>
      <c r="F479" s="204"/>
      <c r="G479" s="204"/>
      <c r="H479" s="204"/>
      <c r="I479" s="204"/>
      <c r="J479" s="204"/>
      <c r="K479" s="204"/>
      <c r="L479" s="205"/>
      <c r="M479" s="205"/>
      <c r="N479" s="204"/>
      <c r="O479" s="204"/>
      <c r="P479" s="206"/>
      <c r="Q479" s="206"/>
      <c r="R479" s="206"/>
      <c r="S479" s="206"/>
      <c r="T479" s="204"/>
      <c r="U479" s="207"/>
      <c r="V479" s="204"/>
      <c r="W479" s="204"/>
      <c r="X479" s="207"/>
      <c r="Y479" s="207"/>
      <c r="Z479" s="204"/>
      <c r="AA479" s="204"/>
      <c r="AB479" s="204"/>
      <c r="AC479" s="204"/>
    </row>
    <row r="480" spans="1:29">
      <c r="A480" s="204"/>
      <c r="B480" s="204"/>
      <c r="C480" s="204"/>
      <c r="D480" s="204"/>
      <c r="E480" s="204"/>
      <c r="F480" s="204"/>
      <c r="G480" s="204"/>
      <c r="H480" s="204"/>
      <c r="I480" s="204"/>
      <c r="J480" s="204"/>
      <c r="K480" s="204"/>
      <c r="L480" s="205"/>
      <c r="M480" s="205"/>
      <c r="N480" s="204"/>
      <c r="O480" s="204"/>
      <c r="P480" s="206"/>
      <c r="Q480" s="206"/>
      <c r="R480" s="206"/>
      <c r="S480" s="206"/>
      <c r="T480" s="204"/>
      <c r="U480" s="207"/>
      <c r="V480" s="204"/>
      <c r="W480" s="204"/>
      <c r="X480" s="207"/>
      <c r="Y480" s="207"/>
      <c r="Z480" s="204"/>
      <c r="AA480" s="204"/>
      <c r="AB480" s="204"/>
      <c r="AC480" s="204"/>
    </row>
    <row r="481" spans="1:29">
      <c r="A481" s="204"/>
      <c r="B481" s="204"/>
      <c r="C481" s="204"/>
      <c r="D481" s="204"/>
      <c r="E481" s="204"/>
      <c r="F481" s="204"/>
      <c r="G481" s="204"/>
      <c r="H481" s="204"/>
      <c r="I481" s="204"/>
      <c r="J481" s="204"/>
      <c r="K481" s="204"/>
      <c r="L481" s="205"/>
      <c r="M481" s="205"/>
      <c r="N481" s="204"/>
      <c r="O481" s="204"/>
      <c r="P481" s="206"/>
      <c r="Q481" s="206"/>
      <c r="R481" s="206"/>
      <c r="S481" s="206"/>
      <c r="T481" s="204"/>
      <c r="U481" s="207"/>
      <c r="V481" s="204"/>
      <c r="W481" s="204"/>
      <c r="X481" s="207"/>
      <c r="Y481" s="207"/>
      <c r="Z481" s="204"/>
      <c r="AA481" s="204"/>
      <c r="AB481" s="204"/>
      <c r="AC481" s="204"/>
    </row>
    <row r="482" spans="1:29">
      <c r="A482" s="204"/>
      <c r="B482" s="204"/>
      <c r="C482" s="204"/>
      <c r="D482" s="204"/>
      <c r="E482" s="204"/>
      <c r="F482" s="204"/>
      <c r="G482" s="204"/>
      <c r="H482" s="204"/>
      <c r="I482" s="204"/>
      <c r="J482" s="204"/>
      <c r="K482" s="204"/>
      <c r="L482" s="205"/>
      <c r="M482" s="205"/>
      <c r="N482" s="204"/>
      <c r="O482" s="204"/>
      <c r="P482" s="206"/>
      <c r="Q482" s="206"/>
      <c r="R482" s="206"/>
      <c r="S482" s="206"/>
      <c r="T482" s="204"/>
      <c r="U482" s="207"/>
      <c r="V482" s="204"/>
      <c r="W482" s="204"/>
      <c r="X482" s="207"/>
      <c r="Y482" s="207"/>
      <c r="Z482" s="204"/>
      <c r="AA482" s="204"/>
      <c r="AB482" s="204"/>
      <c r="AC482" s="204"/>
    </row>
    <row r="483" spans="1:29">
      <c r="A483" s="204"/>
      <c r="B483" s="204"/>
      <c r="C483" s="204"/>
      <c r="D483" s="204"/>
      <c r="E483" s="204"/>
      <c r="F483" s="204"/>
      <c r="G483" s="204"/>
      <c r="H483" s="204"/>
      <c r="I483" s="204"/>
      <c r="J483" s="204"/>
      <c r="K483" s="204"/>
      <c r="L483" s="205"/>
      <c r="M483" s="205"/>
      <c r="N483" s="204"/>
      <c r="O483" s="204"/>
      <c r="P483" s="206"/>
      <c r="Q483" s="206"/>
      <c r="R483" s="206"/>
      <c r="S483" s="206"/>
      <c r="T483" s="204"/>
      <c r="U483" s="207"/>
      <c r="V483" s="204"/>
      <c r="W483" s="204"/>
      <c r="X483" s="207"/>
      <c r="Y483" s="207"/>
      <c r="Z483" s="204"/>
      <c r="AA483" s="204"/>
      <c r="AB483" s="204"/>
      <c r="AC483" s="204"/>
    </row>
    <row r="484" spans="1:29">
      <c r="A484" s="204"/>
      <c r="B484" s="204"/>
      <c r="C484" s="204"/>
      <c r="D484" s="204"/>
      <c r="E484" s="204"/>
      <c r="F484" s="204"/>
      <c r="G484" s="204"/>
      <c r="H484" s="204"/>
      <c r="I484" s="204"/>
      <c r="J484" s="204"/>
      <c r="K484" s="204"/>
      <c r="L484" s="205"/>
      <c r="M484" s="205"/>
      <c r="N484" s="204"/>
      <c r="O484" s="204"/>
      <c r="P484" s="206"/>
      <c r="Q484" s="206"/>
      <c r="R484" s="206"/>
      <c r="S484" s="206"/>
      <c r="T484" s="204"/>
      <c r="U484" s="207"/>
      <c r="V484" s="204"/>
      <c r="W484" s="204"/>
      <c r="X484" s="207"/>
      <c r="Y484" s="207"/>
      <c r="Z484" s="204"/>
      <c r="AA484" s="204"/>
      <c r="AB484" s="204"/>
      <c r="AC484" s="204"/>
    </row>
    <row r="485" spans="1:29">
      <c r="A485" s="204"/>
      <c r="B485" s="204"/>
      <c r="C485" s="204"/>
      <c r="D485" s="204"/>
      <c r="E485" s="204"/>
      <c r="F485" s="204"/>
      <c r="G485" s="204"/>
      <c r="H485" s="204"/>
      <c r="I485" s="204"/>
      <c r="J485" s="204"/>
      <c r="K485" s="204"/>
      <c r="L485" s="205"/>
      <c r="M485" s="205"/>
      <c r="N485" s="204"/>
      <c r="O485" s="204"/>
      <c r="P485" s="206"/>
      <c r="Q485" s="206"/>
      <c r="R485" s="206"/>
      <c r="S485" s="206"/>
      <c r="T485" s="204"/>
      <c r="U485" s="207"/>
      <c r="V485" s="204"/>
      <c r="W485" s="204"/>
      <c r="X485" s="207"/>
      <c r="Y485" s="207"/>
      <c r="Z485" s="204"/>
      <c r="AA485" s="204"/>
      <c r="AB485" s="204"/>
      <c r="AC485" s="204"/>
    </row>
    <row r="486" spans="1:29">
      <c r="A486" s="204"/>
      <c r="B486" s="204"/>
      <c r="C486" s="204"/>
      <c r="D486" s="204"/>
      <c r="E486" s="204"/>
      <c r="F486" s="204"/>
      <c r="G486" s="204"/>
      <c r="H486" s="204"/>
      <c r="I486" s="204"/>
      <c r="J486" s="204"/>
      <c r="K486" s="204"/>
      <c r="L486" s="205"/>
      <c r="M486" s="205"/>
      <c r="N486" s="204"/>
      <c r="O486" s="204"/>
      <c r="P486" s="206"/>
      <c r="Q486" s="206"/>
      <c r="R486" s="206"/>
      <c r="S486" s="206"/>
      <c r="T486" s="204"/>
      <c r="U486" s="207"/>
      <c r="V486" s="204"/>
      <c r="W486" s="204"/>
      <c r="X486" s="207"/>
      <c r="Y486" s="207"/>
      <c r="Z486" s="204"/>
      <c r="AA486" s="204"/>
      <c r="AB486" s="204"/>
      <c r="AC486" s="204"/>
    </row>
    <row r="487" spans="1:29">
      <c r="A487" s="204"/>
      <c r="B487" s="204"/>
      <c r="C487" s="204"/>
      <c r="D487" s="204"/>
      <c r="E487" s="204"/>
      <c r="F487" s="204"/>
      <c r="G487" s="204"/>
      <c r="H487" s="204"/>
      <c r="I487" s="204"/>
      <c r="J487" s="204"/>
      <c r="K487" s="204"/>
      <c r="L487" s="205"/>
      <c r="M487" s="205"/>
      <c r="N487" s="204"/>
      <c r="O487" s="204"/>
      <c r="P487" s="206"/>
      <c r="Q487" s="206"/>
      <c r="R487" s="206"/>
      <c r="S487" s="206"/>
      <c r="T487" s="204"/>
      <c r="U487" s="207"/>
      <c r="V487" s="204"/>
      <c r="W487" s="204"/>
      <c r="X487" s="207"/>
      <c r="Y487" s="207"/>
      <c r="Z487" s="204"/>
      <c r="AA487" s="204"/>
      <c r="AB487" s="204"/>
      <c r="AC487" s="204"/>
    </row>
    <row r="488" spans="1:29">
      <c r="A488" s="204"/>
      <c r="B488" s="204"/>
      <c r="C488" s="204"/>
      <c r="D488" s="204"/>
      <c r="E488" s="204"/>
      <c r="F488" s="204"/>
      <c r="G488" s="204"/>
      <c r="H488" s="204"/>
      <c r="I488" s="204"/>
      <c r="J488" s="204"/>
      <c r="K488" s="204"/>
      <c r="L488" s="205"/>
      <c r="M488" s="205"/>
      <c r="N488" s="204"/>
      <c r="O488" s="204"/>
      <c r="P488" s="206"/>
      <c r="Q488" s="206"/>
      <c r="R488" s="206"/>
      <c r="S488" s="206"/>
      <c r="T488" s="204"/>
      <c r="U488" s="207"/>
      <c r="V488" s="204"/>
      <c r="W488" s="204"/>
      <c r="X488" s="207"/>
      <c r="Y488" s="207"/>
      <c r="Z488" s="204"/>
      <c r="AA488" s="204"/>
      <c r="AB488" s="204"/>
      <c r="AC488" s="204"/>
    </row>
    <row r="489" spans="1:29">
      <c r="A489" s="204"/>
      <c r="B489" s="204"/>
      <c r="C489" s="204"/>
      <c r="D489" s="204"/>
      <c r="E489" s="204"/>
      <c r="F489" s="204"/>
      <c r="G489" s="204"/>
      <c r="H489" s="204"/>
      <c r="I489" s="204"/>
      <c r="J489" s="204"/>
      <c r="K489" s="204"/>
      <c r="L489" s="205"/>
      <c r="M489" s="205"/>
      <c r="N489" s="204"/>
      <c r="O489" s="204"/>
      <c r="P489" s="206"/>
      <c r="Q489" s="206"/>
      <c r="R489" s="206"/>
      <c r="S489" s="206"/>
      <c r="T489" s="204"/>
      <c r="U489" s="207"/>
      <c r="V489" s="204"/>
      <c r="W489" s="204"/>
      <c r="X489" s="207"/>
      <c r="Y489" s="207"/>
      <c r="Z489" s="204"/>
      <c r="AA489" s="204"/>
      <c r="AB489" s="204"/>
      <c r="AC489" s="204"/>
    </row>
    <row r="490" spans="1:29">
      <c r="A490" s="204"/>
      <c r="B490" s="204"/>
      <c r="C490" s="204"/>
      <c r="D490" s="204"/>
      <c r="E490" s="204"/>
      <c r="F490" s="204"/>
      <c r="G490" s="204"/>
      <c r="H490" s="204"/>
      <c r="I490" s="204"/>
      <c r="J490" s="204"/>
      <c r="K490" s="204"/>
      <c r="L490" s="205"/>
      <c r="M490" s="205"/>
      <c r="N490" s="204"/>
      <c r="O490" s="204"/>
      <c r="P490" s="206"/>
      <c r="Q490" s="206"/>
      <c r="R490" s="206"/>
      <c r="S490" s="206"/>
      <c r="T490" s="204"/>
      <c r="U490" s="207"/>
      <c r="V490" s="204"/>
      <c r="W490" s="204"/>
      <c r="X490" s="207"/>
      <c r="Y490" s="207"/>
      <c r="Z490" s="204"/>
      <c r="AA490" s="204"/>
      <c r="AB490" s="204"/>
      <c r="AC490" s="204"/>
    </row>
    <row r="491" spans="1:29">
      <c r="A491" s="204"/>
      <c r="B491" s="204"/>
      <c r="C491" s="204"/>
      <c r="D491" s="204"/>
      <c r="E491" s="204"/>
      <c r="F491" s="204"/>
      <c r="G491" s="204"/>
      <c r="H491" s="204"/>
      <c r="I491" s="204"/>
      <c r="J491" s="204"/>
      <c r="K491" s="204"/>
      <c r="L491" s="205"/>
      <c r="M491" s="205"/>
      <c r="N491" s="204"/>
      <c r="O491" s="204"/>
      <c r="P491" s="206"/>
      <c r="Q491" s="206"/>
      <c r="R491" s="206"/>
      <c r="S491" s="206"/>
      <c r="T491" s="204"/>
      <c r="U491" s="207"/>
      <c r="V491" s="204"/>
      <c r="W491" s="204"/>
      <c r="X491" s="207"/>
      <c r="Y491" s="207"/>
      <c r="Z491" s="204"/>
      <c r="AA491" s="204"/>
      <c r="AB491" s="204"/>
      <c r="AC491" s="204"/>
    </row>
    <row r="492" spans="1:29">
      <c r="A492" s="204"/>
      <c r="B492" s="204"/>
      <c r="C492" s="204"/>
      <c r="D492" s="204"/>
      <c r="E492" s="204"/>
      <c r="F492" s="204"/>
      <c r="G492" s="204"/>
      <c r="H492" s="204"/>
      <c r="I492" s="204"/>
      <c r="J492" s="204"/>
      <c r="K492" s="204"/>
      <c r="L492" s="205"/>
      <c r="M492" s="205"/>
      <c r="N492" s="204"/>
      <c r="O492" s="204"/>
      <c r="P492" s="206"/>
      <c r="Q492" s="206"/>
      <c r="R492" s="206"/>
      <c r="S492" s="206"/>
      <c r="T492" s="204"/>
      <c r="U492" s="207"/>
      <c r="V492" s="204"/>
      <c r="W492" s="204"/>
      <c r="X492" s="207"/>
      <c r="Y492" s="207"/>
      <c r="Z492" s="204"/>
      <c r="AA492" s="204"/>
      <c r="AB492" s="204"/>
      <c r="AC492" s="204"/>
    </row>
    <row r="493" spans="1:29">
      <c r="A493" s="204"/>
      <c r="B493" s="204"/>
      <c r="C493" s="204"/>
      <c r="D493" s="204"/>
      <c r="E493" s="204"/>
      <c r="F493" s="204"/>
      <c r="G493" s="204"/>
      <c r="H493" s="204"/>
      <c r="I493" s="204"/>
      <c r="J493" s="204"/>
      <c r="K493" s="204"/>
      <c r="L493" s="205"/>
      <c r="M493" s="205"/>
      <c r="N493" s="204"/>
      <c r="O493" s="204"/>
      <c r="P493" s="206"/>
      <c r="Q493" s="206"/>
      <c r="R493" s="206"/>
      <c r="S493" s="206"/>
      <c r="T493" s="204"/>
      <c r="U493" s="207"/>
      <c r="V493" s="204"/>
      <c r="W493" s="204"/>
      <c r="X493" s="207"/>
      <c r="Y493" s="207"/>
      <c r="Z493" s="204"/>
      <c r="AA493" s="204"/>
      <c r="AB493" s="204"/>
      <c r="AC493" s="204"/>
    </row>
    <row r="494" spans="1:29">
      <c r="A494" s="204"/>
      <c r="B494" s="204"/>
      <c r="C494" s="204"/>
      <c r="D494" s="204"/>
      <c r="E494" s="204"/>
      <c r="F494" s="204"/>
      <c r="G494" s="204"/>
      <c r="H494" s="204"/>
      <c r="I494" s="204"/>
      <c r="J494" s="204"/>
      <c r="K494" s="204"/>
      <c r="L494" s="205"/>
      <c r="M494" s="205"/>
      <c r="N494" s="204"/>
      <c r="O494" s="204"/>
      <c r="P494" s="206"/>
      <c r="Q494" s="206"/>
      <c r="R494" s="206"/>
      <c r="S494" s="206"/>
      <c r="T494" s="204"/>
      <c r="U494" s="207"/>
      <c r="V494" s="204"/>
      <c r="W494" s="204"/>
      <c r="X494" s="207"/>
      <c r="Y494" s="207"/>
      <c r="Z494" s="204"/>
      <c r="AA494" s="204"/>
      <c r="AB494" s="204"/>
      <c r="AC494" s="204"/>
    </row>
    <row r="495" spans="1:29">
      <c r="A495" s="204"/>
      <c r="B495" s="204"/>
      <c r="C495" s="204"/>
      <c r="D495" s="204"/>
      <c r="E495" s="204"/>
      <c r="F495" s="204"/>
      <c r="G495" s="204"/>
      <c r="H495" s="204"/>
      <c r="I495" s="204"/>
      <c r="J495" s="204"/>
      <c r="K495" s="204"/>
      <c r="L495" s="205"/>
      <c r="M495" s="205"/>
      <c r="N495" s="204"/>
      <c r="O495" s="204"/>
      <c r="P495" s="206"/>
      <c r="Q495" s="206"/>
      <c r="R495" s="206"/>
      <c r="S495" s="206"/>
      <c r="T495" s="204"/>
      <c r="U495" s="207"/>
      <c r="V495" s="204"/>
      <c r="W495" s="204"/>
      <c r="X495" s="207"/>
      <c r="Y495" s="207"/>
      <c r="Z495" s="204"/>
      <c r="AA495" s="204"/>
      <c r="AB495" s="204"/>
      <c r="AC495" s="204"/>
    </row>
    <row r="496" spans="1:29">
      <c r="A496" s="204"/>
      <c r="B496" s="204"/>
      <c r="C496" s="204"/>
      <c r="D496" s="204"/>
      <c r="E496" s="204"/>
      <c r="F496" s="204"/>
      <c r="G496" s="204"/>
      <c r="H496" s="204"/>
      <c r="I496" s="204"/>
      <c r="J496" s="204"/>
      <c r="K496" s="204"/>
      <c r="L496" s="205"/>
      <c r="M496" s="205"/>
      <c r="N496" s="204"/>
      <c r="O496" s="204"/>
      <c r="P496" s="206"/>
      <c r="Q496" s="206"/>
      <c r="R496" s="206"/>
      <c r="S496" s="206"/>
      <c r="T496" s="204"/>
      <c r="U496" s="207"/>
      <c r="V496" s="204"/>
      <c r="W496" s="204"/>
      <c r="X496" s="207"/>
      <c r="Y496" s="207"/>
      <c r="Z496" s="204"/>
      <c r="AA496" s="204"/>
      <c r="AB496" s="204"/>
      <c r="AC496" s="204"/>
    </row>
    <row r="497" spans="1:29">
      <c r="A497" s="204"/>
      <c r="B497" s="204"/>
      <c r="C497" s="204"/>
      <c r="D497" s="204"/>
      <c r="E497" s="204"/>
      <c r="F497" s="204"/>
      <c r="G497" s="204"/>
      <c r="H497" s="204"/>
      <c r="I497" s="204"/>
      <c r="J497" s="204"/>
      <c r="K497" s="204"/>
      <c r="L497" s="205"/>
      <c r="M497" s="205"/>
      <c r="N497" s="204"/>
      <c r="O497" s="204"/>
      <c r="P497" s="206"/>
      <c r="Q497" s="206"/>
      <c r="R497" s="206"/>
      <c r="S497" s="206"/>
      <c r="T497" s="204"/>
      <c r="U497" s="207"/>
      <c r="V497" s="204"/>
      <c r="W497" s="204"/>
      <c r="X497" s="207"/>
      <c r="Y497" s="207"/>
      <c r="Z497" s="204"/>
      <c r="AA497" s="204"/>
      <c r="AB497" s="204"/>
      <c r="AC497" s="204"/>
    </row>
    <row r="498" spans="1:29">
      <c r="A498" s="204"/>
      <c r="B498" s="204"/>
      <c r="C498" s="204"/>
      <c r="D498" s="204"/>
      <c r="E498" s="204"/>
      <c r="F498" s="204"/>
      <c r="G498" s="204"/>
      <c r="H498" s="204"/>
      <c r="I498" s="204"/>
      <c r="J498" s="204"/>
      <c r="K498" s="204"/>
      <c r="L498" s="205"/>
      <c r="M498" s="205"/>
      <c r="N498" s="204"/>
      <c r="O498" s="204"/>
      <c r="P498" s="206"/>
      <c r="Q498" s="206"/>
      <c r="R498" s="206"/>
      <c r="S498" s="206"/>
      <c r="T498" s="204"/>
      <c r="U498" s="207"/>
      <c r="V498" s="204"/>
      <c r="W498" s="204"/>
      <c r="X498" s="207"/>
      <c r="Y498" s="207"/>
      <c r="Z498" s="204"/>
      <c r="AA498" s="204"/>
      <c r="AB498" s="204"/>
      <c r="AC498" s="204"/>
    </row>
    <row r="499" spans="1:29">
      <c r="A499" s="204"/>
      <c r="B499" s="204"/>
      <c r="C499" s="204"/>
      <c r="D499" s="204"/>
      <c r="E499" s="204"/>
      <c r="F499" s="204"/>
      <c r="G499" s="204"/>
      <c r="H499" s="204"/>
      <c r="I499" s="204"/>
      <c r="J499" s="204"/>
      <c r="K499" s="204"/>
      <c r="L499" s="205"/>
      <c r="M499" s="205"/>
      <c r="N499" s="204"/>
      <c r="O499" s="204"/>
      <c r="P499" s="206"/>
      <c r="Q499" s="206"/>
      <c r="R499" s="206"/>
      <c r="S499" s="206"/>
      <c r="T499" s="204"/>
      <c r="U499" s="207"/>
      <c r="V499" s="204"/>
      <c r="W499" s="204"/>
      <c r="X499" s="207"/>
      <c r="Y499" s="207"/>
      <c r="Z499" s="204"/>
      <c r="AA499" s="204"/>
      <c r="AB499" s="204"/>
      <c r="AC499" s="204"/>
    </row>
    <row r="500" spans="1:29">
      <c r="A500" s="204"/>
      <c r="B500" s="204"/>
      <c r="C500" s="204"/>
      <c r="D500" s="204"/>
      <c r="E500" s="204"/>
      <c r="F500" s="204"/>
      <c r="G500" s="204"/>
      <c r="H500" s="204"/>
      <c r="I500" s="204"/>
      <c r="J500" s="204"/>
      <c r="K500" s="204"/>
      <c r="L500" s="205"/>
      <c r="M500" s="205"/>
      <c r="N500" s="204"/>
      <c r="O500" s="204"/>
      <c r="P500" s="206"/>
      <c r="Q500" s="206"/>
      <c r="R500" s="206"/>
      <c r="S500" s="206"/>
      <c r="T500" s="204"/>
      <c r="U500" s="207"/>
      <c r="V500" s="204"/>
      <c r="W500" s="204"/>
      <c r="X500" s="207"/>
      <c r="Y500" s="207"/>
      <c r="Z500" s="204"/>
      <c r="AA500" s="204"/>
      <c r="AB500" s="204"/>
      <c r="AC500" s="204"/>
    </row>
    <row r="501" spans="1:29">
      <c r="A501" s="204"/>
      <c r="B501" s="204"/>
      <c r="C501" s="204"/>
      <c r="D501" s="204"/>
      <c r="E501" s="204"/>
      <c r="F501" s="204"/>
      <c r="G501" s="204"/>
      <c r="H501" s="204"/>
      <c r="I501" s="204"/>
      <c r="J501" s="204"/>
      <c r="K501" s="204"/>
      <c r="L501" s="205"/>
      <c r="M501" s="205"/>
      <c r="N501" s="204"/>
      <c r="O501" s="204"/>
      <c r="P501" s="206"/>
      <c r="Q501" s="206"/>
      <c r="R501" s="206"/>
      <c r="S501" s="206"/>
      <c r="T501" s="204"/>
      <c r="U501" s="207"/>
      <c r="V501" s="204"/>
      <c r="W501" s="204"/>
      <c r="X501" s="207"/>
      <c r="Y501" s="207"/>
      <c r="Z501" s="204"/>
      <c r="AA501" s="204"/>
      <c r="AB501" s="204"/>
      <c r="AC501" s="204"/>
    </row>
    <row r="502" spans="1:29">
      <c r="A502" s="204"/>
      <c r="B502" s="204"/>
      <c r="C502" s="204"/>
      <c r="D502" s="204"/>
      <c r="E502" s="204"/>
      <c r="F502" s="204"/>
      <c r="G502" s="204"/>
      <c r="H502" s="204"/>
      <c r="I502" s="204"/>
      <c r="J502" s="204"/>
      <c r="K502" s="204"/>
      <c r="L502" s="205"/>
      <c r="M502" s="205"/>
      <c r="N502" s="204"/>
      <c r="O502" s="204"/>
      <c r="P502" s="206"/>
      <c r="Q502" s="206"/>
      <c r="R502" s="206"/>
      <c r="S502" s="206"/>
      <c r="T502" s="204"/>
      <c r="U502" s="207"/>
      <c r="V502" s="204"/>
      <c r="W502" s="204"/>
      <c r="X502" s="207"/>
      <c r="Y502" s="207"/>
      <c r="Z502" s="204"/>
      <c r="AA502" s="204"/>
      <c r="AB502" s="204"/>
      <c r="AC502" s="204"/>
    </row>
    <row r="503" spans="1:29">
      <c r="A503" s="204"/>
      <c r="B503" s="204"/>
      <c r="C503" s="204"/>
      <c r="D503" s="204"/>
      <c r="E503" s="204"/>
      <c r="F503" s="204"/>
      <c r="G503" s="204"/>
      <c r="H503" s="204"/>
      <c r="I503" s="204"/>
      <c r="J503" s="204"/>
      <c r="K503" s="204"/>
      <c r="L503" s="205"/>
      <c r="M503" s="205"/>
      <c r="N503" s="204"/>
      <c r="O503" s="204"/>
      <c r="P503" s="206"/>
      <c r="Q503" s="206"/>
      <c r="R503" s="206"/>
      <c r="S503" s="206"/>
      <c r="T503" s="204"/>
      <c r="U503" s="207"/>
      <c r="V503" s="204"/>
      <c r="W503" s="204"/>
      <c r="X503" s="207"/>
      <c r="Y503" s="207"/>
      <c r="Z503" s="204"/>
      <c r="AA503" s="204"/>
      <c r="AB503" s="204"/>
      <c r="AC503" s="204"/>
    </row>
    <row r="504" spans="1:29">
      <c r="A504" s="204"/>
      <c r="B504" s="204"/>
      <c r="C504" s="204"/>
      <c r="D504" s="204"/>
      <c r="E504" s="204"/>
      <c r="F504" s="204"/>
      <c r="G504" s="204"/>
      <c r="H504" s="204"/>
      <c r="I504" s="204"/>
      <c r="J504" s="204"/>
      <c r="K504" s="204"/>
      <c r="L504" s="205"/>
      <c r="M504" s="205"/>
      <c r="N504" s="204"/>
      <c r="O504" s="204"/>
      <c r="P504" s="206"/>
      <c r="Q504" s="206"/>
      <c r="R504" s="206"/>
      <c r="S504" s="206"/>
      <c r="T504" s="204"/>
      <c r="U504" s="207"/>
      <c r="V504" s="204"/>
      <c r="W504" s="204"/>
      <c r="X504" s="207"/>
      <c r="Y504" s="207"/>
      <c r="Z504" s="204"/>
      <c r="AA504" s="204"/>
      <c r="AB504" s="204"/>
      <c r="AC504" s="204"/>
    </row>
    <row r="505" spans="1:29">
      <c r="A505" s="204"/>
      <c r="B505" s="204"/>
      <c r="C505" s="204"/>
      <c r="D505" s="204"/>
      <c r="E505" s="204"/>
      <c r="F505" s="204"/>
      <c r="G505" s="204"/>
      <c r="H505" s="204"/>
      <c r="I505" s="204"/>
      <c r="J505" s="204"/>
      <c r="K505" s="204"/>
      <c r="L505" s="205"/>
      <c r="M505" s="205"/>
      <c r="N505" s="204"/>
      <c r="O505" s="204"/>
      <c r="P505" s="206"/>
      <c r="Q505" s="206"/>
      <c r="R505" s="206"/>
      <c r="S505" s="206"/>
      <c r="T505" s="204"/>
      <c r="U505" s="207"/>
      <c r="V505" s="204"/>
      <c r="W505" s="204"/>
      <c r="X505" s="207"/>
      <c r="Y505" s="207"/>
      <c r="Z505" s="204"/>
      <c r="AA505" s="204"/>
      <c r="AB505" s="204"/>
      <c r="AC505" s="204"/>
    </row>
    <row r="506" spans="1:29">
      <c r="A506" s="204"/>
      <c r="B506" s="204"/>
      <c r="C506" s="204"/>
      <c r="D506" s="204"/>
      <c r="E506" s="204"/>
      <c r="F506" s="204"/>
      <c r="G506" s="204"/>
      <c r="H506" s="204"/>
      <c r="I506" s="204"/>
      <c r="J506" s="204"/>
      <c r="K506" s="204"/>
      <c r="L506" s="205"/>
      <c r="M506" s="205"/>
      <c r="N506" s="204"/>
      <c r="O506" s="204"/>
      <c r="P506" s="206"/>
      <c r="Q506" s="206"/>
      <c r="R506" s="206"/>
      <c r="S506" s="206"/>
      <c r="T506" s="204"/>
      <c r="U506" s="207"/>
      <c r="V506" s="204"/>
      <c r="W506" s="204"/>
      <c r="X506" s="207"/>
      <c r="Y506" s="207"/>
      <c r="Z506" s="204"/>
      <c r="AA506" s="204"/>
      <c r="AB506" s="204"/>
      <c r="AC506" s="204"/>
    </row>
    <row r="507" spans="1:29">
      <c r="A507" s="204"/>
      <c r="B507" s="204"/>
      <c r="C507" s="204"/>
      <c r="D507" s="204"/>
      <c r="E507" s="204"/>
      <c r="F507" s="204"/>
      <c r="G507" s="204"/>
      <c r="H507" s="204"/>
      <c r="I507" s="204"/>
      <c r="J507" s="204"/>
      <c r="K507" s="204"/>
      <c r="L507" s="205"/>
      <c r="M507" s="205"/>
      <c r="N507" s="204"/>
      <c r="O507" s="204"/>
      <c r="P507" s="206"/>
      <c r="Q507" s="206"/>
      <c r="R507" s="206"/>
      <c r="S507" s="206"/>
      <c r="T507" s="204"/>
      <c r="U507" s="207"/>
      <c r="V507" s="204"/>
      <c r="W507" s="204"/>
      <c r="X507" s="207"/>
      <c r="Y507" s="207"/>
      <c r="Z507" s="204"/>
      <c r="AA507" s="204"/>
      <c r="AB507" s="204"/>
      <c r="AC507" s="204"/>
    </row>
    <row r="508" spans="1:29">
      <c r="A508" s="204"/>
      <c r="B508" s="204"/>
      <c r="C508" s="204"/>
      <c r="D508" s="204"/>
      <c r="E508" s="204"/>
      <c r="F508" s="204"/>
      <c r="G508" s="204"/>
      <c r="H508" s="204"/>
      <c r="I508" s="204"/>
      <c r="J508" s="204"/>
      <c r="K508" s="204"/>
      <c r="L508" s="205"/>
      <c r="M508" s="205"/>
      <c r="N508" s="204"/>
      <c r="O508" s="204"/>
      <c r="P508" s="206"/>
      <c r="Q508" s="206"/>
      <c r="R508" s="206"/>
      <c r="S508" s="206"/>
      <c r="T508" s="204"/>
      <c r="U508" s="207"/>
      <c r="V508" s="204"/>
      <c r="W508" s="204"/>
      <c r="X508" s="207"/>
      <c r="Y508" s="207"/>
      <c r="Z508" s="204"/>
      <c r="AA508" s="204"/>
      <c r="AB508" s="204"/>
      <c r="AC508" s="204"/>
    </row>
    <row r="509" spans="1:29">
      <c r="A509" s="204"/>
      <c r="B509" s="204"/>
      <c r="C509" s="204"/>
      <c r="D509" s="204"/>
      <c r="E509" s="204"/>
      <c r="F509" s="204"/>
      <c r="G509" s="204"/>
      <c r="H509" s="204"/>
      <c r="I509" s="204"/>
      <c r="J509" s="204"/>
      <c r="K509" s="204"/>
      <c r="L509" s="205"/>
      <c r="M509" s="205"/>
      <c r="N509" s="204"/>
      <c r="O509" s="204"/>
      <c r="P509" s="206"/>
      <c r="Q509" s="206"/>
      <c r="R509" s="206"/>
      <c r="S509" s="206"/>
      <c r="T509" s="204"/>
      <c r="U509" s="207"/>
      <c r="V509" s="204"/>
      <c r="W509" s="204"/>
      <c r="X509" s="207"/>
      <c r="Y509" s="207"/>
      <c r="Z509" s="204"/>
      <c r="AA509" s="204"/>
      <c r="AB509" s="204"/>
      <c r="AC509" s="204"/>
    </row>
    <row r="510" spans="1:29">
      <c r="A510" s="204"/>
      <c r="B510" s="204"/>
      <c r="C510" s="204"/>
      <c r="D510" s="204"/>
      <c r="E510" s="204"/>
      <c r="F510" s="204"/>
      <c r="G510" s="204"/>
      <c r="H510" s="204"/>
      <c r="I510" s="204"/>
      <c r="J510" s="204"/>
      <c r="K510" s="204"/>
      <c r="L510" s="205"/>
      <c r="M510" s="205"/>
      <c r="N510" s="204"/>
      <c r="O510" s="204"/>
      <c r="P510" s="206"/>
      <c r="Q510" s="206"/>
      <c r="R510" s="206"/>
      <c r="S510" s="206"/>
      <c r="T510" s="204"/>
      <c r="U510" s="207"/>
      <c r="V510" s="204"/>
      <c r="W510" s="204"/>
      <c r="X510" s="207"/>
      <c r="Y510" s="207"/>
      <c r="Z510" s="204"/>
      <c r="AA510" s="204"/>
      <c r="AB510" s="204"/>
      <c r="AC510" s="204"/>
    </row>
    <row r="511" spans="1:29">
      <c r="A511" s="204"/>
      <c r="B511" s="204"/>
      <c r="C511" s="204"/>
      <c r="D511" s="204"/>
      <c r="E511" s="204"/>
      <c r="F511" s="204"/>
      <c r="G511" s="204"/>
      <c r="H511" s="204"/>
      <c r="I511" s="204"/>
      <c r="J511" s="204"/>
      <c r="K511" s="204"/>
      <c r="L511" s="205"/>
      <c r="M511" s="205"/>
      <c r="N511" s="204"/>
      <c r="O511" s="204"/>
      <c r="P511" s="206"/>
      <c r="Q511" s="206"/>
      <c r="R511" s="206"/>
      <c r="S511" s="206"/>
      <c r="T511" s="204"/>
      <c r="U511" s="207"/>
      <c r="V511" s="204"/>
      <c r="W511" s="204"/>
      <c r="X511" s="207"/>
      <c r="Y511" s="207"/>
      <c r="Z511" s="204"/>
      <c r="AA511" s="204"/>
      <c r="AB511" s="204"/>
      <c r="AC511" s="204"/>
    </row>
    <row r="512" spans="1:29">
      <c r="A512" s="204"/>
      <c r="B512" s="204"/>
      <c r="C512" s="204"/>
      <c r="D512" s="204"/>
      <c r="E512" s="204"/>
      <c r="F512" s="204"/>
      <c r="G512" s="204"/>
      <c r="H512" s="204"/>
      <c r="I512" s="204"/>
      <c r="J512" s="204"/>
      <c r="K512" s="204"/>
      <c r="L512" s="205"/>
      <c r="M512" s="205"/>
      <c r="N512" s="204"/>
      <c r="O512" s="204"/>
      <c r="P512" s="206"/>
      <c r="Q512" s="206"/>
      <c r="R512" s="206"/>
      <c r="S512" s="206"/>
      <c r="T512" s="204"/>
      <c r="U512" s="207"/>
      <c r="V512" s="204"/>
      <c r="W512" s="204"/>
      <c r="X512" s="207"/>
      <c r="Y512" s="207"/>
      <c r="Z512" s="204"/>
      <c r="AA512" s="204"/>
      <c r="AB512" s="204"/>
      <c r="AC512" s="204"/>
    </row>
    <row r="513" spans="1:29">
      <c r="A513" s="204"/>
      <c r="B513" s="204"/>
      <c r="C513" s="204"/>
      <c r="D513" s="204"/>
      <c r="E513" s="204"/>
      <c r="F513" s="204"/>
      <c r="G513" s="204"/>
      <c r="H513" s="204"/>
      <c r="I513" s="204"/>
      <c r="J513" s="204"/>
      <c r="K513" s="204"/>
      <c r="L513" s="205"/>
      <c r="M513" s="205"/>
      <c r="N513" s="204"/>
      <c r="O513" s="204"/>
      <c r="P513" s="206"/>
      <c r="Q513" s="206"/>
      <c r="R513" s="206"/>
      <c r="S513" s="206"/>
      <c r="T513" s="204"/>
      <c r="U513" s="207"/>
      <c r="V513" s="204"/>
      <c r="W513" s="204"/>
      <c r="X513" s="207"/>
      <c r="Y513" s="207"/>
      <c r="Z513" s="204"/>
      <c r="AA513" s="204"/>
      <c r="AB513" s="204"/>
      <c r="AC513" s="204"/>
    </row>
    <row r="514" spans="1:29">
      <c r="A514" s="204"/>
      <c r="B514" s="204"/>
      <c r="C514" s="204"/>
      <c r="D514" s="204"/>
      <c r="E514" s="204"/>
      <c r="F514" s="204"/>
      <c r="G514" s="204"/>
      <c r="H514" s="204"/>
      <c r="I514" s="204"/>
      <c r="J514" s="204"/>
      <c r="K514" s="204"/>
      <c r="L514" s="205"/>
      <c r="M514" s="205"/>
      <c r="N514" s="204"/>
      <c r="O514" s="204"/>
      <c r="P514" s="206"/>
      <c r="Q514" s="206"/>
      <c r="R514" s="206"/>
      <c r="S514" s="206"/>
      <c r="T514" s="204"/>
      <c r="U514" s="207"/>
      <c r="V514" s="204"/>
      <c r="W514" s="204"/>
      <c r="X514" s="207"/>
      <c r="Y514" s="207"/>
      <c r="Z514" s="204"/>
      <c r="AA514" s="204"/>
      <c r="AB514" s="204"/>
      <c r="AC514" s="204"/>
    </row>
    <row r="515" spans="1:29">
      <c r="A515" s="204"/>
      <c r="B515" s="204"/>
      <c r="C515" s="204"/>
      <c r="D515" s="204"/>
      <c r="E515" s="204"/>
      <c r="F515" s="204"/>
      <c r="G515" s="204"/>
      <c r="H515" s="204"/>
      <c r="I515" s="204"/>
      <c r="J515" s="204"/>
      <c r="K515" s="204"/>
      <c r="L515" s="205"/>
      <c r="M515" s="205"/>
      <c r="N515" s="204"/>
      <c r="O515" s="204"/>
      <c r="P515" s="206"/>
      <c r="Q515" s="206"/>
      <c r="R515" s="206"/>
      <c r="S515" s="206"/>
      <c r="T515" s="204"/>
      <c r="U515" s="207"/>
      <c r="V515" s="204"/>
      <c r="W515" s="204"/>
      <c r="X515" s="207"/>
      <c r="Y515" s="207"/>
      <c r="Z515" s="204"/>
      <c r="AA515" s="204"/>
      <c r="AB515" s="204"/>
      <c r="AC515" s="204"/>
    </row>
    <row r="516" spans="1:29">
      <c r="A516" s="204"/>
      <c r="B516" s="204"/>
      <c r="C516" s="204"/>
      <c r="D516" s="204"/>
      <c r="E516" s="204"/>
      <c r="F516" s="204"/>
      <c r="G516" s="204"/>
      <c r="H516" s="204"/>
      <c r="I516" s="204"/>
      <c r="J516" s="204"/>
      <c r="K516" s="204"/>
      <c r="L516" s="205"/>
      <c r="M516" s="205"/>
      <c r="N516" s="204"/>
      <c r="O516" s="204"/>
      <c r="P516" s="206"/>
      <c r="Q516" s="206"/>
      <c r="R516" s="206"/>
      <c r="S516" s="206"/>
      <c r="T516" s="204"/>
      <c r="U516" s="207"/>
      <c r="V516" s="204"/>
      <c r="W516" s="204"/>
      <c r="X516" s="207"/>
      <c r="Y516" s="207"/>
      <c r="Z516" s="204"/>
      <c r="AA516" s="204"/>
      <c r="AB516" s="204"/>
      <c r="AC516" s="204"/>
    </row>
    <row r="517" spans="1:29">
      <c r="A517" s="204"/>
      <c r="B517" s="204"/>
      <c r="C517" s="204"/>
      <c r="D517" s="204"/>
      <c r="E517" s="204"/>
      <c r="F517" s="204"/>
      <c r="G517" s="204"/>
      <c r="H517" s="204"/>
      <c r="I517" s="204"/>
      <c r="J517" s="204"/>
      <c r="K517" s="204"/>
      <c r="L517" s="205"/>
      <c r="M517" s="205"/>
      <c r="N517" s="204"/>
      <c r="O517" s="204"/>
      <c r="P517" s="206"/>
      <c r="Q517" s="206"/>
      <c r="R517" s="206"/>
      <c r="S517" s="206"/>
      <c r="T517" s="204"/>
      <c r="U517" s="207"/>
      <c r="V517" s="204"/>
      <c r="W517" s="204"/>
      <c r="X517" s="207"/>
      <c r="Y517" s="207"/>
      <c r="Z517" s="204"/>
      <c r="AA517" s="204"/>
      <c r="AB517" s="204"/>
      <c r="AC517" s="204"/>
    </row>
    <row r="518" spans="1:29">
      <c r="A518" s="204"/>
      <c r="B518" s="204"/>
      <c r="C518" s="204"/>
      <c r="D518" s="204"/>
      <c r="E518" s="204"/>
      <c r="F518" s="204"/>
      <c r="G518" s="204"/>
      <c r="H518" s="204"/>
      <c r="I518" s="204"/>
      <c r="J518" s="204"/>
      <c r="K518" s="204"/>
      <c r="L518" s="205"/>
      <c r="M518" s="205"/>
      <c r="N518" s="204"/>
      <c r="O518" s="204"/>
      <c r="P518" s="206"/>
      <c r="Q518" s="206"/>
      <c r="R518" s="206"/>
      <c r="S518" s="206"/>
      <c r="T518" s="204"/>
      <c r="U518" s="207"/>
      <c r="V518" s="204"/>
      <c r="W518" s="204"/>
      <c r="X518" s="207"/>
      <c r="Y518" s="207"/>
      <c r="Z518" s="204"/>
      <c r="AA518" s="204"/>
      <c r="AB518" s="204"/>
      <c r="AC518" s="204"/>
    </row>
    <row r="519" spans="1:29">
      <c r="A519" s="204"/>
      <c r="B519" s="204"/>
      <c r="C519" s="204"/>
      <c r="D519" s="204"/>
      <c r="E519" s="204"/>
      <c r="F519" s="204"/>
      <c r="G519" s="204"/>
      <c r="H519" s="204"/>
      <c r="I519" s="204"/>
      <c r="J519" s="204"/>
      <c r="K519" s="204"/>
      <c r="L519" s="205"/>
      <c r="M519" s="205"/>
      <c r="N519" s="204"/>
      <c r="O519" s="204"/>
      <c r="P519" s="206"/>
      <c r="Q519" s="206"/>
      <c r="R519" s="206"/>
      <c r="S519" s="206"/>
      <c r="T519" s="204"/>
      <c r="U519" s="207"/>
      <c r="V519" s="204"/>
      <c r="W519" s="204"/>
      <c r="X519" s="207"/>
      <c r="Y519" s="207"/>
      <c r="Z519" s="204"/>
      <c r="AA519" s="204"/>
      <c r="AB519" s="204"/>
      <c r="AC519" s="204"/>
    </row>
    <row r="520" spans="1:29">
      <c r="A520" s="204"/>
      <c r="B520" s="204"/>
      <c r="C520" s="204"/>
      <c r="D520" s="204"/>
      <c r="E520" s="204"/>
      <c r="F520" s="204"/>
      <c r="G520" s="204"/>
      <c r="H520" s="204"/>
      <c r="I520" s="204"/>
      <c r="J520" s="204"/>
      <c r="K520" s="204"/>
      <c r="L520" s="205"/>
      <c r="M520" s="205"/>
      <c r="N520" s="204"/>
      <c r="O520" s="204"/>
      <c r="P520" s="206"/>
      <c r="Q520" s="206"/>
      <c r="R520" s="206"/>
      <c r="S520" s="206"/>
      <c r="T520" s="204"/>
      <c r="U520" s="207"/>
      <c r="V520" s="204"/>
      <c r="W520" s="204"/>
      <c r="X520" s="207"/>
      <c r="Y520" s="207"/>
      <c r="Z520" s="204"/>
      <c r="AA520" s="204"/>
      <c r="AB520" s="204"/>
      <c r="AC520" s="204"/>
    </row>
    <row r="521" spans="1:29">
      <c r="A521" s="204"/>
      <c r="B521" s="204"/>
      <c r="C521" s="204"/>
      <c r="D521" s="204"/>
      <c r="E521" s="204"/>
      <c r="F521" s="204"/>
      <c r="G521" s="204"/>
      <c r="H521" s="204"/>
      <c r="I521" s="204"/>
      <c r="J521" s="204"/>
      <c r="K521" s="204"/>
      <c r="L521" s="205"/>
      <c r="M521" s="205"/>
      <c r="N521" s="204"/>
      <c r="O521" s="204"/>
      <c r="P521" s="206"/>
      <c r="Q521" s="206"/>
      <c r="R521" s="206"/>
      <c r="S521" s="206"/>
      <c r="T521" s="204"/>
      <c r="U521" s="207"/>
      <c r="V521" s="204"/>
      <c r="W521" s="204"/>
      <c r="X521" s="207"/>
      <c r="Y521" s="207"/>
      <c r="Z521" s="204"/>
      <c r="AA521" s="204"/>
      <c r="AB521" s="204"/>
      <c r="AC521" s="204"/>
    </row>
    <row r="522" spans="1:29">
      <c r="A522" s="204"/>
      <c r="B522" s="204"/>
      <c r="C522" s="204"/>
      <c r="D522" s="204"/>
      <c r="E522" s="204"/>
      <c r="F522" s="204"/>
      <c r="G522" s="204"/>
      <c r="H522" s="204"/>
      <c r="I522" s="204"/>
      <c r="J522" s="204"/>
      <c r="K522" s="204"/>
      <c r="L522" s="205"/>
      <c r="M522" s="205"/>
      <c r="N522" s="204"/>
      <c r="O522" s="204"/>
      <c r="P522" s="206"/>
      <c r="Q522" s="206"/>
      <c r="R522" s="206"/>
      <c r="S522" s="206"/>
      <c r="T522" s="204"/>
      <c r="U522" s="207"/>
      <c r="V522" s="204"/>
      <c r="W522" s="204"/>
      <c r="X522" s="207"/>
      <c r="Y522" s="207"/>
      <c r="Z522" s="204"/>
      <c r="AA522" s="204"/>
      <c r="AB522" s="204"/>
      <c r="AC522" s="204"/>
    </row>
    <row r="523" spans="1:29">
      <c r="A523" s="204"/>
      <c r="B523" s="204"/>
      <c r="C523" s="204"/>
      <c r="D523" s="204"/>
      <c r="E523" s="204"/>
      <c r="F523" s="204"/>
      <c r="G523" s="204"/>
      <c r="H523" s="204"/>
      <c r="I523" s="204"/>
      <c r="J523" s="204"/>
      <c r="K523" s="204"/>
      <c r="L523" s="205"/>
      <c r="M523" s="205"/>
      <c r="N523" s="204"/>
      <c r="O523" s="204"/>
      <c r="P523" s="206"/>
      <c r="Q523" s="206"/>
      <c r="R523" s="206"/>
      <c r="S523" s="206"/>
      <c r="T523" s="204"/>
      <c r="U523" s="207"/>
      <c r="V523" s="204"/>
      <c r="W523" s="204"/>
      <c r="X523" s="207"/>
      <c r="Y523" s="207"/>
      <c r="Z523" s="204"/>
      <c r="AA523" s="204"/>
      <c r="AB523" s="204"/>
      <c r="AC523" s="204"/>
    </row>
    <row r="524" spans="1:29">
      <c r="A524" s="204"/>
      <c r="B524" s="204"/>
      <c r="C524" s="204"/>
      <c r="D524" s="204"/>
      <c r="E524" s="204"/>
      <c r="F524" s="204"/>
      <c r="G524" s="204"/>
      <c r="H524" s="204"/>
      <c r="I524" s="204"/>
      <c r="J524" s="204"/>
      <c r="K524" s="204"/>
      <c r="L524" s="205"/>
      <c r="M524" s="205"/>
      <c r="N524" s="204"/>
      <c r="O524" s="204"/>
      <c r="P524" s="206"/>
      <c r="Q524" s="206"/>
      <c r="R524" s="206"/>
      <c r="S524" s="206"/>
      <c r="T524" s="204"/>
      <c r="U524" s="207"/>
      <c r="V524" s="204"/>
      <c r="W524" s="204"/>
      <c r="X524" s="207"/>
      <c r="Y524" s="207"/>
      <c r="Z524" s="204"/>
      <c r="AA524" s="204"/>
      <c r="AB524" s="204"/>
      <c r="AC524" s="204"/>
    </row>
    <row r="525" spans="1:29">
      <c r="A525" s="204"/>
      <c r="B525" s="204"/>
      <c r="C525" s="204"/>
      <c r="D525" s="204"/>
      <c r="E525" s="204"/>
      <c r="F525" s="204"/>
      <c r="G525" s="204"/>
      <c r="H525" s="204"/>
      <c r="I525" s="204"/>
      <c r="J525" s="204"/>
      <c r="K525" s="204"/>
      <c r="L525" s="205"/>
      <c r="M525" s="205"/>
      <c r="N525" s="204"/>
      <c r="O525" s="204"/>
      <c r="P525" s="206"/>
      <c r="Q525" s="206"/>
      <c r="R525" s="206"/>
      <c r="S525" s="206"/>
      <c r="T525" s="204"/>
      <c r="U525" s="207"/>
      <c r="V525" s="204"/>
      <c r="W525" s="204"/>
      <c r="X525" s="207"/>
      <c r="Y525" s="207"/>
      <c r="Z525" s="204"/>
      <c r="AA525" s="204"/>
      <c r="AB525" s="204"/>
      <c r="AC525" s="204"/>
    </row>
    <row r="526" spans="1:29">
      <c r="A526" s="204"/>
      <c r="B526" s="204"/>
      <c r="C526" s="204"/>
      <c r="D526" s="204"/>
      <c r="E526" s="204"/>
      <c r="F526" s="204"/>
      <c r="G526" s="204"/>
      <c r="H526" s="204"/>
      <c r="I526" s="204"/>
      <c r="J526" s="204"/>
      <c r="K526" s="204"/>
      <c r="L526" s="205"/>
      <c r="M526" s="205"/>
      <c r="N526" s="204"/>
      <c r="O526" s="204"/>
      <c r="P526" s="206"/>
      <c r="Q526" s="206"/>
      <c r="R526" s="206"/>
      <c r="S526" s="206"/>
      <c r="T526" s="204"/>
      <c r="U526" s="207"/>
      <c r="V526" s="204"/>
      <c r="W526" s="204"/>
      <c r="X526" s="207"/>
      <c r="Y526" s="207"/>
      <c r="Z526" s="204"/>
      <c r="AA526" s="204"/>
      <c r="AB526" s="204"/>
      <c r="AC526" s="204"/>
    </row>
    <row r="527" spans="1:29">
      <c r="A527" s="204"/>
      <c r="B527" s="204"/>
      <c r="C527" s="204"/>
      <c r="D527" s="204"/>
      <c r="E527" s="204"/>
      <c r="F527" s="204"/>
      <c r="G527" s="204"/>
      <c r="H527" s="204"/>
      <c r="I527" s="204"/>
      <c r="J527" s="204"/>
      <c r="K527" s="204"/>
      <c r="L527" s="205"/>
      <c r="M527" s="205"/>
      <c r="N527" s="204"/>
      <c r="O527" s="204"/>
      <c r="P527" s="206"/>
      <c r="Q527" s="206"/>
      <c r="R527" s="206"/>
      <c r="S527" s="206"/>
      <c r="T527" s="204"/>
      <c r="U527" s="207"/>
      <c r="V527" s="204"/>
      <c r="W527" s="204"/>
      <c r="X527" s="207"/>
      <c r="Y527" s="207"/>
      <c r="Z527" s="204"/>
      <c r="AA527" s="204"/>
      <c r="AB527" s="204"/>
      <c r="AC527" s="204"/>
    </row>
    <row r="528" spans="1:29">
      <c r="A528" s="204"/>
      <c r="B528" s="204"/>
      <c r="C528" s="204"/>
      <c r="D528" s="204"/>
      <c r="E528" s="204"/>
      <c r="F528" s="204"/>
      <c r="G528" s="204"/>
      <c r="H528" s="204"/>
      <c r="I528" s="204"/>
      <c r="J528" s="204"/>
      <c r="K528" s="204"/>
      <c r="L528" s="205"/>
      <c r="M528" s="205"/>
      <c r="N528" s="204"/>
      <c r="O528" s="204"/>
      <c r="P528" s="206"/>
      <c r="Q528" s="206"/>
      <c r="R528" s="206"/>
      <c r="S528" s="206"/>
      <c r="T528" s="204"/>
      <c r="U528" s="207"/>
      <c r="V528" s="204"/>
      <c r="W528" s="204"/>
      <c r="X528" s="207"/>
      <c r="Y528" s="207"/>
      <c r="Z528" s="204"/>
      <c r="AA528" s="204"/>
      <c r="AB528" s="204"/>
      <c r="AC528" s="204"/>
    </row>
    <row r="529" spans="1:29">
      <c r="A529" s="204"/>
      <c r="B529" s="204"/>
      <c r="C529" s="204"/>
      <c r="D529" s="204"/>
      <c r="E529" s="204"/>
      <c r="F529" s="204"/>
      <c r="G529" s="204"/>
      <c r="H529" s="204"/>
      <c r="I529" s="204"/>
      <c r="J529" s="204"/>
      <c r="K529" s="204"/>
      <c r="L529" s="205"/>
      <c r="M529" s="205"/>
      <c r="N529" s="204"/>
      <c r="O529" s="204"/>
      <c r="P529" s="206"/>
      <c r="Q529" s="206"/>
      <c r="R529" s="206"/>
      <c r="S529" s="206"/>
      <c r="T529" s="204"/>
      <c r="U529" s="207"/>
      <c r="V529" s="204"/>
      <c r="W529" s="204"/>
      <c r="X529" s="207"/>
      <c r="Y529" s="207"/>
      <c r="Z529" s="204"/>
      <c r="AA529" s="204"/>
      <c r="AB529" s="204"/>
      <c r="AC529" s="204"/>
    </row>
    <row r="530" spans="1:29">
      <c r="A530" s="204"/>
      <c r="B530" s="204"/>
      <c r="C530" s="204"/>
      <c r="D530" s="204"/>
      <c r="E530" s="204"/>
      <c r="F530" s="204"/>
      <c r="G530" s="204"/>
      <c r="H530" s="204"/>
      <c r="I530" s="204"/>
      <c r="J530" s="204"/>
      <c r="K530" s="204"/>
      <c r="L530" s="205"/>
      <c r="M530" s="205"/>
      <c r="N530" s="204"/>
      <c r="O530" s="204"/>
      <c r="P530" s="206"/>
      <c r="Q530" s="206"/>
      <c r="R530" s="206"/>
      <c r="S530" s="206"/>
      <c r="T530" s="204"/>
      <c r="U530" s="207"/>
      <c r="V530" s="204"/>
      <c r="W530" s="204"/>
      <c r="X530" s="207"/>
      <c r="Y530" s="207"/>
      <c r="Z530" s="204"/>
      <c r="AA530" s="204"/>
      <c r="AB530" s="204"/>
      <c r="AC530" s="204"/>
    </row>
    <row r="531" spans="1:29">
      <c r="A531" s="204"/>
      <c r="B531" s="204"/>
      <c r="C531" s="204"/>
      <c r="D531" s="204"/>
      <c r="E531" s="204"/>
      <c r="F531" s="204"/>
      <c r="G531" s="204"/>
      <c r="H531" s="204"/>
      <c r="I531" s="204"/>
      <c r="J531" s="204"/>
      <c r="K531" s="204"/>
      <c r="L531" s="205"/>
      <c r="M531" s="205"/>
      <c r="N531" s="204"/>
      <c r="O531" s="204"/>
      <c r="P531" s="206"/>
      <c r="Q531" s="206"/>
      <c r="R531" s="206"/>
      <c r="S531" s="206"/>
      <c r="T531" s="204"/>
      <c r="U531" s="207"/>
      <c r="V531" s="204"/>
      <c r="W531" s="204"/>
      <c r="X531" s="207"/>
      <c r="Y531" s="207"/>
      <c r="Z531" s="204"/>
      <c r="AA531" s="204"/>
      <c r="AB531" s="204"/>
      <c r="AC531" s="204"/>
    </row>
    <row r="532" spans="1:29">
      <c r="A532" s="204"/>
      <c r="B532" s="204"/>
      <c r="C532" s="204"/>
      <c r="D532" s="204"/>
      <c r="E532" s="204"/>
      <c r="F532" s="204"/>
      <c r="G532" s="204"/>
      <c r="H532" s="204"/>
      <c r="I532" s="204"/>
      <c r="J532" s="204"/>
      <c r="K532" s="204"/>
      <c r="L532" s="205"/>
      <c r="M532" s="205"/>
      <c r="N532" s="204"/>
      <c r="O532" s="204"/>
      <c r="P532" s="206"/>
      <c r="Q532" s="206"/>
      <c r="R532" s="206"/>
      <c r="S532" s="206"/>
      <c r="T532" s="204"/>
      <c r="U532" s="207"/>
      <c r="V532" s="204"/>
      <c r="W532" s="204"/>
      <c r="X532" s="207"/>
      <c r="Y532" s="207"/>
      <c r="Z532" s="204"/>
      <c r="AA532" s="204"/>
      <c r="AB532" s="204"/>
      <c r="AC532" s="204"/>
    </row>
    <row r="533" spans="1:29">
      <c r="A533" s="204"/>
      <c r="B533" s="204"/>
      <c r="C533" s="204"/>
      <c r="D533" s="204"/>
      <c r="E533" s="204"/>
      <c r="F533" s="204"/>
      <c r="G533" s="204"/>
      <c r="H533" s="204"/>
      <c r="I533" s="204"/>
      <c r="J533" s="204"/>
      <c r="K533" s="204"/>
      <c r="L533" s="205"/>
      <c r="M533" s="205"/>
      <c r="N533" s="204"/>
      <c r="O533" s="204"/>
      <c r="P533" s="206"/>
      <c r="Q533" s="206"/>
      <c r="R533" s="206"/>
      <c r="S533" s="206"/>
      <c r="T533" s="204"/>
      <c r="U533" s="207"/>
      <c r="V533" s="204"/>
      <c r="W533" s="204"/>
      <c r="X533" s="207"/>
      <c r="Y533" s="207"/>
      <c r="Z533" s="204"/>
      <c r="AA533" s="204"/>
      <c r="AB533" s="204"/>
      <c r="AC533" s="204"/>
    </row>
    <row r="534" spans="1:29">
      <c r="A534" s="204"/>
      <c r="B534" s="204"/>
      <c r="C534" s="204"/>
      <c r="D534" s="204"/>
      <c r="E534" s="204"/>
      <c r="F534" s="204"/>
      <c r="G534" s="204"/>
      <c r="H534" s="204"/>
      <c r="I534" s="204"/>
      <c r="J534" s="204"/>
      <c r="K534" s="204"/>
      <c r="L534" s="205"/>
      <c r="M534" s="205"/>
      <c r="N534" s="204"/>
      <c r="O534" s="204"/>
      <c r="P534" s="206"/>
      <c r="Q534" s="206"/>
      <c r="R534" s="206"/>
      <c r="S534" s="206"/>
      <c r="T534" s="204"/>
      <c r="U534" s="207"/>
      <c r="V534" s="204"/>
      <c r="W534" s="204"/>
      <c r="X534" s="207"/>
      <c r="Y534" s="207"/>
      <c r="Z534" s="204"/>
      <c r="AA534" s="204"/>
      <c r="AB534" s="204"/>
      <c r="AC534" s="204"/>
    </row>
    <row r="535" spans="1:29">
      <c r="A535" s="204"/>
      <c r="B535" s="204"/>
      <c r="C535" s="204"/>
      <c r="D535" s="204"/>
      <c r="E535" s="204"/>
      <c r="F535" s="204"/>
      <c r="G535" s="204"/>
      <c r="H535" s="204"/>
      <c r="I535" s="204"/>
      <c r="J535" s="204"/>
      <c r="K535" s="204"/>
      <c r="L535" s="205"/>
      <c r="M535" s="205"/>
      <c r="N535" s="204"/>
      <c r="O535" s="204"/>
      <c r="P535" s="206"/>
      <c r="Q535" s="206"/>
      <c r="R535" s="206"/>
      <c r="S535" s="206"/>
      <c r="T535" s="204"/>
      <c r="U535" s="207"/>
      <c r="V535" s="204"/>
      <c r="W535" s="204"/>
      <c r="X535" s="207"/>
      <c r="Y535" s="207"/>
      <c r="Z535" s="204"/>
      <c r="AA535" s="204"/>
      <c r="AB535" s="204"/>
      <c r="AC535" s="204"/>
    </row>
    <row r="536" spans="1:29">
      <c r="A536" s="204"/>
      <c r="B536" s="204"/>
      <c r="C536" s="204"/>
      <c r="D536" s="204"/>
      <c r="E536" s="204"/>
      <c r="F536" s="204"/>
      <c r="G536" s="204"/>
      <c r="H536" s="204"/>
      <c r="I536" s="204"/>
      <c r="J536" s="204"/>
      <c r="K536" s="204"/>
      <c r="L536" s="205"/>
      <c r="M536" s="205"/>
      <c r="N536" s="204"/>
      <c r="O536" s="204"/>
      <c r="P536" s="206"/>
      <c r="Q536" s="206"/>
      <c r="R536" s="206"/>
      <c r="S536" s="206"/>
      <c r="T536" s="204"/>
      <c r="U536" s="207"/>
      <c r="V536" s="204"/>
      <c r="W536" s="204"/>
      <c r="X536" s="207"/>
      <c r="Y536" s="207"/>
      <c r="Z536" s="204"/>
      <c r="AA536" s="204"/>
      <c r="AB536" s="204"/>
      <c r="AC536" s="204"/>
    </row>
    <row r="537" spans="1:29">
      <c r="A537" s="204"/>
      <c r="B537" s="204"/>
      <c r="C537" s="204"/>
      <c r="D537" s="204"/>
      <c r="E537" s="204"/>
      <c r="F537" s="204"/>
      <c r="G537" s="204"/>
      <c r="H537" s="204"/>
      <c r="I537" s="204"/>
      <c r="J537" s="204"/>
      <c r="K537" s="204"/>
      <c r="L537" s="205"/>
      <c r="M537" s="205"/>
      <c r="N537" s="204"/>
      <c r="O537" s="204"/>
      <c r="P537" s="206"/>
      <c r="Q537" s="206"/>
      <c r="R537" s="206"/>
      <c r="S537" s="206"/>
      <c r="T537" s="204"/>
      <c r="U537" s="207"/>
      <c r="V537" s="204"/>
      <c r="W537" s="204"/>
      <c r="X537" s="207"/>
      <c r="Y537" s="207"/>
      <c r="Z537" s="204"/>
      <c r="AA537" s="204"/>
      <c r="AB537" s="204"/>
      <c r="AC537" s="204"/>
    </row>
    <row r="538" spans="1:29">
      <c r="A538" s="204"/>
      <c r="B538" s="204"/>
      <c r="C538" s="204"/>
      <c r="D538" s="204"/>
      <c r="E538" s="204"/>
      <c r="F538" s="204"/>
      <c r="G538" s="204"/>
      <c r="H538" s="204"/>
      <c r="I538" s="204"/>
      <c r="J538" s="204"/>
      <c r="K538" s="204"/>
      <c r="L538" s="205"/>
      <c r="M538" s="205"/>
      <c r="N538" s="204"/>
      <c r="O538" s="204"/>
      <c r="P538" s="206"/>
      <c r="Q538" s="206"/>
      <c r="R538" s="206"/>
      <c r="S538" s="206"/>
      <c r="T538" s="204"/>
      <c r="U538" s="207"/>
      <c r="V538" s="204"/>
      <c r="W538" s="204"/>
      <c r="X538" s="207"/>
      <c r="Y538" s="207"/>
      <c r="Z538" s="204"/>
      <c r="AA538" s="204"/>
      <c r="AB538" s="204"/>
      <c r="AC538" s="204"/>
    </row>
    <row r="539" spans="1:29">
      <c r="A539" s="204"/>
      <c r="B539" s="204"/>
      <c r="C539" s="204"/>
      <c r="D539" s="204"/>
      <c r="E539" s="204"/>
      <c r="F539" s="204"/>
      <c r="G539" s="204"/>
      <c r="H539" s="204"/>
      <c r="I539" s="204"/>
      <c r="J539" s="204"/>
      <c r="K539" s="204"/>
      <c r="L539" s="205"/>
      <c r="M539" s="205"/>
      <c r="N539" s="204"/>
      <c r="O539" s="204"/>
      <c r="P539" s="206"/>
      <c r="Q539" s="206"/>
      <c r="R539" s="206"/>
      <c r="S539" s="206"/>
      <c r="T539" s="204"/>
      <c r="U539" s="207"/>
      <c r="V539" s="204"/>
      <c r="W539" s="204"/>
      <c r="X539" s="207"/>
      <c r="Y539" s="207"/>
      <c r="Z539" s="204"/>
      <c r="AA539" s="204"/>
      <c r="AB539" s="204"/>
      <c r="AC539" s="204"/>
    </row>
    <row r="540" spans="1:29">
      <c r="A540" s="204"/>
      <c r="B540" s="204"/>
      <c r="C540" s="204"/>
      <c r="D540" s="204"/>
      <c r="E540" s="204"/>
      <c r="F540" s="204"/>
      <c r="G540" s="204"/>
      <c r="H540" s="204"/>
      <c r="I540" s="204"/>
      <c r="J540" s="204"/>
      <c r="K540" s="204"/>
      <c r="L540" s="205"/>
      <c r="M540" s="205"/>
      <c r="N540" s="204"/>
      <c r="O540" s="204"/>
      <c r="P540" s="206"/>
      <c r="Q540" s="206"/>
      <c r="R540" s="206"/>
      <c r="S540" s="206"/>
      <c r="T540" s="204"/>
      <c r="U540" s="207"/>
      <c r="V540" s="204"/>
      <c r="W540" s="204"/>
      <c r="X540" s="207"/>
      <c r="Y540" s="207"/>
      <c r="Z540" s="204"/>
      <c r="AA540" s="204"/>
      <c r="AB540" s="204"/>
      <c r="AC540" s="204"/>
    </row>
    <row r="541" spans="1:29">
      <c r="A541" s="204"/>
      <c r="B541" s="204"/>
      <c r="C541" s="204"/>
      <c r="D541" s="204"/>
      <c r="E541" s="204"/>
      <c r="F541" s="204"/>
      <c r="G541" s="204"/>
      <c r="H541" s="204"/>
      <c r="I541" s="204"/>
      <c r="J541" s="204"/>
      <c r="K541" s="204"/>
      <c r="L541" s="205"/>
      <c r="M541" s="205"/>
      <c r="N541" s="204"/>
      <c r="O541" s="204"/>
      <c r="P541" s="206"/>
      <c r="Q541" s="206"/>
      <c r="R541" s="206"/>
      <c r="S541" s="206"/>
      <c r="T541" s="204"/>
      <c r="U541" s="207"/>
      <c r="V541" s="204"/>
      <c r="W541" s="204"/>
      <c r="X541" s="207"/>
      <c r="Y541" s="207"/>
      <c r="Z541" s="204"/>
      <c r="AA541" s="204"/>
      <c r="AB541" s="204"/>
      <c r="AC541" s="204"/>
    </row>
    <row r="542" spans="1:29">
      <c r="A542" s="204"/>
      <c r="B542" s="204"/>
      <c r="C542" s="204"/>
      <c r="D542" s="204"/>
      <c r="E542" s="204"/>
      <c r="F542" s="204"/>
      <c r="G542" s="204"/>
      <c r="H542" s="204"/>
      <c r="I542" s="204"/>
      <c r="J542" s="204"/>
      <c r="K542" s="204"/>
      <c r="L542" s="205"/>
      <c r="M542" s="205"/>
      <c r="N542" s="204"/>
      <c r="O542" s="204"/>
      <c r="P542" s="206"/>
      <c r="Q542" s="206"/>
      <c r="R542" s="206"/>
      <c r="S542" s="206"/>
      <c r="T542" s="204"/>
      <c r="U542" s="207"/>
      <c r="V542" s="204"/>
      <c r="W542" s="204"/>
      <c r="X542" s="207"/>
      <c r="Y542" s="207"/>
      <c r="Z542" s="204"/>
      <c r="AA542" s="204"/>
      <c r="AB542" s="204"/>
      <c r="AC542" s="204"/>
    </row>
    <row r="543" spans="1:29">
      <c r="A543" s="204"/>
      <c r="B543" s="204"/>
      <c r="C543" s="204"/>
      <c r="D543" s="204"/>
      <c r="E543" s="204"/>
      <c r="F543" s="204"/>
      <c r="G543" s="204"/>
      <c r="H543" s="204"/>
      <c r="I543" s="204"/>
      <c r="J543" s="204"/>
      <c r="K543" s="204"/>
      <c r="L543" s="205"/>
      <c r="M543" s="205"/>
      <c r="N543" s="204"/>
      <c r="O543" s="204"/>
      <c r="P543" s="206"/>
      <c r="Q543" s="206"/>
      <c r="R543" s="206"/>
      <c r="S543" s="206"/>
      <c r="T543" s="204"/>
      <c r="U543" s="207"/>
      <c r="V543" s="204"/>
      <c r="W543" s="204"/>
      <c r="X543" s="207"/>
      <c r="Y543" s="207"/>
      <c r="Z543" s="204"/>
      <c r="AA543" s="204"/>
      <c r="AB543" s="204"/>
      <c r="AC543" s="204"/>
    </row>
    <row r="544" spans="1:29">
      <c r="A544" s="204"/>
      <c r="B544" s="204"/>
      <c r="C544" s="204"/>
      <c r="D544" s="204"/>
      <c r="E544" s="204"/>
      <c r="F544" s="204"/>
      <c r="G544" s="204"/>
      <c r="H544" s="204"/>
      <c r="I544" s="204"/>
      <c r="J544" s="204"/>
      <c r="K544" s="204"/>
      <c r="L544" s="205"/>
      <c r="M544" s="205"/>
      <c r="N544" s="204"/>
      <c r="O544" s="204"/>
      <c r="P544" s="206"/>
      <c r="Q544" s="206"/>
      <c r="R544" s="206"/>
      <c r="S544" s="206"/>
      <c r="T544" s="204"/>
      <c r="U544" s="207"/>
      <c r="V544" s="204"/>
      <c r="W544" s="204"/>
      <c r="X544" s="207"/>
      <c r="Y544" s="207"/>
      <c r="Z544" s="204"/>
      <c r="AA544" s="204"/>
      <c r="AB544" s="204"/>
      <c r="AC544" s="204"/>
    </row>
    <row r="545" spans="1:29">
      <c r="A545" s="204"/>
      <c r="B545" s="204"/>
      <c r="C545" s="204"/>
      <c r="D545" s="204"/>
      <c r="E545" s="204"/>
      <c r="F545" s="204"/>
      <c r="G545" s="204"/>
      <c r="H545" s="204"/>
      <c r="I545" s="204"/>
      <c r="J545" s="204"/>
      <c r="K545" s="204"/>
      <c r="L545" s="205"/>
      <c r="M545" s="205"/>
      <c r="N545" s="204"/>
      <c r="O545" s="204"/>
      <c r="P545" s="206"/>
      <c r="Q545" s="206"/>
      <c r="R545" s="206"/>
      <c r="S545" s="206"/>
      <c r="T545" s="204"/>
      <c r="U545" s="207"/>
      <c r="V545" s="204"/>
      <c r="W545" s="204"/>
      <c r="X545" s="207"/>
      <c r="Y545" s="207"/>
      <c r="Z545" s="204"/>
      <c r="AA545" s="204"/>
      <c r="AB545" s="204"/>
      <c r="AC545" s="204"/>
    </row>
    <row r="546" spans="1:29">
      <c r="A546" s="204"/>
      <c r="B546" s="204"/>
      <c r="C546" s="204"/>
      <c r="D546" s="204"/>
      <c r="E546" s="204"/>
      <c r="F546" s="204"/>
      <c r="G546" s="204"/>
      <c r="H546" s="204"/>
      <c r="I546" s="204"/>
      <c r="J546" s="204"/>
      <c r="K546" s="204"/>
      <c r="L546" s="205"/>
      <c r="M546" s="205"/>
      <c r="N546" s="204"/>
      <c r="O546" s="204"/>
      <c r="P546" s="206"/>
      <c r="Q546" s="206"/>
      <c r="R546" s="206"/>
      <c r="S546" s="206"/>
      <c r="T546" s="204"/>
      <c r="U546" s="207"/>
      <c r="V546" s="204"/>
      <c r="W546" s="204"/>
      <c r="X546" s="207"/>
      <c r="Y546" s="207"/>
      <c r="Z546" s="204"/>
      <c r="AA546" s="204"/>
      <c r="AB546" s="204"/>
      <c r="AC546" s="204"/>
    </row>
    <row r="547" spans="1:29">
      <c r="A547" s="204"/>
      <c r="B547" s="204"/>
      <c r="C547" s="204"/>
      <c r="D547" s="204"/>
      <c r="E547" s="204"/>
      <c r="F547" s="204"/>
      <c r="G547" s="204"/>
      <c r="H547" s="204"/>
      <c r="I547" s="204"/>
      <c r="J547" s="204"/>
      <c r="K547" s="204"/>
      <c r="L547" s="205"/>
      <c r="M547" s="205"/>
      <c r="N547" s="204"/>
      <c r="O547" s="204"/>
      <c r="P547" s="206"/>
      <c r="Q547" s="206"/>
      <c r="R547" s="206"/>
      <c r="S547" s="206"/>
      <c r="T547" s="204"/>
      <c r="U547" s="207"/>
      <c r="V547" s="204"/>
      <c r="W547" s="204"/>
      <c r="X547" s="207"/>
      <c r="Y547" s="207"/>
      <c r="Z547" s="204"/>
      <c r="AA547" s="204"/>
      <c r="AB547" s="204"/>
      <c r="AC547" s="204"/>
    </row>
    <row r="548" spans="1:29">
      <c r="A548" s="204"/>
      <c r="B548" s="204"/>
      <c r="C548" s="204"/>
      <c r="D548" s="204"/>
      <c r="E548" s="204"/>
      <c r="F548" s="204"/>
      <c r="G548" s="204"/>
      <c r="H548" s="204"/>
      <c r="I548" s="204"/>
      <c r="J548" s="204"/>
      <c r="K548" s="204"/>
      <c r="L548" s="205"/>
      <c r="M548" s="205"/>
      <c r="N548" s="204"/>
      <c r="O548" s="204"/>
      <c r="P548" s="206"/>
      <c r="Q548" s="206"/>
      <c r="R548" s="206"/>
      <c r="S548" s="206"/>
      <c r="T548" s="204"/>
      <c r="U548" s="207"/>
      <c r="V548" s="204"/>
      <c r="W548" s="204"/>
      <c r="X548" s="207"/>
      <c r="Y548" s="207"/>
      <c r="Z548" s="204"/>
      <c r="AA548" s="204"/>
      <c r="AB548" s="204"/>
      <c r="AC548" s="204"/>
    </row>
    <row r="549" spans="1:29">
      <c r="A549" s="204"/>
      <c r="B549" s="204"/>
      <c r="C549" s="204"/>
      <c r="D549" s="204"/>
      <c r="E549" s="204"/>
      <c r="F549" s="204"/>
      <c r="G549" s="204"/>
      <c r="H549" s="204"/>
      <c r="I549" s="204"/>
      <c r="J549" s="204"/>
      <c r="K549" s="204"/>
      <c r="L549" s="205"/>
      <c r="M549" s="205"/>
      <c r="N549" s="204"/>
      <c r="O549" s="204"/>
      <c r="P549" s="206"/>
      <c r="Q549" s="206"/>
      <c r="R549" s="206"/>
      <c r="S549" s="206"/>
      <c r="T549" s="204"/>
      <c r="U549" s="207"/>
      <c r="V549" s="204"/>
      <c r="W549" s="204"/>
      <c r="X549" s="207"/>
      <c r="Y549" s="207"/>
      <c r="Z549" s="204"/>
      <c r="AA549" s="204"/>
      <c r="AB549" s="204"/>
      <c r="AC549" s="204"/>
    </row>
    <row r="550" spans="1:29">
      <c r="A550" s="204"/>
      <c r="B550" s="204"/>
      <c r="C550" s="204"/>
      <c r="D550" s="204"/>
      <c r="E550" s="204"/>
      <c r="F550" s="204"/>
      <c r="G550" s="204"/>
      <c r="H550" s="204"/>
      <c r="I550" s="204"/>
      <c r="J550" s="204"/>
      <c r="K550" s="204"/>
      <c r="L550" s="205"/>
      <c r="M550" s="205"/>
      <c r="N550" s="204"/>
      <c r="O550" s="204"/>
      <c r="P550" s="206"/>
      <c r="Q550" s="206"/>
      <c r="R550" s="206"/>
      <c r="S550" s="206"/>
      <c r="T550" s="204"/>
      <c r="U550" s="207"/>
      <c r="V550" s="204"/>
      <c r="W550" s="204"/>
      <c r="X550" s="207"/>
      <c r="Y550" s="207"/>
      <c r="Z550" s="204"/>
      <c r="AA550" s="204"/>
      <c r="AB550" s="204"/>
      <c r="AC550" s="204"/>
    </row>
    <row r="551" spans="1:29">
      <c r="A551" s="204"/>
      <c r="B551" s="204"/>
      <c r="C551" s="204"/>
      <c r="D551" s="204"/>
      <c r="E551" s="204"/>
      <c r="F551" s="204"/>
      <c r="G551" s="204"/>
      <c r="H551" s="204"/>
      <c r="I551" s="204"/>
      <c r="J551" s="204"/>
      <c r="K551" s="204"/>
      <c r="L551" s="205"/>
      <c r="M551" s="205"/>
      <c r="N551" s="204"/>
      <c r="O551" s="204"/>
      <c r="P551" s="206"/>
      <c r="Q551" s="206"/>
      <c r="R551" s="206"/>
      <c r="S551" s="206"/>
      <c r="T551" s="204"/>
      <c r="U551" s="207"/>
      <c r="V551" s="204"/>
      <c r="W551" s="204"/>
      <c r="X551" s="207"/>
      <c r="Y551" s="207"/>
      <c r="Z551" s="204"/>
      <c r="AA551" s="204"/>
      <c r="AB551" s="204"/>
      <c r="AC551" s="204"/>
    </row>
    <row r="552" spans="1:29">
      <c r="A552" s="204"/>
      <c r="B552" s="204"/>
      <c r="C552" s="204"/>
      <c r="D552" s="204"/>
      <c r="E552" s="204"/>
      <c r="F552" s="204"/>
      <c r="G552" s="204"/>
      <c r="H552" s="204"/>
      <c r="I552" s="204"/>
      <c r="J552" s="204"/>
      <c r="K552" s="204"/>
      <c r="L552" s="205"/>
      <c r="M552" s="205"/>
      <c r="N552" s="204"/>
      <c r="O552" s="204"/>
      <c r="P552" s="206"/>
      <c r="Q552" s="206"/>
      <c r="R552" s="206"/>
      <c r="S552" s="206"/>
      <c r="T552" s="204"/>
      <c r="U552" s="207"/>
      <c r="V552" s="204"/>
      <c r="W552" s="204"/>
      <c r="X552" s="207"/>
      <c r="Y552" s="207"/>
      <c r="Z552" s="204"/>
      <c r="AA552" s="204"/>
      <c r="AB552" s="204"/>
      <c r="AC552" s="204"/>
    </row>
    <row r="553" spans="1:29">
      <c r="A553" s="204"/>
      <c r="B553" s="204"/>
      <c r="C553" s="204"/>
      <c r="D553" s="204"/>
      <c r="E553" s="204"/>
      <c r="F553" s="204"/>
      <c r="G553" s="204"/>
      <c r="H553" s="204"/>
      <c r="I553" s="204"/>
      <c r="J553" s="204"/>
      <c r="K553" s="204"/>
      <c r="L553" s="205"/>
      <c r="M553" s="205"/>
      <c r="N553" s="204"/>
      <c r="O553" s="204"/>
      <c r="P553" s="206"/>
      <c r="Q553" s="206"/>
      <c r="R553" s="206"/>
      <c r="S553" s="206"/>
      <c r="T553" s="204"/>
      <c r="U553" s="207"/>
      <c r="V553" s="204"/>
      <c r="W553" s="204"/>
      <c r="X553" s="207"/>
      <c r="Y553" s="207"/>
      <c r="Z553" s="204"/>
      <c r="AA553" s="204"/>
      <c r="AB553" s="204"/>
      <c r="AC553" s="204"/>
    </row>
    <row r="554" spans="1:29">
      <c r="A554" s="204"/>
      <c r="B554" s="204"/>
      <c r="C554" s="204"/>
      <c r="D554" s="204"/>
      <c r="E554" s="204"/>
      <c r="F554" s="204"/>
      <c r="G554" s="204"/>
      <c r="H554" s="204"/>
      <c r="I554" s="204"/>
      <c r="J554" s="204"/>
      <c r="K554" s="204"/>
      <c r="L554" s="205"/>
      <c r="M554" s="205"/>
      <c r="N554" s="204"/>
      <c r="O554" s="204"/>
      <c r="P554" s="206"/>
      <c r="Q554" s="206"/>
      <c r="R554" s="206"/>
      <c r="S554" s="206"/>
      <c r="T554" s="204"/>
      <c r="U554" s="207"/>
      <c r="V554" s="204"/>
      <c r="W554" s="204"/>
      <c r="X554" s="207"/>
      <c r="Y554" s="207"/>
      <c r="Z554" s="204"/>
      <c r="AA554" s="204"/>
      <c r="AB554" s="204"/>
      <c r="AC554" s="204"/>
    </row>
    <row r="555" spans="1:29">
      <c r="A555" s="204"/>
      <c r="B555" s="204"/>
      <c r="C555" s="204"/>
      <c r="D555" s="204"/>
      <c r="E555" s="204"/>
      <c r="F555" s="204"/>
      <c r="G555" s="204"/>
      <c r="H555" s="204"/>
      <c r="I555" s="204"/>
      <c r="J555" s="204"/>
      <c r="K555" s="204"/>
      <c r="L555" s="205"/>
      <c r="M555" s="205"/>
      <c r="N555" s="204"/>
      <c r="O555" s="204"/>
      <c r="P555" s="206"/>
      <c r="Q555" s="206"/>
      <c r="R555" s="206"/>
      <c r="S555" s="206"/>
      <c r="T555" s="204"/>
      <c r="U555" s="207"/>
      <c r="V555" s="204"/>
      <c r="W555" s="204"/>
      <c r="X555" s="207"/>
      <c r="Y555" s="207"/>
      <c r="Z555" s="204"/>
      <c r="AA555" s="204"/>
      <c r="AB555" s="204"/>
      <c r="AC555" s="204"/>
    </row>
    <row r="556" spans="1:29">
      <c r="A556" s="204"/>
      <c r="B556" s="204"/>
      <c r="C556" s="204"/>
      <c r="D556" s="204"/>
      <c r="E556" s="204"/>
      <c r="F556" s="204"/>
      <c r="G556" s="204"/>
      <c r="H556" s="204"/>
      <c r="I556" s="204"/>
      <c r="J556" s="204"/>
      <c r="K556" s="204"/>
      <c r="L556" s="205"/>
      <c r="M556" s="205"/>
      <c r="N556" s="204"/>
      <c r="O556" s="204"/>
      <c r="P556" s="206"/>
      <c r="Q556" s="206"/>
      <c r="R556" s="206"/>
      <c r="S556" s="206"/>
      <c r="T556" s="204"/>
      <c r="U556" s="207"/>
      <c r="V556" s="204"/>
      <c r="W556" s="204"/>
      <c r="X556" s="207"/>
      <c r="Y556" s="207"/>
      <c r="Z556" s="204"/>
      <c r="AA556" s="204"/>
      <c r="AB556" s="204"/>
      <c r="AC556" s="204"/>
    </row>
    <row r="557" spans="1:29">
      <c r="A557" s="204"/>
      <c r="B557" s="204"/>
      <c r="C557" s="204"/>
      <c r="D557" s="204"/>
      <c r="E557" s="204"/>
      <c r="F557" s="204"/>
      <c r="G557" s="204"/>
      <c r="H557" s="204"/>
      <c r="I557" s="204"/>
      <c r="J557" s="204"/>
      <c r="K557" s="204"/>
      <c r="L557" s="205"/>
      <c r="M557" s="205"/>
      <c r="N557" s="204"/>
      <c r="O557" s="204"/>
      <c r="P557" s="206"/>
      <c r="Q557" s="206"/>
      <c r="R557" s="206"/>
      <c r="S557" s="206"/>
      <c r="T557" s="204"/>
      <c r="U557" s="207"/>
      <c r="V557" s="204"/>
      <c r="W557" s="204"/>
      <c r="X557" s="207"/>
      <c r="Y557" s="207"/>
      <c r="Z557" s="204"/>
      <c r="AA557" s="204"/>
      <c r="AB557" s="204"/>
      <c r="AC557" s="204"/>
    </row>
    <row r="558" spans="1:29">
      <c r="A558" s="204"/>
      <c r="B558" s="204"/>
      <c r="C558" s="204"/>
      <c r="D558" s="204"/>
      <c r="E558" s="204"/>
      <c r="F558" s="204"/>
      <c r="G558" s="204"/>
      <c r="H558" s="204"/>
      <c r="I558" s="204"/>
      <c r="J558" s="204"/>
      <c r="K558" s="204"/>
      <c r="L558" s="205"/>
      <c r="M558" s="205"/>
      <c r="N558" s="204"/>
      <c r="O558" s="204"/>
      <c r="P558" s="206"/>
      <c r="Q558" s="206"/>
      <c r="R558" s="206"/>
      <c r="S558" s="206"/>
      <c r="T558" s="204"/>
      <c r="U558" s="207"/>
      <c r="V558" s="204"/>
      <c r="W558" s="204"/>
      <c r="X558" s="207"/>
      <c r="Y558" s="207"/>
      <c r="Z558" s="204"/>
      <c r="AA558" s="204"/>
      <c r="AB558" s="204"/>
      <c r="AC558" s="204"/>
    </row>
    <row r="559" spans="1:29">
      <c r="A559" s="204"/>
      <c r="B559" s="204"/>
      <c r="C559" s="204"/>
      <c r="D559" s="204"/>
      <c r="E559" s="204"/>
      <c r="F559" s="204"/>
      <c r="G559" s="204"/>
      <c r="H559" s="204"/>
      <c r="I559" s="204"/>
      <c r="J559" s="204"/>
      <c r="K559" s="204"/>
      <c r="L559" s="205"/>
      <c r="M559" s="205"/>
      <c r="N559" s="204"/>
      <c r="O559" s="204"/>
      <c r="P559" s="206"/>
      <c r="Q559" s="206"/>
      <c r="R559" s="206"/>
      <c r="S559" s="206"/>
      <c r="T559" s="204"/>
      <c r="U559" s="207"/>
      <c r="V559" s="204"/>
      <c r="W559" s="204"/>
      <c r="X559" s="207"/>
      <c r="Y559" s="207"/>
      <c r="Z559" s="204"/>
      <c r="AA559" s="204"/>
      <c r="AB559" s="204"/>
      <c r="AC559" s="204"/>
    </row>
    <row r="560" spans="1:29">
      <c r="A560" s="204"/>
      <c r="B560" s="204"/>
      <c r="C560" s="204"/>
      <c r="D560" s="204"/>
      <c r="E560" s="204"/>
      <c r="F560" s="204"/>
      <c r="G560" s="204"/>
      <c r="H560" s="204"/>
      <c r="I560" s="204"/>
      <c r="J560" s="204"/>
      <c r="K560" s="204"/>
      <c r="L560" s="205"/>
      <c r="M560" s="205"/>
      <c r="N560" s="204"/>
      <c r="O560" s="204"/>
      <c r="P560" s="206"/>
      <c r="Q560" s="206"/>
      <c r="R560" s="206"/>
      <c r="S560" s="206"/>
      <c r="T560" s="204"/>
      <c r="U560" s="207"/>
      <c r="V560" s="204"/>
      <c r="W560" s="204"/>
      <c r="X560" s="207"/>
      <c r="Y560" s="207"/>
      <c r="Z560" s="204"/>
      <c r="AA560" s="204"/>
      <c r="AB560" s="204"/>
      <c r="AC560" s="204"/>
    </row>
    <row r="561" spans="1:29">
      <c r="A561" s="204"/>
      <c r="B561" s="204"/>
      <c r="C561" s="204"/>
      <c r="D561" s="204"/>
      <c r="E561" s="204"/>
      <c r="F561" s="204"/>
      <c r="G561" s="204"/>
      <c r="H561" s="204"/>
      <c r="I561" s="204"/>
      <c r="J561" s="204"/>
      <c r="K561" s="204"/>
      <c r="L561" s="205"/>
      <c r="M561" s="205"/>
      <c r="N561" s="204"/>
      <c r="O561" s="204"/>
      <c r="P561" s="206"/>
      <c r="Q561" s="206"/>
      <c r="R561" s="206"/>
      <c r="S561" s="206"/>
      <c r="T561" s="204"/>
      <c r="U561" s="207"/>
      <c r="V561" s="204"/>
      <c r="W561" s="204"/>
      <c r="X561" s="207"/>
      <c r="Y561" s="207"/>
      <c r="Z561" s="204"/>
      <c r="AA561" s="204"/>
      <c r="AB561" s="204"/>
      <c r="AC561" s="204"/>
    </row>
    <row r="562" spans="1:29">
      <c r="A562" s="204"/>
      <c r="B562" s="204"/>
      <c r="C562" s="204"/>
      <c r="D562" s="204"/>
      <c r="E562" s="204"/>
      <c r="F562" s="204"/>
      <c r="G562" s="204"/>
      <c r="H562" s="204"/>
      <c r="I562" s="204"/>
      <c r="J562" s="204"/>
      <c r="K562" s="204"/>
      <c r="L562" s="205"/>
      <c r="M562" s="205"/>
      <c r="N562" s="204"/>
      <c r="O562" s="204"/>
      <c r="P562" s="206"/>
      <c r="Q562" s="206"/>
      <c r="R562" s="206"/>
      <c r="S562" s="206"/>
      <c r="T562" s="204"/>
      <c r="U562" s="207"/>
      <c r="V562" s="204"/>
      <c r="W562" s="204"/>
      <c r="X562" s="207"/>
      <c r="Y562" s="207"/>
      <c r="Z562" s="204"/>
      <c r="AA562" s="204"/>
      <c r="AB562" s="204"/>
      <c r="AC562" s="204"/>
    </row>
    <row r="563" spans="1:29">
      <c r="A563" s="204"/>
      <c r="B563" s="204"/>
      <c r="C563" s="204"/>
      <c r="D563" s="204"/>
      <c r="E563" s="204"/>
      <c r="F563" s="204"/>
      <c r="G563" s="204"/>
      <c r="H563" s="204"/>
      <c r="I563" s="204"/>
      <c r="J563" s="204"/>
      <c r="K563" s="204"/>
      <c r="L563" s="205"/>
      <c r="M563" s="205"/>
      <c r="N563" s="204"/>
      <c r="O563" s="204"/>
      <c r="P563" s="206"/>
      <c r="Q563" s="206"/>
      <c r="R563" s="206"/>
      <c r="S563" s="206"/>
      <c r="T563" s="204"/>
      <c r="U563" s="207"/>
      <c r="V563" s="204"/>
      <c r="W563" s="204"/>
      <c r="X563" s="207"/>
      <c r="Y563" s="207"/>
      <c r="Z563" s="204"/>
      <c r="AA563" s="204"/>
      <c r="AB563" s="204"/>
      <c r="AC563" s="204"/>
    </row>
    <row r="564" spans="1:29">
      <c r="A564" s="204"/>
      <c r="B564" s="204"/>
      <c r="C564" s="204"/>
      <c r="D564" s="204"/>
      <c r="E564" s="204"/>
      <c r="F564" s="204"/>
      <c r="G564" s="204"/>
      <c r="H564" s="204"/>
      <c r="I564" s="204"/>
      <c r="J564" s="204"/>
      <c r="K564" s="204"/>
      <c r="L564" s="205"/>
      <c r="M564" s="205"/>
      <c r="N564" s="204"/>
      <c r="O564" s="204"/>
      <c r="P564" s="206"/>
      <c r="Q564" s="206"/>
      <c r="R564" s="206"/>
      <c r="S564" s="206"/>
      <c r="T564" s="204"/>
      <c r="U564" s="207"/>
      <c r="V564" s="204"/>
      <c r="W564" s="204"/>
      <c r="X564" s="207"/>
      <c r="Y564" s="207"/>
      <c r="Z564" s="204"/>
      <c r="AA564" s="204"/>
      <c r="AB564" s="204"/>
      <c r="AC564" s="204"/>
    </row>
    <row r="565" spans="1:29">
      <c r="A565" s="204"/>
      <c r="B565" s="204"/>
      <c r="C565" s="204"/>
      <c r="D565" s="204"/>
      <c r="E565" s="204"/>
      <c r="F565" s="204"/>
      <c r="G565" s="204"/>
      <c r="H565" s="204"/>
      <c r="I565" s="204"/>
      <c r="J565" s="204"/>
      <c r="K565" s="204"/>
      <c r="L565" s="205"/>
      <c r="M565" s="205"/>
      <c r="N565" s="204"/>
      <c r="O565" s="204"/>
      <c r="P565" s="206"/>
      <c r="Q565" s="206"/>
      <c r="R565" s="206"/>
      <c r="S565" s="206"/>
      <c r="T565" s="204"/>
      <c r="U565" s="207"/>
      <c r="V565" s="204"/>
      <c r="W565" s="204"/>
      <c r="X565" s="207"/>
      <c r="Y565" s="207"/>
      <c r="Z565" s="204"/>
      <c r="AA565" s="204"/>
      <c r="AB565" s="204"/>
      <c r="AC565" s="204"/>
    </row>
    <row r="566" spans="1:29">
      <c r="A566" s="204"/>
      <c r="B566" s="204"/>
      <c r="C566" s="204"/>
      <c r="D566" s="204"/>
      <c r="E566" s="204"/>
      <c r="F566" s="204"/>
      <c r="G566" s="204"/>
      <c r="H566" s="204"/>
      <c r="I566" s="204"/>
      <c r="J566" s="204"/>
      <c r="K566" s="204"/>
      <c r="L566" s="205"/>
      <c r="M566" s="205"/>
      <c r="N566" s="204"/>
      <c r="O566" s="204"/>
      <c r="P566" s="206"/>
      <c r="Q566" s="206"/>
      <c r="R566" s="206"/>
      <c r="S566" s="206"/>
      <c r="T566" s="204"/>
      <c r="U566" s="207"/>
      <c r="V566" s="204"/>
      <c r="W566" s="204"/>
      <c r="X566" s="207"/>
      <c r="Y566" s="207"/>
      <c r="Z566" s="204"/>
      <c r="AA566" s="204"/>
      <c r="AB566" s="204"/>
      <c r="AC566" s="204"/>
    </row>
    <row r="567" spans="1:29">
      <c r="A567" s="204"/>
      <c r="B567" s="204"/>
      <c r="C567" s="204"/>
      <c r="D567" s="204"/>
      <c r="E567" s="204"/>
      <c r="F567" s="204"/>
      <c r="G567" s="204"/>
      <c r="H567" s="204"/>
      <c r="I567" s="204"/>
      <c r="J567" s="204"/>
      <c r="K567" s="204"/>
      <c r="L567" s="205"/>
      <c r="M567" s="205"/>
      <c r="N567" s="204"/>
      <c r="O567" s="204"/>
      <c r="P567" s="206"/>
      <c r="Q567" s="206"/>
      <c r="R567" s="206"/>
      <c r="S567" s="206"/>
      <c r="T567" s="204"/>
      <c r="U567" s="207"/>
      <c r="V567" s="204"/>
      <c r="W567" s="204"/>
      <c r="X567" s="207"/>
      <c r="Y567" s="207"/>
      <c r="Z567" s="204"/>
      <c r="AA567" s="204"/>
      <c r="AB567" s="204"/>
      <c r="AC567" s="204"/>
    </row>
    <row r="568" spans="1:29">
      <c r="A568" s="204"/>
      <c r="B568" s="204"/>
      <c r="C568" s="204"/>
      <c r="D568" s="204"/>
      <c r="E568" s="204"/>
      <c r="F568" s="204"/>
      <c r="G568" s="204"/>
      <c r="H568" s="204"/>
      <c r="I568" s="204"/>
      <c r="J568" s="204"/>
      <c r="K568" s="204"/>
      <c r="L568" s="205"/>
      <c r="M568" s="205"/>
      <c r="N568" s="204"/>
      <c r="O568" s="204"/>
      <c r="P568" s="206"/>
      <c r="Q568" s="206"/>
      <c r="R568" s="206"/>
      <c r="S568" s="206"/>
      <c r="T568" s="204"/>
      <c r="U568" s="207"/>
      <c r="V568" s="204"/>
      <c r="W568" s="204"/>
      <c r="X568" s="207"/>
      <c r="Y568" s="207"/>
      <c r="Z568" s="204"/>
      <c r="AA568" s="204"/>
      <c r="AB568" s="204"/>
      <c r="AC568" s="204"/>
    </row>
    <row r="569" spans="1:29">
      <c r="A569" s="204"/>
      <c r="B569" s="204"/>
      <c r="C569" s="204"/>
      <c r="D569" s="204"/>
      <c r="E569" s="204"/>
      <c r="F569" s="204"/>
      <c r="G569" s="204"/>
      <c r="H569" s="204"/>
      <c r="I569" s="204"/>
      <c r="J569" s="204"/>
      <c r="K569" s="204"/>
      <c r="L569" s="205"/>
      <c r="M569" s="205"/>
      <c r="N569" s="204"/>
      <c r="O569" s="204"/>
      <c r="P569" s="206"/>
      <c r="Q569" s="206"/>
      <c r="R569" s="206"/>
      <c r="S569" s="206"/>
      <c r="T569" s="204"/>
      <c r="U569" s="207"/>
      <c r="V569" s="204"/>
      <c r="W569" s="204"/>
      <c r="X569" s="207"/>
      <c r="Y569" s="207"/>
      <c r="Z569" s="204"/>
      <c r="AA569" s="204"/>
      <c r="AB569" s="204"/>
      <c r="AC569" s="204"/>
    </row>
    <row r="570" spans="1:29">
      <c r="A570" s="204"/>
      <c r="B570" s="204"/>
      <c r="C570" s="204"/>
      <c r="D570" s="204"/>
      <c r="E570" s="204"/>
      <c r="F570" s="204"/>
      <c r="G570" s="204"/>
      <c r="H570" s="204"/>
      <c r="I570" s="204"/>
      <c r="J570" s="204"/>
      <c r="K570" s="204"/>
      <c r="L570" s="205"/>
      <c r="M570" s="205"/>
      <c r="N570" s="204"/>
      <c r="O570" s="204"/>
      <c r="P570" s="206"/>
      <c r="Q570" s="206"/>
      <c r="R570" s="206"/>
      <c r="S570" s="206"/>
      <c r="T570" s="204"/>
      <c r="U570" s="207"/>
      <c r="V570" s="204"/>
      <c r="W570" s="204"/>
      <c r="X570" s="207"/>
      <c r="Y570" s="207"/>
      <c r="Z570" s="204"/>
      <c r="AA570" s="204"/>
      <c r="AB570" s="204"/>
      <c r="AC570" s="204"/>
    </row>
    <row r="571" spans="1:29">
      <c r="A571" s="204"/>
      <c r="B571" s="204"/>
      <c r="C571" s="204"/>
      <c r="D571" s="204"/>
      <c r="E571" s="204"/>
      <c r="F571" s="204"/>
      <c r="G571" s="204"/>
      <c r="H571" s="204"/>
      <c r="I571" s="204"/>
      <c r="J571" s="204"/>
      <c r="K571" s="204"/>
      <c r="L571" s="205"/>
      <c r="M571" s="205"/>
      <c r="N571" s="204"/>
      <c r="O571" s="204"/>
      <c r="P571" s="206"/>
      <c r="Q571" s="206"/>
      <c r="R571" s="206"/>
      <c r="S571" s="206"/>
      <c r="T571" s="204"/>
      <c r="U571" s="207"/>
      <c r="V571" s="204"/>
      <c r="W571" s="204"/>
      <c r="X571" s="207"/>
      <c r="Y571" s="207"/>
      <c r="Z571" s="204"/>
      <c r="AA571" s="204"/>
      <c r="AB571" s="204"/>
      <c r="AC571" s="204"/>
    </row>
    <row r="572" spans="1:29">
      <c r="A572" s="204"/>
      <c r="B572" s="204"/>
      <c r="C572" s="204"/>
      <c r="D572" s="204"/>
      <c r="E572" s="204"/>
      <c r="F572" s="204"/>
      <c r="G572" s="204"/>
      <c r="H572" s="204"/>
      <c r="I572" s="204"/>
      <c r="J572" s="204"/>
      <c r="K572" s="204"/>
      <c r="L572" s="205"/>
      <c r="M572" s="205"/>
      <c r="N572" s="204"/>
      <c r="O572" s="204"/>
      <c r="P572" s="206"/>
      <c r="Q572" s="206"/>
      <c r="R572" s="206"/>
      <c r="S572" s="206"/>
      <c r="T572" s="204"/>
      <c r="U572" s="207"/>
      <c r="V572" s="204"/>
      <c r="W572" s="204"/>
      <c r="X572" s="207"/>
      <c r="Y572" s="207"/>
      <c r="Z572" s="204"/>
      <c r="AA572" s="204"/>
      <c r="AB572" s="204"/>
      <c r="AC572" s="204"/>
    </row>
    <row r="573" spans="1:29">
      <c r="A573" s="204"/>
      <c r="B573" s="204"/>
      <c r="C573" s="204"/>
      <c r="D573" s="204"/>
      <c r="E573" s="204"/>
      <c r="F573" s="204"/>
      <c r="G573" s="204"/>
      <c r="H573" s="204"/>
      <c r="I573" s="204"/>
      <c r="J573" s="204"/>
      <c r="K573" s="204"/>
      <c r="L573" s="205"/>
      <c r="M573" s="205"/>
      <c r="N573" s="204"/>
      <c r="O573" s="204"/>
      <c r="P573" s="206"/>
      <c r="Q573" s="206"/>
      <c r="R573" s="206"/>
      <c r="S573" s="206"/>
      <c r="T573" s="204"/>
      <c r="U573" s="207"/>
      <c r="V573" s="204"/>
      <c r="W573" s="204"/>
      <c r="X573" s="207"/>
      <c r="Y573" s="207"/>
      <c r="Z573" s="204"/>
      <c r="AA573" s="204"/>
      <c r="AB573" s="204"/>
      <c r="AC573" s="204"/>
    </row>
    <row r="574" spans="1:29">
      <c r="A574" s="204"/>
      <c r="B574" s="204"/>
      <c r="C574" s="204"/>
      <c r="D574" s="204"/>
      <c r="E574" s="204"/>
      <c r="F574" s="204"/>
      <c r="G574" s="204"/>
      <c r="H574" s="204"/>
      <c r="I574" s="204"/>
      <c r="J574" s="204"/>
      <c r="K574" s="204"/>
      <c r="L574" s="205"/>
      <c r="M574" s="205"/>
      <c r="N574" s="204"/>
      <c r="O574" s="204"/>
      <c r="P574" s="206"/>
      <c r="Q574" s="206"/>
      <c r="R574" s="206"/>
      <c r="S574" s="206"/>
      <c r="T574" s="204"/>
      <c r="U574" s="207"/>
      <c r="V574" s="204"/>
      <c r="W574" s="204"/>
      <c r="X574" s="207"/>
      <c r="Y574" s="207"/>
      <c r="Z574" s="204"/>
      <c r="AA574" s="204"/>
      <c r="AB574" s="204"/>
      <c r="AC574" s="204"/>
    </row>
    <row r="575" spans="1:29">
      <c r="A575" s="204"/>
      <c r="B575" s="204"/>
      <c r="C575" s="204"/>
      <c r="D575" s="204"/>
      <c r="E575" s="204"/>
      <c r="F575" s="204"/>
      <c r="G575" s="204"/>
      <c r="H575" s="204"/>
      <c r="I575" s="204"/>
      <c r="J575" s="204"/>
      <c r="K575" s="204"/>
      <c r="L575" s="205"/>
      <c r="M575" s="205"/>
      <c r="N575" s="204"/>
      <c r="O575" s="204"/>
      <c r="P575" s="206"/>
      <c r="Q575" s="206"/>
      <c r="R575" s="206"/>
      <c r="S575" s="206"/>
      <c r="T575" s="204"/>
      <c r="U575" s="207"/>
      <c r="V575" s="204"/>
      <c r="W575" s="204"/>
      <c r="X575" s="207"/>
      <c r="Y575" s="207"/>
      <c r="Z575" s="204"/>
      <c r="AA575" s="204"/>
      <c r="AB575" s="204"/>
      <c r="AC575" s="204"/>
    </row>
    <row r="576" spans="1:29">
      <c r="A576" s="204"/>
      <c r="B576" s="204"/>
      <c r="C576" s="204"/>
      <c r="D576" s="204"/>
      <c r="E576" s="204"/>
      <c r="F576" s="204"/>
      <c r="G576" s="204"/>
      <c r="H576" s="204"/>
      <c r="I576" s="204"/>
      <c r="J576" s="204"/>
      <c r="K576" s="204"/>
      <c r="L576" s="205"/>
      <c r="M576" s="205"/>
      <c r="N576" s="204"/>
      <c r="O576" s="204"/>
      <c r="P576" s="206"/>
      <c r="Q576" s="206"/>
      <c r="R576" s="206"/>
      <c r="S576" s="206"/>
      <c r="T576" s="204"/>
      <c r="U576" s="207"/>
      <c r="V576" s="204"/>
      <c r="W576" s="204"/>
      <c r="X576" s="207"/>
      <c r="Y576" s="207"/>
      <c r="Z576" s="204"/>
      <c r="AA576" s="204"/>
      <c r="AB576" s="204"/>
      <c r="AC576" s="204"/>
    </row>
    <row r="577" spans="1:29">
      <c r="A577" s="204"/>
      <c r="B577" s="204"/>
      <c r="C577" s="204"/>
      <c r="D577" s="204"/>
      <c r="E577" s="204"/>
      <c r="F577" s="204"/>
      <c r="G577" s="204"/>
      <c r="H577" s="204"/>
      <c r="I577" s="204"/>
      <c r="J577" s="204"/>
      <c r="K577" s="204"/>
      <c r="L577" s="205"/>
      <c r="M577" s="205"/>
      <c r="N577" s="204"/>
      <c r="O577" s="204"/>
      <c r="P577" s="206"/>
      <c r="Q577" s="206"/>
      <c r="R577" s="206"/>
      <c r="S577" s="206"/>
      <c r="T577" s="204"/>
      <c r="U577" s="207"/>
      <c r="V577" s="204"/>
      <c r="W577" s="204"/>
      <c r="X577" s="207"/>
      <c r="Y577" s="207"/>
      <c r="Z577" s="204"/>
      <c r="AA577" s="204"/>
      <c r="AB577" s="204"/>
      <c r="AC577" s="204"/>
    </row>
    <row r="578" spans="1:29">
      <c r="A578" s="204"/>
      <c r="B578" s="204"/>
      <c r="C578" s="204"/>
      <c r="D578" s="204"/>
      <c r="E578" s="204"/>
      <c r="F578" s="204"/>
      <c r="G578" s="204"/>
      <c r="H578" s="204"/>
      <c r="I578" s="204"/>
      <c r="J578" s="204"/>
      <c r="K578" s="204"/>
      <c r="L578" s="205"/>
      <c r="M578" s="205"/>
      <c r="N578" s="204"/>
      <c r="O578" s="204"/>
      <c r="P578" s="206"/>
      <c r="Q578" s="206"/>
      <c r="R578" s="206"/>
      <c r="S578" s="206"/>
      <c r="T578" s="204"/>
      <c r="U578" s="207"/>
      <c r="V578" s="204"/>
      <c r="W578" s="204"/>
      <c r="X578" s="207"/>
      <c r="Y578" s="207"/>
      <c r="Z578" s="204"/>
      <c r="AA578" s="204"/>
      <c r="AB578" s="204"/>
      <c r="AC578" s="204"/>
    </row>
    <row r="579" spans="1:29">
      <c r="A579" s="204"/>
      <c r="B579" s="204"/>
      <c r="C579" s="204"/>
      <c r="D579" s="204"/>
      <c r="E579" s="204"/>
      <c r="F579" s="204"/>
      <c r="G579" s="204"/>
      <c r="H579" s="204"/>
      <c r="I579" s="204"/>
      <c r="J579" s="204"/>
      <c r="K579" s="204"/>
      <c r="L579" s="205"/>
      <c r="M579" s="205"/>
      <c r="N579" s="204"/>
      <c r="O579" s="204"/>
      <c r="P579" s="206"/>
      <c r="Q579" s="206"/>
      <c r="R579" s="206"/>
      <c r="S579" s="206"/>
      <c r="T579" s="204"/>
      <c r="U579" s="207"/>
      <c r="V579" s="204"/>
      <c r="W579" s="204"/>
      <c r="X579" s="207"/>
      <c r="Y579" s="207"/>
      <c r="Z579" s="204"/>
      <c r="AA579" s="204"/>
      <c r="AB579" s="204"/>
      <c r="AC579" s="204"/>
    </row>
    <row r="580" spans="1:29">
      <c r="A580" s="204"/>
      <c r="B580" s="204"/>
      <c r="C580" s="204"/>
      <c r="D580" s="204"/>
      <c r="E580" s="204"/>
      <c r="F580" s="204"/>
      <c r="G580" s="204"/>
      <c r="H580" s="204"/>
      <c r="I580" s="204"/>
      <c r="J580" s="204"/>
      <c r="K580" s="204"/>
      <c r="L580" s="205"/>
      <c r="M580" s="205"/>
      <c r="N580" s="204"/>
      <c r="O580" s="204"/>
      <c r="P580" s="206"/>
      <c r="Q580" s="206"/>
      <c r="R580" s="206"/>
      <c r="S580" s="206"/>
      <c r="T580" s="204"/>
      <c r="U580" s="207"/>
      <c r="V580" s="204"/>
      <c r="W580" s="204"/>
      <c r="X580" s="207"/>
      <c r="Y580" s="207"/>
      <c r="Z580" s="204"/>
      <c r="AA580" s="204"/>
      <c r="AB580" s="204"/>
      <c r="AC580" s="204"/>
    </row>
    <row r="581" spans="1:29">
      <c r="A581" s="204"/>
      <c r="B581" s="204"/>
      <c r="C581" s="204"/>
      <c r="D581" s="204"/>
      <c r="E581" s="204"/>
      <c r="F581" s="204"/>
      <c r="G581" s="204"/>
      <c r="H581" s="204"/>
      <c r="I581" s="204"/>
      <c r="J581" s="204"/>
      <c r="K581" s="204"/>
      <c r="L581" s="205"/>
      <c r="M581" s="205"/>
      <c r="N581" s="204"/>
      <c r="O581" s="204"/>
      <c r="P581" s="206"/>
      <c r="Q581" s="206"/>
      <c r="R581" s="206"/>
      <c r="S581" s="206"/>
      <c r="T581" s="204"/>
      <c r="U581" s="207"/>
      <c r="V581" s="204"/>
      <c r="W581" s="204"/>
      <c r="X581" s="207"/>
      <c r="Y581" s="207"/>
      <c r="Z581" s="204"/>
      <c r="AA581" s="204"/>
      <c r="AB581" s="204"/>
      <c r="AC581" s="204"/>
    </row>
    <row r="582" spans="1:29">
      <c r="A582" s="204"/>
      <c r="B582" s="204"/>
      <c r="C582" s="204"/>
      <c r="D582" s="204"/>
      <c r="E582" s="204"/>
      <c r="F582" s="204"/>
      <c r="G582" s="204"/>
      <c r="H582" s="204"/>
      <c r="I582" s="204"/>
      <c r="J582" s="204"/>
      <c r="K582" s="204"/>
      <c r="L582" s="205"/>
      <c r="M582" s="205"/>
      <c r="N582" s="204"/>
      <c r="O582" s="204"/>
      <c r="P582" s="206"/>
      <c r="Q582" s="206"/>
      <c r="R582" s="206"/>
      <c r="S582" s="206"/>
      <c r="T582" s="204"/>
      <c r="U582" s="207"/>
      <c r="V582" s="204"/>
      <c r="W582" s="204"/>
      <c r="X582" s="207"/>
      <c r="Y582" s="207"/>
      <c r="Z582" s="204"/>
      <c r="AA582" s="204"/>
      <c r="AB582" s="204"/>
      <c r="AC582" s="204"/>
    </row>
    <row r="583" spans="1:29">
      <c r="A583" s="204"/>
      <c r="B583" s="204"/>
      <c r="C583" s="204"/>
      <c r="D583" s="204"/>
      <c r="E583" s="204"/>
      <c r="F583" s="204"/>
      <c r="G583" s="204"/>
      <c r="H583" s="204"/>
      <c r="I583" s="204"/>
      <c r="J583" s="204"/>
      <c r="K583" s="204"/>
      <c r="L583" s="205"/>
      <c r="M583" s="205"/>
      <c r="N583" s="204"/>
      <c r="O583" s="204"/>
      <c r="P583" s="206"/>
      <c r="Q583" s="206"/>
      <c r="R583" s="206"/>
      <c r="S583" s="206"/>
      <c r="T583" s="204"/>
      <c r="U583" s="207"/>
      <c r="V583" s="204"/>
      <c r="W583" s="204"/>
      <c r="X583" s="207"/>
      <c r="Y583" s="207"/>
      <c r="Z583" s="204"/>
      <c r="AA583" s="204"/>
      <c r="AB583" s="204"/>
      <c r="AC583" s="204"/>
    </row>
    <row r="584" spans="1:29">
      <c r="A584" s="204"/>
      <c r="B584" s="204"/>
      <c r="C584" s="204"/>
      <c r="D584" s="204"/>
      <c r="E584" s="204"/>
      <c r="F584" s="204"/>
      <c r="G584" s="204"/>
      <c r="H584" s="204"/>
      <c r="I584" s="204"/>
      <c r="J584" s="204"/>
      <c r="K584" s="204"/>
      <c r="L584" s="205"/>
      <c r="M584" s="205"/>
      <c r="N584" s="204"/>
      <c r="O584" s="204"/>
      <c r="P584" s="206"/>
      <c r="Q584" s="206"/>
      <c r="R584" s="206"/>
      <c r="S584" s="206"/>
      <c r="T584" s="204"/>
      <c r="U584" s="207"/>
      <c r="V584" s="204"/>
      <c r="W584" s="204"/>
      <c r="X584" s="207"/>
      <c r="Y584" s="207"/>
      <c r="Z584" s="204"/>
      <c r="AA584" s="204"/>
      <c r="AB584" s="204"/>
      <c r="AC584" s="204"/>
    </row>
    <row r="585" spans="1:29">
      <c r="A585" s="204"/>
      <c r="B585" s="204"/>
      <c r="C585" s="204"/>
      <c r="D585" s="204"/>
      <c r="E585" s="204"/>
      <c r="F585" s="204"/>
      <c r="G585" s="204"/>
      <c r="H585" s="204"/>
      <c r="I585" s="204"/>
      <c r="J585" s="204"/>
      <c r="K585" s="204"/>
      <c r="L585" s="205"/>
      <c r="M585" s="205"/>
      <c r="N585" s="204"/>
      <c r="O585" s="204"/>
      <c r="P585" s="206"/>
      <c r="Q585" s="206"/>
      <c r="R585" s="206"/>
      <c r="S585" s="206"/>
      <c r="T585" s="204"/>
      <c r="U585" s="207"/>
      <c r="V585" s="204"/>
      <c r="W585" s="204"/>
      <c r="X585" s="207"/>
      <c r="Y585" s="207"/>
      <c r="Z585" s="204"/>
      <c r="AA585" s="204"/>
      <c r="AB585" s="204"/>
      <c r="AC585" s="204"/>
    </row>
    <row r="586" spans="1:29">
      <c r="A586" s="204"/>
      <c r="B586" s="204"/>
      <c r="C586" s="204"/>
      <c r="D586" s="204"/>
      <c r="E586" s="204"/>
      <c r="F586" s="204"/>
      <c r="G586" s="204"/>
      <c r="H586" s="204"/>
      <c r="I586" s="204"/>
      <c r="J586" s="204"/>
      <c r="K586" s="204"/>
      <c r="L586" s="205"/>
      <c r="M586" s="205"/>
      <c r="N586" s="204"/>
      <c r="O586" s="204"/>
      <c r="P586" s="206"/>
      <c r="Q586" s="206"/>
      <c r="R586" s="206"/>
      <c r="S586" s="206"/>
      <c r="T586" s="204"/>
      <c r="U586" s="207"/>
      <c r="V586" s="204"/>
      <c r="W586" s="204"/>
      <c r="X586" s="207"/>
      <c r="Y586" s="207"/>
      <c r="Z586" s="204"/>
      <c r="AA586" s="204"/>
      <c r="AB586" s="204"/>
      <c r="AC586" s="204"/>
    </row>
    <row r="587" spans="1:29">
      <c r="A587" s="204"/>
      <c r="B587" s="204"/>
      <c r="C587" s="204"/>
      <c r="D587" s="204"/>
      <c r="E587" s="204"/>
      <c r="F587" s="204"/>
      <c r="G587" s="204"/>
      <c r="H587" s="204"/>
      <c r="I587" s="204"/>
      <c r="J587" s="204"/>
      <c r="K587" s="204"/>
      <c r="L587" s="205"/>
      <c r="M587" s="205"/>
      <c r="N587" s="204"/>
      <c r="O587" s="204"/>
      <c r="P587" s="206"/>
      <c r="Q587" s="206"/>
      <c r="R587" s="206"/>
      <c r="S587" s="206"/>
      <c r="T587" s="204"/>
      <c r="U587" s="207"/>
      <c r="V587" s="204"/>
      <c r="W587" s="204"/>
      <c r="X587" s="207"/>
      <c r="Y587" s="207"/>
      <c r="Z587" s="204"/>
      <c r="AA587" s="204"/>
      <c r="AB587" s="204"/>
      <c r="AC587" s="204"/>
    </row>
    <row r="588" spans="1:29">
      <c r="A588" s="204"/>
      <c r="B588" s="204"/>
      <c r="C588" s="204"/>
      <c r="D588" s="204"/>
      <c r="E588" s="204"/>
      <c r="F588" s="204"/>
      <c r="G588" s="204"/>
      <c r="H588" s="204"/>
      <c r="I588" s="204"/>
      <c r="J588" s="204"/>
      <c r="K588" s="204"/>
      <c r="L588" s="205"/>
      <c r="M588" s="205"/>
      <c r="N588" s="204"/>
      <c r="O588" s="204"/>
      <c r="P588" s="206"/>
      <c r="Q588" s="206"/>
      <c r="R588" s="206"/>
      <c r="S588" s="206"/>
      <c r="T588" s="204"/>
      <c r="U588" s="207"/>
      <c r="V588" s="204"/>
      <c r="W588" s="204"/>
      <c r="X588" s="207"/>
      <c r="Y588" s="207"/>
      <c r="Z588" s="204"/>
      <c r="AA588" s="204"/>
      <c r="AB588" s="204"/>
      <c r="AC588" s="204"/>
    </row>
    <row r="589" spans="1:29">
      <c r="A589" s="204"/>
      <c r="B589" s="204"/>
      <c r="C589" s="204"/>
      <c r="D589" s="204"/>
      <c r="E589" s="204"/>
      <c r="F589" s="204"/>
      <c r="G589" s="204"/>
      <c r="H589" s="204"/>
      <c r="I589" s="204"/>
      <c r="J589" s="204"/>
      <c r="K589" s="204"/>
      <c r="L589" s="205"/>
      <c r="M589" s="205"/>
      <c r="N589" s="204"/>
      <c r="O589" s="204"/>
      <c r="P589" s="206"/>
      <c r="Q589" s="206"/>
      <c r="R589" s="206"/>
      <c r="S589" s="206"/>
      <c r="T589" s="204"/>
      <c r="U589" s="207"/>
      <c r="V589" s="204"/>
      <c r="W589" s="204"/>
      <c r="X589" s="207"/>
      <c r="Y589" s="207"/>
      <c r="Z589" s="204"/>
      <c r="AA589" s="204"/>
      <c r="AB589" s="204"/>
      <c r="AC589" s="204"/>
    </row>
    <row r="590" spans="1:29">
      <c r="A590" s="204"/>
      <c r="B590" s="204"/>
      <c r="C590" s="204"/>
      <c r="D590" s="204"/>
      <c r="E590" s="204"/>
      <c r="F590" s="204"/>
      <c r="G590" s="204"/>
      <c r="H590" s="204"/>
      <c r="I590" s="204"/>
      <c r="J590" s="204"/>
      <c r="K590" s="204"/>
      <c r="L590" s="205"/>
      <c r="M590" s="205"/>
      <c r="N590" s="204"/>
      <c r="O590" s="204"/>
      <c r="P590" s="206"/>
      <c r="Q590" s="206"/>
      <c r="R590" s="206"/>
      <c r="S590" s="206"/>
      <c r="T590" s="204"/>
      <c r="U590" s="207"/>
      <c r="V590" s="204"/>
      <c r="W590" s="204"/>
      <c r="X590" s="207"/>
      <c r="Y590" s="207"/>
      <c r="Z590" s="204"/>
      <c r="AA590" s="204"/>
      <c r="AB590" s="204"/>
      <c r="AC590" s="204"/>
    </row>
    <row r="591" spans="1:29">
      <c r="A591" s="204"/>
      <c r="B591" s="204"/>
      <c r="C591" s="204"/>
      <c r="D591" s="204"/>
      <c r="E591" s="204"/>
      <c r="F591" s="204"/>
      <c r="G591" s="204"/>
      <c r="H591" s="204"/>
      <c r="I591" s="204"/>
      <c r="J591" s="204"/>
      <c r="K591" s="204"/>
      <c r="L591" s="205"/>
      <c r="M591" s="205"/>
      <c r="N591" s="204"/>
      <c r="O591" s="204"/>
      <c r="P591" s="206"/>
      <c r="Q591" s="206"/>
      <c r="R591" s="206"/>
      <c r="S591" s="206"/>
      <c r="T591" s="204"/>
      <c r="U591" s="207"/>
      <c r="V591" s="204"/>
      <c r="W591" s="204"/>
      <c r="X591" s="207"/>
      <c r="Y591" s="207"/>
      <c r="Z591" s="204"/>
      <c r="AA591" s="204"/>
      <c r="AB591" s="204"/>
      <c r="AC591" s="204"/>
    </row>
    <row r="592" spans="1:29">
      <c r="A592" s="204"/>
      <c r="B592" s="204"/>
      <c r="C592" s="204"/>
      <c r="D592" s="204"/>
      <c r="E592" s="204"/>
      <c r="F592" s="204"/>
      <c r="G592" s="204"/>
      <c r="H592" s="204"/>
      <c r="I592" s="204"/>
      <c r="J592" s="204"/>
      <c r="K592" s="204"/>
      <c r="L592" s="205"/>
      <c r="M592" s="205"/>
      <c r="N592" s="204"/>
      <c r="O592" s="204"/>
      <c r="P592" s="206"/>
      <c r="Q592" s="206"/>
      <c r="R592" s="206"/>
      <c r="S592" s="206"/>
      <c r="T592" s="204"/>
      <c r="U592" s="207"/>
      <c r="V592" s="204"/>
      <c r="W592" s="204"/>
      <c r="X592" s="207"/>
      <c r="Y592" s="207"/>
      <c r="Z592" s="204"/>
      <c r="AA592" s="204"/>
      <c r="AB592" s="204"/>
      <c r="AC592" s="204"/>
    </row>
    <row r="593" spans="1:29">
      <c r="A593" s="204"/>
      <c r="B593" s="204"/>
      <c r="C593" s="204"/>
      <c r="D593" s="204"/>
      <c r="E593" s="204"/>
      <c r="F593" s="204"/>
      <c r="G593" s="204"/>
      <c r="H593" s="204"/>
      <c r="I593" s="204"/>
      <c r="J593" s="204"/>
      <c r="K593" s="204"/>
      <c r="L593" s="205"/>
      <c r="M593" s="205"/>
      <c r="N593" s="204"/>
      <c r="O593" s="204"/>
      <c r="P593" s="206"/>
      <c r="Q593" s="206"/>
      <c r="R593" s="206"/>
      <c r="S593" s="206"/>
      <c r="T593" s="204"/>
      <c r="U593" s="207"/>
      <c r="V593" s="204"/>
      <c r="W593" s="204"/>
      <c r="X593" s="207"/>
      <c r="Y593" s="207"/>
      <c r="Z593" s="204"/>
      <c r="AA593" s="204"/>
      <c r="AB593" s="204"/>
      <c r="AC593" s="204"/>
    </row>
    <row r="594" spans="1:29">
      <c r="A594" s="204"/>
      <c r="B594" s="204"/>
      <c r="C594" s="204"/>
      <c r="D594" s="204"/>
      <c r="E594" s="204"/>
      <c r="F594" s="204"/>
      <c r="G594" s="204"/>
      <c r="H594" s="204"/>
      <c r="I594" s="204"/>
      <c r="J594" s="204"/>
      <c r="K594" s="204"/>
      <c r="L594" s="205"/>
      <c r="M594" s="205"/>
      <c r="N594" s="204"/>
      <c r="O594" s="204"/>
      <c r="P594" s="206"/>
      <c r="Q594" s="206"/>
      <c r="R594" s="206"/>
      <c r="S594" s="206"/>
      <c r="T594" s="204"/>
      <c r="U594" s="207"/>
      <c r="V594" s="204"/>
      <c r="W594" s="204"/>
      <c r="X594" s="207"/>
      <c r="Y594" s="207"/>
      <c r="Z594" s="204"/>
      <c r="AA594" s="204"/>
      <c r="AB594" s="204"/>
      <c r="AC594" s="204"/>
    </row>
    <row r="595" spans="1:29">
      <c r="A595" s="204"/>
      <c r="B595" s="204"/>
      <c r="C595" s="204"/>
      <c r="D595" s="204"/>
      <c r="E595" s="204"/>
      <c r="F595" s="204"/>
      <c r="G595" s="204"/>
      <c r="H595" s="204"/>
      <c r="I595" s="204"/>
      <c r="J595" s="204"/>
      <c r="K595" s="204"/>
      <c r="L595" s="205"/>
      <c r="M595" s="205"/>
      <c r="N595" s="204"/>
      <c r="O595" s="204"/>
      <c r="P595" s="206"/>
      <c r="Q595" s="206"/>
      <c r="R595" s="206"/>
      <c r="S595" s="206"/>
      <c r="T595" s="204"/>
      <c r="U595" s="207"/>
      <c r="V595" s="204"/>
      <c r="W595" s="204"/>
      <c r="X595" s="207"/>
      <c r="Y595" s="207"/>
      <c r="Z595" s="204"/>
      <c r="AA595" s="204"/>
      <c r="AB595" s="204"/>
      <c r="AC595" s="204"/>
    </row>
    <row r="596" spans="1:29">
      <c r="A596" s="204"/>
      <c r="B596" s="204"/>
      <c r="C596" s="204"/>
      <c r="D596" s="204"/>
      <c r="E596" s="204"/>
      <c r="F596" s="204"/>
      <c r="G596" s="204"/>
      <c r="H596" s="204"/>
      <c r="I596" s="204"/>
      <c r="J596" s="204"/>
      <c r="K596" s="204"/>
      <c r="L596" s="205"/>
      <c r="M596" s="205"/>
      <c r="N596" s="204"/>
      <c r="O596" s="204"/>
      <c r="P596" s="206"/>
      <c r="Q596" s="206"/>
      <c r="R596" s="206"/>
      <c r="S596" s="206"/>
      <c r="T596" s="204"/>
      <c r="U596" s="207"/>
      <c r="V596" s="204"/>
      <c r="W596" s="204"/>
      <c r="X596" s="207"/>
      <c r="Y596" s="207"/>
      <c r="Z596" s="204"/>
      <c r="AA596" s="204"/>
      <c r="AB596" s="204"/>
      <c r="AC596" s="204"/>
    </row>
    <row r="597" spans="1:29">
      <c r="A597" s="204"/>
      <c r="B597" s="204"/>
      <c r="C597" s="204"/>
      <c r="D597" s="204"/>
      <c r="E597" s="204"/>
      <c r="F597" s="204"/>
      <c r="G597" s="204"/>
      <c r="H597" s="204"/>
      <c r="I597" s="204"/>
      <c r="J597" s="204"/>
      <c r="K597" s="204"/>
      <c r="L597" s="205"/>
      <c r="M597" s="205"/>
      <c r="N597" s="204"/>
      <c r="O597" s="204"/>
      <c r="P597" s="206"/>
      <c r="Q597" s="206"/>
      <c r="R597" s="206"/>
      <c r="S597" s="206"/>
      <c r="T597" s="204"/>
      <c r="U597" s="207"/>
      <c r="V597" s="204"/>
      <c r="W597" s="204"/>
      <c r="X597" s="207"/>
      <c r="Y597" s="207"/>
      <c r="Z597" s="204"/>
      <c r="AA597" s="204"/>
      <c r="AB597" s="204"/>
      <c r="AC597" s="204"/>
    </row>
    <row r="598" spans="1:29">
      <c r="A598" s="204"/>
      <c r="B598" s="204"/>
      <c r="C598" s="204"/>
      <c r="D598" s="204"/>
      <c r="E598" s="204"/>
      <c r="F598" s="204"/>
      <c r="G598" s="204"/>
      <c r="H598" s="204"/>
      <c r="I598" s="204"/>
      <c r="J598" s="204"/>
      <c r="K598" s="204"/>
      <c r="L598" s="205"/>
      <c r="M598" s="205"/>
      <c r="N598" s="204"/>
      <c r="O598" s="204"/>
      <c r="P598" s="206"/>
      <c r="Q598" s="206"/>
      <c r="R598" s="206"/>
      <c r="S598" s="206"/>
      <c r="T598" s="204"/>
      <c r="U598" s="207"/>
      <c r="V598" s="204"/>
      <c r="W598" s="204"/>
      <c r="X598" s="207"/>
      <c r="Y598" s="207"/>
      <c r="Z598" s="204"/>
      <c r="AA598" s="204"/>
      <c r="AB598" s="204"/>
      <c r="AC598" s="204"/>
    </row>
    <row r="599" spans="1:29">
      <c r="A599" s="204"/>
      <c r="B599" s="204"/>
      <c r="C599" s="204"/>
      <c r="D599" s="204"/>
      <c r="E599" s="204"/>
      <c r="F599" s="204"/>
      <c r="G599" s="204"/>
      <c r="H599" s="204"/>
      <c r="I599" s="204"/>
      <c r="J599" s="204"/>
      <c r="K599" s="204"/>
      <c r="L599" s="205"/>
      <c r="M599" s="205"/>
      <c r="N599" s="204"/>
      <c r="O599" s="204"/>
      <c r="P599" s="206"/>
      <c r="Q599" s="206"/>
      <c r="R599" s="206"/>
      <c r="S599" s="206"/>
      <c r="T599" s="204"/>
      <c r="U599" s="207"/>
      <c r="V599" s="204"/>
      <c r="W599" s="204"/>
      <c r="X599" s="207"/>
      <c r="Y599" s="207"/>
      <c r="Z599" s="204"/>
      <c r="AA599" s="204"/>
      <c r="AB599" s="204"/>
      <c r="AC599" s="204"/>
    </row>
    <row r="600" spans="1:29">
      <c r="A600" s="204"/>
      <c r="B600" s="204"/>
      <c r="C600" s="204"/>
      <c r="D600" s="204"/>
      <c r="E600" s="204"/>
      <c r="F600" s="204"/>
      <c r="G600" s="204"/>
      <c r="H600" s="204"/>
      <c r="I600" s="204"/>
      <c r="J600" s="204"/>
      <c r="K600" s="204"/>
      <c r="L600" s="205"/>
      <c r="M600" s="205"/>
      <c r="N600" s="204"/>
      <c r="O600" s="204"/>
      <c r="P600" s="206"/>
      <c r="Q600" s="206"/>
      <c r="R600" s="206"/>
      <c r="S600" s="206"/>
      <c r="T600" s="204"/>
      <c r="U600" s="207"/>
      <c r="V600" s="204"/>
      <c r="W600" s="204"/>
      <c r="X600" s="207"/>
      <c r="Y600" s="207"/>
      <c r="Z600" s="204"/>
      <c r="AA600" s="204"/>
      <c r="AB600" s="204"/>
      <c r="AC600" s="204"/>
    </row>
    <row r="601" spans="1:29">
      <c r="A601" s="204"/>
      <c r="B601" s="204"/>
      <c r="C601" s="204"/>
      <c r="D601" s="204"/>
      <c r="E601" s="204"/>
      <c r="F601" s="204"/>
      <c r="G601" s="204"/>
      <c r="H601" s="204"/>
      <c r="I601" s="204"/>
      <c r="J601" s="204"/>
      <c r="K601" s="204"/>
      <c r="L601" s="205"/>
      <c r="M601" s="205"/>
      <c r="N601" s="204"/>
      <c r="O601" s="204"/>
      <c r="P601" s="206"/>
      <c r="Q601" s="206"/>
      <c r="R601" s="206"/>
      <c r="S601" s="206"/>
      <c r="T601" s="204"/>
      <c r="U601" s="207"/>
      <c r="V601" s="204"/>
      <c r="W601" s="204"/>
      <c r="X601" s="207"/>
      <c r="Y601" s="207"/>
      <c r="Z601" s="204"/>
      <c r="AA601" s="204"/>
      <c r="AB601" s="204"/>
      <c r="AC601" s="204"/>
    </row>
    <row r="602" spans="1:29">
      <c r="A602" s="204"/>
      <c r="B602" s="204"/>
      <c r="C602" s="204"/>
      <c r="D602" s="204"/>
      <c r="E602" s="204"/>
      <c r="F602" s="204"/>
      <c r="G602" s="204"/>
      <c r="H602" s="204"/>
      <c r="I602" s="204"/>
      <c r="J602" s="204"/>
      <c r="K602" s="204"/>
      <c r="L602" s="205"/>
      <c r="M602" s="205"/>
      <c r="N602" s="204"/>
      <c r="O602" s="204"/>
      <c r="P602" s="206"/>
      <c r="Q602" s="206"/>
      <c r="R602" s="206"/>
      <c r="S602" s="206"/>
      <c r="T602" s="204"/>
      <c r="U602" s="207"/>
      <c r="V602" s="204"/>
      <c r="W602" s="204"/>
      <c r="X602" s="207"/>
      <c r="Y602" s="207"/>
      <c r="Z602" s="204"/>
      <c r="AA602" s="204"/>
      <c r="AB602" s="204"/>
      <c r="AC602" s="204"/>
    </row>
    <row r="603" spans="1:29">
      <c r="A603" s="204"/>
      <c r="B603" s="204"/>
      <c r="C603" s="204"/>
      <c r="D603" s="204"/>
      <c r="E603" s="204"/>
      <c r="F603" s="204"/>
      <c r="G603" s="204"/>
      <c r="H603" s="204"/>
      <c r="I603" s="204"/>
      <c r="J603" s="204"/>
      <c r="K603" s="204"/>
      <c r="L603" s="205"/>
      <c r="M603" s="205"/>
      <c r="N603" s="204"/>
      <c r="O603" s="204"/>
      <c r="P603" s="206"/>
      <c r="Q603" s="206"/>
      <c r="R603" s="206"/>
      <c r="S603" s="206"/>
      <c r="T603" s="204"/>
      <c r="U603" s="207"/>
      <c r="V603" s="204"/>
      <c r="W603" s="204"/>
      <c r="X603" s="207"/>
      <c r="Y603" s="207"/>
      <c r="Z603" s="204"/>
      <c r="AA603" s="204"/>
      <c r="AB603" s="204"/>
      <c r="AC603" s="204"/>
    </row>
    <row r="604" spans="1:29">
      <c r="A604" s="204"/>
      <c r="B604" s="204"/>
      <c r="C604" s="204"/>
      <c r="D604" s="204"/>
      <c r="E604" s="204"/>
      <c r="F604" s="204"/>
      <c r="G604" s="204"/>
      <c r="H604" s="204"/>
      <c r="I604" s="204"/>
      <c r="J604" s="204"/>
      <c r="K604" s="204"/>
      <c r="L604" s="205"/>
      <c r="M604" s="205"/>
      <c r="N604" s="204"/>
      <c r="O604" s="204"/>
      <c r="P604" s="206"/>
      <c r="Q604" s="206"/>
      <c r="R604" s="206"/>
      <c r="S604" s="206"/>
      <c r="T604" s="204"/>
      <c r="U604" s="207"/>
      <c r="V604" s="204"/>
      <c r="W604" s="204"/>
      <c r="X604" s="207"/>
      <c r="Y604" s="207"/>
      <c r="Z604" s="204"/>
      <c r="AA604" s="204"/>
      <c r="AB604" s="204"/>
      <c r="AC604" s="204"/>
    </row>
    <row r="605" spans="1:29">
      <c r="A605" s="204"/>
      <c r="B605" s="204"/>
      <c r="C605" s="204"/>
      <c r="D605" s="204"/>
      <c r="E605" s="204"/>
      <c r="F605" s="204"/>
      <c r="G605" s="204"/>
      <c r="H605" s="204"/>
      <c r="I605" s="204"/>
      <c r="J605" s="204"/>
      <c r="K605" s="204"/>
      <c r="L605" s="205"/>
      <c r="M605" s="205"/>
      <c r="N605" s="204"/>
      <c r="O605" s="204"/>
      <c r="P605" s="206"/>
      <c r="Q605" s="206"/>
      <c r="R605" s="206"/>
      <c r="S605" s="206"/>
      <c r="T605" s="204"/>
      <c r="U605" s="207"/>
      <c r="V605" s="204"/>
      <c r="W605" s="204"/>
      <c r="X605" s="207"/>
      <c r="Y605" s="207"/>
      <c r="Z605" s="204"/>
      <c r="AA605" s="204"/>
      <c r="AB605" s="204"/>
      <c r="AC605" s="204"/>
    </row>
    <row r="606" spans="1:29">
      <c r="A606" s="204"/>
      <c r="B606" s="204"/>
      <c r="C606" s="204"/>
      <c r="D606" s="204"/>
      <c r="E606" s="204"/>
      <c r="F606" s="204"/>
      <c r="G606" s="204"/>
      <c r="H606" s="204"/>
      <c r="I606" s="204"/>
      <c r="J606" s="204"/>
      <c r="K606" s="204"/>
      <c r="L606" s="205"/>
      <c r="M606" s="205"/>
      <c r="N606" s="204"/>
      <c r="O606" s="204"/>
      <c r="P606" s="206"/>
      <c r="Q606" s="206"/>
      <c r="R606" s="206"/>
      <c r="S606" s="206"/>
      <c r="T606" s="204"/>
      <c r="U606" s="207"/>
      <c r="V606" s="204"/>
      <c r="W606" s="204"/>
      <c r="X606" s="207"/>
      <c r="Y606" s="207"/>
      <c r="Z606" s="204"/>
      <c r="AA606" s="204"/>
      <c r="AB606" s="204"/>
      <c r="AC606" s="204"/>
    </row>
    <row r="607" spans="1:29">
      <c r="A607" s="204"/>
      <c r="B607" s="204"/>
      <c r="C607" s="204"/>
      <c r="D607" s="204"/>
      <c r="E607" s="204"/>
      <c r="F607" s="204"/>
      <c r="G607" s="204"/>
      <c r="H607" s="204"/>
      <c r="I607" s="204"/>
      <c r="J607" s="204"/>
      <c r="K607" s="204"/>
      <c r="L607" s="205"/>
      <c r="M607" s="205"/>
      <c r="N607" s="204"/>
      <c r="O607" s="204"/>
      <c r="P607" s="206"/>
      <c r="Q607" s="206"/>
      <c r="R607" s="206"/>
      <c r="S607" s="206"/>
      <c r="T607" s="204"/>
      <c r="U607" s="207"/>
      <c r="V607" s="204"/>
      <c r="W607" s="204"/>
      <c r="X607" s="207"/>
      <c r="Y607" s="207"/>
      <c r="Z607" s="204"/>
      <c r="AA607" s="204"/>
      <c r="AB607" s="204"/>
      <c r="AC607" s="204"/>
    </row>
    <row r="608" spans="1:29">
      <c r="A608" s="204"/>
      <c r="B608" s="204"/>
      <c r="C608" s="204"/>
      <c r="D608" s="204"/>
      <c r="E608" s="204"/>
      <c r="F608" s="204"/>
      <c r="G608" s="204"/>
      <c r="H608" s="204"/>
      <c r="I608" s="204"/>
      <c r="J608" s="204"/>
      <c r="K608" s="204"/>
      <c r="L608" s="205"/>
      <c r="M608" s="205"/>
      <c r="N608" s="204"/>
      <c r="O608" s="204"/>
      <c r="P608" s="206"/>
      <c r="Q608" s="206"/>
      <c r="R608" s="206"/>
      <c r="S608" s="206"/>
      <c r="T608" s="204"/>
      <c r="U608" s="207"/>
      <c r="V608" s="204"/>
      <c r="W608" s="204"/>
      <c r="X608" s="207"/>
      <c r="Y608" s="207"/>
      <c r="Z608" s="204"/>
      <c r="AA608" s="204"/>
      <c r="AB608" s="204"/>
      <c r="AC608" s="204"/>
    </row>
    <row r="609" spans="1:29">
      <c r="A609" s="204"/>
      <c r="B609" s="204"/>
      <c r="C609" s="204"/>
      <c r="D609" s="204"/>
      <c r="E609" s="204"/>
      <c r="F609" s="204"/>
      <c r="G609" s="204"/>
      <c r="H609" s="204"/>
      <c r="I609" s="204"/>
      <c r="J609" s="204"/>
      <c r="K609" s="204"/>
      <c r="L609" s="205"/>
      <c r="M609" s="205"/>
      <c r="N609" s="204"/>
      <c r="O609" s="204"/>
      <c r="P609" s="206"/>
      <c r="Q609" s="206"/>
      <c r="R609" s="206"/>
      <c r="S609" s="206"/>
      <c r="T609" s="204"/>
      <c r="U609" s="207"/>
      <c r="V609" s="204"/>
      <c r="W609" s="204"/>
      <c r="X609" s="207"/>
      <c r="Y609" s="207"/>
      <c r="Z609" s="204"/>
      <c r="AA609" s="204"/>
      <c r="AB609" s="204"/>
      <c r="AC609" s="204"/>
    </row>
    <row r="610" spans="1:29">
      <c r="A610" s="204"/>
      <c r="B610" s="204"/>
      <c r="C610" s="204"/>
      <c r="D610" s="204"/>
      <c r="E610" s="204"/>
      <c r="F610" s="204"/>
      <c r="G610" s="204"/>
      <c r="H610" s="204"/>
      <c r="I610" s="204"/>
      <c r="J610" s="204"/>
      <c r="K610" s="204"/>
      <c r="L610" s="205"/>
      <c r="M610" s="205"/>
      <c r="N610" s="204"/>
      <c r="O610" s="204"/>
      <c r="P610" s="206"/>
      <c r="Q610" s="206"/>
      <c r="R610" s="206"/>
      <c r="S610" s="206"/>
      <c r="T610" s="204"/>
      <c r="U610" s="207"/>
      <c r="V610" s="204"/>
      <c r="W610" s="204"/>
      <c r="X610" s="207"/>
      <c r="Y610" s="207"/>
      <c r="Z610" s="204"/>
      <c r="AA610" s="204"/>
      <c r="AB610" s="204"/>
      <c r="AC610" s="204"/>
    </row>
    <row r="611" spans="1:29">
      <c r="A611" s="204"/>
      <c r="B611" s="204"/>
      <c r="C611" s="204"/>
      <c r="D611" s="204"/>
      <c r="E611" s="204"/>
      <c r="F611" s="204"/>
      <c r="G611" s="204"/>
      <c r="H611" s="204"/>
      <c r="I611" s="204"/>
      <c r="J611" s="204"/>
      <c r="K611" s="204"/>
      <c r="L611" s="205"/>
      <c r="M611" s="205"/>
      <c r="N611" s="204"/>
      <c r="O611" s="204"/>
      <c r="P611" s="206"/>
      <c r="Q611" s="206"/>
      <c r="R611" s="206"/>
      <c r="S611" s="206"/>
      <c r="T611" s="204"/>
      <c r="U611" s="207"/>
      <c r="V611" s="204"/>
      <c r="W611" s="204"/>
      <c r="X611" s="207"/>
      <c r="Y611" s="207"/>
      <c r="Z611" s="204"/>
      <c r="AA611" s="204"/>
      <c r="AB611" s="204"/>
      <c r="AC611" s="204"/>
    </row>
    <row r="612" spans="1:29">
      <c r="A612" s="204"/>
      <c r="B612" s="204"/>
      <c r="C612" s="204"/>
      <c r="D612" s="204"/>
      <c r="E612" s="204"/>
      <c r="F612" s="204"/>
      <c r="G612" s="204"/>
      <c r="H612" s="204"/>
      <c r="I612" s="204"/>
      <c r="J612" s="204"/>
      <c r="K612" s="204"/>
      <c r="L612" s="205"/>
      <c r="M612" s="205"/>
      <c r="N612" s="204"/>
      <c r="O612" s="204"/>
      <c r="P612" s="206"/>
      <c r="Q612" s="206"/>
      <c r="R612" s="206"/>
      <c r="S612" s="206"/>
      <c r="T612" s="204"/>
      <c r="U612" s="207"/>
      <c r="V612" s="204"/>
      <c r="W612" s="204"/>
      <c r="X612" s="207"/>
      <c r="Y612" s="207"/>
      <c r="Z612" s="204"/>
      <c r="AA612" s="204"/>
      <c r="AB612" s="204"/>
      <c r="AC612" s="204"/>
    </row>
    <row r="613" spans="1:29">
      <c r="A613" s="204"/>
      <c r="B613" s="204"/>
      <c r="C613" s="204"/>
      <c r="D613" s="204"/>
      <c r="E613" s="204"/>
      <c r="F613" s="204"/>
      <c r="G613" s="204"/>
      <c r="H613" s="204"/>
      <c r="I613" s="204"/>
      <c r="J613" s="204"/>
      <c r="K613" s="204"/>
      <c r="L613" s="205"/>
      <c r="M613" s="205"/>
      <c r="N613" s="204"/>
      <c r="O613" s="204"/>
      <c r="P613" s="206"/>
      <c r="Q613" s="206"/>
      <c r="R613" s="206"/>
      <c r="S613" s="206"/>
      <c r="T613" s="204"/>
      <c r="U613" s="207"/>
      <c r="V613" s="204"/>
      <c r="W613" s="204"/>
      <c r="X613" s="207"/>
      <c r="Y613" s="207"/>
      <c r="Z613" s="204"/>
      <c r="AA613" s="204"/>
      <c r="AB613" s="204"/>
      <c r="AC613" s="204"/>
    </row>
    <row r="614" spans="1:29">
      <c r="A614" s="204"/>
      <c r="B614" s="204"/>
      <c r="C614" s="204"/>
      <c r="D614" s="204"/>
      <c r="E614" s="204"/>
      <c r="F614" s="204"/>
      <c r="G614" s="204"/>
      <c r="H614" s="204"/>
      <c r="I614" s="204"/>
      <c r="J614" s="204"/>
      <c r="K614" s="204"/>
      <c r="L614" s="205"/>
      <c r="M614" s="205"/>
      <c r="N614" s="204"/>
      <c r="O614" s="204"/>
      <c r="P614" s="206"/>
      <c r="Q614" s="206"/>
      <c r="R614" s="206"/>
      <c r="S614" s="206"/>
      <c r="T614" s="204"/>
      <c r="U614" s="207"/>
      <c r="V614" s="204"/>
      <c r="W614" s="204"/>
      <c r="X614" s="207"/>
      <c r="Y614" s="207"/>
      <c r="Z614" s="204"/>
      <c r="AA614" s="204"/>
      <c r="AB614" s="204"/>
      <c r="AC614" s="204"/>
    </row>
    <row r="615" spans="1:29">
      <c r="A615" s="204"/>
      <c r="B615" s="204"/>
      <c r="C615" s="204"/>
      <c r="D615" s="204"/>
      <c r="E615" s="204"/>
      <c r="F615" s="204"/>
      <c r="G615" s="204"/>
      <c r="H615" s="204"/>
      <c r="I615" s="204"/>
      <c r="J615" s="204"/>
      <c r="K615" s="204"/>
      <c r="L615" s="205"/>
      <c r="M615" s="205"/>
      <c r="N615" s="204"/>
      <c r="O615" s="204"/>
      <c r="P615" s="206"/>
      <c r="Q615" s="206"/>
      <c r="R615" s="206"/>
      <c r="S615" s="206"/>
      <c r="T615" s="204"/>
      <c r="U615" s="207"/>
      <c r="V615" s="204"/>
      <c r="W615" s="204"/>
      <c r="X615" s="207"/>
      <c r="Y615" s="207"/>
      <c r="Z615" s="204"/>
      <c r="AA615" s="204"/>
      <c r="AB615" s="204"/>
      <c r="AC615" s="204"/>
    </row>
    <row r="616" spans="1:29">
      <c r="A616" s="204"/>
      <c r="B616" s="204"/>
      <c r="C616" s="204"/>
      <c r="D616" s="204"/>
      <c r="E616" s="204"/>
      <c r="F616" s="204"/>
      <c r="G616" s="204"/>
      <c r="H616" s="204"/>
      <c r="I616" s="204"/>
      <c r="J616" s="204"/>
      <c r="K616" s="204"/>
      <c r="L616" s="205"/>
      <c r="M616" s="205"/>
      <c r="N616" s="204"/>
      <c r="O616" s="204"/>
      <c r="P616" s="206"/>
      <c r="Q616" s="206"/>
      <c r="R616" s="206"/>
      <c r="S616" s="206"/>
      <c r="T616" s="204"/>
      <c r="U616" s="207"/>
      <c r="V616" s="204"/>
      <c r="W616" s="204"/>
      <c r="X616" s="207"/>
      <c r="Y616" s="207"/>
      <c r="Z616" s="204"/>
      <c r="AA616" s="204"/>
      <c r="AB616" s="204"/>
      <c r="AC616" s="204"/>
    </row>
    <row r="617" spans="1:29">
      <c r="A617" s="204"/>
      <c r="B617" s="204"/>
      <c r="C617" s="204"/>
      <c r="D617" s="204"/>
      <c r="E617" s="204"/>
      <c r="F617" s="204"/>
      <c r="G617" s="204"/>
      <c r="H617" s="204"/>
      <c r="I617" s="204"/>
      <c r="J617" s="204"/>
      <c r="K617" s="204"/>
      <c r="L617" s="205"/>
      <c r="M617" s="205"/>
      <c r="N617" s="204"/>
      <c r="O617" s="204"/>
      <c r="P617" s="206"/>
      <c r="Q617" s="206"/>
      <c r="R617" s="206"/>
      <c r="S617" s="206"/>
      <c r="T617" s="204"/>
      <c r="U617" s="207"/>
      <c r="V617" s="204"/>
      <c r="W617" s="204"/>
      <c r="X617" s="207"/>
      <c r="Y617" s="207"/>
      <c r="Z617" s="204"/>
      <c r="AA617" s="204"/>
      <c r="AB617" s="204"/>
      <c r="AC617" s="204"/>
    </row>
    <row r="618" spans="1:29">
      <c r="A618" s="204"/>
      <c r="B618" s="204"/>
      <c r="C618" s="204"/>
      <c r="D618" s="204"/>
      <c r="E618" s="204"/>
      <c r="F618" s="204"/>
      <c r="G618" s="204"/>
      <c r="H618" s="204"/>
      <c r="I618" s="204"/>
      <c r="J618" s="204"/>
      <c r="K618" s="204"/>
      <c r="L618" s="205"/>
      <c r="M618" s="205"/>
      <c r="N618" s="204"/>
      <c r="O618" s="204"/>
      <c r="P618" s="206"/>
      <c r="Q618" s="206"/>
      <c r="R618" s="206"/>
      <c r="S618" s="206"/>
      <c r="T618" s="204"/>
      <c r="U618" s="207"/>
      <c r="V618" s="204"/>
      <c r="W618" s="204"/>
      <c r="X618" s="207"/>
      <c r="Y618" s="207"/>
      <c r="Z618" s="204"/>
      <c r="AA618" s="204"/>
      <c r="AB618" s="204"/>
      <c r="AC618" s="204"/>
    </row>
    <row r="619" spans="1:29">
      <c r="A619" s="204"/>
      <c r="B619" s="204"/>
      <c r="C619" s="204"/>
      <c r="D619" s="204"/>
      <c r="E619" s="204"/>
      <c r="F619" s="204"/>
      <c r="G619" s="204"/>
      <c r="H619" s="204"/>
      <c r="I619" s="204"/>
      <c r="J619" s="204"/>
      <c r="K619" s="204"/>
      <c r="L619" s="205"/>
      <c r="M619" s="205"/>
      <c r="N619" s="204"/>
      <c r="O619" s="204"/>
      <c r="P619" s="206"/>
      <c r="Q619" s="206"/>
      <c r="R619" s="206"/>
      <c r="S619" s="206"/>
      <c r="T619" s="204"/>
      <c r="U619" s="207"/>
      <c r="V619" s="204"/>
      <c r="W619" s="204"/>
      <c r="X619" s="207"/>
      <c r="Y619" s="207"/>
      <c r="Z619" s="204"/>
      <c r="AA619" s="204"/>
      <c r="AB619" s="204"/>
      <c r="AC619" s="204"/>
    </row>
    <row r="620" spans="1:29">
      <c r="A620" s="204"/>
      <c r="B620" s="204"/>
      <c r="C620" s="204"/>
      <c r="D620" s="204"/>
      <c r="E620" s="204"/>
      <c r="F620" s="204"/>
      <c r="G620" s="204"/>
      <c r="H620" s="204"/>
      <c r="I620" s="204"/>
      <c r="J620" s="204"/>
      <c r="K620" s="204"/>
      <c r="L620" s="205"/>
      <c r="M620" s="205"/>
      <c r="N620" s="204"/>
      <c r="O620" s="204"/>
      <c r="P620" s="206"/>
      <c r="Q620" s="206"/>
      <c r="R620" s="206"/>
      <c r="S620" s="206"/>
      <c r="T620" s="204"/>
      <c r="U620" s="207"/>
      <c r="V620" s="204"/>
      <c r="W620" s="204"/>
      <c r="X620" s="207"/>
      <c r="Y620" s="207"/>
      <c r="Z620" s="204"/>
      <c r="AA620" s="204"/>
      <c r="AB620" s="204"/>
      <c r="AC620" s="204"/>
    </row>
    <row r="621" spans="1:29">
      <c r="A621" s="204"/>
      <c r="B621" s="204"/>
      <c r="C621" s="204"/>
      <c r="D621" s="204"/>
      <c r="E621" s="204"/>
      <c r="F621" s="204"/>
      <c r="G621" s="204"/>
      <c r="H621" s="204"/>
      <c r="I621" s="204"/>
      <c r="J621" s="204"/>
      <c r="K621" s="204"/>
      <c r="L621" s="205"/>
      <c r="M621" s="205"/>
      <c r="N621" s="204"/>
      <c r="O621" s="204"/>
      <c r="P621" s="206"/>
      <c r="Q621" s="206"/>
      <c r="R621" s="206"/>
      <c r="S621" s="206"/>
      <c r="T621" s="204"/>
      <c r="U621" s="207"/>
      <c r="V621" s="204"/>
      <c r="W621" s="204"/>
      <c r="X621" s="207"/>
      <c r="Y621" s="207"/>
      <c r="Z621" s="204"/>
      <c r="AA621" s="204"/>
      <c r="AB621" s="204"/>
      <c r="AC621" s="204"/>
    </row>
    <row r="622" spans="1:29">
      <c r="A622" s="204"/>
      <c r="B622" s="204"/>
      <c r="C622" s="204"/>
      <c r="D622" s="204"/>
      <c r="E622" s="204"/>
      <c r="F622" s="204"/>
      <c r="G622" s="204"/>
      <c r="H622" s="204"/>
      <c r="I622" s="204"/>
      <c r="J622" s="204"/>
      <c r="K622" s="204"/>
      <c r="L622" s="205"/>
      <c r="M622" s="205"/>
      <c r="N622" s="204"/>
      <c r="O622" s="204"/>
      <c r="P622" s="206"/>
      <c r="Q622" s="206"/>
      <c r="R622" s="206"/>
      <c r="S622" s="206"/>
      <c r="T622" s="204"/>
      <c r="U622" s="207"/>
      <c r="V622" s="204"/>
      <c r="W622" s="204"/>
      <c r="X622" s="207"/>
      <c r="Y622" s="207"/>
      <c r="Z622" s="204"/>
      <c r="AA622" s="204"/>
      <c r="AB622" s="204"/>
      <c r="AC622" s="204"/>
    </row>
    <row r="623" spans="1:29">
      <c r="A623" s="204"/>
      <c r="B623" s="204"/>
      <c r="C623" s="204"/>
      <c r="D623" s="204"/>
      <c r="E623" s="204"/>
      <c r="F623" s="204"/>
      <c r="G623" s="204"/>
      <c r="H623" s="204"/>
      <c r="I623" s="204"/>
      <c r="J623" s="204"/>
      <c r="K623" s="204"/>
      <c r="L623" s="205"/>
      <c r="M623" s="205"/>
      <c r="N623" s="204"/>
      <c r="O623" s="204"/>
      <c r="P623" s="206"/>
      <c r="Q623" s="206"/>
      <c r="R623" s="206"/>
      <c r="S623" s="206"/>
      <c r="T623" s="204"/>
      <c r="U623" s="207"/>
      <c r="V623" s="204"/>
      <c r="W623" s="204"/>
      <c r="X623" s="207"/>
      <c r="Y623" s="207"/>
      <c r="Z623" s="204"/>
      <c r="AA623" s="204"/>
      <c r="AB623" s="204"/>
      <c r="AC623" s="204"/>
    </row>
    <row r="624" spans="1:29">
      <c r="A624" s="204"/>
      <c r="B624" s="204"/>
      <c r="C624" s="204"/>
      <c r="D624" s="204"/>
      <c r="E624" s="204"/>
      <c r="F624" s="204"/>
      <c r="G624" s="204"/>
      <c r="H624" s="204"/>
      <c r="I624" s="204"/>
      <c r="J624" s="204"/>
      <c r="K624" s="204"/>
      <c r="L624" s="205"/>
      <c r="M624" s="205"/>
      <c r="N624" s="204"/>
      <c r="O624" s="204"/>
      <c r="P624" s="206"/>
      <c r="Q624" s="206"/>
      <c r="R624" s="206"/>
      <c r="S624" s="206"/>
      <c r="T624" s="204"/>
      <c r="U624" s="207"/>
      <c r="V624" s="204"/>
      <c r="W624" s="204"/>
      <c r="X624" s="207"/>
      <c r="Y624" s="207"/>
      <c r="Z624" s="204"/>
      <c r="AA624" s="204"/>
      <c r="AB624" s="204"/>
      <c r="AC624" s="204"/>
    </row>
    <row r="625" spans="1:29">
      <c r="A625" s="204"/>
      <c r="B625" s="204"/>
      <c r="C625" s="204"/>
      <c r="D625" s="204"/>
      <c r="E625" s="204"/>
      <c r="F625" s="204"/>
      <c r="G625" s="204"/>
      <c r="H625" s="204"/>
      <c r="I625" s="204"/>
      <c r="J625" s="204"/>
      <c r="K625" s="204"/>
      <c r="L625" s="205"/>
      <c r="M625" s="205"/>
      <c r="N625" s="204"/>
      <c r="O625" s="204"/>
      <c r="P625" s="206"/>
      <c r="Q625" s="206"/>
      <c r="R625" s="206"/>
      <c r="S625" s="206"/>
      <c r="T625" s="204"/>
      <c r="U625" s="207"/>
      <c r="V625" s="204"/>
      <c r="W625" s="204"/>
      <c r="X625" s="207"/>
      <c r="Y625" s="207"/>
      <c r="Z625" s="204"/>
      <c r="AA625" s="204"/>
      <c r="AB625" s="204"/>
      <c r="AC625" s="204"/>
    </row>
    <row r="626" spans="1:29">
      <c r="A626" s="204"/>
      <c r="B626" s="204"/>
      <c r="C626" s="204"/>
      <c r="D626" s="204"/>
      <c r="E626" s="204"/>
      <c r="F626" s="204"/>
      <c r="G626" s="204"/>
      <c r="H626" s="204"/>
      <c r="I626" s="204"/>
      <c r="J626" s="204"/>
      <c r="K626" s="204"/>
      <c r="L626" s="205"/>
      <c r="M626" s="205"/>
      <c r="N626" s="204"/>
      <c r="O626" s="204"/>
      <c r="P626" s="206"/>
      <c r="Q626" s="206"/>
      <c r="R626" s="206"/>
      <c r="S626" s="206"/>
      <c r="T626" s="204"/>
      <c r="U626" s="207"/>
      <c r="V626" s="204"/>
      <c r="W626" s="204"/>
      <c r="X626" s="207"/>
      <c r="Y626" s="207"/>
      <c r="Z626" s="204"/>
      <c r="AA626" s="204"/>
      <c r="AB626" s="204"/>
      <c r="AC626" s="204"/>
    </row>
    <row r="627" spans="1:29">
      <c r="A627" s="204"/>
      <c r="B627" s="204"/>
      <c r="C627" s="204"/>
      <c r="D627" s="204"/>
      <c r="E627" s="204"/>
      <c r="F627" s="204"/>
      <c r="G627" s="204"/>
      <c r="H627" s="204"/>
      <c r="I627" s="204"/>
      <c r="J627" s="204"/>
      <c r="K627" s="204"/>
      <c r="L627" s="205"/>
      <c r="M627" s="205"/>
      <c r="N627" s="204"/>
      <c r="O627" s="204"/>
      <c r="P627" s="206"/>
      <c r="Q627" s="206"/>
      <c r="R627" s="206"/>
      <c r="S627" s="206"/>
      <c r="T627" s="204"/>
      <c r="U627" s="207"/>
      <c r="V627" s="204"/>
      <c r="W627" s="204"/>
      <c r="X627" s="207"/>
      <c r="Y627" s="207"/>
      <c r="Z627" s="204"/>
      <c r="AA627" s="204"/>
      <c r="AB627" s="204"/>
      <c r="AC627" s="204"/>
    </row>
    <row r="628" spans="1:29">
      <c r="A628" s="204"/>
      <c r="B628" s="204"/>
      <c r="C628" s="204"/>
      <c r="D628" s="204"/>
      <c r="E628" s="204"/>
      <c r="F628" s="204"/>
      <c r="G628" s="204"/>
      <c r="H628" s="204"/>
      <c r="I628" s="204"/>
      <c r="J628" s="204"/>
      <c r="K628" s="204"/>
      <c r="L628" s="205"/>
      <c r="M628" s="205"/>
      <c r="N628" s="204"/>
      <c r="O628" s="204"/>
      <c r="P628" s="206"/>
      <c r="Q628" s="206"/>
      <c r="R628" s="206"/>
      <c r="S628" s="206"/>
      <c r="T628" s="204"/>
      <c r="U628" s="207"/>
      <c r="V628" s="204"/>
      <c r="W628" s="204"/>
      <c r="X628" s="207"/>
      <c r="Y628" s="207"/>
      <c r="Z628" s="204"/>
      <c r="AA628" s="204"/>
      <c r="AB628" s="204"/>
      <c r="AC628" s="204"/>
    </row>
    <row r="629" spans="1:29">
      <c r="A629" s="204"/>
      <c r="B629" s="204"/>
      <c r="C629" s="204"/>
      <c r="D629" s="204"/>
      <c r="E629" s="204"/>
      <c r="F629" s="204"/>
      <c r="G629" s="204"/>
      <c r="H629" s="204"/>
      <c r="I629" s="204"/>
      <c r="J629" s="204"/>
      <c r="K629" s="204"/>
      <c r="L629" s="205"/>
      <c r="M629" s="205"/>
      <c r="N629" s="204"/>
      <c r="O629" s="204"/>
      <c r="P629" s="206"/>
      <c r="Q629" s="206"/>
      <c r="R629" s="206"/>
      <c r="S629" s="206"/>
      <c r="T629" s="204"/>
      <c r="U629" s="207"/>
      <c r="V629" s="204"/>
      <c r="W629" s="204"/>
      <c r="X629" s="207"/>
      <c r="Y629" s="207"/>
      <c r="Z629" s="204"/>
      <c r="AA629" s="204"/>
      <c r="AB629" s="204"/>
      <c r="AC629" s="204"/>
    </row>
    <row r="630" spans="1:29">
      <c r="A630" s="204"/>
      <c r="B630" s="204"/>
      <c r="C630" s="204"/>
      <c r="D630" s="204"/>
      <c r="E630" s="204"/>
      <c r="F630" s="204"/>
      <c r="G630" s="204"/>
      <c r="H630" s="204"/>
      <c r="I630" s="204"/>
      <c r="J630" s="204"/>
      <c r="K630" s="204"/>
      <c r="L630" s="205"/>
      <c r="M630" s="205"/>
      <c r="N630" s="204"/>
      <c r="O630" s="204"/>
      <c r="P630" s="206"/>
      <c r="Q630" s="206"/>
      <c r="R630" s="206"/>
      <c r="S630" s="206"/>
      <c r="T630" s="204"/>
      <c r="U630" s="207"/>
      <c r="V630" s="204"/>
      <c r="W630" s="204"/>
      <c r="X630" s="207"/>
      <c r="Y630" s="207"/>
      <c r="Z630" s="204"/>
      <c r="AA630" s="204"/>
      <c r="AB630" s="204"/>
      <c r="AC630" s="204"/>
    </row>
    <row r="631" spans="1:29">
      <c r="A631" s="204"/>
      <c r="B631" s="204"/>
      <c r="C631" s="204"/>
      <c r="D631" s="204"/>
      <c r="E631" s="204"/>
      <c r="F631" s="204"/>
      <c r="G631" s="204"/>
      <c r="H631" s="204"/>
      <c r="I631" s="204"/>
      <c r="J631" s="204"/>
      <c r="K631" s="204"/>
      <c r="L631" s="205"/>
      <c r="M631" s="205"/>
      <c r="N631" s="204"/>
      <c r="O631" s="204"/>
      <c r="P631" s="206"/>
      <c r="Q631" s="206"/>
      <c r="R631" s="206"/>
      <c r="S631" s="206"/>
      <c r="T631" s="204"/>
      <c r="U631" s="207"/>
      <c r="V631" s="204"/>
      <c r="W631" s="204"/>
      <c r="X631" s="207"/>
      <c r="Y631" s="207"/>
      <c r="Z631" s="204"/>
      <c r="AA631" s="204"/>
      <c r="AB631" s="204"/>
      <c r="AC631" s="204"/>
    </row>
    <row r="632" spans="1:29">
      <c r="A632" s="204"/>
      <c r="B632" s="204"/>
      <c r="C632" s="204"/>
      <c r="D632" s="204"/>
      <c r="E632" s="204"/>
      <c r="F632" s="204"/>
      <c r="G632" s="204"/>
      <c r="H632" s="204"/>
      <c r="I632" s="204"/>
      <c r="J632" s="204"/>
      <c r="K632" s="204"/>
      <c r="L632" s="205"/>
      <c r="M632" s="205"/>
      <c r="N632" s="204"/>
      <c r="O632" s="204"/>
      <c r="P632" s="206"/>
      <c r="Q632" s="206"/>
      <c r="R632" s="206"/>
      <c r="S632" s="206"/>
      <c r="T632" s="204"/>
      <c r="U632" s="207"/>
      <c r="V632" s="204"/>
      <c r="W632" s="204"/>
      <c r="X632" s="207"/>
      <c r="Y632" s="207"/>
      <c r="Z632" s="204"/>
      <c r="AA632" s="204"/>
      <c r="AB632" s="204"/>
      <c r="AC632" s="204"/>
    </row>
    <row r="633" spans="1:29">
      <c r="A633" s="204"/>
      <c r="B633" s="204"/>
      <c r="C633" s="204"/>
      <c r="D633" s="204"/>
      <c r="E633" s="204"/>
      <c r="F633" s="204"/>
      <c r="G633" s="204"/>
      <c r="H633" s="204"/>
      <c r="I633" s="204"/>
      <c r="J633" s="204"/>
      <c r="K633" s="204"/>
      <c r="L633" s="205"/>
      <c r="M633" s="205"/>
      <c r="N633" s="204"/>
      <c r="O633" s="204"/>
      <c r="P633" s="206"/>
      <c r="Q633" s="206"/>
      <c r="R633" s="206"/>
      <c r="S633" s="206"/>
      <c r="T633" s="204"/>
      <c r="U633" s="207"/>
      <c r="V633" s="204"/>
      <c r="W633" s="204"/>
      <c r="X633" s="207"/>
      <c r="Y633" s="207"/>
      <c r="Z633" s="204"/>
      <c r="AA633" s="204"/>
      <c r="AB633" s="204"/>
      <c r="AC633" s="204"/>
    </row>
    <row r="634" spans="1:29">
      <c r="A634" s="204"/>
      <c r="B634" s="204"/>
      <c r="C634" s="204"/>
      <c r="D634" s="204"/>
      <c r="E634" s="204"/>
      <c r="F634" s="204"/>
      <c r="G634" s="204"/>
      <c r="H634" s="204"/>
      <c r="I634" s="204"/>
      <c r="J634" s="204"/>
      <c r="K634" s="204"/>
      <c r="L634" s="205"/>
      <c r="M634" s="205"/>
      <c r="N634" s="204"/>
      <c r="O634" s="204"/>
      <c r="P634" s="206"/>
      <c r="Q634" s="206"/>
      <c r="R634" s="206"/>
      <c r="S634" s="206"/>
      <c r="T634" s="204"/>
      <c r="U634" s="207"/>
      <c r="V634" s="204"/>
      <c r="W634" s="204"/>
      <c r="X634" s="207"/>
      <c r="Y634" s="207"/>
      <c r="Z634" s="204"/>
      <c r="AA634" s="204"/>
      <c r="AB634" s="204"/>
      <c r="AC634" s="204"/>
    </row>
    <row r="635" spans="1:29">
      <c r="A635" s="204"/>
      <c r="B635" s="204"/>
      <c r="C635" s="204"/>
      <c r="D635" s="204"/>
      <c r="E635" s="204"/>
      <c r="F635" s="204"/>
      <c r="G635" s="204"/>
      <c r="H635" s="204"/>
      <c r="I635" s="204"/>
      <c r="J635" s="204"/>
      <c r="K635" s="204"/>
      <c r="L635" s="205"/>
      <c r="M635" s="205"/>
      <c r="N635" s="204"/>
      <c r="O635" s="204"/>
      <c r="P635" s="206"/>
      <c r="Q635" s="206"/>
      <c r="R635" s="206"/>
      <c r="S635" s="206"/>
      <c r="T635" s="204"/>
      <c r="U635" s="207"/>
      <c r="V635" s="204"/>
      <c r="W635" s="204"/>
      <c r="X635" s="207"/>
      <c r="Y635" s="207"/>
      <c r="Z635" s="204"/>
      <c r="AA635" s="204"/>
      <c r="AB635" s="204"/>
      <c r="AC635" s="204"/>
    </row>
    <row r="636" spans="1:29">
      <c r="A636" s="204"/>
      <c r="B636" s="204"/>
      <c r="C636" s="204"/>
      <c r="D636" s="204"/>
      <c r="E636" s="204"/>
      <c r="F636" s="204"/>
      <c r="G636" s="204"/>
      <c r="H636" s="204"/>
      <c r="I636" s="204"/>
      <c r="J636" s="204"/>
      <c r="K636" s="204"/>
      <c r="L636" s="205"/>
      <c r="M636" s="205"/>
      <c r="N636" s="204"/>
      <c r="O636" s="204"/>
      <c r="P636" s="206"/>
      <c r="Q636" s="206"/>
      <c r="R636" s="206"/>
      <c r="S636" s="206"/>
      <c r="T636" s="204"/>
      <c r="U636" s="207"/>
      <c r="V636" s="204"/>
      <c r="W636" s="204"/>
      <c r="X636" s="207"/>
      <c r="Y636" s="207"/>
      <c r="Z636" s="204"/>
      <c r="AA636" s="204"/>
      <c r="AB636" s="204"/>
      <c r="AC636" s="204"/>
    </row>
    <row r="637" spans="1:29">
      <c r="A637" s="204"/>
      <c r="B637" s="204"/>
      <c r="C637" s="204"/>
      <c r="D637" s="204"/>
      <c r="E637" s="204"/>
      <c r="F637" s="204"/>
      <c r="G637" s="204"/>
      <c r="H637" s="204"/>
      <c r="I637" s="204"/>
      <c r="J637" s="204"/>
      <c r="K637" s="204"/>
      <c r="L637" s="205"/>
      <c r="M637" s="205"/>
      <c r="N637" s="204"/>
      <c r="O637" s="204"/>
      <c r="P637" s="206"/>
      <c r="Q637" s="206"/>
      <c r="R637" s="206"/>
      <c r="S637" s="206"/>
      <c r="T637" s="204"/>
      <c r="U637" s="207"/>
      <c r="V637" s="204"/>
      <c r="W637" s="204"/>
      <c r="X637" s="207"/>
      <c r="Y637" s="207"/>
      <c r="Z637" s="204"/>
      <c r="AA637" s="204"/>
      <c r="AB637" s="204"/>
      <c r="AC637" s="204"/>
    </row>
    <row r="638" spans="1:29">
      <c r="A638" s="204"/>
      <c r="B638" s="204"/>
      <c r="C638" s="204"/>
      <c r="D638" s="204"/>
      <c r="E638" s="204"/>
      <c r="F638" s="204"/>
      <c r="G638" s="204"/>
      <c r="H638" s="204"/>
      <c r="I638" s="204"/>
      <c r="J638" s="204"/>
      <c r="K638" s="204"/>
      <c r="L638" s="205"/>
      <c r="M638" s="205"/>
      <c r="N638" s="204"/>
      <c r="O638" s="204"/>
      <c r="P638" s="206"/>
      <c r="Q638" s="206"/>
      <c r="R638" s="206"/>
      <c r="S638" s="206"/>
      <c r="T638" s="204"/>
      <c r="U638" s="207"/>
      <c r="V638" s="204"/>
      <c r="W638" s="204"/>
      <c r="X638" s="207"/>
      <c r="Y638" s="207"/>
      <c r="Z638" s="204"/>
      <c r="AA638" s="204"/>
      <c r="AB638" s="204"/>
      <c r="AC638" s="204"/>
    </row>
    <row r="639" spans="1:29">
      <c r="A639" s="204"/>
      <c r="B639" s="204"/>
      <c r="C639" s="204"/>
      <c r="D639" s="204"/>
      <c r="E639" s="204"/>
      <c r="F639" s="204"/>
      <c r="G639" s="204"/>
      <c r="H639" s="204"/>
      <c r="I639" s="204"/>
      <c r="J639" s="204"/>
      <c r="K639" s="204"/>
      <c r="L639" s="205"/>
      <c r="M639" s="205"/>
      <c r="N639" s="204"/>
      <c r="O639" s="204"/>
      <c r="P639" s="206"/>
      <c r="Q639" s="206"/>
      <c r="R639" s="206"/>
      <c r="S639" s="206"/>
      <c r="T639" s="204"/>
      <c r="U639" s="207"/>
      <c r="V639" s="204"/>
      <c r="W639" s="204"/>
      <c r="X639" s="207"/>
      <c r="Y639" s="207"/>
      <c r="Z639" s="204"/>
      <c r="AA639" s="204"/>
      <c r="AB639" s="204"/>
      <c r="AC639" s="204"/>
    </row>
    <row r="640" spans="1:29">
      <c r="A640" s="204"/>
      <c r="B640" s="204"/>
      <c r="C640" s="204"/>
      <c r="D640" s="204"/>
      <c r="E640" s="204"/>
      <c r="F640" s="204"/>
      <c r="G640" s="204"/>
      <c r="H640" s="204"/>
      <c r="I640" s="204"/>
      <c r="J640" s="204"/>
      <c r="K640" s="204"/>
      <c r="L640" s="205"/>
      <c r="M640" s="205"/>
      <c r="N640" s="204"/>
      <c r="O640" s="204"/>
      <c r="P640" s="206"/>
      <c r="Q640" s="206"/>
      <c r="R640" s="206"/>
      <c r="S640" s="206"/>
      <c r="T640" s="204"/>
      <c r="U640" s="207"/>
      <c r="V640" s="204"/>
      <c r="W640" s="204"/>
      <c r="X640" s="207"/>
      <c r="Y640" s="207"/>
      <c r="Z640" s="204"/>
      <c r="AA640" s="204"/>
      <c r="AB640" s="204"/>
      <c r="AC640" s="204"/>
    </row>
    <row r="641" spans="1:29">
      <c r="A641" s="204"/>
      <c r="B641" s="204"/>
      <c r="C641" s="204"/>
      <c r="D641" s="204"/>
      <c r="E641" s="204"/>
      <c r="F641" s="204"/>
      <c r="G641" s="204"/>
      <c r="H641" s="204"/>
      <c r="I641" s="204"/>
      <c r="J641" s="204"/>
      <c r="K641" s="204"/>
      <c r="L641" s="205"/>
      <c r="M641" s="205"/>
      <c r="N641" s="204"/>
      <c r="O641" s="204"/>
      <c r="P641" s="206"/>
      <c r="Q641" s="206"/>
      <c r="R641" s="206"/>
      <c r="S641" s="206"/>
      <c r="T641" s="204"/>
      <c r="U641" s="207"/>
      <c r="V641" s="204"/>
      <c r="W641" s="204"/>
      <c r="X641" s="207"/>
      <c r="Y641" s="207"/>
      <c r="Z641" s="204"/>
      <c r="AA641" s="204"/>
      <c r="AB641" s="204"/>
      <c r="AC641" s="204"/>
    </row>
    <row r="642" spans="1:29">
      <c r="A642" s="204"/>
      <c r="B642" s="204"/>
      <c r="C642" s="204"/>
      <c r="D642" s="204"/>
      <c r="E642" s="204"/>
      <c r="F642" s="204"/>
      <c r="G642" s="204"/>
      <c r="H642" s="204"/>
      <c r="I642" s="204"/>
      <c r="J642" s="204"/>
      <c r="K642" s="204"/>
      <c r="L642" s="205"/>
      <c r="M642" s="205"/>
      <c r="N642" s="204"/>
      <c r="O642" s="204"/>
      <c r="P642" s="206"/>
      <c r="Q642" s="206"/>
      <c r="R642" s="206"/>
      <c r="S642" s="206"/>
      <c r="T642" s="204"/>
      <c r="U642" s="207"/>
      <c r="V642" s="204"/>
      <c r="W642" s="204"/>
      <c r="X642" s="207"/>
      <c r="Y642" s="207"/>
      <c r="Z642" s="204"/>
      <c r="AA642" s="204"/>
      <c r="AB642" s="204"/>
      <c r="AC642" s="204"/>
    </row>
    <row r="643" spans="1:29">
      <c r="A643" s="204"/>
      <c r="B643" s="204"/>
      <c r="C643" s="204"/>
      <c r="D643" s="204"/>
      <c r="E643" s="204"/>
      <c r="F643" s="204"/>
      <c r="G643" s="204"/>
      <c r="H643" s="204"/>
      <c r="I643" s="204"/>
      <c r="J643" s="204"/>
      <c r="K643" s="204"/>
      <c r="L643" s="205"/>
      <c r="M643" s="205"/>
      <c r="N643" s="204"/>
      <c r="O643" s="204"/>
      <c r="P643" s="206"/>
      <c r="Q643" s="206"/>
      <c r="R643" s="206"/>
      <c r="S643" s="206"/>
      <c r="T643" s="204"/>
      <c r="U643" s="207"/>
      <c r="V643" s="204"/>
      <c r="W643" s="204"/>
      <c r="X643" s="207"/>
      <c r="Y643" s="207"/>
      <c r="Z643" s="204"/>
      <c r="AA643" s="204"/>
      <c r="AB643" s="204"/>
      <c r="AC643" s="204"/>
    </row>
    <row r="644" spans="1:29">
      <c r="A644" s="204"/>
      <c r="B644" s="204"/>
      <c r="C644" s="204"/>
      <c r="D644" s="204"/>
      <c r="E644" s="204"/>
      <c r="F644" s="204"/>
      <c r="G644" s="204"/>
      <c r="H644" s="204"/>
      <c r="I644" s="204"/>
      <c r="J644" s="204"/>
      <c r="K644" s="204"/>
      <c r="L644" s="205"/>
      <c r="M644" s="205"/>
      <c r="N644" s="204"/>
      <c r="O644" s="204"/>
      <c r="P644" s="206"/>
      <c r="Q644" s="206"/>
      <c r="R644" s="206"/>
      <c r="S644" s="206"/>
      <c r="T644" s="204"/>
      <c r="U644" s="207"/>
      <c r="V644" s="204"/>
      <c r="W644" s="204"/>
      <c r="X644" s="207"/>
      <c r="Y644" s="207"/>
      <c r="Z644" s="204"/>
      <c r="AA644" s="204"/>
      <c r="AB644" s="204"/>
      <c r="AC644" s="204"/>
    </row>
    <row r="645" spans="1:29">
      <c r="A645" s="204"/>
      <c r="B645" s="204"/>
      <c r="C645" s="204"/>
      <c r="D645" s="204"/>
      <c r="E645" s="204"/>
      <c r="F645" s="204"/>
      <c r="G645" s="204"/>
      <c r="H645" s="204"/>
      <c r="I645" s="204"/>
      <c r="J645" s="204"/>
      <c r="K645" s="204"/>
      <c r="L645" s="205"/>
      <c r="M645" s="205"/>
      <c r="N645" s="204"/>
      <c r="O645" s="204"/>
      <c r="P645" s="206"/>
      <c r="Q645" s="206"/>
      <c r="R645" s="206"/>
      <c r="S645" s="206"/>
      <c r="T645" s="204"/>
      <c r="U645" s="207"/>
      <c r="V645" s="204"/>
      <c r="W645" s="204"/>
      <c r="X645" s="207"/>
      <c r="Y645" s="207"/>
      <c r="Z645" s="204"/>
      <c r="AA645" s="204"/>
      <c r="AB645" s="204"/>
      <c r="AC645" s="204"/>
    </row>
    <row r="646" spans="1:29">
      <c r="A646" s="204"/>
      <c r="B646" s="204"/>
      <c r="C646" s="204"/>
      <c r="D646" s="204"/>
      <c r="E646" s="204"/>
      <c r="F646" s="204"/>
      <c r="G646" s="204"/>
      <c r="H646" s="204"/>
      <c r="I646" s="204"/>
      <c r="J646" s="204"/>
      <c r="K646" s="204"/>
      <c r="L646" s="205"/>
      <c r="M646" s="205"/>
      <c r="N646" s="204"/>
      <c r="O646" s="204"/>
      <c r="P646" s="206"/>
      <c r="Q646" s="206"/>
      <c r="R646" s="206"/>
      <c r="S646" s="206"/>
      <c r="T646" s="204"/>
      <c r="U646" s="207"/>
      <c r="V646" s="204"/>
      <c r="W646" s="204"/>
      <c r="X646" s="207"/>
      <c r="Y646" s="207"/>
      <c r="Z646" s="204"/>
      <c r="AA646" s="204"/>
      <c r="AB646" s="204"/>
      <c r="AC646" s="204"/>
    </row>
    <row r="647" spans="1:29">
      <c r="A647" s="204"/>
      <c r="B647" s="204"/>
      <c r="C647" s="204"/>
      <c r="D647" s="204"/>
      <c r="E647" s="204"/>
      <c r="F647" s="204"/>
      <c r="G647" s="204"/>
      <c r="H647" s="204"/>
      <c r="I647" s="204"/>
      <c r="J647" s="204"/>
      <c r="K647" s="204"/>
      <c r="L647" s="205"/>
      <c r="M647" s="205"/>
      <c r="N647" s="204"/>
      <c r="O647" s="204"/>
      <c r="P647" s="206"/>
      <c r="Q647" s="206"/>
      <c r="R647" s="206"/>
      <c r="S647" s="206"/>
      <c r="T647" s="204"/>
      <c r="U647" s="207"/>
      <c r="V647" s="204"/>
      <c r="W647" s="204"/>
      <c r="X647" s="207"/>
      <c r="Y647" s="207"/>
      <c r="Z647" s="204"/>
      <c r="AA647" s="204"/>
      <c r="AB647" s="204"/>
      <c r="AC647" s="204"/>
    </row>
    <row r="648" spans="1:29">
      <c r="A648" s="204"/>
      <c r="B648" s="204"/>
      <c r="C648" s="204"/>
      <c r="D648" s="204"/>
      <c r="E648" s="204"/>
      <c r="F648" s="204"/>
      <c r="G648" s="204"/>
      <c r="H648" s="204"/>
      <c r="I648" s="204"/>
      <c r="J648" s="204"/>
      <c r="K648" s="204"/>
      <c r="L648" s="205"/>
      <c r="M648" s="205"/>
      <c r="N648" s="204"/>
      <c r="O648" s="204"/>
      <c r="P648" s="206"/>
      <c r="Q648" s="206"/>
      <c r="R648" s="206"/>
      <c r="S648" s="206"/>
      <c r="T648" s="204"/>
      <c r="U648" s="207"/>
      <c r="V648" s="204"/>
      <c r="W648" s="204"/>
      <c r="X648" s="207"/>
      <c r="Y648" s="207"/>
      <c r="Z648" s="204"/>
      <c r="AA648" s="204"/>
      <c r="AB648" s="204"/>
      <c r="AC648" s="204"/>
    </row>
    <row r="649" spans="1:29">
      <c r="A649" s="204"/>
      <c r="B649" s="204"/>
      <c r="C649" s="204"/>
      <c r="D649" s="204"/>
      <c r="E649" s="204"/>
      <c r="F649" s="204"/>
      <c r="G649" s="204"/>
      <c r="H649" s="204"/>
      <c r="I649" s="204"/>
      <c r="J649" s="204"/>
      <c r="K649" s="204"/>
      <c r="L649" s="205"/>
      <c r="M649" s="205"/>
      <c r="N649" s="204"/>
      <c r="O649" s="204"/>
      <c r="P649" s="206"/>
      <c r="Q649" s="206"/>
      <c r="R649" s="206"/>
      <c r="S649" s="206"/>
      <c r="T649" s="204"/>
      <c r="U649" s="207"/>
      <c r="V649" s="204"/>
      <c r="W649" s="204"/>
      <c r="X649" s="207"/>
      <c r="Y649" s="207"/>
      <c r="Z649" s="204"/>
      <c r="AA649" s="204"/>
      <c r="AB649" s="204"/>
      <c r="AC649" s="204"/>
    </row>
    <row r="650" spans="1:29">
      <c r="A650" s="204"/>
      <c r="B650" s="204"/>
      <c r="C650" s="204"/>
      <c r="D650" s="204"/>
      <c r="E650" s="204"/>
      <c r="F650" s="204"/>
      <c r="G650" s="204"/>
      <c r="H650" s="204"/>
      <c r="I650" s="204"/>
      <c r="J650" s="204"/>
      <c r="K650" s="204"/>
      <c r="L650" s="205"/>
      <c r="M650" s="205"/>
      <c r="N650" s="204"/>
      <c r="O650" s="204"/>
      <c r="P650" s="206"/>
      <c r="Q650" s="206"/>
      <c r="R650" s="206"/>
      <c r="S650" s="206"/>
      <c r="T650" s="204"/>
      <c r="U650" s="207"/>
      <c r="V650" s="204"/>
      <c r="W650" s="204"/>
      <c r="X650" s="207"/>
      <c r="Y650" s="207"/>
      <c r="Z650" s="204"/>
      <c r="AA650" s="204"/>
      <c r="AB650" s="204"/>
      <c r="AC650" s="204"/>
    </row>
    <row r="651" spans="1:29">
      <c r="A651" s="204"/>
      <c r="B651" s="204"/>
      <c r="C651" s="204"/>
      <c r="D651" s="204"/>
      <c r="E651" s="204"/>
      <c r="F651" s="204"/>
      <c r="G651" s="204"/>
      <c r="H651" s="204"/>
      <c r="I651" s="204"/>
      <c r="J651" s="204"/>
      <c r="K651" s="204"/>
      <c r="L651" s="205"/>
      <c r="M651" s="205"/>
      <c r="N651" s="204"/>
      <c r="O651" s="204"/>
      <c r="P651" s="206"/>
      <c r="Q651" s="206"/>
      <c r="R651" s="206"/>
      <c r="S651" s="206"/>
      <c r="T651" s="204"/>
      <c r="U651" s="207"/>
      <c r="V651" s="204"/>
      <c r="W651" s="204"/>
      <c r="X651" s="207"/>
      <c r="Y651" s="207"/>
      <c r="Z651" s="204"/>
      <c r="AA651" s="204"/>
      <c r="AB651" s="204"/>
      <c r="AC651" s="204"/>
    </row>
    <row r="652" spans="1:29">
      <c r="A652" s="204"/>
      <c r="B652" s="204"/>
      <c r="C652" s="204"/>
      <c r="D652" s="204"/>
      <c r="E652" s="204"/>
      <c r="F652" s="204"/>
      <c r="G652" s="204"/>
      <c r="H652" s="204"/>
      <c r="I652" s="204"/>
      <c r="J652" s="204"/>
      <c r="K652" s="204"/>
      <c r="L652" s="205"/>
      <c r="M652" s="205"/>
      <c r="N652" s="204"/>
      <c r="O652" s="204"/>
      <c r="P652" s="206"/>
      <c r="Q652" s="206"/>
      <c r="R652" s="206"/>
      <c r="S652" s="206"/>
      <c r="T652" s="204"/>
      <c r="U652" s="207"/>
      <c r="V652" s="204"/>
      <c r="W652" s="204"/>
      <c r="X652" s="207"/>
      <c r="Y652" s="207"/>
      <c r="Z652" s="204"/>
      <c r="AA652" s="204"/>
      <c r="AB652" s="204"/>
      <c r="AC652" s="204"/>
    </row>
    <row r="653" spans="1:29">
      <c r="A653" s="204"/>
      <c r="B653" s="204"/>
      <c r="C653" s="204"/>
      <c r="D653" s="204"/>
      <c r="E653" s="204"/>
      <c r="F653" s="204"/>
      <c r="G653" s="204"/>
      <c r="H653" s="204"/>
      <c r="I653" s="204"/>
      <c r="J653" s="204"/>
      <c r="K653" s="204"/>
      <c r="L653" s="205"/>
      <c r="M653" s="205"/>
      <c r="N653" s="204"/>
      <c r="O653" s="204"/>
      <c r="P653" s="206"/>
      <c r="Q653" s="206"/>
      <c r="R653" s="206"/>
      <c r="S653" s="206"/>
      <c r="T653" s="204"/>
      <c r="U653" s="207"/>
      <c r="V653" s="204"/>
      <c r="W653" s="204"/>
      <c r="X653" s="207"/>
      <c r="Y653" s="207"/>
      <c r="Z653" s="204"/>
      <c r="AA653" s="204"/>
      <c r="AB653" s="204"/>
      <c r="AC653" s="204"/>
    </row>
    <row r="654" spans="1:29">
      <c r="A654" s="204"/>
      <c r="B654" s="204"/>
      <c r="C654" s="204"/>
      <c r="D654" s="204"/>
      <c r="E654" s="204"/>
      <c r="F654" s="204"/>
      <c r="G654" s="204"/>
      <c r="H654" s="204"/>
      <c r="I654" s="204"/>
      <c r="J654" s="204"/>
      <c r="K654" s="204"/>
      <c r="L654" s="205"/>
      <c r="M654" s="205"/>
      <c r="N654" s="204"/>
      <c r="O654" s="204"/>
      <c r="P654" s="206"/>
      <c r="Q654" s="206"/>
      <c r="R654" s="206"/>
      <c r="S654" s="206"/>
      <c r="T654" s="204"/>
      <c r="U654" s="207"/>
      <c r="V654" s="204"/>
      <c r="W654" s="204"/>
      <c r="X654" s="207"/>
      <c r="Y654" s="207"/>
      <c r="Z654" s="204"/>
      <c r="AA654" s="204"/>
      <c r="AB654" s="204"/>
      <c r="AC654" s="204"/>
    </row>
    <row r="655" spans="1:29">
      <c r="A655" s="204"/>
      <c r="B655" s="204"/>
      <c r="C655" s="204"/>
      <c r="D655" s="204"/>
      <c r="E655" s="204"/>
      <c r="F655" s="204"/>
      <c r="G655" s="204"/>
      <c r="H655" s="204"/>
      <c r="I655" s="204"/>
      <c r="J655" s="204"/>
      <c r="K655" s="204"/>
      <c r="L655" s="205"/>
      <c r="M655" s="205"/>
      <c r="N655" s="204"/>
      <c r="O655" s="204"/>
      <c r="P655" s="206"/>
      <c r="Q655" s="206"/>
      <c r="R655" s="206"/>
      <c r="S655" s="206"/>
      <c r="T655" s="204"/>
      <c r="U655" s="207"/>
      <c r="V655" s="204"/>
      <c r="W655" s="204"/>
      <c r="X655" s="207"/>
      <c r="Y655" s="207"/>
      <c r="Z655" s="204"/>
      <c r="AA655" s="204"/>
      <c r="AB655" s="204"/>
      <c r="AC655" s="204"/>
    </row>
    <row r="656" spans="1:29">
      <c r="A656" s="204"/>
      <c r="B656" s="204"/>
      <c r="C656" s="204"/>
      <c r="D656" s="204"/>
      <c r="E656" s="204"/>
      <c r="F656" s="204"/>
      <c r="G656" s="204"/>
      <c r="H656" s="204"/>
      <c r="I656" s="204"/>
      <c r="J656" s="204"/>
      <c r="K656" s="204"/>
      <c r="L656" s="205"/>
      <c r="M656" s="205"/>
      <c r="N656" s="204"/>
      <c r="O656" s="204"/>
      <c r="P656" s="206"/>
      <c r="Q656" s="206"/>
      <c r="R656" s="206"/>
      <c r="S656" s="206"/>
      <c r="T656" s="204"/>
      <c r="U656" s="207"/>
      <c r="V656" s="204"/>
      <c r="W656" s="204"/>
      <c r="X656" s="207"/>
      <c r="Y656" s="207"/>
      <c r="Z656" s="204"/>
      <c r="AA656" s="204"/>
      <c r="AB656" s="204"/>
      <c r="AC656" s="204"/>
    </row>
    <row r="657" spans="1:29">
      <c r="A657" s="204"/>
      <c r="B657" s="204"/>
      <c r="C657" s="204"/>
      <c r="D657" s="204"/>
      <c r="E657" s="204"/>
      <c r="F657" s="204"/>
      <c r="G657" s="204"/>
      <c r="H657" s="204"/>
      <c r="I657" s="204"/>
      <c r="J657" s="204"/>
      <c r="K657" s="204"/>
      <c r="L657" s="205"/>
      <c r="M657" s="205"/>
      <c r="N657" s="204"/>
      <c r="O657" s="204"/>
      <c r="P657" s="206"/>
      <c r="Q657" s="206"/>
      <c r="R657" s="206"/>
      <c r="S657" s="206"/>
      <c r="T657" s="204"/>
      <c r="U657" s="207"/>
      <c r="V657" s="204"/>
      <c r="W657" s="204"/>
      <c r="X657" s="207"/>
      <c r="Y657" s="207"/>
      <c r="Z657" s="204"/>
      <c r="AA657" s="204"/>
      <c r="AB657" s="204"/>
      <c r="AC657" s="204"/>
    </row>
    <row r="658" spans="1:29">
      <c r="A658" s="204"/>
      <c r="B658" s="204"/>
      <c r="C658" s="204"/>
      <c r="D658" s="204"/>
      <c r="E658" s="204"/>
      <c r="F658" s="204"/>
      <c r="G658" s="204"/>
      <c r="H658" s="204"/>
      <c r="I658" s="204"/>
      <c r="J658" s="204"/>
      <c r="K658" s="204"/>
      <c r="L658" s="205"/>
      <c r="M658" s="205"/>
      <c r="N658" s="204"/>
      <c r="O658" s="204"/>
      <c r="P658" s="206"/>
      <c r="Q658" s="206"/>
      <c r="R658" s="206"/>
      <c r="S658" s="206"/>
      <c r="T658" s="204"/>
      <c r="U658" s="207"/>
      <c r="V658" s="204"/>
      <c r="W658" s="204"/>
      <c r="X658" s="207"/>
      <c r="Y658" s="207"/>
      <c r="Z658" s="204"/>
      <c r="AA658" s="204"/>
      <c r="AB658" s="204"/>
      <c r="AC658" s="204"/>
    </row>
    <row r="659" spans="1:29">
      <c r="A659" s="204"/>
      <c r="B659" s="204"/>
      <c r="C659" s="204"/>
      <c r="D659" s="204"/>
      <c r="E659" s="204"/>
      <c r="F659" s="204"/>
      <c r="G659" s="204"/>
      <c r="H659" s="204"/>
      <c r="I659" s="204"/>
      <c r="J659" s="204"/>
      <c r="K659" s="204"/>
      <c r="L659" s="205"/>
      <c r="M659" s="205"/>
      <c r="N659" s="204"/>
      <c r="O659" s="204"/>
      <c r="P659" s="206"/>
      <c r="Q659" s="206"/>
      <c r="R659" s="206"/>
      <c r="S659" s="206"/>
      <c r="T659" s="204"/>
      <c r="U659" s="207"/>
      <c r="V659" s="204"/>
      <c r="W659" s="204"/>
      <c r="X659" s="207"/>
      <c r="Y659" s="207"/>
      <c r="Z659" s="204"/>
      <c r="AA659" s="204"/>
      <c r="AB659" s="204"/>
      <c r="AC659" s="204"/>
    </row>
    <row r="660" spans="1:29">
      <c r="A660" s="204"/>
      <c r="B660" s="204"/>
      <c r="C660" s="204"/>
      <c r="D660" s="204"/>
      <c r="E660" s="204"/>
      <c r="F660" s="204"/>
      <c r="G660" s="204"/>
      <c r="H660" s="204"/>
      <c r="I660" s="204"/>
      <c r="J660" s="204"/>
      <c r="K660" s="204"/>
      <c r="L660" s="205"/>
      <c r="M660" s="205"/>
      <c r="N660" s="204"/>
      <c r="O660" s="204"/>
      <c r="P660" s="206"/>
      <c r="Q660" s="206"/>
      <c r="R660" s="206"/>
      <c r="S660" s="206"/>
      <c r="T660" s="204"/>
      <c r="U660" s="207"/>
      <c r="V660" s="204"/>
      <c r="W660" s="204"/>
      <c r="X660" s="207"/>
      <c r="Y660" s="207"/>
      <c r="Z660" s="204"/>
      <c r="AA660" s="204"/>
      <c r="AB660" s="204"/>
      <c r="AC660" s="204"/>
    </row>
    <row r="661" spans="1:29">
      <c r="A661" s="204"/>
      <c r="B661" s="204"/>
      <c r="C661" s="204"/>
      <c r="D661" s="204"/>
      <c r="E661" s="204"/>
      <c r="F661" s="204"/>
      <c r="G661" s="204"/>
      <c r="H661" s="204"/>
      <c r="I661" s="204"/>
      <c r="J661" s="204"/>
      <c r="K661" s="204"/>
      <c r="L661" s="205"/>
      <c r="M661" s="205"/>
      <c r="N661" s="204"/>
      <c r="O661" s="204"/>
      <c r="P661" s="206"/>
      <c r="Q661" s="206"/>
      <c r="R661" s="206"/>
      <c r="S661" s="206"/>
      <c r="T661" s="204"/>
      <c r="U661" s="207"/>
      <c r="V661" s="204"/>
      <c r="W661" s="204"/>
      <c r="X661" s="207"/>
      <c r="Y661" s="207"/>
      <c r="Z661" s="204"/>
      <c r="AA661" s="204"/>
      <c r="AB661" s="204"/>
      <c r="AC661" s="204"/>
    </row>
    <row r="662" spans="1:29">
      <c r="A662" s="204"/>
      <c r="B662" s="204"/>
      <c r="C662" s="204"/>
      <c r="D662" s="204"/>
      <c r="E662" s="204"/>
      <c r="F662" s="204"/>
      <c r="G662" s="204"/>
      <c r="H662" s="204"/>
      <c r="I662" s="204"/>
      <c r="J662" s="204"/>
      <c r="K662" s="204"/>
      <c r="L662" s="205"/>
      <c r="M662" s="205"/>
      <c r="N662" s="204"/>
      <c r="O662" s="204"/>
      <c r="P662" s="206"/>
      <c r="Q662" s="206"/>
      <c r="R662" s="206"/>
      <c r="S662" s="206"/>
      <c r="T662" s="204"/>
      <c r="U662" s="207"/>
      <c r="V662" s="204"/>
      <c r="W662" s="204"/>
      <c r="X662" s="207"/>
      <c r="Y662" s="207"/>
      <c r="Z662" s="204"/>
      <c r="AA662" s="204"/>
      <c r="AB662" s="204"/>
      <c r="AC662" s="204"/>
    </row>
    <row r="663" spans="1:29">
      <c r="A663" s="204"/>
      <c r="B663" s="204"/>
      <c r="C663" s="204"/>
      <c r="D663" s="204"/>
      <c r="E663" s="204"/>
      <c r="F663" s="204"/>
      <c r="G663" s="204"/>
      <c r="H663" s="204"/>
      <c r="I663" s="204"/>
      <c r="J663" s="204"/>
      <c r="K663" s="204"/>
      <c r="L663" s="205"/>
      <c r="M663" s="205"/>
      <c r="N663" s="204"/>
      <c r="O663" s="204"/>
      <c r="P663" s="206"/>
      <c r="Q663" s="206"/>
      <c r="R663" s="206"/>
      <c r="S663" s="206"/>
      <c r="T663" s="204"/>
      <c r="U663" s="207"/>
      <c r="V663" s="204"/>
      <c r="W663" s="204"/>
      <c r="X663" s="207"/>
      <c r="Y663" s="207"/>
      <c r="Z663" s="204"/>
      <c r="AA663" s="204"/>
      <c r="AB663" s="204"/>
      <c r="AC663" s="204"/>
    </row>
    <row r="664" spans="1:29">
      <c r="A664" s="204"/>
      <c r="B664" s="204"/>
      <c r="C664" s="204"/>
      <c r="D664" s="204"/>
      <c r="E664" s="204"/>
      <c r="F664" s="204"/>
      <c r="G664" s="204"/>
      <c r="H664" s="204"/>
      <c r="I664" s="204"/>
      <c r="J664" s="204"/>
      <c r="K664" s="204"/>
      <c r="L664" s="205"/>
      <c r="M664" s="205"/>
      <c r="N664" s="204"/>
      <c r="O664" s="204"/>
      <c r="P664" s="206"/>
      <c r="Q664" s="206"/>
      <c r="R664" s="206"/>
      <c r="S664" s="206"/>
      <c r="T664" s="204"/>
      <c r="U664" s="207"/>
      <c r="V664" s="204"/>
      <c r="W664" s="204"/>
      <c r="X664" s="207"/>
      <c r="Y664" s="207"/>
      <c r="Z664" s="204"/>
      <c r="AA664" s="204"/>
      <c r="AB664" s="204"/>
      <c r="AC664" s="204"/>
    </row>
    <row r="665" spans="1:29">
      <c r="A665" s="204"/>
      <c r="B665" s="204"/>
      <c r="C665" s="204"/>
      <c r="D665" s="204"/>
      <c r="E665" s="204"/>
      <c r="F665" s="204"/>
      <c r="G665" s="204"/>
      <c r="H665" s="204"/>
      <c r="I665" s="204"/>
      <c r="J665" s="204"/>
      <c r="K665" s="204"/>
      <c r="L665" s="205"/>
      <c r="M665" s="205"/>
      <c r="N665" s="204"/>
      <c r="O665" s="204"/>
      <c r="P665" s="206"/>
      <c r="Q665" s="206"/>
      <c r="R665" s="206"/>
      <c r="S665" s="206"/>
      <c r="T665" s="204"/>
      <c r="U665" s="207"/>
      <c r="V665" s="204"/>
      <c r="W665" s="204"/>
      <c r="X665" s="207"/>
      <c r="Y665" s="207"/>
      <c r="Z665" s="204"/>
      <c r="AA665" s="204"/>
      <c r="AB665" s="204"/>
      <c r="AC665" s="204"/>
    </row>
    <row r="666" spans="1:29">
      <c r="A666" s="204"/>
      <c r="B666" s="204"/>
      <c r="C666" s="204"/>
      <c r="D666" s="204"/>
      <c r="E666" s="204"/>
      <c r="F666" s="204"/>
      <c r="G666" s="204"/>
      <c r="H666" s="204"/>
      <c r="I666" s="204"/>
      <c r="J666" s="204"/>
      <c r="K666" s="204"/>
      <c r="L666" s="205"/>
      <c r="M666" s="205"/>
      <c r="N666" s="204"/>
      <c r="O666" s="204"/>
      <c r="P666" s="206"/>
      <c r="Q666" s="206"/>
      <c r="R666" s="206"/>
      <c r="S666" s="206"/>
      <c r="T666" s="204"/>
      <c r="U666" s="207"/>
      <c r="V666" s="204"/>
      <c r="W666" s="204"/>
      <c r="X666" s="207"/>
      <c r="Y666" s="207"/>
      <c r="Z666" s="204"/>
      <c r="AA666" s="204"/>
      <c r="AB666" s="204"/>
      <c r="AC666" s="204"/>
    </row>
    <row r="667" spans="1:29">
      <c r="A667" s="204"/>
      <c r="B667" s="204"/>
      <c r="C667" s="204"/>
      <c r="D667" s="204"/>
      <c r="E667" s="204"/>
      <c r="F667" s="204"/>
      <c r="G667" s="204"/>
      <c r="H667" s="204"/>
      <c r="I667" s="204"/>
      <c r="J667" s="204"/>
      <c r="K667" s="204"/>
      <c r="L667" s="205"/>
      <c r="M667" s="205"/>
      <c r="N667" s="204"/>
      <c r="O667" s="204"/>
      <c r="P667" s="206"/>
      <c r="Q667" s="206"/>
      <c r="R667" s="206"/>
      <c r="S667" s="206"/>
      <c r="T667" s="204"/>
      <c r="U667" s="207"/>
      <c r="V667" s="204"/>
      <c r="W667" s="204"/>
      <c r="X667" s="207"/>
      <c r="Y667" s="207"/>
      <c r="Z667" s="204"/>
      <c r="AA667" s="204"/>
      <c r="AB667" s="204"/>
      <c r="AC667" s="204"/>
    </row>
    <row r="668" spans="1:29">
      <c r="A668" s="204"/>
      <c r="B668" s="204"/>
      <c r="C668" s="204"/>
      <c r="D668" s="204"/>
      <c r="E668" s="204"/>
      <c r="F668" s="204"/>
      <c r="G668" s="204"/>
      <c r="H668" s="204"/>
      <c r="I668" s="204"/>
      <c r="J668" s="204"/>
      <c r="K668" s="204"/>
      <c r="L668" s="205"/>
      <c r="M668" s="205"/>
      <c r="N668" s="204"/>
      <c r="O668" s="204"/>
      <c r="P668" s="206"/>
      <c r="Q668" s="206"/>
      <c r="R668" s="206"/>
      <c r="S668" s="206"/>
      <c r="T668" s="204"/>
      <c r="U668" s="207"/>
      <c r="V668" s="204"/>
      <c r="W668" s="204"/>
      <c r="X668" s="207"/>
      <c r="Y668" s="207"/>
      <c r="Z668" s="204"/>
      <c r="AA668" s="204"/>
      <c r="AB668" s="204"/>
      <c r="AC668" s="204"/>
    </row>
    <row r="669" spans="1:29">
      <c r="A669" s="204"/>
      <c r="B669" s="204"/>
      <c r="C669" s="204"/>
      <c r="D669" s="204"/>
      <c r="E669" s="204"/>
      <c r="F669" s="204"/>
      <c r="G669" s="204"/>
      <c r="H669" s="204"/>
      <c r="I669" s="204"/>
      <c r="J669" s="204"/>
      <c r="K669" s="204"/>
      <c r="L669" s="205"/>
      <c r="M669" s="205"/>
      <c r="N669" s="204"/>
      <c r="O669" s="204"/>
      <c r="P669" s="206"/>
      <c r="Q669" s="206"/>
      <c r="R669" s="206"/>
      <c r="S669" s="206"/>
      <c r="T669" s="204"/>
      <c r="U669" s="207"/>
      <c r="V669" s="204"/>
      <c r="W669" s="204"/>
      <c r="X669" s="207"/>
      <c r="Y669" s="207"/>
      <c r="Z669" s="204"/>
      <c r="AA669" s="204"/>
      <c r="AB669" s="204"/>
      <c r="AC669" s="204"/>
    </row>
    <row r="670" spans="1:29">
      <c r="A670" s="204"/>
      <c r="B670" s="204"/>
      <c r="C670" s="204"/>
      <c r="D670" s="204"/>
      <c r="E670" s="204"/>
      <c r="F670" s="204"/>
      <c r="G670" s="204"/>
      <c r="H670" s="204"/>
      <c r="I670" s="204"/>
      <c r="J670" s="204"/>
      <c r="K670" s="204"/>
      <c r="L670" s="205"/>
      <c r="M670" s="205"/>
      <c r="N670" s="204"/>
      <c r="O670" s="204"/>
      <c r="P670" s="206"/>
      <c r="Q670" s="206"/>
      <c r="R670" s="206"/>
      <c r="S670" s="206"/>
      <c r="T670" s="204"/>
      <c r="U670" s="207"/>
      <c r="V670" s="204"/>
      <c r="W670" s="204"/>
      <c r="X670" s="207"/>
      <c r="Y670" s="207"/>
      <c r="Z670" s="204"/>
      <c r="AA670" s="204"/>
      <c r="AB670" s="204"/>
      <c r="AC670" s="204"/>
    </row>
    <row r="671" spans="1:29">
      <c r="A671" s="204"/>
      <c r="B671" s="204"/>
      <c r="C671" s="204"/>
      <c r="D671" s="204"/>
      <c r="E671" s="204"/>
      <c r="F671" s="204"/>
      <c r="G671" s="204"/>
      <c r="H671" s="204"/>
      <c r="I671" s="204"/>
      <c r="J671" s="204"/>
      <c r="K671" s="204"/>
      <c r="L671" s="205"/>
      <c r="M671" s="205"/>
      <c r="N671" s="204"/>
      <c r="O671" s="204"/>
      <c r="P671" s="206"/>
      <c r="Q671" s="206"/>
      <c r="R671" s="206"/>
      <c r="S671" s="206"/>
      <c r="T671" s="204"/>
      <c r="U671" s="207"/>
      <c r="V671" s="204"/>
      <c r="W671" s="204"/>
      <c r="X671" s="207"/>
      <c r="Y671" s="207"/>
      <c r="Z671" s="204"/>
      <c r="AA671" s="204"/>
      <c r="AB671" s="204"/>
      <c r="AC671" s="204"/>
    </row>
    <row r="672" spans="1:29">
      <c r="A672" s="204"/>
      <c r="B672" s="204"/>
      <c r="C672" s="204"/>
      <c r="D672" s="204"/>
      <c r="E672" s="204"/>
      <c r="F672" s="204"/>
      <c r="G672" s="204"/>
      <c r="H672" s="204"/>
      <c r="I672" s="204"/>
      <c r="J672" s="204"/>
      <c r="K672" s="204"/>
      <c r="L672" s="205"/>
      <c r="M672" s="205"/>
      <c r="N672" s="204"/>
      <c r="O672" s="204"/>
      <c r="P672" s="206"/>
      <c r="Q672" s="206"/>
      <c r="R672" s="206"/>
      <c r="S672" s="206"/>
      <c r="T672" s="204"/>
      <c r="U672" s="207"/>
      <c r="V672" s="204"/>
      <c r="W672" s="204"/>
      <c r="X672" s="207"/>
      <c r="Y672" s="207"/>
      <c r="Z672" s="204"/>
      <c r="AA672" s="204"/>
      <c r="AB672" s="204"/>
      <c r="AC672" s="204"/>
    </row>
    <row r="673" spans="1:29">
      <c r="A673" s="204"/>
      <c r="B673" s="204"/>
      <c r="C673" s="204"/>
      <c r="D673" s="204"/>
      <c r="E673" s="204"/>
      <c r="F673" s="204"/>
      <c r="G673" s="204"/>
      <c r="H673" s="204"/>
      <c r="I673" s="204"/>
      <c r="J673" s="204"/>
      <c r="K673" s="204"/>
      <c r="L673" s="205"/>
      <c r="M673" s="205"/>
      <c r="N673" s="204"/>
      <c r="O673" s="204"/>
      <c r="P673" s="206"/>
      <c r="Q673" s="206"/>
      <c r="R673" s="206"/>
      <c r="S673" s="206"/>
      <c r="T673" s="204"/>
      <c r="U673" s="207"/>
      <c r="V673" s="204"/>
      <c r="W673" s="204"/>
      <c r="X673" s="207"/>
      <c r="Y673" s="207"/>
      <c r="Z673" s="204"/>
      <c r="AA673" s="204"/>
      <c r="AB673" s="204"/>
      <c r="AC673" s="204"/>
    </row>
    <row r="674" spans="1:29">
      <c r="A674" s="204"/>
      <c r="B674" s="204"/>
      <c r="C674" s="204"/>
      <c r="D674" s="204"/>
      <c r="E674" s="204"/>
      <c r="F674" s="204"/>
      <c r="G674" s="204"/>
      <c r="H674" s="204"/>
      <c r="I674" s="204"/>
      <c r="J674" s="204"/>
      <c r="K674" s="204"/>
      <c r="L674" s="205"/>
      <c r="M674" s="205"/>
      <c r="N674" s="204"/>
      <c r="O674" s="204"/>
      <c r="P674" s="206"/>
      <c r="Q674" s="206"/>
      <c r="R674" s="206"/>
      <c r="S674" s="206"/>
      <c r="T674" s="204"/>
      <c r="U674" s="207"/>
      <c r="V674" s="204"/>
      <c r="W674" s="204"/>
      <c r="X674" s="207"/>
      <c r="Y674" s="207"/>
      <c r="Z674" s="204"/>
      <c r="AA674" s="204"/>
      <c r="AB674" s="204"/>
      <c r="AC674" s="204"/>
    </row>
    <row r="675" spans="1:29">
      <c r="A675" s="204"/>
      <c r="B675" s="204"/>
      <c r="C675" s="204"/>
      <c r="D675" s="204"/>
      <c r="E675" s="204"/>
      <c r="F675" s="204"/>
      <c r="G675" s="204"/>
      <c r="H675" s="204"/>
      <c r="I675" s="204"/>
      <c r="J675" s="204"/>
      <c r="K675" s="204"/>
      <c r="L675" s="205"/>
      <c r="M675" s="205"/>
      <c r="N675" s="204"/>
      <c r="O675" s="204"/>
      <c r="P675" s="206"/>
      <c r="Q675" s="206"/>
      <c r="R675" s="206"/>
      <c r="S675" s="206"/>
      <c r="T675" s="204"/>
      <c r="U675" s="207"/>
      <c r="V675" s="204"/>
      <c r="W675" s="204"/>
      <c r="X675" s="207"/>
      <c r="Y675" s="207"/>
      <c r="Z675" s="204"/>
      <c r="AA675" s="204"/>
      <c r="AB675" s="204"/>
      <c r="AC675" s="204"/>
    </row>
    <row r="676" spans="1:29">
      <c r="A676" s="204"/>
      <c r="B676" s="204"/>
      <c r="C676" s="204"/>
      <c r="D676" s="204"/>
      <c r="E676" s="204"/>
      <c r="F676" s="204"/>
      <c r="G676" s="204"/>
      <c r="H676" s="204"/>
      <c r="I676" s="204"/>
      <c r="J676" s="204"/>
      <c r="K676" s="204"/>
      <c r="L676" s="205"/>
      <c r="M676" s="205"/>
      <c r="N676" s="204"/>
      <c r="O676" s="204"/>
      <c r="P676" s="206"/>
      <c r="Q676" s="206"/>
      <c r="R676" s="206"/>
      <c r="S676" s="206"/>
      <c r="T676" s="204"/>
      <c r="U676" s="207"/>
      <c r="V676" s="204"/>
      <c r="W676" s="204"/>
      <c r="X676" s="207"/>
      <c r="Y676" s="207"/>
      <c r="Z676" s="204"/>
      <c r="AA676" s="204"/>
      <c r="AB676" s="204"/>
      <c r="AC676" s="204"/>
    </row>
    <row r="677" spans="1:29">
      <c r="A677" s="204"/>
      <c r="B677" s="204"/>
      <c r="C677" s="204"/>
      <c r="D677" s="204"/>
      <c r="E677" s="204"/>
      <c r="F677" s="204"/>
      <c r="G677" s="204"/>
      <c r="H677" s="204"/>
      <c r="I677" s="204"/>
      <c r="J677" s="204"/>
      <c r="K677" s="204"/>
      <c r="L677" s="205"/>
      <c r="M677" s="205"/>
      <c r="N677" s="204"/>
      <c r="O677" s="204"/>
      <c r="P677" s="206"/>
      <c r="Q677" s="206"/>
      <c r="R677" s="206"/>
      <c r="S677" s="206"/>
      <c r="T677" s="204"/>
      <c r="U677" s="207"/>
      <c r="V677" s="204"/>
      <c r="W677" s="204"/>
      <c r="X677" s="207"/>
      <c r="Y677" s="207"/>
      <c r="Z677" s="204"/>
      <c r="AA677" s="204"/>
      <c r="AB677" s="204"/>
      <c r="AC677" s="204"/>
    </row>
    <row r="678" spans="1:29">
      <c r="A678" s="204"/>
      <c r="B678" s="204"/>
      <c r="C678" s="204"/>
      <c r="D678" s="204"/>
      <c r="E678" s="204"/>
      <c r="F678" s="204"/>
      <c r="G678" s="204"/>
      <c r="H678" s="204"/>
      <c r="I678" s="204"/>
      <c r="J678" s="204"/>
      <c r="K678" s="204"/>
      <c r="L678" s="205"/>
      <c r="M678" s="205"/>
      <c r="N678" s="204"/>
      <c r="O678" s="204"/>
      <c r="P678" s="206"/>
      <c r="Q678" s="206"/>
      <c r="R678" s="206"/>
      <c r="S678" s="206"/>
      <c r="T678" s="204"/>
      <c r="U678" s="207"/>
      <c r="V678" s="204"/>
      <c r="W678" s="204"/>
      <c r="X678" s="207"/>
      <c r="Y678" s="207"/>
      <c r="Z678" s="204"/>
      <c r="AA678" s="204"/>
      <c r="AB678" s="204"/>
      <c r="AC678" s="204"/>
    </row>
    <row r="679" spans="1:29">
      <c r="A679" s="204"/>
      <c r="B679" s="204"/>
      <c r="C679" s="204"/>
      <c r="D679" s="204"/>
      <c r="E679" s="204"/>
      <c r="F679" s="204"/>
      <c r="G679" s="204"/>
      <c r="H679" s="204"/>
      <c r="I679" s="204"/>
      <c r="J679" s="204"/>
      <c r="K679" s="204"/>
      <c r="L679" s="205"/>
      <c r="M679" s="205"/>
      <c r="N679" s="204"/>
      <c r="O679" s="204"/>
      <c r="P679" s="206"/>
      <c r="Q679" s="206"/>
      <c r="R679" s="206"/>
      <c r="S679" s="206"/>
      <c r="T679" s="204"/>
      <c r="U679" s="207"/>
      <c r="V679" s="204"/>
      <c r="W679" s="204"/>
      <c r="X679" s="207"/>
      <c r="Y679" s="207"/>
      <c r="Z679" s="204"/>
      <c r="AA679" s="204"/>
      <c r="AB679" s="204"/>
      <c r="AC679" s="204"/>
    </row>
    <row r="680" spans="1:29">
      <c r="A680" s="204"/>
      <c r="B680" s="204"/>
      <c r="C680" s="204"/>
      <c r="D680" s="204"/>
      <c r="E680" s="204"/>
      <c r="F680" s="204"/>
      <c r="G680" s="204"/>
      <c r="H680" s="204"/>
      <c r="I680" s="204"/>
      <c r="J680" s="204"/>
      <c r="K680" s="204"/>
      <c r="L680" s="205"/>
      <c r="M680" s="205"/>
      <c r="N680" s="204"/>
      <c r="O680" s="204"/>
      <c r="P680" s="206"/>
      <c r="Q680" s="206"/>
      <c r="R680" s="206"/>
      <c r="S680" s="206"/>
      <c r="T680" s="204"/>
      <c r="U680" s="207"/>
      <c r="V680" s="204"/>
      <c r="W680" s="204"/>
      <c r="X680" s="207"/>
      <c r="Y680" s="207"/>
      <c r="Z680" s="204"/>
      <c r="AA680" s="204"/>
      <c r="AB680" s="204"/>
      <c r="AC680" s="204"/>
    </row>
    <row r="681" spans="1:29">
      <c r="A681" s="204"/>
      <c r="B681" s="204"/>
      <c r="C681" s="204"/>
      <c r="D681" s="204"/>
      <c r="E681" s="204"/>
      <c r="F681" s="204"/>
      <c r="G681" s="204"/>
      <c r="H681" s="204"/>
      <c r="I681" s="204"/>
      <c r="J681" s="204"/>
      <c r="K681" s="204"/>
      <c r="L681" s="205"/>
      <c r="M681" s="205"/>
      <c r="N681" s="204"/>
      <c r="O681" s="204"/>
      <c r="P681" s="206"/>
      <c r="Q681" s="206"/>
      <c r="R681" s="206"/>
      <c r="S681" s="206"/>
      <c r="T681" s="204"/>
      <c r="U681" s="207"/>
      <c r="V681" s="204"/>
      <c r="W681" s="204"/>
      <c r="X681" s="207"/>
      <c r="Y681" s="207"/>
      <c r="Z681" s="204"/>
      <c r="AA681" s="204"/>
      <c r="AB681" s="204"/>
      <c r="AC681" s="204"/>
    </row>
    <row r="682" spans="1:29">
      <c r="A682" s="204"/>
      <c r="B682" s="204"/>
      <c r="C682" s="204"/>
      <c r="D682" s="204"/>
      <c r="E682" s="204"/>
      <c r="F682" s="204"/>
      <c r="G682" s="204"/>
      <c r="H682" s="204"/>
      <c r="I682" s="204"/>
      <c r="J682" s="204"/>
      <c r="K682" s="204"/>
      <c r="L682" s="205"/>
      <c r="M682" s="205"/>
      <c r="N682" s="204"/>
      <c r="O682" s="204"/>
      <c r="P682" s="206"/>
      <c r="Q682" s="206"/>
      <c r="R682" s="206"/>
      <c r="S682" s="206"/>
      <c r="T682" s="204"/>
      <c r="U682" s="207"/>
      <c r="V682" s="204"/>
      <c r="W682" s="204"/>
      <c r="X682" s="207"/>
      <c r="Y682" s="207"/>
      <c r="Z682" s="204"/>
      <c r="AA682" s="204"/>
      <c r="AB682" s="204"/>
      <c r="AC682" s="204"/>
    </row>
    <row r="683" spans="1:29">
      <c r="A683" s="204"/>
      <c r="B683" s="204"/>
      <c r="C683" s="204"/>
      <c r="D683" s="204"/>
      <c r="E683" s="204"/>
      <c r="F683" s="204"/>
      <c r="G683" s="204"/>
      <c r="H683" s="204"/>
      <c r="I683" s="204"/>
      <c r="J683" s="204"/>
      <c r="K683" s="204"/>
      <c r="L683" s="205"/>
      <c r="M683" s="205"/>
      <c r="N683" s="204"/>
      <c r="O683" s="204"/>
      <c r="P683" s="206"/>
      <c r="Q683" s="206"/>
      <c r="R683" s="206"/>
      <c r="S683" s="206"/>
      <c r="T683" s="204"/>
      <c r="U683" s="207"/>
      <c r="V683" s="204"/>
      <c r="W683" s="204"/>
      <c r="X683" s="207"/>
      <c r="Y683" s="207"/>
      <c r="Z683" s="204"/>
      <c r="AA683" s="204"/>
      <c r="AB683" s="204"/>
      <c r="AC683" s="204"/>
    </row>
    <row r="684" spans="1:29">
      <c r="A684" s="204"/>
      <c r="B684" s="204"/>
      <c r="C684" s="204"/>
      <c r="D684" s="204"/>
      <c r="E684" s="204"/>
      <c r="F684" s="204"/>
      <c r="G684" s="204"/>
      <c r="H684" s="204"/>
      <c r="I684" s="204"/>
      <c r="J684" s="204"/>
      <c r="K684" s="204"/>
      <c r="L684" s="205"/>
      <c r="M684" s="205"/>
      <c r="N684" s="204"/>
      <c r="O684" s="204"/>
      <c r="P684" s="206"/>
      <c r="Q684" s="206"/>
      <c r="R684" s="206"/>
      <c r="S684" s="206"/>
      <c r="T684" s="204"/>
      <c r="U684" s="207"/>
      <c r="V684" s="204"/>
      <c r="W684" s="204"/>
      <c r="X684" s="207"/>
      <c r="Y684" s="207"/>
      <c r="Z684" s="204"/>
      <c r="AA684" s="204"/>
      <c r="AB684" s="204"/>
      <c r="AC684" s="204"/>
    </row>
    <row r="685" spans="1:29">
      <c r="A685" s="204"/>
      <c r="B685" s="204"/>
      <c r="C685" s="204"/>
      <c r="D685" s="204"/>
      <c r="E685" s="204"/>
      <c r="F685" s="204"/>
      <c r="G685" s="204"/>
      <c r="H685" s="204"/>
      <c r="I685" s="204"/>
      <c r="J685" s="204"/>
      <c r="K685" s="204"/>
      <c r="L685" s="205"/>
      <c r="M685" s="205"/>
      <c r="N685" s="204"/>
      <c r="O685" s="204"/>
      <c r="P685" s="206"/>
      <c r="Q685" s="206"/>
      <c r="R685" s="206"/>
      <c r="S685" s="206"/>
      <c r="T685" s="204"/>
      <c r="U685" s="207"/>
      <c r="V685" s="204"/>
      <c r="W685" s="204"/>
      <c r="X685" s="207"/>
      <c r="Y685" s="207"/>
      <c r="Z685" s="204"/>
      <c r="AA685" s="204"/>
      <c r="AB685" s="204"/>
      <c r="AC685" s="204"/>
    </row>
    <row r="686" spans="1:29">
      <c r="A686" s="204"/>
      <c r="B686" s="204"/>
      <c r="C686" s="204"/>
      <c r="D686" s="204"/>
      <c r="E686" s="204"/>
      <c r="F686" s="204"/>
      <c r="G686" s="204"/>
      <c r="H686" s="204"/>
      <c r="I686" s="204"/>
      <c r="J686" s="204"/>
      <c r="K686" s="204"/>
      <c r="L686" s="205"/>
      <c r="M686" s="205"/>
      <c r="N686" s="204"/>
      <c r="O686" s="204"/>
      <c r="P686" s="206"/>
      <c r="Q686" s="206"/>
      <c r="R686" s="206"/>
      <c r="S686" s="206"/>
      <c r="T686" s="204"/>
      <c r="U686" s="207"/>
      <c r="V686" s="204"/>
      <c r="W686" s="204"/>
      <c r="X686" s="207"/>
      <c r="Y686" s="207"/>
      <c r="Z686" s="204"/>
      <c r="AA686" s="204"/>
      <c r="AB686" s="204"/>
      <c r="AC686" s="204"/>
    </row>
    <row r="687" spans="1:29">
      <c r="A687" s="204"/>
      <c r="B687" s="204"/>
      <c r="C687" s="204"/>
      <c r="D687" s="204"/>
      <c r="E687" s="204"/>
      <c r="F687" s="204"/>
      <c r="G687" s="204"/>
      <c r="H687" s="204"/>
      <c r="I687" s="204"/>
      <c r="J687" s="204"/>
      <c r="K687" s="204"/>
      <c r="L687" s="205"/>
      <c r="M687" s="205"/>
      <c r="N687" s="204"/>
      <c r="O687" s="204"/>
      <c r="P687" s="206"/>
      <c r="Q687" s="206"/>
      <c r="R687" s="206"/>
      <c r="S687" s="206"/>
      <c r="T687" s="204"/>
      <c r="U687" s="207"/>
      <c r="V687" s="204"/>
      <c r="W687" s="204"/>
      <c r="X687" s="207"/>
      <c r="Y687" s="207"/>
      <c r="Z687" s="204"/>
      <c r="AA687" s="204"/>
      <c r="AB687" s="204"/>
      <c r="AC687" s="204"/>
    </row>
    <row r="688" spans="1:29">
      <c r="A688" s="204"/>
      <c r="B688" s="204"/>
      <c r="C688" s="204"/>
      <c r="D688" s="204"/>
      <c r="E688" s="204"/>
      <c r="F688" s="204"/>
      <c r="G688" s="204"/>
      <c r="H688" s="204"/>
      <c r="I688" s="204"/>
      <c r="J688" s="204"/>
      <c r="K688" s="204"/>
      <c r="L688" s="205"/>
      <c r="M688" s="205"/>
      <c r="N688" s="204"/>
      <c r="O688" s="204"/>
      <c r="P688" s="206"/>
      <c r="Q688" s="206"/>
      <c r="R688" s="206"/>
      <c r="S688" s="206"/>
      <c r="T688" s="204"/>
      <c r="U688" s="207"/>
      <c r="V688" s="204"/>
      <c r="W688" s="204"/>
      <c r="X688" s="207"/>
      <c r="Y688" s="207"/>
      <c r="Z688" s="204"/>
      <c r="AA688" s="204"/>
      <c r="AB688" s="204"/>
      <c r="AC688" s="204"/>
    </row>
    <row r="689" spans="1:29">
      <c r="A689" s="204"/>
      <c r="B689" s="204"/>
      <c r="C689" s="204"/>
      <c r="D689" s="204"/>
      <c r="E689" s="204"/>
      <c r="F689" s="204"/>
      <c r="G689" s="204"/>
      <c r="H689" s="204"/>
      <c r="I689" s="204"/>
      <c r="J689" s="204"/>
      <c r="K689" s="204"/>
      <c r="L689" s="205"/>
      <c r="M689" s="205"/>
      <c r="N689" s="204"/>
      <c r="O689" s="204"/>
      <c r="P689" s="206"/>
      <c r="Q689" s="206"/>
      <c r="R689" s="206"/>
      <c r="S689" s="206"/>
      <c r="T689" s="204"/>
      <c r="U689" s="207"/>
      <c r="V689" s="204"/>
      <c r="W689" s="204"/>
      <c r="X689" s="207"/>
      <c r="Y689" s="207"/>
      <c r="Z689" s="204"/>
      <c r="AA689" s="204"/>
      <c r="AB689" s="204"/>
      <c r="AC689" s="204"/>
    </row>
    <row r="690" spans="1:29">
      <c r="A690" s="204"/>
      <c r="B690" s="204"/>
      <c r="C690" s="204"/>
      <c r="D690" s="204"/>
      <c r="E690" s="204"/>
      <c r="F690" s="204"/>
      <c r="G690" s="204"/>
      <c r="H690" s="204"/>
      <c r="I690" s="204"/>
      <c r="J690" s="204"/>
      <c r="K690" s="204"/>
      <c r="L690" s="205"/>
      <c r="M690" s="205"/>
      <c r="N690" s="204"/>
      <c r="O690" s="204"/>
      <c r="P690" s="206"/>
      <c r="Q690" s="206"/>
      <c r="R690" s="206"/>
      <c r="S690" s="206"/>
      <c r="T690" s="204"/>
      <c r="U690" s="207"/>
      <c r="V690" s="204"/>
      <c r="W690" s="204"/>
      <c r="X690" s="207"/>
      <c r="Y690" s="207"/>
      <c r="Z690" s="204"/>
      <c r="AA690" s="204"/>
      <c r="AB690" s="204"/>
      <c r="AC690" s="204"/>
    </row>
    <row r="691" spans="1:29">
      <c r="A691" s="204"/>
      <c r="B691" s="204"/>
      <c r="C691" s="204"/>
      <c r="D691" s="204"/>
      <c r="E691" s="204"/>
      <c r="F691" s="204"/>
      <c r="G691" s="204"/>
      <c r="H691" s="204"/>
      <c r="I691" s="204"/>
      <c r="J691" s="204"/>
      <c r="K691" s="204"/>
      <c r="L691" s="205"/>
      <c r="M691" s="205"/>
      <c r="N691" s="204"/>
      <c r="O691" s="204"/>
      <c r="P691" s="206"/>
      <c r="Q691" s="206"/>
      <c r="R691" s="206"/>
      <c r="S691" s="206"/>
      <c r="T691" s="204"/>
      <c r="U691" s="207"/>
      <c r="V691" s="204"/>
      <c r="W691" s="204"/>
      <c r="X691" s="207"/>
      <c r="Y691" s="207"/>
      <c r="Z691" s="204"/>
      <c r="AA691" s="204"/>
      <c r="AB691" s="204"/>
      <c r="AC691" s="204"/>
    </row>
    <row r="692" spans="1:29">
      <c r="A692" s="204"/>
      <c r="B692" s="204"/>
      <c r="C692" s="204"/>
      <c r="D692" s="204"/>
      <c r="E692" s="204"/>
      <c r="F692" s="204"/>
      <c r="G692" s="204"/>
      <c r="H692" s="204"/>
      <c r="I692" s="204"/>
      <c r="J692" s="204"/>
      <c r="K692" s="204"/>
      <c r="L692" s="205"/>
      <c r="M692" s="205"/>
      <c r="N692" s="204"/>
      <c r="O692" s="204"/>
      <c r="P692" s="206"/>
      <c r="Q692" s="206"/>
      <c r="R692" s="206"/>
      <c r="S692" s="206"/>
      <c r="T692" s="204"/>
      <c r="U692" s="207"/>
      <c r="V692" s="204"/>
      <c r="W692" s="204"/>
      <c r="X692" s="207"/>
      <c r="Y692" s="207"/>
      <c r="Z692" s="204"/>
      <c r="AA692" s="204"/>
      <c r="AB692" s="204"/>
      <c r="AC692" s="204"/>
    </row>
    <row r="693" spans="1:29">
      <c r="A693" s="204"/>
      <c r="B693" s="204"/>
      <c r="C693" s="204"/>
      <c r="D693" s="204"/>
      <c r="E693" s="204"/>
      <c r="F693" s="204"/>
      <c r="G693" s="204"/>
      <c r="H693" s="204"/>
      <c r="I693" s="204"/>
      <c r="J693" s="204"/>
      <c r="K693" s="204"/>
      <c r="L693" s="205"/>
      <c r="M693" s="205"/>
      <c r="N693" s="204"/>
      <c r="O693" s="204"/>
      <c r="P693" s="206"/>
      <c r="Q693" s="206"/>
      <c r="R693" s="206"/>
      <c r="S693" s="206"/>
      <c r="T693" s="204"/>
      <c r="U693" s="207"/>
      <c r="V693" s="204"/>
      <c r="W693" s="204"/>
      <c r="X693" s="207"/>
      <c r="Y693" s="207"/>
      <c r="Z693" s="204"/>
      <c r="AA693" s="204"/>
      <c r="AB693" s="204"/>
      <c r="AC693" s="204"/>
    </row>
    <row r="694" spans="1:29">
      <c r="A694" s="204"/>
      <c r="B694" s="204"/>
      <c r="C694" s="204"/>
      <c r="D694" s="204"/>
      <c r="E694" s="204"/>
      <c r="F694" s="204"/>
      <c r="G694" s="204"/>
      <c r="H694" s="204"/>
      <c r="I694" s="204"/>
      <c r="J694" s="204"/>
      <c r="K694" s="204"/>
      <c r="L694" s="205"/>
      <c r="M694" s="205"/>
      <c r="N694" s="204"/>
      <c r="O694" s="204"/>
      <c r="P694" s="206"/>
      <c r="Q694" s="206"/>
      <c r="R694" s="206"/>
      <c r="S694" s="206"/>
      <c r="T694" s="204"/>
      <c r="U694" s="207"/>
      <c r="V694" s="204"/>
      <c r="W694" s="204"/>
      <c r="X694" s="207"/>
      <c r="Y694" s="207"/>
      <c r="Z694" s="204"/>
      <c r="AA694" s="204"/>
      <c r="AB694" s="204"/>
      <c r="AC694" s="204"/>
    </row>
    <row r="695" spans="1:29">
      <c r="A695" s="204"/>
      <c r="B695" s="204"/>
      <c r="C695" s="204"/>
      <c r="D695" s="204"/>
      <c r="E695" s="204"/>
      <c r="F695" s="204"/>
      <c r="G695" s="204"/>
      <c r="H695" s="204"/>
      <c r="I695" s="204"/>
      <c r="J695" s="204"/>
      <c r="K695" s="204"/>
      <c r="L695" s="205"/>
      <c r="M695" s="205"/>
      <c r="N695" s="204"/>
      <c r="O695" s="204"/>
      <c r="P695" s="206"/>
      <c r="Q695" s="206"/>
      <c r="R695" s="206"/>
      <c r="S695" s="206"/>
      <c r="T695" s="204"/>
      <c r="U695" s="207"/>
      <c r="V695" s="204"/>
      <c r="W695" s="204"/>
      <c r="X695" s="207"/>
      <c r="Y695" s="207"/>
      <c r="Z695" s="204"/>
      <c r="AA695" s="204"/>
      <c r="AB695" s="204"/>
      <c r="AC695" s="204"/>
    </row>
    <row r="696" spans="1:29">
      <c r="A696" s="204"/>
      <c r="B696" s="204"/>
      <c r="C696" s="204"/>
      <c r="D696" s="204"/>
      <c r="E696" s="204"/>
      <c r="F696" s="204"/>
      <c r="G696" s="204"/>
      <c r="H696" s="204"/>
      <c r="I696" s="204"/>
      <c r="J696" s="204"/>
      <c r="K696" s="204"/>
      <c r="L696" s="205"/>
      <c r="M696" s="205"/>
      <c r="N696" s="204"/>
      <c r="O696" s="204"/>
      <c r="P696" s="206"/>
      <c r="Q696" s="206"/>
      <c r="R696" s="206"/>
      <c r="S696" s="206"/>
      <c r="T696" s="204"/>
      <c r="U696" s="207"/>
      <c r="V696" s="204"/>
      <c r="W696" s="204"/>
      <c r="X696" s="207"/>
      <c r="Y696" s="207"/>
      <c r="Z696" s="204"/>
      <c r="AA696" s="204"/>
      <c r="AB696" s="204"/>
      <c r="AC696" s="204"/>
    </row>
    <row r="697" spans="1:29">
      <c r="A697" s="204"/>
      <c r="B697" s="204"/>
      <c r="C697" s="204"/>
      <c r="D697" s="204"/>
      <c r="E697" s="204"/>
      <c r="F697" s="204"/>
      <c r="G697" s="204"/>
      <c r="H697" s="204"/>
      <c r="I697" s="204"/>
      <c r="J697" s="204"/>
      <c r="K697" s="204"/>
      <c r="L697" s="205"/>
      <c r="M697" s="205"/>
      <c r="N697" s="204"/>
      <c r="O697" s="204"/>
      <c r="P697" s="206"/>
      <c r="Q697" s="206"/>
      <c r="R697" s="206"/>
      <c r="S697" s="206"/>
      <c r="T697" s="204"/>
      <c r="U697" s="207"/>
      <c r="V697" s="204"/>
      <c r="W697" s="204"/>
      <c r="X697" s="207"/>
      <c r="Y697" s="207"/>
      <c r="Z697" s="204"/>
      <c r="AA697" s="204"/>
      <c r="AB697" s="204"/>
      <c r="AC697" s="204"/>
    </row>
    <row r="698" spans="1:29">
      <c r="A698" s="204"/>
      <c r="B698" s="204"/>
      <c r="C698" s="204"/>
      <c r="D698" s="204"/>
      <c r="E698" s="204"/>
      <c r="F698" s="204"/>
      <c r="G698" s="204"/>
      <c r="H698" s="204"/>
      <c r="I698" s="204"/>
      <c r="J698" s="204"/>
      <c r="K698" s="204"/>
      <c r="L698" s="205"/>
      <c r="M698" s="205"/>
      <c r="N698" s="204"/>
      <c r="O698" s="204"/>
      <c r="P698" s="206"/>
      <c r="Q698" s="206"/>
      <c r="R698" s="206"/>
      <c r="S698" s="206"/>
      <c r="T698" s="204"/>
      <c r="U698" s="207"/>
      <c r="V698" s="204"/>
      <c r="W698" s="204"/>
      <c r="X698" s="207"/>
      <c r="Y698" s="207"/>
      <c r="Z698" s="204"/>
      <c r="AA698" s="204"/>
      <c r="AB698" s="204"/>
      <c r="AC698" s="204"/>
    </row>
    <row r="699" spans="1:29">
      <c r="A699" s="204"/>
      <c r="B699" s="204"/>
      <c r="C699" s="204"/>
      <c r="D699" s="204"/>
      <c r="E699" s="204"/>
      <c r="F699" s="204"/>
      <c r="G699" s="204"/>
      <c r="H699" s="204"/>
      <c r="I699" s="204"/>
      <c r="J699" s="204"/>
      <c r="K699" s="204"/>
      <c r="L699" s="205"/>
      <c r="M699" s="205"/>
      <c r="N699" s="204"/>
      <c r="O699" s="204"/>
      <c r="P699" s="206"/>
      <c r="Q699" s="206"/>
      <c r="R699" s="206"/>
      <c r="S699" s="206"/>
      <c r="T699" s="204"/>
      <c r="U699" s="207"/>
      <c r="V699" s="204"/>
      <c r="W699" s="204"/>
      <c r="X699" s="207"/>
      <c r="Y699" s="207"/>
      <c r="Z699" s="204"/>
      <c r="AA699" s="204"/>
      <c r="AB699" s="204"/>
      <c r="AC699" s="204"/>
    </row>
    <row r="700" spans="1:29">
      <c r="A700" s="204"/>
      <c r="B700" s="204"/>
      <c r="C700" s="204"/>
      <c r="D700" s="204"/>
      <c r="E700" s="204"/>
      <c r="F700" s="204"/>
      <c r="G700" s="204"/>
      <c r="H700" s="204"/>
      <c r="I700" s="204"/>
      <c r="J700" s="204"/>
      <c r="K700" s="204"/>
      <c r="L700" s="205"/>
      <c r="M700" s="205"/>
      <c r="N700" s="204"/>
      <c r="O700" s="204"/>
      <c r="P700" s="206"/>
      <c r="Q700" s="206"/>
      <c r="R700" s="206"/>
      <c r="S700" s="206"/>
      <c r="T700" s="204"/>
      <c r="U700" s="207"/>
      <c r="V700" s="204"/>
      <c r="W700" s="204"/>
      <c r="X700" s="207"/>
      <c r="Y700" s="207"/>
      <c r="Z700" s="204"/>
      <c r="AA700" s="204"/>
      <c r="AB700" s="204"/>
      <c r="AC700" s="204"/>
    </row>
    <row r="701" spans="1:29">
      <c r="A701" s="204"/>
      <c r="B701" s="204"/>
      <c r="C701" s="204"/>
      <c r="D701" s="204"/>
      <c r="E701" s="204"/>
      <c r="F701" s="204"/>
      <c r="G701" s="204"/>
      <c r="H701" s="204"/>
      <c r="I701" s="204"/>
      <c r="J701" s="204"/>
      <c r="K701" s="204"/>
      <c r="L701" s="205"/>
      <c r="M701" s="205"/>
      <c r="N701" s="204"/>
      <c r="O701" s="204"/>
      <c r="P701" s="206"/>
      <c r="Q701" s="206"/>
      <c r="R701" s="206"/>
      <c r="S701" s="206"/>
      <c r="T701" s="204"/>
      <c r="U701" s="207"/>
      <c r="V701" s="204"/>
      <c r="W701" s="204"/>
      <c r="X701" s="207"/>
      <c r="Y701" s="207"/>
      <c r="Z701" s="204"/>
      <c r="AA701" s="204"/>
      <c r="AB701" s="204"/>
      <c r="AC701" s="204"/>
    </row>
    <row r="702" spans="1:29">
      <c r="A702" s="204"/>
      <c r="B702" s="204"/>
      <c r="C702" s="204"/>
      <c r="D702" s="204"/>
      <c r="E702" s="204"/>
      <c r="F702" s="204"/>
      <c r="G702" s="204"/>
      <c r="H702" s="204"/>
      <c r="I702" s="204"/>
      <c r="J702" s="204"/>
      <c r="K702" s="204"/>
      <c r="L702" s="205"/>
      <c r="M702" s="205"/>
      <c r="N702" s="204"/>
      <c r="O702" s="204"/>
      <c r="P702" s="206"/>
      <c r="Q702" s="206"/>
      <c r="R702" s="206"/>
      <c r="S702" s="206"/>
      <c r="T702" s="204"/>
      <c r="U702" s="207"/>
      <c r="V702" s="204"/>
      <c r="W702" s="204"/>
      <c r="X702" s="207"/>
      <c r="Y702" s="207"/>
      <c r="Z702" s="204"/>
      <c r="AA702" s="204"/>
      <c r="AB702" s="204"/>
      <c r="AC702" s="204"/>
    </row>
    <row r="703" spans="1:29">
      <c r="A703" s="204"/>
      <c r="B703" s="204"/>
      <c r="C703" s="204"/>
      <c r="D703" s="204"/>
      <c r="E703" s="204"/>
      <c r="F703" s="204"/>
      <c r="G703" s="204"/>
      <c r="H703" s="204"/>
      <c r="I703" s="204"/>
      <c r="J703" s="204"/>
      <c r="K703" s="204"/>
      <c r="L703" s="205"/>
      <c r="M703" s="205"/>
      <c r="N703" s="204"/>
      <c r="O703" s="204"/>
      <c r="P703" s="206"/>
      <c r="Q703" s="206"/>
      <c r="R703" s="206"/>
      <c r="S703" s="206"/>
      <c r="T703" s="204"/>
      <c r="U703" s="207"/>
      <c r="V703" s="204"/>
      <c r="W703" s="204"/>
      <c r="X703" s="207"/>
      <c r="Y703" s="207"/>
      <c r="Z703" s="204"/>
      <c r="AA703" s="204"/>
      <c r="AB703" s="204"/>
      <c r="AC703" s="204"/>
    </row>
    <row r="704" spans="1:29">
      <c r="A704" s="204"/>
      <c r="B704" s="204"/>
      <c r="C704" s="204"/>
      <c r="D704" s="204"/>
      <c r="E704" s="204"/>
      <c r="F704" s="204"/>
      <c r="G704" s="204"/>
      <c r="H704" s="204"/>
      <c r="I704" s="204"/>
      <c r="J704" s="204"/>
      <c r="K704" s="204"/>
      <c r="L704" s="205"/>
      <c r="M704" s="205"/>
      <c r="N704" s="204"/>
      <c r="O704" s="204"/>
      <c r="P704" s="206"/>
      <c r="Q704" s="206"/>
      <c r="R704" s="206"/>
      <c r="S704" s="206"/>
      <c r="T704" s="204"/>
      <c r="U704" s="207"/>
      <c r="V704" s="204"/>
      <c r="W704" s="204"/>
      <c r="X704" s="207"/>
      <c r="Y704" s="207"/>
      <c r="Z704" s="204"/>
      <c r="AA704" s="204"/>
      <c r="AB704" s="204"/>
      <c r="AC704" s="204"/>
    </row>
    <row r="705" spans="1:29">
      <c r="A705" s="204"/>
      <c r="B705" s="204"/>
      <c r="C705" s="204"/>
      <c r="D705" s="204"/>
      <c r="E705" s="204"/>
      <c r="F705" s="204"/>
      <c r="G705" s="204"/>
      <c r="H705" s="204"/>
      <c r="I705" s="204"/>
      <c r="J705" s="204"/>
      <c r="K705" s="204"/>
      <c r="L705" s="205"/>
      <c r="M705" s="205"/>
      <c r="N705" s="204"/>
      <c r="O705" s="204"/>
      <c r="P705" s="206"/>
      <c r="Q705" s="206"/>
      <c r="R705" s="206"/>
      <c r="S705" s="206"/>
      <c r="T705" s="204"/>
      <c r="U705" s="207"/>
      <c r="V705" s="204"/>
      <c r="W705" s="204"/>
      <c r="X705" s="207"/>
      <c r="Y705" s="207"/>
      <c r="Z705" s="204"/>
      <c r="AA705" s="204"/>
      <c r="AB705" s="204"/>
      <c r="AC705" s="204"/>
    </row>
    <row r="706" spans="1:29">
      <c r="A706" s="204"/>
      <c r="B706" s="204"/>
      <c r="C706" s="204"/>
      <c r="D706" s="204"/>
      <c r="E706" s="204"/>
      <c r="F706" s="204"/>
      <c r="G706" s="204"/>
      <c r="H706" s="204"/>
      <c r="I706" s="204"/>
      <c r="J706" s="204"/>
      <c r="K706" s="204"/>
      <c r="L706" s="205"/>
      <c r="M706" s="205"/>
      <c r="N706" s="204"/>
      <c r="O706" s="204"/>
      <c r="P706" s="206"/>
      <c r="Q706" s="206"/>
      <c r="R706" s="206"/>
      <c r="S706" s="206"/>
      <c r="T706" s="204"/>
      <c r="U706" s="207"/>
      <c r="V706" s="204"/>
      <c r="W706" s="204"/>
      <c r="X706" s="207"/>
      <c r="Y706" s="207"/>
      <c r="Z706" s="204"/>
      <c r="AA706" s="204"/>
      <c r="AB706" s="204"/>
      <c r="AC706" s="204"/>
    </row>
    <row r="707" spans="1:29">
      <c r="A707" s="204"/>
      <c r="B707" s="204"/>
      <c r="C707" s="204"/>
      <c r="D707" s="204"/>
      <c r="E707" s="204"/>
      <c r="F707" s="204"/>
      <c r="G707" s="204"/>
      <c r="H707" s="204"/>
      <c r="I707" s="204"/>
      <c r="J707" s="204"/>
      <c r="K707" s="204"/>
      <c r="L707" s="205"/>
      <c r="M707" s="205"/>
      <c r="N707" s="204"/>
      <c r="O707" s="204"/>
      <c r="P707" s="206"/>
      <c r="Q707" s="206"/>
      <c r="R707" s="206"/>
      <c r="S707" s="206"/>
      <c r="T707" s="204"/>
      <c r="U707" s="207"/>
      <c r="V707" s="204"/>
      <c r="W707" s="204"/>
      <c r="X707" s="207"/>
      <c r="Y707" s="207"/>
      <c r="Z707" s="204"/>
      <c r="AA707" s="204"/>
      <c r="AB707" s="204"/>
      <c r="AC707" s="204"/>
    </row>
    <row r="708" spans="1:29">
      <c r="A708" s="204"/>
      <c r="B708" s="204"/>
      <c r="C708" s="204"/>
      <c r="D708" s="204"/>
      <c r="E708" s="204"/>
      <c r="F708" s="204"/>
      <c r="G708" s="204"/>
      <c r="H708" s="204"/>
      <c r="I708" s="204"/>
      <c r="J708" s="204"/>
      <c r="K708" s="204"/>
      <c r="L708" s="205"/>
      <c r="M708" s="205"/>
      <c r="N708" s="204"/>
      <c r="O708" s="204"/>
      <c r="P708" s="206"/>
      <c r="Q708" s="206"/>
      <c r="R708" s="206"/>
      <c r="S708" s="206"/>
      <c r="T708" s="204"/>
      <c r="U708" s="207"/>
      <c r="V708" s="204"/>
      <c r="W708" s="204"/>
      <c r="X708" s="207"/>
      <c r="Y708" s="207"/>
      <c r="Z708" s="204"/>
      <c r="AA708" s="204"/>
      <c r="AB708" s="204"/>
      <c r="AC708" s="204"/>
    </row>
    <row r="709" spans="1:29">
      <c r="A709" s="204"/>
      <c r="B709" s="204"/>
      <c r="C709" s="204"/>
      <c r="D709" s="204"/>
      <c r="E709" s="204"/>
      <c r="F709" s="204"/>
      <c r="G709" s="204"/>
      <c r="H709" s="204"/>
      <c r="I709" s="204"/>
      <c r="J709" s="204"/>
      <c r="K709" s="204"/>
      <c r="L709" s="205"/>
      <c r="M709" s="205"/>
      <c r="N709" s="204"/>
      <c r="O709" s="204"/>
      <c r="P709" s="206"/>
      <c r="Q709" s="206"/>
      <c r="R709" s="206"/>
      <c r="S709" s="206"/>
      <c r="T709" s="204"/>
      <c r="U709" s="207"/>
      <c r="V709" s="204"/>
      <c r="W709" s="204"/>
      <c r="X709" s="207"/>
      <c r="Y709" s="207"/>
      <c r="Z709" s="204"/>
      <c r="AA709" s="204"/>
      <c r="AB709" s="204"/>
      <c r="AC709" s="204"/>
    </row>
    <row r="710" spans="1:29">
      <c r="A710" s="204"/>
      <c r="B710" s="204"/>
      <c r="C710" s="204"/>
      <c r="D710" s="204"/>
      <c r="E710" s="204"/>
      <c r="F710" s="204"/>
      <c r="G710" s="204"/>
      <c r="H710" s="204"/>
      <c r="I710" s="204"/>
      <c r="J710" s="204"/>
      <c r="K710" s="204"/>
      <c r="L710" s="205"/>
      <c r="M710" s="205"/>
      <c r="N710" s="204"/>
      <c r="O710" s="204"/>
      <c r="P710" s="206"/>
      <c r="Q710" s="206"/>
      <c r="R710" s="206"/>
      <c r="S710" s="206"/>
      <c r="T710" s="204"/>
      <c r="U710" s="207"/>
      <c r="V710" s="204"/>
      <c r="W710" s="204"/>
      <c r="X710" s="207"/>
      <c r="Y710" s="207"/>
      <c r="Z710" s="204"/>
      <c r="AA710" s="204"/>
      <c r="AB710" s="204"/>
      <c r="AC710" s="204"/>
    </row>
    <row r="711" spans="1:29">
      <c r="A711" s="204"/>
      <c r="B711" s="204"/>
      <c r="C711" s="204"/>
      <c r="D711" s="204"/>
      <c r="E711" s="204"/>
      <c r="F711" s="204"/>
      <c r="G711" s="204"/>
      <c r="H711" s="204"/>
      <c r="I711" s="204"/>
      <c r="J711" s="204"/>
      <c r="K711" s="204"/>
      <c r="L711" s="205"/>
      <c r="M711" s="205"/>
      <c r="N711" s="204"/>
      <c r="O711" s="204"/>
      <c r="P711" s="206"/>
      <c r="Q711" s="206"/>
      <c r="R711" s="206"/>
      <c r="S711" s="206"/>
      <c r="T711" s="204"/>
      <c r="U711" s="207"/>
      <c r="V711" s="204"/>
      <c r="W711" s="204"/>
      <c r="X711" s="207"/>
      <c r="Y711" s="207"/>
      <c r="Z711" s="204"/>
      <c r="AA711" s="204"/>
      <c r="AB711" s="204"/>
      <c r="AC711" s="204"/>
    </row>
    <row r="712" spans="1:29">
      <c r="A712" s="204"/>
      <c r="B712" s="204"/>
      <c r="C712" s="204"/>
      <c r="D712" s="204"/>
      <c r="E712" s="204"/>
      <c r="F712" s="204"/>
      <c r="G712" s="204"/>
      <c r="H712" s="204"/>
      <c r="I712" s="204"/>
      <c r="J712" s="204"/>
      <c r="K712" s="204"/>
      <c r="L712" s="205"/>
      <c r="M712" s="205"/>
      <c r="N712" s="204"/>
      <c r="O712" s="204"/>
      <c r="P712" s="206"/>
      <c r="Q712" s="206"/>
      <c r="R712" s="206"/>
      <c r="S712" s="206"/>
      <c r="T712" s="204"/>
      <c r="U712" s="207"/>
      <c r="V712" s="204"/>
      <c r="W712" s="204"/>
      <c r="X712" s="207"/>
      <c r="Y712" s="207"/>
      <c r="Z712" s="204"/>
      <c r="AA712" s="204"/>
      <c r="AB712" s="204"/>
      <c r="AC712" s="204"/>
    </row>
    <row r="713" spans="1:29">
      <c r="A713" s="204"/>
      <c r="B713" s="204"/>
      <c r="C713" s="204"/>
      <c r="D713" s="204"/>
      <c r="E713" s="204"/>
      <c r="F713" s="204"/>
      <c r="G713" s="204"/>
      <c r="H713" s="204"/>
      <c r="I713" s="204"/>
      <c r="J713" s="204"/>
      <c r="K713" s="204"/>
      <c r="L713" s="205"/>
      <c r="M713" s="205"/>
      <c r="N713" s="204"/>
      <c r="O713" s="204"/>
      <c r="P713" s="206"/>
      <c r="Q713" s="206"/>
      <c r="R713" s="206"/>
      <c r="S713" s="206"/>
      <c r="T713" s="204"/>
      <c r="U713" s="207"/>
      <c r="V713" s="204"/>
      <c r="W713" s="204"/>
      <c r="X713" s="207"/>
      <c r="Y713" s="207"/>
      <c r="Z713" s="204"/>
      <c r="AA713" s="204"/>
      <c r="AB713" s="204"/>
      <c r="AC713" s="204"/>
    </row>
    <row r="714" spans="1:29">
      <c r="A714" s="204"/>
      <c r="B714" s="204"/>
      <c r="C714" s="204"/>
      <c r="D714" s="204"/>
      <c r="E714" s="204"/>
      <c r="F714" s="204"/>
      <c r="G714" s="204"/>
      <c r="H714" s="204"/>
      <c r="I714" s="204"/>
      <c r="J714" s="204"/>
      <c r="K714" s="204"/>
      <c r="L714" s="205"/>
      <c r="M714" s="205"/>
      <c r="N714" s="204"/>
      <c r="O714" s="204"/>
      <c r="P714" s="206"/>
      <c r="Q714" s="206"/>
      <c r="R714" s="206"/>
      <c r="S714" s="206"/>
      <c r="T714" s="204"/>
      <c r="U714" s="207"/>
      <c r="V714" s="204"/>
      <c r="W714" s="204"/>
      <c r="X714" s="207"/>
      <c r="Y714" s="207"/>
      <c r="Z714" s="204"/>
      <c r="AA714" s="204"/>
      <c r="AB714" s="204"/>
      <c r="AC714" s="204"/>
    </row>
    <row r="715" spans="1:29">
      <c r="A715" s="204"/>
      <c r="B715" s="204"/>
      <c r="C715" s="204"/>
      <c r="D715" s="204"/>
      <c r="E715" s="204"/>
      <c r="F715" s="204"/>
      <c r="G715" s="204"/>
      <c r="H715" s="204"/>
      <c r="I715" s="204"/>
      <c r="J715" s="204"/>
      <c r="K715" s="204"/>
      <c r="L715" s="205"/>
      <c r="M715" s="205"/>
      <c r="N715" s="204"/>
      <c r="O715" s="204"/>
      <c r="P715" s="206"/>
      <c r="Q715" s="206"/>
      <c r="R715" s="206"/>
      <c r="S715" s="206"/>
      <c r="T715" s="204"/>
      <c r="U715" s="207"/>
      <c r="V715" s="204"/>
      <c r="W715" s="204"/>
      <c r="X715" s="207"/>
      <c r="Y715" s="207"/>
      <c r="Z715" s="204"/>
      <c r="AA715" s="204"/>
      <c r="AB715" s="204"/>
      <c r="AC715" s="204"/>
    </row>
    <row r="716" spans="1:29">
      <c r="A716" s="204"/>
      <c r="B716" s="204"/>
      <c r="C716" s="204"/>
      <c r="D716" s="204"/>
      <c r="E716" s="204"/>
      <c r="F716" s="204"/>
      <c r="G716" s="204"/>
      <c r="H716" s="204"/>
      <c r="I716" s="204"/>
      <c r="J716" s="204"/>
      <c r="K716" s="204"/>
      <c r="L716" s="205"/>
      <c r="M716" s="205"/>
      <c r="N716" s="204"/>
      <c r="O716" s="204"/>
      <c r="P716" s="206"/>
      <c r="Q716" s="206"/>
      <c r="R716" s="206"/>
      <c r="S716" s="206"/>
      <c r="T716" s="204"/>
      <c r="U716" s="207"/>
      <c r="V716" s="204"/>
      <c r="W716" s="204"/>
      <c r="X716" s="207"/>
      <c r="Y716" s="207"/>
      <c r="Z716" s="204"/>
      <c r="AA716" s="204"/>
      <c r="AB716" s="204"/>
      <c r="AC716" s="204"/>
    </row>
    <row r="717" spans="1:29">
      <c r="A717" s="204"/>
      <c r="B717" s="204"/>
      <c r="C717" s="204"/>
      <c r="D717" s="204"/>
      <c r="E717" s="204"/>
      <c r="F717" s="204"/>
      <c r="G717" s="204"/>
      <c r="H717" s="204"/>
      <c r="I717" s="204"/>
      <c r="J717" s="204"/>
      <c r="K717" s="204"/>
      <c r="L717" s="205"/>
      <c r="M717" s="205"/>
      <c r="N717" s="204"/>
      <c r="O717" s="204"/>
      <c r="P717" s="206"/>
      <c r="Q717" s="206"/>
      <c r="R717" s="206"/>
      <c r="S717" s="206"/>
      <c r="T717" s="204"/>
      <c r="U717" s="207"/>
      <c r="V717" s="204"/>
      <c r="W717" s="204"/>
      <c r="X717" s="207"/>
      <c r="Y717" s="207"/>
      <c r="Z717" s="204"/>
      <c r="AA717" s="204"/>
      <c r="AB717" s="204"/>
      <c r="AC717" s="204"/>
    </row>
    <row r="718" spans="1:29">
      <c r="A718" s="204"/>
      <c r="B718" s="204"/>
      <c r="C718" s="204"/>
      <c r="D718" s="204"/>
      <c r="E718" s="204"/>
      <c r="F718" s="204"/>
      <c r="G718" s="204"/>
      <c r="H718" s="204"/>
      <c r="I718" s="204"/>
      <c r="J718" s="204"/>
      <c r="K718" s="204"/>
      <c r="L718" s="205"/>
      <c r="M718" s="205"/>
      <c r="N718" s="204"/>
      <c r="O718" s="204"/>
      <c r="P718" s="206"/>
      <c r="Q718" s="206"/>
      <c r="R718" s="206"/>
      <c r="S718" s="206"/>
      <c r="T718" s="204"/>
      <c r="U718" s="207"/>
      <c r="V718" s="204"/>
      <c r="W718" s="204"/>
      <c r="X718" s="207"/>
      <c r="Y718" s="207"/>
      <c r="Z718" s="204"/>
      <c r="AA718" s="204"/>
      <c r="AB718" s="204"/>
      <c r="AC718" s="204"/>
    </row>
    <row r="719" spans="1:29">
      <c r="A719" s="204"/>
      <c r="B719" s="204"/>
      <c r="C719" s="204"/>
      <c r="D719" s="204"/>
      <c r="E719" s="204"/>
      <c r="F719" s="204"/>
      <c r="G719" s="204"/>
      <c r="H719" s="204"/>
      <c r="I719" s="204"/>
      <c r="J719" s="204"/>
      <c r="K719" s="204"/>
      <c r="L719" s="205"/>
      <c r="M719" s="205"/>
      <c r="N719" s="204"/>
      <c r="O719" s="204"/>
      <c r="P719" s="206"/>
      <c r="Q719" s="206"/>
      <c r="R719" s="206"/>
      <c r="S719" s="206"/>
      <c r="T719" s="204"/>
      <c r="U719" s="207"/>
      <c r="V719" s="204"/>
      <c r="W719" s="204"/>
      <c r="X719" s="207"/>
      <c r="Y719" s="207"/>
      <c r="Z719" s="204"/>
      <c r="AA719" s="204"/>
      <c r="AB719" s="204"/>
      <c r="AC719" s="204"/>
    </row>
    <row r="720" spans="1:29">
      <c r="A720" s="204"/>
      <c r="B720" s="204"/>
      <c r="C720" s="204"/>
      <c r="D720" s="204"/>
      <c r="E720" s="204"/>
      <c r="F720" s="204"/>
      <c r="G720" s="204"/>
      <c r="H720" s="204"/>
      <c r="I720" s="204"/>
      <c r="J720" s="204"/>
      <c r="K720" s="204"/>
      <c r="L720" s="205"/>
      <c r="M720" s="205"/>
      <c r="N720" s="204"/>
      <c r="O720" s="204"/>
      <c r="P720" s="206"/>
      <c r="Q720" s="206"/>
      <c r="R720" s="206"/>
      <c r="S720" s="206"/>
      <c r="T720" s="204"/>
      <c r="U720" s="207"/>
      <c r="V720" s="204"/>
      <c r="W720" s="204"/>
      <c r="X720" s="207"/>
      <c r="Y720" s="207"/>
      <c r="Z720" s="204"/>
      <c r="AA720" s="204"/>
      <c r="AB720" s="204"/>
      <c r="AC720" s="204"/>
    </row>
    <row r="721" spans="1:29">
      <c r="A721" s="204"/>
      <c r="B721" s="204"/>
      <c r="C721" s="204"/>
      <c r="D721" s="204"/>
      <c r="E721" s="204"/>
      <c r="F721" s="204"/>
      <c r="G721" s="204"/>
      <c r="H721" s="204"/>
      <c r="I721" s="204"/>
      <c r="J721" s="204"/>
      <c r="K721" s="204"/>
      <c r="L721" s="205"/>
      <c r="M721" s="205"/>
      <c r="N721" s="204"/>
      <c r="O721" s="204"/>
      <c r="P721" s="206"/>
      <c r="Q721" s="206"/>
      <c r="R721" s="206"/>
      <c r="S721" s="206"/>
      <c r="T721" s="204"/>
      <c r="U721" s="207"/>
      <c r="V721" s="204"/>
      <c r="W721" s="204"/>
      <c r="X721" s="207"/>
      <c r="Y721" s="207"/>
      <c r="Z721" s="204"/>
      <c r="AA721" s="204"/>
      <c r="AB721" s="204"/>
      <c r="AC721" s="204"/>
    </row>
    <row r="722" spans="1:29">
      <c r="A722" s="204"/>
      <c r="B722" s="204"/>
      <c r="C722" s="204"/>
      <c r="D722" s="204"/>
      <c r="E722" s="204"/>
      <c r="F722" s="204"/>
      <c r="G722" s="204"/>
      <c r="H722" s="204"/>
      <c r="I722" s="204"/>
      <c r="J722" s="204"/>
      <c r="K722" s="204"/>
      <c r="L722" s="205"/>
      <c r="M722" s="205"/>
      <c r="N722" s="204"/>
      <c r="O722" s="204"/>
      <c r="P722" s="206"/>
      <c r="Q722" s="206"/>
      <c r="R722" s="206"/>
      <c r="S722" s="206"/>
      <c r="T722" s="204"/>
      <c r="U722" s="207"/>
      <c r="V722" s="204"/>
      <c r="W722" s="204"/>
      <c r="X722" s="207"/>
      <c r="Y722" s="207"/>
      <c r="Z722" s="204"/>
      <c r="AA722" s="204"/>
      <c r="AB722" s="204"/>
      <c r="AC722" s="204"/>
    </row>
    <row r="723" spans="1:29">
      <c r="A723" s="204"/>
      <c r="B723" s="204"/>
      <c r="C723" s="204"/>
      <c r="D723" s="204"/>
      <c r="E723" s="204"/>
      <c r="F723" s="204"/>
      <c r="G723" s="204"/>
      <c r="H723" s="204"/>
      <c r="I723" s="204"/>
      <c r="J723" s="204"/>
      <c r="K723" s="204"/>
      <c r="L723" s="205"/>
      <c r="M723" s="205"/>
      <c r="N723" s="204"/>
      <c r="O723" s="204"/>
      <c r="P723" s="206"/>
      <c r="Q723" s="206"/>
      <c r="R723" s="206"/>
      <c r="S723" s="206"/>
      <c r="T723" s="204"/>
      <c r="U723" s="207"/>
      <c r="V723" s="204"/>
      <c r="W723" s="204"/>
      <c r="X723" s="207"/>
      <c r="Y723" s="207"/>
      <c r="Z723" s="204"/>
      <c r="AA723" s="204"/>
      <c r="AB723" s="204"/>
      <c r="AC723" s="204"/>
    </row>
    <row r="724" spans="1:29">
      <c r="A724" s="204"/>
      <c r="B724" s="204"/>
      <c r="C724" s="204"/>
      <c r="D724" s="204"/>
      <c r="E724" s="204"/>
      <c r="F724" s="204"/>
      <c r="G724" s="204"/>
      <c r="H724" s="204"/>
      <c r="I724" s="204"/>
      <c r="J724" s="204"/>
      <c r="K724" s="204"/>
      <c r="L724" s="205"/>
      <c r="M724" s="205"/>
      <c r="N724" s="204"/>
      <c r="O724" s="204"/>
      <c r="P724" s="206"/>
      <c r="Q724" s="206"/>
      <c r="R724" s="206"/>
      <c r="S724" s="206"/>
      <c r="T724" s="204"/>
      <c r="U724" s="207"/>
      <c r="V724" s="204"/>
      <c r="W724" s="204"/>
      <c r="X724" s="207"/>
      <c r="Y724" s="207"/>
      <c r="Z724" s="204"/>
      <c r="AA724" s="204"/>
      <c r="AB724" s="204"/>
      <c r="AC724" s="204"/>
    </row>
    <row r="725" spans="1:29">
      <c r="A725" s="204"/>
      <c r="B725" s="204"/>
      <c r="C725" s="204"/>
      <c r="D725" s="204"/>
      <c r="E725" s="204"/>
      <c r="F725" s="204"/>
      <c r="G725" s="204"/>
      <c r="H725" s="204"/>
      <c r="I725" s="204"/>
      <c r="J725" s="204"/>
      <c r="K725" s="204"/>
      <c r="L725" s="205"/>
      <c r="M725" s="205"/>
      <c r="N725" s="204"/>
      <c r="O725" s="204"/>
      <c r="P725" s="206"/>
      <c r="Q725" s="206"/>
      <c r="R725" s="206"/>
      <c r="S725" s="206"/>
      <c r="T725" s="204"/>
      <c r="U725" s="207"/>
      <c r="V725" s="204"/>
      <c r="W725" s="204"/>
      <c r="X725" s="207"/>
      <c r="Y725" s="207"/>
      <c r="Z725" s="204"/>
      <c r="AA725" s="204"/>
      <c r="AB725" s="204"/>
      <c r="AC725" s="204"/>
    </row>
    <row r="726" spans="1:29">
      <c r="A726" s="204"/>
      <c r="B726" s="204"/>
      <c r="C726" s="204"/>
      <c r="D726" s="204"/>
      <c r="E726" s="204"/>
      <c r="F726" s="204"/>
      <c r="G726" s="204"/>
      <c r="H726" s="204"/>
      <c r="I726" s="204"/>
      <c r="J726" s="204"/>
      <c r="K726" s="204"/>
      <c r="L726" s="205"/>
      <c r="M726" s="205"/>
      <c r="N726" s="204"/>
      <c r="O726" s="204"/>
      <c r="P726" s="206"/>
      <c r="Q726" s="206"/>
      <c r="R726" s="206"/>
      <c r="S726" s="206"/>
      <c r="T726" s="204"/>
      <c r="U726" s="207"/>
      <c r="V726" s="204"/>
      <c r="W726" s="204"/>
      <c r="X726" s="207"/>
      <c r="Y726" s="207"/>
      <c r="Z726" s="204"/>
      <c r="AA726" s="204"/>
      <c r="AB726" s="204"/>
      <c r="AC726" s="204"/>
    </row>
    <row r="727" spans="1:29">
      <c r="A727" s="204"/>
      <c r="B727" s="204"/>
      <c r="C727" s="204"/>
      <c r="D727" s="204"/>
      <c r="E727" s="204"/>
      <c r="F727" s="204"/>
      <c r="G727" s="204"/>
      <c r="H727" s="204"/>
      <c r="I727" s="204"/>
      <c r="J727" s="204"/>
      <c r="K727" s="204"/>
      <c r="L727" s="205"/>
      <c r="M727" s="205"/>
      <c r="N727" s="204"/>
      <c r="O727" s="204"/>
      <c r="P727" s="206"/>
      <c r="Q727" s="206"/>
      <c r="R727" s="206"/>
      <c r="S727" s="206"/>
      <c r="T727" s="204"/>
      <c r="U727" s="207"/>
      <c r="V727" s="204"/>
      <c r="W727" s="204"/>
      <c r="X727" s="207"/>
      <c r="Y727" s="207"/>
      <c r="Z727" s="204"/>
      <c r="AA727" s="204"/>
      <c r="AB727" s="204"/>
      <c r="AC727" s="204"/>
    </row>
    <row r="728" spans="1:29">
      <c r="A728" s="204"/>
      <c r="B728" s="204"/>
      <c r="C728" s="204"/>
      <c r="D728" s="204"/>
      <c r="E728" s="204"/>
      <c r="F728" s="204"/>
      <c r="G728" s="204"/>
      <c r="H728" s="204"/>
      <c r="I728" s="204"/>
      <c r="J728" s="204"/>
      <c r="K728" s="204"/>
      <c r="L728" s="205"/>
      <c r="M728" s="205"/>
      <c r="N728" s="204"/>
      <c r="O728" s="204"/>
      <c r="P728" s="206"/>
      <c r="Q728" s="206"/>
      <c r="R728" s="206"/>
      <c r="S728" s="206"/>
      <c r="T728" s="204"/>
      <c r="U728" s="207"/>
      <c r="V728" s="204"/>
      <c r="W728" s="204"/>
      <c r="X728" s="207"/>
      <c r="Y728" s="207"/>
      <c r="Z728" s="204"/>
      <c r="AA728" s="204"/>
      <c r="AB728" s="204"/>
      <c r="AC728" s="204"/>
    </row>
    <row r="729" spans="1:29">
      <c r="A729" s="204"/>
      <c r="B729" s="204"/>
      <c r="C729" s="204"/>
      <c r="D729" s="204"/>
      <c r="E729" s="204"/>
      <c r="F729" s="204"/>
      <c r="G729" s="204"/>
      <c r="H729" s="204"/>
      <c r="I729" s="204"/>
      <c r="J729" s="204"/>
      <c r="K729" s="204"/>
      <c r="L729" s="205"/>
      <c r="M729" s="205"/>
      <c r="N729" s="204"/>
      <c r="O729" s="204"/>
      <c r="P729" s="206"/>
      <c r="Q729" s="206"/>
      <c r="R729" s="206"/>
      <c r="S729" s="206"/>
      <c r="T729" s="204"/>
      <c r="U729" s="207"/>
      <c r="V729" s="204"/>
      <c r="W729" s="204"/>
      <c r="X729" s="207"/>
      <c r="Y729" s="207"/>
      <c r="Z729" s="204"/>
      <c r="AA729" s="204"/>
      <c r="AB729" s="204"/>
      <c r="AC729" s="204"/>
    </row>
    <row r="730" spans="1:29">
      <c r="A730" s="204"/>
      <c r="B730" s="204"/>
      <c r="C730" s="204"/>
      <c r="D730" s="204"/>
      <c r="E730" s="204"/>
      <c r="F730" s="204"/>
      <c r="G730" s="204"/>
      <c r="H730" s="204"/>
      <c r="I730" s="204"/>
      <c r="J730" s="204"/>
      <c r="K730" s="204"/>
      <c r="L730" s="205"/>
      <c r="M730" s="205"/>
      <c r="N730" s="204"/>
      <c r="O730" s="204"/>
      <c r="P730" s="206"/>
      <c r="Q730" s="206"/>
      <c r="R730" s="206"/>
      <c r="S730" s="206"/>
      <c r="T730" s="204"/>
      <c r="U730" s="207"/>
      <c r="V730" s="204"/>
      <c r="W730" s="204"/>
      <c r="X730" s="207"/>
      <c r="Y730" s="207"/>
      <c r="Z730" s="204"/>
      <c r="AA730" s="204"/>
      <c r="AB730" s="204"/>
      <c r="AC730" s="204"/>
    </row>
    <row r="731" spans="1:29">
      <c r="A731" s="204"/>
      <c r="B731" s="204"/>
      <c r="C731" s="204"/>
      <c r="D731" s="204"/>
      <c r="E731" s="204"/>
      <c r="F731" s="204"/>
      <c r="G731" s="204"/>
      <c r="H731" s="204"/>
      <c r="I731" s="204"/>
      <c r="J731" s="204"/>
      <c r="K731" s="204"/>
      <c r="L731" s="205"/>
      <c r="M731" s="205"/>
      <c r="N731" s="204"/>
      <c r="O731" s="204"/>
      <c r="P731" s="206"/>
      <c r="Q731" s="206"/>
      <c r="R731" s="206"/>
      <c r="S731" s="206"/>
      <c r="T731" s="204"/>
      <c r="U731" s="207"/>
      <c r="V731" s="204"/>
      <c r="W731" s="204"/>
      <c r="X731" s="207"/>
      <c r="Y731" s="207"/>
      <c r="Z731" s="204"/>
      <c r="AA731" s="204"/>
      <c r="AB731" s="204"/>
      <c r="AC731" s="204"/>
    </row>
    <row r="732" spans="1:29">
      <c r="A732" s="204"/>
      <c r="B732" s="204"/>
      <c r="C732" s="204"/>
      <c r="D732" s="204"/>
      <c r="E732" s="204"/>
      <c r="F732" s="204"/>
      <c r="G732" s="204"/>
      <c r="H732" s="204"/>
      <c r="I732" s="204"/>
      <c r="J732" s="204"/>
      <c r="K732" s="204"/>
      <c r="L732" s="205"/>
      <c r="M732" s="205"/>
      <c r="N732" s="204"/>
      <c r="O732" s="204"/>
      <c r="P732" s="206"/>
      <c r="Q732" s="206"/>
      <c r="R732" s="206"/>
      <c r="S732" s="206"/>
      <c r="T732" s="204"/>
      <c r="U732" s="207"/>
      <c r="V732" s="204"/>
      <c r="W732" s="204"/>
      <c r="X732" s="207"/>
      <c r="Y732" s="207"/>
      <c r="Z732" s="204"/>
      <c r="AA732" s="204"/>
      <c r="AB732" s="204"/>
      <c r="AC732" s="204"/>
    </row>
    <row r="733" spans="1:29">
      <c r="A733" s="204"/>
      <c r="B733" s="204"/>
      <c r="C733" s="204"/>
      <c r="D733" s="204"/>
      <c r="E733" s="204"/>
      <c r="F733" s="204"/>
      <c r="G733" s="204"/>
      <c r="H733" s="204"/>
      <c r="I733" s="204"/>
      <c r="J733" s="204"/>
      <c r="K733" s="204"/>
      <c r="L733" s="205"/>
      <c r="M733" s="205"/>
      <c r="N733" s="204"/>
      <c r="O733" s="204"/>
      <c r="P733" s="206"/>
      <c r="Q733" s="206"/>
      <c r="R733" s="206"/>
      <c r="S733" s="206"/>
      <c r="T733" s="204"/>
      <c r="U733" s="207"/>
      <c r="V733" s="204"/>
      <c r="W733" s="204"/>
      <c r="X733" s="207"/>
      <c r="Y733" s="207"/>
      <c r="Z733" s="204"/>
      <c r="AA733" s="204"/>
      <c r="AB733" s="204"/>
      <c r="AC733" s="204"/>
    </row>
    <row r="734" spans="1:29">
      <c r="A734" s="204"/>
      <c r="B734" s="204"/>
      <c r="C734" s="204"/>
      <c r="D734" s="204"/>
      <c r="E734" s="204"/>
      <c r="F734" s="204"/>
      <c r="G734" s="204"/>
      <c r="H734" s="204"/>
      <c r="I734" s="204"/>
      <c r="J734" s="204"/>
      <c r="K734" s="204"/>
      <c r="L734" s="205"/>
      <c r="M734" s="205"/>
      <c r="N734" s="204"/>
      <c r="O734" s="204"/>
      <c r="P734" s="206"/>
      <c r="Q734" s="206"/>
      <c r="R734" s="206"/>
      <c r="S734" s="206"/>
      <c r="T734" s="204"/>
      <c r="U734" s="207"/>
      <c r="V734" s="204"/>
      <c r="W734" s="204"/>
      <c r="X734" s="207"/>
      <c r="Y734" s="207"/>
      <c r="Z734" s="204"/>
      <c r="AA734" s="204"/>
      <c r="AB734" s="204"/>
      <c r="AC734" s="204"/>
    </row>
    <row r="735" spans="1:29">
      <c r="A735" s="204"/>
      <c r="B735" s="204"/>
      <c r="C735" s="204"/>
      <c r="D735" s="204"/>
      <c r="E735" s="204"/>
      <c r="F735" s="204"/>
      <c r="G735" s="204"/>
      <c r="H735" s="204"/>
      <c r="I735" s="204"/>
      <c r="J735" s="204"/>
      <c r="K735" s="204"/>
      <c r="L735" s="205"/>
      <c r="M735" s="205"/>
      <c r="N735" s="204"/>
      <c r="O735" s="204"/>
      <c r="P735" s="206"/>
      <c r="Q735" s="206"/>
      <c r="R735" s="206"/>
      <c r="S735" s="206"/>
      <c r="T735" s="204"/>
      <c r="U735" s="207"/>
      <c r="V735" s="204"/>
      <c r="W735" s="204"/>
      <c r="X735" s="207"/>
      <c r="Y735" s="207"/>
      <c r="Z735" s="204"/>
      <c r="AA735" s="204"/>
      <c r="AB735" s="204"/>
      <c r="AC735" s="204"/>
    </row>
    <row r="736" spans="1:29">
      <c r="A736" s="204"/>
      <c r="B736" s="204"/>
      <c r="C736" s="204"/>
      <c r="D736" s="204"/>
      <c r="E736" s="204"/>
      <c r="F736" s="204"/>
      <c r="G736" s="204"/>
      <c r="H736" s="204"/>
      <c r="I736" s="204"/>
      <c r="J736" s="204"/>
      <c r="K736" s="204"/>
      <c r="L736" s="205"/>
      <c r="M736" s="205"/>
      <c r="N736" s="204"/>
      <c r="O736" s="204"/>
      <c r="P736" s="206"/>
      <c r="Q736" s="206"/>
      <c r="R736" s="206"/>
      <c r="S736" s="206"/>
      <c r="T736" s="204"/>
      <c r="U736" s="207"/>
      <c r="V736" s="204"/>
      <c r="W736" s="204"/>
      <c r="X736" s="207"/>
      <c r="Y736" s="207"/>
      <c r="Z736" s="204"/>
      <c r="AA736" s="204"/>
      <c r="AB736" s="204"/>
      <c r="AC736" s="204"/>
    </row>
    <row r="737" spans="1:29">
      <c r="A737" s="204"/>
      <c r="B737" s="204"/>
      <c r="C737" s="204"/>
      <c r="D737" s="204"/>
      <c r="E737" s="204"/>
      <c r="F737" s="204"/>
      <c r="G737" s="204"/>
      <c r="H737" s="204"/>
      <c r="I737" s="204"/>
      <c r="J737" s="204"/>
      <c r="K737" s="204"/>
      <c r="L737" s="205"/>
      <c r="M737" s="205"/>
      <c r="N737" s="204"/>
      <c r="O737" s="204"/>
      <c r="P737" s="206"/>
      <c r="Q737" s="206"/>
      <c r="R737" s="206"/>
      <c r="S737" s="206"/>
      <c r="T737" s="204"/>
      <c r="U737" s="207"/>
      <c r="V737" s="204"/>
      <c r="W737" s="204"/>
      <c r="X737" s="207"/>
      <c r="Y737" s="207"/>
      <c r="Z737" s="204"/>
      <c r="AA737" s="204"/>
      <c r="AB737" s="204"/>
      <c r="AC737" s="204"/>
    </row>
    <row r="738" spans="1:29">
      <c r="A738" s="204"/>
      <c r="B738" s="204"/>
      <c r="C738" s="204"/>
      <c r="D738" s="204"/>
      <c r="E738" s="204"/>
      <c r="F738" s="204"/>
      <c r="G738" s="204"/>
      <c r="H738" s="204"/>
      <c r="I738" s="204"/>
      <c r="J738" s="204"/>
      <c r="K738" s="204"/>
      <c r="L738" s="205"/>
      <c r="M738" s="205"/>
      <c r="N738" s="204"/>
      <c r="O738" s="204"/>
      <c r="P738" s="206"/>
      <c r="Q738" s="206"/>
      <c r="R738" s="206"/>
      <c r="S738" s="206"/>
      <c r="T738" s="204"/>
      <c r="U738" s="207"/>
      <c r="V738" s="204"/>
      <c r="W738" s="204"/>
      <c r="X738" s="207"/>
      <c r="Y738" s="207"/>
      <c r="Z738" s="204"/>
      <c r="AA738" s="204"/>
      <c r="AB738" s="204"/>
      <c r="AC738" s="204"/>
    </row>
    <row r="739" spans="1:29">
      <c r="A739" s="204"/>
      <c r="B739" s="204"/>
      <c r="C739" s="204"/>
      <c r="D739" s="204"/>
      <c r="E739" s="204"/>
      <c r="F739" s="204"/>
      <c r="G739" s="204"/>
      <c r="H739" s="204"/>
      <c r="I739" s="204"/>
      <c r="J739" s="204"/>
      <c r="K739" s="204"/>
      <c r="L739" s="205"/>
      <c r="M739" s="205"/>
      <c r="N739" s="204"/>
      <c r="O739" s="204"/>
      <c r="P739" s="206"/>
      <c r="Q739" s="206"/>
      <c r="R739" s="206"/>
      <c r="S739" s="206"/>
      <c r="T739" s="204"/>
      <c r="U739" s="207"/>
      <c r="V739" s="204"/>
      <c r="W739" s="204"/>
      <c r="X739" s="207"/>
      <c r="Y739" s="207"/>
      <c r="Z739" s="204"/>
      <c r="AA739" s="204"/>
      <c r="AB739" s="204"/>
      <c r="AC739" s="204"/>
    </row>
    <row r="740" spans="1:29">
      <c r="A740" s="204"/>
      <c r="B740" s="204"/>
      <c r="C740" s="204"/>
      <c r="D740" s="204"/>
      <c r="E740" s="204"/>
      <c r="F740" s="204"/>
      <c r="G740" s="204"/>
      <c r="H740" s="204"/>
      <c r="I740" s="204"/>
      <c r="J740" s="204"/>
      <c r="K740" s="204"/>
      <c r="L740" s="205"/>
      <c r="M740" s="205"/>
      <c r="N740" s="204"/>
      <c r="O740" s="204"/>
      <c r="P740" s="206"/>
      <c r="Q740" s="206"/>
      <c r="R740" s="206"/>
      <c r="S740" s="206"/>
      <c r="T740" s="204"/>
      <c r="U740" s="207"/>
      <c r="V740" s="204"/>
      <c r="W740" s="204"/>
      <c r="X740" s="207"/>
      <c r="Y740" s="207"/>
      <c r="Z740" s="204"/>
      <c r="AA740" s="204"/>
      <c r="AB740" s="204"/>
      <c r="AC740" s="204"/>
    </row>
    <row r="741" spans="1:29">
      <c r="A741" s="204"/>
      <c r="B741" s="204"/>
      <c r="C741" s="204"/>
      <c r="D741" s="204"/>
      <c r="E741" s="204"/>
      <c r="F741" s="204"/>
      <c r="G741" s="204"/>
      <c r="H741" s="204"/>
      <c r="I741" s="204"/>
      <c r="J741" s="204"/>
      <c r="K741" s="204"/>
      <c r="L741" s="205"/>
      <c r="M741" s="205"/>
      <c r="N741" s="204"/>
      <c r="O741" s="204"/>
      <c r="P741" s="206"/>
      <c r="Q741" s="206"/>
      <c r="R741" s="206"/>
      <c r="S741" s="206"/>
      <c r="T741" s="204"/>
      <c r="U741" s="207"/>
      <c r="V741" s="204"/>
      <c r="W741" s="204"/>
      <c r="X741" s="207"/>
      <c r="Y741" s="207"/>
      <c r="Z741" s="204"/>
      <c r="AA741" s="204"/>
      <c r="AB741" s="204"/>
      <c r="AC741" s="204"/>
    </row>
    <row r="742" spans="1:29">
      <c r="A742" s="204"/>
      <c r="B742" s="204"/>
      <c r="C742" s="204"/>
      <c r="D742" s="204"/>
      <c r="E742" s="204"/>
      <c r="F742" s="204"/>
      <c r="G742" s="204"/>
      <c r="H742" s="204"/>
      <c r="I742" s="204"/>
      <c r="J742" s="204"/>
      <c r="K742" s="204"/>
      <c r="L742" s="205"/>
      <c r="M742" s="205"/>
      <c r="N742" s="204"/>
      <c r="O742" s="204"/>
      <c r="P742" s="206"/>
      <c r="Q742" s="206"/>
      <c r="R742" s="206"/>
      <c r="S742" s="206"/>
      <c r="T742" s="204"/>
      <c r="U742" s="207"/>
      <c r="V742" s="204"/>
      <c r="W742" s="204"/>
      <c r="X742" s="207"/>
      <c r="Y742" s="207"/>
      <c r="Z742" s="204"/>
      <c r="AA742" s="204"/>
      <c r="AB742" s="204"/>
      <c r="AC742" s="204"/>
    </row>
    <row r="743" spans="1:29">
      <c r="A743" s="204"/>
      <c r="B743" s="204"/>
      <c r="C743" s="204"/>
      <c r="D743" s="204"/>
      <c r="E743" s="204"/>
      <c r="F743" s="204"/>
      <c r="G743" s="204"/>
      <c r="H743" s="204"/>
      <c r="I743" s="204"/>
      <c r="J743" s="204"/>
      <c r="K743" s="204"/>
      <c r="L743" s="205"/>
      <c r="M743" s="205"/>
      <c r="N743" s="204"/>
      <c r="O743" s="204"/>
      <c r="P743" s="206"/>
      <c r="Q743" s="206"/>
      <c r="R743" s="206"/>
      <c r="S743" s="206"/>
      <c r="T743" s="204"/>
      <c r="U743" s="207"/>
      <c r="V743" s="204"/>
      <c r="W743" s="204"/>
      <c r="X743" s="207"/>
      <c r="Y743" s="207"/>
      <c r="Z743" s="204"/>
      <c r="AA743" s="204"/>
      <c r="AB743" s="204"/>
      <c r="AC743" s="204"/>
    </row>
    <row r="744" spans="1:29">
      <c r="A744" s="204"/>
      <c r="B744" s="204"/>
      <c r="C744" s="204"/>
      <c r="D744" s="204"/>
      <c r="E744" s="204"/>
      <c r="F744" s="204"/>
      <c r="G744" s="204"/>
      <c r="H744" s="204"/>
      <c r="I744" s="204"/>
      <c r="J744" s="204"/>
      <c r="K744" s="204"/>
      <c r="L744" s="205"/>
      <c r="M744" s="205"/>
      <c r="N744" s="204"/>
      <c r="O744" s="204"/>
      <c r="P744" s="206"/>
      <c r="Q744" s="206"/>
      <c r="R744" s="206"/>
      <c r="S744" s="206"/>
      <c r="T744" s="204"/>
      <c r="U744" s="207"/>
      <c r="V744" s="204"/>
      <c r="W744" s="204"/>
      <c r="X744" s="207"/>
      <c r="Y744" s="207"/>
      <c r="Z744" s="204"/>
      <c r="AA744" s="204"/>
      <c r="AB744" s="204"/>
      <c r="AC744" s="204"/>
    </row>
    <row r="745" spans="1:29">
      <c r="A745" s="204"/>
      <c r="B745" s="204"/>
      <c r="C745" s="204"/>
      <c r="D745" s="204"/>
      <c r="E745" s="204"/>
      <c r="F745" s="204"/>
      <c r="G745" s="204"/>
      <c r="H745" s="204"/>
      <c r="I745" s="204"/>
      <c r="J745" s="204"/>
      <c r="K745" s="204"/>
      <c r="L745" s="205"/>
      <c r="M745" s="205"/>
      <c r="N745" s="204"/>
      <c r="O745" s="204"/>
      <c r="P745" s="206"/>
      <c r="Q745" s="206"/>
      <c r="R745" s="206"/>
      <c r="S745" s="206"/>
      <c r="T745" s="204"/>
      <c r="U745" s="207"/>
      <c r="V745" s="204"/>
      <c r="W745" s="204"/>
      <c r="X745" s="207"/>
      <c r="Y745" s="207"/>
      <c r="Z745" s="204"/>
      <c r="AA745" s="204"/>
      <c r="AB745" s="204"/>
      <c r="AC745" s="204"/>
    </row>
    <row r="746" spans="1:29">
      <c r="A746" s="204"/>
      <c r="B746" s="204"/>
      <c r="C746" s="204"/>
      <c r="D746" s="204"/>
      <c r="E746" s="204"/>
      <c r="F746" s="204"/>
      <c r="G746" s="204"/>
      <c r="H746" s="204"/>
      <c r="I746" s="204"/>
      <c r="J746" s="204"/>
      <c r="K746" s="204"/>
      <c r="L746" s="205"/>
      <c r="M746" s="205"/>
      <c r="N746" s="204"/>
      <c r="O746" s="204"/>
      <c r="P746" s="206"/>
      <c r="Q746" s="206"/>
      <c r="R746" s="206"/>
      <c r="S746" s="206"/>
      <c r="T746" s="204"/>
      <c r="U746" s="207"/>
      <c r="V746" s="204"/>
      <c r="W746" s="204"/>
      <c r="X746" s="207"/>
      <c r="Y746" s="207"/>
      <c r="Z746" s="204"/>
      <c r="AA746" s="204"/>
      <c r="AB746" s="204"/>
      <c r="AC746" s="204"/>
    </row>
    <row r="747" spans="1:29">
      <c r="A747" s="204"/>
      <c r="B747" s="204"/>
      <c r="C747" s="204"/>
      <c r="D747" s="204"/>
      <c r="E747" s="204"/>
      <c r="F747" s="204"/>
      <c r="G747" s="204"/>
      <c r="H747" s="204"/>
      <c r="I747" s="204"/>
      <c r="J747" s="204"/>
      <c r="K747" s="204"/>
      <c r="L747" s="205"/>
      <c r="M747" s="205"/>
      <c r="N747" s="204"/>
      <c r="O747" s="204"/>
      <c r="P747" s="206"/>
      <c r="Q747" s="206"/>
      <c r="R747" s="206"/>
      <c r="S747" s="206"/>
      <c r="T747" s="204"/>
      <c r="U747" s="207"/>
      <c r="V747" s="204"/>
      <c r="W747" s="204"/>
      <c r="X747" s="207"/>
      <c r="Y747" s="207"/>
      <c r="Z747" s="204"/>
      <c r="AA747" s="204"/>
      <c r="AB747" s="204"/>
      <c r="AC747" s="204"/>
    </row>
    <row r="748" spans="1:29">
      <c r="A748" s="204"/>
      <c r="B748" s="204"/>
      <c r="C748" s="204"/>
      <c r="D748" s="204"/>
      <c r="E748" s="204"/>
      <c r="F748" s="204"/>
      <c r="G748" s="204"/>
      <c r="H748" s="204"/>
      <c r="I748" s="204"/>
      <c r="J748" s="204"/>
      <c r="K748" s="204"/>
      <c r="L748" s="205"/>
      <c r="M748" s="205"/>
      <c r="N748" s="204"/>
      <c r="O748" s="204"/>
      <c r="P748" s="206"/>
      <c r="Q748" s="206"/>
      <c r="R748" s="206"/>
      <c r="S748" s="206"/>
      <c r="T748" s="204"/>
      <c r="U748" s="207"/>
      <c r="V748" s="204"/>
      <c r="W748" s="204"/>
      <c r="X748" s="207"/>
      <c r="Y748" s="207"/>
      <c r="Z748" s="204"/>
      <c r="AA748" s="204"/>
      <c r="AB748" s="204"/>
      <c r="AC748" s="204"/>
    </row>
    <row r="749" spans="1:29">
      <c r="A749" s="204"/>
      <c r="B749" s="204"/>
      <c r="C749" s="204"/>
      <c r="D749" s="204"/>
      <c r="E749" s="204"/>
      <c r="F749" s="204"/>
      <c r="G749" s="204"/>
      <c r="H749" s="204"/>
      <c r="I749" s="204"/>
      <c r="J749" s="204"/>
      <c r="K749" s="204"/>
      <c r="L749" s="205"/>
      <c r="M749" s="205"/>
      <c r="N749" s="204"/>
      <c r="O749" s="204"/>
      <c r="P749" s="206"/>
      <c r="Q749" s="206"/>
      <c r="R749" s="206"/>
      <c r="S749" s="206"/>
      <c r="T749" s="204"/>
      <c r="U749" s="207"/>
      <c r="V749" s="204"/>
      <c r="W749" s="204"/>
      <c r="X749" s="207"/>
      <c r="Y749" s="207"/>
      <c r="Z749" s="204"/>
      <c r="AA749" s="204"/>
      <c r="AB749" s="204"/>
      <c r="AC749" s="204"/>
    </row>
    <row r="750" spans="1:29">
      <c r="A750" s="204"/>
      <c r="B750" s="204"/>
      <c r="C750" s="204"/>
      <c r="D750" s="204"/>
      <c r="E750" s="204"/>
      <c r="F750" s="204"/>
      <c r="G750" s="204"/>
      <c r="H750" s="204"/>
      <c r="I750" s="204"/>
      <c r="J750" s="204"/>
      <c r="K750" s="204"/>
      <c r="L750" s="205"/>
      <c r="M750" s="205"/>
      <c r="N750" s="204"/>
      <c r="O750" s="204"/>
      <c r="P750" s="206"/>
      <c r="Q750" s="206"/>
      <c r="R750" s="206"/>
      <c r="S750" s="206"/>
      <c r="T750" s="204"/>
      <c r="U750" s="207"/>
      <c r="V750" s="204"/>
      <c r="W750" s="204"/>
      <c r="X750" s="207"/>
      <c r="Y750" s="207"/>
      <c r="Z750" s="204"/>
      <c r="AA750" s="204"/>
      <c r="AB750" s="204"/>
      <c r="AC750" s="204"/>
    </row>
    <row r="751" spans="1:29">
      <c r="A751" s="204"/>
      <c r="B751" s="204"/>
      <c r="C751" s="204"/>
      <c r="D751" s="204"/>
      <c r="E751" s="204"/>
      <c r="F751" s="204"/>
      <c r="G751" s="204"/>
      <c r="H751" s="204"/>
      <c r="I751" s="204"/>
      <c r="J751" s="204"/>
      <c r="K751" s="204"/>
      <c r="L751" s="205"/>
      <c r="M751" s="205"/>
      <c r="N751" s="204"/>
      <c r="O751" s="204"/>
      <c r="P751" s="206"/>
      <c r="Q751" s="206"/>
      <c r="R751" s="206"/>
      <c r="S751" s="206"/>
      <c r="T751" s="204"/>
      <c r="U751" s="207"/>
      <c r="V751" s="204"/>
      <c r="W751" s="204"/>
      <c r="X751" s="207"/>
      <c r="Y751" s="207"/>
      <c r="Z751" s="204"/>
      <c r="AA751" s="204"/>
      <c r="AB751" s="204"/>
      <c r="AC751" s="204"/>
    </row>
    <row r="752" spans="1:29">
      <c r="A752" s="204"/>
      <c r="B752" s="204"/>
      <c r="C752" s="204"/>
      <c r="D752" s="204"/>
      <c r="E752" s="204"/>
      <c r="F752" s="204"/>
      <c r="G752" s="204"/>
      <c r="H752" s="204"/>
      <c r="I752" s="204"/>
      <c r="J752" s="204"/>
      <c r="K752" s="204"/>
      <c r="L752" s="205"/>
      <c r="M752" s="205"/>
      <c r="N752" s="204"/>
      <c r="O752" s="204"/>
      <c r="P752" s="206"/>
      <c r="Q752" s="206"/>
      <c r="R752" s="206"/>
      <c r="S752" s="206"/>
      <c r="T752" s="204"/>
      <c r="U752" s="207"/>
      <c r="V752" s="204"/>
      <c r="W752" s="204"/>
      <c r="X752" s="207"/>
      <c r="Y752" s="207"/>
      <c r="Z752" s="204"/>
      <c r="AA752" s="204"/>
      <c r="AB752" s="204"/>
      <c r="AC752" s="204"/>
    </row>
    <row r="753" spans="1:29">
      <c r="A753" s="204"/>
      <c r="B753" s="204"/>
      <c r="C753" s="204"/>
      <c r="D753" s="204"/>
      <c r="E753" s="204"/>
      <c r="F753" s="204"/>
      <c r="G753" s="204"/>
      <c r="H753" s="204"/>
      <c r="I753" s="204"/>
      <c r="J753" s="204"/>
      <c r="K753" s="204"/>
      <c r="L753" s="205"/>
      <c r="M753" s="205"/>
      <c r="N753" s="204"/>
      <c r="O753" s="204"/>
      <c r="P753" s="206"/>
      <c r="Q753" s="206"/>
      <c r="R753" s="206"/>
      <c r="S753" s="206"/>
      <c r="T753" s="204"/>
      <c r="U753" s="207"/>
      <c r="V753" s="204"/>
      <c r="W753" s="204"/>
      <c r="X753" s="207"/>
      <c r="Y753" s="207"/>
      <c r="Z753" s="204"/>
      <c r="AA753" s="204"/>
      <c r="AB753" s="204"/>
      <c r="AC753" s="204"/>
    </row>
    <row r="754" spans="1:29">
      <c r="A754" s="204"/>
      <c r="B754" s="204"/>
      <c r="C754" s="204"/>
      <c r="D754" s="204"/>
      <c r="E754" s="204"/>
      <c r="F754" s="204"/>
      <c r="G754" s="204"/>
      <c r="H754" s="204"/>
      <c r="I754" s="204"/>
      <c r="J754" s="204"/>
      <c r="K754" s="204"/>
      <c r="L754" s="205"/>
      <c r="M754" s="205"/>
      <c r="N754" s="204"/>
      <c r="O754" s="204"/>
      <c r="P754" s="206"/>
      <c r="Q754" s="206"/>
      <c r="R754" s="206"/>
      <c r="S754" s="206"/>
      <c r="T754" s="204"/>
      <c r="U754" s="207"/>
      <c r="V754" s="204"/>
      <c r="W754" s="204"/>
      <c r="X754" s="207"/>
      <c r="Y754" s="207"/>
      <c r="Z754" s="204"/>
      <c r="AA754" s="204"/>
      <c r="AB754" s="204"/>
      <c r="AC754" s="204"/>
    </row>
    <row r="755" spans="1:29">
      <c r="A755" s="204"/>
      <c r="B755" s="204"/>
      <c r="C755" s="204"/>
      <c r="D755" s="204"/>
      <c r="E755" s="204"/>
      <c r="F755" s="204"/>
      <c r="G755" s="204"/>
      <c r="H755" s="204"/>
      <c r="I755" s="204"/>
      <c r="J755" s="204"/>
      <c r="K755" s="204"/>
      <c r="L755" s="205"/>
      <c r="M755" s="205"/>
      <c r="N755" s="204"/>
      <c r="O755" s="204"/>
      <c r="P755" s="206"/>
      <c r="Q755" s="206"/>
      <c r="R755" s="206"/>
      <c r="S755" s="206"/>
      <c r="T755" s="204"/>
      <c r="U755" s="207"/>
      <c r="V755" s="204"/>
      <c r="W755" s="204"/>
      <c r="X755" s="207"/>
      <c r="Y755" s="207"/>
      <c r="Z755" s="204"/>
      <c r="AA755" s="204"/>
      <c r="AB755" s="204"/>
      <c r="AC755" s="204"/>
    </row>
    <row r="756" spans="1:29">
      <c r="A756" s="204"/>
      <c r="B756" s="204"/>
      <c r="C756" s="204"/>
      <c r="D756" s="204"/>
      <c r="E756" s="204"/>
      <c r="F756" s="204"/>
      <c r="G756" s="204"/>
      <c r="H756" s="204"/>
      <c r="I756" s="204"/>
      <c r="J756" s="204"/>
      <c r="K756" s="204"/>
      <c r="L756" s="205"/>
      <c r="M756" s="205"/>
      <c r="N756" s="204"/>
      <c r="O756" s="204"/>
      <c r="P756" s="206"/>
      <c r="Q756" s="206"/>
      <c r="R756" s="206"/>
      <c r="S756" s="206"/>
      <c r="T756" s="204"/>
      <c r="U756" s="207"/>
      <c r="V756" s="204"/>
      <c r="W756" s="204"/>
      <c r="X756" s="207"/>
      <c r="Y756" s="207"/>
      <c r="Z756" s="204"/>
      <c r="AA756" s="204"/>
      <c r="AB756" s="204"/>
      <c r="AC756" s="204"/>
    </row>
    <row r="757" spans="1:29">
      <c r="A757" s="204"/>
      <c r="B757" s="204"/>
      <c r="C757" s="204"/>
      <c r="D757" s="204"/>
      <c r="E757" s="204"/>
      <c r="F757" s="204"/>
      <c r="G757" s="204"/>
      <c r="H757" s="204"/>
      <c r="I757" s="204"/>
      <c r="J757" s="204"/>
      <c r="K757" s="204"/>
      <c r="L757" s="205"/>
      <c r="M757" s="205"/>
      <c r="N757" s="204"/>
      <c r="O757" s="204"/>
      <c r="P757" s="206"/>
      <c r="Q757" s="206"/>
      <c r="R757" s="206"/>
      <c r="S757" s="206"/>
      <c r="T757" s="204"/>
      <c r="U757" s="207"/>
      <c r="V757" s="204"/>
      <c r="W757" s="204"/>
      <c r="X757" s="207"/>
      <c r="Y757" s="207"/>
      <c r="Z757" s="204"/>
      <c r="AA757" s="204"/>
      <c r="AB757" s="204"/>
      <c r="AC757" s="204"/>
    </row>
    <row r="758" spans="1:29">
      <c r="A758" s="204"/>
      <c r="B758" s="204"/>
      <c r="C758" s="204"/>
      <c r="D758" s="204"/>
      <c r="E758" s="204"/>
      <c r="F758" s="204"/>
      <c r="G758" s="204"/>
      <c r="H758" s="204"/>
      <c r="I758" s="204"/>
      <c r="J758" s="204"/>
      <c r="K758" s="204"/>
      <c r="L758" s="205"/>
      <c r="M758" s="205"/>
      <c r="N758" s="204"/>
      <c r="O758" s="204"/>
      <c r="P758" s="206"/>
      <c r="Q758" s="206"/>
      <c r="R758" s="206"/>
      <c r="S758" s="206"/>
      <c r="T758" s="204"/>
      <c r="U758" s="207"/>
      <c r="V758" s="204"/>
      <c r="W758" s="204"/>
      <c r="X758" s="207"/>
      <c r="Y758" s="207"/>
      <c r="Z758" s="204"/>
      <c r="AA758" s="204"/>
      <c r="AB758" s="204"/>
      <c r="AC758" s="204"/>
    </row>
    <row r="759" spans="1:29">
      <c r="A759" s="204"/>
      <c r="B759" s="204"/>
      <c r="C759" s="204"/>
      <c r="D759" s="204"/>
      <c r="E759" s="204"/>
      <c r="F759" s="204"/>
      <c r="G759" s="204"/>
      <c r="H759" s="204"/>
      <c r="I759" s="204"/>
      <c r="J759" s="204"/>
      <c r="K759" s="204"/>
      <c r="L759" s="205"/>
      <c r="M759" s="205"/>
      <c r="N759" s="204"/>
      <c r="O759" s="204"/>
      <c r="P759" s="206"/>
      <c r="Q759" s="206"/>
      <c r="R759" s="206"/>
      <c r="S759" s="206"/>
      <c r="T759" s="204"/>
      <c r="U759" s="207"/>
      <c r="V759" s="204"/>
      <c r="W759" s="204"/>
      <c r="X759" s="207"/>
      <c r="Y759" s="207"/>
      <c r="Z759" s="204"/>
      <c r="AA759" s="204"/>
      <c r="AB759" s="204"/>
      <c r="AC759" s="204"/>
    </row>
    <row r="760" spans="1:29">
      <c r="A760" s="204"/>
      <c r="B760" s="204"/>
      <c r="C760" s="204"/>
      <c r="D760" s="204"/>
      <c r="E760" s="204"/>
      <c r="F760" s="204"/>
      <c r="G760" s="204"/>
      <c r="H760" s="204"/>
      <c r="I760" s="204"/>
      <c r="J760" s="204"/>
      <c r="K760" s="204"/>
      <c r="L760" s="205"/>
      <c r="M760" s="205"/>
      <c r="N760" s="204"/>
      <c r="O760" s="204"/>
      <c r="P760" s="206"/>
      <c r="Q760" s="206"/>
      <c r="R760" s="206"/>
      <c r="S760" s="206"/>
      <c r="T760" s="204"/>
      <c r="U760" s="207"/>
      <c r="V760" s="204"/>
      <c r="W760" s="204"/>
      <c r="X760" s="207"/>
      <c r="Y760" s="207"/>
      <c r="Z760" s="204"/>
      <c r="AA760" s="204"/>
      <c r="AB760" s="204"/>
      <c r="AC760" s="204"/>
    </row>
    <row r="761" spans="1:29">
      <c r="A761" s="204"/>
      <c r="B761" s="204"/>
      <c r="C761" s="204"/>
      <c r="D761" s="204"/>
      <c r="E761" s="204"/>
      <c r="F761" s="204"/>
      <c r="G761" s="204"/>
      <c r="H761" s="204"/>
      <c r="I761" s="204"/>
      <c r="J761" s="204"/>
      <c r="K761" s="204"/>
      <c r="L761" s="205"/>
      <c r="M761" s="205"/>
      <c r="N761" s="204"/>
      <c r="O761" s="204"/>
      <c r="P761" s="206"/>
      <c r="Q761" s="206"/>
      <c r="R761" s="206"/>
      <c r="S761" s="206"/>
      <c r="T761" s="204"/>
      <c r="U761" s="207"/>
      <c r="V761" s="204"/>
      <c r="W761" s="204"/>
      <c r="X761" s="207"/>
      <c r="Y761" s="207"/>
      <c r="Z761" s="204"/>
      <c r="AA761" s="204"/>
      <c r="AB761" s="204"/>
      <c r="AC761" s="204"/>
    </row>
    <row r="762" spans="1:29">
      <c r="A762" s="204"/>
      <c r="B762" s="204"/>
      <c r="C762" s="204"/>
      <c r="D762" s="204"/>
      <c r="E762" s="204"/>
      <c r="F762" s="204"/>
      <c r="G762" s="204"/>
      <c r="H762" s="204"/>
      <c r="I762" s="204"/>
      <c r="J762" s="204"/>
      <c r="K762" s="204"/>
      <c r="L762" s="205"/>
      <c r="M762" s="205"/>
      <c r="N762" s="204"/>
      <c r="O762" s="204"/>
      <c r="P762" s="206"/>
      <c r="Q762" s="206"/>
      <c r="R762" s="206"/>
      <c r="S762" s="206"/>
      <c r="T762" s="204"/>
      <c r="U762" s="207"/>
      <c r="V762" s="204"/>
      <c r="W762" s="204"/>
      <c r="X762" s="207"/>
      <c r="Y762" s="207"/>
      <c r="Z762" s="204"/>
      <c r="AA762" s="204"/>
      <c r="AB762" s="204"/>
      <c r="AC762" s="204"/>
    </row>
    <row r="763" spans="1:29">
      <c r="A763" s="204"/>
      <c r="B763" s="204"/>
      <c r="C763" s="204"/>
      <c r="D763" s="204"/>
      <c r="E763" s="204"/>
      <c r="F763" s="204"/>
      <c r="G763" s="204"/>
      <c r="H763" s="204"/>
      <c r="I763" s="204"/>
      <c r="J763" s="204"/>
      <c r="K763" s="204"/>
      <c r="L763" s="205"/>
      <c r="M763" s="205"/>
      <c r="N763" s="204"/>
      <c r="O763" s="204"/>
      <c r="P763" s="206"/>
      <c r="Q763" s="206"/>
      <c r="R763" s="206"/>
      <c r="S763" s="206"/>
      <c r="T763" s="204"/>
      <c r="U763" s="207"/>
      <c r="V763" s="204"/>
      <c r="W763" s="204"/>
      <c r="X763" s="207"/>
      <c r="Y763" s="207"/>
      <c r="Z763" s="204"/>
      <c r="AA763" s="204"/>
      <c r="AB763" s="204"/>
      <c r="AC763" s="204"/>
    </row>
    <row r="764" spans="1:29">
      <c r="A764" s="204"/>
      <c r="B764" s="204"/>
      <c r="C764" s="204"/>
      <c r="D764" s="204"/>
      <c r="E764" s="204"/>
      <c r="F764" s="204"/>
      <c r="G764" s="204"/>
      <c r="H764" s="204"/>
      <c r="I764" s="204"/>
      <c r="J764" s="204"/>
      <c r="K764" s="204"/>
      <c r="L764" s="205"/>
      <c r="M764" s="205"/>
      <c r="N764" s="204"/>
      <c r="O764" s="204"/>
      <c r="P764" s="206"/>
      <c r="Q764" s="206"/>
      <c r="R764" s="206"/>
      <c r="S764" s="206"/>
      <c r="T764" s="204"/>
      <c r="U764" s="207"/>
      <c r="V764" s="204"/>
      <c r="W764" s="204"/>
      <c r="X764" s="207"/>
      <c r="Y764" s="207"/>
      <c r="Z764" s="204"/>
      <c r="AA764" s="204"/>
      <c r="AB764" s="204"/>
      <c r="AC764" s="204"/>
    </row>
    <row r="765" spans="1:29">
      <c r="A765" s="204"/>
      <c r="B765" s="204"/>
      <c r="C765" s="204"/>
      <c r="D765" s="204"/>
      <c r="E765" s="204"/>
      <c r="F765" s="204"/>
      <c r="G765" s="204"/>
      <c r="H765" s="204"/>
      <c r="I765" s="204"/>
      <c r="J765" s="204"/>
      <c r="K765" s="204"/>
      <c r="L765" s="205"/>
      <c r="M765" s="205"/>
      <c r="N765" s="204"/>
      <c r="O765" s="204"/>
      <c r="P765" s="206"/>
      <c r="Q765" s="206"/>
      <c r="R765" s="206"/>
      <c r="S765" s="206"/>
      <c r="T765" s="204"/>
      <c r="U765" s="207"/>
      <c r="V765" s="204"/>
      <c r="W765" s="204"/>
      <c r="X765" s="207"/>
      <c r="Y765" s="207"/>
      <c r="Z765" s="204"/>
      <c r="AA765" s="204"/>
      <c r="AB765" s="204"/>
      <c r="AC765" s="204"/>
    </row>
    <row r="766" spans="1:29">
      <c r="A766" s="204"/>
      <c r="B766" s="204"/>
      <c r="C766" s="204"/>
      <c r="D766" s="204"/>
      <c r="E766" s="204"/>
      <c r="F766" s="204"/>
      <c r="G766" s="204"/>
      <c r="H766" s="204"/>
      <c r="I766" s="204"/>
      <c r="J766" s="204"/>
      <c r="K766" s="204"/>
      <c r="L766" s="205"/>
      <c r="M766" s="205"/>
      <c r="N766" s="204"/>
      <c r="O766" s="204"/>
      <c r="P766" s="206"/>
      <c r="Q766" s="206"/>
      <c r="R766" s="206"/>
      <c r="S766" s="206"/>
      <c r="T766" s="204"/>
      <c r="U766" s="207"/>
      <c r="V766" s="204"/>
      <c r="W766" s="204"/>
      <c r="X766" s="207"/>
      <c r="Y766" s="207"/>
      <c r="Z766" s="204"/>
      <c r="AA766" s="204"/>
      <c r="AB766" s="204"/>
      <c r="AC766" s="204"/>
    </row>
    <row r="767" spans="1:29">
      <c r="A767" s="204"/>
      <c r="B767" s="204"/>
      <c r="C767" s="204"/>
      <c r="D767" s="204"/>
      <c r="E767" s="204"/>
      <c r="F767" s="204"/>
      <c r="G767" s="204"/>
      <c r="H767" s="204"/>
      <c r="I767" s="204"/>
      <c r="J767" s="204"/>
      <c r="K767" s="204"/>
      <c r="L767" s="205"/>
      <c r="M767" s="205"/>
      <c r="N767" s="204"/>
      <c r="O767" s="204"/>
      <c r="P767" s="206"/>
      <c r="Q767" s="206"/>
      <c r="R767" s="206"/>
      <c r="S767" s="206"/>
      <c r="T767" s="204"/>
      <c r="U767" s="207"/>
      <c r="V767" s="204"/>
      <c r="W767" s="204"/>
      <c r="X767" s="207"/>
      <c r="Y767" s="207"/>
      <c r="Z767" s="204"/>
      <c r="AA767" s="204"/>
      <c r="AB767" s="204"/>
      <c r="AC767" s="204"/>
    </row>
    <row r="768" spans="1:29">
      <c r="A768" s="204"/>
      <c r="B768" s="204"/>
      <c r="C768" s="204"/>
      <c r="D768" s="204"/>
      <c r="E768" s="204"/>
      <c r="F768" s="204"/>
      <c r="G768" s="204"/>
      <c r="H768" s="204"/>
      <c r="I768" s="204"/>
      <c r="J768" s="204"/>
      <c r="K768" s="204"/>
      <c r="L768" s="205"/>
      <c r="M768" s="205"/>
      <c r="N768" s="204"/>
      <c r="O768" s="204"/>
      <c r="P768" s="206"/>
      <c r="Q768" s="206"/>
      <c r="R768" s="206"/>
      <c r="S768" s="206"/>
      <c r="T768" s="204"/>
      <c r="U768" s="207"/>
      <c r="V768" s="204"/>
      <c r="W768" s="204"/>
      <c r="X768" s="207"/>
      <c r="Y768" s="207"/>
      <c r="Z768" s="204"/>
      <c r="AA768" s="204"/>
      <c r="AB768" s="204"/>
      <c r="AC768" s="204"/>
    </row>
    <row r="769" spans="1:29">
      <c r="A769" s="204"/>
      <c r="B769" s="204"/>
      <c r="C769" s="204"/>
      <c r="D769" s="204"/>
      <c r="E769" s="204"/>
      <c r="F769" s="204"/>
      <c r="G769" s="204"/>
      <c r="H769" s="204"/>
      <c r="I769" s="204"/>
      <c r="J769" s="204"/>
      <c r="K769" s="204"/>
      <c r="L769" s="205"/>
      <c r="M769" s="205"/>
      <c r="N769" s="204"/>
      <c r="O769" s="204"/>
      <c r="P769" s="206"/>
      <c r="Q769" s="206"/>
      <c r="R769" s="206"/>
      <c r="S769" s="206"/>
      <c r="T769" s="204"/>
      <c r="U769" s="207"/>
      <c r="V769" s="204"/>
      <c r="W769" s="204"/>
      <c r="X769" s="207"/>
      <c r="Y769" s="207"/>
      <c r="Z769" s="204"/>
      <c r="AA769" s="204"/>
      <c r="AB769" s="204"/>
      <c r="AC769" s="204"/>
    </row>
    <row r="770" spans="1:29">
      <c r="A770" s="204"/>
      <c r="B770" s="204"/>
      <c r="C770" s="204"/>
      <c r="D770" s="204"/>
      <c r="E770" s="204"/>
      <c r="F770" s="204"/>
      <c r="G770" s="204"/>
      <c r="H770" s="204"/>
      <c r="I770" s="204"/>
      <c r="J770" s="204"/>
      <c r="K770" s="204"/>
      <c r="L770" s="205"/>
      <c r="M770" s="205"/>
      <c r="N770" s="204"/>
      <c r="O770" s="204"/>
      <c r="P770" s="206"/>
      <c r="Q770" s="206"/>
      <c r="R770" s="206"/>
      <c r="S770" s="206"/>
      <c r="T770" s="204"/>
      <c r="U770" s="207"/>
      <c r="V770" s="204"/>
      <c r="W770" s="204"/>
      <c r="X770" s="207"/>
      <c r="Y770" s="207"/>
      <c r="Z770" s="204"/>
      <c r="AA770" s="204"/>
      <c r="AB770" s="204"/>
      <c r="AC770" s="204"/>
    </row>
    <row r="771" spans="1:29">
      <c r="A771" s="204"/>
      <c r="B771" s="204"/>
      <c r="C771" s="204"/>
      <c r="D771" s="204"/>
      <c r="E771" s="204"/>
      <c r="F771" s="204"/>
      <c r="G771" s="204"/>
      <c r="H771" s="204"/>
      <c r="I771" s="204"/>
      <c r="J771" s="204"/>
      <c r="K771" s="204"/>
      <c r="L771" s="205"/>
      <c r="M771" s="205"/>
      <c r="N771" s="204"/>
      <c r="O771" s="204"/>
      <c r="P771" s="206"/>
      <c r="Q771" s="206"/>
      <c r="R771" s="206"/>
      <c r="S771" s="206"/>
      <c r="T771" s="204"/>
      <c r="U771" s="207"/>
      <c r="V771" s="204"/>
      <c r="W771" s="204"/>
      <c r="X771" s="207"/>
      <c r="Y771" s="207"/>
      <c r="Z771" s="204"/>
      <c r="AA771" s="204"/>
      <c r="AB771" s="204"/>
      <c r="AC771" s="204"/>
    </row>
    <row r="772" spans="1:29">
      <c r="A772" s="204"/>
      <c r="B772" s="204"/>
      <c r="C772" s="204"/>
      <c r="D772" s="204"/>
      <c r="E772" s="204"/>
      <c r="F772" s="204"/>
      <c r="G772" s="204"/>
      <c r="H772" s="204"/>
      <c r="I772" s="204"/>
      <c r="J772" s="204"/>
      <c r="K772" s="204"/>
      <c r="L772" s="205"/>
      <c r="M772" s="205"/>
      <c r="N772" s="204"/>
      <c r="O772" s="204"/>
      <c r="P772" s="206"/>
      <c r="Q772" s="206"/>
      <c r="R772" s="206"/>
      <c r="S772" s="206"/>
      <c r="T772" s="204"/>
      <c r="U772" s="207"/>
      <c r="V772" s="204"/>
      <c r="W772" s="204"/>
      <c r="X772" s="207"/>
      <c r="Y772" s="207"/>
      <c r="Z772" s="204"/>
      <c r="AA772" s="204"/>
      <c r="AB772" s="204"/>
      <c r="AC772" s="204"/>
    </row>
    <row r="773" spans="1:29">
      <c r="A773" s="204"/>
      <c r="B773" s="204"/>
      <c r="C773" s="204"/>
      <c r="D773" s="204"/>
      <c r="E773" s="204"/>
      <c r="F773" s="204"/>
      <c r="G773" s="204"/>
      <c r="H773" s="204"/>
      <c r="I773" s="204"/>
      <c r="J773" s="204"/>
      <c r="K773" s="204"/>
      <c r="L773" s="205"/>
      <c r="M773" s="205"/>
      <c r="N773" s="204"/>
      <c r="O773" s="204"/>
      <c r="P773" s="206"/>
      <c r="Q773" s="206"/>
      <c r="R773" s="206"/>
      <c r="S773" s="206"/>
      <c r="T773" s="204"/>
      <c r="U773" s="207"/>
      <c r="V773" s="204"/>
      <c r="W773" s="204"/>
      <c r="X773" s="207"/>
      <c r="Y773" s="207"/>
      <c r="Z773" s="204"/>
      <c r="AA773" s="204"/>
      <c r="AB773" s="204"/>
      <c r="AC773" s="204"/>
    </row>
    <row r="774" spans="1:29">
      <c r="A774" s="204"/>
      <c r="B774" s="204"/>
      <c r="C774" s="204"/>
      <c r="D774" s="204"/>
      <c r="E774" s="204"/>
      <c r="F774" s="204"/>
      <c r="G774" s="204"/>
      <c r="H774" s="204"/>
      <c r="I774" s="204"/>
      <c r="J774" s="204"/>
      <c r="K774" s="204"/>
      <c r="L774" s="205"/>
      <c r="M774" s="205"/>
      <c r="N774" s="204"/>
      <c r="O774" s="204"/>
      <c r="P774" s="206"/>
      <c r="Q774" s="206"/>
      <c r="R774" s="206"/>
      <c r="S774" s="206"/>
      <c r="T774" s="204"/>
      <c r="U774" s="207"/>
      <c r="V774" s="204"/>
      <c r="W774" s="204"/>
      <c r="X774" s="207"/>
      <c r="Y774" s="207"/>
      <c r="Z774" s="204"/>
      <c r="AA774" s="204"/>
      <c r="AB774" s="204"/>
      <c r="AC774" s="204"/>
    </row>
    <row r="775" spans="1:29">
      <c r="A775" s="204"/>
      <c r="B775" s="204"/>
      <c r="C775" s="204"/>
      <c r="D775" s="204"/>
      <c r="E775" s="204"/>
      <c r="F775" s="204"/>
      <c r="G775" s="204"/>
      <c r="H775" s="204"/>
      <c r="I775" s="204"/>
      <c r="J775" s="204"/>
      <c r="K775" s="204"/>
      <c r="L775" s="205"/>
      <c r="M775" s="205"/>
      <c r="N775" s="204"/>
      <c r="O775" s="204"/>
      <c r="P775" s="206"/>
      <c r="Q775" s="206"/>
      <c r="R775" s="206"/>
      <c r="S775" s="206"/>
      <c r="T775" s="204"/>
      <c r="U775" s="207"/>
      <c r="V775" s="204"/>
      <c r="W775" s="204"/>
      <c r="X775" s="207"/>
      <c r="Y775" s="207"/>
      <c r="Z775" s="204"/>
      <c r="AA775" s="204"/>
      <c r="AB775" s="204"/>
      <c r="AC775" s="204"/>
    </row>
    <row r="776" spans="1:29">
      <c r="A776" s="204"/>
      <c r="B776" s="204"/>
      <c r="C776" s="204"/>
      <c r="D776" s="204"/>
      <c r="E776" s="204"/>
      <c r="F776" s="204"/>
      <c r="G776" s="204"/>
      <c r="H776" s="204"/>
      <c r="I776" s="204"/>
      <c r="J776" s="204"/>
      <c r="K776" s="204"/>
      <c r="L776" s="205"/>
      <c r="M776" s="205"/>
      <c r="N776" s="204"/>
      <c r="O776" s="204"/>
      <c r="P776" s="206"/>
      <c r="Q776" s="206"/>
      <c r="R776" s="206"/>
      <c r="S776" s="206"/>
      <c r="T776" s="204"/>
      <c r="U776" s="207"/>
      <c r="V776" s="204"/>
      <c r="W776" s="204"/>
      <c r="X776" s="207"/>
      <c r="Y776" s="207"/>
      <c r="Z776" s="204"/>
      <c r="AA776" s="204"/>
      <c r="AB776" s="204"/>
      <c r="AC776" s="204"/>
    </row>
    <row r="777" spans="1:29">
      <c r="A777" s="204"/>
      <c r="B777" s="204"/>
      <c r="C777" s="204"/>
      <c r="D777" s="204"/>
      <c r="E777" s="204"/>
      <c r="F777" s="204"/>
      <c r="G777" s="204"/>
      <c r="H777" s="204"/>
      <c r="I777" s="204"/>
      <c r="J777" s="204"/>
      <c r="K777" s="204"/>
      <c r="L777" s="205"/>
      <c r="M777" s="205"/>
      <c r="N777" s="204"/>
      <c r="O777" s="204"/>
      <c r="P777" s="206"/>
      <c r="Q777" s="206"/>
      <c r="R777" s="206"/>
      <c r="S777" s="206"/>
      <c r="T777" s="204"/>
      <c r="U777" s="207"/>
      <c r="V777" s="204"/>
      <c r="W777" s="204"/>
      <c r="X777" s="207"/>
      <c r="Y777" s="207"/>
      <c r="Z777" s="204"/>
      <c r="AA777" s="204"/>
      <c r="AB777" s="204"/>
      <c r="AC777" s="204"/>
    </row>
    <row r="778" spans="1:29">
      <c r="A778" s="204"/>
      <c r="B778" s="204"/>
      <c r="C778" s="204"/>
      <c r="D778" s="204"/>
      <c r="E778" s="204"/>
      <c r="F778" s="204"/>
      <c r="G778" s="204"/>
      <c r="H778" s="204"/>
      <c r="I778" s="204"/>
      <c r="J778" s="204"/>
      <c r="K778" s="204"/>
      <c r="L778" s="205"/>
      <c r="M778" s="205"/>
      <c r="N778" s="204"/>
      <c r="O778" s="204"/>
      <c r="P778" s="206"/>
      <c r="Q778" s="206"/>
      <c r="R778" s="206"/>
      <c r="S778" s="206"/>
      <c r="T778" s="204"/>
      <c r="U778" s="207"/>
      <c r="V778" s="204"/>
      <c r="W778" s="204"/>
      <c r="X778" s="207"/>
      <c r="Y778" s="207"/>
      <c r="Z778" s="204"/>
      <c r="AA778" s="204"/>
      <c r="AB778" s="204"/>
      <c r="AC778" s="204"/>
    </row>
    <row r="779" spans="1:29">
      <c r="A779" s="204"/>
      <c r="B779" s="204"/>
      <c r="C779" s="204"/>
      <c r="D779" s="204"/>
      <c r="E779" s="204"/>
      <c r="F779" s="204"/>
      <c r="G779" s="204"/>
      <c r="H779" s="204"/>
      <c r="I779" s="204"/>
      <c r="J779" s="204"/>
      <c r="K779" s="204"/>
      <c r="L779" s="205"/>
      <c r="M779" s="205"/>
      <c r="N779" s="204"/>
      <c r="O779" s="204"/>
      <c r="P779" s="206"/>
      <c r="Q779" s="206"/>
      <c r="R779" s="206"/>
      <c r="S779" s="206"/>
      <c r="T779" s="204"/>
      <c r="U779" s="207"/>
      <c r="V779" s="204"/>
      <c r="W779" s="204"/>
      <c r="X779" s="207"/>
      <c r="Y779" s="207"/>
      <c r="Z779" s="204"/>
      <c r="AA779" s="204"/>
      <c r="AB779" s="204"/>
      <c r="AC779" s="204"/>
    </row>
    <row r="780" spans="1:29">
      <c r="A780" s="204"/>
      <c r="B780" s="204"/>
      <c r="C780" s="204"/>
      <c r="D780" s="204"/>
      <c r="E780" s="204"/>
      <c r="F780" s="204"/>
      <c r="G780" s="204"/>
      <c r="H780" s="204"/>
      <c r="I780" s="204"/>
      <c r="J780" s="204"/>
      <c r="K780" s="204"/>
      <c r="L780" s="205"/>
      <c r="M780" s="205"/>
      <c r="N780" s="204"/>
      <c r="O780" s="204"/>
      <c r="P780" s="206"/>
      <c r="Q780" s="206"/>
      <c r="R780" s="206"/>
      <c r="S780" s="206"/>
      <c r="T780" s="204"/>
      <c r="U780" s="207"/>
      <c r="V780" s="204"/>
      <c r="W780" s="204"/>
      <c r="X780" s="207"/>
      <c r="Y780" s="207"/>
      <c r="Z780" s="204"/>
      <c r="AA780" s="204"/>
      <c r="AB780" s="204"/>
      <c r="AC780" s="204"/>
    </row>
    <row r="781" spans="1:29">
      <c r="A781" s="204"/>
      <c r="B781" s="204"/>
      <c r="C781" s="204"/>
      <c r="D781" s="204"/>
      <c r="E781" s="204"/>
      <c r="F781" s="204"/>
      <c r="G781" s="204"/>
      <c r="H781" s="204"/>
      <c r="I781" s="204"/>
      <c r="J781" s="204"/>
      <c r="K781" s="204"/>
      <c r="L781" s="205"/>
      <c r="M781" s="205"/>
      <c r="N781" s="204"/>
      <c r="O781" s="204"/>
      <c r="P781" s="206"/>
      <c r="Q781" s="206"/>
      <c r="R781" s="206"/>
      <c r="S781" s="206"/>
      <c r="T781" s="204"/>
      <c r="U781" s="207"/>
      <c r="V781" s="204"/>
      <c r="W781" s="204"/>
      <c r="X781" s="207"/>
      <c r="Y781" s="207"/>
      <c r="Z781" s="204"/>
      <c r="AA781" s="204"/>
      <c r="AB781" s="204"/>
      <c r="AC781" s="204"/>
    </row>
    <row r="782" spans="1:29">
      <c r="A782" s="204"/>
      <c r="B782" s="204"/>
      <c r="C782" s="204"/>
      <c r="D782" s="204"/>
      <c r="E782" s="204"/>
      <c r="F782" s="204"/>
      <c r="G782" s="204"/>
      <c r="H782" s="204"/>
      <c r="I782" s="204"/>
      <c r="J782" s="204"/>
      <c r="K782" s="204"/>
      <c r="L782" s="205"/>
      <c r="M782" s="205"/>
      <c r="N782" s="204"/>
      <c r="O782" s="204"/>
      <c r="P782" s="206"/>
      <c r="Q782" s="206"/>
      <c r="R782" s="206"/>
      <c r="S782" s="206"/>
      <c r="T782" s="204"/>
      <c r="U782" s="207"/>
      <c r="V782" s="204"/>
      <c r="W782" s="204"/>
      <c r="X782" s="207"/>
      <c r="Y782" s="207"/>
      <c r="Z782" s="204"/>
      <c r="AA782" s="204"/>
      <c r="AB782" s="204"/>
      <c r="AC782" s="204"/>
    </row>
    <row r="783" spans="1:29">
      <c r="A783" s="204"/>
      <c r="B783" s="204"/>
      <c r="C783" s="204"/>
      <c r="D783" s="204"/>
      <c r="E783" s="204"/>
      <c r="F783" s="204"/>
      <c r="G783" s="204"/>
      <c r="H783" s="204"/>
      <c r="I783" s="204"/>
      <c r="J783" s="204"/>
      <c r="K783" s="204"/>
      <c r="L783" s="205"/>
      <c r="M783" s="205"/>
      <c r="N783" s="204"/>
      <c r="O783" s="204"/>
      <c r="P783" s="206"/>
      <c r="Q783" s="206"/>
      <c r="R783" s="206"/>
      <c r="S783" s="206"/>
      <c r="T783" s="204"/>
      <c r="U783" s="207"/>
      <c r="V783" s="204"/>
      <c r="W783" s="204"/>
      <c r="X783" s="207"/>
      <c r="Y783" s="207"/>
      <c r="Z783" s="204"/>
      <c r="AA783" s="204"/>
      <c r="AB783" s="204"/>
      <c r="AC783" s="204"/>
    </row>
    <row r="784" spans="1:29">
      <c r="A784" s="204"/>
      <c r="B784" s="204"/>
      <c r="C784" s="204"/>
      <c r="D784" s="204"/>
      <c r="E784" s="204"/>
      <c r="F784" s="204"/>
      <c r="G784" s="204"/>
      <c r="H784" s="204"/>
      <c r="I784" s="204"/>
      <c r="J784" s="204"/>
      <c r="K784" s="204"/>
      <c r="L784" s="205"/>
      <c r="M784" s="205"/>
      <c r="N784" s="204"/>
      <c r="O784" s="204"/>
      <c r="P784" s="206"/>
      <c r="Q784" s="206"/>
      <c r="R784" s="206"/>
      <c r="S784" s="206"/>
      <c r="T784" s="204"/>
      <c r="U784" s="207"/>
      <c r="V784" s="204"/>
      <c r="W784" s="204"/>
      <c r="X784" s="207"/>
      <c r="Y784" s="207"/>
      <c r="Z784" s="204"/>
      <c r="AA784" s="204"/>
      <c r="AB784" s="204"/>
      <c r="AC784" s="204"/>
    </row>
    <row r="785" spans="1:29">
      <c r="A785" s="204"/>
      <c r="B785" s="204"/>
      <c r="C785" s="204"/>
      <c r="D785" s="204"/>
      <c r="E785" s="204"/>
      <c r="F785" s="204"/>
      <c r="G785" s="204"/>
      <c r="H785" s="204"/>
      <c r="I785" s="204"/>
      <c r="J785" s="204"/>
      <c r="K785" s="204"/>
      <c r="L785" s="205"/>
      <c r="M785" s="205"/>
      <c r="N785" s="204"/>
      <c r="O785" s="204"/>
      <c r="P785" s="206"/>
      <c r="Q785" s="206"/>
      <c r="R785" s="206"/>
      <c r="S785" s="206"/>
      <c r="T785" s="204"/>
      <c r="U785" s="207"/>
      <c r="V785" s="204"/>
      <c r="W785" s="204"/>
      <c r="X785" s="207"/>
      <c r="Y785" s="207"/>
      <c r="Z785" s="204"/>
      <c r="AA785" s="204"/>
      <c r="AB785" s="204"/>
      <c r="AC785" s="204"/>
    </row>
    <row r="786" spans="1:29">
      <c r="A786" s="204"/>
      <c r="B786" s="204"/>
      <c r="C786" s="204"/>
      <c r="D786" s="204"/>
      <c r="E786" s="204"/>
      <c r="F786" s="204"/>
      <c r="G786" s="204"/>
      <c r="H786" s="204"/>
      <c r="I786" s="204"/>
      <c r="J786" s="204"/>
      <c r="K786" s="204"/>
      <c r="L786" s="205"/>
      <c r="M786" s="205"/>
      <c r="N786" s="204"/>
      <c r="O786" s="204"/>
      <c r="P786" s="206"/>
      <c r="Q786" s="206"/>
      <c r="R786" s="206"/>
      <c r="S786" s="206"/>
      <c r="T786" s="204"/>
      <c r="U786" s="207"/>
      <c r="V786" s="204"/>
      <c r="W786" s="204"/>
      <c r="X786" s="207"/>
      <c r="Y786" s="207"/>
      <c r="Z786" s="204"/>
      <c r="AA786" s="204"/>
      <c r="AB786" s="204"/>
      <c r="AC786" s="204"/>
    </row>
    <row r="787" spans="1:29">
      <c r="A787" s="204"/>
      <c r="B787" s="204"/>
      <c r="C787" s="204"/>
      <c r="D787" s="204"/>
      <c r="E787" s="204"/>
      <c r="F787" s="204"/>
      <c r="G787" s="204"/>
      <c r="H787" s="204"/>
      <c r="I787" s="204"/>
      <c r="J787" s="204"/>
      <c r="K787" s="204"/>
      <c r="L787" s="205"/>
      <c r="M787" s="205"/>
      <c r="N787" s="204"/>
      <c r="O787" s="204"/>
      <c r="P787" s="206"/>
      <c r="Q787" s="206"/>
      <c r="R787" s="206"/>
      <c r="S787" s="206"/>
      <c r="T787" s="204"/>
      <c r="U787" s="207"/>
      <c r="V787" s="204"/>
      <c r="W787" s="204"/>
      <c r="X787" s="207"/>
      <c r="Y787" s="207"/>
      <c r="Z787" s="204"/>
      <c r="AA787" s="204"/>
      <c r="AB787" s="204"/>
      <c r="AC787" s="204"/>
    </row>
    <row r="788" spans="1:29">
      <c r="A788" s="204"/>
      <c r="B788" s="204"/>
      <c r="C788" s="204"/>
      <c r="D788" s="204"/>
      <c r="E788" s="204"/>
      <c r="F788" s="204"/>
      <c r="G788" s="204"/>
      <c r="H788" s="204"/>
      <c r="I788" s="204"/>
      <c r="J788" s="204"/>
      <c r="K788" s="204"/>
      <c r="L788" s="205"/>
      <c r="M788" s="205"/>
      <c r="N788" s="204"/>
      <c r="O788" s="204"/>
      <c r="P788" s="206"/>
      <c r="Q788" s="206"/>
      <c r="R788" s="206"/>
      <c r="S788" s="206"/>
      <c r="T788" s="204"/>
      <c r="U788" s="207"/>
      <c r="V788" s="204"/>
      <c r="W788" s="204"/>
      <c r="X788" s="207"/>
      <c r="Y788" s="207"/>
      <c r="Z788" s="204"/>
      <c r="AA788" s="204"/>
      <c r="AB788" s="204"/>
      <c r="AC788" s="204"/>
    </row>
    <row r="789" spans="1:29">
      <c r="A789" s="204"/>
      <c r="B789" s="204"/>
      <c r="C789" s="204"/>
      <c r="D789" s="204"/>
      <c r="E789" s="204"/>
      <c r="F789" s="204"/>
      <c r="G789" s="204"/>
      <c r="H789" s="204"/>
      <c r="I789" s="204"/>
      <c r="J789" s="204"/>
      <c r="K789" s="204"/>
      <c r="L789" s="205"/>
      <c r="M789" s="205"/>
      <c r="N789" s="204"/>
      <c r="O789" s="204"/>
      <c r="P789" s="206"/>
      <c r="Q789" s="206"/>
      <c r="R789" s="206"/>
      <c r="S789" s="206"/>
      <c r="T789" s="204"/>
      <c r="U789" s="207"/>
      <c r="V789" s="204"/>
      <c r="W789" s="204"/>
      <c r="X789" s="207"/>
      <c r="Y789" s="207"/>
      <c r="Z789" s="204"/>
      <c r="AA789" s="204"/>
      <c r="AB789" s="204"/>
      <c r="AC789" s="204"/>
    </row>
    <row r="790" spans="1:29">
      <c r="A790" s="204"/>
      <c r="B790" s="204"/>
      <c r="C790" s="204"/>
      <c r="D790" s="204"/>
      <c r="E790" s="204"/>
      <c r="F790" s="204"/>
      <c r="G790" s="204"/>
      <c r="H790" s="204"/>
      <c r="I790" s="204"/>
      <c r="J790" s="204"/>
      <c r="K790" s="204"/>
      <c r="L790" s="205"/>
      <c r="M790" s="205"/>
      <c r="N790" s="204"/>
      <c r="O790" s="204"/>
      <c r="P790" s="206"/>
      <c r="Q790" s="206"/>
      <c r="R790" s="206"/>
      <c r="S790" s="206"/>
      <c r="T790" s="204"/>
      <c r="U790" s="207"/>
      <c r="V790" s="204"/>
      <c r="W790" s="204"/>
      <c r="X790" s="207"/>
      <c r="Y790" s="207"/>
      <c r="Z790" s="204"/>
      <c r="AA790" s="204"/>
      <c r="AB790" s="204"/>
      <c r="AC790" s="204"/>
    </row>
    <row r="791" spans="1:29">
      <c r="A791" s="204"/>
      <c r="B791" s="204"/>
      <c r="C791" s="204"/>
      <c r="D791" s="204"/>
      <c r="E791" s="204"/>
      <c r="F791" s="204"/>
      <c r="G791" s="204"/>
      <c r="H791" s="204"/>
      <c r="I791" s="204"/>
      <c r="J791" s="204"/>
      <c r="K791" s="204"/>
      <c r="L791" s="205"/>
      <c r="M791" s="205"/>
      <c r="N791" s="204"/>
      <c r="O791" s="204"/>
      <c r="P791" s="206"/>
      <c r="Q791" s="206"/>
      <c r="R791" s="206"/>
      <c r="S791" s="206"/>
      <c r="T791" s="204"/>
      <c r="U791" s="207"/>
      <c r="V791" s="204"/>
      <c r="W791" s="204"/>
      <c r="X791" s="207"/>
      <c r="Y791" s="207"/>
      <c r="Z791" s="204"/>
      <c r="AA791" s="204"/>
      <c r="AB791" s="204"/>
      <c r="AC791" s="204"/>
    </row>
    <row r="792" spans="1:29">
      <c r="A792" s="204"/>
      <c r="B792" s="204"/>
      <c r="C792" s="204"/>
      <c r="D792" s="204"/>
      <c r="E792" s="204"/>
      <c r="F792" s="204"/>
      <c r="G792" s="204"/>
      <c r="H792" s="204"/>
      <c r="I792" s="204"/>
      <c r="J792" s="204"/>
      <c r="K792" s="204"/>
      <c r="L792" s="205"/>
      <c r="M792" s="205"/>
      <c r="N792" s="204"/>
      <c r="O792" s="204"/>
      <c r="P792" s="206"/>
      <c r="Q792" s="206"/>
      <c r="R792" s="206"/>
      <c r="S792" s="206"/>
      <c r="T792" s="204"/>
      <c r="U792" s="207"/>
      <c r="V792" s="204"/>
      <c r="W792" s="204"/>
      <c r="X792" s="207"/>
      <c r="Y792" s="207"/>
      <c r="Z792" s="204"/>
      <c r="AA792" s="204"/>
      <c r="AB792" s="204"/>
      <c r="AC792" s="204"/>
    </row>
    <row r="793" spans="1:29">
      <c r="A793" s="204"/>
      <c r="B793" s="204"/>
      <c r="C793" s="204"/>
      <c r="D793" s="204"/>
      <c r="E793" s="204"/>
      <c r="F793" s="204"/>
      <c r="G793" s="204"/>
      <c r="H793" s="204"/>
      <c r="I793" s="204"/>
      <c r="J793" s="204"/>
      <c r="K793" s="204"/>
      <c r="L793" s="205"/>
      <c r="M793" s="205"/>
      <c r="N793" s="204"/>
      <c r="O793" s="204"/>
      <c r="P793" s="206"/>
      <c r="Q793" s="206"/>
      <c r="R793" s="206"/>
      <c r="S793" s="206"/>
      <c r="T793" s="204"/>
      <c r="U793" s="207"/>
      <c r="V793" s="204"/>
      <c r="W793" s="204"/>
      <c r="X793" s="207"/>
      <c r="Y793" s="207"/>
      <c r="Z793" s="204"/>
      <c r="AA793" s="204"/>
      <c r="AB793" s="204"/>
      <c r="AC793" s="204"/>
    </row>
    <row r="794" spans="1:29">
      <c r="A794" s="204"/>
      <c r="B794" s="204"/>
      <c r="C794" s="204"/>
      <c r="D794" s="204"/>
      <c r="E794" s="204"/>
      <c r="F794" s="204"/>
      <c r="G794" s="204"/>
      <c r="H794" s="204"/>
      <c r="I794" s="204"/>
      <c r="J794" s="204"/>
      <c r="K794" s="204"/>
      <c r="L794" s="205"/>
      <c r="M794" s="205"/>
      <c r="N794" s="204"/>
      <c r="O794" s="204"/>
      <c r="P794" s="206"/>
      <c r="Q794" s="206"/>
      <c r="R794" s="206"/>
      <c r="S794" s="206"/>
      <c r="T794" s="204"/>
      <c r="U794" s="207"/>
      <c r="V794" s="204"/>
      <c r="W794" s="204"/>
      <c r="X794" s="207"/>
      <c r="Y794" s="207"/>
      <c r="Z794" s="204"/>
      <c r="AA794" s="204"/>
      <c r="AB794" s="204"/>
      <c r="AC794" s="204"/>
    </row>
    <row r="795" spans="1:29">
      <c r="A795" s="204"/>
      <c r="B795" s="204"/>
      <c r="C795" s="204"/>
      <c r="D795" s="204"/>
      <c r="E795" s="204"/>
      <c r="F795" s="204"/>
      <c r="G795" s="204"/>
      <c r="H795" s="204"/>
      <c r="I795" s="204"/>
      <c r="J795" s="204"/>
      <c r="K795" s="204"/>
      <c r="L795" s="205"/>
      <c r="M795" s="205"/>
      <c r="N795" s="204"/>
      <c r="O795" s="204"/>
      <c r="P795" s="206"/>
      <c r="Q795" s="206"/>
      <c r="R795" s="206"/>
      <c r="S795" s="206"/>
      <c r="T795" s="204"/>
      <c r="U795" s="207"/>
      <c r="V795" s="204"/>
      <c r="W795" s="204"/>
      <c r="X795" s="207"/>
      <c r="Y795" s="207"/>
      <c r="Z795" s="204"/>
      <c r="AA795" s="204"/>
      <c r="AB795" s="204"/>
      <c r="AC795" s="204"/>
    </row>
    <row r="796" spans="1:29">
      <c r="A796" s="204"/>
      <c r="B796" s="204"/>
      <c r="C796" s="204"/>
      <c r="D796" s="204"/>
      <c r="E796" s="204"/>
      <c r="F796" s="204"/>
      <c r="G796" s="204"/>
      <c r="H796" s="204"/>
      <c r="I796" s="204"/>
      <c r="J796" s="204"/>
      <c r="K796" s="204"/>
      <c r="L796" s="205"/>
      <c r="M796" s="205"/>
      <c r="N796" s="204"/>
      <c r="O796" s="204"/>
      <c r="P796" s="206"/>
      <c r="Q796" s="206"/>
      <c r="R796" s="206"/>
      <c r="S796" s="206"/>
      <c r="T796" s="204"/>
      <c r="U796" s="207"/>
      <c r="V796" s="204"/>
      <c r="W796" s="204"/>
      <c r="X796" s="207"/>
      <c r="Y796" s="207"/>
      <c r="Z796" s="204"/>
      <c r="AA796" s="204"/>
      <c r="AB796" s="204"/>
      <c r="AC796" s="204"/>
    </row>
    <row r="797" spans="1:29">
      <c r="A797" s="204"/>
      <c r="B797" s="204"/>
      <c r="C797" s="204"/>
      <c r="D797" s="204"/>
      <c r="E797" s="204"/>
      <c r="F797" s="204"/>
      <c r="G797" s="204"/>
      <c r="H797" s="204"/>
      <c r="I797" s="204"/>
      <c r="J797" s="204"/>
      <c r="K797" s="204"/>
      <c r="L797" s="205"/>
      <c r="M797" s="205"/>
      <c r="N797" s="204"/>
      <c r="O797" s="204"/>
      <c r="P797" s="206"/>
      <c r="Q797" s="206"/>
      <c r="R797" s="206"/>
      <c r="S797" s="206"/>
      <c r="T797" s="204"/>
      <c r="U797" s="207"/>
      <c r="V797" s="204"/>
      <c r="W797" s="204"/>
      <c r="X797" s="207"/>
      <c r="Y797" s="207"/>
      <c r="Z797" s="204"/>
      <c r="AA797" s="204"/>
      <c r="AB797" s="204"/>
      <c r="AC797" s="204"/>
    </row>
    <row r="798" spans="1:29">
      <c r="A798" s="204"/>
      <c r="B798" s="204"/>
      <c r="C798" s="204"/>
      <c r="D798" s="204"/>
      <c r="E798" s="204"/>
      <c r="F798" s="204"/>
      <c r="G798" s="204"/>
      <c r="H798" s="204"/>
      <c r="I798" s="204"/>
      <c r="J798" s="204"/>
      <c r="K798" s="204"/>
      <c r="L798" s="205"/>
      <c r="M798" s="205"/>
      <c r="N798" s="204"/>
      <c r="O798" s="204"/>
      <c r="P798" s="206"/>
      <c r="Q798" s="206"/>
      <c r="R798" s="206"/>
      <c r="S798" s="206"/>
      <c r="T798" s="204"/>
      <c r="U798" s="207"/>
      <c r="V798" s="204"/>
      <c r="W798" s="204"/>
      <c r="X798" s="207"/>
      <c r="Y798" s="207"/>
      <c r="Z798" s="204"/>
      <c r="AA798" s="204"/>
      <c r="AB798" s="204"/>
      <c r="AC798" s="204"/>
    </row>
    <row r="799" spans="1:29">
      <c r="A799" s="204"/>
      <c r="B799" s="204"/>
      <c r="C799" s="204"/>
      <c r="D799" s="204"/>
      <c r="E799" s="204"/>
      <c r="F799" s="204"/>
      <c r="G799" s="204"/>
      <c r="H799" s="204"/>
      <c r="I799" s="204"/>
      <c r="J799" s="204"/>
      <c r="K799" s="204"/>
      <c r="L799" s="205"/>
      <c r="M799" s="205"/>
      <c r="N799" s="204"/>
      <c r="O799" s="204"/>
      <c r="P799" s="206"/>
      <c r="Q799" s="206"/>
      <c r="R799" s="206"/>
      <c r="S799" s="206"/>
      <c r="T799" s="204"/>
      <c r="U799" s="207"/>
      <c r="V799" s="204"/>
      <c r="W799" s="204"/>
      <c r="X799" s="207"/>
      <c r="Y799" s="207"/>
      <c r="Z799" s="204"/>
      <c r="AA799" s="204"/>
      <c r="AB799" s="204"/>
      <c r="AC799" s="204"/>
    </row>
    <row r="800" spans="1:29">
      <c r="A800" s="204"/>
      <c r="B800" s="204"/>
      <c r="C800" s="204"/>
      <c r="D800" s="204"/>
      <c r="E800" s="204"/>
      <c r="F800" s="204"/>
      <c r="G800" s="204"/>
      <c r="H800" s="204"/>
      <c r="I800" s="204"/>
      <c r="J800" s="204"/>
      <c r="K800" s="204"/>
      <c r="L800" s="205"/>
      <c r="M800" s="205"/>
      <c r="N800" s="204"/>
      <c r="O800" s="204"/>
      <c r="P800" s="206"/>
      <c r="Q800" s="206"/>
      <c r="R800" s="206"/>
      <c r="S800" s="206"/>
      <c r="T800" s="204"/>
      <c r="U800" s="207"/>
      <c r="V800" s="204"/>
      <c r="W800" s="204"/>
      <c r="X800" s="207"/>
      <c r="Y800" s="207"/>
      <c r="Z800" s="204"/>
      <c r="AA800" s="204"/>
      <c r="AB800" s="204"/>
      <c r="AC800" s="204"/>
    </row>
    <row r="801" spans="1:29">
      <c r="A801" s="204"/>
      <c r="B801" s="204"/>
      <c r="C801" s="204"/>
      <c r="D801" s="204"/>
      <c r="E801" s="204"/>
      <c r="F801" s="204"/>
      <c r="G801" s="204"/>
      <c r="H801" s="204"/>
      <c r="I801" s="204"/>
      <c r="J801" s="204"/>
      <c r="K801" s="204"/>
      <c r="L801" s="205"/>
      <c r="M801" s="205"/>
      <c r="N801" s="204"/>
      <c r="O801" s="204"/>
      <c r="P801" s="206"/>
      <c r="Q801" s="206"/>
      <c r="R801" s="206"/>
      <c r="S801" s="206"/>
      <c r="T801" s="204"/>
      <c r="U801" s="207"/>
      <c r="V801" s="204"/>
      <c r="W801" s="204"/>
      <c r="X801" s="207"/>
      <c r="Y801" s="207"/>
      <c r="Z801" s="204"/>
      <c r="AA801" s="204"/>
      <c r="AB801" s="204"/>
      <c r="AC801" s="204"/>
    </row>
    <row r="802" spans="1:29">
      <c r="A802" s="204"/>
      <c r="B802" s="204"/>
      <c r="C802" s="204"/>
      <c r="D802" s="204"/>
      <c r="E802" s="204"/>
      <c r="F802" s="204"/>
      <c r="G802" s="204"/>
      <c r="H802" s="204"/>
      <c r="I802" s="204"/>
      <c r="J802" s="204"/>
      <c r="K802" s="204"/>
      <c r="L802" s="205"/>
      <c r="M802" s="205"/>
      <c r="N802" s="204"/>
      <c r="O802" s="204"/>
      <c r="P802" s="206"/>
      <c r="Q802" s="206"/>
      <c r="R802" s="206"/>
      <c r="S802" s="206"/>
      <c r="T802" s="204"/>
      <c r="U802" s="207"/>
      <c r="V802" s="204"/>
      <c r="W802" s="204"/>
      <c r="X802" s="207"/>
      <c r="Y802" s="207"/>
      <c r="Z802" s="204"/>
      <c r="AA802" s="204"/>
      <c r="AB802" s="204"/>
      <c r="AC802" s="204"/>
    </row>
    <row r="803" spans="1:29">
      <c r="A803" s="204"/>
      <c r="B803" s="204"/>
      <c r="C803" s="204"/>
      <c r="D803" s="204"/>
      <c r="E803" s="204"/>
      <c r="F803" s="204"/>
      <c r="G803" s="204"/>
      <c r="H803" s="204"/>
      <c r="I803" s="204"/>
      <c r="J803" s="204"/>
      <c r="K803" s="204"/>
      <c r="L803" s="205"/>
      <c r="M803" s="205"/>
      <c r="N803" s="204"/>
      <c r="O803" s="204"/>
      <c r="P803" s="206"/>
      <c r="Q803" s="206"/>
      <c r="R803" s="206"/>
      <c r="S803" s="206"/>
      <c r="T803" s="204"/>
      <c r="U803" s="207"/>
      <c r="V803" s="204"/>
      <c r="W803" s="204"/>
      <c r="X803" s="207"/>
      <c r="Y803" s="207"/>
      <c r="Z803" s="204"/>
      <c r="AA803" s="204"/>
      <c r="AB803" s="204"/>
      <c r="AC803" s="204"/>
    </row>
    <row r="804" spans="1:29">
      <c r="A804" s="204"/>
      <c r="B804" s="204"/>
      <c r="C804" s="204"/>
      <c r="D804" s="204"/>
      <c r="E804" s="204"/>
      <c r="F804" s="204"/>
      <c r="G804" s="204"/>
      <c r="H804" s="204"/>
      <c r="I804" s="204"/>
      <c r="J804" s="204"/>
      <c r="K804" s="204"/>
      <c r="L804" s="205"/>
      <c r="M804" s="205"/>
      <c r="N804" s="204"/>
      <c r="O804" s="204"/>
      <c r="P804" s="206"/>
      <c r="Q804" s="206"/>
      <c r="R804" s="206"/>
      <c r="S804" s="206"/>
      <c r="T804" s="204"/>
      <c r="U804" s="207"/>
      <c r="V804" s="204"/>
      <c r="W804" s="204"/>
      <c r="X804" s="207"/>
      <c r="Y804" s="207"/>
      <c r="Z804" s="204"/>
      <c r="AA804" s="204"/>
      <c r="AB804" s="204"/>
      <c r="AC804" s="204"/>
    </row>
    <row r="805" spans="1:29">
      <c r="A805" s="204"/>
      <c r="B805" s="204"/>
      <c r="C805" s="204"/>
      <c r="D805" s="204"/>
      <c r="E805" s="204"/>
      <c r="F805" s="204"/>
      <c r="G805" s="204"/>
      <c r="H805" s="204"/>
      <c r="I805" s="204"/>
      <c r="J805" s="204"/>
      <c r="K805" s="204"/>
      <c r="L805" s="205"/>
      <c r="M805" s="205"/>
      <c r="N805" s="204"/>
      <c r="O805" s="204"/>
      <c r="P805" s="206"/>
      <c r="Q805" s="206"/>
      <c r="R805" s="206"/>
      <c r="S805" s="206"/>
      <c r="T805" s="204"/>
      <c r="U805" s="207"/>
      <c r="V805" s="204"/>
      <c r="W805" s="204"/>
      <c r="X805" s="207"/>
      <c r="Y805" s="207"/>
      <c r="Z805" s="204"/>
      <c r="AA805" s="204"/>
      <c r="AB805" s="204"/>
      <c r="AC805" s="204"/>
    </row>
    <row r="806" spans="1:29">
      <c r="A806" s="204"/>
      <c r="B806" s="204"/>
      <c r="C806" s="204"/>
      <c r="D806" s="204"/>
      <c r="E806" s="204"/>
      <c r="F806" s="204"/>
      <c r="G806" s="204"/>
      <c r="H806" s="204"/>
      <c r="I806" s="204"/>
      <c r="J806" s="204"/>
      <c r="K806" s="204"/>
      <c r="L806" s="205"/>
      <c r="M806" s="205"/>
      <c r="N806" s="204"/>
      <c r="O806" s="204"/>
      <c r="P806" s="206"/>
      <c r="Q806" s="206"/>
      <c r="R806" s="206"/>
      <c r="S806" s="206"/>
      <c r="T806" s="204"/>
      <c r="U806" s="207"/>
      <c r="V806" s="204"/>
      <c r="W806" s="204"/>
      <c r="X806" s="207"/>
      <c r="Y806" s="207"/>
      <c r="Z806" s="204"/>
      <c r="AA806" s="204"/>
      <c r="AB806" s="204"/>
      <c r="AC806" s="204"/>
    </row>
    <row r="807" spans="1:29">
      <c r="A807" s="204"/>
      <c r="B807" s="204"/>
      <c r="C807" s="204"/>
      <c r="D807" s="204"/>
      <c r="E807" s="204"/>
      <c r="F807" s="204"/>
      <c r="G807" s="204"/>
      <c r="H807" s="204"/>
      <c r="I807" s="204"/>
      <c r="J807" s="204"/>
      <c r="K807" s="204"/>
      <c r="L807" s="205"/>
      <c r="M807" s="205"/>
      <c r="N807" s="204"/>
      <c r="O807" s="204"/>
      <c r="P807" s="206"/>
      <c r="Q807" s="206"/>
      <c r="R807" s="206"/>
      <c r="S807" s="206"/>
      <c r="T807" s="204"/>
      <c r="U807" s="207"/>
      <c r="V807" s="204"/>
      <c r="W807" s="204"/>
      <c r="X807" s="207"/>
      <c r="Y807" s="207"/>
      <c r="Z807" s="204"/>
      <c r="AA807" s="204"/>
      <c r="AB807" s="204"/>
      <c r="AC807" s="204"/>
    </row>
    <row r="808" spans="1:29">
      <c r="A808" s="204"/>
      <c r="B808" s="204"/>
      <c r="C808" s="204"/>
      <c r="D808" s="204"/>
      <c r="E808" s="204"/>
      <c r="F808" s="204"/>
      <c r="G808" s="204"/>
      <c r="H808" s="204"/>
      <c r="I808" s="204"/>
      <c r="J808" s="204"/>
      <c r="K808" s="204"/>
      <c r="L808" s="205"/>
      <c r="M808" s="205"/>
      <c r="N808" s="204"/>
      <c r="O808" s="204"/>
      <c r="P808" s="206"/>
      <c r="Q808" s="206"/>
      <c r="R808" s="206"/>
      <c r="S808" s="206"/>
      <c r="T808" s="204"/>
      <c r="U808" s="207"/>
      <c r="V808" s="204"/>
      <c r="W808" s="204"/>
      <c r="X808" s="207"/>
      <c r="Y808" s="207"/>
      <c r="Z808" s="204"/>
      <c r="AA808" s="204"/>
      <c r="AB808" s="204"/>
      <c r="AC808" s="204"/>
    </row>
    <row r="809" spans="1:29">
      <c r="A809" s="204"/>
      <c r="B809" s="204"/>
      <c r="C809" s="204"/>
      <c r="D809" s="204"/>
      <c r="E809" s="204"/>
      <c r="F809" s="204"/>
      <c r="G809" s="204"/>
      <c r="H809" s="204"/>
      <c r="I809" s="204"/>
      <c r="J809" s="204"/>
      <c r="K809" s="204"/>
      <c r="L809" s="205"/>
      <c r="M809" s="205"/>
      <c r="N809" s="204"/>
      <c r="O809" s="204"/>
      <c r="P809" s="206"/>
      <c r="Q809" s="206"/>
      <c r="R809" s="206"/>
      <c r="S809" s="206"/>
      <c r="T809" s="204"/>
      <c r="U809" s="207"/>
      <c r="V809" s="204"/>
      <c r="W809" s="204"/>
      <c r="X809" s="207"/>
      <c r="Y809" s="207"/>
      <c r="Z809" s="204"/>
      <c r="AA809" s="204"/>
      <c r="AB809" s="204"/>
      <c r="AC809" s="204"/>
    </row>
    <row r="810" spans="1:29">
      <c r="A810" s="204"/>
      <c r="B810" s="204"/>
      <c r="C810" s="204"/>
      <c r="D810" s="204"/>
      <c r="E810" s="204"/>
      <c r="F810" s="204"/>
      <c r="G810" s="204"/>
      <c r="H810" s="204"/>
      <c r="I810" s="204"/>
      <c r="J810" s="204"/>
      <c r="K810" s="204"/>
      <c r="L810" s="205"/>
      <c r="M810" s="205"/>
      <c r="N810" s="204"/>
      <c r="O810" s="204"/>
      <c r="P810" s="206"/>
      <c r="Q810" s="206"/>
      <c r="R810" s="206"/>
      <c r="S810" s="206"/>
      <c r="T810" s="204"/>
      <c r="U810" s="207"/>
      <c r="V810" s="204"/>
      <c r="W810" s="204"/>
      <c r="X810" s="207"/>
      <c r="Y810" s="207"/>
      <c r="Z810" s="204"/>
      <c r="AA810" s="204"/>
      <c r="AB810" s="204"/>
      <c r="AC810" s="204"/>
    </row>
    <row r="811" spans="1:29">
      <c r="A811" s="204"/>
      <c r="B811" s="204"/>
      <c r="C811" s="204"/>
      <c r="D811" s="204"/>
      <c r="E811" s="204"/>
      <c r="F811" s="204"/>
      <c r="G811" s="204"/>
      <c r="H811" s="204"/>
      <c r="I811" s="204"/>
      <c r="J811" s="204"/>
      <c r="K811" s="204"/>
      <c r="L811" s="205"/>
      <c r="M811" s="205"/>
      <c r="N811" s="204"/>
      <c r="O811" s="204"/>
      <c r="P811" s="206"/>
      <c r="Q811" s="206"/>
      <c r="R811" s="206"/>
      <c r="S811" s="206"/>
      <c r="T811" s="204"/>
      <c r="U811" s="207"/>
      <c r="V811" s="204"/>
      <c r="W811" s="204"/>
      <c r="X811" s="207"/>
      <c r="Y811" s="207"/>
      <c r="Z811" s="204"/>
      <c r="AA811" s="204"/>
      <c r="AB811" s="204"/>
      <c r="AC811" s="204"/>
    </row>
    <row r="812" spans="1:29">
      <c r="A812" s="204"/>
      <c r="B812" s="204"/>
      <c r="C812" s="204"/>
      <c r="D812" s="204"/>
      <c r="E812" s="204"/>
      <c r="F812" s="204"/>
      <c r="G812" s="204"/>
      <c r="H812" s="204"/>
      <c r="I812" s="204"/>
      <c r="J812" s="204"/>
      <c r="K812" s="204"/>
      <c r="L812" s="205"/>
      <c r="M812" s="205"/>
      <c r="N812" s="204"/>
      <c r="O812" s="204"/>
      <c r="P812" s="206"/>
      <c r="Q812" s="206"/>
      <c r="R812" s="206"/>
      <c r="S812" s="206"/>
      <c r="T812" s="204"/>
      <c r="U812" s="207"/>
      <c r="V812" s="204"/>
      <c r="W812" s="204"/>
      <c r="X812" s="207"/>
      <c r="Y812" s="207"/>
      <c r="Z812" s="204"/>
      <c r="AA812" s="204"/>
      <c r="AB812" s="204"/>
      <c r="AC812" s="204"/>
    </row>
    <row r="813" spans="1:29">
      <c r="A813" s="204"/>
      <c r="B813" s="204"/>
      <c r="C813" s="204"/>
      <c r="D813" s="204"/>
      <c r="E813" s="204"/>
      <c r="F813" s="204"/>
      <c r="G813" s="204"/>
      <c r="H813" s="204"/>
      <c r="I813" s="204"/>
      <c r="J813" s="204"/>
      <c r="K813" s="204"/>
      <c r="L813" s="205"/>
      <c r="M813" s="205"/>
      <c r="N813" s="204"/>
      <c r="O813" s="204"/>
      <c r="P813" s="206"/>
      <c r="Q813" s="206"/>
      <c r="R813" s="206"/>
      <c r="S813" s="206"/>
      <c r="T813" s="204"/>
      <c r="U813" s="207"/>
      <c r="V813" s="204"/>
      <c r="W813" s="204"/>
      <c r="X813" s="207"/>
      <c r="Y813" s="207"/>
      <c r="Z813" s="204"/>
      <c r="AA813" s="204"/>
      <c r="AB813" s="204"/>
      <c r="AC813" s="204"/>
    </row>
    <row r="814" spans="1:29">
      <c r="A814" s="204"/>
      <c r="B814" s="204"/>
      <c r="C814" s="204"/>
      <c r="D814" s="204"/>
      <c r="E814" s="204"/>
      <c r="F814" s="204"/>
      <c r="G814" s="204"/>
      <c r="H814" s="204"/>
      <c r="I814" s="204"/>
      <c r="J814" s="204"/>
      <c r="K814" s="204"/>
      <c r="L814" s="205"/>
      <c r="M814" s="205"/>
      <c r="N814" s="204"/>
      <c r="O814" s="204"/>
      <c r="P814" s="206"/>
      <c r="Q814" s="206"/>
      <c r="R814" s="206"/>
      <c r="S814" s="206"/>
      <c r="T814" s="204"/>
      <c r="U814" s="207"/>
      <c r="V814" s="204"/>
      <c r="W814" s="204"/>
      <c r="X814" s="207"/>
      <c r="Y814" s="207"/>
      <c r="Z814" s="204"/>
      <c r="AA814" s="204"/>
      <c r="AB814" s="204"/>
      <c r="AC814" s="204"/>
    </row>
    <row r="815" spans="1:29">
      <c r="A815" s="204"/>
      <c r="B815" s="204"/>
      <c r="C815" s="204"/>
      <c r="D815" s="204"/>
      <c r="E815" s="204"/>
      <c r="F815" s="204"/>
      <c r="G815" s="204"/>
      <c r="H815" s="204"/>
      <c r="I815" s="204"/>
      <c r="J815" s="204"/>
      <c r="K815" s="204"/>
      <c r="L815" s="205"/>
      <c r="M815" s="205"/>
      <c r="N815" s="204"/>
      <c r="O815" s="204"/>
      <c r="P815" s="206"/>
      <c r="Q815" s="206"/>
      <c r="R815" s="206"/>
      <c r="S815" s="206"/>
      <c r="T815" s="204"/>
      <c r="U815" s="207"/>
      <c r="V815" s="204"/>
      <c r="W815" s="204"/>
      <c r="X815" s="207"/>
      <c r="Y815" s="207"/>
      <c r="Z815" s="204"/>
      <c r="AA815" s="204"/>
      <c r="AB815" s="204"/>
      <c r="AC815" s="204"/>
    </row>
    <row r="816" spans="1:29">
      <c r="A816" s="204"/>
      <c r="B816" s="204"/>
      <c r="C816" s="204"/>
      <c r="D816" s="204"/>
      <c r="E816" s="204"/>
      <c r="F816" s="204"/>
      <c r="G816" s="204"/>
      <c r="H816" s="204"/>
      <c r="I816" s="204"/>
      <c r="J816" s="204"/>
      <c r="K816" s="204"/>
      <c r="L816" s="205"/>
      <c r="M816" s="205"/>
      <c r="N816" s="204"/>
      <c r="O816" s="204"/>
      <c r="P816" s="206"/>
      <c r="Q816" s="206"/>
      <c r="R816" s="206"/>
      <c r="S816" s="206"/>
      <c r="T816" s="204"/>
      <c r="U816" s="207"/>
      <c r="V816" s="204"/>
      <c r="W816" s="204"/>
      <c r="X816" s="207"/>
      <c r="Y816" s="207"/>
      <c r="Z816" s="204"/>
      <c r="AA816" s="204"/>
      <c r="AB816" s="204"/>
      <c r="AC816" s="204"/>
    </row>
    <row r="817" spans="1:29">
      <c r="A817" s="204"/>
      <c r="B817" s="204"/>
      <c r="C817" s="204"/>
      <c r="D817" s="204"/>
      <c r="E817" s="204"/>
      <c r="F817" s="204"/>
      <c r="G817" s="204"/>
      <c r="H817" s="204"/>
      <c r="I817" s="204"/>
      <c r="J817" s="204"/>
      <c r="K817" s="204"/>
      <c r="L817" s="205"/>
      <c r="M817" s="205"/>
      <c r="N817" s="204"/>
      <c r="O817" s="204"/>
      <c r="P817" s="206"/>
      <c r="Q817" s="206"/>
      <c r="R817" s="206"/>
      <c r="S817" s="206"/>
      <c r="T817" s="204"/>
      <c r="U817" s="207"/>
      <c r="V817" s="204"/>
      <c r="W817" s="204"/>
      <c r="X817" s="207"/>
      <c r="Y817" s="207"/>
      <c r="Z817" s="204"/>
      <c r="AA817" s="204"/>
      <c r="AB817" s="204"/>
      <c r="AC817" s="204"/>
    </row>
    <row r="818" spans="1:29">
      <c r="A818" s="204"/>
      <c r="B818" s="204"/>
      <c r="C818" s="204"/>
      <c r="D818" s="204"/>
      <c r="E818" s="204"/>
      <c r="F818" s="204"/>
      <c r="G818" s="204"/>
      <c r="H818" s="204"/>
      <c r="I818" s="204"/>
      <c r="J818" s="204"/>
      <c r="K818" s="204"/>
      <c r="L818" s="205"/>
      <c r="M818" s="205"/>
      <c r="N818" s="204"/>
      <c r="O818" s="204"/>
      <c r="P818" s="206"/>
      <c r="Q818" s="206"/>
      <c r="R818" s="206"/>
      <c r="S818" s="206"/>
      <c r="T818" s="204"/>
      <c r="U818" s="207"/>
      <c r="V818" s="204"/>
      <c r="W818" s="204"/>
      <c r="X818" s="207"/>
      <c r="Y818" s="207"/>
      <c r="Z818" s="204"/>
      <c r="AA818" s="204"/>
      <c r="AB818" s="204"/>
      <c r="AC818" s="204"/>
    </row>
    <row r="819" spans="1:29">
      <c r="A819" s="204"/>
      <c r="B819" s="204"/>
      <c r="C819" s="204"/>
      <c r="D819" s="204"/>
      <c r="E819" s="204"/>
      <c r="F819" s="204"/>
      <c r="G819" s="204"/>
      <c r="H819" s="204"/>
      <c r="I819" s="204"/>
      <c r="J819" s="204"/>
      <c r="K819" s="204"/>
      <c r="L819" s="205"/>
      <c r="M819" s="205"/>
      <c r="N819" s="204"/>
      <c r="O819" s="204"/>
      <c r="P819" s="206"/>
      <c r="Q819" s="206"/>
      <c r="R819" s="206"/>
      <c r="S819" s="206"/>
      <c r="T819" s="204"/>
      <c r="U819" s="207"/>
      <c r="V819" s="204"/>
      <c r="W819" s="204"/>
      <c r="X819" s="207"/>
      <c r="Y819" s="207"/>
      <c r="Z819" s="204"/>
      <c r="AA819" s="204"/>
      <c r="AB819" s="204"/>
      <c r="AC819" s="204"/>
    </row>
    <row r="820" spans="1:29">
      <c r="A820" s="204"/>
      <c r="B820" s="204"/>
      <c r="C820" s="204"/>
      <c r="D820" s="204"/>
      <c r="E820" s="204"/>
      <c r="F820" s="204"/>
      <c r="G820" s="204"/>
      <c r="H820" s="204"/>
      <c r="I820" s="204"/>
      <c r="J820" s="204"/>
      <c r="K820" s="204"/>
      <c r="L820" s="205"/>
      <c r="M820" s="205"/>
      <c r="N820" s="204"/>
      <c r="O820" s="204"/>
      <c r="P820" s="206"/>
      <c r="Q820" s="206"/>
      <c r="R820" s="206"/>
      <c r="S820" s="206"/>
      <c r="T820" s="204"/>
      <c r="U820" s="207"/>
      <c r="V820" s="204"/>
      <c r="W820" s="204"/>
      <c r="X820" s="207"/>
      <c r="Y820" s="207"/>
      <c r="Z820" s="204"/>
      <c r="AA820" s="204"/>
      <c r="AB820" s="204"/>
      <c r="AC820" s="204"/>
    </row>
    <row r="821" spans="1:29">
      <c r="A821" s="204"/>
      <c r="B821" s="204"/>
      <c r="C821" s="204"/>
      <c r="D821" s="204"/>
      <c r="E821" s="204"/>
      <c r="F821" s="204"/>
      <c r="G821" s="204"/>
      <c r="H821" s="204"/>
      <c r="I821" s="204"/>
      <c r="J821" s="204"/>
      <c r="K821" s="204"/>
      <c r="L821" s="205"/>
      <c r="M821" s="205"/>
      <c r="N821" s="204"/>
      <c r="O821" s="204"/>
      <c r="P821" s="206"/>
      <c r="Q821" s="206"/>
      <c r="R821" s="206"/>
      <c r="S821" s="206"/>
      <c r="T821" s="204"/>
      <c r="U821" s="207"/>
      <c r="V821" s="204"/>
      <c r="W821" s="204"/>
      <c r="X821" s="207"/>
      <c r="Y821" s="207"/>
      <c r="Z821" s="204"/>
      <c r="AA821" s="204"/>
      <c r="AB821" s="204"/>
      <c r="AC821" s="204"/>
    </row>
    <row r="822" spans="1:29">
      <c r="A822" s="204"/>
      <c r="B822" s="204"/>
      <c r="C822" s="204"/>
      <c r="D822" s="204"/>
      <c r="E822" s="204"/>
      <c r="F822" s="204"/>
      <c r="G822" s="204"/>
      <c r="H822" s="204"/>
      <c r="I822" s="204"/>
      <c r="J822" s="204"/>
      <c r="K822" s="204"/>
      <c r="L822" s="205"/>
      <c r="M822" s="205"/>
      <c r="N822" s="204"/>
      <c r="O822" s="204"/>
      <c r="P822" s="206"/>
      <c r="Q822" s="206"/>
      <c r="R822" s="206"/>
      <c r="S822" s="206"/>
      <c r="T822" s="204"/>
      <c r="U822" s="207"/>
      <c r="V822" s="204"/>
      <c r="W822" s="204"/>
      <c r="X822" s="207"/>
      <c r="Y822" s="207"/>
      <c r="Z822" s="204"/>
      <c r="AA822" s="204"/>
      <c r="AB822" s="204"/>
      <c r="AC822" s="204"/>
    </row>
    <row r="823" spans="1:29">
      <c r="A823" s="204"/>
      <c r="B823" s="204"/>
      <c r="C823" s="204"/>
      <c r="D823" s="204"/>
      <c r="E823" s="204"/>
      <c r="F823" s="204"/>
      <c r="G823" s="204"/>
      <c r="H823" s="204"/>
      <c r="I823" s="204"/>
      <c r="J823" s="204"/>
      <c r="K823" s="204"/>
      <c r="L823" s="205"/>
      <c r="M823" s="205"/>
      <c r="N823" s="204"/>
      <c r="O823" s="204"/>
      <c r="P823" s="206"/>
      <c r="Q823" s="206"/>
      <c r="R823" s="206"/>
      <c r="S823" s="206"/>
      <c r="T823" s="204"/>
      <c r="U823" s="207"/>
      <c r="V823" s="204"/>
      <c r="W823" s="204"/>
      <c r="X823" s="207"/>
      <c r="Y823" s="207"/>
      <c r="Z823" s="204"/>
      <c r="AA823" s="204"/>
      <c r="AB823" s="204"/>
      <c r="AC823" s="204"/>
    </row>
    <row r="824" spans="1:29">
      <c r="A824" s="204"/>
      <c r="B824" s="204"/>
      <c r="C824" s="204"/>
      <c r="D824" s="204"/>
      <c r="E824" s="204"/>
      <c r="F824" s="204"/>
      <c r="G824" s="204"/>
      <c r="H824" s="204"/>
      <c r="I824" s="204"/>
      <c r="J824" s="204"/>
      <c r="K824" s="204"/>
      <c r="L824" s="205"/>
      <c r="M824" s="205"/>
      <c r="N824" s="204"/>
      <c r="O824" s="204"/>
      <c r="P824" s="206"/>
      <c r="Q824" s="206"/>
      <c r="R824" s="206"/>
      <c r="S824" s="206"/>
      <c r="T824" s="204"/>
      <c r="U824" s="207"/>
      <c r="V824" s="204"/>
      <c r="W824" s="204"/>
      <c r="X824" s="207"/>
      <c r="Y824" s="207"/>
      <c r="Z824" s="204"/>
      <c r="AA824" s="204"/>
      <c r="AB824" s="204"/>
      <c r="AC824" s="204"/>
    </row>
    <row r="825" spans="1:29">
      <c r="A825" s="204"/>
      <c r="B825" s="204"/>
      <c r="C825" s="204"/>
      <c r="D825" s="204"/>
      <c r="E825" s="204"/>
      <c r="F825" s="204"/>
      <c r="G825" s="204"/>
      <c r="H825" s="204"/>
      <c r="I825" s="204"/>
      <c r="J825" s="204"/>
      <c r="K825" s="204"/>
      <c r="L825" s="205"/>
      <c r="M825" s="205"/>
      <c r="N825" s="204"/>
      <c r="O825" s="204"/>
      <c r="P825" s="206"/>
      <c r="Q825" s="206"/>
      <c r="R825" s="206"/>
      <c r="S825" s="206"/>
      <c r="T825" s="204"/>
      <c r="U825" s="207"/>
      <c r="V825" s="204"/>
      <c r="W825" s="204"/>
      <c r="X825" s="207"/>
      <c r="Y825" s="207"/>
      <c r="Z825" s="204"/>
      <c r="AA825" s="204"/>
      <c r="AB825" s="204"/>
      <c r="AC825" s="204"/>
    </row>
    <row r="826" spans="1:29">
      <c r="A826" s="204"/>
      <c r="B826" s="204"/>
      <c r="C826" s="204"/>
      <c r="D826" s="204"/>
      <c r="E826" s="204"/>
      <c r="F826" s="204"/>
      <c r="G826" s="204"/>
      <c r="H826" s="204"/>
      <c r="I826" s="204"/>
      <c r="J826" s="204"/>
      <c r="K826" s="204"/>
      <c r="L826" s="205"/>
      <c r="M826" s="205"/>
      <c r="N826" s="204"/>
      <c r="O826" s="204"/>
      <c r="P826" s="206"/>
      <c r="Q826" s="206"/>
      <c r="R826" s="206"/>
      <c r="S826" s="206"/>
      <c r="T826" s="204"/>
      <c r="U826" s="207"/>
      <c r="V826" s="204"/>
      <c r="W826" s="204"/>
      <c r="X826" s="207"/>
      <c r="Y826" s="207"/>
      <c r="Z826" s="204"/>
      <c r="AA826" s="204"/>
      <c r="AB826" s="204"/>
      <c r="AC826" s="204"/>
    </row>
    <row r="827" spans="1:29">
      <c r="A827" s="204"/>
      <c r="B827" s="204"/>
      <c r="C827" s="204"/>
      <c r="D827" s="204"/>
      <c r="E827" s="204"/>
      <c r="F827" s="204"/>
      <c r="G827" s="204"/>
      <c r="H827" s="204"/>
      <c r="I827" s="204"/>
      <c r="J827" s="204"/>
      <c r="K827" s="204"/>
      <c r="L827" s="205"/>
      <c r="M827" s="205"/>
      <c r="N827" s="204"/>
      <c r="O827" s="204"/>
      <c r="P827" s="206"/>
      <c r="Q827" s="206"/>
      <c r="R827" s="206"/>
      <c r="S827" s="206"/>
      <c r="T827" s="204"/>
      <c r="U827" s="207"/>
      <c r="V827" s="204"/>
      <c r="W827" s="204"/>
      <c r="X827" s="207"/>
      <c r="Y827" s="207"/>
      <c r="Z827" s="204"/>
      <c r="AA827" s="204"/>
      <c r="AB827" s="204"/>
      <c r="AC827" s="204"/>
    </row>
    <row r="828" spans="1:29">
      <c r="A828" s="204"/>
      <c r="B828" s="204"/>
      <c r="C828" s="204"/>
      <c r="D828" s="204"/>
      <c r="E828" s="204"/>
      <c r="F828" s="204"/>
      <c r="G828" s="204"/>
      <c r="H828" s="204"/>
      <c r="I828" s="204"/>
      <c r="J828" s="204"/>
      <c r="K828" s="204"/>
      <c r="L828" s="205"/>
      <c r="M828" s="205"/>
      <c r="N828" s="204"/>
      <c r="O828" s="204"/>
      <c r="P828" s="206"/>
      <c r="Q828" s="206"/>
      <c r="R828" s="206"/>
      <c r="S828" s="206"/>
      <c r="T828" s="204"/>
      <c r="U828" s="207"/>
      <c r="V828" s="204"/>
      <c r="W828" s="204"/>
      <c r="X828" s="207"/>
      <c r="Y828" s="207"/>
      <c r="Z828" s="204"/>
      <c r="AA828" s="204"/>
      <c r="AB828" s="204"/>
      <c r="AC828" s="204"/>
    </row>
    <row r="829" spans="1:29">
      <c r="A829" s="204"/>
      <c r="B829" s="204"/>
      <c r="C829" s="204"/>
      <c r="D829" s="204"/>
      <c r="E829" s="204"/>
      <c r="F829" s="204"/>
      <c r="G829" s="204"/>
      <c r="H829" s="204"/>
      <c r="I829" s="204"/>
      <c r="J829" s="204"/>
      <c r="K829" s="204"/>
      <c r="L829" s="205"/>
      <c r="M829" s="205"/>
      <c r="N829" s="204"/>
      <c r="O829" s="204"/>
      <c r="P829" s="206"/>
      <c r="Q829" s="206"/>
      <c r="R829" s="206"/>
      <c r="S829" s="206"/>
      <c r="T829" s="204"/>
      <c r="U829" s="207"/>
      <c r="V829" s="204"/>
      <c r="W829" s="204"/>
      <c r="X829" s="207"/>
      <c r="Y829" s="207"/>
      <c r="Z829" s="204"/>
      <c r="AA829" s="204"/>
      <c r="AB829" s="204"/>
      <c r="AC829" s="204"/>
    </row>
    <row r="830" spans="1:29">
      <c r="A830" s="204"/>
      <c r="B830" s="204"/>
      <c r="C830" s="204"/>
      <c r="D830" s="204"/>
      <c r="E830" s="204"/>
      <c r="F830" s="204"/>
      <c r="G830" s="204"/>
      <c r="H830" s="204"/>
      <c r="I830" s="204"/>
      <c r="J830" s="204"/>
      <c r="K830" s="204"/>
      <c r="L830" s="205"/>
      <c r="M830" s="205"/>
      <c r="N830" s="204"/>
      <c r="O830" s="204"/>
      <c r="P830" s="206"/>
      <c r="Q830" s="206"/>
      <c r="R830" s="206"/>
      <c r="S830" s="206"/>
      <c r="T830" s="204"/>
      <c r="U830" s="207"/>
      <c r="V830" s="204"/>
      <c r="W830" s="204"/>
      <c r="X830" s="207"/>
      <c r="Y830" s="207"/>
      <c r="Z830" s="204"/>
      <c r="AA830" s="204"/>
      <c r="AB830" s="204"/>
      <c r="AC830" s="204"/>
    </row>
    <row r="831" spans="1:29">
      <c r="A831" s="204"/>
      <c r="B831" s="204"/>
      <c r="C831" s="204"/>
      <c r="D831" s="204"/>
      <c r="E831" s="204"/>
      <c r="F831" s="204"/>
      <c r="G831" s="204"/>
      <c r="H831" s="204"/>
      <c r="I831" s="204"/>
      <c r="J831" s="204"/>
      <c r="K831" s="204"/>
      <c r="L831" s="205"/>
      <c r="M831" s="205"/>
      <c r="N831" s="204"/>
      <c r="O831" s="204"/>
      <c r="P831" s="206"/>
      <c r="Q831" s="206"/>
      <c r="R831" s="206"/>
      <c r="S831" s="206"/>
      <c r="T831" s="204"/>
      <c r="U831" s="207"/>
      <c r="V831" s="204"/>
      <c r="W831" s="204"/>
      <c r="X831" s="207"/>
      <c r="Y831" s="207"/>
      <c r="Z831" s="204"/>
      <c r="AA831" s="204"/>
      <c r="AB831" s="204"/>
      <c r="AC831" s="204"/>
    </row>
    <row r="832" spans="1:29">
      <c r="A832" s="204"/>
      <c r="B832" s="204"/>
      <c r="C832" s="204"/>
      <c r="D832" s="204"/>
      <c r="E832" s="204"/>
      <c r="F832" s="204"/>
      <c r="G832" s="204"/>
      <c r="H832" s="204"/>
      <c r="I832" s="204"/>
      <c r="J832" s="204"/>
      <c r="K832" s="204"/>
      <c r="L832" s="205"/>
      <c r="M832" s="205"/>
      <c r="N832" s="204"/>
      <c r="O832" s="204"/>
      <c r="P832" s="206"/>
      <c r="Q832" s="206"/>
      <c r="R832" s="206"/>
      <c r="S832" s="206"/>
      <c r="T832" s="204"/>
      <c r="U832" s="207"/>
      <c r="V832" s="204"/>
      <c r="W832" s="204"/>
      <c r="X832" s="207"/>
      <c r="Y832" s="207"/>
      <c r="Z832" s="204"/>
      <c r="AA832" s="204"/>
      <c r="AB832" s="204"/>
      <c r="AC832" s="204"/>
    </row>
    <row r="833" spans="1:29">
      <c r="A833" s="204"/>
      <c r="B833" s="204"/>
      <c r="C833" s="204"/>
      <c r="D833" s="204"/>
      <c r="E833" s="204"/>
      <c r="F833" s="204"/>
      <c r="G833" s="204"/>
      <c r="H833" s="204"/>
      <c r="I833" s="204"/>
      <c r="J833" s="204"/>
      <c r="K833" s="204"/>
      <c r="L833" s="205"/>
      <c r="M833" s="205"/>
      <c r="N833" s="204"/>
      <c r="O833" s="204"/>
      <c r="P833" s="206"/>
      <c r="Q833" s="206"/>
      <c r="R833" s="206"/>
      <c r="S833" s="206"/>
      <c r="T833" s="204"/>
      <c r="U833" s="207"/>
      <c r="V833" s="204"/>
      <c r="W833" s="204"/>
      <c r="X833" s="207"/>
      <c r="Y833" s="207"/>
      <c r="Z833" s="204"/>
      <c r="AA833" s="204"/>
      <c r="AB833" s="204"/>
      <c r="AC833" s="204"/>
    </row>
    <row r="834" spans="1:29">
      <c r="A834" s="204"/>
      <c r="B834" s="204"/>
      <c r="C834" s="204"/>
      <c r="D834" s="204"/>
      <c r="E834" s="204"/>
      <c r="F834" s="204"/>
      <c r="G834" s="204"/>
      <c r="H834" s="204"/>
      <c r="I834" s="204"/>
      <c r="J834" s="204"/>
      <c r="K834" s="204"/>
      <c r="L834" s="205"/>
      <c r="M834" s="205"/>
      <c r="N834" s="204"/>
      <c r="O834" s="204"/>
      <c r="P834" s="206"/>
      <c r="Q834" s="206"/>
      <c r="R834" s="206"/>
      <c r="S834" s="206"/>
      <c r="T834" s="204"/>
      <c r="U834" s="207"/>
      <c r="V834" s="204"/>
      <c r="W834" s="204"/>
      <c r="X834" s="207"/>
      <c r="Y834" s="207"/>
      <c r="Z834" s="204"/>
      <c r="AA834" s="204"/>
      <c r="AB834" s="204"/>
      <c r="AC834" s="204"/>
    </row>
    <row r="835" spans="1:29">
      <c r="A835" s="204"/>
      <c r="B835" s="204"/>
      <c r="C835" s="204"/>
      <c r="D835" s="204"/>
      <c r="E835" s="204"/>
      <c r="F835" s="204"/>
      <c r="G835" s="204"/>
      <c r="H835" s="204"/>
      <c r="I835" s="204"/>
      <c r="J835" s="204"/>
      <c r="K835" s="204"/>
      <c r="L835" s="205"/>
      <c r="M835" s="205"/>
      <c r="N835" s="204"/>
      <c r="O835" s="204"/>
      <c r="P835" s="206"/>
      <c r="Q835" s="206"/>
      <c r="R835" s="206"/>
      <c r="S835" s="206"/>
      <c r="T835" s="204"/>
      <c r="U835" s="207"/>
      <c r="V835" s="204"/>
      <c r="W835" s="204"/>
      <c r="X835" s="207"/>
      <c r="Y835" s="207"/>
      <c r="Z835" s="204"/>
      <c r="AA835" s="204"/>
      <c r="AB835" s="204"/>
      <c r="AC835" s="204"/>
    </row>
    <row r="836" spans="1:29">
      <c r="A836" s="204"/>
      <c r="B836" s="204"/>
      <c r="C836" s="204"/>
      <c r="D836" s="204"/>
      <c r="E836" s="204"/>
      <c r="F836" s="204"/>
      <c r="G836" s="204"/>
      <c r="H836" s="204"/>
      <c r="I836" s="204"/>
      <c r="J836" s="204"/>
      <c r="K836" s="204"/>
      <c r="L836" s="205"/>
      <c r="M836" s="205"/>
      <c r="N836" s="204"/>
      <c r="O836" s="204"/>
      <c r="P836" s="206"/>
      <c r="Q836" s="206"/>
      <c r="R836" s="206"/>
      <c r="S836" s="206"/>
      <c r="T836" s="204"/>
      <c r="U836" s="207"/>
      <c r="V836" s="204"/>
      <c r="W836" s="204"/>
      <c r="X836" s="207"/>
      <c r="Y836" s="207"/>
      <c r="Z836" s="204"/>
      <c r="AA836" s="204"/>
      <c r="AB836" s="204"/>
      <c r="AC836" s="204"/>
    </row>
    <row r="837" spans="1:29">
      <c r="A837" s="204"/>
      <c r="B837" s="204"/>
      <c r="C837" s="204"/>
      <c r="D837" s="204"/>
      <c r="E837" s="204"/>
      <c r="F837" s="204"/>
      <c r="G837" s="204"/>
      <c r="H837" s="204"/>
      <c r="I837" s="204"/>
      <c r="J837" s="204"/>
      <c r="K837" s="204"/>
      <c r="L837" s="205"/>
      <c r="M837" s="205"/>
      <c r="N837" s="204"/>
      <c r="O837" s="204"/>
      <c r="P837" s="206"/>
      <c r="Q837" s="206"/>
      <c r="R837" s="206"/>
      <c r="S837" s="206"/>
      <c r="T837" s="204"/>
      <c r="U837" s="207"/>
      <c r="V837" s="204"/>
      <c r="W837" s="204"/>
      <c r="X837" s="207"/>
      <c r="Y837" s="207"/>
      <c r="Z837" s="204"/>
      <c r="AA837" s="204"/>
      <c r="AB837" s="204"/>
      <c r="AC837" s="204"/>
    </row>
    <row r="838" spans="1:29">
      <c r="A838" s="204"/>
      <c r="B838" s="204"/>
      <c r="C838" s="204"/>
      <c r="D838" s="204"/>
      <c r="E838" s="204"/>
      <c r="F838" s="204"/>
      <c r="G838" s="204"/>
      <c r="H838" s="204"/>
      <c r="I838" s="204"/>
      <c r="J838" s="204"/>
      <c r="K838" s="204"/>
      <c r="L838" s="205"/>
      <c r="M838" s="205"/>
      <c r="N838" s="204"/>
      <c r="O838" s="204"/>
      <c r="P838" s="206"/>
      <c r="Q838" s="206"/>
      <c r="R838" s="206"/>
      <c r="S838" s="206"/>
      <c r="T838" s="204"/>
      <c r="U838" s="207"/>
      <c r="V838" s="204"/>
      <c r="W838" s="204"/>
      <c r="X838" s="207"/>
      <c r="Y838" s="207"/>
      <c r="Z838" s="204"/>
      <c r="AA838" s="204"/>
      <c r="AB838" s="204"/>
      <c r="AC838" s="204"/>
    </row>
    <row r="839" spans="1:29">
      <c r="A839" s="204"/>
      <c r="B839" s="204"/>
      <c r="C839" s="204"/>
      <c r="D839" s="204"/>
      <c r="E839" s="204"/>
      <c r="F839" s="204"/>
      <c r="G839" s="204"/>
      <c r="H839" s="204"/>
      <c r="I839" s="204"/>
      <c r="J839" s="204"/>
      <c r="K839" s="204"/>
      <c r="L839" s="205"/>
      <c r="M839" s="205"/>
      <c r="N839" s="204"/>
      <c r="O839" s="204"/>
      <c r="P839" s="206"/>
      <c r="Q839" s="206"/>
      <c r="R839" s="206"/>
      <c r="S839" s="206"/>
      <c r="T839" s="204"/>
      <c r="U839" s="207"/>
      <c r="V839" s="204"/>
      <c r="W839" s="204"/>
      <c r="X839" s="207"/>
      <c r="Y839" s="207"/>
      <c r="Z839" s="204"/>
      <c r="AA839" s="204"/>
      <c r="AB839" s="204"/>
      <c r="AC839" s="204"/>
    </row>
    <row r="840" spans="1:29">
      <c r="A840" s="204"/>
      <c r="B840" s="204"/>
      <c r="C840" s="204"/>
      <c r="D840" s="204"/>
      <c r="E840" s="204"/>
      <c r="F840" s="204"/>
      <c r="G840" s="204"/>
      <c r="H840" s="204"/>
      <c r="I840" s="204"/>
      <c r="J840" s="204"/>
      <c r="K840" s="204"/>
      <c r="L840" s="205"/>
      <c r="M840" s="205"/>
      <c r="N840" s="204"/>
      <c r="O840" s="204"/>
      <c r="P840" s="206"/>
      <c r="Q840" s="206"/>
      <c r="R840" s="206"/>
      <c r="S840" s="206"/>
      <c r="T840" s="204"/>
      <c r="U840" s="207"/>
      <c r="V840" s="204"/>
      <c r="W840" s="204"/>
      <c r="X840" s="207"/>
      <c r="Y840" s="207"/>
      <c r="Z840" s="204"/>
      <c r="AA840" s="204"/>
      <c r="AB840" s="204"/>
      <c r="AC840" s="204"/>
    </row>
    <row r="841" spans="1:29">
      <c r="A841" s="204"/>
      <c r="B841" s="204"/>
      <c r="C841" s="204"/>
      <c r="D841" s="204"/>
      <c r="E841" s="204"/>
      <c r="F841" s="204"/>
      <c r="G841" s="204"/>
      <c r="H841" s="204"/>
      <c r="I841" s="204"/>
      <c r="J841" s="204"/>
      <c r="K841" s="204"/>
      <c r="L841" s="205"/>
      <c r="M841" s="205"/>
      <c r="N841" s="204"/>
      <c r="O841" s="204"/>
      <c r="P841" s="206"/>
      <c r="Q841" s="206"/>
      <c r="R841" s="206"/>
      <c r="S841" s="206"/>
      <c r="T841" s="204"/>
      <c r="U841" s="207"/>
      <c r="V841" s="204"/>
      <c r="W841" s="204"/>
      <c r="X841" s="207"/>
      <c r="Y841" s="207"/>
      <c r="Z841" s="204"/>
      <c r="AA841" s="204"/>
      <c r="AB841" s="204"/>
      <c r="AC841" s="204"/>
    </row>
    <row r="842" spans="1:29">
      <c r="A842" s="204"/>
      <c r="B842" s="204"/>
      <c r="C842" s="204"/>
      <c r="D842" s="204"/>
      <c r="E842" s="204"/>
      <c r="F842" s="204"/>
      <c r="G842" s="204"/>
      <c r="H842" s="204"/>
      <c r="I842" s="204"/>
      <c r="J842" s="204"/>
      <c r="K842" s="204"/>
      <c r="L842" s="205"/>
      <c r="M842" s="205"/>
      <c r="N842" s="204"/>
      <c r="O842" s="204"/>
      <c r="P842" s="206"/>
      <c r="Q842" s="206"/>
      <c r="R842" s="206"/>
      <c r="S842" s="206"/>
      <c r="T842" s="204"/>
      <c r="U842" s="207"/>
      <c r="V842" s="204"/>
      <c r="W842" s="204"/>
      <c r="X842" s="207"/>
      <c r="Y842" s="207"/>
      <c r="Z842" s="204"/>
      <c r="AA842" s="204"/>
      <c r="AB842" s="204"/>
      <c r="AC842" s="204"/>
    </row>
    <row r="843" spans="1:29">
      <c r="A843" s="204"/>
      <c r="B843" s="204"/>
      <c r="C843" s="204"/>
      <c r="D843" s="204"/>
      <c r="E843" s="204"/>
      <c r="F843" s="204"/>
      <c r="G843" s="204"/>
      <c r="H843" s="204"/>
      <c r="I843" s="204"/>
      <c r="J843" s="204"/>
      <c r="K843" s="204"/>
      <c r="L843" s="205"/>
      <c r="M843" s="205"/>
      <c r="N843" s="204"/>
      <c r="O843" s="204"/>
      <c r="P843" s="206"/>
      <c r="Q843" s="206"/>
      <c r="R843" s="206"/>
      <c r="S843" s="206"/>
      <c r="T843" s="204"/>
      <c r="U843" s="207"/>
      <c r="V843" s="204"/>
      <c r="W843" s="204"/>
      <c r="X843" s="207"/>
      <c r="Y843" s="207"/>
      <c r="Z843" s="204"/>
      <c r="AA843" s="204"/>
      <c r="AB843" s="204"/>
      <c r="AC843" s="204"/>
    </row>
    <row r="844" spans="1:29">
      <c r="A844" s="204"/>
      <c r="B844" s="204"/>
      <c r="C844" s="204"/>
      <c r="D844" s="204"/>
      <c r="E844" s="204"/>
      <c r="F844" s="204"/>
      <c r="G844" s="204"/>
      <c r="H844" s="204"/>
      <c r="I844" s="204"/>
      <c r="J844" s="204"/>
      <c r="K844" s="204"/>
      <c r="L844" s="205"/>
      <c r="M844" s="205"/>
      <c r="N844" s="204"/>
      <c r="O844" s="204"/>
      <c r="P844" s="206"/>
      <c r="Q844" s="206"/>
      <c r="R844" s="206"/>
      <c r="S844" s="206"/>
      <c r="T844" s="204"/>
      <c r="U844" s="207"/>
      <c r="V844" s="204"/>
      <c r="W844" s="204"/>
      <c r="X844" s="207"/>
      <c r="Y844" s="207"/>
      <c r="Z844" s="204"/>
      <c r="AA844" s="204"/>
      <c r="AB844" s="204"/>
      <c r="AC844" s="204"/>
    </row>
    <row r="845" spans="1:29">
      <c r="A845" s="204"/>
      <c r="B845" s="204"/>
      <c r="C845" s="204"/>
      <c r="D845" s="204"/>
      <c r="E845" s="204"/>
      <c r="F845" s="204"/>
      <c r="G845" s="204"/>
      <c r="H845" s="204"/>
      <c r="I845" s="204"/>
      <c r="J845" s="204"/>
      <c r="K845" s="204"/>
      <c r="L845" s="205"/>
      <c r="M845" s="205"/>
      <c r="N845" s="204"/>
      <c r="O845" s="204"/>
      <c r="P845" s="206"/>
      <c r="Q845" s="206"/>
      <c r="R845" s="206"/>
      <c r="S845" s="206"/>
      <c r="T845" s="204"/>
      <c r="U845" s="207"/>
      <c r="V845" s="204"/>
      <c r="W845" s="204"/>
      <c r="X845" s="207"/>
      <c r="Y845" s="207"/>
      <c r="Z845" s="204"/>
      <c r="AA845" s="204"/>
      <c r="AB845" s="204"/>
      <c r="AC845" s="204"/>
    </row>
    <row r="846" spans="1:29">
      <c r="A846" s="204"/>
      <c r="B846" s="204"/>
      <c r="C846" s="204"/>
      <c r="D846" s="204"/>
      <c r="E846" s="204"/>
      <c r="F846" s="204"/>
      <c r="G846" s="204"/>
      <c r="H846" s="204"/>
      <c r="I846" s="204"/>
      <c r="J846" s="204"/>
      <c r="K846" s="204"/>
      <c r="L846" s="205"/>
      <c r="M846" s="205"/>
      <c r="N846" s="204"/>
      <c r="O846" s="204"/>
      <c r="P846" s="206"/>
      <c r="Q846" s="206"/>
      <c r="R846" s="206"/>
      <c r="S846" s="206"/>
      <c r="T846" s="204"/>
      <c r="U846" s="207"/>
      <c r="V846" s="204"/>
      <c r="W846" s="204"/>
      <c r="X846" s="207"/>
      <c r="Y846" s="207"/>
      <c r="Z846" s="204"/>
      <c r="AA846" s="204"/>
      <c r="AB846" s="204"/>
      <c r="AC846" s="204"/>
    </row>
    <row r="847" spans="1:29">
      <c r="A847" s="204"/>
      <c r="B847" s="204"/>
      <c r="C847" s="204"/>
      <c r="D847" s="204"/>
      <c r="E847" s="204"/>
      <c r="F847" s="204"/>
      <c r="G847" s="204"/>
      <c r="H847" s="204"/>
      <c r="I847" s="204"/>
      <c r="J847" s="204"/>
      <c r="K847" s="204"/>
      <c r="L847" s="205"/>
      <c r="M847" s="205"/>
      <c r="N847" s="204"/>
      <c r="O847" s="204"/>
      <c r="P847" s="206"/>
      <c r="Q847" s="206"/>
      <c r="R847" s="206"/>
      <c r="S847" s="206"/>
      <c r="T847" s="204"/>
      <c r="U847" s="207"/>
      <c r="V847" s="204"/>
      <c r="W847" s="204"/>
      <c r="X847" s="207"/>
      <c r="Y847" s="207"/>
      <c r="Z847" s="204"/>
      <c r="AA847" s="204"/>
      <c r="AB847" s="204"/>
      <c r="AC847" s="204"/>
    </row>
    <row r="848" spans="1:29">
      <c r="A848" s="204"/>
      <c r="B848" s="204"/>
      <c r="C848" s="204"/>
      <c r="D848" s="204"/>
      <c r="E848" s="204"/>
      <c r="F848" s="204"/>
      <c r="G848" s="204"/>
      <c r="H848" s="204"/>
      <c r="I848" s="204"/>
      <c r="J848" s="204"/>
      <c r="K848" s="204"/>
      <c r="L848" s="205"/>
      <c r="M848" s="205"/>
      <c r="N848" s="204"/>
      <c r="O848" s="204"/>
      <c r="P848" s="206"/>
      <c r="Q848" s="206"/>
      <c r="R848" s="206"/>
      <c r="S848" s="206"/>
      <c r="T848" s="204"/>
      <c r="U848" s="207"/>
      <c r="V848" s="204"/>
      <c r="W848" s="204"/>
      <c r="X848" s="207"/>
      <c r="Y848" s="207"/>
      <c r="Z848" s="204"/>
      <c r="AA848" s="204"/>
      <c r="AB848" s="204"/>
      <c r="AC848" s="204"/>
    </row>
    <row r="849" spans="1:29">
      <c r="A849" s="204"/>
      <c r="B849" s="204"/>
      <c r="C849" s="204"/>
      <c r="D849" s="204"/>
      <c r="E849" s="204"/>
      <c r="F849" s="204"/>
      <c r="G849" s="204"/>
      <c r="H849" s="204"/>
      <c r="I849" s="204"/>
      <c r="J849" s="204"/>
      <c r="K849" s="204"/>
      <c r="L849" s="205"/>
      <c r="M849" s="205"/>
      <c r="N849" s="204"/>
      <c r="O849" s="204"/>
      <c r="P849" s="206"/>
      <c r="Q849" s="206"/>
      <c r="R849" s="206"/>
      <c r="S849" s="206"/>
      <c r="T849" s="204"/>
      <c r="U849" s="207"/>
      <c r="V849" s="204"/>
      <c r="W849" s="204"/>
      <c r="X849" s="207"/>
      <c r="Y849" s="207"/>
      <c r="Z849" s="204"/>
      <c r="AA849" s="204"/>
      <c r="AB849" s="204"/>
      <c r="AC849" s="204"/>
    </row>
    <row r="850" spans="1:29">
      <c r="A850" s="204"/>
      <c r="B850" s="204"/>
      <c r="C850" s="204"/>
      <c r="D850" s="204"/>
      <c r="E850" s="204"/>
      <c r="F850" s="204"/>
      <c r="G850" s="204"/>
      <c r="H850" s="204"/>
      <c r="I850" s="204"/>
      <c r="J850" s="204"/>
      <c r="K850" s="204"/>
      <c r="L850" s="205"/>
      <c r="M850" s="205"/>
      <c r="N850" s="204"/>
      <c r="O850" s="204"/>
      <c r="P850" s="206"/>
      <c r="Q850" s="206"/>
      <c r="R850" s="206"/>
      <c r="S850" s="206"/>
      <c r="T850" s="204"/>
      <c r="U850" s="207"/>
      <c r="V850" s="204"/>
      <c r="W850" s="204"/>
      <c r="X850" s="207"/>
      <c r="Y850" s="207"/>
      <c r="Z850" s="204"/>
      <c r="AA850" s="204"/>
      <c r="AB850" s="204"/>
      <c r="AC850" s="204"/>
    </row>
    <row r="851" spans="1:29">
      <c r="A851" s="204"/>
      <c r="B851" s="204"/>
      <c r="C851" s="204"/>
      <c r="D851" s="204"/>
      <c r="E851" s="204"/>
      <c r="F851" s="204"/>
      <c r="G851" s="204"/>
      <c r="H851" s="204"/>
      <c r="I851" s="204"/>
      <c r="J851" s="204"/>
      <c r="K851" s="204"/>
      <c r="L851" s="205"/>
      <c r="M851" s="205"/>
      <c r="N851" s="204"/>
      <c r="O851" s="204"/>
      <c r="P851" s="206"/>
      <c r="Q851" s="206"/>
      <c r="R851" s="206"/>
      <c r="S851" s="206"/>
      <c r="T851" s="204"/>
      <c r="U851" s="207"/>
      <c r="V851" s="204"/>
      <c r="W851" s="204"/>
      <c r="X851" s="207"/>
      <c r="Y851" s="207"/>
      <c r="Z851" s="204"/>
      <c r="AA851" s="204"/>
      <c r="AB851" s="204"/>
      <c r="AC851" s="204"/>
    </row>
    <row r="852" spans="1:29">
      <c r="A852" s="204"/>
      <c r="B852" s="204"/>
      <c r="C852" s="204"/>
      <c r="D852" s="204"/>
      <c r="E852" s="204"/>
      <c r="F852" s="204"/>
      <c r="G852" s="204"/>
      <c r="H852" s="204"/>
      <c r="I852" s="204"/>
      <c r="J852" s="204"/>
      <c r="K852" s="204"/>
      <c r="L852" s="205"/>
      <c r="M852" s="205"/>
      <c r="N852" s="204"/>
      <c r="O852" s="204"/>
      <c r="P852" s="206"/>
      <c r="Q852" s="206"/>
      <c r="R852" s="206"/>
      <c r="S852" s="206"/>
      <c r="T852" s="204"/>
      <c r="U852" s="207"/>
      <c r="V852" s="204"/>
      <c r="W852" s="204"/>
      <c r="X852" s="207"/>
      <c r="Y852" s="207"/>
      <c r="Z852" s="204"/>
      <c r="AA852" s="204"/>
      <c r="AB852" s="204"/>
      <c r="AC852" s="204"/>
    </row>
    <row r="853" spans="1:29">
      <c r="A853" s="204"/>
      <c r="B853" s="204"/>
      <c r="C853" s="204"/>
      <c r="D853" s="204"/>
      <c r="E853" s="204"/>
      <c r="F853" s="204"/>
      <c r="G853" s="204"/>
      <c r="H853" s="204"/>
      <c r="I853" s="204"/>
      <c r="J853" s="204"/>
      <c r="K853" s="204"/>
      <c r="L853" s="205"/>
      <c r="M853" s="205"/>
      <c r="N853" s="204"/>
      <c r="O853" s="204"/>
      <c r="P853" s="206"/>
      <c r="Q853" s="206"/>
      <c r="R853" s="206"/>
      <c r="S853" s="206"/>
      <c r="T853" s="204"/>
      <c r="U853" s="207"/>
      <c r="V853" s="204"/>
      <c r="W853" s="204"/>
      <c r="X853" s="207"/>
      <c r="Y853" s="207"/>
      <c r="Z853" s="204"/>
      <c r="AA853" s="204"/>
      <c r="AB853" s="204"/>
      <c r="AC853" s="204"/>
    </row>
    <row r="854" spans="1:29">
      <c r="A854" s="204"/>
      <c r="B854" s="204"/>
      <c r="C854" s="204"/>
      <c r="D854" s="204"/>
      <c r="E854" s="204"/>
      <c r="F854" s="204"/>
      <c r="G854" s="204"/>
      <c r="H854" s="204"/>
      <c r="I854" s="204"/>
      <c r="J854" s="204"/>
      <c r="K854" s="204"/>
      <c r="L854" s="205"/>
      <c r="M854" s="205"/>
      <c r="N854" s="204"/>
      <c r="O854" s="204"/>
      <c r="P854" s="206"/>
      <c r="Q854" s="206"/>
      <c r="R854" s="206"/>
      <c r="S854" s="206"/>
      <c r="T854" s="204"/>
      <c r="U854" s="207"/>
      <c r="V854" s="204"/>
      <c r="W854" s="204"/>
      <c r="X854" s="207"/>
      <c r="Y854" s="207"/>
      <c r="Z854" s="204"/>
      <c r="AA854" s="204"/>
      <c r="AB854" s="204"/>
      <c r="AC854" s="204"/>
    </row>
    <row r="855" spans="1:29">
      <c r="A855" s="204"/>
      <c r="B855" s="204"/>
      <c r="C855" s="204"/>
      <c r="D855" s="204"/>
      <c r="E855" s="204"/>
      <c r="F855" s="204"/>
      <c r="G855" s="204"/>
      <c r="H855" s="204"/>
      <c r="I855" s="204"/>
      <c r="J855" s="204"/>
      <c r="K855" s="204"/>
      <c r="L855" s="205"/>
      <c r="M855" s="205"/>
      <c r="N855" s="204"/>
      <c r="O855" s="204"/>
      <c r="P855" s="206"/>
      <c r="Q855" s="206"/>
      <c r="R855" s="206"/>
      <c r="S855" s="206"/>
      <c r="T855" s="204"/>
      <c r="U855" s="207"/>
      <c r="V855" s="204"/>
      <c r="W855" s="204"/>
      <c r="X855" s="207"/>
      <c r="Y855" s="207"/>
      <c r="Z855" s="204"/>
      <c r="AA855" s="204"/>
      <c r="AB855" s="204"/>
      <c r="AC855" s="204"/>
    </row>
    <row r="856" spans="1:29">
      <c r="A856" s="204"/>
      <c r="B856" s="204"/>
      <c r="C856" s="204"/>
      <c r="D856" s="204"/>
      <c r="E856" s="204"/>
      <c r="F856" s="204"/>
      <c r="G856" s="204"/>
      <c r="H856" s="204"/>
      <c r="I856" s="204"/>
      <c r="J856" s="204"/>
      <c r="K856" s="204"/>
      <c r="L856" s="205"/>
      <c r="M856" s="205"/>
      <c r="N856" s="204"/>
      <c r="O856" s="204"/>
      <c r="P856" s="206"/>
      <c r="Q856" s="206"/>
      <c r="R856" s="206"/>
      <c r="S856" s="206"/>
      <c r="T856" s="204"/>
      <c r="U856" s="207"/>
      <c r="V856" s="204"/>
      <c r="W856" s="204"/>
      <c r="X856" s="207"/>
      <c r="Y856" s="207"/>
      <c r="Z856" s="204"/>
      <c r="AA856" s="204"/>
      <c r="AB856" s="204"/>
      <c r="AC856" s="204"/>
    </row>
    <row r="857" spans="1:29">
      <c r="A857" s="204"/>
      <c r="B857" s="204"/>
      <c r="C857" s="204"/>
      <c r="D857" s="204"/>
      <c r="E857" s="204"/>
      <c r="F857" s="204"/>
      <c r="G857" s="204"/>
      <c r="H857" s="204"/>
      <c r="I857" s="204"/>
      <c r="J857" s="204"/>
      <c r="K857" s="204"/>
      <c r="L857" s="205"/>
      <c r="M857" s="205"/>
      <c r="N857" s="204"/>
      <c r="O857" s="204"/>
      <c r="P857" s="206"/>
      <c r="Q857" s="206"/>
      <c r="R857" s="206"/>
      <c r="S857" s="206"/>
      <c r="T857" s="204"/>
      <c r="U857" s="207"/>
      <c r="V857" s="204"/>
      <c r="W857" s="204"/>
      <c r="X857" s="207"/>
      <c r="Y857" s="207"/>
      <c r="Z857" s="204"/>
      <c r="AA857" s="204"/>
      <c r="AB857" s="204"/>
      <c r="AC857" s="204"/>
    </row>
    <row r="858" spans="1:29">
      <c r="A858" s="204"/>
      <c r="B858" s="204"/>
      <c r="C858" s="204"/>
      <c r="D858" s="204"/>
      <c r="E858" s="204"/>
      <c r="F858" s="204"/>
      <c r="G858" s="204"/>
      <c r="H858" s="204"/>
      <c r="I858" s="204"/>
      <c r="J858" s="204"/>
      <c r="K858" s="204"/>
      <c r="L858" s="205"/>
      <c r="M858" s="205"/>
      <c r="N858" s="204"/>
      <c r="O858" s="204"/>
      <c r="P858" s="206"/>
      <c r="Q858" s="206"/>
      <c r="R858" s="206"/>
      <c r="S858" s="206"/>
      <c r="T858" s="204"/>
      <c r="U858" s="207"/>
      <c r="V858" s="204"/>
      <c r="W858" s="204"/>
      <c r="X858" s="207"/>
      <c r="Y858" s="207"/>
      <c r="Z858" s="204"/>
      <c r="AA858" s="204"/>
      <c r="AB858" s="204"/>
      <c r="AC858" s="204"/>
    </row>
    <row r="859" spans="1:29">
      <c r="A859" s="204"/>
      <c r="B859" s="204"/>
      <c r="C859" s="204"/>
      <c r="D859" s="204"/>
      <c r="E859" s="204"/>
      <c r="F859" s="204"/>
      <c r="G859" s="204"/>
      <c r="H859" s="204"/>
      <c r="I859" s="204"/>
      <c r="J859" s="204"/>
      <c r="K859" s="204"/>
      <c r="L859" s="205"/>
      <c r="M859" s="205"/>
      <c r="N859" s="204"/>
      <c r="O859" s="204"/>
      <c r="P859" s="206"/>
      <c r="Q859" s="206"/>
      <c r="R859" s="206"/>
      <c r="S859" s="206"/>
      <c r="T859" s="204"/>
      <c r="U859" s="207"/>
      <c r="V859" s="204"/>
      <c r="W859" s="204"/>
      <c r="X859" s="207"/>
      <c r="Y859" s="207"/>
      <c r="Z859" s="204"/>
      <c r="AA859" s="204"/>
      <c r="AB859" s="204"/>
      <c r="AC859" s="204"/>
    </row>
    <row r="860" spans="1:29">
      <c r="A860" s="204"/>
      <c r="B860" s="204"/>
      <c r="C860" s="204"/>
      <c r="D860" s="204"/>
      <c r="E860" s="204"/>
      <c r="F860" s="204"/>
      <c r="G860" s="204"/>
      <c r="H860" s="204"/>
      <c r="I860" s="204"/>
      <c r="J860" s="204"/>
      <c r="K860" s="204"/>
      <c r="L860" s="205"/>
      <c r="M860" s="205"/>
      <c r="N860" s="204"/>
      <c r="O860" s="204"/>
      <c r="P860" s="206"/>
      <c r="Q860" s="206"/>
      <c r="R860" s="206"/>
      <c r="S860" s="206"/>
      <c r="T860" s="204"/>
      <c r="U860" s="207"/>
      <c r="V860" s="204"/>
      <c r="W860" s="204"/>
      <c r="X860" s="207"/>
      <c r="Y860" s="207"/>
      <c r="Z860" s="204"/>
      <c r="AA860" s="204"/>
      <c r="AB860" s="204"/>
      <c r="AC860" s="204"/>
    </row>
    <row r="861" spans="1:29">
      <c r="A861" s="204"/>
      <c r="B861" s="204"/>
      <c r="C861" s="204"/>
      <c r="D861" s="204"/>
      <c r="E861" s="204"/>
      <c r="F861" s="204"/>
      <c r="G861" s="204"/>
      <c r="H861" s="204"/>
      <c r="I861" s="204"/>
      <c r="J861" s="204"/>
      <c r="K861" s="204"/>
      <c r="L861" s="205"/>
      <c r="M861" s="205"/>
      <c r="N861" s="204"/>
      <c r="O861" s="204"/>
      <c r="P861" s="206"/>
      <c r="Q861" s="206"/>
      <c r="R861" s="206"/>
      <c r="S861" s="206"/>
      <c r="T861" s="204"/>
      <c r="U861" s="207"/>
      <c r="V861" s="204"/>
      <c r="W861" s="204"/>
      <c r="X861" s="207"/>
      <c r="Y861" s="207"/>
      <c r="Z861" s="204"/>
      <c r="AA861" s="204"/>
      <c r="AB861" s="204"/>
      <c r="AC861" s="204"/>
    </row>
    <row r="862" spans="1:29">
      <c r="A862" s="204"/>
      <c r="B862" s="204"/>
      <c r="C862" s="204"/>
      <c r="D862" s="204"/>
      <c r="E862" s="204"/>
      <c r="F862" s="204"/>
      <c r="G862" s="204"/>
      <c r="H862" s="204"/>
      <c r="I862" s="204"/>
      <c r="J862" s="204"/>
      <c r="K862" s="204"/>
      <c r="L862" s="205"/>
      <c r="M862" s="205"/>
      <c r="N862" s="204"/>
      <c r="O862" s="204"/>
      <c r="P862" s="206"/>
      <c r="Q862" s="206"/>
      <c r="R862" s="206"/>
      <c r="S862" s="206"/>
      <c r="T862" s="204"/>
      <c r="U862" s="207"/>
      <c r="V862" s="204"/>
      <c r="W862" s="204"/>
      <c r="X862" s="207"/>
      <c r="Y862" s="207"/>
      <c r="Z862" s="204"/>
      <c r="AA862" s="204"/>
      <c r="AB862" s="204"/>
      <c r="AC862" s="204"/>
    </row>
    <row r="863" spans="1:29">
      <c r="A863" s="204"/>
      <c r="B863" s="204"/>
      <c r="C863" s="204"/>
      <c r="D863" s="204"/>
      <c r="E863" s="204"/>
      <c r="F863" s="204"/>
      <c r="G863" s="204"/>
      <c r="H863" s="204"/>
      <c r="I863" s="204"/>
      <c r="J863" s="204"/>
      <c r="K863" s="204"/>
      <c r="L863" s="205"/>
      <c r="M863" s="205"/>
      <c r="N863" s="204"/>
      <c r="O863" s="204"/>
      <c r="P863" s="206"/>
      <c r="Q863" s="206"/>
      <c r="R863" s="206"/>
      <c r="S863" s="206"/>
      <c r="T863" s="204"/>
      <c r="U863" s="207"/>
      <c r="V863" s="204"/>
      <c r="W863" s="204"/>
      <c r="X863" s="207"/>
      <c r="Y863" s="207"/>
      <c r="Z863" s="204"/>
      <c r="AA863" s="204"/>
      <c r="AB863" s="204"/>
      <c r="AC863" s="204"/>
    </row>
    <row r="864" spans="1:29">
      <c r="A864" s="204"/>
      <c r="B864" s="204"/>
      <c r="C864" s="204"/>
      <c r="D864" s="204"/>
      <c r="E864" s="204"/>
      <c r="F864" s="204"/>
      <c r="G864" s="204"/>
      <c r="H864" s="204"/>
      <c r="I864" s="204"/>
      <c r="J864" s="204"/>
      <c r="K864" s="204"/>
      <c r="L864" s="205"/>
      <c r="M864" s="205"/>
      <c r="N864" s="204"/>
      <c r="O864" s="204"/>
      <c r="P864" s="206"/>
      <c r="Q864" s="206"/>
      <c r="R864" s="206"/>
      <c r="S864" s="206"/>
      <c r="T864" s="204"/>
      <c r="U864" s="207"/>
      <c r="V864" s="204"/>
      <c r="W864" s="204"/>
      <c r="X864" s="207"/>
      <c r="Y864" s="207"/>
      <c r="Z864" s="204"/>
      <c r="AA864" s="204"/>
      <c r="AB864" s="204"/>
      <c r="AC864" s="204"/>
    </row>
    <row r="865" spans="1:29">
      <c r="A865" s="204"/>
      <c r="B865" s="204"/>
      <c r="C865" s="204"/>
      <c r="D865" s="204"/>
      <c r="E865" s="204"/>
      <c r="F865" s="204"/>
      <c r="G865" s="204"/>
      <c r="H865" s="204"/>
      <c r="I865" s="204"/>
      <c r="J865" s="204"/>
      <c r="K865" s="204"/>
      <c r="L865" s="205"/>
      <c r="M865" s="205"/>
      <c r="N865" s="204"/>
      <c r="O865" s="204"/>
      <c r="P865" s="206"/>
      <c r="Q865" s="206"/>
      <c r="R865" s="206"/>
      <c r="S865" s="206"/>
      <c r="T865" s="204"/>
      <c r="U865" s="207"/>
      <c r="V865" s="204"/>
      <c r="W865" s="204"/>
      <c r="X865" s="207"/>
      <c r="Y865" s="207"/>
      <c r="Z865" s="204"/>
      <c r="AA865" s="204"/>
      <c r="AB865" s="204"/>
      <c r="AC865" s="204"/>
    </row>
    <row r="866" spans="1:29">
      <c r="A866" s="204"/>
      <c r="B866" s="204"/>
      <c r="C866" s="204"/>
      <c r="D866" s="204"/>
      <c r="E866" s="204"/>
      <c r="F866" s="204"/>
      <c r="G866" s="204"/>
      <c r="H866" s="204"/>
      <c r="I866" s="204"/>
      <c r="J866" s="204"/>
      <c r="K866" s="204"/>
      <c r="L866" s="205"/>
      <c r="M866" s="205"/>
      <c r="N866" s="204"/>
      <c r="O866" s="204"/>
      <c r="P866" s="206"/>
      <c r="Q866" s="206"/>
      <c r="R866" s="206"/>
      <c r="S866" s="206"/>
      <c r="T866" s="204"/>
      <c r="U866" s="207"/>
      <c r="V866" s="204"/>
      <c r="W866" s="204"/>
      <c r="X866" s="207"/>
      <c r="Y866" s="207"/>
      <c r="Z866" s="204"/>
      <c r="AA866" s="204"/>
      <c r="AB866" s="204"/>
      <c r="AC866" s="204"/>
    </row>
    <row r="867" spans="1:29">
      <c r="A867" s="204"/>
      <c r="B867" s="204"/>
      <c r="C867" s="204"/>
      <c r="D867" s="204"/>
      <c r="E867" s="204"/>
      <c r="F867" s="204"/>
      <c r="G867" s="204"/>
      <c r="H867" s="204"/>
      <c r="I867" s="204"/>
      <c r="J867" s="204"/>
      <c r="K867" s="204"/>
      <c r="L867" s="205"/>
      <c r="M867" s="205"/>
      <c r="N867" s="204"/>
      <c r="O867" s="204"/>
      <c r="P867" s="206"/>
      <c r="Q867" s="206"/>
      <c r="R867" s="206"/>
      <c r="S867" s="206"/>
      <c r="T867" s="204"/>
      <c r="U867" s="207"/>
      <c r="V867" s="204"/>
      <c r="W867" s="204"/>
      <c r="X867" s="207"/>
      <c r="Y867" s="207"/>
      <c r="Z867" s="204"/>
      <c r="AA867" s="204"/>
      <c r="AB867" s="204"/>
      <c r="AC867" s="204"/>
    </row>
    <row r="868" spans="1:29">
      <c r="A868" s="204"/>
      <c r="B868" s="204"/>
      <c r="C868" s="204"/>
      <c r="D868" s="204"/>
      <c r="E868" s="204"/>
      <c r="F868" s="204"/>
      <c r="G868" s="204"/>
      <c r="H868" s="204"/>
      <c r="I868" s="204"/>
      <c r="J868" s="204"/>
      <c r="K868" s="204"/>
      <c r="L868" s="205"/>
      <c r="M868" s="205"/>
      <c r="N868" s="204"/>
      <c r="O868" s="204"/>
      <c r="P868" s="206"/>
      <c r="Q868" s="206"/>
      <c r="R868" s="206"/>
      <c r="S868" s="206"/>
      <c r="T868" s="204"/>
      <c r="U868" s="207"/>
      <c r="V868" s="204"/>
      <c r="W868" s="204"/>
      <c r="X868" s="207"/>
      <c r="Y868" s="207"/>
      <c r="Z868" s="204"/>
      <c r="AA868" s="204"/>
      <c r="AB868" s="204"/>
      <c r="AC868" s="204"/>
    </row>
    <row r="869" spans="1:29">
      <c r="A869" s="204"/>
      <c r="B869" s="204"/>
      <c r="C869" s="204"/>
      <c r="D869" s="204"/>
      <c r="E869" s="204"/>
      <c r="F869" s="204"/>
      <c r="G869" s="204"/>
      <c r="H869" s="204"/>
      <c r="I869" s="204"/>
      <c r="J869" s="204"/>
      <c r="K869" s="204"/>
      <c r="L869" s="205"/>
      <c r="M869" s="205"/>
      <c r="N869" s="204"/>
      <c r="O869" s="204"/>
      <c r="P869" s="206"/>
      <c r="Q869" s="206"/>
      <c r="R869" s="206"/>
      <c r="S869" s="206"/>
      <c r="T869" s="204"/>
      <c r="U869" s="207"/>
      <c r="V869" s="204"/>
      <c r="W869" s="204"/>
      <c r="X869" s="207"/>
      <c r="Y869" s="207"/>
      <c r="Z869" s="204"/>
      <c r="AA869" s="204"/>
      <c r="AB869" s="204"/>
      <c r="AC869" s="204"/>
    </row>
    <row r="870" spans="1:29">
      <c r="A870" s="204"/>
      <c r="B870" s="204"/>
      <c r="C870" s="204"/>
      <c r="D870" s="204"/>
      <c r="E870" s="204"/>
      <c r="F870" s="204"/>
      <c r="G870" s="204"/>
      <c r="H870" s="204"/>
      <c r="I870" s="204"/>
      <c r="J870" s="204"/>
      <c r="K870" s="204"/>
      <c r="L870" s="205"/>
      <c r="M870" s="205"/>
      <c r="N870" s="204"/>
      <c r="O870" s="204"/>
      <c r="P870" s="206"/>
      <c r="Q870" s="206"/>
      <c r="R870" s="206"/>
      <c r="S870" s="206"/>
      <c r="T870" s="204"/>
      <c r="U870" s="207"/>
      <c r="V870" s="204"/>
      <c r="W870" s="204"/>
      <c r="X870" s="207"/>
      <c r="Y870" s="207"/>
      <c r="Z870" s="204"/>
      <c r="AA870" s="204"/>
      <c r="AB870" s="204"/>
      <c r="AC870" s="204"/>
    </row>
    <row r="871" spans="1:29">
      <c r="A871" s="204"/>
      <c r="B871" s="204"/>
      <c r="C871" s="204"/>
      <c r="D871" s="204"/>
      <c r="E871" s="204"/>
      <c r="F871" s="204"/>
      <c r="G871" s="204"/>
      <c r="H871" s="204"/>
      <c r="I871" s="204"/>
      <c r="J871" s="204"/>
      <c r="K871" s="204"/>
      <c r="L871" s="205"/>
      <c r="M871" s="205"/>
      <c r="N871" s="204"/>
      <c r="O871" s="204"/>
      <c r="P871" s="206"/>
      <c r="Q871" s="206"/>
      <c r="R871" s="206"/>
      <c r="S871" s="206"/>
      <c r="T871" s="204"/>
      <c r="U871" s="207"/>
      <c r="V871" s="204"/>
      <c r="W871" s="204"/>
      <c r="X871" s="207"/>
      <c r="Y871" s="207"/>
      <c r="Z871" s="204"/>
      <c r="AA871" s="204"/>
      <c r="AB871" s="204"/>
      <c r="AC871" s="204"/>
    </row>
    <row r="872" spans="1:29">
      <c r="A872" s="204"/>
      <c r="B872" s="204"/>
      <c r="C872" s="204"/>
      <c r="D872" s="204"/>
      <c r="E872" s="204"/>
      <c r="F872" s="204"/>
      <c r="G872" s="204"/>
      <c r="H872" s="204"/>
      <c r="I872" s="204"/>
      <c r="J872" s="204"/>
      <c r="K872" s="204"/>
      <c r="L872" s="205"/>
      <c r="M872" s="205"/>
      <c r="N872" s="204"/>
      <c r="O872" s="204"/>
      <c r="P872" s="206"/>
      <c r="Q872" s="206"/>
      <c r="R872" s="206"/>
      <c r="S872" s="206"/>
      <c r="T872" s="204"/>
      <c r="U872" s="207"/>
      <c r="V872" s="204"/>
      <c r="W872" s="204"/>
      <c r="X872" s="207"/>
      <c r="Y872" s="207"/>
      <c r="Z872" s="204"/>
      <c r="AA872" s="204"/>
      <c r="AB872" s="204"/>
      <c r="AC872" s="204"/>
    </row>
    <row r="873" spans="1:29">
      <c r="A873" s="204"/>
      <c r="B873" s="204"/>
      <c r="C873" s="204"/>
      <c r="D873" s="204"/>
      <c r="E873" s="204"/>
      <c r="F873" s="204"/>
      <c r="G873" s="204"/>
      <c r="H873" s="204"/>
      <c r="I873" s="204"/>
      <c r="J873" s="204"/>
      <c r="K873" s="204"/>
      <c r="L873" s="205"/>
      <c r="M873" s="205"/>
      <c r="N873" s="204"/>
      <c r="O873" s="204"/>
      <c r="P873" s="206"/>
      <c r="Q873" s="206"/>
      <c r="R873" s="206"/>
      <c r="S873" s="206"/>
      <c r="T873" s="204"/>
      <c r="U873" s="207"/>
      <c r="V873" s="204"/>
      <c r="W873" s="204"/>
      <c r="X873" s="207"/>
      <c r="Y873" s="207"/>
      <c r="Z873" s="204"/>
      <c r="AA873" s="204"/>
      <c r="AB873" s="204"/>
      <c r="AC873" s="204"/>
    </row>
    <row r="874" spans="1:29">
      <c r="A874" s="204"/>
      <c r="B874" s="204"/>
      <c r="C874" s="204"/>
      <c r="D874" s="204"/>
      <c r="E874" s="204"/>
      <c r="F874" s="204"/>
      <c r="G874" s="204"/>
      <c r="H874" s="204"/>
      <c r="I874" s="204"/>
      <c r="J874" s="204"/>
      <c r="K874" s="204"/>
      <c r="L874" s="205"/>
      <c r="M874" s="205"/>
      <c r="N874" s="204"/>
      <c r="O874" s="204"/>
      <c r="P874" s="206"/>
      <c r="Q874" s="206"/>
      <c r="R874" s="206"/>
      <c r="S874" s="206"/>
      <c r="T874" s="204"/>
      <c r="U874" s="207"/>
      <c r="V874" s="204"/>
      <c r="W874" s="204"/>
      <c r="X874" s="207"/>
      <c r="Y874" s="207"/>
      <c r="Z874" s="204"/>
      <c r="AA874" s="204"/>
      <c r="AB874" s="204"/>
      <c r="AC874" s="204"/>
    </row>
    <row r="875" spans="1:29">
      <c r="A875" s="204"/>
      <c r="B875" s="204"/>
      <c r="C875" s="204"/>
      <c r="D875" s="204"/>
      <c r="E875" s="204"/>
      <c r="F875" s="204"/>
      <c r="G875" s="204"/>
      <c r="H875" s="204"/>
      <c r="I875" s="204"/>
      <c r="J875" s="204"/>
      <c r="K875" s="204"/>
      <c r="L875" s="205"/>
      <c r="M875" s="205"/>
      <c r="N875" s="204"/>
      <c r="O875" s="204"/>
      <c r="P875" s="206"/>
      <c r="Q875" s="206"/>
      <c r="R875" s="206"/>
      <c r="S875" s="206"/>
      <c r="T875" s="204"/>
      <c r="U875" s="207"/>
      <c r="V875" s="204"/>
      <c r="W875" s="204"/>
      <c r="X875" s="207"/>
      <c r="Y875" s="207"/>
      <c r="Z875" s="204"/>
      <c r="AA875" s="204"/>
      <c r="AB875" s="204"/>
      <c r="AC875" s="204"/>
    </row>
    <row r="876" spans="1:29">
      <c r="A876" s="204"/>
      <c r="B876" s="204"/>
      <c r="C876" s="204"/>
      <c r="D876" s="204"/>
      <c r="E876" s="204"/>
      <c r="F876" s="204"/>
      <c r="G876" s="204"/>
      <c r="H876" s="204"/>
      <c r="I876" s="204"/>
      <c r="J876" s="204"/>
      <c r="K876" s="204"/>
      <c r="L876" s="205"/>
      <c r="M876" s="205"/>
      <c r="N876" s="204"/>
      <c r="O876" s="204"/>
      <c r="P876" s="206"/>
      <c r="Q876" s="206"/>
      <c r="R876" s="206"/>
      <c r="S876" s="206"/>
      <c r="T876" s="204"/>
      <c r="U876" s="207"/>
      <c r="V876" s="204"/>
      <c r="W876" s="204"/>
      <c r="X876" s="207"/>
      <c r="Y876" s="207"/>
      <c r="Z876" s="204"/>
      <c r="AA876" s="204"/>
      <c r="AB876" s="204"/>
      <c r="AC876" s="204"/>
    </row>
    <row r="877" spans="1:29">
      <c r="A877" s="204"/>
      <c r="B877" s="204"/>
      <c r="C877" s="204"/>
      <c r="D877" s="204"/>
      <c r="E877" s="204"/>
      <c r="F877" s="204"/>
      <c r="G877" s="204"/>
      <c r="H877" s="204"/>
      <c r="I877" s="204"/>
      <c r="J877" s="204"/>
      <c r="K877" s="204"/>
      <c r="L877" s="205"/>
      <c r="M877" s="205"/>
      <c r="N877" s="204"/>
      <c r="O877" s="204"/>
      <c r="P877" s="206"/>
      <c r="Q877" s="206"/>
      <c r="R877" s="206"/>
      <c r="S877" s="206"/>
      <c r="T877" s="204"/>
      <c r="U877" s="207"/>
      <c r="V877" s="204"/>
      <c r="W877" s="204"/>
      <c r="X877" s="207"/>
      <c r="Y877" s="207"/>
      <c r="Z877" s="204"/>
      <c r="AA877" s="204"/>
      <c r="AB877" s="204"/>
      <c r="AC877" s="204"/>
    </row>
    <row r="878" spans="1:29">
      <c r="A878" s="204"/>
      <c r="B878" s="204"/>
      <c r="C878" s="204"/>
      <c r="D878" s="204"/>
      <c r="E878" s="204"/>
      <c r="F878" s="204"/>
      <c r="G878" s="204"/>
      <c r="H878" s="204"/>
      <c r="I878" s="204"/>
      <c r="J878" s="204"/>
      <c r="K878" s="204"/>
      <c r="L878" s="205"/>
      <c r="M878" s="205"/>
      <c r="N878" s="204"/>
      <c r="O878" s="204"/>
      <c r="P878" s="206"/>
      <c r="Q878" s="206"/>
      <c r="R878" s="206"/>
      <c r="S878" s="206"/>
      <c r="T878" s="204"/>
      <c r="U878" s="207"/>
      <c r="V878" s="204"/>
      <c r="W878" s="204"/>
      <c r="X878" s="207"/>
      <c r="Y878" s="207"/>
      <c r="Z878" s="204"/>
      <c r="AA878" s="204"/>
      <c r="AB878" s="204"/>
      <c r="AC878" s="204"/>
    </row>
    <row r="879" spans="1:29">
      <c r="A879" s="204"/>
      <c r="B879" s="204"/>
      <c r="C879" s="204"/>
      <c r="D879" s="204"/>
      <c r="E879" s="204"/>
      <c r="F879" s="204"/>
      <c r="G879" s="204"/>
      <c r="H879" s="204"/>
      <c r="I879" s="204"/>
      <c r="J879" s="204"/>
      <c r="K879" s="204"/>
      <c r="L879" s="205"/>
      <c r="M879" s="205"/>
      <c r="N879" s="204"/>
      <c r="O879" s="204"/>
      <c r="P879" s="206"/>
      <c r="Q879" s="206"/>
      <c r="R879" s="206"/>
      <c r="S879" s="206"/>
      <c r="T879" s="204"/>
      <c r="U879" s="207"/>
      <c r="V879" s="204"/>
      <c r="W879" s="204"/>
      <c r="X879" s="207"/>
      <c r="Y879" s="207"/>
      <c r="Z879" s="204"/>
      <c r="AA879" s="204"/>
      <c r="AB879" s="204"/>
      <c r="AC879" s="204"/>
    </row>
    <row r="880" spans="1:29">
      <c r="A880" s="204"/>
      <c r="B880" s="204"/>
      <c r="C880" s="204"/>
      <c r="D880" s="204"/>
      <c r="E880" s="204"/>
      <c r="F880" s="204"/>
      <c r="G880" s="204"/>
      <c r="H880" s="204"/>
      <c r="I880" s="204"/>
      <c r="J880" s="204"/>
      <c r="K880" s="204"/>
      <c r="L880" s="205"/>
      <c r="M880" s="205"/>
      <c r="N880" s="204"/>
      <c r="O880" s="204"/>
      <c r="P880" s="206"/>
      <c r="Q880" s="206"/>
      <c r="R880" s="206"/>
      <c r="S880" s="206"/>
      <c r="T880" s="204"/>
      <c r="U880" s="207"/>
      <c r="V880" s="204"/>
      <c r="W880" s="204"/>
      <c r="X880" s="207"/>
      <c r="Y880" s="207"/>
      <c r="Z880" s="204"/>
      <c r="AA880" s="204"/>
      <c r="AB880" s="204"/>
      <c r="AC880" s="204"/>
    </row>
    <row r="881" spans="1:29">
      <c r="A881" s="204"/>
      <c r="B881" s="204"/>
      <c r="C881" s="204"/>
      <c r="D881" s="204"/>
      <c r="E881" s="204"/>
      <c r="F881" s="204"/>
      <c r="G881" s="204"/>
      <c r="H881" s="204"/>
      <c r="I881" s="204"/>
      <c r="J881" s="204"/>
      <c r="K881" s="204"/>
      <c r="L881" s="205"/>
      <c r="M881" s="205"/>
      <c r="N881" s="204"/>
      <c r="O881" s="204"/>
      <c r="P881" s="206"/>
      <c r="Q881" s="206"/>
      <c r="R881" s="206"/>
      <c r="S881" s="206"/>
      <c r="T881" s="204"/>
      <c r="U881" s="207"/>
      <c r="V881" s="204"/>
      <c r="W881" s="204"/>
      <c r="X881" s="207"/>
      <c r="Y881" s="207"/>
      <c r="Z881" s="204"/>
      <c r="AA881" s="204"/>
      <c r="AB881" s="204"/>
      <c r="AC881" s="204"/>
    </row>
    <row r="882" spans="1:29">
      <c r="A882" s="204"/>
      <c r="B882" s="204"/>
      <c r="C882" s="204"/>
      <c r="D882" s="204"/>
      <c r="E882" s="204"/>
      <c r="F882" s="204"/>
      <c r="G882" s="204"/>
      <c r="H882" s="204"/>
      <c r="I882" s="204"/>
      <c r="J882" s="204"/>
      <c r="K882" s="204"/>
      <c r="L882" s="205"/>
      <c r="M882" s="205"/>
      <c r="N882" s="204"/>
      <c r="O882" s="204"/>
      <c r="P882" s="206"/>
      <c r="Q882" s="206"/>
      <c r="R882" s="206"/>
      <c r="S882" s="206"/>
      <c r="T882" s="204"/>
      <c r="U882" s="207"/>
      <c r="V882" s="204"/>
      <c r="W882" s="204"/>
      <c r="X882" s="207"/>
      <c r="Y882" s="207"/>
      <c r="Z882" s="204"/>
      <c r="AA882" s="204"/>
      <c r="AB882" s="204"/>
      <c r="AC882" s="204"/>
    </row>
    <row r="883" spans="1:29">
      <c r="A883" s="204"/>
      <c r="B883" s="204"/>
      <c r="C883" s="204"/>
      <c r="D883" s="204"/>
      <c r="E883" s="204"/>
      <c r="F883" s="204"/>
      <c r="G883" s="204"/>
      <c r="H883" s="204"/>
      <c r="I883" s="204"/>
      <c r="J883" s="204"/>
      <c r="K883" s="204"/>
      <c r="L883" s="205"/>
      <c r="M883" s="205"/>
      <c r="N883" s="204"/>
      <c r="O883" s="204"/>
      <c r="P883" s="206"/>
      <c r="Q883" s="206"/>
      <c r="R883" s="206"/>
      <c r="S883" s="206"/>
      <c r="T883" s="204"/>
      <c r="U883" s="207"/>
      <c r="V883" s="204"/>
      <c r="W883" s="204"/>
      <c r="X883" s="207"/>
      <c r="Y883" s="207"/>
      <c r="Z883" s="204"/>
      <c r="AA883" s="204"/>
      <c r="AB883" s="204"/>
      <c r="AC883" s="204"/>
    </row>
    <row r="884" spans="1:29">
      <c r="A884" s="204"/>
      <c r="B884" s="204"/>
      <c r="C884" s="204"/>
      <c r="D884" s="204"/>
      <c r="E884" s="204"/>
      <c r="F884" s="204"/>
      <c r="G884" s="204"/>
      <c r="H884" s="204"/>
      <c r="I884" s="204"/>
      <c r="J884" s="204"/>
      <c r="K884" s="204"/>
      <c r="L884" s="205"/>
      <c r="M884" s="205"/>
      <c r="N884" s="204"/>
      <c r="O884" s="204"/>
      <c r="P884" s="206"/>
      <c r="Q884" s="206"/>
      <c r="R884" s="206"/>
      <c r="S884" s="206"/>
      <c r="T884" s="204"/>
      <c r="U884" s="207"/>
      <c r="V884" s="204"/>
      <c r="W884" s="204"/>
      <c r="X884" s="207"/>
      <c r="Y884" s="207"/>
      <c r="Z884" s="204"/>
      <c r="AA884" s="204"/>
      <c r="AB884" s="204"/>
      <c r="AC884" s="204"/>
    </row>
    <row r="885" spans="1:29">
      <c r="A885" s="204"/>
      <c r="B885" s="204"/>
      <c r="C885" s="204"/>
      <c r="D885" s="204"/>
      <c r="E885" s="204"/>
      <c r="F885" s="204"/>
      <c r="G885" s="204"/>
      <c r="H885" s="204"/>
      <c r="I885" s="204"/>
      <c r="J885" s="204"/>
      <c r="K885" s="204"/>
      <c r="L885" s="205"/>
      <c r="M885" s="205"/>
      <c r="N885" s="204"/>
      <c r="O885" s="204"/>
      <c r="P885" s="206"/>
      <c r="Q885" s="206"/>
      <c r="R885" s="206"/>
      <c r="S885" s="206"/>
      <c r="T885" s="204"/>
      <c r="U885" s="207"/>
      <c r="V885" s="204"/>
      <c r="W885" s="204"/>
      <c r="X885" s="207"/>
      <c r="Y885" s="207"/>
      <c r="Z885" s="204"/>
      <c r="AA885" s="204"/>
      <c r="AB885" s="204"/>
      <c r="AC885" s="204"/>
    </row>
    <row r="886" spans="1:29">
      <c r="A886" s="204"/>
      <c r="B886" s="204"/>
      <c r="C886" s="204"/>
      <c r="D886" s="204"/>
      <c r="E886" s="204"/>
      <c r="F886" s="204"/>
      <c r="G886" s="204"/>
      <c r="H886" s="204"/>
      <c r="I886" s="204"/>
      <c r="J886" s="204"/>
      <c r="K886" s="204"/>
      <c r="L886" s="205"/>
      <c r="M886" s="205"/>
      <c r="N886" s="204"/>
      <c r="O886" s="204"/>
      <c r="P886" s="206"/>
      <c r="Q886" s="206"/>
      <c r="R886" s="206"/>
      <c r="S886" s="206"/>
      <c r="T886" s="204"/>
      <c r="U886" s="207"/>
      <c r="V886" s="204"/>
      <c r="W886" s="204"/>
      <c r="X886" s="207"/>
      <c r="Y886" s="207"/>
      <c r="Z886" s="204"/>
      <c r="AA886" s="204"/>
      <c r="AB886" s="204"/>
      <c r="AC886" s="204"/>
    </row>
    <row r="887" spans="1:29">
      <c r="A887" s="204"/>
      <c r="B887" s="204"/>
      <c r="C887" s="204"/>
      <c r="D887" s="204"/>
      <c r="E887" s="204"/>
      <c r="F887" s="204"/>
      <c r="G887" s="204"/>
      <c r="H887" s="204"/>
      <c r="I887" s="204"/>
      <c r="J887" s="204"/>
      <c r="K887" s="204"/>
      <c r="L887" s="205"/>
      <c r="M887" s="205"/>
      <c r="N887" s="204"/>
      <c r="O887" s="204"/>
      <c r="P887" s="206"/>
      <c r="Q887" s="206"/>
      <c r="R887" s="206"/>
      <c r="S887" s="206"/>
      <c r="T887" s="204"/>
      <c r="U887" s="207"/>
      <c r="V887" s="204"/>
      <c r="W887" s="204"/>
      <c r="X887" s="207"/>
      <c r="Y887" s="207"/>
      <c r="Z887" s="204"/>
      <c r="AA887" s="204"/>
      <c r="AB887" s="204"/>
      <c r="AC887" s="204"/>
    </row>
    <row r="888" spans="1:29">
      <c r="A888" s="204"/>
      <c r="B888" s="204"/>
      <c r="C888" s="204"/>
      <c r="D888" s="204"/>
      <c r="E888" s="204"/>
      <c r="F888" s="204"/>
      <c r="G888" s="204"/>
      <c r="H888" s="204"/>
      <c r="I888" s="204"/>
      <c r="J888" s="204"/>
      <c r="K888" s="204"/>
      <c r="L888" s="205"/>
      <c r="M888" s="205"/>
      <c r="N888" s="204"/>
      <c r="O888" s="204"/>
      <c r="P888" s="206"/>
      <c r="Q888" s="206"/>
      <c r="R888" s="206"/>
      <c r="S888" s="206"/>
      <c r="T888" s="204"/>
      <c r="U888" s="207"/>
      <c r="V888" s="204"/>
      <c r="W888" s="204"/>
      <c r="X888" s="207"/>
      <c r="Y888" s="207"/>
      <c r="Z888" s="204"/>
      <c r="AA888" s="204"/>
      <c r="AB888" s="204"/>
      <c r="AC888" s="204"/>
    </row>
    <row r="889" spans="1:29">
      <c r="A889" s="204"/>
      <c r="B889" s="204"/>
      <c r="C889" s="204"/>
      <c r="D889" s="204"/>
      <c r="E889" s="204"/>
      <c r="F889" s="204"/>
      <c r="G889" s="204"/>
      <c r="H889" s="204"/>
      <c r="I889" s="204"/>
      <c r="J889" s="204"/>
      <c r="K889" s="204"/>
      <c r="L889" s="205"/>
      <c r="M889" s="205"/>
      <c r="N889" s="204"/>
      <c r="O889" s="204"/>
      <c r="P889" s="206"/>
      <c r="Q889" s="206"/>
      <c r="R889" s="206"/>
      <c r="S889" s="206"/>
      <c r="T889" s="204"/>
      <c r="U889" s="207"/>
      <c r="V889" s="204"/>
      <c r="W889" s="204"/>
      <c r="X889" s="207"/>
      <c r="Y889" s="207"/>
      <c r="Z889" s="204"/>
      <c r="AA889" s="204"/>
      <c r="AB889" s="204"/>
      <c r="AC889" s="204"/>
    </row>
    <row r="890" spans="1:29">
      <c r="A890" s="204"/>
      <c r="B890" s="204"/>
      <c r="C890" s="204"/>
      <c r="D890" s="204"/>
      <c r="E890" s="204"/>
      <c r="F890" s="204"/>
      <c r="G890" s="204"/>
      <c r="H890" s="204"/>
      <c r="I890" s="204"/>
      <c r="J890" s="204"/>
      <c r="K890" s="204"/>
      <c r="L890" s="205"/>
      <c r="M890" s="205"/>
      <c r="N890" s="204"/>
      <c r="O890" s="204"/>
      <c r="P890" s="206"/>
      <c r="Q890" s="206"/>
      <c r="R890" s="206"/>
      <c r="S890" s="206"/>
      <c r="T890" s="204"/>
      <c r="U890" s="207"/>
      <c r="V890" s="204"/>
      <c r="W890" s="204"/>
      <c r="X890" s="207"/>
      <c r="Y890" s="207"/>
      <c r="Z890" s="204"/>
      <c r="AA890" s="204"/>
      <c r="AB890" s="204"/>
      <c r="AC890" s="204"/>
    </row>
    <row r="891" spans="1:29">
      <c r="A891" s="204"/>
      <c r="B891" s="204"/>
      <c r="C891" s="204"/>
      <c r="D891" s="204"/>
      <c r="E891" s="204"/>
      <c r="F891" s="204"/>
      <c r="G891" s="204"/>
      <c r="H891" s="204"/>
      <c r="I891" s="204"/>
      <c r="J891" s="204"/>
      <c r="K891" s="204"/>
      <c r="L891" s="205"/>
      <c r="M891" s="205"/>
      <c r="N891" s="204"/>
      <c r="O891" s="204"/>
      <c r="P891" s="206"/>
      <c r="Q891" s="206"/>
      <c r="R891" s="206"/>
      <c r="S891" s="206"/>
      <c r="T891" s="204"/>
      <c r="U891" s="207"/>
      <c r="V891" s="204"/>
      <c r="W891" s="204"/>
      <c r="X891" s="207"/>
      <c r="Y891" s="207"/>
      <c r="Z891" s="204"/>
      <c r="AA891" s="204"/>
      <c r="AB891" s="204"/>
      <c r="AC891" s="204"/>
    </row>
    <row r="892" spans="1:29">
      <c r="A892" s="204"/>
      <c r="B892" s="204"/>
      <c r="C892" s="204"/>
      <c r="D892" s="204"/>
      <c r="E892" s="204"/>
      <c r="F892" s="204"/>
      <c r="G892" s="204"/>
      <c r="H892" s="204"/>
      <c r="I892" s="204"/>
      <c r="J892" s="204"/>
      <c r="K892" s="204"/>
      <c r="L892" s="205"/>
      <c r="M892" s="205"/>
      <c r="N892" s="204"/>
      <c r="O892" s="204"/>
      <c r="P892" s="206"/>
      <c r="Q892" s="206"/>
      <c r="R892" s="206"/>
      <c r="S892" s="206"/>
      <c r="T892" s="204"/>
      <c r="U892" s="207"/>
      <c r="V892" s="204"/>
      <c r="W892" s="204"/>
      <c r="X892" s="207"/>
      <c r="Y892" s="207"/>
      <c r="Z892" s="204"/>
      <c r="AA892" s="204"/>
      <c r="AB892" s="204"/>
      <c r="AC892" s="204"/>
    </row>
    <row r="893" spans="1:29">
      <c r="A893" s="204"/>
      <c r="B893" s="204"/>
      <c r="C893" s="204"/>
      <c r="D893" s="204"/>
      <c r="E893" s="204"/>
      <c r="F893" s="204"/>
      <c r="G893" s="204"/>
      <c r="H893" s="204"/>
      <c r="I893" s="204"/>
      <c r="J893" s="204"/>
      <c r="K893" s="204"/>
      <c r="L893" s="205"/>
      <c r="M893" s="205"/>
      <c r="N893" s="204"/>
      <c r="O893" s="204"/>
      <c r="P893" s="206"/>
      <c r="Q893" s="206"/>
      <c r="R893" s="206"/>
      <c r="S893" s="206"/>
      <c r="T893" s="204"/>
      <c r="U893" s="207"/>
      <c r="V893" s="204"/>
      <c r="W893" s="204"/>
      <c r="X893" s="207"/>
      <c r="Y893" s="207"/>
      <c r="Z893" s="204"/>
      <c r="AA893" s="204"/>
      <c r="AB893" s="204"/>
      <c r="AC893" s="204"/>
    </row>
    <row r="894" spans="1:29">
      <c r="A894" s="204"/>
      <c r="B894" s="204"/>
      <c r="C894" s="204"/>
      <c r="D894" s="204"/>
      <c r="E894" s="204"/>
      <c r="F894" s="204"/>
      <c r="G894" s="204"/>
      <c r="H894" s="204"/>
      <c r="I894" s="204"/>
      <c r="J894" s="204"/>
      <c r="K894" s="204"/>
      <c r="L894" s="205"/>
      <c r="M894" s="205"/>
      <c r="N894" s="204"/>
      <c r="O894" s="204"/>
      <c r="P894" s="206"/>
      <c r="Q894" s="206"/>
      <c r="R894" s="206"/>
      <c r="S894" s="206"/>
      <c r="T894" s="204"/>
      <c r="U894" s="207"/>
      <c r="V894" s="204"/>
      <c r="W894" s="204"/>
      <c r="X894" s="207"/>
      <c r="Y894" s="207"/>
      <c r="Z894" s="204"/>
      <c r="AA894" s="204"/>
      <c r="AB894" s="204"/>
      <c r="AC894" s="204"/>
    </row>
    <row r="895" spans="1:29">
      <c r="A895" s="204"/>
      <c r="B895" s="204"/>
      <c r="C895" s="204"/>
      <c r="D895" s="204"/>
      <c r="E895" s="204"/>
      <c r="F895" s="204"/>
      <c r="G895" s="204"/>
      <c r="H895" s="204"/>
      <c r="I895" s="204"/>
      <c r="J895" s="204"/>
      <c r="K895" s="204"/>
      <c r="L895" s="205"/>
      <c r="M895" s="205"/>
      <c r="N895" s="204"/>
      <c r="O895" s="204"/>
      <c r="P895" s="206"/>
      <c r="Q895" s="206"/>
      <c r="R895" s="206"/>
      <c r="S895" s="206"/>
      <c r="T895" s="204"/>
      <c r="U895" s="207"/>
      <c r="V895" s="204"/>
      <c r="W895" s="204"/>
      <c r="X895" s="207"/>
      <c r="Y895" s="207"/>
      <c r="Z895" s="204"/>
      <c r="AA895" s="204"/>
      <c r="AB895" s="204"/>
      <c r="AC895" s="204"/>
    </row>
    <row r="896" spans="1:29">
      <c r="A896" s="204"/>
      <c r="B896" s="204"/>
      <c r="C896" s="204"/>
      <c r="D896" s="204"/>
      <c r="E896" s="204"/>
      <c r="F896" s="204"/>
      <c r="G896" s="204"/>
      <c r="H896" s="204"/>
      <c r="I896" s="204"/>
      <c r="J896" s="204"/>
      <c r="K896" s="204"/>
      <c r="L896" s="205"/>
      <c r="M896" s="205"/>
      <c r="N896" s="204"/>
      <c r="O896" s="204"/>
      <c r="P896" s="206"/>
      <c r="Q896" s="206"/>
      <c r="R896" s="206"/>
      <c r="S896" s="206"/>
      <c r="T896" s="204"/>
      <c r="U896" s="207"/>
      <c r="V896" s="204"/>
      <c r="W896" s="204"/>
      <c r="X896" s="207"/>
      <c r="Y896" s="207"/>
      <c r="Z896" s="204"/>
      <c r="AA896" s="204"/>
      <c r="AB896" s="204"/>
      <c r="AC896" s="204"/>
    </row>
    <row r="897" spans="1:29">
      <c r="A897" s="204"/>
      <c r="B897" s="204"/>
      <c r="C897" s="204"/>
      <c r="D897" s="204"/>
      <c r="E897" s="204"/>
      <c r="F897" s="204"/>
      <c r="G897" s="204"/>
      <c r="H897" s="204"/>
      <c r="I897" s="204"/>
      <c r="J897" s="204"/>
      <c r="K897" s="204"/>
      <c r="L897" s="205"/>
      <c r="M897" s="205"/>
      <c r="N897" s="204"/>
      <c r="O897" s="204"/>
      <c r="P897" s="206"/>
      <c r="Q897" s="206"/>
      <c r="R897" s="206"/>
      <c r="S897" s="206"/>
      <c r="T897" s="204"/>
      <c r="U897" s="207"/>
      <c r="V897" s="204"/>
      <c r="W897" s="204"/>
      <c r="X897" s="207"/>
      <c r="Y897" s="207"/>
      <c r="Z897" s="204"/>
      <c r="AA897" s="204"/>
      <c r="AB897" s="204"/>
      <c r="AC897" s="204"/>
    </row>
    <row r="898" spans="1:29">
      <c r="A898" s="204"/>
      <c r="B898" s="204"/>
      <c r="C898" s="204"/>
      <c r="D898" s="204"/>
      <c r="E898" s="204"/>
      <c r="F898" s="204"/>
      <c r="G898" s="204"/>
      <c r="H898" s="204"/>
      <c r="I898" s="204"/>
      <c r="J898" s="204"/>
      <c r="K898" s="204"/>
      <c r="L898" s="205"/>
      <c r="M898" s="205"/>
      <c r="N898" s="204"/>
      <c r="O898" s="204"/>
      <c r="P898" s="206"/>
      <c r="Q898" s="206"/>
      <c r="R898" s="206"/>
      <c r="S898" s="206"/>
      <c r="T898" s="204"/>
      <c r="U898" s="207"/>
      <c r="V898" s="204"/>
      <c r="W898" s="204"/>
      <c r="X898" s="207"/>
      <c r="Y898" s="207"/>
      <c r="Z898" s="204"/>
      <c r="AA898" s="204"/>
      <c r="AB898" s="204"/>
      <c r="AC898" s="204"/>
    </row>
    <row r="899" spans="1:29">
      <c r="A899" s="204"/>
      <c r="B899" s="204"/>
      <c r="C899" s="204"/>
      <c r="D899" s="204"/>
      <c r="E899" s="204"/>
      <c r="F899" s="204"/>
      <c r="G899" s="204"/>
      <c r="H899" s="204"/>
      <c r="I899" s="204"/>
      <c r="J899" s="204"/>
      <c r="K899" s="204"/>
      <c r="L899" s="205"/>
      <c r="M899" s="205"/>
      <c r="N899" s="204"/>
      <c r="O899" s="204"/>
      <c r="P899" s="206"/>
      <c r="Q899" s="206"/>
      <c r="R899" s="206"/>
      <c r="S899" s="206"/>
      <c r="T899" s="204"/>
      <c r="U899" s="207"/>
      <c r="V899" s="204"/>
      <c r="W899" s="204"/>
      <c r="X899" s="207"/>
      <c r="Y899" s="207"/>
      <c r="Z899" s="204"/>
      <c r="AA899" s="204"/>
      <c r="AB899" s="204"/>
      <c r="AC899" s="204"/>
    </row>
    <row r="900" spans="1:29">
      <c r="A900" s="204"/>
      <c r="B900" s="204"/>
      <c r="C900" s="204"/>
      <c r="D900" s="204"/>
      <c r="E900" s="204"/>
      <c r="F900" s="204"/>
      <c r="G900" s="204"/>
      <c r="H900" s="204"/>
      <c r="I900" s="204"/>
      <c r="J900" s="204"/>
      <c r="K900" s="204"/>
      <c r="L900" s="205"/>
      <c r="M900" s="205"/>
      <c r="N900" s="204"/>
      <c r="O900" s="204"/>
      <c r="P900" s="206"/>
      <c r="Q900" s="206"/>
      <c r="R900" s="206"/>
      <c r="S900" s="206"/>
      <c r="T900" s="204"/>
      <c r="U900" s="207"/>
      <c r="V900" s="204"/>
      <c r="W900" s="204"/>
      <c r="X900" s="207"/>
      <c r="Y900" s="207"/>
      <c r="Z900" s="204"/>
      <c r="AA900" s="204"/>
      <c r="AB900" s="204"/>
      <c r="AC900" s="204"/>
    </row>
    <row r="901" spans="1:29">
      <c r="A901" s="204"/>
      <c r="B901" s="204"/>
      <c r="C901" s="204"/>
      <c r="D901" s="204"/>
      <c r="E901" s="204"/>
      <c r="F901" s="204"/>
      <c r="G901" s="204"/>
      <c r="H901" s="204"/>
      <c r="I901" s="204"/>
      <c r="J901" s="204"/>
      <c r="K901" s="204"/>
      <c r="L901" s="205"/>
      <c r="M901" s="205"/>
      <c r="N901" s="204"/>
      <c r="O901" s="204"/>
      <c r="P901" s="206"/>
      <c r="Q901" s="206"/>
      <c r="R901" s="206"/>
      <c r="S901" s="206"/>
      <c r="T901" s="204"/>
      <c r="U901" s="207"/>
      <c r="V901" s="204"/>
      <c r="W901" s="204"/>
      <c r="X901" s="207"/>
      <c r="Y901" s="207"/>
      <c r="Z901" s="204"/>
      <c r="AA901" s="204"/>
      <c r="AB901" s="204"/>
      <c r="AC901" s="204"/>
    </row>
    <row r="902" spans="1:29">
      <c r="A902" s="204"/>
      <c r="B902" s="204"/>
      <c r="C902" s="204"/>
      <c r="D902" s="204"/>
      <c r="E902" s="204"/>
      <c r="F902" s="204"/>
      <c r="G902" s="204"/>
      <c r="H902" s="204"/>
      <c r="I902" s="204"/>
      <c r="J902" s="204"/>
      <c r="K902" s="204"/>
      <c r="L902" s="205"/>
      <c r="M902" s="205"/>
      <c r="N902" s="204"/>
      <c r="O902" s="204"/>
      <c r="P902" s="206"/>
      <c r="Q902" s="206"/>
      <c r="R902" s="206"/>
      <c r="S902" s="206"/>
      <c r="T902" s="204"/>
      <c r="U902" s="207"/>
      <c r="V902" s="204"/>
      <c r="W902" s="204"/>
      <c r="X902" s="207"/>
      <c r="Y902" s="207"/>
      <c r="Z902" s="204"/>
      <c r="AA902" s="204"/>
      <c r="AB902" s="204"/>
      <c r="AC902" s="204"/>
    </row>
    <row r="903" spans="1:29">
      <c r="A903" s="204"/>
      <c r="B903" s="204"/>
      <c r="C903" s="204"/>
      <c r="D903" s="204"/>
      <c r="E903" s="204"/>
      <c r="F903" s="204"/>
      <c r="G903" s="204"/>
      <c r="H903" s="204"/>
      <c r="I903" s="204"/>
      <c r="J903" s="204"/>
      <c r="K903" s="204"/>
      <c r="L903" s="205"/>
      <c r="M903" s="205"/>
      <c r="N903" s="204"/>
      <c r="O903" s="204"/>
      <c r="P903" s="206"/>
      <c r="Q903" s="206"/>
      <c r="R903" s="206"/>
      <c r="S903" s="206"/>
      <c r="T903" s="204"/>
      <c r="U903" s="207"/>
      <c r="V903" s="204"/>
      <c r="W903" s="204"/>
      <c r="X903" s="207"/>
      <c r="Y903" s="207"/>
      <c r="Z903" s="204"/>
      <c r="AA903" s="204"/>
      <c r="AB903" s="204"/>
      <c r="AC903" s="204"/>
    </row>
    <row r="904" spans="1:29">
      <c r="A904" s="204"/>
      <c r="B904" s="204"/>
      <c r="C904" s="204"/>
      <c r="D904" s="204"/>
      <c r="E904" s="204"/>
      <c r="F904" s="204"/>
      <c r="G904" s="204"/>
      <c r="H904" s="204"/>
      <c r="I904" s="204"/>
      <c r="J904" s="204"/>
      <c r="K904" s="204"/>
      <c r="L904" s="205"/>
      <c r="M904" s="205"/>
      <c r="N904" s="204"/>
      <c r="O904" s="204"/>
      <c r="P904" s="206"/>
      <c r="Q904" s="206"/>
      <c r="R904" s="206"/>
      <c r="S904" s="206"/>
      <c r="T904" s="204"/>
      <c r="U904" s="207"/>
      <c r="V904" s="204"/>
      <c r="W904" s="204"/>
      <c r="X904" s="207"/>
      <c r="Y904" s="207"/>
      <c r="Z904" s="204"/>
      <c r="AA904" s="204"/>
      <c r="AB904" s="204"/>
      <c r="AC904" s="204"/>
    </row>
    <row r="905" spans="1:29">
      <c r="A905" s="204"/>
      <c r="B905" s="204"/>
      <c r="C905" s="204"/>
      <c r="D905" s="204"/>
      <c r="E905" s="204"/>
      <c r="F905" s="204"/>
      <c r="G905" s="204"/>
      <c r="H905" s="204"/>
      <c r="I905" s="204"/>
      <c r="J905" s="204"/>
      <c r="K905" s="204"/>
      <c r="L905" s="205"/>
      <c r="M905" s="205"/>
      <c r="N905" s="204"/>
      <c r="O905" s="204"/>
      <c r="P905" s="206"/>
      <c r="Q905" s="206"/>
      <c r="R905" s="206"/>
      <c r="S905" s="206"/>
      <c r="T905" s="204"/>
      <c r="U905" s="207"/>
      <c r="V905" s="204"/>
      <c r="W905" s="204"/>
      <c r="X905" s="207"/>
      <c r="Y905" s="207"/>
      <c r="Z905" s="204"/>
      <c r="AA905" s="204"/>
      <c r="AB905" s="204"/>
      <c r="AC905" s="204"/>
    </row>
    <row r="906" spans="1:29">
      <c r="A906" s="204"/>
      <c r="B906" s="204"/>
      <c r="C906" s="204"/>
      <c r="D906" s="204"/>
      <c r="E906" s="204"/>
      <c r="F906" s="204"/>
      <c r="G906" s="204"/>
      <c r="H906" s="204"/>
      <c r="I906" s="204"/>
      <c r="J906" s="204"/>
      <c r="K906" s="204"/>
      <c r="L906" s="205"/>
      <c r="M906" s="205"/>
      <c r="N906" s="204"/>
      <c r="O906" s="204"/>
      <c r="P906" s="206"/>
      <c r="Q906" s="206"/>
      <c r="R906" s="206"/>
      <c r="S906" s="206"/>
      <c r="T906" s="204"/>
      <c r="U906" s="207"/>
      <c r="V906" s="204"/>
      <c r="W906" s="204"/>
      <c r="X906" s="207"/>
      <c r="Y906" s="207"/>
      <c r="Z906" s="204"/>
      <c r="AA906" s="204"/>
      <c r="AB906" s="204"/>
      <c r="AC906" s="204"/>
    </row>
    <row r="907" spans="1:29">
      <c r="A907" s="204"/>
      <c r="B907" s="204"/>
      <c r="C907" s="204"/>
      <c r="D907" s="204"/>
      <c r="E907" s="204"/>
      <c r="F907" s="204"/>
      <c r="G907" s="204"/>
      <c r="H907" s="204"/>
      <c r="I907" s="204"/>
      <c r="J907" s="204"/>
      <c r="K907" s="204"/>
      <c r="L907" s="205"/>
      <c r="M907" s="205"/>
      <c r="N907" s="204"/>
      <c r="O907" s="204"/>
      <c r="P907" s="206"/>
      <c r="Q907" s="206"/>
      <c r="R907" s="206"/>
      <c r="S907" s="206"/>
      <c r="T907" s="204"/>
      <c r="U907" s="207"/>
      <c r="V907" s="204"/>
      <c r="W907" s="204"/>
      <c r="X907" s="207"/>
      <c r="Y907" s="207"/>
      <c r="Z907" s="204"/>
      <c r="AA907" s="204"/>
      <c r="AB907" s="204"/>
      <c r="AC907" s="204"/>
    </row>
    <row r="908" spans="1:29">
      <c r="A908" s="204"/>
      <c r="B908" s="204"/>
      <c r="C908" s="204"/>
      <c r="D908" s="204"/>
      <c r="E908" s="204"/>
      <c r="F908" s="204"/>
      <c r="G908" s="204"/>
      <c r="H908" s="204"/>
      <c r="I908" s="204"/>
      <c r="J908" s="204"/>
      <c r="K908" s="204"/>
      <c r="L908" s="205"/>
      <c r="M908" s="205"/>
      <c r="N908" s="204"/>
      <c r="O908" s="204"/>
      <c r="P908" s="206"/>
      <c r="Q908" s="206"/>
      <c r="R908" s="206"/>
      <c r="S908" s="206"/>
      <c r="T908" s="204"/>
      <c r="U908" s="207"/>
      <c r="V908" s="204"/>
      <c r="W908" s="204"/>
      <c r="X908" s="207"/>
      <c r="Y908" s="207"/>
      <c r="Z908" s="204"/>
      <c r="AA908" s="204"/>
      <c r="AB908" s="204"/>
      <c r="AC908" s="204"/>
    </row>
    <row r="909" spans="1:29">
      <c r="A909" s="204"/>
      <c r="B909" s="204"/>
      <c r="C909" s="204"/>
      <c r="D909" s="204"/>
      <c r="E909" s="204"/>
      <c r="F909" s="204"/>
      <c r="G909" s="204"/>
      <c r="H909" s="204"/>
      <c r="I909" s="204"/>
      <c r="J909" s="204"/>
      <c r="K909" s="204"/>
      <c r="L909" s="205"/>
      <c r="M909" s="205"/>
      <c r="N909" s="204"/>
      <c r="O909" s="204"/>
      <c r="P909" s="206"/>
      <c r="Q909" s="206"/>
      <c r="R909" s="206"/>
      <c r="S909" s="206"/>
      <c r="T909" s="204"/>
      <c r="U909" s="207"/>
      <c r="V909" s="204"/>
      <c r="W909" s="204"/>
      <c r="X909" s="207"/>
      <c r="Y909" s="207"/>
      <c r="Z909" s="204"/>
      <c r="AA909" s="204"/>
      <c r="AB909" s="204"/>
      <c r="AC909" s="204"/>
    </row>
    <row r="910" spans="1:29">
      <c r="A910" s="204"/>
      <c r="B910" s="204"/>
      <c r="C910" s="204"/>
      <c r="D910" s="204"/>
      <c r="E910" s="204"/>
      <c r="F910" s="204"/>
      <c r="G910" s="204"/>
      <c r="H910" s="204"/>
      <c r="I910" s="204"/>
      <c r="J910" s="204"/>
      <c r="K910" s="204"/>
      <c r="L910" s="205"/>
      <c r="M910" s="205"/>
      <c r="N910" s="204"/>
      <c r="O910" s="204"/>
      <c r="P910" s="206"/>
      <c r="Q910" s="206"/>
      <c r="R910" s="206"/>
      <c r="S910" s="206"/>
      <c r="T910" s="204"/>
      <c r="U910" s="207"/>
      <c r="V910" s="204"/>
      <c r="W910" s="204"/>
      <c r="X910" s="207"/>
      <c r="Y910" s="207"/>
      <c r="Z910" s="204"/>
      <c r="AA910" s="204"/>
      <c r="AB910" s="204"/>
      <c r="AC910" s="204"/>
    </row>
    <row r="911" spans="1:29">
      <c r="A911" s="204"/>
      <c r="B911" s="204"/>
      <c r="C911" s="204"/>
      <c r="D911" s="204"/>
      <c r="E911" s="204"/>
      <c r="F911" s="204"/>
      <c r="G911" s="204"/>
      <c r="H911" s="204"/>
      <c r="I911" s="204"/>
      <c r="J911" s="204"/>
      <c r="K911" s="204"/>
      <c r="L911" s="205"/>
      <c r="M911" s="205"/>
      <c r="N911" s="204"/>
      <c r="O911" s="204"/>
      <c r="P911" s="206"/>
      <c r="Q911" s="206"/>
      <c r="R911" s="206"/>
      <c r="S911" s="206"/>
      <c r="T911" s="204"/>
      <c r="U911" s="207"/>
      <c r="V911" s="204"/>
      <c r="W911" s="204"/>
      <c r="X911" s="207"/>
      <c r="Y911" s="207"/>
      <c r="Z911" s="204"/>
      <c r="AA911" s="204"/>
      <c r="AB911" s="204"/>
      <c r="AC911" s="204"/>
    </row>
    <row r="912" spans="1:29">
      <c r="A912" s="204"/>
      <c r="B912" s="204"/>
      <c r="C912" s="204"/>
      <c r="D912" s="204"/>
      <c r="E912" s="204"/>
      <c r="F912" s="204"/>
      <c r="G912" s="204"/>
      <c r="H912" s="204"/>
      <c r="I912" s="204"/>
      <c r="J912" s="204"/>
      <c r="K912" s="204"/>
      <c r="L912" s="205"/>
      <c r="M912" s="205"/>
      <c r="N912" s="204"/>
      <c r="O912" s="204"/>
      <c r="P912" s="206"/>
      <c r="Q912" s="206"/>
      <c r="R912" s="206"/>
      <c r="S912" s="206"/>
      <c r="T912" s="204"/>
      <c r="U912" s="207"/>
      <c r="V912" s="204"/>
      <c r="W912" s="204"/>
      <c r="X912" s="207"/>
      <c r="Y912" s="207"/>
      <c r="Z912" s="204"/>
      <c r="AA912" s="204"/>
      <c r="AB912" s="204"/>
      <c r="AC912" s="204"/>
    </row>
    <row r="913" spans="1:29">
      <c r="A913" s="204"/>
      <c r="B913" s="204"/>
      <c r="C913" s="204"/>
      <c r="D913" s="204"/>
      <c r="E913" s="204"/>
      <c r="F913" s="204"/>
      <c r="G913" s="204"/>
      <c r="H913" s="204"/>
      <c r="I913" s="204"/>
      <c r="J913" s="204"/>
      <c r="K913" s="204"/>
      <c r="L913" s="205"/>
      <c r="M913" s="205"/>
      <c r="N913" s="204"/>
      <c r="O913" s="204"/>
      <c r="P913" s="206"/>
      <c r="Q913" s="206"/>
      <c r="R913" s="206"/>
      <c r="S913" s="206"/>
      <c r="T913" s="204"/>
      <c r="U913" s="207"/>
      <c r="V913" s="204"/>
      <c r="W913" s="204"/>
      <c r="X913" s="207"/>
      <c r="Y913" s="207"/>
      <c r="Z913" s="204"/>
      <c r="AA913" s="204"/>
      <c r="AB913" s="204"/>
      <c r="AC913" s="204"/>
    </row>
    <row r="914" spans="1:29">
      <c r="A914" s="204"/>
      <c r="B914" s="204"/>
      <c r="C914" s="204"/>
      <c r="D914" s="204"/>
      <c r="E914" s="204"/>
      <c r="F914" s="204"/>
      <c r="G914" s="204"/>
      <c r="H914" s="204"/>
      <c r="I914" s="204"/>
      <c r="J914" s="204"/>
      <c r="K914" s="204"/>
      <c r="L914" s="205"/>
      <c r="M914" s="205"/>
      <c r="N914" s="204"/>
      <c r="O914" s="204"/>
      <c r="P914" s="206"/>
      <c r="Q914" s="206"/>
      <c r="R914" s="206"/>
      <c r="S914" s="206"/>
      <c r="T914" s="204"/>
      <c r="U914" s="207"/>
      <c r="V914" s="204"/>
      <c r="W914" s="204"/>
      <c r="X914" s="207"/>
      <c r="Y914" s="207"/>
      <c r="Z914" s="204"/>
      <c r="AA914" s="204"/>
      <c r="AB914" s="204"/>
      <c r="AC914" s="204"/>
    </row>
    <row r="915" spans="1:29">
      <c r="A915" s="204"/>
      <c r="B915" s="204"/>
      <c r="C915" s="204"/>
      <c r="D915" s="204"/>
      <c r="E915" s="204"/>
      <c r="F915" s="204"/>
      <c r="G915" s="204"/>
      <c r="H915" s="204"/>
      <c r="I915" s="204"/>
      <c r="J915" s="204"/>
      <c r="K915" s="204"/>
      <c r="L915" s="205"/>
      <c r="M915" s="205"/>
      <c r="N915" s="204"/>
      <c r="O915" s="204"/>
      <c r="P915" s="206"/>
      <c r="Q915" s="206"/>
      <c r="R915" s="206"/>
      <c r="S915" s="206"/>
      <c r="T915" s="204"/>
      <c r="U915" s="207"/>
      <c r="V915" s="204"/>
      <c r="W915" s="204"/>
      <c r="X915" s="207"/>
      <c r="Y915" s="207"/>
      <c r="Z915" s="204"/>
      <c r="AA915" s="204"/>
      <c r="AB915" s="204"/>
      <c r="AC915" s="204"/>
    </row>
    <row r="916" spans="1:29">
      <c r="A916" s="204"/>
      <c r="B916" s="204"/>
      <c r="C916" s="204"/>
      <c r="D916" s="204"/>
      <c r="E916" s="204"/>
      <c r="F916" s="204"/>
      <c r="G916" s="204"/>
      <c r="H916" s="204"/>
      <c r="I916" s="204"/>
      <c r="J916" s="204"/>
      <c r="K916" s="204"/>
      <c r="L916" s="205"/>
      <c r="M916" s="205"/>
      <c r="N916" s="204"/>
      <c r="O916" s="204"/>
      <c r="P916" s="206"/>
      <c r="Q916" s="206"/>
      <c r="R916" s="206"/>
      <c r="S916" s="206"/>
      <c r="T916" s="204"/>
      <c r="U916" s="207"/>
      <c r="V916" s="204"/>
      <c r="W916" s="204"/>
      <c r="X916" s="207"/>
      <c r="Y916" s="207"/>
      <c r="Z916" s="204"/>
      <c r="AA916" s="204"/>
      <c r="AB916" s="204"/>
      <c r="AC916" s="204"/>
    </row>
    <row r="917" spans="1:29">
      <c r="A917" s="204"/>
      <c r="B917" s="204"/>
      <c r="C917" s="204"/>
      <c r="D917" s="204"/>
      <c r="E917" s="204"/>
      <c r="F917" s="204"/>
      <c r="G917" s="204"/>
      <c r="H917" s="204"/>
      <c r="I917" s="204"/>
      <c r="J917" s="204"/>
      <c r="K917" s="204"/>
      <c r="L917" s="205"/>
      <c r="M917" s="205"/>
      <c r="N917" s="204"/>
      <c r="O917" s="204"/>
      <c r="P917" s="206"/>
      <c r="Q917" s="206"/>
      <c r="R917" s="206"/>
      <c r="S917" s="206"/>
      <c r="T917" s="204"/>
      <c r="U917" s="207"/>
      <c r="V917" s="204"/>
      <c r="W917" s="204"/>
      <c r="X917" s="207"/>
      <c r="Y917" s="207"/>
      <c r="Z917" s="204"/>
      <c r="AA917" s="204"/>
      <c r="AB917" s="204"/>
      <c r="AC917" s="204"/>
    </row>
    <row r="918" spans="1:29">
      <c r="A918" s="204"/>
      <c r="B918" s="204"/>
      <c r="C918" s="204"/>
      <c r="D918" s="204"/>
      <c r="E918" s="204"/>
      <c r="F918" s="204"/>
      <c r="G918" s="204"/>
      <c r="H918" s="204"/>
      <c r="I918" s="204"/>
      <c r="J918" s="204"/>
      <c r="K918" s="204"/>
      <c r="L918" s="205"/>
      <c r="M918" s="205"/>
      <c r="N918" s="204"/>
      <c r="O918" s="204"/>
      <c r="P918" s="206"/>
      <c r="Q918" s="206"/>
      <c r="R918" s="206"/>
      <c r="S918" s="206"/>
      <c r="T918" s="204"/>
      <c r="U918" s="207"/>
      <c r="V918" s="204"/>
      <c r="W918" s="204"/>
      <c r="X918" s="207"/>
      <c r="Y918" s="207"/>
      <c r="Z918" s="204"/>
      <c r="AA918" s="204"/>
      <c r="AB918" s="204"/>
      <c r="AC918" s="204"/>
    </row>
    <row r="919" spans="1:29">
      <c r="A919" s="204"/>
      <c r="B919" s="204"/>
      <c r="C919" s="204"/>
      <c r="D919" s="204"/>
      <c r="E919" s="204"/>
      <c r="F919" s="204"/>
      <c r="G919" s="204"/>
      <c r="H919" s="204"/>
      <c r="I919" s="204"/>
      <c r="J919" s="204"/>
      <c r="K919" s="204"/>
      <c r="L919" s="205"/>
      <c r="M919" s="205"/>
      <c r="N919" s="204"/>
      <c r="O919" s="204"/>
      <c r="P919" s="206"/>
      <c r="Q919" s="206"/>
      <c r="R919" s="206"/>
      <c r="S919" s="206"/>
      <c r="T919" s="204"/>
      <c r="U919" s="207"/>
      <c r="V919" s="204"/>
      <c r="W919" s="204"/>
      <c r="X919" s="207"/>
      <c r="Y919" s="207"/>
      <c r="Z919" s="204"/>
      <c r="AA919" s="204"/>
      <c r="AB919" s="204"/>
      <c r="AC919" s="204"/>
    </row>
    <row r="920" spans="1:29">
      <c r="A920" s="204"/>
      <c r="B920" s="204"/>
      <c r="C920" s="204"/>
      <c r="D920" s="204"/>
      <c r="E920" s="204"/>
      <c r="F920" s="204"/>
      <c r="G920" s="204"/>
      <c r="H920" s="204"/>
      <c r="I920" s="204"/>
      <c r="J920" s="204"/>
      <c r="K920" s="204"/>
      <c r="L920" s="205"/>
      <c r="M920" s="205"/>
      <c r="N920" s="204"/>
      <c r="O920" s="204"/>
      <c r="P920" s="206"/>
      <c r="Q920" s="206"/>
      <c r="R920" s="206"/>
      <c r="S920" s="206"/>
      <c r="T920" s="204"/>
      <c r="U920" s="207"/>
      <c r="V920" s="204"/>
      <c r="W920" s="204"/>
      <c r="X920" s="207"/>
      <c r="Y920" s="207"/>
      <c r="Z920" s="204"/>
      <c r="AA920" s="204"/>
      <c r="AB920" s="204"/>
      <c r="AC920" s="204"/>
    </row>
    <row r="921" spans="1:29">
      <c r="A921" s="204"/>
      <c r="B921" s="204"/>
      <c r="C921" s="204"/>
      <c r="D921" s="204"/>
      <c r="E921" s="204"/>
      <c r="F921" s="204"/>
      <c r="G921" s="204"/>
      <c r="H921" s="204"/>
      <c r="I921" s="204"/>
      <c r="J921" s="204"/>
      <c r="K921" s="204"/>
      <c r="L921" s="205"/>
      <c r="M921" s="205"/>
      <c r="N921" s="204"/>
      <c r="O921" s="204"/>
      <c r="P921" s="206"/>
      <c r="Q921" s="206"/>
      <c r="R921" s="206"/>
      <c r="S921" s="206"/>
      <c r="T921" s="204"/>
      <c r="U921" s="207"/>
      <c r="V921" s="204"/>
      <c r="W921" s="204"/>
      <c r="X921" s="207"/>
      <c r="Y921" s="207"/>
      <c r="Z921" s="204"/>
      <c r="AA921" s="204"/>
      <c r="AB921" s="204"/>
      <c r="AC921" s="204"/>
    </row>
    <row r="922" spans="1:29">
      <c r="A922" s="204"/>
      <c r="B922" s="204"/>
      <c r="C922" s="204"/>
      <c r="D922" s="204"/>
      <c r="E922" s="204"/>
      <c r="F922" s="204"/>
      <c r="G922" s="204"/>
      <c r="H922" s="204"/>
      <c r="I922" s="204"/>
      <c r="J922" s="204"/>
      <c r="K922" s="204"/>
      <c r="L922" s="205"/>
      <c r="M922" s="205"/>
      <c r="N922" s="204"/>
      <c r="O922" s="204"/>
      <c r="P922" s="206"/>
      <c r="Q922" s="206"/>
      <c r="R922" s="206"/>
      <c r="S922" s="206"/>
      <c r="T922" s="204"/>
      <c r="U922" s="207"/>
      <c r="V922" s="204"/>
      <c r="W922" s="204"/>
      <c r="X922" s="207"/>
      <c r="Y922" s="207"/>
      <c r="Z922" s="204"/>
      <c r="AA922" s="204"/>
      <c r="AB922" s="204"/>
      <c r="AC922" s="204"/>
    </row>
    <row r="923" spans="1:29">
      <c r="A923" s="204"/>
      <c r="B923" s="204"/>
      <c r="C923" s="204"/>
      <c r="D923" s="204"/>
      <c r="E923" s="204"/>
      <c r="F923" s="204"/>
      <c r="G923" s="204"/>
      <c r="H923" s="204"/>
      <c r="I923" s="204"/>
      <c r="J923" s="204"/>
      <c r="K923" s="204"/>
      <c r="L923" s="205"/>
      <c r="M923" s="205"/>
      <c r="N923" s="204"/>
      <c r="O923" s="204"/>
      <c r="P923" s="206"/>
      <c r="Q923" s="206"/>
      <c r="R923" s="206"/>
      <c r="S923" s="206"/>
      <c r="T923" s="204"/>
      <c r="U923" s="207"/>
      <c r="V923" s="204"/>
      <c r="W923" s="204"/>
      <c r="X923" s="207"/>
      <c r="Y923" s="207"/>
      <c r="Z923" s="204"/>
      <c r="AA923" s="204"/>
      <c r="AB923" s="204"/>
      <c r="AC923" s="204"/>
    </row>
    <row r="924" spans="1:29">
      <c r="A924" s="204"/>
      <c r="B924" s="204"/>
      <c r="C924" s="204"/>
      <c r="D924" s="204"/>
      <c r="E924" s="204"/>
      <c r="F924" s="204"/>
      <c r="G924" s="204"/>
      <c r="H924" s="204"/>
      <c r="I924" s="204"/>
      <c r="J924" s="204"/>
      <c r="K924" s="204"/>
      <c r="L924" s="205"/>
      <c r="M924" s="205"/>
      <c r="N924" s="204"/>
      <c r="O924" s="204"/>
      <c r="P924" s="206"/>
      <c r="Q924" s="206"/>
      <c r="R924" s="206"/>
      <c r="S924" s="206"/>
      <c r="T924" s="204"/>
      <c r="U924" s="207"/>
      <c r="V924" s="204"/>
      <c r="W924" s="204"/>
      <c r="X924" s="207"/>
      <c r="Y924" s="207"/>
      <c r="Z924" s="204"/>
      <c r="AA924" s="204"/>
      <c r="AB924" s="204"/>
      <c r="AC924" s="204"/>
    </row>
    <row r="925" spans="1:29">
      <c r="A925" s="204"/>
      <c r="B925" s="204"/>
      <c r="C925" s="204"/>
      <c r="D925" s="204"/>
      <c r="E925" s="204"/>
      <c r="F925" s="204"/>
      <c r="G925" s="204"/>
      <c r="H925" s="204"/>
      <c r="I925" s="204"/>
      <c r="J925" s="204"/>
      <c r="K925" s="204"/>
      <c r="L925" s="205"/>
      <c r="M925" s="205"/>
      <c r="N925" s="204"/>
      <c r="O925" s="204"/>
      <c r="P925" s="206"/>
      <c r="Q925" s="206"/>
      <c r="R925" s="206"/>
      <c r="S925" s="206"/>
      <c r="T925" s="204"/>
      <c r="U925" s="207"/>
      <c r="V925" s="204"/>
      <c r="W925" s="204"/>
      <c r="X925" s="207"/>
      <c r="Y925" s="207"/>
      <c r="Z925" s="204"/>
      <c r="AA925" s="204"/>
      <c r="AB925" s="204"/>
      <c r="AC925" s="204"/>
    </row>
    <row r="926" spans="1:29">
      <c r="A926" s="204"/>
      <c r="B926" s="204"/>
      <c r="C926" s="204"/>
      <c r="D926" s="204"/>
      <c r="E926" s="204"/>
      <c r="F926" s="204"/>
      <c r="G926" s="204"/>
      <c r="H926" s="204"/>
      <c r="I926" s="204"/>
      <c r="J926" s="204"/>
      <c r="K926" s="204"/>
      <c r="L926" s="205"/>
      <c r="M926" s="205"/>
      <c r="N926" s="204"/>
      <c r="O926" s="204"/>
      <c r="P926" s="206"/>
      <c r="Q926" s="206"/>
      <c r="R926" s="206"/>
      <c r="S926" s="206"/>
      <c r="T926" s="204"/>
      <c r="U926" s="207"/>
      <c r="V926" s="204"/>
      <c r="W926" s="204"/>
      <c r="X926" s="207"/>
      <c r="Y926" s="207"/>
      <c r="Z926" s="204"/>
      <c r="AA926" s="204"/>
      <c r="AB926" s="204"/>
      <c r="AC926" s="204"/>
    </row>
    <row r="927" spans="1:29">
      <c r="A927" s="204"/>
      <c r="B927" s="204"/>
      <c r="C927" s="204"/>
      <c r="D927" s="204"/>
      <c r="E927" s="204"/>
      <c r="F927" s="204"/>
      <c r="G927" s="204"/>
      <c r="H927" s="204"/>
      <c r="I927" s="204"/>
      <c r="J927" s="204"/>
      <c r="K927" s="204"/>
      <c r="L927" s="205"/>
      <c r="M927" s="205"/>
      <c r="N927" s="204"/>
      <c r="O927" s="204"/>
      <c r="P927" s="206"/>
      <c r="Q927" s="206"/>
      <c r="R927" s="206"/>
      <c r="S927" s="206"/>
      <c r="T927" s="204"/>
      <c r="U927" s="207"/>
      <c r="V927" s="204"/>
      <c r="W927" s="204"/>
      <c r="X927" s="207"/>
      <c r="Y927" s="207"/>
      <c r="Z927" s="204"/>
      <c r="AA927" s="204"/>
      <c r="AB927" s="204"/>
      <c r="AC927" s="204"/>
    </row>
    <row r="928" spans="1:29">
      <c r="A928" s="204"/>
      <c r="B928" s="204"/>
      <c r="C928" s="204"/>
      <c r="D928" s="204"/>
      <c r="E928" s="204"/>
      <c r="F928" s="204"/>
      <c r="G928" s="204"/>
      <c r="H928" s="204"/>
      <c r="I928" s="204"/>
      <c r="J928" s="204"/>
      <c r="K928" s="204"/>
      <c r="L928" s="205"/>
      <c r="M928" s="205"/>
      <c r="N928" s="204"/>
      <c r="O928" s="204"/>
      <c r="P928" s="206"/>
      <c r="Q928" s="206"/>
      <c r="R928" s="206"/>
      <c r="S928" s="206"/>
      <c r="T928" s="204"/>
      <c r="U928" s="207"/>
      <c r="V928" s="204"/>
      <c r="W928" s="204"/>
      <c r="X928" s="207"/>
      <c r="Y928" s="207"/>
      <c r="Z928" s="204"/>
      <c r="AA928" s="204"/>
      <c r="AB928" s="204"/>
      <c r="AC928" s="204"/>
    </row>
    <row r="929" spans="1:29">
      <c r="A929" s="204"/>
      <c r="B929" s="204"/>
      <c r="C929" s="204"/>
      <c r="D929" s="204"/>
      <c r="E929" s="204"/>
      <c r="F929" s="204"/>
      <c r="G929" s="204"/>
      <c r="H929" s="204"/>
      <c r="I929" s="204"/>
      <c r="J929" s="204"/>
      <c r="K929" s="204"/>
      <c r="L929" s="205"/>
      <c r="M929" s="205"/>
      <c r="N929" s="204"/>
      <c r="O929" s="204"/>
      <c r="P929" s="206"/>
      <c r="Q929" s="206"/>
      <c r="R929" s="206"/>
      <c r="S929" s="206"/>
      <c r="T929" s="204"/>
      <c r="U929" s="207"/>
      <c r="V929" s="204"/>
      <c r="W929" s="204"/>
      <c r="X929" s="207"/>
      <c r="Y929" s="207"/>
      <c r="Z929" s="204"/>
      <c r="AA929" s="204"/>
      <c r="AB929" s="204"/>
      <c r="AC929" s="204"/>
    </row>
    <row r="930" spans="1:29">
      <c r="A930" s="204"/>
      <c r="B930" s="204"/>
      <c r="C930" s="204"/>
      <c r="D930" s="204"/>
      <c r="E930" s="204"/>
      <c r="F930" s="204"/>
      <c r="G930" s="204"/>
      <c r="H930" s="204"/>
      <c r="I930" s="204"/>
      <c r="J930" s="204"/>
      <c r="K930" s="204"/>
      <c r="L930" s="205"/>
      <c r="M930" s="205"/>
      <c r="N930" s="204"/>
      <c r="O930" s="204"/>
      <c r="P930" s="206"/>
      <c r="Q930" s="206"/>
      <c r="R930" s="206"/>
      <c r="S930" s="206"/>
      <c r="T930" s="204"/>
      <c r="U930" s="207"/>
      <c r="V930" s="204"/>
      <c r="W930" s="204"/>
      <c r="X930" s="207"/>
      <c r="Y930" s="207"/>
      <c r="Z930" s="204"/>
      <c r="AA930" s="204"/>
      <c r="AB930" s="204"/>
      <c r="AC930" s="204"/>
    </row>
    <row r="931" spans="1:29">
      <c r="A931" s="204"/>
      <c r="B931" s="204"/>
      <c r="C931" s="204"/>
      <c r="D931" s="204"/>
      <c r="E931" s="204"/>
      <c r="F931" s="204"/>
      <c r="G931" s="204"/>
      <c r="H931" s="204"/>
      <c r="I931" s="204"/>
      <c r="J931" s="204"/>
      <c r="K931" s="204"/>
      <c r="L931" s="205"/>
      <c r="M931" s="205"/>
      <c r="N931" s="204"/>
      <c r="O931" s="204"/>
      <c r="P931" s="206"/>
      <c r="Q931" s="206"/>
      <c r="R931" s="206"/>
      <c r="S931" s="206"/>
      <c r="T931" s="204"/>
      <c r="U931" s="207"/>
      <c r="V931" s="204"/>
      <c r="W931" s="204"/>
      <c r="X931" s="207"/>
      <c r="Y931" s="207"/>
      <c r="Z931" s="204"/>
      <c r="AA931" s="204"/>
      <c r="AB931" s="204"/>
      <c r="AC931" s="204"/>
    </row>
    <row r="932" spans="1:29">
      <c r="A932" s="204"/>
      <c r="B932" s="204"/>
      <c r="C932" s="204"/>
      <c r="D932" s="204"/>
      <c r="E932" s="204"/>
      <c r="F932" s="204"/>
      <c r="G932" s="204"/>
      <c r="H932" s="204"/>
      <c r="I932" s="204"/>
      <c r="J932" s="204"/>
      <c r="K932" s="204"/>
      <c r="L932" s="205"/>
      <c r="M932" s="205"/>
      <c r="N932" s="204"/>
      <c r="O932" s="204"/>
      <c r="P932" s="206"/>
      <c r="Q932" s="206"/>
      <c r="R932" s="206"/>
      <c r="S932" s="206"/>
      <c r="T932" s="204"/>
      <c r="U932" s="207"/>
      <c r="V932" s="204"/>
      <c r="W932" s="204"/>
      <c r="X932" s="207"/>
      <c r="Y932" s="207"/>
      <c r="Z932" s="204"/>
      <c r="AA932" s="204"/>
      <c r="AB932" s="204"/>
      <c r="AC932" s="204"/>
    </row>
    <row r="933" spans="1:29">
      <c r="A933" s="204"/>
      <c r="B933" s="204"/>
      <c r="C933" s="204"/>
      <c r="D933" s="204"/>
      <c r="E933" s="204"/>
      <c r="F933" s="204"/>
      <c r="G933" s="204"/>
      <c r="H933" s="204"/>
      <c r="I933" s="204"/>
      <c r="J933" s="204"/>
      <c r="K933" s="204"/>
      <c r="L933" s="205"/>
      <c r="M933" s="205"/>
      <c r="N933" s="204"/>
      <c r="O933" s="204"/>
      <c r="P933" s="206"/>
      <c r="Q933" s="206"/>
      <c r="R933" s="206"/>
      <c r="S933" s="206"/>
      <c r="T933" s="204"/>
      <c r="U933" s="207"/>
      <c r="V933" s="204"/>
      <c r="W933" s="204"/>
      <c r="X933" s="207"/>
      <c r="Y933" s="207"/>
      <c r="Z933" s="204"/>
      <c r="AA933" s="204"/>
      <c r="AB933" s="204"/>
      <c r="AC933" s="204"/>
    </row>
    <row r="934" spans="1:29">
      <c r="A934" s="204"/>
      <c r="B934" s="204"/>
      <c r="C934" s="204"/>
      <c r="D934" s="204"/>
      <c r="E934" s="204"/>
      <c r="F934" s="204"/>
      <c r="G934" s="204"/>
      <c r="H934" s="204"/>
      <c r="I934" s="204"/>
      <c r="J934" s="204"/>
      <c r="K934" s="204"/>
      <c r="L934" s="205"/>
      <c r="M934" s="205"/>
      <c r="N934" s="204"/>
      <c r="O934" s="204"/>
      <c r="P934" s="206"/>
      <c r="Q934" s="206"/>
      <c r="R934" s="206"/>
      <c r="S934" s="206"/>
      <c r="T934" s="204"/>
      <c r="U934" s="207"/>
      <c r="V934" s="204"/>
      <c r="W934" s="204"/>
      <c r="X934" s="207"/>
      <c r="Y934" s="207"/>
      <c r="Z934" s="204"/>
      <c r="AA934" s="204"/>
      <c r="AB934" s="204"/>
      <c r="AC934" s="204"/>
    </row>
    <row r="935" spans="1:29">
      <c r="A935" s="204"/>
      <c r="B935" s="204"/>
      <c r="C935" s="204"/>
      <c r="D935" s="204"/>
      <c r="E935" s="204"/>
      <c r="F935" s="204"/>
      <c r="G935" s="204"/>
      <c r="H935" s="204"/>
      <c r="I935" s="204"/>
      <c r="J935" s="204"/>
      <c r="K935" s="204"/>
      <c r="L935" s="205"/>
      <c r="M935" s="205"/>
      <c r="N935" s="204"/>
      <c r="O935" s="204"/>
      <c r="P935" s="206"/>
      <c r="Q935" s="206"/>
      <c r="R935" s="206"/>
      <c r="S935" s="206"/>
      <c r="T935" s="204"/>
      <c r="U935" s="207"/>
      <c r="V935" s="204"/>
      <c r="W935" s="204"/>
      <c r="X935" s="207"/>
      <c r="Y935" s="207"/>
      <c r="Z935" s="204"/>
      <c r="AA935" s="204"/>
      <c r="AB935" s="204"/>
      <c r="AC935" s="204"/>
    </row>
    <row r="936" spans="1:29">
      <c r="A936" s="204"/>
      <c r="B936" s="204"/>
      <c r="C936" s="204"/>
      <c r="D936" s="204"/>
      <c r="E936" s="204"/>
      <c r="F936" s="204"/>
      <c r="G936" s="204"/>
      <c r="H936" s="204"/>
      <c r="I936" s="204"/>
      <c r="J936" s="204"/>
      <c r="K936" s="204"/>
      <c r="L936" s="205"/>
      <c r="M936" s="205"/>
      <c r="N936" s="204"/>
      <c r="O936" s="204"/>
      <c r="P936" s="206"/>
      <c r="Q936" s="206"/>
      <c r="R936" s="206"/>
      <c r="S936" s="206"/>
      <c r="T936" s="204"/>
      <c r="U936" s="207"/>
      <c r="V936" s="204"/>
      <c r="W936" s="204"/>
      <c r="X936" s="207"/>
      <c r="Y936" s="207"/>
      <c r="Z936" s="204"/>
      <c r="AA936" s="204"/>
      <c r="AB936" s="204"/>
      <c r="AC936" s="204"/>
    </row>
    <row r="937" spans="1:29">
      <c r="A937" s="204"/>
      <c r="B937" s="204"/>
      <c r="C937" s="204"/>
      <c r="D937" s="204"/>
      <c r="E937" s="204"/>
      <c r="F937" s="204"/>
      <c r="G937" s="204"/>
      <c r="H937" s="204"/>
      <c r="I937" s="204"/>
      <c r="J937" s="204"/>
      <c r="K937" s="204"/>
      <c r="L937" s="205"/>
      <c r="M937" s="205"/>
      <c r="N937" s="204"/>
      <c r="O937" s="204"/>
      <c r="P937" s="206"/>
      <c r="Q937" s="206"/>
      <c r="R937" s="206"/>
      <c r="S937" s="206"/>
      <c r="T937" s="204"/>
      <c r="U937" s="207"/>
      <c r="V937" s="204"/>
      <c r="W937" s="204"/>
      <c r="X937" s="207"/>
      <c r="Y937" s="207"/>
      <c r="Z937" s="204"/>
      <c r="AA937" s="204"/>
      <c r="AB937" s="204"/>
      <c r="AC937" s="204"/>
    </row>
    <row r="938" spans="1:29">
      <c r="A938" s="204"/>
      <c r="B938" s="204"/>
      <c r="C938" s="204"/>
      <c r="D938" s="204"/>
      <c r="E938" s="204"/>
      <c r="F938" s="204"/>
      <c r="G938" s="204"/>
      <c r="H938" s="204"/>
      <c r="I938" s="204"/>
      <c r="J938" s="204"/>
      <c r="K938" s="204"/>
      <c r="L938" s="205"/>
      <c r="M938" s="205"/>
      <c r="N938" s="204"/>
      <c r="O938" s="204"/>
      <c r="P938" s="206"/>
      <c r="Q938" s="206"/>
      <c r="R938" s="206"/>
      <c r="S938" s="206"/>
      <c r="T938" s="204"/>
      <c r="U938" s="207"/>
      <c r="V938" s="204"/>
      <c r="W938" s="204"/>
      <c r="X938" s="207"/>
      <c r="Y938" s="207"/>
      <c r="Z938" s="204"/>
      <c r="AA938" s="204"/>
      <c r="AB938" s="204"/>
      <c r="AC938" s="204"/>
    </row>
    <row r="939" spans="1:29">
      <c r="A939" s="204"/>
      <c r="B939" s="204"/>
      <c r="C939" s="204"/>
      <c r="D939" s="204"/>
      <c r="E939" s="204"/>
      <c r="F939" s="204"/>
      <c r="G939" s="204"/>
      <c r="H939" s="204"/>
      <c r="I939" s="204"/>
      <c r="J939" s="204"/>
      <c r="K939" s="204"/>
      <c r="L939" s="205"/>
      <c r="M939" s="205"/>
      <c r="N939" s="204"/>
      <c r="O939" s="204"/>
      <c r="P939" s="206"/>
      <c r="Q939" s="206"/>
      <c r="R939" s="206"/>
      <c r="S939" s="206"/>
      <c r="T939" s="204"/>
      <c r="U939" s="207"/>
      <c r="V939" s="204"/>
      <c r="W939" s="204"/>
      <c r="X939" s="207"/>
      <c r="Y939" s="207"/>
      <c r="Z939" s="204"/>
      <c r="AA939" s="204"/>
      <c r="AB939" s="204"/>
      <c r="AC939" s="204"/>
    </row>
    <row r="940" spans="1:29">
      <c r="A940" s="204"/>
      <c r="B940" s="204"/>
      <c r="C940" s="204"/>
      <c r="D940" s="204"/>
      <c r="E940" s="204"/>
      <c r="F940" s="204"/>
      <c r="G940" s="204"/>
      <c r="H940" s="204"/>
      <c r="I940" s="204"/>
      <c r="J940" s="204"/>
      <c r="K940" s="204"/>
      <c r="L940" s="205"/>
      <c r="M940" s="205"/>
      <c r="N940" s="204"/>
      <c r="O940" s="204"/>
      <c r="P940" s="206"/>
      <c r="Q940" s="206"/>
      <c r="R940" s="206"/>
      <c r="S940" s="206"/>
      <c r="T940" s="204"/>
      <c r="U940" s="207"/>
      <c r="V940" s="204"/>
      <c r="W940" s="204"/>
      <c r="X940" s="207"/>
      <c r="Y940" s="207"/>
      <c r="Z940" s="204"/>
      <c r="AA940" s="204"/>
      <c r="AB940" s="204"/>
      <c r="AC940" s="204"/>
    </row>
    <row r="941" spans="1:29">
      <c r="A941" s="204"/>
      <c r="B941" s="204"/>
      <c r="C941" s="204"/>
      <c r="D941" s="204"/>
      <c r="E941" s="204"/>
      <c r="F941" s="204"/>
      <c r="G941" s="204"/>
      <c r="H941" s="204"/>
      <c r="I941" s="204"/>
      <c r="J941" s="204"/>
      <c r="K941" s="204"/>
      <c r="L941" s="205"/>
      <c r="M941" s="205"/>
      <c r="N941" s="204"/>
      <c r="O941" s="204"/>
      <c r="P941" s="206"/>
      <c r="Q941" s="206"/>
      <c r="R941" s="206"/>
      <c r="S941" s="206"/>
      <c r="T941" s="204"/>
      <c r="U941" s="207"/>
      <c r="V941" s="204"/>
      <c r="W941" s="204"/>
      <c r="X941" s="207"/>
      <c r="Y941" s="207"/>
      <c r="Z941" s="204"/>
      <c r="AA941" s="204"/>
      <c r="AB941" s="204"/>
      <c r="AC941" s="204"/>
    </row>
    <row r="942" spans="1:29">
      <c r="A942" s="204"/>
      <c r="B942" s="204"/>
      <c r="C942" s="204"/>
      <c r="D942" s="204"/>
      <c r="E942" s="204"/>
      <c r="F942" s="204"/>
      <c r="G942" s="204"/>
      <c r="H942" s="204"/>
      <c r="I942" s="204"/>
      <c r="J942" s="204"/>
      <c r="K942" s="204"/>
      <c r="L942" s="205"/>
      <c r="M942" s="205"/>
      <c r="N942" s="204"/>
      <c r="O942" s="204"/>
      <c r="P942" s="206"/>
      <c r="Q942" s="206"/>
      <c r="R942" s="206"/>
      <c r="S942" s="206"/>
      <c r="T942" s="204"/>
      <c r="U942" s="207"/>
      <c r="V942" s="204"/>
      <c r="W942" s="204"/>
      <c r="X942" s="207"/>
      <c r="Y942" s="207"/>
      <c r="Z942" s="204"/>
      <c r="AA942" s="204"/>
      <c r="AB942" s="204"/>
      <c r="AC942" s="204"/>
    </row>
    <row r="943" spans="1:29">
      <c r="A943" s="204"/>
      <c r="B943" s="204"/>
      <c r="C943" s="204"/>
      <c r="D943" s="204"/>
      <c r="E943" s="204"/>
      <c r="F943" s="204"/>
      <c r="G943" s="204"/>
      <c r="H943" s="204"/>
      <c r="I943" s="204"/>
      <c r="J943" s="204"/>
      <c r="K943" s="204"/>
      <c r="L943" s="205"/>
      <c r="M943" s="205"/>
      <c r="N943" s="204"/>
      <c r="O943" s="204"/>
      <c r="P943" s="206"/>
      <c r="Q943" s="206"/>
      <c r="R943" s="206"/>
      <c r="S943" s="206"/>
      <c r="T943" s="204"/>
      <c r="U943" s="207"/>
      <c r="V943" s="204"/>
      <c r="W943" s="204"/>
      <c r="X943" s="207"/>
      <c r="Y943" s="207"/>
      <c r="Z943" s="204"/>
      <c r="AA943" s="204"/>
      <c r="AB943" s="204"/>
      <c r="AC943" s="204"/>
    </row>
    <row r="944" spans="1:29">
      <c r="A944" s="204"/>
      <c r="B944" s="204"/>
      <c r="C944" s="204"/>
      <c r="D944" s="204"/>
      <c r="E944" s="204"/>
      <c r="F944" s="204"/>
      <c r="G944" s="204"/>
      <c r="H944" s="204"/>
      <c r="I944" s="204"/>
      <c r="J944" s="204"/>
      <c r="K944" s="204"/>
      <c r="L944" s="205"/>
      <c r="M944" s="205"/>
      <c r="N944" s="204"/>
      <c r="O944" s="204"/>
      <c r="P944" s="206"/>
      <c r="Q944" s="206"/>
      <c r="R944" s="206"/>
      <c r="S944" s="206"/>
      <c r="T944" s="204"/>
      <c r="U944" s="207"/>
      <c r="V944" s="204"/>
      <c r="W944" s="204"/>
      <c r="X944" s="207"/>
      <c r="Y944" s="207"/>
      <c r="Z944" s="204"/>
      <c r="AA944" s="204"/>
      <c r="AB944" s="204"/>
      <c r="AC944" s="204"/>
    </row>
    <row r="945" spans="1:29">
      <c r="A945" s="204"/>
      <c r="B945" s="204"/>
      <c r="C945" s="204"/>
      <c r="D945" s="204"/>
      <c r="E945" s="204"/>
      <c r="F945" s="204"/>
      <c r="G945" s="204"/>
      <c r="H945" s="204"/>
      <c r="I945" s="204"/>
      <c r="J945" s="204"/>
      <c r="K945" s="204"/>
      <c r="L945" s="205"/>
      <c r="M945" s="205"/>
      <c r="N945" s="204"/>
      <c r="O945" s="204"/>
      <c r="P945" s="206"/>
      <c r="Q945" s="206"/>
      <c r="R945" s="206"/>
      <c r="S945" s="206"/>
      <c r="T945" s="204"/>
      <c r="U945" s="207"/>
      <c r="V945" s="204"/>
      <c r="W945" s="204"/>
      <c r="X945" s="207"/>
      <c r="Y945" s="207"/>
      <c r="Z945" s="204"/>
      <c r="AA945" s="204"/>
      <c r="AB945" s="204"/>
      <c r="AC945" s="204"/>
    </row>
    <row r="946" spans="1:29">
      <c r="A946" s="204"/>
      <c r="B946" s="204"/>
      <c r="C946" s="204"/>
      <c r="D946" s="204"/>
      <c r="E946" s="204"/>
      <c r="F946" s="204"/>
      <c r="G946" s="204"/>
      <c r="H946" s="204"/>
      <c r="I946" s="204"/>
      <c r="J946" s="204"/>
      <c r="K946" s="204"/>
      <c r="L946" s="205"/>
      <c r="M946" s="205"/>
      <c r="N946" s="204"/>
      <c r="O946" s="204"/>
      <c r="P946" s="206"/>
      <c r="Q946" s="206"/>
      <c r="R946" s="206"/>
      <c r="S946" s="206"/>
      <c r="T946" s="204"/>
      <c r="U946" s="207"/>
      <c r="V946" s="204"/>
      <c r="W946" s="204"/>
      <c r="X946" s="207"/>
      <c r="Y946" s="207"/>
      <c r="Z946" s="204"/>
      <c r="AA946" s="204"/>
      <c r="AB946" s="204"/>
      <c r="AC946" s="204"/>
    </row>
    <row r="947" spans="1:29">
      <c r="A947" s="204"/>
      <c r="B947" s="204"/>
      <c r="C947" s="204"/>
      <c r="D947" s="204"/>
      <c r="E947" s="204"/>
      <c r="F947" s="204"/>
      <c r="G947" s="204"/>
      <c r="H947" s="204"/>
      <c r="I947" s="204"/>
      <c r="J947" s="204"/>
      <c r="K947" s="204"/>
      <c r="L947" s="205"/>
      <c r="M947" s="205"/>
      <c r="N947" s="204"/>
      <c r="O947" s="204"/>
      <c r="P947" s="206"/>
      <c r="Q947" s="206"/>
      <c r="R947" s="206"/>
      <c r="S947" s="206"/>
      <c r="T947" s="204"/>
      <c r="U947" s="207"/>
      <c r="V947" s="204"/>
      <c r="W947" s="204"/>
      <c r="X947" s="207"/>
      <c r="Y947" s="207"/>
      <c r="Z947" s="204"/>
      <c r="AA947" s="204"/>
      <c r="AB947" s="204"/>
      <c r="AC947" s="204"/>
    </row>
    <row r="948" spans="1:29">
      <c r="A948" s="204"/>
      <c r="B948" s="204"/>
      <c r="C948" s="204"/>
      <c r="D948" s="204"/>
      <c r="E948" s="204"/>
      <c r="F948" s="204"/>
      <c r="G948" s="204"/>
      <c r="H948" s="204"/>
      <c r="I948" s="204"/>
      <c r="J948" s="204"/>
      <c r="K948" s="204"/>
      <c r="L948" s="205"/>
      <c r="M948" s="205"/>
      <c r="N948" s="204"/>
      <c r="O948" s="204"/>
      <c r="P948" s="206"/>
      <c r="Q948" s="206"/>
      <c r="R948" s="206"/>
      <c r="S948" s="206"/>
      <c r="T948" s="204"/>
      <c r="U948" s="207"/>
      <c r="V948" s="204"/>
      <c r="W948" s="204"/>
      <c r="X948" s="207"/>
      <c r="Y948" s="207"/>
      <c r="Z948" s="204"/>
      <c r="AA948" s="204"/>
      <c r="AB948" s="204"/>
      <c r="AC948" s="204"/>
    </row>
    <row r="949" spans="1:29">
      <c r="A949" s="204"/>
      <c r="B949" s="204"/>
      <c r="C949" s="204"/>
      <c r="D949" s="204"/>
      <c r="E949" s="204"/>
      <c r="F949" s="204"/>
      <c r="G949" s="204"/>
      <c r="H949" s="204"/>
      <c r="I949" s="204"/>
      <c r="J949" s="204"/>
      <c r="K949" s="204"/>
      <c r="L949" s="205"/>
      <c r="M949" s="205"/>
      <c r="N949" s="204"/>
      <c r="O949" s="204"/>
      <c r="P949" s="206"/>
      <c r="Q949" s="206"/>
      <c r="R949" s="206"/>
      <c r="S949" s="206"/>
      <c r="T949" s="204"/>
      <c r="U949" s="207"/>
      <c r="V949" s="204"/>
      <c r="W949" s="204"/>
      <c r="X949" s="207"/>
      <c r="Y949" s="207"/>
      <c r="Z949" s="204"/>
      <c r="AA949" s="204"/>
      <c r="AB949" s="204"/>
      <c r="AC949" s="204"/>
    </row>
    <row r="950" spans="1:29">
      <c r="A950" s="204"/>
      <c r="B950" s="204"/>
      <c r="C950" s="204"/>
      <c r="D950" s="204"/>
      <c r="E950" s="204"/>
      <c r="F950" s="204"/>
      <c r="G950" s="204"/>
      <c r="H950" s="204"/>
      <c r="I950" s="204"/>
      <c r="J950" s="204"/>
      <c r="K950" s="204"/>
      <c r="L950" s="205"/>
      <c r="M950" s="205"/>
      <c r="N950" s="204"/>
      <c r="O950" s="204"/>
      <c r="P950" s="206"/>
      <c r="Q950" s="206"/>
      <c r="R950" s="206"/>
      <c r="S950" s="206"/>
      <c r="T950" s="204"/>
      <c r="U950" s="207"/>
      <c r="V950" s="204"/>
      <c r="W950" s="204"/>
      <c r="X950" s="207"/>
      <c r="Y950" s="207"/>
      <c r="Z950" s="204"/>
      <c r="AA950" s="204"/>
      <c r="AB950" s="204"/>
      <c r="AC950" s="204"/>
    </row>
    <row r="951" spans="1:29">
      <c r="A951" s="204"/>
      <c r="B951" s="204"/>
      <c r="C951" s="204"/>
      <c r="D951" s="204"/>
      <c r="E951" s="204"/>
      <c r="F951" s="204"/>
      <c r="G951" s="204"/>
      <c r="H951" s="204"/>
      <c r="I951" s="204"/>
      <c r="J951" s="204"/>
      <c r="K951" s="204"/>
      <c r="L951" s="205"/>
      <c r="M951" s="205"/>
      <c r="N951" s="204"/>
      <c r="O951" s="204"/>
      <c r="P951" s="206"/>
      <c r="Q951" s="206"/>
      <c r="R951" s="206"/>
      <c r="S951" s="206"/>
      <c r="T951" s="204"/>
      <c r="U951" s="207"/>
      <c r="V951" s="204"/>
      <c r="W951" s="204"/>
      <c r="X951" s="207"/>
      <c r="Y951" s="207"/>
      <c r="Z951" s="204"/>
      <c r="AA951" s="204"/>
      <c r="AB951" s="204"/>
      <c r="AC951" s="204"/>
    </row>
    <row r="952" spans="1:29">
      <c r="A952" s="204"/>
      <c r="B952" s="204"/>
      <c r="C952" s="204"/>
      <c r="D952" s="204"/>
      <c r="E952" s="204"/>
      <c r="F952" s="204"/>
      <c r="G952" s="204"/>
      <c r="H952" s="204"/>
      <c r="I952" s="204"/>
      <c r="J952" s="204"/>
      <c r="K952" s="204"/>
      <c r="L952" s="205"/>
      <c r="M952" s="205"/>
      <c r="N952" s="204"/>
      <c r="O952" s="204"/>
      <c r="P952" s="206"/>
      <c r="Q952" s="206"/>
      <c r="R952" s="206"/>
      <c r="S952" s="206"/>
      <c r="T952" s="204"/>
      <c r="U952" s="207"/>
      <c r="V952" s="204"/>
      <c r="W952" s="204"/>
      <c r="X952" s="207"/>
      <c r="Y952" s="207"/>
      <c r="Z952" s="204"/>
      <c r="AA952" s="204"/>
      <c r="AB952" s="204"/>
      <c r="AC952" s="204"/>
    </row>
    <row r="953" spans="1:29">
      <c r="A953" s="204"/>
      <c r="B953" s="204"/>
      <c r="C953" s="204"/>
      <c r="D953" s="204"/>
      <c r="E953" s="204"/>
      <c r="F953" s="204"/>
      <c r="G953" s="204"/>
      <c r="H953" s="204"/>
      <c r="I953" s="204"/>
      <c r="J953" s="204"/>
      <c r="K953" s="204"/>
      <c r="L953" s="205"/>
      <c r="M953" s="205"/>
      <c r="N953" s="204"/>
      <c r="O953" s="204"/>
      <c r="P953" s="206"/>
      <c r="Q953" s="206"/>
      <c r="R953" s="206"/>
      <c r="S953" s="206"/>
      <c r="T953" s="204"/>
      <c r="U953" s="207"/>
      <c r="V953" s="204"/>
      <c r="W953" s="204"/>
      <c r="X953" s="207"/>
      <c r="Y953" s="207"/>
      <c r="Z953" s="204"/>
      <c r="AA953" s="204"/>
      <c r="AB953" s="204"/>
      <c r="AC953" s="204"/>
    </row>
    <row r="954" spans="1:29">
      <c r="A954" s="204"/>
      <c r="B954" s="204"/>
      <c r="C954" s="204"/>
      <c r="D954" s="204"/>
      <c r="E954" s="204"/>
      <c r="F954" s="204"/>
      <c r="G954" s="204"/>
      <c r="H954" s="204"/>
      <c r="I954" s="204"/>
      <c r="J954" s="204"/>
      <c r="K954" s="204"/>
      <c r="L954" s="205"/>
      <c r="M954" s="205"/>
      <c r="N954" s="204"/>
      <c r="O954" s="204"/>
      <c r="P954" s="206"/>
      <c r="Q954" s="206"/>
      <c r="R954" s="206"/>
      <c r="S954" s="206"/>
      <c r="T954" s="204"/>
      <c r="U954" s="207"/>
      <c r="V954" s="204"/>
      <c r="W954" s="204"/>
      <c r="X954" s="207"/>
      <c r="Y954" s="207"/>
      <c r="Z954" s="204"/>
      <c r="AA954" s="204"/>
      <c r="AB954" s="204"/>
      <c r="AC954" s="204"/>
    </row>
    <row r="955" spans="1:29">
      <c r="A955" s="204"/>
      <c r="B955" s="204"/>
      <c r="C955" s="204"/>
      <c r="D955" s="204"/>
      <c r="E955" s="204"/>
      <c r="F955" s="204"/>
      <c r="G955" s="204"/>
      <c r="H955" s="204"/>
      <c r="I955" s="204"/>
      <c r="J955" s="204"/>
      <c r="K955" s="204"/>
      <c r="L955" s="205"/>
      <c r="M955" s="205"/>
      <c r="N955" s="204"/>
      <c r="O955" s="204"/>
      <c r="P955" s="206"/>
      <c r="Q955" s="206"/>
      <c r="R955" s="206"/>
      <c r="S955" s="206"/>
      <c r="T955" s="204"/>
      <c r="U955" s="207"/>
      <c r="V955" s="204"/>
      <c r="W955" s="204"/>
      <c r="X955" s="207"/>
      <c r="Y955" s="207"/>
      <c r="Z955" s="204"/>
      <c r="AA955" s="204"/>
      <c r="AB955" s="204"/>
      <c r="AC955" s="204"/>
    </row>
    <row r="956" spans="1:29">
      <c r="A956" s="204"/>
      <c r="B956" s="204"/>
      <c r="C956" s="204"/>
      <c r="D956" s="204"/>
      <c r="E956" s="204"/>
      <c r="F956" s="204"/>
      <c r="G956" s="204"/>
      <c r="H956" s="204"/>
      <c r="I956" s="204"/>
      <c r="J956" s="204"/>
      <c r="K956" s="204"/>
      <c r="L956" s="205"/>
      <c r="M956" s="205"/>
      <c r="N956" s="204"/>
      <c r="O956" s="204"/>
      <c r="P956" s="206"/>
      <c r="Q956" s="206"/>
      <c r="R956" s="206"/>
      <c r="S956" s="206"/>
      <c r="T956" s="204"/>
      <c r="U956" s="207"/>
      <c r="V956" s="204"/>
      <c r="W956" s="204"/>
      <c r="X956" s="207"/>
      <c r="Y956" s="207"/>
      <c r="Z956" s="204"/>
      <c r="AA956" s="204"/>
      <c r="AB956" s="204"/>
      <c r="AC956" s="204"/>
    </row>
    <row r="957" spans="1:29">
      <c r="A957" s="204"/>
      <c r="B957" s="204"/>
      <c r="C957" s="204"/>
      <c r="D957" s="204"/>
      <c r="E957" s="204"/>
      <c r="F957" s="204"/>
      <c r="G957" s="204"/>
      <c r="H957" s="204"/>
      <c r="I957" s="204"/>
      <c r="J957" s="204"/>
      <c r="K957" s="204"/>
      <c r="L957" s="205"/>
      <c r="M957" s="205"/>
      <c r="N957" s="204"/>
      <c r="O957" s="204"/>
      <c r="P957" s="206"/>
      <c r="Q957" s="206"/>
      <c r="R957" s="206"/>
      <c r="S957" s="206"/>
      <c r="T957" s="204"/>
      <c r="U957" s="207"/>
      <c r="V957" s="204"/>
      <c r="W957" s="204"/>
      <c r="X957" s="207"/>
      <c r="Y957" s="207"/>
      <c r="Z957" s="204"/>
      <c r="AA957" s="204"/>
      <c r="AB957" s="204"/>
      <c r="AC957" s="204"/>
    </row>
    <row r="958" spans="1:29">
      <c r="A958" s="204"/>
      <c r="B958" s="204"/>
      <c r="C958" s="204"/>
      <c r="D958" s="204"/>
      <c r="E958" s="204"/>
      <c r="F958" s="204"/>
      <c r="G958" s="204"/>
      <c r="H958" s="204"/>
      <c r="I958" s="204"/>
      <c r="J958" s="204"/>
      <c r="K958" s="204"/>
      <c r="L958" s="205"/>
      <c r="M958" s="205"/>
      <c r="N958" s="204"/>
      <c r="O958" s="204"/>
      <c r="P958" s="206"/>
      <c r="Q958" s="206"/>
      <c r="R958" s="206"/>
      <c r="S958" s="206"/>
      <c r="T958" s="204"/>
      <c r="U958" s="207"/>
      <c r="V958" s="204"/>
      <c r="W958" s="204"/>
      <c r="X958" s="207"/>
      <c r="Y958" s="207"/>
      <c r="Z958" s="204"/>
      <c r="AA958" s="204"/>
      <c r="AB958" s="204"/>
      <c r="AC958" s="204"/>
    </row>
    <row r="959" spans="1:29">
      <c r="A959" s="204"/>
      <c r="B959" s="204"/>
      <c r="C959" s="204"/>
      <c r="D959" s="204"/>
      <c r="E959" s="204"/>
      <c r="F959" s="204"/>
      <c r="G959" s="204"/>
      <c r="H959" s="204"/>
      <c r="I959" s="204"/>
      <c r="J959" s="204"/>
      <c r="K959" s="204"/>
      <c r="L959" s="205"/>
      <c r="M959" s="205"/>
      <c r="N959" s="204"/>
      <c r="O959" s="204"/>
      <c r="P959" s="206"/>
      <c r="Q959" s="206"/>
      <c r="R959" s="206"/>
      <c r="S959" s="206"/>
      <c r="T959" s="204"/>
      <c r="U959" s="207"/>
      <c r="V959" s="204"/>
      <c r="W959" s="204"/>
      <c r="X959" s="207"/>
      <c r="Y959" s="207"/>
      <c r="Z959" s="204"/>
      <c r="AA959" s="204"/>
      <c r="AB959" s="204"/>
      <c r="AC959" s="204"/>
    </row>
    <row r="960" spans="1:29">
      <c r="A960" s="204"/>
      <c r="B960" s="204"/>
      <c r="C960" s="204"/>
      <c r="D960" s="204"/>
      <c r="E960" s="204"/>
      <c r="F960" s="204"/>
      <c r="G960" s="204"/>
      <c r="H960" s="204"/>
      <c r="I960" s="204"/>
      <c r="J960" s="204"/>
      <c r="K960" s="204"/>
      <c r="L960" s="205"/>
      <c r="M960" s="205"/>
      <c r="N960" s="204"/>
      <c r="O960" s="204"/>
      <c r="P960" s="206"/>
      <c r="Q960" s="206"/>
      <c r="R960" s="206"/>
      <c r="S960" s="206"/>
      <c r="T960" s="204"/>
      <c r="U960" s="207"/>
      <c r="V960" s="204"/>
      <c r="W960" s="204"/>
      <c r="X960" s="207"/>
      <c r="Y960" s="207"/>
      <c r="Z960" s="204"/>
      <c r="AA960" s="204"/>
      <c r="AB960" s="204"/>
      <c r="AC960" s="204"/>
    </row>
    <row r="961" spans="1:29">
      <c r="A961" s="204"/>
      <c r="B961" s="204"/>
      <c r="C961" s="204"/>
      <c r="D961" s="204"/>
      <c r="E961" s="204"/>
      <c r="F961" s="204"/>
      <c r="G961" s="204"/>
      <c r="H961" s="204"/>
      <c r="I961" s="204"/>
      <c r="J961" s="204"/>
      <c r="K961" s="204"/>
      <c r="L961" s="205"/>
      <c r="M961" s="205"/>
      <c r="N961" s="204"/>
      <c r="O961" s="204"/>
      <c r="P961" s="206"/>
      <c r="Q961" s="206"/>
      <c r="R961" s="206"/>
      <c r="S961" s="206"/>
      <c r="T961" s="204"/>
      <c r="U961" s="207"/>
      <c r="V961" s="204"/>
      <c r="W961" s="204"/>
      <c r="X961" s="207"/>
      <c r="Y961" s="207"/>
      <c r="Z961" s="204"/>
      <c r="AA961" s="204"/>
      <c r="AB961" s="204"/>
      <c r="AC961" s="204"/>
    </row>
    <row r="962" spans="1:29">
      <c r="A962" s="204"/>
      <c r="B962" s="204"/>
      <c r="C962" s="204"/>
      <c r="D962" s="204"/>
      <c r="E962" s="204"/>
      <c r="F962" s="204"/>
      <c r="G962" s="204"/>
      <c r="H962" s="204"/>
      <c r="I962" s="204"/>
      <c r="J962" s="204"/>
      <c r="K962" s="204"/>
      <c r="L962" s="205"/>
      <c r="M962" s="205"/>
      <c r="N962" s="204"/>
      <c r="O962" s="204"/>
      <c r="P962" s="206"/>
      <c r="Q962" s="206"/>
      <c r="R962" s="206"/>
      <c r="S962" s="206"/>
      <c r="T962" s="204"/>
      <c r="U962" s="207"/>
      <c r="V962" s="204"/>
      <c r="W962" s="204"/>
      <c r="X962" s="207"/>
      <c r="Y962" s="207"/>
      <c r="Z962" s="204"/>
      <c r="AA962" s="204"/>
      <c r="AB962" s="204"/>
      <c r="AC962" s="204"/>
    </row>
    <row r="963" spans="1:29">
      <c r="A963" s="204"/>
      <c r="B963" s="204"/>
      <c r="C963" s="204"/>
      <c r="D963" s="204"/>
      <c r="E963" s="204"/>
      <c r="F963" s="204"/>
      <c r="G963" s="204"/>
      <c r="H963" s="204"/>
      <c r="I963" s="204"/>
      <c r="J963" s="204"/>
      <c r="K963" s="204"/>
      <c r="L963" s="205"/>
      <c r="M963" s="205"/>
      <c r="N963" s="204"/>
      <c r="O963" s="204"/>
      <c r="P963" s="206"/>
      <c r="Q963" s="206"/>
      <c r="R963" s="206"/>
      <c r="S963" s="206"/>
      <c r="T963" s="204"/>
      <c r="U963" s="207"/>
      <c r="V963" s="204"/>
      <c r="W963" s="204"/>
      <c r="X963" s="207"/>
      <c r="Y963" s="207"/>
      <c r="Z963" s="204"/>
      <c r="AA963" s="204"/>
      <c r="AB963" s="204"/>
      <c r="AC963" s="204"/>
    </row>
    <row r="964" spans="1:29">
      <c r="A964" s="204"/>
      <c r="B964" s="204"/>
      <c r="C964" s="204"/>
      <c r="D964" s="204"/>
      <c r="E964" s="204"/>
      <c r="F964" s="204"/>
      <c r="G964" s="204"/>
      <c r="H964" s="204"/>
      <c r="I964" s="204"/>
      <c r="J964" s="204"/>
      <c r="K964" s="204"/>
      <c r="L964" s="205"/>
      <c r="M964" s="205"/>
      <c r="N964" s="204"/>
      <c r="O964" s="204"/>
      <c r="P964" s="206"/>
      <c r="Q964" s="206"/>
      <c r="R964" s="206"/>
      <c r="S964" s="206"/>
      <c r="T964" s="204"/>
      <c r="U964" s="207"/>
      <c r="V964" s="204"/>
      <c r="W964" s="204"/>
      <c r="X964" s="207"/>
      <c r="Y964" s="207"/>
      <c r="Z964" s="204"/>
      <c r="AA964" s="204"/>
      <c r="AB964" s="204"/>
      <c r="AC964" s="204"/>
    </row>
    <row r="965" spans="1:29">
      <c r="A965" s="204"/>
      <c r="B965" s="204"/>
      <c r="C965" s="204"/>
      <c r="D965" s="204"/>
      <c r="E965" s="204"/>
      <c r="F965" s="204"/>
      <c r="G965" s="204"/>
      <c r="H965" s="204"/>
      <c r="I965" s="204"/>
      <c r="J965" s="204"/>
      <c r="K965" s="204"/>
      <c r="L965" s="205"/>
      <c r="M965" s="205"/>
      <c r="N965" s="204"/>
      <c r="O965" s="204"/>
      <c r="P965" s="206"/>
      <c r="Q965" s="206"/>
      <c r="R965" s="206"/>
      <c r="S965" s="206"/>
      <c r="T965" s="204"/>
      <c r="U965" s="207"/>
      <c r="V965" s="204"/>
      <c r="W965" s="204"/>
      <c r="X965" s="207"/>
      <c r="Y965" s="207"/>
      <c r="Z965" s="204"/>
      <c r="AA965" s="204"/>
      <c r="AB965" s="204"/>
      <c r="AC965" s="204"/>
    </row>
    <row r="966" spans="1:29">
      <c r="A966" s="204"/>
      <c r="B966" s="204"/>
      <c r="C966" s="204"/>
      <c r="D966" s="204"/>
      <c r="E966" s="204"/>
      <c r="F966" s="204"/>
      <c r="G966" s="204"/>
      <c r="H966" s="204"/>
      <c r="I966" s="204"/>
      <c r="J966" s="204"/>
      <c r="K966" s="204"/>
      <c r="L966" s="205"/>
      <c r="M966" s="205"/>
      <c r="N966" s="204"/>
      <c r="O966" s="204"/>
      <c r="P966" s="206"/>
      <c r="Q966" s="206"/>
      <c r="R966" s="206"/>
      <c r="S966" s="206"/>
      <c r="T966" s="204"/>
      <c r="U966" s="207"/>
      <c r="V966" s="204"/>
      <c r="W966" s="204"/>
      <c r="X966" s="207"/>
      <c r="Y966" s="207"/>
      <c r="Z966" s="204"/>
      <c r="AA966" s="204"/>
      <c r="AB966" s="204"/>
      <c r="AC966" s="204"/>
    </row>
    <row r="967" spans="1:29">
      <c r="A967" s="204"/>
      <c r="B967" s="204"/>
      <c r="C967" s="204"/>
      <c r="D967" s="204"/>
      <c r="E967" s="204"/>
      <c r="F967" s="204"/>
      <c r="G967" s="204"/>
      <c r="H967" s="204"/>
      <c r="I967" s="204"/>
      <c r="J967" s="204"/>
      <c r="K967" s="204"/>
      <c r="L967" s="205"/>
      <c r="M967" s="205"/>
      <c r="N967" s="204"/>
      <c r="O967" s="204"/>
      <c r="P967" s="206"/>
      <c r="Q967" s="206"/>
      <c r="R967" s="206"/>
      <c r="S967" s="206"/>
      <c r="T967" s="204"/>
      <c r="U967" s="207"/>
      <c r="V967" s="204"/>
      <c r="W967" s="204"/>
      <c r="X967" s="207"/>
      <c r="Y967" s="207"/>
      <c r="Z967" s="204"/>
      <c r="AA967" s="204"/>
      <c r="AB967" s="204"/>
      <c r="AC967" s="204"/>
    </row>
    <row r="968" spans="1:29">
      <c r="A968" s="204"/>
      <c r="B968" s="204"/>
      <c r="C968" s="204"/>
      <c r="D968" s="204"/>
      <c r="E968" s="204"/>
      <c r="F968" s="204"/>
      <c r="G968" s="204"/>
      <c r="H968" s="204"/>
      <c r="I968" s="204"/>
      <c r="J968" s="204"/>
      <c r="K968" s="204"/>
      <c r="L968" s="205"/>
      <c r="M968" s="205"/>
      <c r="N968" s="204"/>
      <c r="O968" s="204"/>
      <c r="P968" s="206"/>
      <c r="Q968" s="206"/>
      <c r="R968" s="206"/>
      <c r="S968" s="206"/>
      <c r="T968" s="204"/>
      <c r="U968" s="207"/>
      <c r="V968" s="204"/>
      <c r="W968" s="204"/>
      <c r="X968" s="207"/>
      <c r="Y968" s="207"/>
      <c r="Z968" s="204"/>
      <c r="AA968" s="204"/>
      <c r="AB968" s="204"/>
      <c r="AC968" s="204"/>
    </row>
    <row r="969" spans="1:29">
      <c r="A969" s="204"/>
      <c r="B969" s="204"/>
      <c r="C969" s="204"/>
      <c r="D969" s="204"/>
      <c r="E969" s="204"/>
      <c r="F969" s="204"/>
      <c r="G969" s="204"/>
      <c r="H969" s="204"/>
      <c r="I969" s="204"/>
      <c r="J969" s="204"/>
      <c r="K969" s="204"/>
      <c r="L969" s="205"/>
      <c r="M969" s="205"/>
      <c r="N969" s="204"/>
      <c r="O969" s="204"/>
      <c r="P969" s="206"/>
      <c r="Q969" s="206"/>
      <c r="R969" s="206"/>
      <c r="S969" s="206"/>
      <c r="T969" s="204"/>
      <c r="U969" s="207"/>
      <c r="V969" s="204"/>
      <c r="W969" s="204"/>
      <c r="X969" s="207"/>
      <c r="Y969" s="207"/>
      <c r="Z969" s="204"/>
      <c r="AA969" s="204"/>
      <c r="AB969" s="204"/>
      <c r="AC969" s="204"/>
    </row>
    <row r="970" spans="1:29">
      <c r="A970" s="204"/>
      <c r="B970" s="204"/>
      <c r="C970" s="204"/>
      <c r="D970" s="204"/>
      <c r="E970" s="204"/>
      <c r="F970" s="204"/>
      <c r="G970" s="204"/>
      <c r="H970" s="204"/>
      <c r="I970" s="204"/>
      <c r="J970" s="204"/>
      <c r="K970" s="204"/>
      <c r="L970" s="205"/>
      <c r="M970" s="205"/>
      <c r="N970" s="204"/>
      <c r="O970" s="204"/>
      <c r="P970" s="206"/>
      <c r="Q970" s="206"/>
      <c r="R970" s="206"/>
      <c r="S970" s="206"/>
      <c r="T970" s="204"/>
      <c r="U970" s="207"/>
      <c r="V970" s="204"/>
      <c r="W970" s="204"/>
      <c r="X970" s="207"/>
      <c r="Y970" s="207"/>
      <c r="Z970" s="204"/>
      <c r="AA970" s="204"/>
      <c r="AB970" s="204"/>
      <c r="AC970" s="204"/>
    </row>
    <row r="971" spans="1:29">
      <c r="A971" s="204"/>
      <c r="B971" s="204"/>
      <c r="C971" s="204"/>
      <c r="D971" s="204"/>
      <c r="E971" s="204"/>
      <c r="F971" s="204"/>
      <c r="G971" s="204"/>
      <c r="H971" s="204"/>
      <c r="I971" s="204"/>
      <c r="J971" s="204"/>
      <c r="K971" s="204"/>
      <c r="L971" s="205"/>
      <c r="M971" s="205"/>
      <c r="N971" s="204"/>
      <c r="O971" s="204"/>
      <c r="P971" s="206"/>
      <c r="Q971" s="206"/>
      <c r="R971" s="206"/>
      <c r="S971" s="206"/>
      <c r="T971" s="204"/>
      <c r="U971" s="207"/>
      <c r="V971" s="204"/>
      <c r="W971" s="204"/>
      <c r="X971" s="207"/>
      <c r="Y971" s="207"/>
      <c r="Z971" s="204"/>
      <c r="AA971" s="204"/>
      <c r="AB971" s="204"/>
      <c r="AC971" s="204"/>
    </row>
    <row r="972" spans="1:29">
      <c r="A972" s="204"/>
      <c r="B972" s="204"/>
      <c r="C972" s="204"/>
      <c r="D972" s="204"/>
      <c r="E972" s="204"/>
      <c r="F972" s="204"/>
      <c r="G972" s="204"/>
      <c r="H972" s="204"/>
      <c r="I972" s="204"/>
      <c r="J972" s="204"/>
      <c r="K972" s="204"/>
      <c r="L972" s="205"/>
      <c r="M972" s="205"/>
      <c r="N972" s="204"/>
      <c r="O972" s="204"/>
      <c r="P972" s="206"/>
      <c r="Q972" s="206"/>
      <c r="R972" s="206"/>
      <c r="S972" s="206"/>
      <c r="T972" s="204"/>
      <c r="U972" s="207"/>
      <c r="V972" s="204"/>
      <c r="W972" s="204"/>
      <c r="X972" s="207"/>
      <c r="Y972" s="207"/>
      <c r="Z972" s="204"/>
      <c r="AA972" s="204"/>
      <c r="AB972" s="204"/>
      <c r="AC972" s="204"/>
    </row>
    <row r="973" spans="1:29">
      <c r="A973" s="204"/>
      <c r="B973" s="204"/>
      <c r="C973" s="204"/>
      <c r="D973" s="204"/>
      <c r="E973" s="204"/>
      <c r="F973" s="204"/>
      <c r="G973" s="204"/>
      <c r="H973" s="204"/>
      <c r="I973" s="204"/>
      <c r="J973" s="204"/>
      <c r="K973" s="204"/>
      <c r="L973" s="205"/>
      <c r="M973" s="205"/>
      <c r="N973" s="204"/>
      <c r="O973" s="204"/>
      <c r="P973" s="206"/>
      <c r="Q973" s="206"/>
      <c r="R973" s="206"/>
      <c r="S973" s="206"/>
      <c r="T973" s="204"/>
      <c r="U973" s="207"/>
      <c r="V973" s="204"/>
      <c r="W973" s="204"/>
      <c r="X973" s="207"/>
      <c r="Y973" s="207"/>
      <c r="Z973" s="204"/>
      <c r="AA973" s="204"/>
      <c r="AB973" s="204"/>
      <c r="AC973" s="204"/>
    </row>
    <row r="974" spans="1:29">
      <c r="A974" s="204"/>
      <c r="B974" s="204"/>
      <c r="C974" s="204"/>
      <c r="D974" s="204"/>
      <c r="E974" s="204"/>
      <c r="F974" s="204"/>
      <c r="G974" s="204"/>
      <c r="H974" s="204"/>
      <c r="I974" s="204"/>
      <c r="J974" s="204"/>
      <c r="K974" s="204"/>
      <c r="L974" s="205"/>
      <c r="M974" s="205"/>
      <c r="N974" s="204"/>
      <c r="O974" s="204"/>
      <c r="P974" s="206"/>
      <c r="Q974" s="206"/>
      <c r="R974" s="206"/>
      <c r="S974" s="206"/>
      <c r="T974" s="204"/>
      <c r="U974" s="207"/>
      <c r="V974" s="204"/>
      <c r="W974" s="204"/>
      <c r="X974" s="207"/>
      <c r="Y974" s="207"/>
      <c r="Z974" s="204"/>
      <c r="AA974" s="204"/>
      <c r="AB974" s="204"/>
      <c r="AC974" s="204"/>
    </row>
    <row r="975" spans="1:29">
      <c r="A975" s="204"/>
      <c r="B975" s="204"/>
      <c r="C975" s="204"/>
      <c r="D975" s="204"/>
      <c r="E975" s="204"/>
      <c r="F975" s="204"/>
      <c r="G975" s="204"/>
      <c r="H975" s="204"/>
      <c r="I975" s="204"/>
      <c r="J975" s="204"/>
      <c r="K975" s="204"/>
      <c r="L975" s="205"/>
      <c r="M975" s="205"/>
      <c r="N975" s="204"/>
      <c r="O975" s="204"/>
      <c r="P975" s="206"/>
      <c r="Q975" s="206"/>
      <c r="R975" s="206"/>
      <c r="S975" s="206"/>
      <c r="T975" s="204"/>
      <c r="U975" s="207"/>
      <c r="V975" s="204"/>
      <c r="W975" s="204"/>
      <c r="X975" s="207"/>
      <c r="Y975" s="207"/>
      <c r="Z975" s="204"/>
      <c r="AA975" s="204"/>
      <c r="AB975" s="204"/>
      <c r="AC975" s="204"/>
    </row>
    <row r="976" spans="1:29">
      <c r="A976" s="204"/>
      <c r="B976" s="204"/>
      <c r="C976" s="204"/>
      <c r="D976" s="204"/>
      <c r="E976" s="204"/>
      <c r="F976" s="204"/>
      <c r="G976" s="204"/>
      <c r="H976" s="204"/>
      <c r="I976" s="204"/>
      <c r="J976" s="204"/>
      <c r="K976" s="204"/>
      <c r="L976" s="205"/>
      <c r="M976" s="205"/>
      <c r="N976" s="204"/>
      <c r="O976" s="204"/>
      <c r="P976" s="206"/>
      <c r="Q976" s="206"/>
      <c r="R976" s="206"/>
      <c r="S976" s="206"/>
      <c r="T976" s="204"/>
      <c r="U976" s="207"/>
      <c r="V976" s="204"/>
      <c r="W976" s="204"/>
      <c r="X976" s="207"/>
      <c r="Y976" s="207"/>
      <c r="Z976" s="204"/>
      <c r="AA976" s="204"/>
      <c r="AB976" s="204"/>
      <c r="AC976" s="204"/>
    </row>
    <row r="977" spans="1:29">
      <c r="A977" s="204"/>
      <c r="B977" s="204"/>
      <c r="C977" s="204"/>
      <c r="D977" s="204"/>
      <c r="E977" s="204"/>
      <c r="F977" s="204"/>
      <c r="G977" s="204"/>
      <c r="H977" s="204"/>
      <c r="I977" s="204"/>
      <c r="J977" s="204"/>
      <c r="K977" s="204"/>
      <c r="L977" s="205"/>
      <c r="M977" s="205"/>
      <c r="N977" s="204"/>
      <c r="O977" s="204"/>
      <c r="P977" s="206"/>
      <c r="Q977" s="206"/>
      <c r="R977" s="206"/>
      <c r="S977" s="206"/>
      <c r="T977" s="204"/>
      <c r="U977" s="207"/>
      <c r="V977" s="204"/>
      <c r="W977" s="204"/>
      <c r="X977" s="207"/>
      <c r="Y977" s="207"/>
      <c r="Z977" s="204"/>
      <c r="AA977" s="204"/>
      <c r="AB977" s="204"/>
      <c r="AC977" s="204"/>
    </row>
    <row r="978" spans="1:29">
      <c r="A978" s="204"/>
      <c r="B978" s="204"/>
      <c r="C978" s="204"/>
      <c r="D978" s="204"/>
      <c r="E978" s="204"/>
      <c r="F978" s="204"/>
      <c r="G978" s="204"/>
      <c r="H978" s="204"/>
      <c r="I978" s="204"/>
      <c r="J978" s="204"/>
      <c r="K978" s="204"/>
      <c r="L978" s="205"/>
      <c r="M978" s="205"/>
      <c r="N978" s="204"/>
      <c r="O978" s="204"/>
      <c r="P978" s="206"/>
      <c r="Q978" s="206"/>
      <c r="R978" s="206"/>
      <c r="S978" s="206"/>
      <c r="T978" s="204"/>
      <c r="U978" s="207"/>
      <c r="V978" s="204"/>
      <c r="W978" s="204"/>
      <c r="X978" s="207"/>
      <c r="Y978" s="207"/>
      <c r="Z978" s="204"/>
      <c r="AA978" s="204"/>
      <c r="AB978" s="204"/>
      <c r="AC978" s="204"/>
    </row>
    <row r="979" spans="1:29">
      <c r="A979" s="204"/>
      <c r="B979" s="204"/>
      <c r="C979" s="204"/>
      <c r="D979" s="204"/>
      <c r="E979" s="204"/>
      <c r="F979" s="204"/>
      <c r="G979" s="204"/>
      <c r="H979" s="204"/>
      <c r="I979" s="204"/>
      <c r="J979" s="204"/>
      <c r="K979" s="204"/>
      <c r="L979" s="205"/>
      <c r="M979" s="205"/>
      <c r="N979" s="204"/>
      <c r="O979" s="204"/>
      <c r="P979" s="206"/>
      <c r="Q979" s="206"/>
      <c r="R979" s="206"/>
      <c r="S979" s="206"/>
      <c r="T979" s="204"/>
      <c r="U979" s="207"/>
      <c r="V979" s="204"/>
      <c r="W979" s="204"/>
      <c r="X979" s="207"/>
      <c r="Y979" s="207"/>
      <c r="Z979" s="204"/>
      <c r="AA979" s="204"/>
      <c r="AB979" s="204"/>
      <c r="AC979" s="204"/>
    </row>
    <row r="980" spans="1:29">
      <c r="A980" s="204"/>
      <c r="B980" s="204"/>
      <c r="C980" s="204"/>
      <c r="D980" s="204"/>
      <c r="E980" s="204"/>
      <c r="F980" s="204"/>
      <c r="G980" s="204"/>
      <c r="H980" s="204"/>
      <c r="I980" s="204"/>
      <c r="J980" s="204"/>
      <c r="K980" s="204"/>
      <c r="L980" s="205"/>
      <c r="M980" s="205"/>
      <c r="N980" s="204"/>
      <c r="O980" s="204"/>
      <c r="P980" s="206"/>
      <c r="Q980" s="206"/>
      <c r="R980" s="206"/>
      <c r="S980" s="206"/>
      <c r="T980" s="204"/>
      <c r="U980" s="207"/>
      <c r="V980" s="204"/>
      <c r="W980" s="204"/>
      <c r="X980" s="207"/>
      <c r="Y980" s="207"/>
      <c r="Z980" s="204"/>
      <c r="AA980" s="204"/>
      <c r="AB980" s="204"/>
      <c r="AC980" s="204"/>
    </row>
    <row r="981" spans="1:29">
      <c r="A981" s="204"/>
      <c r="B981" s="204"/>
      <c r="C981" s="204"/>
      <c r="D981" s="204"/>
      <c r="E981" s="204"/>
      <c r="F981" s="204"/>
      <c r="G981" s="204"/>
      <c r="H981" s="204"/>
      <c r="I981" s="204"/>
      <c r="J981" s="204"/>
      <c r="K981" s="204"/>
      <c r="L981" s="205"/>
      <c r="M981" s="205"/>
      <c r="N981" s="204"/>
      <c r="O981" s="204"/>
      <c r="P981" s="206"/>
      <c r="Q981" s="206"/>
      <c r="R981" s="206"/>
      <c r="S981" s="206"/>
      <c r="T981" s="204"/>
      <c r="U981" s="207"/>
      <c r="V981" s="204"/>
      <c r="W981" s="204"/>
      <c r="X981" s="207"/>
      <c r="Y981" s="207"/>
      <c r="Z981" s="204"/>
      <c r="AA981" s="204"/>
      <c r="AB981" s="204"/>
      <c r="AC981" s="204"/>
    </row>
    <row r="982" spans="1:29">
      <c r="A982" s="204"/>
      <c r="B982" s="204"/>
      <c r="C982" s="204"/>
      <c r="D982" s="204"/>
      <c r="E982" s="204"/>
      <c r="F982" s="204"/>
      <c r="G982" s="204"/>
      <c r="H982" s="204"/>
      <c r="I982" s="204"/>
      <c r="J982" s="204"/>
      <c r="K982" s="204"/>
      <c r="L982" s="205"/>
      <c r="M982" s="205"/>
      <c r="N982" s="204"/>
      <c r="O982" s="204"/>
      <c r="P982" s="206"/>
      <c r="Q982" s="206"/>
      <c r="R982" s="206"/>
      <c r="S982" s="206"/>
      <c r="T982" s="204"/>
      <c r="U982" s="207"/>
      <c r="V982" s="204"/>
      <c r="W982" s="204"/>
      <c r="X982" s="207"/>
      <c r="Y982" s="207"/>
      <c r="Z982" s="204"/>
      <c r="AA982" s="204"/>
      <c r="AB982" s="204"/>
      <c r="AC982" s="204"/>
    </row>
    <row r="983" spans="1:29">
      <c r="A983" s="204"/>
      <c r="B983" s="204"/>
      <c r="C983" s="204"/>
      <c r="D983" s="204"/>
      <c r="E983" s="204"/>
      <c r="F983" s="204"/>
      <c r="G983" s="204"/>
      <c r="H983" s="204"/>
      <c r="I983" s="204"/>
      <c r="J983" s="204"/>
      <c r="K983" s="204"/>
      <c r="L983" s="205"/>
      <c r="M983" s="205"/>
      <c r="N983" s="204"/>
      <c r="O983" s="204"/>
      <c r="P983" s="206"/>
      <c r="Q983" s="206"/>
      <c r="R983" s="206"/>
      <c r="S983" s="206"/>
      <c r="T983" s="204"/>
      <c r="U983" s="207"/>
      <c r="V983" s="204"/>
      <c r="W983" s="204"/>
      <c r="X983" s="207"/>
      <c r="Y983" s="207"/>
      <c r="Z983" s="204"/>
      <c r="AA983" s="204"/>
      <c r="AB983" s="204"/>
      <c r="AC983" s="204"/>
    </row>
    <row r="984" spans="1:29">
      <c r="A984" s="204"/>
      <c r="B984" s="204"/>
      <c r="C984" s="204"/>
      <c r="D984" s="204"/>
      <c r="E984" s="204"/>
      <c r="F984" s="204"/>
      <c r="G984" s="204"/>
      <c r="H984" s="204"/>
      <c r="I984" s="204"/>
      <c r="J984" s="204"/>
      <c r="K984" s="204"/>
      <c r="L984" s="205"/>
      <c r="M984" s="205"/>
      <c r="N984" s="204"/>
      <c r="O984" s="204"/>
      <c r="P984" s="206"/>
      <c r="Q984" s="206"/>
      <c r="R984" s="206"/>
      <c r="S984" s="206"/>
      <c r="T984" s="204"/>
      <c r="U984" s="207"/>
      <c r="V984" s="204"/>
      <c r="W984" s="204"/>
      <c r="X984" s="207"/>
      <c r="Y984" s="207"/>
      <c r="Z984" s="204"/>
      <c r="AA984" s="204"/>
      <c r="AB984" s="204"/>
      <c r="AC984" s="204"/>
    </row>
    <row r="985" spans="1:29">
      <c r="A985" s="204"/>
      <c r="B985" s="204"/>
      <c r="C985" s="204"/>
      <c r="D985" s="204"/>
      <c r="E985" s="204"/>
      <c r="F985" s="204"/>
      <c r="G985" s="204"/>
      <c r="H985" s="204"/>
      <c r="I985" s="204"/>
      <c r="J985" s="204"/>
      <c r="K985" s="204"/>
      <c r="L985" s="205"/>
      <c r="M985" s="205"/>
      <c r="N985" s="204"/>
      <c r="O985" s="204"/>
      <c r="P985" s="206"/>
      <c r="Q985" s="206"/>
      <c r="R985" s="206"/>
      <c r="S985" s="206"/>
      <c r="T985" s="204"/>
      <c r="U985" s="207"/>
      <c r="V985" s="204"/>
      <c r="W985" s="204"/>
      <c r="X985" s="207"/>
      <c r="Y985" s="207"/>
      <c r="Z985" s="204"/>
      <c r="AA985" s="204"/>
      <c r="AB985" s="204"/>
      <c r="AC985" s="204"/>
    </row>
    <row r="986" spans="1:29">
      <c r="A986" s="204"/>
      <c r="B986" s="204"/>
      <c r="C986" s="204"/>
      <c r="D986" s="204"/>
      <c r="E986" s="204"/>
      <c r="F986" s="204"/>
      <c r="G986" s="204"/>
      <c r="H986" s="204"/>
      <c r="I986" s="204"/>
      <c r="J986" s="204"/>
      <c r="K986" s="204"/>
      <c r="L986" s="205"/>
      <c r="M986" s="205"/>
      <c r="N986" s="204"/>
      <c r="O986" s="204"/>
      <c r="P986" s="206"/>
      <c r="Q986" s="206"/>
      <c r="R986" s="206"/>
      <c r="S986" s="206"/>
      <c r="T986" s="204"/>
      <c r="U986" s="207"/>
      <c r="V986" s="204"/>
      <c r="W986" s="204"/>
      <c r="X986" s="207"/>
      <c r="Y986" s="207"/>
      <c r="Z986" s="204"/>
      <c r="AA986" s="204"/>
      <c r="AB986" s="204"/>
      <c r="AC986" s="204"/>
    </row>
    <row r="987" spans="1:29">
      <c r="A987" s="204"/>
      <c r="B987" s="204"/>
      <c r="C987" s="204"/>
      <c r="D987" s="204"/>
      <c r="E987" s="204"/>
      <c r="F987" s="204"/>
      <c r="G987" s="204"/>
      <c r="H987" s="204"/>
      <c r="I987" s="204"/>
      <c r="J987" s="204"/>
      <c r="K987" s="204"/>
      <c r="L987" s="205"/>
      <c r="M987" s="205"/>
      <c r="N987" s="204"/>
      <c r="O987" s="204"/>
      <c r="P987" s="206"/>
      <c r="Q987" s="206"/>
      <c r="R987" s="206"/>
      <c r="S987" s="206"/>
      <c r="T987" s="204"/>
      <c r="U987" s="207"/>
      <c r="V987" s="204"/>
      <c r="W987" s="204"/>
      <c r="X987" s="207"/>
      <c r="Y987" s="207"/>
      <c r="Z987" s="204"/>
      <c r="AA987" s="204"/>
      <c r="AB987" s="204"/>
      <c r="AC987" s="204"/>
    </row>
    <row r="988" spans="1:29">
      <c r="A988" s="204"/>
      <c r="B988" s="204"/>
      <c r="C988" s="204"/>
      <c r="D988" s="204"/>
      <c r="E988" s="204"/>
      <c r="F988" s="204"/>
      <c r="G988" s="204"/>
      <c r="H988" s="204"/>
      <c r="I988" s="204"/>
      <c r="J988" s="204"/>
      <c r="K988" s="204"/>
      <c r="L988" s="205"/>
      <c r="M988" s="205"/>
      <c r="N988" s="204"/>
      <c r="O988" s="204"/>
      <c r="P988" s="206"/>
      <c r="Q988" s="206"/>
      <c r="R988" s="206"/>
      <c r="S988" s="206"/>
      <c r="T988" s="204"/>
      <c r="U988" s="207"/>
      <c r="V988" s="204"/>
      <c r="W988" s="204"/>
      <c r="X988" s="207"/>
      <c r="Y988" s="207"/>
      <c r="Z988" s="204"/>
      <c r="AA988" s="204"/>
      <c r="AB988" s="204"/>
      <c r="AC988" s="204"/>
    </row>
    <row r="989" spans="1:29">
      <c r="A989" s="204"/>
      <c r="B989" s="204"/>
      <c r="C989" s="204"/>
      <c r="D989" s="204"/>
      <c r="E989" s="204"/>
      <c r="F989" s="204"/>
      <c r="G989" s="204"/>
      <c r="H989" s="204"/>
      <c r="I989" s="204"/>
      <c r="J989" s="204"/>
      <c r="K989" s="204"/>
      <c r="L989" s="205"/>
      <c r="M989" s="205"/>
      <c r="N989" s="204"/>
      <c r="O989" s="204"/>
      <c r="P989" s="206"/>
      <c r="Q989" s="206"/>
      <c r="R989" s="206"/>
      <c r="S989" s="206"/>
      <c r="T989" s="204"/>
      <c r="U989" s="207"/>
      <c r="V989" s="204"/>
      <c r="W989" s="204"/>
      <c r="X989" s="207"/>
      <c r="Y989" s="207"/>
      <c r="Z989" s="204"/>
      <c r="AA989" s="204"/>
      <c r="AB989" s="204"/>
      <c r="AC989" s="204"/>
    </row>
    <row r="990" spans="1:29">
      <c r="A990" s="204"/>
      <c r="B990" s="204"/>
      <c r="C990" s="204"/>
      <c r="D990" s="204"/>
      <c r="E990" s="204"/>
      <c r="F990" s="204"/>
      <c r="G990" s="204"/>
      <c r="H990" s="204"/>
      <c r="I990" s="204"/>
      <c r="J990" s="204"/>
      <c r="K990" s="204"/>
      <c r="L990" s="205"/>
      <c r="M990" s="205"/>
      <c r="N990" s="204"/>
      <c r="O990" s="204"/>
      <c r="P990" s="206"/>
      <c r="Q990" s="206"/>
      <c r="R990" s="206"/>
      <c r="S990" s="206"/>
      <c r="T990" s="204"/>
      <c r="U990" s="207"/>
      <c r="V990" s="204"/>
      <c r="W990" s="204"/>
      <c r="X990" s="207"/>
      <c r="Y990" s="207"/>
      <c r="Z990" s="204"/>
      <c r="AA990" s="204"/>
      <c r="AB990" s="204"/>
      <c r="AC990" s="204"/>
    </row>
    <row r="991" spans="1:29">
      <c r="A991" s="204"/>
      <c r="B991" s="204"/>
      <c r="C991" s="204"/>
      <c r="D991" s="204"/>
      <c r="E991" s="204"/>
      <c r="F991" s="204"/>
      <c r="G991" s="204"/>
      <c r="H991" s="204"/>
      <c r="I991" s="204"/>
      <c r="J991" s="204"/>
      <c r="K991" s="204"/>
      <c r="L991" s="205"/>
      <c r="M991" s="205"/>
      <c r="N991" s="204"/>
      <c r="O991" s="204"/>
      <c r="P991" s="206"/>
      <c r="Q991" s="206"/>
      <c r="R991" s="206"/>
      <c r="S991" s="206"/>
      <c r="T991" s="204"/>
      <c r="U991" s="207"/>
      <c r="V991" s="204"/>
      <c r="W991" s="204"/>
      <c r="X991" s="207"/>
      <c r="Y991" s="207"/>
      <c r="Z991" s="204"/>
      <c r="AA991" s="204"/>
      <c r="AB991" s="204"/>
      <c r="AC991" s="204"/>
    </row>
    <row r="992" spans="1:29">
      <c r="A992" s="204"/>
      <c r="B992" s="204"/>
      <c r="C992" s="204"/>
      <c r="D992" s="204"/>
      <c r="E992" s="204"/>
      <c r="F992" s="204"/>
      <c r="G992" s="204"/>
      <c r="H992" s="204"/>
      <c r="I992" s="204"/>
      <c r="J992" s="204"/>
      <c r="K992" s="204"/>
      <c r="L992" s="205"/>
      <c r="M992" s="205"/>
      <c r="N992" s="204"/>
      <c r="O992" s="204"/>
      <c r="P992" s="206"/>
      <c r="Q992" s="206"/>
      <c r="R992" s="206"/>
      <c r="S992" s="206"/>
      <c r="T992" s="204"/>
      <c r="U992" s="207"/>
      <c r="V992" s="204"/>
      <c r="W992" s="204"/>
      <c r="X992" s="207"/>
      <c r="Y992" s="207"/>
      <c r="Z992" s="204"/>
      <c r="AA992" s="204"/>
      <c r="AB992" s="204"/>
      <c r="AC992" s="204"/>
    </row>
    <row r="993" spans="1:29">
      <c r="A993" s="204"/>
      <c r="B993" s="204"/>
      <c r="C993" s="204"/>
      <c r="D993" s="204"/>
      <c r="E993" s="204"/>
      <c r="F993" s="204"/>
      <c r="G993" s="204"/>
      <c r="H993" s="204"/>
      <c r="I993" s="204"/>
      <c r="J993" s="204"/>
      <c r="K993" s="204"/>
      <c r="L993" s="205"/>
      <c r="M993" s="205"/>
      <c r="N993" s="204"/>
      <c r="O993" s="204"/>
      <c r="P993" s="206"/>
      <c r="Q993" s="206"/>
      <c r="R993" s="206"/>
      <c r="S993" s="206"/>
      <c r="T993" s="204"/>
      <c r="U993" s="207"/>
      <c r="V993" s="204"/>
      <c r="W993" s="204"/>
      <c r="X993" s="207"/>
      <c r="Y993" s="207"/>
      <c r="Z993" s="204"/>
      <c r="AA993" s="204"/>
      <c r="AB993" s="204"/>
      <c r="AC993" s="204"/>
    </row>
    <row r="994" spans="1:29">
      <c r="A994" s="204"/>
      <c r="B994" s="204"/>
      <c r="C994" s="204"/>
      <c r="D994" s="204"/>
      <c r="E994" s="204"/>
      <c r="F994" s="204"/>
      <c r="G994" s="204"/>
      <c r="H994" s="204"/>
      <c r="I994" s="204"/>
      <c r="J994" s="204"/>
      <c r="K994" s="204"/>
      <c r="L994" s="205"/>
      <c r="M994" s="205"/>
      <c r="N994" s="204"/>
      <c r="O994" s="204"/>
      <c r="P994" s="206"/>
      <c r="Q994" s="206"/>
      <c r="R994" s="206"/>
      <c r="S994" s="206"/>
      <c r="T994" s="204"/>
      <c r="U994" s="207"/>
      <c r="V994" s="204"/>
      <c r="W994" s="204"/>
      <c r="X994" s="207"/>
      <c r="Y994" s="207"/>
      <c r="Z994" s="204"/>
      <c r="AA994" s="204"/>
      <c r="AB994" s="204"/>
      <c r="AC994" s="204"/>
    </row>
    <row r="995" spans="1:29">
      <c r="A995" s="204"/>
      <c r="B995" s="204"/>
      <c r="C995" s="204"/>
      <c r="D995" s="204"/>
      <c r="E995" s="204"/>
      <c r="F995" s="204"/>
      <c r="G995" s="204"/>
      <c r="H995" s="204"/>
      <c r="I995" s="204"/>
      <c r="J995" s="204"/>
      <c r="K995" s="204"/>
      <c r="L995" s="205"/>
      <c r="M995" s="205"/>
      <c r="N995" s="204"/>
      <c r="O995" s="204"/>
      <c r="P995" s="206"/>
      <c r="Q995" s="206"/>
      <c r="R995" s="206"/>
      <c r="S995" s="206"/>
      <c r="T995" s="204"/>
      <c r="U995" s="207"/>
      <c r="V995" s="204"/>
      <c r="W995" s="204"/>
      <c r="X995" s="207"/>
      <c r="Y995" s="207"/>
      <c r="Z995" s="204"/>
      <c r="AA995" s="204"/>
      <c r="AB995" s="204"/>
      <c r="AC995" s="204"/>
    </row>
    <row r="996" spans="1:29">
      <c r="A996" s="204"/>
      <c r="B996" s="204"/>
      <c r="C996" s="204"/>
      <c r="D996" s="204"/>
      <c r="E996" s="204"/>
      <c r="F996" s="204"/>
      <c r="G996" s="204"/>
      <c r="H996" s="204"/>
      <c r="I996" s="204"/>
      <c r="J996" s="204"/>
      <c r="K996" s="204"/>
      <c r="L996" s="205"/>
      <c r="M996" s="205"/>
      <c r="N996" s="204"/>
      <c r="O996" s="204"/>
      <c r="P996" s="206"/>
      <c r="Q996" s="206"/>
      <c r="R996" s="206"/>
      <c r="S996" s="206"/>
      <c r="T996" s="204"/>
      <c r="U996" s="207"/>
      <c r="V996" s="204"/>
      <c r="W996" s="204"/>
      <c r="X996" s="207"/>
      <c r="Y996" s="207"/>
      <c r="Z996" s="204"/>
      <c r="AA996" s="204"/>
      <c r="AB996" s="204"/>
      <c r="AC996" s="204"/>
    </row>
    <row r="997" spans="1:29">
      <c r="A997" s="204"/>
      <c r="B997" s="204"/>
      <c r="C997" s="204"/>
      <c r="D997" s="204"/>
      <c r="E997" s="204"/>
      <c r="F997" s="204"/>
      <c r="G997" s="204"/>
      <c r="H997" s="204"/>
      <c r="I997" s="204"/>
      <c r="J997" s="204"/>
      <c r="K997" s="204"/>
      <c r="L997" s="205"/>
      <c r="M997" s="205"/>
      <c r="N997" s="204"/>
      <c r="O997" s="204"/>
      <c r="P997" s="206"/>
      <c r="Q997" s="206"/>
      <c r="R997" s="206"/>
      <c r="S997" s="206"/>
      <c r="T997" s="204"/>
      <c r="U997" s="207"/>
      <c r="V997" s="204"/>
      <c r="W997" s="204"/>
      <c r="X997" s="207"/>
      <c r="Y997" s="207"/>
      <c r="Z997" s="204"/>
      <c r="AA997" s="204"/>
      <c r="AB997" s="204"/>
      <c r="AC997" s="204"/>
    </row>
    <row r="998" spans="1:29">
      <c r="A998" s="204"/>
      <c r="B998" s="204"/>
      <c r="C998" s="204"/>
      <c r="D998" s="204"/>
      <c r="E998" s="204"/>
      <c r="F998" s="204"/>
      <c r="G998" s="204"/>
      <c r="H998" s="204"/>
      <c r="I998" s="204"/>
      <c r="J998" s="204"/>
      <c r="K998" s="204"/>
      <c r="L998" s="205"/>
      <c r="M998" s="205"/>
      <c r="N998" s="204"/>
      <c r="O998" s="204"/>
      <c r="P998" s="206"/>
      <c r="Q998" s="206"/>
      <c r="R998" s="206"/>
      <c r="S998" s="206"/>
      <c r="T998" s="204"/>
      <c r="U998" s="207"/>
      <c r="V998" s="204"/>
      <c r="W998" s="204"/>
      <c r="X998" s="207"/>
      <c r="Y998" s="207"/>
      <c r="Z998" s="204"/>
      <c r="AA998" s="204"/>
      <c r="AB998" s="204"/>
      <c r="AC998" s="204"/>
    </row>
    <row r="999" spans="1:29">
      <c r="A999" s="204"/>
      <c r="B999" s="204"/>
      <c r="C999" s="204"/>
      <c r="D999" s="204"/>
      <c r="E999" s="204"/>
      <c r="F999" s="204"/>
      <c r="G999" s="204"/>
      <c r="H999" s="204"/>
      <c r="I999" s="204"/>
      <c r="J999" s="204"/>
      <c r="K999" s="204"/>
      <c r="L999" s="205"/>
      <c r="M999" s="205"/>
      <c r="N999" s="204"/>
      <c r="O999" s="204"/>
      <c r="P999" s="206"/>
      <c r="Q999" s="206"/>
      <c r="R999" s="206"/>
      <c r="S999" s="206"/>
      <c r="T999" s="204"/>
      <c r="U999" s="207"/>
      <c r="V999" s="204"/>
      <c r="W999" s="204"/>
      <c r="X999" s="207"/>
      <c r="Y999" s="207"/>
      <c r="Z999" s="204"/>
      <c r="AA999" s="204"/>
      <c r="AB999" s="204"/>
      <c r="AC999" s="204"/>
    </row>
    <row r="1000" spans="1:29">
      <c r="A1000" s="204"/>
      <c r="B1000" s="204"/>
      <c r="C1000" s="204"/>
      <c r="D1000" s="204"/>
      <c r="E1000" s="204"/>
      <c r="F1000" s="204"/>
      <c r="G1000" s="204"/>
      <c r="H1000" s="204"/>
      <c r="I1000" s="204"/>
      <c r="J1000" s="204"/>
      <c r="K1000" s="204"/>
      <c r="L1000" s="205"/>
      <c r="M1000" s="205"/>
      <c r="N1000" s="204"/>
      <c r="O1000" s="204"/>
      <c r="P1000" s="206"/>
      <c r="Q1000" s="206"/>
      <c r="R1000" s="206"/>
      <c r="S1000" s="206"/>
      <c r="T1000" s="204"/>
      <c r="U1000" s="207"/>
      <c r="V1000" s="204"/>
      <c r="W1000" s="204"/>
      <c r="X1000" s="207"/>
      <c r="Y1000" s="207"/>
      <c r="Z1000" s="204"/>
      <c r="AA1000" s="204"/>
      <c r="AB1000" s="204"/>
      <c r="AC1000" s="204"/>
    </row>
    <row r="1001" spans="1:29">
      <c r="A1001" s="204"/>
      <c r="B1001" s="204"/>
      <c r="C1001" s="204"/>
      <c r="D1001" s="204"/>
      <c r="E1001" s="204"/>
      <c r="F1001" s="204"/>
      <c r="G1001" s="204"/>
      <c r="H1001" s="204"/>
      <c r="I1001" s="204"/>
      <c r="J1001" s="204"/>
      <c r="K1001" s="204"/>
      <c r="L1001" s="205"/>
      <c r="M1001" s="205"/>
      <c r="N1001" s="204"/>
      <c r="O1001" s="204"/>
      <c r="P1001" s="206"/>
      <c r="Q1001" s="206"/>
      <c r="R1001" s="206"/>
      <c r="S1001" s="206"/>
      <c r="T1001" s="204"/>
      <c r="U1001" s="207"/>
      <c r="V1001" s="204"/>
      <c r="W1001" s="204"/>
      <c r="X1001" s="207"/>
      <c r="Y1001" s="207"/>
      <c r="Z1001" s="204"/>
      <c r="AA1001" s="204"/>
      <c r="AB1001" s="204"/>
      <c r="AC1001" s="204"/>
    </row>
    <row r="1002" spans="1:29">
      <c r="A1002" s="204"/>
      <c r="B1002" s="204"/>
      <c r="C1002" s="204"/>
      <c r="D1002" s="204"/>
      <c r="E1002" s="204"/>
      <c r="F1002" s="204"/>
      <c r="G1002" s="204"/>
      <c r="H1002" s="204"/>
      <c r="I1002" s="204"/>
      <c r="J1002" s="204"/>
      <c r="K1002" s="204"/>
      <c r="L1002" s="205"/>
      <c r="M1002" s="205"/>
      <c r="N1002" s="204"/>
      <c r="O1002" s="204"/>
      <c r="P1002" s="206"/>
      <c r="Q1002" s="206"/>
      <c r="R1002" s="206"/>
      <c r="S1002" s="206"/>
      <c r="T1002" s="204"/>
      <c r="U1002" s="207"/>
      <c r="V1002" s="204"/>
      <c r="W1002" s="204"/>
      <c r="X1002" s="207"/>
      <c r="Y1002" s="207"/>
      <c r="Z1002" s="204"/>
      <c r="AA1002" s="204"/>
      <c r="AB1002" s="204"/>
      <c r="AC1002" s="204"/>
    </row>
    <row r="1003" spans="1:29">
      <c r="A1003" s="204"/>
      <c r="B1003" s="204"/>
      <c r="C1003" s="204"/>
      <c r="D1003" s="204"/>
      <c r="E1003" s="204"/>
      <c r="F1003" s="204"/>
      <c r="G1003" s="204"/>
      <c r="H1003" s="204"/>
      <c r="I1003" s="204"/>
      <c r="J1003" s="204"/>
      <c r="K1003" s="204"/>
      <c r="L1003" s="205"/>
      <c r="M1003" s="205"/>
      <c r="N1003" s="204"/>
      <c r="O1003" s="204"/>
      <c r="P1003" s="206"/>
      <c r="Q1003" s="206"/>
      <c r="R1003" s="206"/>
      <c r="S1003" s="206"/>
      <c r="T1003" s="204"/>
      <c r="U1003" s="207"/>
      <c r="V1003" s="204"/>
      <c r="W1003" s="204"/>
      <c r="X1003" s="207"/>
      <c r="Y1003" s="207"/>
      <c r="Z1003" s="204"/>
      <c r="AA1003" s="204"/>
      <c r="AB1003" s="204"/>
      <c r="AC1003" s="204"/>
    </row>
    <row r="1004" spans="1:29">
      <c r="A1004" s="204"/>
      <c r="B1004" s="204"/>
      <c r="C1004" s="204"/>
      <c r="D1004" s="204"/>
      <c r="E1004" s="204"/>
      <c r="F1004" s="204"/>
      <c r="G1004" s="204"/>
      <c r="H1004" s="204"/>
      <c r="I1004" s="204"/>
      <c r="J1004" s="204"/>
      <c r="K1004" s="204"/>
      <c r="L1004" s="205"/>
      <c r="M1004" s="205"/>
      <c r="N1004" s="204"/>
      <c r="O1004" s="204"/>
      <c r="P1004" s="206"/>
      <c r="Q1004" s="206"/>
      <c r="R1004" s="206"/>
      <c r="S1004" s="206"/>
      <c r="T1004" s="204"/>
      <c r="U1004" s="207"/>
      <c r="V1004" s="204"/>
      <c r="W1004" s="204"/>
      <c r="X1004" s="207"/>
      <c r="Y1004" s="207"/>
      <c r="Z1004" s="204"/>
      <c r="AA1004" s="204"/>
      <c r="AB1004" s="204"/>
      <c r="AC1004" s="204"/>
    </row>
    <row r="1005" spans="1:29">
      <c r="A1005" s="204"/>
      <c r="B1005" s="204"/>
      <c r="C1005" s="204"/>
      <c r="D1005" s="204"/>
      <c r="E1005" s="204"/>
      <c r="F1005" s="204"/>
      <c r="G1005" s="204"/>
      <c r="H1005" s="204"/>
      <c r="I1005" s="204"/>
      <c r="J1005" s="204"/>
      <c r="K1005" s="204"/>
      <c r="L1005" s="205"/>
      <c r="M1005" s="205"/>
      <c r="N1005" s="204"/>
      <c r="O1005" s="204"/>
      <c r="P1005" s="206"/>
      <c r="Q1005" s="206"/>
      <c r="R1005" s="206"/>
      <c r="S1005" s="206"/>
      <c r="T1005" s="204"/>
      <c r="U1005" s="207"/>
      <c r="V1005" s="204"/>
      <c r="W1005" s="204"/>
      <c r="X1005" s="207"/>
      <c r="Y1005" s="207"/>
      <c r="Z1005" s="204"/>
      <c r="AA1005" s="204"/>
      <c r="AB1005" s="204"/>
      <c r="AC1005" s="204"/>
    </row>
    <row r="1006" spans="1:29">
      <c r="A1006" s="204"/>
      <c r="B1006" s="204"/>
      <c r="C1006" s="204"/>
      <c r="D1006" s="204"/>
      <c r="E1006" s="204"/>
      <c r="F1006" s="204"/>
      <c r="G1006" s="204"/>
      <c r="H1006" s="204"/>
      <c r="I1006" s="204"/>
      <c r="J1006" s="204"/>
      <c r="K1006" s="204"/>
      <c r="L1006" s="205"/>
      <c r="M1006" s="205"/>
      <c r="N1006" s="204"/>
      <c r="O1006" s="204"/>
      <c r="P1006" s="206"/>
      <c r="Q1006" s="206"/>
      <c r="R1006" s="206"/>
      <c r="S1006" s="206"/>
      <c r="T1006" s="204"/>
      <c r="U1006" s="207"/>
      <c r="V1006" s="204"/>
      <c r="W1006" s="204"/>
      <c r="X1006" s="207"/>
      <c r="Y1006" s="207"/>
      <c r="Z1006" s="204"/>
      <c r="AA1006" s="204"/>
      <c r="AB1006" s="204"/>
      <c r="AC1006" s="204"/>
    </row>
    <row r="1007" spans="1:29">
      <c r="A1007" s="204"/>
      <c r="B1007" s="204"/>
      <c r="C1007" s="204"/>
      <c r="D1007" s="204"/>
      <c r="E1007" s="204"/>
      <c r="F1007" s="204"/>
      <c r="G1007" s="204"/>
      <c r="H1007" s="204"/>
      <c r="I1007" s="204"/>
      <c r="J1007" s="204"/>
      <c r="K1007" s="204"/>
      <c r="L1007" s="205"/>
      <c r="M1007" s="205"/>
      <c r="N1007" s="204"/>
      <c r="O1007" s="204"/>
      <c r="P1007" s="206"/>
      <c r="Q1007" s="206"/>
      <c r="R1007" s="206"/>
      <c r="S1007" s="206"/>
      <c r="T1007" s="204"/>
      <c r="U1007" s="207"/>
      <c r="V1007" s="204"/>
      <c r="W1007" s="204"/>
      <c r="X1007" s="207"/>
      <c r="Y1007" s="207"/>
      <c r="Z1007" s="204"/>
      <c r="AA1007" s="204"/>
      <c r="AB1007" s="204"/>
      <c r="AC1007" s="204"/>
    </row>
    <row r="1008" spans="1:29">
      <c r="A1008" s="204"/>
      <c r="B1008" s="204"/>
      <c r="C1008" s="204"/>
      <c r="D1008" s="204"/>
      <c r="E1008" s="204"/>
      <c r="F1008" s="204"/>
      <c r="G1008" s="204"/>
      <c r="H1008" s="204"/>
      <c r="I1008" s="204"/>
      <c r="J1008" s="204"/>
      <c r="K1008" s="204"/>
      <c r="L1008" s="205"/>
      <c r="M1008" s="205"/>
      <c r="N1008" s="204"/>
      <c r="O1008" s="204"/>
      <c r="P1008" s="206"/>
      <c r="Q1008" s="206"/>
      <c r="R1008" s="206"/>
      <c r="S1008" s="206"/>
      <c r="T1008" s="204"/>
      <c r="U1008" s="207"/>
      <c r="V1008" s="204"/>
      <c r="W1008" s="204"/>
      <c r="X1008" s="207"/>
      <c r="Y1008" s="207"/>
      <c r="Z1008" s="204"/>
      <c r="AA1008" s="204"/>
      <c r="AB1008" s="204"/>
      <c r="AC1008" s="204"/>
    </row>
    <row r="1009" spans="1:29">
      <c r="A1009" s="204"/>
      <c r="B1009" s="204"/>
      <c r="C1009" s="204"/>
      <c r="D1009" s="204"/>
      <c r="E1009" s="204"/>
      <c r="F1009" s="204"/>
      <c r="G1009" s="204"/>
      <c r="H1009" s="204"/>
      <c r="I1009" s="204"/>
      <c r="J1009" s="204"/>
      <c r="K1009" s="204"/>
      <c r="L1009" s="205"/>
      <c r="M1009" s="205"/>
      <c r="N1009" s="204"/>
      <c r="O1009" s="204"/>
      <c r="P1009" s="206"/>
      <c r="Q1009" s="206"/>
      <c r="R1009" s="206"/>
      <c r="S1009" s="206"/>
      <c r="T1009" s="204"/>
      <c r="U1009" s="207"/>
      <c r="V1009" s="204"/>
      <c r="W1009" s="204"/>
      <c r="X1009" s="207"/>
      <c r="Y1009" s="207"/>
      <c r="Z1009" s="204"/>
      <c r="AA1009" s="204"/>
      <c r="AB1009" s="204"/>
      <c r="AC1009" s="204"/>
    </row>
    <row r="1010" spans="1:29">
      <c r="A1010" s="204"/>
      <c r="B1010" s="204"/>
      <c r="C1010" s="204"/>
      <c r="D1010" s="204"/>
      <c r="E1010" s="204"/>
      <c r="F1010" s="204"/>
      <c r="G1010" s="204"/>
      <c r="H1010" s="204"/>
      <c r="I1010" s="204"/>
      <c r="J1010" s="204"/>
      <c r="K1010" s="204"/>
      <c r="L1010" s="205"/>
      <c r="M1010" s="205"/>
      <c r="N1010" s="204"/>
      <c r="O1010" s="204"/>
      <c r="P1010" s="206"/>
      <c r="Q1010" s="206"/>
      <c r="R1010" s="206"/>
      <c r="S1010" s="206"/>
      <c r="T1010" s="204"/>
      <c r="U1010" s="207"/>
      <c r="V1010" s="204"/>
      <c r="W1010" s="204"/>
      <c r="X1010" s="207"/>
      <c r="Y1010" s="207"/>
      <c r="Z1010" s="204"/>
      <c r="AA1010" s="204"/>
      <c r="AB1010" s="204"/>
      <c r="AC1010" s="204"/>
    </row>
    <row r="1011" spans="1:29">
      <c r="A1011" s="204"/>
      <c r="B1011" s="204"/>
      <c r="C1011" s="204"/>
      <c r="D1011" s="204"/>
      <c r="E1011" s="204"/>
      <c r="F1011" s="204"/>
      <c r="G1011" s="204"/>
      <c r="H1011" s="204"/>
      <c r="I1011" s="204"/>
      <c r="J1011" s="204"/>
      <c r="K1011" s="204"/>
      <c r="L1011" s="205"/>
      <c r="M1011" s="205"/>
      <c r="N1011" s="204"/>
      <c r="O1011" s="204"/>
      <c r="P1011" s="206"/>
      <c r="Q1011" s="206"/>
      <c r="R1011" s="206"/>
      <c r="S1011" s="206"/>
      <c r="T1011" s="204"/>
      <c r="U1011" s="207"/>
      <c r="V1011" s="204"/>
      <c r="W1011" s="204"/>
      <c r="X1011" s="207"/>
      <c r="Y1011" s="207"/>
      <c r="Z1011" s="204"/>
      <c r="AA1011" s="204"/>
      <c r="AB1011" s="204"/>
      <c r="AC1011" s="204"/>
    </row>
    <row r="1012" spans="1:29">
      <c r="A1012" s="204"/>
      <c r="B1012" s="204"/>
      <c r="C1012" s="204"/>
      <c r="D1012" s="204"/>
      <c r="E1012" s="204"/>
      <c r="F1012" s="204"/>
      <c r="G1012" s="204"/>
      <c r="H1012" s="204"/>
      <c r="I1012" s="204"/>
      <c r="J1012" s="204"/>
      <c r="K1012" s="204"/>
      <c r="L1012" s="205"/>
      <c r="M1012" s="205"/>
      <c r="N1012" s="204"/>
      <c r="O1012" s="204"/>
      <c r="P1012" s="206"/>
      <c r="Q1012" s="206"/>
      <c r="R1012" s="206"/>
      <c r="S1012" s="206"/>
      <c r="T1012" s="204"/>
      <c r="U1012" s="207"/>
      <c r="V1012" s="204"/>
      <c r="W1012" s="204"/>
      <c r="X1012" s="207"/>
      <c r="Y1012" s="207"/>
      <c r="Z1012" s="204"/>
      <c r="AA1012" s="204"/>
      <c r="AB1012" s="204"/>
      <c r="AC1012" s="204"/>
    </row>
    <row r="1013" spans="1:29">
      <c r="A1013" s="204"/>
      <c r="B1013" s="204"/>
      <c r="C1013" s="204"/>
      <c r="D1013" s="204"/>
      <c r="E1013" s="204"/>
      <c r="F1013" s="204"/>
      <c r="G1013" s="204"/>
      <c r="H1013" s="204"/>
      <c r="I1013" s="204"/>
      <c r="J1013" s="204"/>
      <c r="K1013" s="204"/>
      <c r="L1013" s="205"/>
      <c r="M1013" s="205"/>
      <c r="N1013" s="204"/>
      <c r="O1013" s="204"/>
      <c r="P1013" s="206"/>
      <c r="Q1013" s="206"/>
      <c r="R1013" s="206"/>
      <c r="S1013" s="206"/>
      <c r="T1013" s="204"/>
      <c r="U1013" s="207"/>
      <c r="V1013" s="204"/>
      <c r="W1013" s="204"/>
      <c r="X1013" s="207"/>
      <c r="Y1013" s="207"/>
      <c r="Z1013" s="204"/>
      <c r="AA1013" s="204"/>
      <c r="AB1013" s="204"/>
      <c r="AC1013" s="204"/>
    </row>
    <row r="1014" spans="1:29">
      <c r="A1014" s="204"/>
      <c r="B1014" s="204"/>
      <c r="C1014" s="204"/>
      <c r="D1014" s="204"/>
      <c r="E1014" s="204"/>
      <c r="F1014" s="204"/>
      <c r="G1014" s="204"/>
      <c r="H1014" s="204"/>
      <c r="I1014" s="204"/>
      <c r="J1014" s="204"/>
      <c r="K1014" s="204"/>
      <c r="L1014" s="205"/>
      <c r="M1014" s="205"/>
      <c r="N1014" s="204"/>
      <c r="O1014" s="204"/>
      <c r="P1014" s="206"/>
      <c r="Q1014" s="206"/>
      <c r="R1014" s="206"/>
      <c r="S1014" s="206"/>
      <c r="T1014" s="204"/>
      <c r="U1014" s="207"/>
      <c r="V1014" s="204"/>
      <c r="W1014" s="204"/>
      <c r="X1014" s="207"/>
      <c r="Y1014" s="207"/>
      <c r="Z1014" s="204"/>
      <c r="AA1014" s="204"/>
      <c r="AB1014" s="204"/>
      <c r="AC1014" s="204"/>
    </row>
    <row r="1015" spans="1:29">
      <c r="A1015" s="204"/>
      <c r="B1015" s="204"/>
      <c r="C1015" s="204"/>
      <c r="D1015" s="204"/>
      <c r="E1015" s="204"/>
      <c r="F1015" s="204"/>
      <c r="G1015" s="204"/>
      <c r="H1015" s="204"/>
      <c r="I1015" s="204"/>
      <c r="J1015" s="204"/>
      <c r="K1015" s="204"/>
      <c r="L1015" s="205"/>
      <c r="M1015" s="205"/>
      <c r="N1015" s="204"/>
      <c r="O1015" s="204"/>
      <c r="P1015" s="206"/>
      <c r="Q1015" s="206"/>
      <c r="R1015" s="206"/>
      <c r="S1015" s="206"/>
      <c r="T1015" s="204"/>
      <c r="U1015" s="207"/>
      <c r="V1015" s="204"/>
      <c r="W1015" s="204"/>
      <c r="X1015" s="207"/>
      <c r="Y1015" s="207"/>
      <c r="Z1015" s="204"/>
      <c r="AA1015" s="204"/>
      <c r="AB1015" s="204"/>
      <c r="AC1015" s="204"/>
    </row>
    <row r="1016" spans="1:29">
      <c r="A1016" s="204"/>
      <c r="B1016" s="204"/>
      <c r="C1016" s="204"/>
      <c r="D1016" s="204"/>
      <c r="E1016" s="204"/>
      <c r="F1016" s="204"/>
      <c r="G1016" s="204"/>
      <c r="H1016" s="204"/>
      <c r="I1016" s="204"/>
      <c r="J1016" s="204"/>
      <c r="K1016" s="204"/>
      <c r="L1016" s="205"/>
      <c r="M1016" s="205"/>
      <c r="N1016" s="204"/>
      <c r="O1016" s="204"/>
      <c r="P1016" s="206"/>
      <c r="Q1016" s="206"/>
      <c r="R1016" s="206"/>
      <c r="S1016" s="206"/>
      <c r="T1016" s="204"/>
      <c r="U1016" s="207"/>
      <c r="V1016" s="204"/>
      <c r="W1016" s="204"/>
      <c r="X1016" s="207"/>
      <c r="Y1016" s="207"/>
      <c r="Z1016" s="204"/>
      <c r="AA1016" s="204"/>
      <c r="AB1016" s="204"/>
      <c r="AC1016" s="204"/>
    </row>
    <row r="1017" spans="1:29">
      <c r="A1017" s="204"/>
      <c r="B1017" s="204"/>
      <c r="C1017" s="204"/>
      <c r="D1017" s="204"/>
      <c r="E1017" s="204"/>
      <c r="F1017" s="204"/>
      <c r="G1017" s="204"/>
      <c r="H1017" s="204"/>
      <c r="I1017" s="204"/>
      <c r="J1017" s="204"/>
      <c r="K1017" s="204"/>
      <c r="L1017" s="205"/>
      <c r="M1017" s="205"/>
      <c r="N1017" s="204"/>
      <c r="O1017" s="204"/>
      <c r="P1017" s="206"/>
      <c r="Q1017" s="206"/>
      <c r="R1017" s="206"/>
      <c r="S1017" s="206"/>
      <c r="T1017" s="204"/>
      <c r="U1017" s="207"/>
      <c r="V1017" s="204"/>
      <c r="W1017" s="204"/>
      <c r="X1017" s="207"/>
      <c r="Y1017" s="207"/>
      <c r="Z1017" s="204"/>
      <c r="AA1017" s="204"/>
      <c r="AB1017" s="204"/>
      <c r="AC1017" s="204"/>
    </row>
    <row r="1018" spans="1:29">
      <c r="A1018" s="204"/>
      <c r="B1018" s="204"/>
      <c r="C1018" s="204"/>
      <c r="D1018" s="204"/>
      <c r="E1018" s="204"/>
      <c r="F1018" s="204"/>
      <c r="G1018" s="204"/>
      <c r="H1018" s="204"/>
      <c r="I1018" s="204"/>
      <c r="J1018" s="204"/>
      <c r="K1018" s="204"/>
      <c r="L1018" s="205"/>
      <c r="M1018" s="205"/>
      <c r="N1018" s="204"/>
      <c r="O1018" s="204"/>
      <c r="P1018" s="206"/>
      <c r="Q1018" s="206"/>
      <c r="R1018" s="206"/>
      <c r="S1018" s="206"/>
      <c r="T1018" s="204"/>
      <c r="U1018" s="207"/>
      <c r="V1018" s="204"/>
      <c r="W1018" s="204"/>
      <c r="X1018" s="207"/>
      <c r="Y1018" s="207"/>
      <c r="Z1018" s="204"/>
      <c r="AA1018" s="204"/>
      <c r="AB1018" s="204"/>
      <c r="AC1018" s="204"/>
    </row>
    <row r="1019" spans="1:29">
      <c r="A1019" s="204"/>
      <c r="B1019" s="204"/>
      <c r="C1019" s="204"/>
      <c r="D1019" s="204"/>
      <c r="E1019" s="204"/>
      <c r="F1019" s="204"/>
      <c r="G1019" s="204"/>
      <c r="H1019" s="204"/>
      <c r="I1019" s="204"/>
      <c r="J1019" s="204"/>
      <c r="K1019" s="204"/>
      <c r="L1019" s="205"/>
      <c r="M1019" s="205"/>
      <c r="N1019" s="204"/>
      <c r="O1019" s="204"/>
      <c r="P1019" s="206"/>
      <c r="Q1019" s="206"/>
      <c r="R1019" s="206"/>
      <c r="S1019" s="206"/>
      <c r="T1019" s="204"/>
      <c r="U1019" s="207"/>
      <c r="V1019" s="204"/>
      <c r="W1019" s="204"/>
      <c r="X1019" s="207"/>
      <c r="Y1019" s="207"/>
      <c r="Z1019" s="204"/>
      <c r="AA1019" s="204"/>
      <c r="AB1019" s="204"/>
      <c r="AC1019" s="204"/>
    </row>
    <row r="1020" spans="1:29">
      <c r="A1020" s="204"/>
      <c r="B1020" s="204"/>
      <c r="C1020" s="204"/>
      <c r="D1020" s="204"/>
      <c r="E1020" s="204"/>
      <c r="F1020" s="204"/>
      <c r="G1020" s="204"/>
      <c r="H1020" s="204"/>
      <c r="I1020" s="204"/>
      <c r="J1020" s="204"/>
      <c r="K1020" s="204"/>
      <c r="L1020" s="205"/>
      <c r="M1020" s="205"/>
      <c r="N1020" s="204"/>
      <c r="O1020" s="204"/>
      <c r="P1020" s="206"/>
      <c r="Q1020" s="206"/>
      <c r="R1020" s="206"/>
      <c r="S1020" s="206"/>
      <c r="T1020" s="204"/>
      <c r="U1020" s="207"/>
      <c r="V1020" s="204"/>
      <c r="W1020" s="204"/>
      <c r="X1020" s="207"/>
      <c r="Y1020" s="207"/>
      <c r="Z1020" s="204"/>
      <c r="AA1020" s="204"/>
      <c r="AB1020" s="204"/>
      <c r="AC1020" s="204"/>
    </row>
    <row r="1021" spans="1:29">
      <c r="A1021" s="204"/>
      <c r="B1021" s="204"/>
      <c r="C1021" s="204"/>
      <c r="D1021" s="204"/>
      <c r="E1021" s="204"/>
      <c r="F1021" s="204"/>
      <c r="G1021" s="204"/>
      <c r="H1021" s="204"/>
      <c r="I1021" s="204"/>
      <c r="J1021" s="204"/>
      <c r="K1021" s="204"/>
      <c r="L1021" s="205"/>
      <c r="M1021" s="205"/>
      <c r="N1021" s="204"/>
      <c r="O1021" s="204"/>
      <c r="P1021" s="206"/>
      <c r="Q1021" s="206"/>
      <c r="R1021" s="206"/>
      <c r="S1021" s="206"/>
      <c r="T1021" s="204"/>
      <c r="U1021" s="207"/>
      <c r="V1021" s="204"/>
      <c r="W1021" s="204"/>
      <c r="X1021" s="207"/>
      <c r="Y1021" s="207"/>
      <c r="Z1021" s="204"/>
      <c r="AA1021" s="204"/>
      <c r="AB1021" s="204"/>
      <c r="AC1021" s="204"/>
    </row>
    <row r="1022" spans="1:29">
      <c r="A1022" s="204"/>
      <c r="B1022" s="204"/>
      <c r="C1022" s="204"/>
      <c r="D1022" s="204"/>
      <c r="E1022" s="204"/>
      <c r="F1022" s="204"/>
      <c r="G1022" s="204"/>
      <c r="H1022" s="204"/>
      <c r="I1022" s="204"/>
      <c r="J1022" s="204"/>
      <c r="K1022" s="204"/>
      <c r="L1022" s="205"/>
      <c r="M1022" s="205"/>
      <c r="N1022" s="204"/>
      <c r="O1022" s="204"/>
      <c r="P1022" s="206"/>
      <c r="Q1022" s="206"/>
      <c r="R1022" s="206"/>
      <c r="S1022" s="206"/>
      <c r="T1022" s="204"/>
      <c r="U1022" s="207"/>
      <c r="V1022" s="204"/>
      <c r="W1022" s="204"/>
      <c r="X1022" s="207"/>
      <c r="Y1022" s="207"/>
      <c r="Z1022" s="204"/>
      <c r="AA1022" s="204"/>
      <c r="AB1022" s="204"/>
      <c r="AC1022" s="204"/>
    </row>
    <row r="1023" spans="1:29">
      <c r="A1023" s="204"/>
      <c r="B1023" s="204"/>
      <c r="C1023" s="204"/>
      <c r="D1023" s="204"/>
      <c r="E1023" s="204"/>
      <c r="F1023" s="204"/>
      <c r="G1023" s="204"/>
      <c r="H1023" s="204"/>
      <c r="I1023" s="204"/>
      <c r="J1023" s="204"/>
      <c r="K1023" s="204"/>
      <c r="L1023" s="205"/>
      <c r="M1023" s="205"/>
      <c r="N1023" s="204"/>
      <c r="O1023" s="204"/>
      <c r="P1023" s="206"/>
      <c r="Q1023" s="206"/>
      <c r="R1023" s="206"/>
      <c r="S1023" s="206"/>
      <c r="T1023" s="204"/>
      <c r="U1023" s="207"/>
      <c r="V1023" s="204"/>
      <c r="W1023" s="204"/>
      <c r="X1023" s="207"/>
      <c r="Y1023" s="207"/>
      <c r="Z1023" s="204"/>
      <c r="AA1023" s="204"/>
      <c r="AB1023" s="204"/>
      <c r="AC1023" s="204"/>
    </row>
    <row r="1024" spans="1:29">
      <c r="A1024" s="204"/>
      <c r="B1024" s="204"/>
      <c r="C1024" s="204"/>
      <c r="D1024" s="204"/>
      <c r="E1024" s="204"/>
      <c r="F1024" s="204"/>
      <c r="G1024" s="204"/>
      <c r="H1024" s="204"/>
      <c r="I1024" s="204"/>
      <c r="J1024" s="204"/>
      <c r="K1024" s="204"/>
      <c r="L1024" s="205"/>
      <c r="M1024" s="205"/>
      <c r="N1024" s="204"/>
      <c r="O1024" s="204"/>
      <c r="P1024" s="206"/>
      <c r="Q1024" s="206"/>
      <c r="R1024" s="206"/>
      <c r="S1024" s="206"/>
      <c r="T1024" s="204"/>
      <c r="U1024" s="207"/>
      <c r="V1024" s="204"/>
      <c r="W1024" s="204"/>
      <c r="X1024" s="207"/>
      <c r="Y1024" s="207"/>
      <c r="Z1024" s="204"/>
      <c r="AA1024" s="204"/>
      <c r="AB1024" s="204"/>
      <c r="AC1024" s="204"/>
    </row>
    <row r="1025" spans="1:29">
      <c r="A1025" s="204"/>
      <c r="B1025" s="204"/>
      <c r="C1025" s="204"/>
      <c r="D1025" s="204"/>
      <c r="E1025" s="204"/>
      <c r="F1025" s="204"/>
      <c r="G1025" s="204"/>
      <c r="H1025" s="204"/>
      <c r="I1025" s="204"/>
      <c r="J1025" s="204"/>
      <c r="K1025" s="204"/>
      <c r="L1025" s="205"/>
      <c r="M1025" s="205"/>
      <c r="N1025" s="204"/>
      <c r="O1025" s="204"/>
      <c r="P1025" s="206"/>
      <c r="Q1025" s="206"/>
      <c r="R1025" s="206"/>
      <c r="S1025" s="206"/>
      <c r="T1025" s="204"/>
      <c r="U1025" s="207"/>
      <c r="V1025" s="204"/>
      <c r="W1025" s="204"/>
      <c r="X1025" s="207"/>
      <c r="Y1025" s="207"/>
      <c r="Z1025" s="204"/>
      <c r="AA1025" s="204"/>
      <c r="AB1025" s="204"/>
      <c r="AC1025" s="204"/>
    </row>
    <row r="1026" spans="1:29">
      <c r="A1026" s="204"/>
      <c r="B1026" s="204"/>
      <c r="C1026" s="204"/>
      <c r="D1026" s="204"/>
      <c r="E1026" s="204"/>
      <c r="F1026" s="204"/>
      <c r="G1026" s="204"/>
      <c r="H1026" s="204"/>
      <c r="I1026" s="204"/>
      <c r="J1026" s="204"/>
      <c r="K1026" s="204"/>
      <c r="L1026" s="205"/>
      <c r="M1026" s="205"/>
      <c r="N1026" s="204"/>
      <c r="O1026" s="204"/>
      <c r="P1026" s="206"/>
      <c r="Q1026" s="206"/>
      <c r="R1026" s="206"/>
      <c r="S1026" s="206"/>
      <c r="T1026" s="204"/>
      <c r="U1026" s="207"/>
      <c r="V1026" s="204"/>
      <c r="W1026" s="204"/>
      <c r="X1026" s="207"/>
      <c r="Y1026" s="207"/>
      <c r="Z1026" s="204"/>
      <c r="AA1026" s="204"/>
      <c r="AB1026" s="204"/>
      <c r="AC1026" s="204"/>
    </row>
    <row r="1027" spans="1:29">
      <c r="A1027" s="204"/>
      <c r="B1027" s="204"/>
      <c r="C1027" s="204"/>
      <c r="D1027" s="204"/>
      <c r="E1027" s="204"/>
      <c r="F1027" s="204"/>
      <c r="G1027" s="204"/>
      <c r="H1027" s="204"/>
      <c r="I1027" s="204"/>
      <c r="J1027" s="204"/>
      <c r="K1027" s="204"/>
      <c r="L1027" s="205"/>
      <c r="M1027" s="205"/>
      <c r="N1027" s="204"/>
      <c r="O1027" s="204"/>
      <c r="P1027" s="206"/>
      <c r="Q1027" s="206"/>
      <c r="R1027" s="206"/>
      <c r="S1027" s="206"/>
      <c r="T1027" s="204"/>
      <c r="U1027" s="207"/>
      <c r="V1027" s="204"/>
      <c r="W1027" s="204"/>
      <c r="X1027" s="207"/>
      <c r="Y1027" s="207"/>
      <c r="Z1027" s="204"/>
      <c r="AA1027" s="204"/>
      <c r="AB1027" s="204"/>
      <c r="AC1027" s="204"/>
    </row>
    <row r="1028" spans="1:29">
      <c r="A1028" s="204"/>
      <c r="B1028" s="204"/>
      <c r="C1028" s="204"/>
      <c r="D1028" s="204"/>
      <c r="E1028" s="204"/>
      <c r="F1028" s="204"/>
      <c r="G1028" s="204"/>
      <c r="H1028" s="204"/>
      <c r="I1028" s="204"/>
      <c r="J1028" s="204"/>
      <c r="K1028" s="204"/>
      <c r="L1028" s="205"/>
      <c r="M1028" s="205"/>
      <c r="N1028" s="204"/>
      <c r="O1028" s="204"/>
      <c r="P1028" s="206"/>
      <c r="Q1028" s="206"/>
      <c r="R1028" s="206"/>
      <c r="S1028" s="206"/>
      <c r="T1028" s="204"/>
      <c r="U1028" s="207"/>
      <c r="V1028" s="204"/>
      <c r="W1028" s="204"/>
      <c r="X1028" s="207"/>
      <c r="Y1028" s="207"/>
      <c r="Z1028" s="204"/>
      <c r="AA1028" s="204"/>
      <c r="AB1028" s="204"/>
      <c r="AC1028" s="204"/>
    </row>
    <row r="1029" spans="1:29">
      <c r="A1029" s="204"/>
      <c r="B1029" s="204"/>
      <c r="C1029" s="204"/>
      <c r="D1029" s="204"/>
      <c r="E1029" s="204"/>
      <c r="F1029" s="204"/>
      <c r="G1029" s="204"/>
      <c r="H1029" s="204"/>
      <c r="I1029" s="204"/>
      <c r="J1029" s="204"/>
      <c r="K1029" s="204"/>
      <c r="L1029" s="205"/>
      <c r="M1029" s="205"/>
      <c r="N1029" s="204"/>
      <c r="O1029" s="204"/>
      <c r="P1029" s="206"/>
      <c r="Q1029" s="206"/>
      <c r="R1029" s="206"/>
      <c r="S1029" s="206"/>
      <c r="T1029" s="204"/>
      <c r="U1029" s="207"/>
      <c r="V1029" s="204"/>
      <c r="W1029" s="204"/>
      <c r="X1029" s="207"/>
      <c r="Y1029" s="207"/>
      <c r="Z1029" s="204"/>
      <c r="AA1029" s="204"/>
      <c r="AB1029" s="204"/>
      <c r="AC1029" s="204"/>
    </row>
    <row r="1030" spans="1:29">
      <c r="A1030" s="204"/>
      <c r="B1030" s="204"/>
      <c r="C1030" s="204"/>
      <c r="D1030" s="204"/>
      <c r="E1030" s="204"/>
      <c r="F1030" s="204"/>
      <c r="G1030" s="204"/>
      <c r="H1030" s="204"/>
      <c r="I1030" s="204"/>
      <c r="J1030" s="204"/>
      <c r="K1030" s="204"/>
      <c r="L1030" s="205"/>
      <c r="M1030" s="205"/>
      <c r="N1030" s="204"/>
      <c r="O1030" s="204"/>
      <c r="P1030" s="206"/>
      <c r="Q1030" s="206"/>
      <c r="R1030" s="206"/>
      <c r="S1030" s="206"/>
      <c r="T1030" s="204"/>
      <c r="U1030" s="207"/>
      <c r="V1030" s="204"/>
      <c r="W1030" s="204"/>
      <c r="X1030" s="207"/>
      <c r="Y1030" s="207"/>
      <c r="Z1030" s="204"/>
      <c r="AA1030" s="204"/>
      <c r="AB1030" s="204"/>
      <c r="AC1030" s="204"/>
    </row>
    <row r="1031" spans="1:29">
      <c r="A1031" s="204"/>
      <c r="B1031" s="204"/>
      <c r="C1031" s="204"/>
      <c r="D1031" s="204"/>
      <c r="E1031" s="204"/>
      <c r="F1031" s="204"/>
      <c r="G1031" s="204"/>
      <c r="H1031" s="204"/>
      <c r="I1031" s="204"/>
      <c r="J1031" s="204"/>
      <c r="K1031" s="204"/>
      <c r="L1031" s="205"/>
      <c r="M1031" s="205"/>
      <c r="N1031" s="204"/>
      <c r="O1031" s="204"/>
      <c r="P1031" s="206"/>
      <c r="Q1031" s="206"/>
      <c r="R1031" s="206"/>
      <c r="S1031" s="206"/>
      <c r="T1031" s="204"/>
      <c r="U1031" s="207"/>
      <c r="V1031" s="204"/>
      <c r="W1031" s="204"/>
      <c r="X1031" s="207"/>
      <c r="Y1031" s="207"/>
      <c r="Z1031" s="204"/>
      <c r="AA1031" s="204"/>
      <c r="AB1031" s="204"/>
      <c r="AC1031" s="204"/>
    </row>
    <row r="1032" spans="1:29">
      <c r="A1032" s="204"/>
      <c r="B1032" s="204"/>
      <c r="C1032" s="204"/>
      <c r="D1032" s="204"/>
      <c r="E1032" s="204"/>
      <c r="F1032" s="204"/>
      <c r="G1032" s="204"/>
      <c r="H1032" s="204"/>
      <c r="I1032" s="204"/>
      <c r="J1032" s="204"/>
      <c r="K1032" s="204"/>
      <c r="L1032" s="205"/>
      <c r="M1032" s="205"/>
      <c r="N1032" s="204"/>
      <c r="O1032" s="204"/>
      <c r="P1032" s="206"/>
      <c r="Q1032" s="206"/>
      <c r="R1032" s="206"/>
      <c r="S1032" s="206"/>
      <c r="T1032" s="204"/>
      <c r="U1032" s="207"/>
      <c r="V1032" s="204"/>
      <c r="W1032" s="204"/>
      <c r="X1032" s="207"/>
      <c r="Y1032" s="207"/>
      <c r="Z1032" s="204"/>
      <c r="AA1032" s="204"/>
      <c r="AB1032" s="204"/>
      <c r="AC1032" s="204"/>
    </row>
    <row r="1033" spans="1:29">
      <c r="A1033" s="204"/>
      <c r="B1033" s="204"/>
      <c r="C1033" s="204"/>
      <c r="D1033" s="204"/>
      <c r="E1033" s="204"/>
      <c r="F1033" s="204"/>
      <c r="G1033" s="204"/>
      <c r="H1033" s="204"/>
      <c r="I1033" s="204"/>
      <c r="J1033" s="204"/>
      <c r="K1033" s="204"/>
      <c r="L1033" s="205"/>
      <c r="M1033" s="205"/>
      <c r="N1033" s="204"/>
      <c r="O1033" s="204"/>
      <c r="P1033" s="206"/>
      <c r="Q1033" s="206"/>
      <c r="R1033" s="206"/>
      <c r="S1033" s="206"/>
      <c r="T1033" s="204"/>
      <c r="U1033" s="207"/>
      <c r="V1033" s="204"/>
      <c r="W1033" s="204"/>
      <c r="X1033" s="207"/>
      <c r="Y1033" s="207"/>
      <c r="Z1033" s="204"/>
      <c r="AA1033" s="204"/>
      <c r="AB1033" s="204"/>
      <c r="AC1033" s="204"/>
    </row>
    <row r="1034" spans="1:29">
      <c r="A1034" s="204"/>
      <c r="B1034" s="204"/>
      <c r="C1034" s="204"/>
      <c r="D1034" s="204"/>
      <c r="E1034" s="204"/>
      <c r="F1034" s="204"/>
      <c r="G1034" s="204"/>
      <c r="H1034" s="204"/>
      <c r="I1034" s="204"/>
      <c r="J1034" s="204"/>
      <c r="K1034" s="204"/>
      <c r="L1034" s="205"/>
      <c r="M1034" s="205"/>
      <c r="N1034" s="204"/>
      <c r="O1034" s="204"/>
      <c r="P1034" s="206"/>
      <c r="Q1034" s="206"/>
      <c r="R1034" s="206"/>
      <c r="S1034" s="206"/>
      <c r="T1034" s="204"/>
      <c r="U1034" s="207"/>
      <c r="V1034" s="204"/>
      <c r="W1034" s="204"/>
      <c r="X1034" s="207"/>
      <c r="Y1034" s="207"/>
      <c r="Z1034" s="204"/>
      <c r="AA1034" s="204"/>
      <c r="AB1034" s="204"/>
      <c r="AC1034" s="204"/>
    </row>
    <row r="1035" spans="1:29">
      <c r="A1035" s="204"/>
      <c r="B1035" s="204"/>
      <c r="C1035" s="204"/>
      <c r="D1035" s="204"/>
      <c r="E1035" s="204"/>
      <c r="F1035" s="204"/>
      <c r="G1035" s="204"/>
      <c r="H1035" s="204"/>
      <c r="I1035" s="204"/>
      <c r="J1035" s="204"/>
      <c r="K1035" s="204"/>
      <c r="L1035" s="205"/>
      <c r="M1035" s="205"/>
      <c r="N1035" s="204"/>
      <c r="O1035" s="204"/>
      <c r="P1035" s="206"/>
      <c r="Q1035" s="206"/>
      <c r="R1035" s="206"/>
      <c r="S1035" s="206"/>
      <c r="T1035" s="204"/>
      <c r="U1035" s="207"/>
      <c r="V1035" s="204"/>
      <c r="W1035" s="204"/>
      <c r="X1035" s="207"/>
      <c r="Y1035" s="207"/>
      <c r="Z1035" s="204"/>
      <c r="AA1035" s="204"/>
      <c r="AB1035" s="204"/>
      <c r="AC1035" s="204"/>
    </row>
    <row r="1036" spans="1:29">
      <c r="A1036" s="204"/>
      <c r="B1036" s="204"/>
      <c r="C1036" s="204"/>
      <c r="D1036" s="204"/>
      <c r="E1036" s="204"/>
      <c r="F1036" s="204"/>
      <c r="G1036" s="204"/>
      <c r="H1036" s="204"/>
      <c r="I1036" s="204"/>
      <c r="J1036" s="204"/>
      <c r="K1036" s="204"/>
      <c r="L1036" s="205"/>
      <c r="M1036" s="205"/>
      <c r="N1036" s="204"/>
      <c r="O1036" s="204"/>
      <c r="P1036" s="206"/>
      <c r="Q1036" s="206"/>
      <c r="R1036" s="206"/>
      <c r="S1036" s="206"/>
      <c r="T1036" s="204"/>
      <c r="U1036" s="207"/>
      <c r="V1036" s="204"/>
      <c r="W1036" s="204"/>
      <c r="X1036" s="207"/>
      <c r="Y1036" s="207"/>
      <c r="Z1036" s="204"/>
      <c r="AA1036" s="204"/>
      <c r="AB1036" s="204"/>
      <c r="AC1036" s="204"/>
    </row>
    <row r="1037" spans="1:29">
      <c r="A1037" s="204"/>
      <c r="B1037" s="204"/>
      <c r="C1037" s="204"/>
      <c r="D1037" s="204"/>
      <c r="E1037" s="204"/>
      <c r="F1037" s="204"/>
      <c r="G1037" s="204"/>
      <c r="H1037" s="204"/>
      <c r="I1037" s="204"/>
      <c r="J1037" s="204"/>
      <c r="K1037" s="204"/>
      <c r="L1037" s="205"/>
      <c r="M1037" s="205"/>
      <c r="N1037" s="204"/>
      <c r="O1037" s="204"/>
      <c r="P1037" s="206"/>
      <c r="Q1037" s="206"/>
      <c r="R1037" s="206"/>
      <c r="S1037" s="206"/>
      <c r="T1037" s="204"/>
      <c r="U1037" s="207"/>
      <c r="V1037" s="204"/>
      <c r="W1037" s="204"/>
      <c r="X1037" s="207"/>
      <c r="Y1037" s="207"/>
      <c r="Z1037" s="204"/>
      <c r="AA1037" s="204"/>
      <c r="AB1037" s="204"/>
      <c r="AC1037" s="204"/>
    </row>
    <row r="1038" spans="1:29">
      <c r="A1038" s="204"/>
      <c r="B1038" s="204"/>
      <c r="C1038" s="204"/>
      <c r="D1038" s="204"/>
      <c r="E1038" s="204"/>
      <c r="F1038" s="204"/>
      <c r="G1038" s="204"/>
      <c r="H1038" s="204"/>
      <c r="I1038" s="204"/>
      <c r="J1038" s="204"/>
      <c r="K1038" s="204"/>
      <c r="L1038" s="205"/>
      <c r="M1038" s="205"/>
      <c r="N1038" s="204"/>
      <c r="O1038" s="204"/>
      <c r="P1038" s="206"/>
      <c r="Q1038" s="206"/>
      <c r="R1038" s="206"/>
      <c r="S1038" s="206"/>
      <c r="T1038" s="204"/>
      <c r="U1038" s="207"/>
      <c r="V1038" s="204"/>
      <c r="W1038" s="204"/>
      <c r="X1038" s="207"/>
      <c r="Y1038" s="207"/>
      <c r="Z1038" s="204"/>
      <c r="AA1038" s="204"/>
      <c r="AB1038" s="204"/>
      <c r="AC1038" s="204"/>
    </row>
    <row r="1039" spans="1:29">
      <c r="A1039" s="204"/>
      <c r="B1039" s="204"/>
      <c r="C1039" s="204"/>
      <c r="D1039" s="204"/>
      <c r="E1039" s="204"/>
      <c r="F1039" s="204"/>
      <c r="G1039" s="204"/>
      <c r="H1039" s="204"/>
      <c r="I1039" s="204"/>
      <c r="J1039" s="204"/>
      <c r="K1039" s="204"/>
      <c r="L1039" s="205"/>
      <c r="M1039" s="205"/>
      <c r="N1039" s="204"/>
      <c r="O1039" s="204"/>
      <c r="P1039" s="206"/>
      <c r="Q1039" s="206"/>
      <c r="R1039" s="206"/>
      <c r="S1039" s="206"/>
      <c r="T1039" s="204"/>
      <c r="U1039" s="207"/>
      <c r="V1039" s="204"/>
      <c r="W1039" s="204"/>
      <c r="X1039" s="207"/>
      <c r="Y1039" s="207"/>
      <c r="Z1039" s="204"/>
      <c r="AA1039" s="204"/>
      <c r="AB1039" s="204"/>
      <c r="AC1039" s="204"/>
    </row>
    <row r="1040" spans="1:29">
      <c r="A1040" s="204"/>
      <c r="B1040" s="204"/>
      <c r="C1040" s="204"/>
      <c r="D1040" s="204"/>
      <c r="E1040" s="204"/>
      <c r="F1040" s="204"/>
      <c r="G1040" s="204"/>
      <c r="H1040" s="204"/>
      <c r="I1040" s="204"/>
      <c r="J1040" s="204"/>
      <c r="K1040" s="204"/>
      <c r="L1040" s="205"/>
      <c r="M1040" s="205"/>
      <c r="N1040" s="204"/>
      <c r="O1040" s="204"/>
      <c r="P1040" s="206"/>
      <c r="Q1040" s="206"/>
      <c r="R1040" s="206"/>
      <c r="S1040" s="206"/>
      <c r="T1040" s="204"/>
      <c r="U1040" s="207"/>
      <c r="V1040" s="204"/>
      <c r="W1040" s="204"/>
      <c r="X1040" s="207"/>
      <c r="Y1040" s="207"/>
      <c r="Z1040" s="204"/>
      <c r="AA1040" s="204"/>
      <c r="AB1040" s="204"/>
      <c r="AC1040" s="204"/>
    </row>
    <row r="1041" spans="1:29">
      <c r="A1041" s="204"/>
      <c r="B1041" s="204"/>
      <c r="C1041" s="204"/>
      <c r="D1041" s="204"/>
      <c r="E1041" s="204"/>
      <c r="F1041" s="204"/>
      <c r="G1041" s="204"/>
      <c r="H1041" s="204"/>
      <c r="I1041" s="204"/>
      <c r="J1041" s="204"/>
      <c r="K1041" s="204"/>
      <c r="L1041" s="205"/>
      <c r="M1041" s="205"/>
      <c r="N1041" s="204"/>
      <c r="O1041" s="204"/>
      <c r="P1041" s="206"/>
      <c r="Q1041" s="206"/>
      <c r="R1041" s="206"/>
      <c r="S1041" s="206"/>
      <c r="T1041" s="204"/>
      <c r="U1041" s="207"/>
      <c r="V1041" s="204"/>
      <c r="W1041" s="204"/>
      <c r="X1041" s="207"/>
      <c r="Y1041" s="207"/>
      <c r="Z1041" s="204"/>
      <c r="AA1041" s="204"/>
      <c r="AB1041" s="204"/>
      <c r="AC1041" s="204"/>
    </row>
    <row r="1042" spans="1:29">
      <c r="A1042" s="204"/>
      <c r="B1042" s="204"/>
      <c r="C1042" s="204"/>
      <c r="D1042" s="204"/>
      <c r="E1042" s="204"/>
      <c r="F1042" s="204"/>
      <c r="G1042" s="204"/>
      <c r="H1042" s="204"/>
      <c r="I1042" s="204"/>
      <c r="J1042" s="204"/>
      <c r="K1042" s="204"/>
      <c r="L1042" s="205"/>
      <c r="M1042" s="205"/>
      <c r="N1042" s="204"/>
      <c r="O1042" s="204"/>
      <c r="P1042" s="206"/>
      <c r="Q1042" s="206"/>
      <c r="R1042" s="206"/>
      <c r="S1042" s="206"/>
      <c r="T1042" s="204"/>
      <c r="U1042" s="207"/>
      <c r="V1042" s="204"/>
      <c r="W1042" s="204"/>
      <c r="X1042" s="207"/>
      <c r="Y1042" s="207"/>
      <c r="Z1042" s="204"/>
      <c r="AA1042" s="204"/>
      <c r="AB1042" s="204"/>
      <c r="AC1042" s="204"/>
    </row>
    <row r="1043" spans="1:29">
      <c r="A1043" s="204"/>
      <c r="B1043" s="204"/>
      <c r="C1043" s="204"/>
      <c r="D1043" s="204"/>
      <c r="E1043" s="204"/>
      <c r="F1043" s="204"/>
      <c r="G1043" s="204"/>
      <c r="H1043" s="204"/>
      <c r="I1043" s="204"/>
      <c r="J1043" s="204"/>
      <c r="K1043" s="204"/>
      <c r="L1043" s="205"/>
      <c r="M1043" s="205"/>
      <c r="N1043" s="204"/>
      <c r="O1043" s="204"/>
      <c r="P1043" s="206"/>
      <c r="Q1043" s="206"/>
      <c r="R1043" s="206"/>
      <c r="S1043" s="206"/>
      <c r="T1043" s="204"/>
      <c r="U1043" s="207"/>
      <c r="V1043" s="204"/>
      <c r="W1043" s="204"/>
      <c r="X1043" s="207"/>
      <c r="Y1043" s="207"/>
      <c r="Z1043" s="204"/>
      <c r="AA1043" s="204"/>
      <c r="AB1043" s="204"/>
      <c r="AC1043" s="204"/>
    </row>
    <row r="1044" spans="1:29">
      <c r="A1044" s="204"/>
      <c r="B1044" s="204"/>
      <c r="C1044" s="204"/>
      <c r="D1044" s="204"/>
      <c r="E1044" s="204"/>
      <c r="F1044" s="204"/>
      <c r="G1044" s="204"/>
      <c r="H1044" s="204"/>
      <c r="I1044" s="204"/>
      <c r="J1044" s="204"/>
      <c r="K1044" s="204"/>
      <c r="L1044" s="205"/>
      <c r="M1044" s="205"/>
      <c r="N1044" s="204"/>
      <c r="O1044" s="204"/>
      <c r="P1044" s="206"/>
      <c r="Q1044" s="206"/>
      <c r="R1044" s="206"/>
      <c r="S1044" s="206"/>
      <c r="T1044" s="204"/>
      <c r="U1044" s="207"/>
      <c r="V1044" s="204"/>
      <c r="W1044" s="204"/>
      <c r="X1044" s="207"/>
      <c r="Y1044" s="207"/>
      <c r="Z1044" s="204"/>
      <c r="AA1044" s="204"/>
      <c r="AB1044" s="204"/>
      <c r="AC1044" s="204"/>
    </row>
    <row r="1045" spans="1:29">
      <c r="A1045" s="204"/>
      <c r="B1045" s="204"/>
      <c r="C1045" s="204"/>
      <c r="D1045" s="204"/>
      <c r="E1045" s="204"/>
      <c r="F1045" s="204"/>
      <c r="G1045" s="204"/>
      <c r="H1045" s="204"/>
      <c r="I1045" s="204"/>
      <c r="J1045" s="204"/>
      <c r="K1045" s="204"/>
      <c r="L1045" s="205"/>
      <c r="M1045" s="205"/>
      <c r="N1045" s="204"/>
      <c r="O1045" s="204"/>
      <c r="P1045" s="206"/>
      <c r="Q1045" s="206"/>
      <c r="R1045" s="206"/>
      <c r="S1045" s="206"/>
      <c r="T1045" s="204"/>
      <c r="U1045" s="207"/>
      <c r="V1045" s="204"/>
      <c r="W1045" s="204"/>
      <c r="X1045" s="207"/>
      <c r="Y1045" s="207"/>
      <c r="Z1045" s="204"/>
      <c r="AA1045" s="204"/>
      <c r="AB1045" s="204"/>
      <c r="AC1045" s="204"/>
    </row>
    <row r="1046" spans="1:29">
      <c r="A1046" s="204"/>
      <c r="B1046" s="204"/>
      <c r="C1046" s="204"/>
      <c r="D1046" s="204"/>
      <c r="E1046" s="204"/>
      <c r="F1046" s="204"/>
      <c r="G1046" s="204"/>
      <c r="H1046" s="204"/>
      <c r="I1046" s="204"/>
      <c r="J1046" s="204"/>
      <c r="K1046" s="204"/>
      <c r="L1046" s="205"/>
      <c r="M1046" s="205"/>
      <c r="N1046" s="204"/>
      <c r="O1046" s="204"/>
      <c r="P1046" s="206"/>
      <c r="Q1046" s="206"/>
      <c r="R1046" s="206"/>
      <c r="S1046" s="206"/>
      <c r="T1046" s="204"/>
      <c r="U1046" s="207"/>
      <c r="V1046" s="204"/>
      <c r="W1046" s="204"/>
      <c r="X1046" s="207"/>
      <c r="Y1046" s="207"/>
      <c r="Z1046" s="204"/>
      <c r="AA1046" s="204"/>
      <c r="AB1046" s="204"/>
      <c r="AC1046" s="204"/>
    </row>
    <row r="1047" spans="1:29">
      <c r="A1047" s="204"/>
      <c r="B1047" s="204"/>
      <c r="C1047" s="204"/>
      <c r="D1047" s="204"/>
      <c r="E1047" s="204"/>
      <c r="F1047" s="204"/>
      <c r="G1047" s="204"/>
      <c r="H1047" s="204"/>
      <c r="I1047" s="204"/>
      <c r="J1047" s="204"/>
      <c r="K1047" s="204"/>
      <c r="L1047" s="205"/>
      <c r="M1047" s="205"/>
      <c r="N1047" s="204"/>
      <c r="O1047" s="204"/>
      <c r="P1047" s="206"/>
      <c r="Q1047" s="206"/>
      <c r="R1047" s="206"/>
      <c r="S1047" s="206"/>
      <c r="T1047" s="204"/>
      <c r="U1047" s="207"/>
      <c r="V1047" s="204"/>
      <c r="W1047" s="204"/>
      <c r="X1047" s="207"/>
      <c r="Y1047" s="207"/>
      <c r="Z1047" s="204"/>
      <c r="AA1047" s="204"/>
      <c r="AB1047" s="204"/>
      <c r="AC1047" s="204"/>
    </row>
    <row r="1048" spans="1:29">
      <c r="A1048" s="204"/>
      <c r="B1048" s="204"/>
      <c r="C1048" s="204"/>
      <c r="D1048" s="204"/>
      <c r="E1048" s="204"/>
      <c r="F1048" s="204"/>
      <c r="G1048" s="204"/>
      <c r="H1048" s="204"/>
      <c r="I1048" s="204"/>
      <c r="J1048" s="204"/>
      <c r="K1048" s="204"/>
      <c r="L1048" s="205"/>
      <c r="M1048" s="205"/>
      <c r="N1048" s="204"/>
      <c r="O1048" s="204"/>
      <c r="P1048" s="206"/>
      <c r="Q1048" s="206"/>
      <c r="R1048" s="206"/>
      <c r="S1048" s="206"/>
      <c r="T1048" s="204"/>
      <c r="U1048" s="207"/>
      <c r="V1048" s="204"/>
      <c r="W1048" s="204"/>
      <c r="X1048" s="207"/>
      <c r="Y1048" s="207"/>
      <c r="Z1048" s="204"/>
      <c r="AA1048" s="204"/>
      <c r="AB1048" s="204"/>
      <c r="AC1048" s="204"/>
    </row>
    <row r="1049" spans="1:29">
      <c r="A1049" s="204"/>
      <c r="B1049" s="204"/>
      <c r="C1049" s="204"/>
      <c r="D1049" s="204"/>
      <c r="E1049" s="204"/>
      <c r="F1049" s="204"/>
      <c r="G1049" s="204"/>
      <c r="H1049" s="204"/>
      <c r="I1049" s="204"/>
      <c r="J1049" s="204"/>
      <c r="K1049" s="204"/>
      <c r="L1049" s="205"/>
      <c r="M1049" s="205"/>
      <c r="N1049" s="204"/>
      <c r="O1049" s="204"/>
      <c r="P1049" s="206"/>
      <c r="Q1049" s="206"/>
      <c r="R1049" s="206"/>
      <c r="S1049" s="206"/>
      <c r="T1049" s="204"/>
      <c r="U1049" s="207"/>
      <c r="V1049" s="204"/>
      <c r="W1049" s="204"/>
      <c r="X1049" s="207"/>
      <c r="Y1049" s="207"/>
      <c r="Z1049" s="204"/>
      <c r="AA1049" s="204"/>
      <c r="AB1049" s="204"/>
      <c r="AC1049" s="204"/>
    </row>
    <row r="1050" spans="1:29">
      <c r="A1050" s="204"/>
      <c r="B1050" s="204"/>
      <c r="C1050" s="204"/>
      <c r="D1050" s="204"/>
      <c r="E1050" s="204"/>
      <c r="F1050" s="204"/>
      <c r="G1050" s="204"/>
      <c r="H1050" s="204"/>
      <c r="I1050" s="204"/>
      <c r="J1050" s="204"/>
      <c r="K1050" s="204"/>
      <c r="L1050" s="205"/>
      <c r="M1050" s="205"/>
      <c r="N1050" s="204"/>
      <c r="O1050" s="204"/>
      <c r="P1050" s="206"/>
      <c r="Q1050" s="206"/>
      <c r="R1050" s="206"/>
      <c r="S1050" s="206"/>
      <c r="T1050" s="204"/>
      <c r="U1050" s="207"/>
      <c r="V1050" s="204"/>
      <c r="W1050" s="204"/>
      <c r="X1050" s="207"/>
      <c r="Y1050" s="207"/>
      <c r="Z1050" s="204"/>
      <c r="AA1050" s="204"/>
      <c r="AB1050" s="204"/>
      <c r="AC1050" s="204"/>
    </row>
    <row r="1051" spans="1:29">
      <c r="A1051" s="204"/>
      <c r="B1051" s="204"/>
      <c r="C1051" s="204"/>
      <c r="D1051" s="204"/>
      <c r="E1051" s="204"/>
      <c r="F1051" s="204"/>
      <c r="G1051" s="204"/>
      <c r="H1051" s="204"/>
      <c r="I1051" s="204"/>
      <c r="J1051" s="204"/>
      <c r="K1051" s="204"/>
      <c r="L1051" s="205"/>
      <c r="M1051" s="205"/>
      <c r="N1051" s="204"/>
      <c r="O1051" s="204"/>
      <c r="P1051" s="206"/>
      <c r="Q1051" s="206"/>
      <c r="R1051" s="206"/>
      <c r="S1051" s="206"/>
      <c r="T1051" s="204"/>
      <c r="U1051" s="207"/>
      <c r="V1051" s="204"/>
      <c r="W1051" s="204"/>
      <c r="X1051" s="207"/>
      <c r="Y1051" s="207"/>
      <c r="Z1051" s="204"/>
      <c r="AA1051" s="204"/>
      <c r="AB1051" s="204"/>
      <c r="AC1051" s="204"/>
    </row>
    <row r="1052" spans="1:29">
      <c r="A1052" s="204"/>
      <c r="B1052" s="204"/>
      <c r="C1052" s="204"/>
      <c r="D1052" s="204"/>
      <c r="E1052" s="204"/>
      <c r="F1052" s="204"/>
      <c r="G1052" s="204"/>
      <c r="H1052" s="204"/>
      <c r="I1052" s="204"/>
      <c r="J1052" s="204"/>
      <c r="K1052" s="204"/>
      <c r="L1052" s="205"/>
      <c r="M1052" s="205"/>
      <c r="N1052" s="204"/>
      <c r="O1052" s="204"/>
      <c r="P1052" s="206"/>
      <c r="Q1052" s="206"/>
      <c r="R1052" s="206"/>
      <c r="S1052" s="206"/>
      <c r="T1052" s="204"/>
      <c r="U1052" s="207"/>
      <c r="V1052" s="204"/>
      <c r="W1052" s="204"/>
      <c r="X1052" s="207"/>
      <c r="Y1052" s="207"/>
      <c r="Z1052" s="204"/>
      <c r="AA1052" s="204"/>
      <c r="AB1052" s="204"/>
      <c r="AC1052" s="204"/>
    </row>
    <row r="1053" spans="1:29">
      <c r="A1053" s="204"/>
      <c r="B1053" s="204"/>
      <c r="C1053" s="204"/>
      <c r="D1053" s="204"/>
      <c r="E1053" s="204"/>
      <c r="F1053" s="204"/>
      <c r="G1053" s="204"/>
      <c r="H1053" s="204"/>
      <c r="I1053" s="204"/>
      <c r="J1053" s="204"/>
      <c r="K1053" s="204"/>
      <c r="L1053" s="205"/>
      <c r="M1053" s="205"/>
      <c r="N1053" s="204"/>
      <c r="O1053" s="204"/>
      <c r="P1053" s="206"/>
      <c r="Q1053" s="206"/>
      <c r="R1053" s="206"/>
      <c r="S1053" s="206"/>
      <c r="T1053" s="204"/>
      <c r="U1053" s="207"/>
      <c r="V1053" s="204"/>
      <c r="W1053" s="204"/>
      <c r="X1053" s="207"/>
      <c r="Y1053" s="207"/>
      <c r="Z1053" s="204"/>
      <c r="AA1053" s="204"/>
      <c r="AB1053" s="204"/>
      <c r="AC1053" s="204"/>
    </row>
    <row r="1054" spans="1:29">
      <c r="A1054" s="204"/>
      <c r="B1054" s="204"/>
      <c r="C1054" s="204"/>
      <c r="D1054" s="204"/>
      <c r="E1054" s="204"/>
      <c r="F1054" s="204"/>
      <c r="G1054" s="204"/>
      <c r="H1054" s="204"/>
      <c r="I1054" s="204"/>
      <c r="J1054" s="204"/>
      <c r="K1054" s="204"/>
      <c r="L1054" s="205"/>
      <c r="M1054" s="205"/>
      <c r="N1054" s="204"/>
      <c r="O1054" s="204"/>
      <c r="P1054" s="206"/>
      <c r="Q1054" s="206"/>
      <c r="R1054" s="206"/>
      <c r="S1054" s="206"/>
      <c r="T1054" s="204"/>
      <c r="U1054" s="207"/>
      <c r="V1054" s="204"/>
      <c r="W1054" s="204"/>
      <c r="X1054" s="207"/>
      <c r="Y1054" s="207"/>
      <c r="Z1054" s="204"/>
      <c r="AA1054" s="204"/>
      <c r="AB1054" s="204"/>
      <c r="AC1054" s="204"/>
    </row>
    <row r="1055" spans="1:29">
      <c r="A1055" s="204"/>
      <c r="B1055" s="204"/>
      <c r="C1055" s="204"/>
      <c r="D1055" s="204"/>
      <c r="E1055" s="204"/>
      <c r="F1055" s="204"/>
      <c r="G1055" s="204"/>
      <c r="H1055" s="204"/>
      <c r="I1055" s="204"/>
      <c r="J1055" s="204"/>
      <c r="K1055" s="204"/>
      <c r="L1055" s="205"/>
      <c r="M1055" s="205"/>
      <c r="N1055" s="204"/>
      <c r="O1055" s="204"/>
      <c r="P1055" s="206"/>
      <c r="Q1055" s="206"/>
      <c r="R1055" s="206"/>
      <c r="S1055" s="206"/>
      <c r="T1055" s="204"/>
      <c r="U1055" s="207"/>
      <c r="V1055" s="204"/>
      <c r="W1055" s="204"/>
      <c r="X1055" s="207"/>
      <c r="Y1055" s="207"/>
      <c r="Z1055" s="204"/>
      <c r="AA1055" s="204"/>
      <c r="AB1055" s="204"/>
      <c r="AC1055" s="204"/>
    </row>
    <row r="1056" spans="1:29">
      <c r="A1056" s="204"/>
      <c r="B1056" s="204"/>
      <c r="C1056" s="204"/>
      <c r="D1056" s="204"/>
      <c r="E1056" s="204"/>
      <c r="F1056" s="204"/>
      <c r="G1056" s="204"/>
      <c r="H1056" s="204"/>
      <c r="I1056" s="204"/>
      <c r="J1056" s="204"/>
      <c r="K1056" s="204"/>
      <c r="L1056" s="205"/>
      <c r="M1056" s="205"/>
      <c r="N1056" s="204"/>
      <c r="O1056" s="204"/>
      <c r="P1056" s="206"/>
      <c r="Q1056" s="206"/>
      <c r="R1056" s="206"/>
      <c r="S1056" s="206"/>
      <c r="T1056" s="204"/>
      <c r="U1056" s="207"/>
      <c r="V1056" s="204"/>
      <c r="W1056" s="204"/>
      <c r="X1056" s="207"/>
      <c r="Y1056" s="207"/>
      <c r="Z1056" s="204"/>
      <c r="AA1056" s="204"/>
      <c r="AB1056" s="204"/>
      <c r="AC1056" s="204"/>
    </row>
    <row r="1057" spans="1:29">
      <c r="A1057" s="204"/>
      <c r="B1057" s="204"/>
      <c r="C1057" s="204"/>
      <c r="D1057" s="204"/>
      <c r="E1057" s="204"/>
      <c r="F1057" s="204"/>
      <c r="G1057" s="204"/>
      <c r="H1057" s="204"/>
      <c r="I1057" s="204"/>
      <c r="J1057" s="204"/>
      <c r="K1057" s="204"/>
      <c r="L1057" s="205"/>
      <c r="M1057" s="205"/>
      <c r="N1057" s="204"/>
      <c r="O1057" s="204"/>
      <c r="P1057" s="206"/>
      <c r="Q1057" s="206"/>
      <c r="R1057" s="206"/>
      <c r="S1057" s="206"/>
      <c r="T1057" s="204"/>
      <c r="U1057" s="207"/>
      <c r="V1057" s="204"/>
      <c r="W1057" s="204"/>
      <c r="X1057" s="207"/>
      <c r="Y1057" s="207"/>
      <c r="Z1057" s="204"/>
      <c r="AA1057" s="204"/>
      <c r="AB1057" s="204"/>
      <c r="AC1057" s="204"/>
    </row>
    <row r="1058" spans="1:29">
      <c r="A1058" s="204"/>
      <c r="B1058" s="204"/>
      <c r="C1058" s="204"/>
      <c r="D1058" s="204"/>
      <c r="E1058" s="204"/>
      <c r="F1058" s="204"/>
      <c r="G1058" s="204"/>
      <c r="H1058" s="204"/>
      <c r="I1058" s="204"/>
      <c r="J1058" s="204"/>
      <c r="K1058" s="204"/>
      <c r="L1058" s="205"/>
      <c r="M1058" s="205"/>
      <c r="N1058" s="204"/>
      <c r="O1058" s="204"/>
      <c r="P1058" s="206"/>
      <c r="Q1058" s="206"/>
      <c r="R1058" s="206"/>
      <c r="S1058" s="206"/>
      <c r="T1058" s="204"/>
      <c r="U1058" s="207"/>
      <c r="V1058" s="204"/>
      <c r="W1058" s="204"/>
      <c r="X1058" s="207"/>
      <c r="Y1058" s="207"/>
      <c r="Z1058" s="204"/>
      <c r="AA1058" s="204"/>
      <c r="AB1058" s="204"/>
      <c r="AC1058" s="204"/>
    </row>
    <row r="1059" spans="1:29">
      <c r="A1059" s="204"/>
      <c r="B1059" s="204"/>
      <c r="C1059" s="204"/>
      <c r="D1059" s="204"/>
      <c r="E1059" s="204"/>
      <c r="F1059" s="204"/>
      <c r="G1059" s="204"/>
      <c r="H1059" s="204"/>
      <c r="I1059" s="204"/>
      <c r="J1059" s="204"/>
      <c r="K1059" s="204"/>
      <c r="L1059" s="205"/>
      <c r="M1059" s="205"/>
      <c r="N1059" s="204"/>
      <c r="O1059" s="204"/>
      <c r="P1059" s="206"/>
      <c r="Q1059" s="206"/>
      <c r="R1059" s="206"/>
      <c r="S1059" s="206"/>
      <c r="T1059" s="204"/>
      <c r="U1059" s="207"/>
      <c r="V1059" s="204"/>
      <c r="W1059" s="204"/>
      <c r="X1059" s="207"/>
      <c r="Y1059" s="207"/>
      <c r="Z1059" s="204"/>
      <c r="AA1059" s="204"/>
      <c r="AB1059" s="204"/>
      <c r="AC1059" s="204"/>
    </row>
    <row r="1060" spans="1:29">
      <c r="A1060" s="204"/>
      <c r="B1060" s="204"/>
      <c r="C1060" s="204"/>
      <c r="D1060" s="204"/>
      <c r="E1060" s="204"/>
      <c r="F1060" s="204"/>
      <c r="G1060" s="204"/>
      <c r="H1060" s="204"/>
      <c r="I1060" s="204"/>
      <c r="J1060" s="204"/>
      <c r="K1060" s="204"/>
      <c r="L1060" s="205"/>
      <c r="M1060" s="205"/>
      <c r="N1060" s="204"/>
      <c r="O1060" s="204"/>
      <c r="P1060" s="206"/>
      <c r="Q1060" s="206"/>
      <c r="R1060" s="206"/>
      <c r="S1060" s="206"/>
      <c r="T1060" s="204"/>
      <c r="U1060" s="207"/>
      <c r="V1060" s="204"/>
      <c r="W1060" s="204"/>
      <c r="X1060" s="207"/>
      <c r="Y1060" s="207"/>
      <c r="Z1060" s="204"/>
      <c r="AA1060" s="204"/>
      <c r="AB1060" s="204"/>
      <c r="AC1060" s="204"/>
    </row>
    <row r="1061" spans="1:29">
      <c r="A1061" s="204"/>
      <c r="B1061" s="204"/>
      <c r="C1061" s="204"/>
      <c r="D1061" s="204"/>
      <c r="E1061" s="204"/>
      <c r="F1061" s="204"/>
      <c r="G1061" s="204"/>
      <c r="H1061" s="204"/>
      <c r="I1061" s="204"/>
      <c r="J1061" s="204"/>
      <c r="K1061" s="204"/>
      <c r="L1061" s="205"/>
      <c r="M1061" s="205"/>
      <c r="N1061" s="204"/>
      <c r="O1061" s="204"/>
      <c r="P1061" s="206"/>
      <c r="Q1061" s="206"/>
      <c r="R1061" s="206"/>
      <c r="S1061" s="206"/>
      <c r="T1061" s="204"/>
      <c r="U1061" s="207"/>
      <c r="V1061" s="204"/>
      <c r="W1061" s="204"/>
      <c r="X1061" s="207"/>
      <c r="Y1061" s="207"/>
      <c r="Z1061" s="204"/>
      <c r="AA1061" s="204"/>
      <c r="AB1061" s="204"/>
      <c r="AC1061" s="204"/>
    </row>
    <row r="1062" spans="1:29">
      <c r="A1062" s="204"/>
      <c r="B1062" s="204"/>
      <c r="C1062" s="204"/>
      <c r="D1062" s="204"/>
      <c r="E1062" s="204"/>
      <c r="F1062" s="204"/>
      <c r="G1062" s="204"/>
      <c r="H1062" s="204"/>
      <c r="I1062" s="204"/>
      <c r="J1062" s="204"/>
      <c r="K1062" s="204"/>
      <c r="L1062" s="205"/>
      <c r="M1062" s="205"/>
      <c r="N1062" s="204"/>
      <c r="O1062" s="204"/>
      <c r="P1062" s="206"/>
      <c r="Q1062" s="206"/>
      <c r="R1062" s="206"/>
      <c r="S1062" s="206"/>
      <c r="T1062" s="204"/>
      <c r="U1062" s="207"/>
      <c r="V1062" s="204"/>
      <c r="W1062" s="204"/>
      <c r="X1062" s="207"/>
      <c r="Y1062" s="207"/>
      <c r="Z1062" s="204"/>
      <c r="AA1062" s="204"/>
      <c r="AB1062" s="204"/>
      <c r="AC1062" s="204"/>
    </row>
    <row r="1063" spans="1:29">
      <c r="A1063" s="204"/>
      <c r="B1063" s="204"/>
      <c r="C1063" s="204"/>
      <c r="D1063" s="204"/>
      <c r="E1063" s="204"/>
      <c r="F1063" s="204"/>
      <c r="G1063" s="204"/>
      <c r="H1063" s="204"/>
      <c r="I1063" s="204"/>
      <c r="J1063" s="204"/>
      <c r="K1063" s="204"/>
      <c r="L1063" s="205"/>
      <c r="M1063" s="205"/>
      <c r="N1063" s="204"/>
      <c r="O1063" s="204"/>
      <c r="P1063" s="206"/>
      <c r="Q1063" s="206"/>
      <c r="R1063" s="206"/>
      <c r="S1063" s="206"/>
      <c r="T1063" s="204"/>
      <c r="U1063" s="207"/>
      <c r="V1063" s="204"/>
      <c r="W1063" s="204"/>
      <c r="X1063" s="207"/>
      <c r="Y1063" s="207"/>
      <c r="Z1063" s="204"/>
      <c r="AA1063" s="204"/>
      <c r="AB1063" s="204"/>
      <c r="AC1063" s="204"/>
    </row>
    <row r="1064" spans="1:29">
      <c r="A1064" s="204"/>
      <c r="B1064" s="204"/>
      <c r="C1064" s="204"/>
      <c r="D1064" s="204"/>
      <c r="E1064" s="204"/>
      <c r="F1064" s="204"/>
      <c r="G1064" s="204"/>
      <c r="H1064" s="204"/>
      <c r="I1064" s="204"/>
      <c r="J1064" s="204"/>
      <c r="K1064" s="204"/>
      <c r="L1064" s="205"/>
      <c r="M1064" s="205"/>
      <c r="N1064" s="204"/>
      <c r="O1064" s="204"/>
      <c r="P1064" s="206"/>
      <c r="Q1064" s="206"/>
      <c r="R1064" s="206"/>
      <c r="S1064" s="206"/>
      <c r="T1064" s="204"/>
      <c r="U1064" s="207"/>
      <c r="V1064" s="204"/>
      <c r="W1064" s="204"/>
      <c r="X1064" s="207"/>
      <c r="Y1064" s="207"/>
      <c r="Z1064" s="204"/>
      <c r="AA1064" s="204"/>
      <c r="AB1064" s="204"/>
      <c r="AC1064" s="204"/>
    </row>
    <row r="1065" spans="1:29">
      <c r="A1065" s="204"/>
      <c r="B1065" s="204"/>
      <c r="C1065" s="204"/>
      <c r="D1065" s="204"/>
      <c r="E1065" s="204"/>
      <c r="F1065" s="204"/>
      <c r="G1065" s="204"/>
      <c r="H1065" s="204"/>
      <c r="I1065" s="204"/>
      <c r="J1065" s="204"/>
      <c r="K1065" s="204"/>
      <c r="L1065" s="205"/>
      <c r="M1065" s="205"/>
      <c r="N1065" s="204"/>
      <c r="O1065" s="204"/>
      <c r="P1065" s="206"/>
      <c r="Q1065" s="206"/>
      <c r="R1065" s="206"/>
      <c r="S1065" s="206"/>
      <c r="T1065" s="204"/>
      <c r="U1065" s="207"/>
      <c r="V1065" s="204"/>
      <c r="W1065" s="204"/>
      <c r="X1065" s="207"/>
      <c r="Y1065" s="207"/>
      <c r="Z1065" s="204"/>
      <c r="AA1065" s="204"/>
      <c r="AB1065" s="204"/>
      <c r="AC1065" s="204"/>
    </row>
    <row r="1066" spans="1:29">
      <c r="A1066" s="204"/>
      <c r="B1066" s="204"/>
      <c r="C1066" s="204"/>
      <c r="D1066" s="204"/>
      <c r="E1066" s="204"/>
      <c r="F1066" s="204"/>
      <c r="G1066" s="204"/>
      <c r="H1066" s="204"/>
      <c r="I1066" s="204"/>
      <c r="J1066" s="204"/>
      <c r="K1066" s="204"/>
      <c r="L1066" s="205"/>
      <c r="M1066" s="205"/>
      <c r="N1066" s="204"/>
      <c r="O1066" s="204"/>
      <c r="P1066" s="206"/>
      <c r="Q1066" s="206"/>
      <c r="R1066" s="206"/>
      <c r="S1066" s="206"/>
      <c r="T1066" s="204"/>
      <c r="U1066" s="207"/>
      <c r="V1066" s="204"/>
      <c r="W1066" s="204"/>
      <c r="X1066" s="207"/>
      <c r="Y1066" s="207"/>
      <c r="Z1066" s="204"/>
      <c r="AA1066" s="204"/>
      <c r="AB1066" s="204"/>
      <c r="AC1066" s="204"/>
    </row>
    <row r="1067" spans="1:29">
      <c r="A1067" s="204"/>
      <c r="B1067" s="204"/>
      <c r="C1067" s="204"/>
      <c r="D1067" s="204"/>
      <c r="E1067" s="204"/>
      <c r="F1067" s="204"/>
      <c r="G1067" s="204"/>
      <c r="H1067" s="204"/>
      <c r="I1067" s="204"/>
      <c r="J1067" s="204"/>
      <c r="K1067" s="204"/>
      <c r="L1067" s="205"/>
      <c r="M1067" s="205"/>
      <c r="N1067" s="204"/>
      <c r="O1067" s="204"/>
      <c r="P1067" s="206"/>
      <c r="Q1067" s="206"/>
      <c r="R1067" s="206"/>
      <c r="S1067" s="206"/>
      <c r="T1067" s="204"/>
      <c r="U1067" s="207"/>
      <c r="V1067" s="204"/>
      <c r="W1067" s="204"/>
      <c r="X1067" s="207"/>
      <c r="Y1067" s="207"/>
      <c r="Z1067" s="204"/>
      <c r="AA1067" s="204"/>
      <c r="AB1067" s="204"/>
      <c r="AC1067" s="204"/>
    </row>
    <row r="1068" spans="1:29">
      <c r="A1068" s="204"/>
      <c r="B1068" s="204"/>
      <c r="C1068" s="204"/>
      <c r="D1068" s="204"/>
      <c r="E1068" s="204"/>
      <c r="F1068" s="204"/>
      <c r="G1068" s="204"/>
      <c r="H1068" s="204"/>
      <c r="I1068" s="204"/>
      <c r="J1068" s="204"/>
      <c r="K1068" s="204"/>
      <c r="L1068" s="205"/>
      <c r="M1068" s="205"/>
      <c r="N1068" s="204"/>
      <c r="O1068" s="204"/>
      <c r="P1068" s="206"/>
      <c r="Q1068" s="206"/>
      <c r="R1068" s="206"/>
      <c r="S1068" s="206"/>
      <c r="T1068" s="204"/>
      <c r="U1068" s="207"/>
      <c r="V1068" s="204"/>
      <c r="W1068" s="204"/>
      <c r="X1068" s="207"/>
      <c r="Y1068" s="207"/>
      <c r="Z1068" s="204"/>
      <c r="AA1068" s="204"/>
      <c r="AB1068" s="204"/>
      <c r="AC1068" s="204"/>
    </row>
    <row r="1069" spans="1:29">
      <c r="A1069" s="204"/>
      <c r="B1069" s="204"/>
      <c r="C1069" s="204"/>
      <c r="D1069" s="204"/>
      <c r="E1069" s="204"/>
      <c r="F1069" s="204"/>
      <c r="G1069" s="204"/>
      <c r="H1069" s="204"/>
      <c r="I1069" s="204"/>
      <c r="J1069" s="204"/>
      <c r="K1069" s="204"/>
      <c r="L1069" s="205"/>
      <c r="M1069" s="205"/>
      <c r="N1069" s="204"/>
      <c r="O1069" s="204"/>
      <c r="P1069" s="206"/>
      <c r="Q1069" s="206"/>
      <c r="R1069" s="206"/>
      <c r="S1069" s="206"/>
      <c r="T1069" s="204"/>
      <c r="U1069" s="207"/>
      <c r="V1069" s="204"/>
      <c r="W1069" s="204"/>
      <c r="X1069" s="207"/>
      <c r="Y1069" s="207"/>
      <c r="Z1069" s="204"/>
      <c r="AA1069" s="204"/>
      <c r="AB1069" s="204"/>
      <c r="AC1069" s="204"/>
    </row>
    <row r="1070" spans="1:29">
      <c r="A1070" s="204"/>
      <c r="B1070" s="204"/>
      <c r="C1070" s="204"/>
      <c r="D1070" s="204"/>
      <c r="E1070" s="204"/>
      <c r="F1070" s="204"/>
      <c r="G1070" s="204"/>
      <c r="H1070" s="204"/>
      <c r="I1070" s="204"/>
      <c r="J1070" s="204"/>
      <c r="K1070" s="204"/>
      <c r="L1070" s="205"/>
      <c r="M1070" s="205"/>
      <c r="N1070" s="204"/>
      <c r="O1070" s="204"/>
      <c r="P1070" s="206"/>
      <c r="Q1070" s="206"/>
      <c r="R1070" s="206"/>
      <c r="S1070" s="206"/>
      <c r="T1070" s="204"/>
      <c r="U1070" s="207"/>
      <c r="V1070" s="204"/>
      <c r="W1070" s="204"/>
      <c r="X1070" s="207"/>
      <c r="Y1070" s="207"/>
      <c r="Z1070" s="204"/>
      <c r="AA1070" s="204"/>
      <c r="AB1070" s="204"/>
      <c r="AC1070" s="204"/>
    </row>
    <row r="1071" spans="1:29">
      <c r="A1071" s="204"/>
      <c r="B1071" s="204"/>
      <c r="C1071" s="204"/>
      <c r="D1071" s="204"/>
      <c r="E1071" s="204"/>
      <c r="F1071" s="204"/>
      <c r="G1071" s="204"/>
      <c r="H1071" s="204"/>
      <c r="I1071" s="204"/>
      <c r="J1071" s="204"/>
      <c r="K1071" s="204"/>
      <c r="L1071" s="205"/>
      <c r="M1071" s="205"/>
      <c r="N1071" s="204"/>
      <c r="O1071" s="204"/>
      <c r="P1071" s="206"/>
      <c r="Q1071" s="206"/>
      <c r="R1071" s="206"/>
      <c r="S1071" s="206"/>
      <c r="T1071" s="204"/>
      <c r="U1071" s="207"/>
      <c r="V1071" s="204"/>
      <c r="W1071" s="204"/>
      <c r="X1071" s="207"/>
      <c r="Y1071" s="207"/>
      <c r="Z1071" s="204"/>
      <c r="AA1071" s="204"/>
      <c r="AB1071" s="204"/>
      <c r="AC1071" s="204"/>
    </row>
    <row r="1072" spans="1:29">
      <c r="A1072" s="204"/>
      <c r="B1072" s="204"/>
      <c r="C1072" s="204"/>
      <c r="D1072" s="204"/>
      <c r="E1072" s="204"/>
      <c r="F1072" s="204"/>
      <c r="G1072" s="204"/>
      <c r="H1072" s="204"/>
      <c r="I1072" s="204"/>
      <c r="J1072" s="204"/>
      <c r="K1072" s="204"/>
      <c r="L1072" s="205"/>
      <c r="M1072" s="205"/>
      <c r="N1072" s="204"/>
      <c r="O1072" s="204"/>
      <c r="P1072" s="206"/>
      <c r="Q1072" s="206"/>
      <c r="R1072" s="206"/>
      <c r="S1072" s="206"/>
      <c r="T1072" s="204"/>
      <c r="U1072" s="207"/>
      <c r="V1072" s="204"/>
      <c r="W1072" s="204"/>
      <c r="X1072" s="207"/>
      <c r="Y1072" s="207"/>
      <c r="Z1072" s="204"/>
      <c r="AA1072" s="204"/>
      <c r="AB1072" s="204"/>
      <c r="AC1072" s="204"/>
    </row>
    <row r="1073" spans="1:29">
      <c r="A1073" s="204"/>
      <c r="B1073" s="204"/>
      <c r="C1073" s="204"/>
      <c r="D1073" s="204"/>
      <c r="E1073" s="204"/>
      <c r="F1073" s="204"/>
      <c r="G1073" s="204"/>
      <c r="H1073" s="204"/>
      <c r="I1073" s="204"/>
      <c r="J1073" s="204"/>
      <c r="K1073" s="204"/>
      <c r="L1073" s="205"/>
      <c r="M1073" s="205"/>
      <c r="N1073" s="204"/>
      <c r="O1073" s="204"/>
      <c r="P1073" s="206"/>
      <c r="Q1073" s="206"/>
      <c r="R1073" s="206"/>
      <c r="S1073" s="206"/>
      <c r="T1073" s="204"/>
      <c r="U1073" s="207"/>
      <c r="V1073" s="204"/>
      <c r="W1073" s="204"/>
      <c r="X1073" s="207"/>
      <c r="Y1073" s="207"/>
      <c r="Z1073" s="204"/>
      <c r="AA1073" s="204"/>
      <c r="AB1073" s="204"/>
      <c r="AC1073" s="204"/>
    </row>
    <row r="1074" spans="1:29">
      <c r="A1074" s="204"/>
      <c r="B1074" s="204"/>
      <c r="C1074" s="204"/>
      <c r="D1074" s="204"/>
      <c r="E1074" s="204"/>
      <c r="F1074" s="204"/>
      <c r="G1074" s="204"/>
      <c r="H1074" s="204"/>
      <c r="I1074" s="204"/>
      <c r="J1074" s="204"/>
      <c r="K1074" s="204"/>
      <c r="L1074" s="205"/>
      <c r="M1074" s="205"/>
      <c r="N1074" s="204"/>
      <c r="O1074" s="204"/>
      <c r="P1074" s="206"/>
      <c r="Q1074" s="206"/>
      <c r="R1074" s="206"/>
      <c r="S1074" s="206"/>
      <c r="T1074" s="204"/>
      <c r="U1074" s="207"/>
      <c r="V1074" s="204"/>
      <c r="W1074" s="204"/>
      <c r="X1074" s="207"/>
      <c r="Y1074" s="207"/>
      <c r="Z1074" s="204"/>
      <c r="AA1074" s="204"/>
      <c r="AB1074" s="204"/>
      <c r="AC1074" s="204"/>
    </row>
    <row r="1075" spans="1:29">
      <c r="A1075" s="204"/>
      <c r="B1075" s="204"/>
      <c r="C1075" s="204"/>
      <c r="D1075" s="204"/>
      <c r="E1075" s="204"/>
      <c r="F1075" s="204"/>
      <c r="G1075" s="204"/>
      <c r="H1075" s="204"/>
      <c r="I1075" s="204"/>
      <c r="J1075" s="204"/>
      <c r="K1075" s="204"/>
      <c r="L1075" s="205"/>
      <c r="M1075" s="205"/>
      <c r="N1075" s="204"/>
      <c r="O1075" s="204"/>
      <c r="P1075" s="206"/>
      <c r="Q1075" s="206"/>
      <c r="R1075" s="206"/>
      <c r="S1075" s="206"/>
      <c r="T1075" s="204"/>
      <c r="U1075" s="207"/>
      <c r="V1075" s="204"/>
      <c r="W1075" s="204"/>
      <c r="X1075" s="207"/>
      <c r="Y1075" s="207"/>
      <c r="Z1075" s="204"/>
      <c r="AA1075" s="204"/>
      <c r="AB1075" s="204"/>
      <c r="AC1075" s="204"/>
    </row>
    <row r="1076" spans="1:29">
      <c r="A1076" s="204"/>
      <c r="B1076" s="204"/>
      <c r="C1076" s="204"/>
      <c r="D1076" s="204"/>
      <c r="E1076" s="204"/>
      <c r="F1076" s="204"/>
      <c r="G1076" s="204"/>
      <c r="H1076" s="204"/>
      <c r="I1076" s="204"/>
      <c r="J1076" s="204"/>
      <c r="K1076" s="204"/>
      <c r="L1076" s="205"/>
      <c r="M1076" s="205"/>
      <c r="N1076" s="204"/>
      <c r="O1076" s="204"/>
      <c r="P1076" s="206"/>
      <c r="Q1076" s="206"/>
      <c r="R1076" s="206"/>
      <c r="S1076" s="206"/>
      <c r="T1076" s="204"/>
      <c r="U1076" s="207"/>
      <c r="V1076" s="204"/>
      <c r="W1076" s="204"/>
      <c r="X1076" s="207"/>
      <c r="Y1076" s="207"/>
      <c r="Z1076" s="204"/>
      <c r="AA1076" s="204"/>
      <c r="AB1076" s="204"/>
      <c r="AC1076" s="204"/>
    </row>
    <row r="1077" spans="1:29">
      <c r="A1077" s="204"/>
      <c r="B1077" s="204"/>
      <c r="C1077" s="204"/>
      <c r="D1077" s="204"/>
      <c r="E1077" s="204"/>
      <c r="F1077" s="204"/>
      <c r="G1077" s="204"/>
      <c r="H1077" s="204"/>
      <c r="I1077" s="204"/>
      <c r="J1077" s="204"/>
      <c r="K1077" s="204"/>
      <c r="L1077" s="205"/>
      <c r="M1077" s="205"/>
      <c r="N1077" s="204"/>
      <c r="O1077" s="204"/>
      <c r="P1077" s="206"/>
      <c r="Q1077" s="206"/>
      <c r="R1077" s="206"/>
      <c r="S1077" s="206"/>
      <c r="T1077" s="204"/>
      <c r="U1077" s="207"/>
      <c r="V1077" s="204"/>
      <c r="W1077" s="204"/>
      <c r="X1077" s="207"/>
      <c r="Y1077" s="207"/>
      <c r="Z1077" s="204"/>
      <c r="AA1077" s="204"/>
      <c r="AB1077" s="204"/>
      <c r="AC1077" s="204"/>
    </row>
    <row r="1078" spans="1:29">
      <c r="A1078" s="204"/>
      <c r="B1078" s="204"/>
      <c r="C1078" s="204"/>
      <c r="D1078" s="204"/>
      <c r="E1078" s="204"/>
      <c r="F1078" s="204"/>
      <c r="G1078" s="204"/>
      <c r="H1078" s="204"/>
      <c r="I1078" s="204"/>
      <c r="J1078" s="204"/>
      <c r="K1078" s="204"/>
      <c r="L1078" s="205"/>
      <c r="M1078" s="205"/>
      <c r="N1078" s="204"/>
      <c r="O1078" s="204"/>
      <c r="P1078" s="206"/>
      <c r="Q1078" s="206"/>
      <c r="R1078" s="206"/>
      <c r="S1078" s="206"/>
      <c r="T1078" s="204"/>
      <c r="U1078" s="207"/>
      <c r="V1078" s="204"/>
      <c r="W1078" s="204"/>
      <c r="X1078" s="207"/>
      <c r="Y1078" s="207"/>
      <c r="Z1078" s="204"/>
      <c r="AA1078" s="204"/>
      <c r="AB1078" s="204"/>
      <c r="AC1078" s="204"/>
    </row>
    <row r="1079" spans="1:29">
      <c r="A1079" s="204"/>
      <c r="B1079" s="204"/>
      <c r="C1079" s="204"/>
      <c r="D1079" s="204"/>
      <c r="E1079" s="204"/>
      <c r="F1079" s="204"/>
      <c r="G1079" s="204"/>
      <c r="H1079" s="204"/>
      <c r="I1079" s="204"/>
      <c r="J1079" s="204"/>
      <c r="K1079" s="204"/>
      <c r="L1079" s="205"/>
      <c r="M1079" s="205"/>
      <c r="N1079" s="204"/>
      <c r="O1079" s="204"/>
      <c r="P1079" s="206"/>
      <c r="Q1079" s="206"/>
      <c r="R1079" s="206"/>
      <c r="S1079" s="206"/>
      <c r="T1079" s="204"/>
      <c r="U1079" s="207"/>
      <c r="V1079" s="204"/>
      <c r="W1079" s="204"/>
      <c r="X1079" s="207"/>
      <c r="Y1079" s="207"/>
      <c r="Z1079" s="204"/>
      <c r="AA1079" s="204"/>
      <c r="AB1079" s="204"/>
      <c r="AC1079" s="204"/>
    </row>
    <row r="1080" spans="1:29">
      <c r="A1080" s="204"/>
      <c r="B1080" s="204"/>
      <c r="C1080" s="204"/>
      <c r="D1080" s="204"/>
      <c r="E1080" s="204"/>
      <c r="F1080" s="204"/>
      <c r="G1080" s="204"/>
      <c r="H1080" s="204"/>
      <c r="I1080" s="204"/>
      <c r="J1080" s="204"/>
      <c r="K1080" s="204"/>
      <c r="L1080" s="205"/>
      <c r="M1080" s="205"/>
      <c r="N1080" s="204"/>
      <c r="O1080" s="204"/>
      <c r="P1080" s="206"/>
      <c r="Q1080" s="206"/>
      <c r="R1080" s="206"/>
      <c r="S1080" s="206"/>
      <c r="T1080" s="204"/>
      <c r="U1080" s="207"/>
      <c r="V1080" s="204"/>
      <c r="W1080" s="204"/>
      <c r="X1080" s="207"/>
      <c r="Y1080" s="207"/>
      <c r="Z1080" s="204"/>
      <c r="AA1080" s="204"/>
      <c r="AB1080" s="204"/>
      <c r="AC1080" s="204"/>
    </row>
    <row r="1081" spans="1:29">
      <c r="A1081" s="204"/>
      <c r="B1081" s="204"/>
      <c r="C1081" s="204"/>
      <c r="D1081" s="204"/>
      <c r="E1081" s="204"/>
      <c r="F1081" s="204"/>
      <c r="G1081" s="204"/>
      <c r="H1081" s="204"/>
      <c r="I1081" s="204"/>
      <c r="J1081" s="204"/>
      <c r="K1081" s="204"/>
      <c r="L1081" s="205"/>
      <c r="M1081" s="205"/>
      <c r="N1081" s="204"/>
      <c r="O1081" s="204"/>
      <c r="P1081" s="206"/>
      <c r="Q1081" s="206"/>
      <c r="R1081" s="206"/>
      <c r="S1081" s="206"/>
      <c r="T1081" s="204"/>
      <c r="U1081" s="207"/>
      <c r="V1081" s="204"/>
      <c r="W1081" s="204"/>
      <c r="X1081" s="207"/>
      <c r="Y1081" s="207"/>
      <c r="Z1081" s="204"/>
      <c r="AA1081" s="204"/>
      <c r="AB1081" s="204"/>
      <c r="AC1081" s="204"/>
    </row>
    <row r="1082" spans="1:29">
      <c r="A1082" s="204"/>
      <c r="B1082" s="204"/>
      <c r="C1082" s="204"/>
      <c r="D1082" s="204"/>
      <c r="E1082" s="204"/>
      <c r="F1082" s="204"/>
      <c r="G1082" s="204"/>
      <c r="H1082" s="204"/>
      <c r="I1082" s="204"/>
      <c r="J1082" s="204"/>
      <c r="K1082" s="204"/>
      <c r="L1082" s="205"/>
      <c r="M1082" s="205"/>
      <c r="N1082" s="204"/>
      <c r="O1082" s="204"/>
      <c r="P1082" s="206"/>
      <c r="Q1082" s="206"/>
      <c r="R1082" s="206"/>
      <c r="S1082" s="206"/>
      <c r="T1082" s="204"/>
      <c r="U1082" s="207"/>
      <c r="V1082" s="204"/>
      <c r="W1082" s="204"/>
      <c r="X1082" s="207"/>
      <c r="Y1082" s="207"/>
      <c r="Z1082" s="204"/>
      <c r="AA1082" s="204"/>
      <c r="AB1082" s="204"/>
      <c r="AC1082" s="204"/>
    </row>
    <row r="1083" spans="1:29">
      <c r="A1083" s="204"/>
      <c r="B1083" s="204"/>
      <c r="C1083" s="204"/>
      <c r="D1083" s="204"/>
      <c r="E1083" s="204"/>
      <c r="F1083" s="204"/>
      <c r="G1083" s="204"/>
      <c r="H1083" s="204"/>
      <c r="I1083" s="204"/>
      <c r="J1083" s="204"/>
      <c r="K1083" s="204"/>
      <c r="L1083" s="205"/>
      <c r="M1083" s="205"/>
      <c r="N1083" s="204"/>
      <c r="O1083" s="204"/>
      <c r="P1083" s="206"/>
      <c r="Q1083" s="206"/>
      <c r="R1083" s="206"/>
      <c r="S1083" s="206"/>
      <c r="T1083" s="204"/>
      <c r="U1083" s="207"/>
      <c r="V1083" s="204"/>
      <c r="W1083" s="204"/>
      <c r="X1083" s="207"/>
      <c r="Y1083" s="207"/>
      <c r="Z1083" s="204"/>
      <c r="AA1083" s="204"/>
      <c r="AB1083" s="204"/>
      <c r="AC1083" s="204"/>
    </row>
    <row r="1084" spans="1:29">
      <c r="A1084" s="204"/>
      <c r="B1084" s="204"/>
      <c r="C1084" s="204"/>
      <c r="D1084" s="204"/>
      <c r="E1084" s="204"/>
      <c r="F1084" s="204"/>
      <c r="G1084" s="204"/>
      <c r="H1084" s="204"/>
      <c r="I1084" s="204"/>
      <c r="J1084" s="204"/>
      <c r="K1084" s="204"/>
      <c r="L1084" s="205"/>
      <c r="M1084" s="205"/>
      <c r="N1084" s="204"/>
      <c r="O1084" s="204"/>
      <c r="P1084" s="206"/>
      <c r="Q1084" s="206"/>
      <c r="R1084" s="206"/>
      <c r="S1084" s="206"/>
      <c r="T1084" s="204"/>
      <c r="U1084" s="207"/>
      <c r="V1084" s="204"/>
      <c r="W1084" s="204"/>
      <c r="X1084" s="207"/>
      <c r="Y1084" s="207"/>
      <c r="Z1084" s="204"/>
      <c r="AA1084" s="204"/>
      <c r="AB1084" s="204"/>
      <c r="AC1084" s="204"/>
    </row>
    <row r="1085" spans="1:29">
      <c r="A1085" s="204"/>
      <c r="B1085" s="204"/>
      <c r="C1085" s="204"/>
      <c r="D1085" s="204"/>
      <c r="E1085" s="204"/>
      <c r="F1085" s="204"/>
      <c r="G1085" s="204"/>
      <c r="H1085" s="204"/>
      <c r="I1085" s="204"/>
      <c r="J1085" s="204"/>
      <c r="K1085" s="204"/>
      <c r="L1085" s="205"/>
      <c r="M1085" s="205"/>
      <c r="N1085" s="204"/>
      <c r="O1085" s="204"/>
      <c r="P1085" s="206"/>
      <c r="Q1085" s="206"/>
      <c r="R1085" s="206"/>
      <c r="S1085" s="206"/>
      <c r="T1085" s="204"/>
      <c r="U1085" s="207"/>
      <c r="V1085" s="204"/>
      <c r="W1085" s="204"/>
      <c r="X1085" s="207"/>
      <c r="Y1085" s="207"/>
      <c r="Z1085" s="204"/>
      <c r="AA1085" s="204"/>
      <c r="AB1085" s="204"/>
      <c r="AC1085" s="204"/>
    </row>
    <row r="1086" spans="1:29">
      <c r="A1086" s="204"/>
      <c r="B1086" s="204"/>
      <c r="C1086" s="204"/>
      <c r="D1086" s="204"/>
      <c r="E1086" s="204"/>
      <c r="F1086" s="204"/>
      <c r="G1086" s="204"/>
      <c r="H1086" s="204"/>
      <c r="I1086" s="204"/>
      <c r="J1086" s="204"/>
      <c r="K1086" s="204"/>
      <c r="L1086" s="205"/>
      <c r="M1086" s="205"/>
      <c r="N1086" s="204"/>
      <c r="O1086" s="204"/>
      <c r="P1086" s="206"/>
      <c r="Q1086" s="206"/>
      <c r="R1086" s="206"/>
      <c r="S1086" s="206"/>
      <c r="T1086" s="204"/>
      <c r="U1086" s="207"/>
      <c r="V1086" s="204"/>
      <c r="W1086" s="204"/>
      <c r="X1086" s="207"/>
      <c r="Y1086" s="207"/>
      <c r="Z1086" s="204"/>
      <c r="AA1086" s="204"/>
      <c r="AB1086" s="204"/>
      <c r="AC1086" s="204"/>
    </row>
    <row r="1087" spans="1:29">
      <c r="A1087" s="204"/>
      <c r="B1087" s="204"/>
      <c r="C1087" s="204"/>
      <c r="D1087" s="204"/>
      <c r="E1087" s="204"/>
      <c r="F1087" s="204"/>
      <c r="G1087" s="204"/>
      <c r="H1087" s="204"/>
      <c r="I1087" s="204"/>
      <c r="J1087" s="204"/>
      <c r="K1087" s="204"/>
      <c r="L1087" s="205"/>
      <c r="M1087" s="205"/>
      <c r="N1087" s="204"/>
      <c r="O1087" s="204"/>
      <c r="P1087" s="206"/>
      <c r="Q1087" s="206"/>
      <c r="R1087" s="206"/>
      <c r="S1087" s="206"/>
      <c r="T1087" s="204"/>
      <c r="U1087" s="207"/>
      <c r="V1087" s="204"/>
      <c r="W1087" s="204"/>
      <c r="X1087" s="207"/>
      <c r="Y1087" s="207"/>
      <c r="Z1087" s="204"/>
      <c r="AA1087" s="204"/>
      <c r="AB1087" s="204"/>
      <c r="AC1087" s="204"/>
    </row>
    <row r="1088" spans="1:29">
      <c r="A1088" s="204"/>
      <c r="B1088" s="204"/>
      <c r="C1088" s="204"/>
      <c r="D1088" s="204"/>
      <c r="E1088" s="204"/>
      <c r="F1088" s="204"/>
      <c r="G1088" s="204"/>
      <c r="H1088" s="204"/>
      <c r="I1088" s="204"/>
      <c r="J1088" s="204"/>
      <c r="K1088" s="204"/>
      <c r="L1088" s="205"/>
      <c r="M1088" s="205"/>
      <c r="N1088" s="204"/>
      <c r="O1088" s="204"/>
      <c r="P1088" s="206"/>
      <c r="Q1088" s="206"/>
      <c r="R1088" s="206"/>
      <c r="S1088" s="206"/>
      <c r="T1088" s="204"/>
      <c r="U1088" s="207"/>
      <c r="V1088" s="204"/>
      <c r="W1088" s="204"/>
      <c r="X1088" s="207"/>
      <c r="Y1088" s="207"/>
      <c r="Z1088" s="204"/>
      <c r="AA1088" s="204"/>
      <c r="AB1088" s="204"/>
      <c r="AC1088" s="204"/>
    </row>
    <row r="1089" spans="1:29">
      <c r="A1089" s="204"/>
      <c r="B1089" s="204"/>
      <c r="C1089" s="204"/>
      <c r="D1089" s="204"/>
      <c r="E1089" s="204"/>
      <c r="F1089" s="204"/>
      <c r="G1089" s="204"/>
      <c r="H1089" s="204"/>
      <c r="I1089" s="204"/>
      <c r="J1089" s="204"/>
      <c r="K1089" s="204"/>
      <c r="L1089" s="205"/>
      <c r="M1089" s="205"/>
      <c r="N1089" s="204"/>
      <c r="O1089" s="204"/>
      <c r="P1089" s="206"/>
      <c r="Q1089" s="206"/>
      <c r="R1089" s="206"/>
      <c r="S1089" s="206"/>
      <c r="T1089" s="204"/>
      <c r="U1089" s="207"/>
      <c r="V1089" s="204"/>
      <c r="W1089" s="204"/>
      <c r="X1089" s="207"/>
      <c r="Y1089" s="207"/>
      <c r="Z1089" s="204"/>
      <c r="AA1089" s="204"/>
      <c r="AB1089" s="204"/>
      <c r="AC1089" s="204"/>
    </row>
    <row r="1090" spans="1:29">
      <c r="A1090" s="204"/>
      <c r="B1090" s="204"/>
      <c r="C1090" s="204"/>
      <c r="D1090" s="204"/>
      <c r="E1090" s="204"/>
      <c r="F1090" s="204"/>
      <c r="G1090" s="204"/>
      <c r="H1090" s="204"/>
      <c r="I1090" s="204"/>
      <c r="J1090" s="204"/>
      <c r="K1090" s="204"/>
      <c r="L1090" s="205"/>
      <c r="M1090" s="205"/>
      <c r="N1090" s="204"/>
      <c r="O1090" s="204"/>
      <c r="P1090" s="206"/>
      <c r="Q1090" s="206"/>
      <c r="R1090" s="206"/>
      <c r="S1090" s="206"/>
      <c r="T1090" s="204"/>
      <c r="U1090" s="207"/>
      <c r="V1090" s="204"/>
      <c r="W1090" s="204"/>
      <c r="X1090" s="207"/>
      <c r="Y1090" s="207"/>
      <c r="Z1090" s="204"/>
      <c r="AA1090" s="204"/>
      <c r="AB1090" s="204"/>
      <c r="AC1090" s="204"/>
    </row>
    <row r="1091" spans="1:29">
      <c r="A1091" s="204"/>
      <c r="B1091" s="204"/>
      <c r="C1091" s="204"/>
      <c r="D1091" s="204"/>
      <c r="E1091" s="204"/>
      <c r="F1091" s="204"/>
      <c r="G1091" s="204"/>
      <c r="H1091" s="204"/>
      <c r="I1091" s="204"/>
      <c r="J1091" s="204"/>
      <c r="K1091" s="204"/>
      <c r="L1091" s="205"/>
      <c r="M1091" s="205"/>
      <c r="N1091" s="204"/>
      <c r="O1091" s="204"/>
      <c r="P1091" s="206"/>
      <c r="Q1091" s="206"/>
      <c r="R1091" s="206"/>
      <c r="S1091" s="206"/>
      <c r="T1091" s="204"/>
      <c r="U1091" s="207"/>
      <c r="V1091" s="204"/>
      <c r="W1091" s="204"/>
      <c r="X1091" s="207"/>
      <c r="Y1091" s="207"/>
      <c r="Z1091" s="204"/>
      <c r="AA1091" s="204"/>
      <c r="AB1091" s="204"/>
      <c r="AC1091" s="204"/>
    </row>
    <row r="1092" spans="1:29">
      <c r="A1092" s="204"/>
      <c r="B1092" s="204"/>
      <c r="C1092" s="204"/>
      <c r="D1092" s="204"/>
      <c r="E1092" s="204"/>
      <c r="F1092" s="204"/>
      <c r="G1092" s="204"/>
      <c r="H1092" s="204"/>
      <c r="I1092" s="204"/>
      <c r="J1092" s="204"/>
      <c r="K1092" s="204"/>
      <c r="L1092" s="205"/>
      <c r="M1092" s="205"/>
      <c r="N1092" s="204"/>
      <c r="O1092" s="204"/>
      <c r="P1092" s="206"/>
      <c r="Q1092" s="206"/>
      <c r="R1092" s="206"/>
      <c r="S1092" s="206"/>
      <c r="T1092" s="204"/>
      <c r="U1092" s="207"/>
      <c r="V1092" s="204"/>
      <c r="W1092" s="204"/>
      <c r="X1092" s="207"/>
      <c r="Y1092" s="207"/>
      <c r="Z1092" s="204"/>
      <c r="AA1092" s="204"/>
      <c r="AB1092" s="204"/>
      <c r="AC1092" s="204"/>
    </row>
    <row r="1093" spans="1:29">
      <c r="A1093" s="204"/>
      <c r="B1093" s="204"/>
      <c r="C1093" s="204"/>
      <c r="D1093" s="204"/>
      <c r="E1093" s="204"/>
      <c r="F1093" s="204"/>
      <c r="G1093" s="204"/>
      <c r="H1093" s="204"/>
      <c r="I1093" s="204"/>
      <c r="J1093" s="204"/>
      <c r="K1093" s="204"/>
      <c r="L1093" s="205"/>
      <c r="M1093" s="205"/>
      <c r="N1093" s="204"/>
      <c r="O1093" s="204"/>
      <c r="P1093" s="206"/>
      <c r="Q1093" s="206"/>
      <c r="R1093" s="206"/>
      <c r="S1093" s="206"/>
      <c r="T1093" s="204"/>
      <c r="U1093" s="207"/>
      <c r="V1093" s="204"/>
      <c r="W1093" s="204"/>
      <c r="X1093" s="207"/>
      <c r="Y1093" s="207"/>
      <c r="Z1093" s="204"/>
      <c r="AA1093" s="204"/>
      <c r="AB1093" s="204"/>
      <c r="AC1093" s="204"/>
    </row>
    <row r="1094" spans="1:29">
      <c r="A1094" s="204"/>
      <c r="B1094" s="204"/>
      <c r="C1094" s="204"/>
      <c r="D1094" s="204"/>
      <c r="E1094" s="204"/>
      <c r="F1094" s="204"/>
      <c r="G1094" s="204"/>
      <c r="H1094" s="204"/>
      <c r="I1094" s="204"/>
      <c r="J1094" s="204"/>
      <c r="K1094" s="204"/>
      <c r="L1094" s="205"/>
      <c r="M1094" s="205"/>
      <c r="N1094" s="204"/>
      <c r="O1094" s="204"/>
      <c r="P1094" s="206"/>
      <c r="Q1094" s="206"/>
      <c r="R1094" s="206"/>
      <c r="S1094" s="206"/>
      <c r="T1094" s="204"/>
      <c r="U1094" s="207"/>
      <c r="V1094" s="204"/>
      <c r="W1094" s="204"/>
      <c r="X1094" s="207"/>
      <c r="Y1094" s="207"/>
      <c r="Z1094" s="204"/>
      <c r="AA1094" s="204"/>
      <c r="AB1094" s="204"/>
      <c r="AC1094" s="204"/>
    </row>
    <row r="1095" spans="1:29">
      <c r="A1095" s="204"/>
      <c r="B1095" s="204"/>
      <c r="C1095" s="204"/>
      <c r="D1095" s="204"/>
      <c r="E1095" s="204"/>
      <c r="F1095" s="204"/>
      <c r="G1095" s="204"/>
      <c r="H1095" s="204"/>
      <c r="I1095" s="204"/>
      <c r="J1095" s="204"/>
      <c r="K1095" s="204"/>
      <c r="L1095" s="205"/>
      <c r="M1095" s="205"/>
      <c r="N1095" s="204"/>
      <c r="O1095" s="204"/>
      <c r="P1095" s="206"/>
      <c r="Q1095" s="206"/>
      <c r="R1095" s="206"/>
      <c r="S1095" s="206"/>
      <c r="T1095" s="204"/>
      <c r="U1095" s="207"/>
      <c r="V1095" s="204"/>
      <c r="W1095" s="204"/>
      <c r="X1095" s="207"/>
      <c r="Y1095" s="207"/>
      <c r="Z1095" s="204"/>
      <c r="AA1095" s="204"/>
      <c r="AB1095" s="204"/>
      <c r="AC1095" s="204"/>
    </row>
    <row r="1096" spans="1:29">
      <c r="A1096" s="204"/>
      <c r="B1096" s="204"/>
      <c r="C1096" s="204"/>
      <c r="D1096" s="204"/>
      <c r="E1096" s="204"/>
      <c r="F1096" s="204"/>
      <c r="G1096" s="204"/>
      <c r="H1096" s="204"/>
      <c r="I1096" s="204"/>
      <c r="J1096" s="204"/>
      <c r="K1096" s="204"/>
      <c r="L1096" s="205"/>
      <c r="M1096" s="205"/>
      <c r="N1096" s="204"/>
      <c r="O1096" s="204"/>
      <c r="P1096" s="206"/>
      <c r="Q1096" s="206"/>
      <c r="R1096" s="206"/>
      <c r="S1096" s="206"/>
      <c r="T1096" s="204"/>
      <c r="U1096" s="207"/>
      <c r="V1096" s="204"/>
      <c r="W1096" s="204"/>
      <c r="X1096" s="207"/>
      <c r="Y1096" s="207"/>
      <c r="Z1096" s="204"/>
      <c r="AA1096" s="204"/>
      <c r="AB1096" s="204"/>
      <c r="AC1096" s="204"/>
    </row>
    <row r="1097" spans="1:29">
      <c r="A1097" s="204"/>
      <c r="B1097" s="204"/>
      <c r="C1097" s="204"/>
      <c r="D1097" s="204"/>
      <c r="E1097" s="204"/>
      <c r="F1097" s="204"/>
      <c r="G1097" s="204"/>
      <c r="H1097" s="204"/>
      <c r="I1097" s="204"/>
      <c r="J1097" s="204"/>
      <c r="K1097" s="204"/>
      <c r="L1097" s="205"/>
      <c r="M1097" s="205"/>
      <c r="N1097" s="204"/>
      <c r="O1097" s="204"/>
      <c r="P1097" s="206"/>
      <c r="Q1097" s="206"/>
      <c r="R1097" s="206"/>
      <c r="S1097" s="206"/>
      <c r="T1097" s="204"/>
      <c r="U1097" s="207"/>
      <c r="V1097" s="204"/>
      <c r="W1097" s="204"/>
      <c r="X1097" s="207"/>
      <c r="Y1097" s="207"/>
      <c r="Z1097" s="204"/>
      <c r="AA1097" s="204"/>
      <c r="AB1097" s="204"/>
      <c r="AC1097" s="204"/>
    </row>
    <row r="1098" spans="1:29">
      <c r="A1098" s="204"/>
      <c r="B1098" s="204"/>
      <c r="C1098" s="204"/>
      <c r="D1098" s="204"/>
      <c r="E1098" s="204"/>
      <c r="F1098" s="204"/>
      <c r="G1098" s="204"/>
      <c r="H1098" s="204"/>
      <c r="I1098" s="204"/>
      <c r="J1098" s="204"/>
      <c r="K1098" s="204"/>
      <c r="L1098" s="205"/>
      <c r="M1098" s="205"/>
      <c r="N1098" s="204"/>
      <c r="O1098" s="204"/>
      <c r="P1098" s="206"/>
      <c r="Q1098" s="206"/>
      <c r="R1098" s="206"/>
      <c r="S1098" s="206"/>
      <c r="T1098" s="204"/>
      <c r="U1098" s="207"/>
      <c r="V1098" s="204"/>
      <c r="W1098" s="204"/>
      <c r="X1098" s="207"/>
      <c r="Y1098" s="207"/>
      <c r="Z1098" s="204"/>
      <c r="AA1098" s="204"/>
      <c r="AB1098" s="204"/>
      <c r="AC1098" s="204"/>
    </row>
    <row r="1099" spans="1:29">
      <c r="A1099" s="204"/>
      <c r="B1099" s="204"/>
      <c r="C1099" s="204"/>
      <c r="D1099" s="204"/>
      <c r="E1099" s="204"/>
      <c r="F1099" s="204"/>
      <c r="G1099" s="204"/>
      <c r="H1099" s="204"/>
      <c r="I1099" s="204"/>
      <c r="J1099" s="204"/>
      <c r="K1099" s="204"/>
      <c r="L1099" s="205"/>
      <c r="M1099" s="205"/>
      <c r="N1099" s="204"/>
      <c r="O1099" s="204"/>
      <c r="P1099" s="206"/>
      <c r="Q1099" s="206"/>
      <c r="R1099" s="206"/>
      <c r="S1099" s="206"/>
      <c r="T1099" s="204"/>
      <c r="U1099" s="207"/>
      <c r="V1099" s="204"/>
      <c r="W1099" s="204"/>
      <c r="X1099" s="207"/>
      <c r="Y1099" s="207"/>
      <c r="Z1099" s="204"/>
      <c r="AA1099" s="204"/>
      <c r="AB1099" s="204"/>
      <c r="AC1099" s="204"/>
    </row>
    <row r="1100" spans="1:29">
      <c r="A1100" s="204"/>
      <c r="B1100" s="204"/>
      <c r="C1100" s="204"/>
      <c r="D1100" s="204"/>
      <c r="E1100" s="204"/>
      <c r="F1100" s="204"/>
      <c r="G1100" s="204"/>
      <c r="H1100" s="204"/>
      <c r="I1100" s="204"/>
      <c r="J1100" s="204"/>
      <c r="K1100" s="204"/>
      <c r="L1100" s="205"/>
      <c r="M1100" s="205"/>
      <c r="N1100" s="204"/>
      <c r="O1100" s="204"/>
      <c r="P1100" s="206"/>
      <c r="Q1100" s="206"/>
      <c r="R1100" s="206"/>
      <c r="S1100" s="206"/>
      <c r="T1100" s="204"/>
      <c r="U1100" s="207"/>
      <c r="V1100" s="204"/>
      <c r="W1100" s="204"/>
      <c r="X1100" s="207"/>
      <c r="Y1100" s="207"/>
      <c r="Z1100" s="204"/>
      <c r="AA1100" s="204"/>
      <c r="AB1100" s="204"/>
      <c r="AC1100" s="204"/>
    </row>
    <row r="1101" spans="1:29">
      <c r="A1101" s="204"/>
      <c r="B1101" s="204"/>
      <c r="C1101" s="204"/>
      <c r="D1101" s="204"/>
      <c r="E1101" s="204"/>
      <c r="F1101" s="204"/>
      <c r="G1101" s="204"/>
      <c r="H1101" s="204"/>
      <c r="I1101" s="204"/>
      <c r="J1101" s="204"/>
      <c r="K1101" s="204"/>
      <c r="L1101" s="205"/>
      <c r="M1101" s="205"/>
      <c r="N1101" s="204"/>
      <c r="O1101" s="204"/>
      <c r="P1101" s="206"/>
      <c r="Q1101" s="206"/>
      <c r="R1101" s="206"/>
      <c r="S1101" s="206"/>
      <c r="T1101" s="204"/>
      <c r="U1101" s="207"/>
      <c r="V1101" s="204"/>
      <c r="W1101" s="204"/>
      <c r="X1101" s="207"/>
      <c r="Y1101" s="207"/>
      <c r="Z1101" s="204"/>
      <c r="AA1101" s="204"/>
      <c r="AB1101" s="204"/>
      <c r="AC1101" s="204"/>
    </row>
    <row r="1102" spans="1:29">
      <c r="A1102" s="204"/>
      <c r="B1102" s="204"/>
      <c r="C1102" s="204"/>
      <c r="D1102" s="204"/>
      <c r="E1102" s="204"/>
      <c r="F1102" s="204"/>
      <c r="G1102" s="204"/>
      <c r="H1102" s="204"/>
      <c r="I1102" s="204"/>
      <c r="J1102" s="204"/>
      <c r="K1102" s="204"/>
      <c r="L1102" s="205"/>
      <c r="M1102" s="205"/>
      <c r="N1102" s="204"/>
      <c r="O1102" s="204"/>
      <c r="P1102" s="206"/>
      <c r="Q1102" s="206"/>
      <c r="R1102" s="206"/>
      <c r="S1102" s="206"/>
      <c r="T1102" s="204"/>
      <c r="U1102" s="207"/>
      <c r="V1102" s="204"/>
      <c r="W1102" s="204"/>
      <c r="X1102" s="207"/>
      <c r="Y1102" s="207"/>
      <c r="Z1102" s="204"/>
      <c r="AA1102" s="204"/>
      <c r="AB1102" s="204"/>
      <c r="AC1102" s="204"/>
    </row>
    <row r="1103" spans="1:29">
      <c r="A1103" s="204"/>
      <c r="B1103" s="204"/>
      <c r="C1103" s="204"/>
      <c r="D1103" s="204"/>
      <c r="E1103" s="204"/>
      <c r="F1103" s="204"/>
      <c r="G1103" s="204"/>
      <c r="H1103" s="204"/>
      <c r="I1103" s="204"/>
      <c r="J1103" s="204"/>
      <c r="K1103" s="204"/>
      <c r="L1103" s="205"/>
      <c r="M1103" s="205"/>
      <c r="N1103" s="204"/>
      <c r="O1103" s="204"/>
      <c r="P1103" s="206"/>
      <c r="Q1103" s="206"/>
      <c r="R1103" s="206"/>
      <c r="S1103" s="206"/>
      <c r="T1103" s="204"/>
      <c r="U1103" s="207"/>
      <c r="V1103" s="204"/>
      <c r="W1103" s="204"/>
      <c r="X1103" s="207"/>
      <c r="Y1103" s="207"/>
      <c r="Z1103" s="204"/>
      <c r="AA1103" s="204"/>
      <c r="AB1103" s="204"/>
      <c r="AC1103" s="204"/>
    </row>
    <row r="1104" spans="1:29">
      <c r="A1104" s="204"/>
      <c r="B1104" s="204"/>
      <c r="C1104" s="204"/>
      <c r="D1104" s="204"/>
      <c r="E1104" s="204"/>
      <c r="F1104" s="204"/>
      <c r="G1104" s="204"/>
      <c r="H1104" s="204"/>
      <c r="I1104" s="204"/>
      <c r="J1104" s="204"/>
      <c r="K1104" s="204"/>
      <c r="L1104" s="205"/>
      <c r="M1104" s="205"/>
      <c r="N1104" s="204"/>
      <c r="O1104" s="204"/>
      <c r="P1104" s="206"/>
      <c r="Q1104" s="206"/>
      <c r="R1104" s="206"/>
      <c r="S1104" s="206"/>
      <c r="T1104" s="204"/>
      <c r="U1104" s="207"/>
      <c r="V1104" s="204"/>
      <c r="W1104" s="204"/>
      <c r="X1104" s="207"/>
      <c r="Y1104" s="207"/>
      <c r="Z1104" s="204"/>
      <c r="AA1104" s="204"/>
      <c r="AB1104" s="204"/>
      <c r="AC1104" s="204"/>
    </row>
    <row r="1105" spans="1:29">
      <c r="A1105" s="204"/>
      <c r="B1105" s="204"/>
      <c r="C1105" s="204"/>
      <c r="D1105" s="204"/>
      <c r="E1105" s="204"/>
      <c r="F1105" s="204"/>
      <c r="G1105" s="204"/>
      <c r="H1105" s="204"/>
      <c r="I1105" s="204"/>
      <c r="J1105" s="204"/>
      <c r="K1105" s="204"/>
      <c r="L1105" s="205"/>
      <c r="M1105" s="205"/>
      <c r="N1105" s="204"/>
      <c r="O1105" s="204"/>
      <c r="P1105" s="206"/>
      <c r="Q1105" s="206"/>
      <c r="R1105" s="206"/>
      <c r="S1105" s="206"/>
      <c r="T1105" s="204"/>
      <c r="U1105" s="207"/>
      <c r="V1105" s="204"/>
      <c r="W1105" s="204"/>
      <c r="X1105" s="207"/>
      <c r="Y1105" s="207"/>
      <c r="Z1105" s="204"/>
      <c r="AA1105" s="204"/>
      <c r="AB1105" s="204"/>
      <c r="AC1105" s="204"/>
    </row>
    <row r="1106" spans="1:29">
      <c r="A1106" s="204"/>
      <c r="B1106" s="204"/>
      <c r="C1106" s="204"/>
      <c r="D1106" s="204"/>
      <c r="E1106" s="204"/>
      <c r="F1106" s="204"/>
      <c r="G1106" s="204"/>
      <c r="H1106" s="204"/>
      <c r="I1106" s="204"/>
      <c r="J1106" s="204"/>
      <c r="K1106" s="204"/>
      <c r="L1106" s="205"/>
      <c r="M1106" s="205"/>
      <c r="N1106" s="204"/>
      <c r="O1106" s="204"/>
      <c r="P1106" s="206"/>
      <c r="Q1106" s="206"/>
      <c r="R1106" s="206"/>
      <c r="S1106" s="206"/>
      <c r="T1106" s="204"/>
      <c r="U1106" s="207"/>
      <c r="V1106" s="204"/>
      <c r="W1106" s="204"/>
      <c r="X1106" s="207"/>
      <c r="Y1106" s="207"/>
      <c r="Z1106" s="204"/>
      <c r="AA1106" s="204"/>
      <c r="AB1106" s="204"/>
      <c r="AC1106" s="204"/>
    </row>
    <row r="1107" spans="1:29">
      <c r="A1107" s="204"/>
      <c r="B1107" s="204"/>
      <c r="C1107" s="204"/>
      <c r="D1107" s="204"/>
      <c r="E1107" s="204"/>
      <c r="F1107" s="204"/>
      <c r="G1107" s="204"/>
      <c r="H1107" s="204"/>
      <c r="I1107" s="204"/>
      <c r="J1107" s="204"/>
      <c r="K1107" s="204"/>
      <c r="L1107" s="205"/>
      <c r="M1107" s="205"/>
      <c r="N1107" s="204"/>
      <c r="O1107" s="204"/>
      <c r="P1107" s="206"/>
      <c r="Q1107" s="206"/>
      <c r="R1107" s="206"/>
      <c r="S1107" s="206"/>
      <c r="T1107" s="204"/>
      <c r="U1107" s="207"/>
      <c r="V1107" s="204"/>
      <c r="W1107" s="204"/>
      <c r="X1107" s="207"/>
      <c r="Y1107" s="207"/>
      <c r="Z1107" s="204"/>
      <c r="AA1107" s="204"/>
      <c r="AB1107" s="204"/>
      <c r="AC1107" s="204"/>
    </row>
    <row r="1108" spans="1:29">
      <c r="A1108" s="204"/>
      <c r="B1108" s="204"/>
      <c r="C1108" s="204"/>
      <c r="D1108" s="204"/>
      <c r="E1108" s="204"/>
      <c r="F1108" s="204"/>
      <c r="G1108" s="204"/>
      <c r="H1108" s="204"/>
      <c r="I1108" s="204"/>
      <c r="J1108" s="204"/>
      <c r="K1108" s="204"/>
      <c r="L1108" s="205"/>
      <c r="M1108" s="205"/>
      <c r="N1108" s="204"/>
      <c r="O1108" s="204"/>
      <c r="P1108" s="206"/>
      <c r="Q1108" s="206"/>
      <c r="R1108" s="206"/>
      <c r="S1108" s="206"/>
      <c r="T1108" s="204"/>
      <c r="U1108" s="207"/>
      <c r="V1108" s="204"/>
      <c r="W1108" s="204"/>
      <c r="X1108" s="207"/>
      <c r="Y1108" s="207"/>
      <c r="Z1108" s="204"/>
      <c r="AA1108" s="204"/>
      <c r="AB1108" s="204"/>
      <c r="AC1108" s="204"/>
    </row>
    <row r="1109" spans="1:29">
      <c r="A1109" s="204"/>
      <c r="B1109" s="204"/>
      <c r="C1109" s="204"/>
      <c r="D1109" s="204"/>
      <c r="E1109" s="204"/>
      <c r="F1109" s="204"/>
      <c r="G1109" s="204"/>
      <c r="H1109" s="204"/>
      <c r="I1109" s="204"/>
      <c r="J1109" s="204"/>
      <c r="K1109" s="204"/>
      <c r="L1109" s="205"/>
      <c r="M1109" s="205"/>
      <c r="N1109" s="204"/>
      <c r="O1109" s="204"/>
      <c r="P1109" s="206"/>
      <c r="Q1109" s="206"/>
      <c r="R1109" s="206"/>
      <c r="S1109" s="206"/>
      <c r="T1109" s="204"/>
      <c r="U1109" s="207"/>
      <c r="V1109" s="204"/>
      <c r="W1109" s="204"/>
      <c r="X1109" s="207"/>
      <c r="Y1109" s="207"/>
      <c r="Z1109" s="204"/>
      <c r="AA1109" s="204"/>
      <c r="AB1109" s="204"/>
      <c r="AC1109" s="204"/>
    </row>
    <row r="1110" spans="1:29">
      <c r="A1110" s="204"/>
      <c r="B1110" s="204"/>
      <c r="C1110" s="204"/>
      <c r="D1110" s="204"/>
      <c r="E1110" s="204"/>
      <c r="F1110" s="204"/>
      <c r="G1110" s="204"/>
      <c r="H1110" s="204"/>
      <c r="I1110" s="204"/>
      <c r="J1110" s="204"/>
      <c r="K1110" s="204"/>
      <c r="L1110" s="205"/>
      <c r="M1110" s="205"/>
      <c r="N1110" s="204"/>
      <c r="O1110" s="204"/>
      <c r="P1110" s="206"/>
      <c r="Q1110" s="206"/>
      <c r="R1110" s="206"/>
      <c r="S1110" s="206"/>
      <c r="T1110" s="204"/>
      <c r="U1110" s="207"/>
      <c r="V1110" s="204"/>
      <c r="W1110" s="204"/>
      <c r="X1110" s="207"/>
      <c r="Y1110" s="207"/>
      <c r="Z1110" s="204"/>
      <c r="AA1110" s="204"/>
      <c r="AB1110" s="204"/>
      <c r="AC1110" s="204"/>
    </row>
    <row r="1111" spans="1:29">
      <c r="A1111" s="204"/>
      <c r="B1111" s="204"/>
      <c r="C1111" s="204"/>
      <c r="D1111" s="204"/>
      <c r="E1111" s="204"/>
      <c r="F1111" s="204"/>
      <c r="G1111" s="204"/>
      <c r="H1111" s="204"/>
      <c r="I1111" s="204"/>
      <c r="J1111" s="204"/>
      <c r="K1111" s="204"/>
      <c r="L1111" s="205"/>
      <c r="M1111" s="205"/>
      <c r="N1111" s="204"/>
      <c r="O1111" s="204"/>
      <c r="P1111" s="206"/>
      <c r="Q1111" s="206"/>
      <c r="R1111" s="206"/>
      <c r="S1111" s="206"/>
      <c r="T1111" s="204"/>
      <c r="U1111" s="207"/>
      <c r="V1111" s="204"/>
      <c r="W1111" s="204"/>
      <c r="X1111" s="207"/>
      <c r="Y1111" s="207"/>
      <c r="Z1111" s="204"/>
      <c r="AA1111" s="204"/>
      <c r="AB1111" s="204"/>
      <c r="AC1111" s="204"/>
    </row>
    <row r="1112" spans="1:29">
      <c r="A1112" s="204"/>
      <c r="B1112" s="204"/>
      <c r="C1112" s="204"/>
      <c r="D1112" s="204"/>
      <c r="E1112" s="204"/>
      <c r="F1112" s="204"/>
      <c r="G1112" s="204"/>
      <c r="H1112" s="204"/>
      <c r="I1112" s="204"/>
      <c r="J1112" s="204"/>
      <c r="K1112" s="204"/>
      <c r="L1112" s="205"/>
      <c r="M1112" s="205"/>
      <c r="N1112" s="204"/>
      <c r="O1112" s="204"/>
      <c r="P1112" s="206"/>
      <c r="Q1112" s="206"/>
      <c r="R1112" s="206"/>
      <c r="S1112" s="206"/>
      <c r="T1112" s="204"/>
      <c r="U1112" s="207"/>
      <c r="V1112" s="204"/>
      <c r="W1112" s="204"/>
      <c r="X1112" s="207"/>
      <c r="Y1112" s="207"/>
      <c r="Z1112" s="204"/>
      <c r="AA1112" s="204"/>
      <c r="AB1112" s="204"/>
      <c r="AC1112" s="204"/>
    </row>
    <row r="1113" spans="1:29">
      <c r="A1113" s="204"/>
      <c r="B1113" s="204"/>
      <c r="C1113" s="204"/>
      <c r="D1113" s="204"/>
      <c r="E1113" s="204"/>
      <c r="F1113" s="204"/>
      <c r="G1113" s="204"/>
      <c r="H1113" s="204"/>
      <c r="I1113" s="204"/>
      <c r="J1113" s="204"/>
      <c r="K1113" s="204"/>
      <c r="L1113" s="205"/>
      <c r="M1113" s="205"/>
      <c r="N1113" s="204"/>
      <c r="O1113" s="204"/>
      <c r="P1113" s="206"/>
      <c r="Q1113" s="206"/>
      <c r="R1113" s="206"/>
      <c r="S1113" s="206"/>
      <c r="T1113" s="204"/>
      <c r="U1113" s="207"/>
      <c r="V1113" s="204"/>
      <c r="W1113" s="204"/>
      <c r="X1113" s="207"/>
      <c r="Y1113" s="207"/>
      <c r="Z1113" s="204"/>
      <c r="AA1113" s="204"/>
      <c r="AB1113" s="204"/>
      <c r="AC1113" s="204"/>
    </row>
    <row r="1114" spans="1:29">
      <c r="A1114" s="204"/>
      <c r="B1114" s="204"/>
      <c r="C1114" s="204"/>
      <c r="D1114" s="204"/>
      <c r="E1114" s="204"/>
      <c r="F1114" s="204"/>
      <c r="G1114" s="204"/>
      <c r="H1114" s="204"/>
      <c r="I1114" s="204"/>
      <c r="J1114" s="204"/>
      <c r="K1114" s="204"/>
      <c r="L1114" s="205"/>
      <c r="M1114" s="205"/>
      <c r="N1114" s="204"/>
      <c r="O1114" s="204"/>
      <c r="P1114" s="206"/>
      <c r="Q1114" s="206"/>
      <c r="R1114" s="206"/>
      <c r="S1114" s="206"/>
      <c r="T1114" s="204"/>
      <c r="U1114" s="207"/>
      <c r="V1114" s="204"/>
      <c r="W1114" s="204"/>
      <c r="X1114" s="207"/>
      <c r="Y1114" s="207"/>
      <c r="Z1114" s="204"/>
      <c r="AA1114" s="204"/>
      <c r="AB1114" s="204"/>
      <c r="AC1114" s="204"/>
    </row>
    <row r="1115" spans="1:29">
      <c r="A1115" s="204"/>
      <c r="B1115" s="204"/>
      <c r="C1115" s="204"/>
      <c r="D1115" s="204"/>
      <c r="E1115" s="204"/>
      <c r="F1115" s="204"/>
      <c r="G1115" s="204"/>
      <c r="H1115" s="204"/>
      <c r="I1115" s="204"/>
      <c r="J1115" s="204"/>
      <c r="K1115" s="204"/>
      <c r="L1115" s="205"/>
      <c r="M1115" s="205"/>
      <c r="N1115" s="204"/>
      <c r="O1115" s="204"/>
      <c r="P1115" s="206"/>
      <c r="Q1115" s="206"/>
      <c r="R1115" s="206"/>
      <c r="S1115" s="206"/>
      <c r="T1115" s="204"/>
      <c r="U1115" s="207"/>
      <c r="V1115" s="204"/>
      <c r="W1115" s="204"/>
      <c r="X1115" s="207"/>
      <c r="Y1115" s="207"/>
      <c r="Z1115" s="204"/>
      <c r="AA1115" s="204"/>
      <c r="AB1115" s="204"/>
      <c r="AC1115" s="204"/>
    </row>
    <row r="1116" spans="1:29">
      <c r="A1116" s="204"/>
      <c r="B1116" s="204"/>
      <c r="C1116" s="204"/>
      <c r="D1116" s="204"/>
      <c r="E1116" s="204"/>
      <c r="F1116" s="204"/>
      <c r="G1116" s="204"/>
      <c r="H1116" s="204"/>
      <c r="I1116" s="204"/>
      <c r="J1116" s="204"/>
      <c r="K1116" s="204"/>
      <c r="L1116" s="205"/>
      <c r="M1116" s="205"/>
      <c r="N1116" s="204"/>
      <c r="O1116" s="204"/>
      <c r="P1116" s="206"/>
      <c r="Q1116" s="206"/>
      <c r="R1116" s="206"/>
      <c r="S1116" s="206"/>
      <c r="T1116" s="204"/>
      <c r="U1116" s="207"/>
      <c r="V1116" s="204"/>
      <c r="W1116" s="204"/>
      <c r="X1116" s="207"/>
      <c r="Y1116" s="207"/>
      <c r="Z1116" s="204"/>
      <c r="AA1116" s="204"/>
      <c r="AB1116" s="204"/>
      <c r="AC1116" s="204"/>
    </row>
    <row r="1117" spans="1:29">
      <c r="A1117" s="204"/>
      <c r="B1117" s="204"/>
      <c r="C1117" s="204"/>
      <c r="D1117" s="204"/>
      <c r="E1117" s="204"/>
      <c r="F1117" s="204"/>
      <c r="G1117" s="204"/>
      <c r="H1117" s="204"/>
      <c r="I1117" s="204"/>
      <c r="J1117" s="204"/>
      <c r="K1117" s="204"/>
      <c r="L1117" s="205"/>
      <c r="M1117" s="205"/>
      <c r="N1117" s="204"/>
      <c r="O1117" s="204"/>
      <c r="P1117" s="206"/>
      <c r="Q1117" s="206"/>
      <c r="R1117" s="206"/>
      <c r="S1117" s="206"/>
      <c r="T1117" s="204"/>
      <c r="U1117" s="207"/>
      <c r="V1117" s="204"/>
      <c r="W1117" s="204"/>
      <c r="X1117" s="207"/>
      <c r="Y1117" s="207"/>
      <c r="Z1117" s="204"/>
      <c r="AA1117" s="204"/>
      <c r="AB1117" s="204"/>
      <c r="AC1117" s="204"/>
    </row>
    <row r="1118" spans="1:29">
      <c r="A1118" s="204"/>
      <c r="B1118" s="204"/>
      <c r="C1118" s="204"/>
      <c r="D1118" s="204"/>
      <c r="E1118" s="204"/>
      <c r="F1118" s="204"/>
      <c r="G1118" s="204"/>
      <c r="H1118" s="204"/>
      <c r="I1118" s="204"/>
      <c r="J1118" s="204"/>
      <c r="K1118" s="204"/>
      <c r="L1118" s="205"/>
      <c r="M1118" s="205"/>
      <c r="N1118" s="204"/>
      <c r="O1118" s="204"/>
      <c r="P1118" s="206"/>
      <c r="Q1118" s="206"/>
      <c r="R1118" s="206"/>
      <c r="S1118" s="206"/>
      <c r="T1118" s="204"/>
      <c r="U1118" s="207"/>
      <c r="V1118" s="204"/>
      <c r="W1118" s="204"/>
      <c r="X1118" s="207"/>
      <c r="Y1118" s="207"/>
      <c r="Z1118" s="204"/>
      <c r="AA1118" s="204"/>
      <c r="AB1118" s="204"/>
      <c r="AC1118" s="204"/>
    </row>
    <row r="1119" spans="1:29">
      <c r="A1119" s="204"/>
      <c r="B1119" s="204"/>
      <c r="C1119" s="204"/>
      <c r="D1119" s="204"/>
      <c r="E1119" s="204"/>
      <c r="F1119" s="204"/>
      <c r="G1119" s="204"/>
      <c r="H1119" s="204"/>
      <c r="I1119" s="204"/>
      <c r="J1119" s="204"/>
      <c r="K1119" s="204"/>
      <c r="L1119" s="205"/>
      <c r="M1119" s="205"/>
      <c r="N1119" s="204"/>
      <c r="O1119" s="204"/>
      <c r="P1119" s="206"/>
      <c r="Q1119" s="206"/>
      <c r="R1119" s="206"/>
      <c r="S1119" s="206"/>
      <c r="T1119" s="204"/>
      <c r="U1119" s="207"/>
      <c r="V1119" s="204"/>
      <c r="W1119" s="204"/>
      <c r="X1119" s="207"/>
      <c r="Y1119" s="207"/>
      <c r="Z1119" s="204"/>
      <c r="AA1119" s="204"/>
      <c r="AB1119" s="204"/>
      <c r="AC1119" s="204"/>
    </row>
    <row r="1120" spans="1:29">
      <c r="A1120" s="204"/>
      <c r="B1120" s="204"/>
      <c r="C1120" s="204"/>
      <c r="D1120" s="204"/>
      <c r="E1120" s="204"/>
      <c r="F1120" s="204"/>
      <c r="G1120" s="204"/>
      <c r="H1120" s="204"/>
      <c r="I1120" s="204"/>
      <c r="J1120" s="204"/>
      <c r="K1120" s="204"/>
      <c r="L1120" s="205"/>
      <c r="M1120" s="205"/>
      <c r="N1120" s="204"/>
      <c r="O1120" s="204"/>
      <c r="P1120" s="206"/>
      <c r="Q1120" s="206"/>
      <c r="R1120" s="206"/>
      <c r="S1120" s="206"/>
      <c r="T1120" s="204"/>
      <c r="U1120" s="207"/>
      <c r="V1120" s="204"/>
      <c r="W1120" s="204"/>
      <c r="X1120" s="207"/>
      <c r="Y1120" s="207"/>
      <c r="Z1120" s="204"/>
      <c r="AA1120" s="204"/>
      <c r="AB1120" s="204"/>
      <c r="AC1120" s="204"/>
    </row>
    <row r="1121" spans="1:29">
      <c r="A1121" s="204"/>
      <c r="B1121" s="204"/>
      <c r="C1121" s="204"/>
      <c r="D1121" s="204"/>
      <c r="E1121" s="204"/>
      <c r="F1121" s="204"/>
      <c r="G1121" s="204"/>
      <c r="H1121" s="204"/>
      <c r="I1121" s="204"/>
      <c r="J1121" s="204"/>
      <c r="K1121" s="204"/>
      <c r="L1121" s="205"/>
      <c r="M1121" s="205"/>
      <c r="N1121" s="204"/>
      <c r="O1121" s="204"/>
      <c r="P1121" s="206"/>
      <c r="Q1121" s="206"/>
      <c r="R1121" s="206"/>
      <c r="S1121" s="206"/>
      <c r="T1121" s="204"/>
      <c r="U1121" s="207"/>
      <c r="V1121" s="204"/>
      <c r="W1121" s="204"/>
      <c r="X1121" s="207"/>
      <c r="Y1121" s="207"/>
      <c r="Z1121" s="204"/>
      <c r="AA1121" s="204"/>
      <c r="AB1121" s="204"/>
      <c r="AC1121" s="204"/>
    </row>
    <row r="1122" spans="1:29">
      <c r="A1122" s="204"/>
      <c r="B1122" s="204"/>
      <c r="C1122" s="204"/>
      <c r="D1122" s="204"/>
      <c r="E1122" s="204"/>
      <c r="F1122" s="204"/>
      <c r="G1122" s="204"/>
      <c r="H1122" s="204"/>
      <c r="I1122" s="204"/>
      <c r="J1122" s="204"/>
      <c r="K1122" s="204"/>
      <c r="L1122" s="205"/>
      <c r="M1122" s="205"/>
      <c r="N1122" s="204"/>
      <c r="O1122" s="204"/>
      <c r="P1122" s="206"/>
      <c r="Q1122" s="206"/>
      <c r="R1122" s="206"/>
      <c r="S1122" s="206"/>
      <c r="T1122" s="204"/>
      <c r="U1122" s="207"/>
      <c r="V1122" s="204"/>
      <c r="W1122" s="204"/>
      <c r="X1122" s="207"/>
      <c r="Y1122" s="207"/>
      <c r="Z1122" s="204"/>
      <c r="AA1122" s="204"/>
      <c r="AB1122" s="204"/>
      <c r="AC1122" s="204"/>
    </row>
    <row r="1123" spans="1:29">
      <c r="A1123" s="204"/>
      <c r="B1123" s="204"/>
      <c r="C1123" s="204"/>
      <c r="D1123" s="204"/>
      <c r="E1123" s="204"/>
      <c r="F1123" s="204"/>
      <c r="G1123" s="204"/>
      <c r="H1123" s="204"/>
      <c r="I1123" s="204"/>
      <c r="J1123" s="204"/>
      <c r="K1123" s="204"/>
      <c r="L1123" s="205"/>
      <c r="M1123" s="205"/>
      <c r="N1123" s="204"/>
      <c r="O1123" s="204"/>
      <c r="P1123" s="206"/>
      <c r="Q1123" s="206"/>
      <c r="R1123" s="206"/>
      <c r="S1123" s="206"/>
      <c r="T1123" s="204"/>
      <c r="U1123" s="207"/>
      <c r="V1123" s="204"/>
      <c r="W1123" s="204"/>
      <c r="X1123" s="207"/>
      <c r="Y1123" s="207"/>
      <c r="Z1123" s="204"/>
      <c r="AA1123" s="204"/>
      <c r="AB1123" s="204"/>
      <c r="AC1123" s="204"/>
    </row>
    <row r="1124" spans="1:29">
      <c r="A1124" s="204"/>
      <c r="B1124" s="204"/>
      <c r="C1124" s="204"/>
      <c r="D1124" s="204"/>
      <c r="E1124" s="204"/>
      <c r="F1124" s="204"/>
      <c r="G1124" s="204"/>
      <c r="H1124" s="204"/>
      <c r="I1124" s="204"/>
      <c r="J1124" s="204"/>
      <c r="K1124" s="204"/>
      <c r="L1124" s="205"/>
      <c r="M1124" s="205"/>
      <c r="N1124" s="204"/>
      <c r="O1124" s="204"/>
      <c r="P1124" s="206"/>
      <c r="Q1124" s="206"/>
      <c r="R1124" s="206"/>
      <c r="S1124" s="206"/>
      <c r="T1124" s="204"/>
      <c r="U1124" s="207"/>
      <c r="V1124" s="204"/>
      <c r="W1124" s="204"/>
      <c r="X1124" s="207"/>
      <c r="Y1124" s="207"/>
      <c r="Z1124" s="204"/>
      <c r="AA1124" s="204"/>
      <c r="AB1124" s="204"/>
      <c r="AC1124" s="204"/>
    </row>
    <row r="1125" spans="1:29">
      <c r="A1125" s="204"/>
      <c r="B1125" s="204"/>
      <c r="C1125" s="204"/>
      <c r="D1125" s="204"/>
      <c r="E1125" s="204"/>
      <c r="F1125" s="204"/>
      <c r="G1125" s="204"/>
      <c r="H1125" s="204"/>
      <c r="I1125" s="204"/>
      <c r="J1125" s="204"/>
      <c r="K1125" s="204"/>
      <c r="L1125" s="205"/>
      <c r="M1125" s="205"/>
      <c r="N1125" s="204"/>
      <c r="O1125" s="204"/>
      <c r="P1125" s="206"/>
      <c r="Q1125" s="206"/>
      <c r="R1125" s="206"/>
      <c r="S1125" s="206"/>
      <c r="T1125" s="204"/>
      <c r="U1125" s="207"/>
      <c r="V1125" s="204"/>
      <c r="W1125" s="204"/>
      <c r="X1125" s="207"/>
      <c r="Y1125" s="207"/>
      <c r="Z1125" s="204"/>
      <c r="AA1125" s="204"/>
      <c r="AB1125" s="204"/>
      <c r="AC1125" s="204"/>
    </row>
    <row r="1126" spans="1:29">
      <c r="A1126" s="204"/>
      <c r="B1126" s="204"/>
      <c r="C1126" s="204"/>
      <c r="D1126" s="204"/>
      <c r="E1126" s="204"/>
      <c r="F1126" s="204"/>
      <c r="G1126" s="204"/>
      <c r="H1126" s="204"/>
      <c r="I1126" s="204"/>
      <c r="J1126" s="204"/>
      <c r="K1126" s="204"/>
      <c r="L1126" s="205"/>
      <c r="M1126" s="205"/>
      <c r="N1126" s="204"/>
      <c r="O1126" s="204"/>
      <c r="P1126" s="206"/>
      <c r="Q1126" s="206"/>
      <c r="R1126" s="206"/>
      <c r="S1126" s="206"/>
      <c r="T1126" s="204"/>
      <c r="U1126" s="207"/>
      <c r="V1126" s="204"/>
      <c r="W1126" s="204"/>
      <c r="X1126" s="207"/>
      <c r="Y1126" s="207"/>
      <c r="Z1126" s="204"/>
      <c r="AA1126" s="204"/>
      <c r="AB1126" s="204"/>
      <c r="AC1126" s="204"/>
    </row>
    <row r="1127" spans="1:29">
      <c r="A1127" s="204"/>
      <c r="B1127" s="204"/>
      <c r="C1127" s="204"/>
      <c r="D1127" s="204"/>
      <c r="E1127" s="204"/>
      <c r="F1127" s="204"/>
      <c r="G1127" s="204"/>
      <c r="H1127" s="204"/>
      <c r="I1127" s="204"/>
      <c r="J1127" s="204"/>
      <c r="K1127" s="204"/>
      <c r="L1127" s="205"/>
      <c r="M1127" s="205"/>
      <c r="N1127" s="204"/>
      <c r="O1127" s="204"/>
      <c r="P1127" s="206"/>
      <c r="Q1127" s="206"/>
      <c r="R1127" s="206"/>
      <c r="S1127" s="206"/>
      <c r="T1127" s="204"/>
      <c r="U1127" s="207"/>
      <c r="V1127" s="204"/>
      <c r="W1127" s="204"/>
      <c r="X1127" s="207"/>
      <c r="Y1127" s="207"/>
      <c r="Z1127" s="204"/>
      <c r="AA1127" s="204"/>
      <c r="AB1127" s="204"/>
      <c r="AC1127" s="204"/>
    </row>
    <row r="1128" spans="1:29">
      <c r="A1128" s="204"/>
      <c r="B1128" s="204"/>
      <c r="C1128" s="204"/>
      <c r="D1128" s="204"/>
      <c r="E1128" s="204"/>
      <c r="F1128" s="204"/>
      <c r="G1128" s="204"/>
      <c r="H1128" s="204"/>
      <c r="I1128" s="204"/>
      <c r="J1128" s="204"/>
      <c r="K1128" s="204"/>
      <c r="L1128" s="205"/>
      <c r="M1128" s="205"/>
      <c r="N1128" s="204"/>
      <c r="O1128" s="204"/>
      <c r="P1128" s="206"/>
      <c r="Q1128" s="206"/>
      <c r="R1128" s="206"/>
      <c r="S1128" s="206"/>
      <c r="T1128" s="204"/>
      <c r="U1128" s="207"/>
      <c r="V1128" s="204"/>
      <c r="W1128" s="204"/>
      <c r="X1128" s="207"/>
      <c r="Y1128" s="207"/>
      <c r="Z1128" s="204"/>
      <c r="AA1128" s="204"/>
      <c r="AB1128" s="204"/>
      <c r="AC1128" s="204"/>
    </row>
    <row r="1129" spans="1:29">
      <c r="A1129" s="204"/>
      <c r="B1129" s="204"/>
      <c r="C1129" s="204"/>
      <c r="D1129" s="204"/>
      <c r="E1129" s="204"/>
      <c r="F1129" s="204"/>
      <c r="G1129" s="204"/>
      <c r="H1129" s="204"/>
      <c r="I1129" s="204"/>
      <c r="J1129" s="204"/>
      <c r="K1129" s="204"/>
      <c r="L1129" s="205"/>
      <c r="M1129" s="205"/>
      <c r="N1129" s="204"/>
      <c r="O1129" s="204"/>
      <c r="P1129" s="206"/>
      <c r="Q1129" s="206"/>
      <c r="R1129" s="206"/>
      <c r="S1129" s="206"/>
      <c r="T1129" s="204"/>
      <c r="U1129" s="207"/>
      <c r="V1129" s="204"/>
      <c r="W1129" s="204"/>
      <c r="X1129" s="207"/>
      <c r="Y1129" s="207"/>
      <c r="Z1129" s="204"/>
      <c r="AA1129" s="204"/>
      <c r="AB1129" s="204"/>
      <c r="AC1129" s="204"/>
    </row>
    <row r="1130" spans="1:29">
      <c r="A1130" s="204"/>
      <c r="B1130" s="204"/>
      <c r="C1130" s="204"/>
      <c r="D1130" s="204"/>
      <c r="E1130" s="204"/>
      <c r="F1130" s="204"/>
      <c r="G1130" s="204"/>
      <c r="H1130" s="204"/>
      <c r="I1130" s="204"/>
      <c r="J1130" s="204"/>
      <c r="K1130" s="204"/>
      <c r="L1130" s="205"/>
      <c r="M1130" s="205"/>
      <c r="N1130" s="204"/>
      <c r="O1130" s="204"/>
      <c r="P1130" s="206"/>
      <c r="Q1130" s="206"/>
      <c r="R1130" s="206"/>
      <c r="S1130" s="206"/>
      <c r="T1130" s="204"/>
      <c r="U1130" s="207"/>
      <c r="V1130" s="204"/>
      <c r="W1130" s="204"/>
      <c r="X1130" s="207"/>
      <c r="Y1130" s="207"/>
      <c r="Z1130" s="204"/>
      <c r="AA1130" s="204"/>
      <c r="AB1130" s="204"/>
      <c r="AC1130" s="204"/>
    </row>
    <row r="1131" spans="1:29">
      <c r="A1131" s="204"/>
      <c r="B1131" s="204"/>
      <c r="C1131" s="204"/>
      <c r="D1131" s="204"/>
      <c r="E1131" s="204"/>
      <c r="F1131" s="204"/>
      <c r="G1131" s="204"/>
      <c r="H1131" s="204"/>
      <c r="I1131" s="204"/>
      <c r="J1131" s="204"/>
      <c r="K1131" s="204"/>
      <c r="L1131" s="205"/>
      <c r="M1131" s="205"/>
      <c r="N1131" s="204"/>
      <c r="O1131" s="204"/>
      <c r="P1131" s="206"/>
      <c r="Q1131" s="206"/>
      <c r="R1131" s="206"/>
      <c r="S1131" s="206"/>
      <c r="T1131" s="204"/>
      <c r="U1131" s="207"/>
      <c r="V1131" s="204"/>
      <c r="W1131" s="204"/>
      <c r="X1131" s="207"/>
      <c r="Y1131" s="207"/>
      <c r="Z1131" s="204"/>
      <c r="AA1131" s="204"/>
      <c r="AB1131" s="204"/>
      <c r="AC1131" s="204"/>
    </row>
    <row r="1132" spans="1:29">
      <c r="A1132" s="204"/>
      <c r="B1132" s="204"/>
      <c r="C1132" s="204"/>
      <c r="D1132" s="204"/>
      <c r="E1132" s="204"/>
      <c r="F1132" s="204"/>
      <c r="G1132" s="204"/>
      <c r="H1132" s="204"/>
      <c r="I1132" s="204"/>
      <c r="J1132" s="204"/>
      <c r="K1132" s="204"/>
      <c r="L1132" s="205"/>
      <c r="M1132" s="205"/>
      <c r="N1132" s="204"/>
      <c r="O1132" s="204"/>
      <c r="P1132" s="206"/>
      <c r="Q1132" s="206"/>
      <c r="R1132" s="206"/>
      <c r="S1132" s="206"/>
      <c r="T1132" s="204"/>
      <c r="U1132" s="207"/>
      <c r="V1132" s="204"/>
      <c r="W1132" s="204"/>
      <c r="X1132" s="207"/>
      <c r="Y1132" s="207"/>
      <c r="Z1132" s="204"/>
      <c r="AA1132" s="204"/>
      <c r="AB1132" s="204"/>
      <c r="AC1132" s="204"/>
    </row>
    <row r="1133" spans="1:29">
      <c r="A1133" s="204"/>
      <c r="B1133" s="204"/>
      <c r="C1133" s="204"/>
      <c r="D1133" s="204"/>
      <c r="E1133" s="204"/>
      <c r="F1133" s="204"/>
      <c r="G1133" s="204"/>
      <c r="H1133" s="204"/>
      <c r="I1133" s="204"/>
      <c r="J1133" s="204"/>
      <c r="K1133" s="204"/>
      <c r="L1133" s="205"/>
      <c r="M1133" s="205"/>
      <c r="N1133" s="204"/>
      <c r="O1133" s="204"/>
      <c r="P1133" s="206"/>
      <c r="Q1133" s="206"/>
      <c r="R1133" s="206"/>
      <c r="S1133" s="206"/>
      <c r="T1133" s="204"/>
      <c r="U1133" s="207"/>
      <c r="V1133" s="204"/>
      <c r="W1133" s="204"/>
      <c r="X1133" s="207"/>
      <c r="Y1133" s="207"/>
      <c r="Z1133" s="204"/>
      <c r="AA1133" s="204"/>
      <c r="AB1133" s="204"/>
      <c r="AC1133" s="204"/>
    </row>
    <row r="1134" spans="1:29">
      <c r="A1134" s="204"/>
      <c r="B1134" s="204"/>
      <c r="C1134" s="204"/>
      <c r="D1134" s="204"/>
      <c r="E1134" s="204"/>
      <c r="F1134" s="204"/>
      <c r="G1134" s="204"/>
      <c r="H1134" s="204"/>
      <c r="I1134" s="204"/>
      <c r="J1134" s="204"/>
      <c r="K1134" s="204"/>
      <c r="L1134" s="205"/>
      <c r="M1134" s="205"/>
      <c r="N1134" s="204"/>
      <c r="O1134" s="204"/>
      <c r="P1134" s="206"/>
      <c r="Q1134" s="206"/>
      <c r="R1134" s="206"/>
      <c r="S1134" s="206"/>
      <c r="T1134" s="204"/>
      <c r="U1134" s="207"/>
      <c r="V1134" s="204"/>
      <c r="W1134" s="204"/>
      <c r="X1134" s="207"/>
      <c r="Y1134" s="207"/>
      <c r="Z1134" s="204"/>
      <c r="AA1134" s="204"/>
      <c r="AB1134" s="204"/>
      <c r="AC1134" s="204"/>
    </row>
    <row r="1135" spans="1:29">
      <c r="A1135" s="204"/>
      <c r="B1135" s="204"/>
      <c r="C1135" s="204"/>
      <c r="D1135" s="204"/>
      <c r="E1135" s="204"/>
      <c r="F1135" s="204"/>
      <c r="G1135" s="204"/>
      <c r="H1135" s="204"/>
      <c r="I1135" s="204"/>
      <c r="J1135" s="204"/>
      <c r="K1135" s="204"/>
      <c r="L1135" s="205"/>
      <c r="M1135" s="205"/>
      <c r="N1135" s="204"/>
      <c r="O1135" s="204"/>
      <c r="P1135" s="206"/>
      <c r="Q1135" s="206"/>
      <c r="R1135" s="206"/>
      <c r="S1135" s="206"/>
      <c r="T1135" s="204"/>
      <c r="U1135" s="207"/>
      <c r="V1135" s="204"/>
      <c r="W1135" s="204"/>
      <c r="X1135" s="207"/>
      <c r="Y1135" s="207"/>
      <c r="Z1135" s="204"/>
      <c r="AA1135" s="204"/>
      <c r="AB1135" s="204"/>
      <c r="AC1135" s="204"/>
    </row>
    <row r="1136" spans="1:29">
      <c r="A1136" s="204"/>
      <c r="B1136" s="204"/>
      <c r="C1136" s="204"/>
      <c r="D1136" s="204"/>
      <c r="E1136" s="204"/>
      <c r="F1136" s="204"/>
      <c r="G1136" s="204"/>
      <c r="H1136" s="204"/>
      <c r="I1136" s="204"/>
      <c r="J1136" s="204"/>
      <c r="K1136" s="204"/>
      <c r="L1136" s="205"/>
      <c r="M1136" s="205"/>
      <c r="N1136" s="204"/>
      <c r="O1136" s="204"/>
      <c r="P1136" s="206"/>
      <c r="Q1136" s="206"/>
      <c r="R1136" s="206"/>
      <c r="S1136" s="206"/>
      <c r="T1136" s="204"/>
      <c r="U1136" s="207"/>
      <c r="V1136" s="204"/>
      <c r="W1136" s="204"/>
      <c r="X1136" s="207"/>
      <c r="Y1136" s="207"/>
      <c r="Z1136" s="204"/>
      <c r="AA1136" s="204"/>
      <c r="AB1136" s="204"/>
      <c r="AC1136" s="204"/>
    </row>
    <row r="1137" spans="1:29">
      <c r="A1137" s="204"/>
      <c r="B1137" s="204"/>
      <c r="C1137" s="204"/>
      <c r="D1137" s="204"/>
      <c r="E1137" s="204"/>
      <c r="F1137" s="204"/>
      <c r="G1137" s="204"/>
      <c r="H1137" s="204"/>
      <c r="I1137" s="204"/>
      <c r="J1137" s="204"/>
      <c r="K1137" s="204"/>
      <c r="L1137" s="205"/>
      <c r="M1137" s="205"/>
      <c r="N1137" s="204"/>
      <c r="O1137" s="204"/>
      <c r="P1137" s="206"/>
      <c r="Q1137" s="206"/>
      <c r="R1137" s="206"/>
      <c r="S1137" s="206"/>
      <c r="T1137" s="204"/>
      <c r="U1137" s="207"/>
      <c r="V1137" s="204"/>
      <c r="W1137" s="204"/>
      <c r="X1137" s="207"/>
      <c r="Y1137" s="207"/>
      <c r="Z1137" s="204"/>
      <c r="AA1137" s="204"/>
      <c r="AB1137" s="204"/>
      <c r="AC1137" s="204"/>
    </row>
    <row r="1138" spans="1:29">
      <c r="A1138" s="204"/>
      <c r="B1138" s="204"/>
      <c r="C1138" s="204"/>
      <c r="D1138" s="204"/>
      <c r="E1138" s="204"/>
      <c r="F1138" s="204"/>
      <c r="G1138" s="204"/>
      <c r="H1138" s="204"/>
      <c r="I1138" s="204"/>
      <c r="J1138" s="204"/>
      <c r="K1138" s="204"/>
      <c r="L1138" s="205"/>
      <c r="M1138" s="205"/>
      <c r="N1138" s="204"/>
      <c r="O1138" s="204"/>
      <c r="P1138" s="206"/>
      <c r="Q1138" s="206"/>
      <c r="R1138" s="206"/>
      <c r="S1138" s="206"/>
      <c r="T1138" s="204"/>
      <c r="U1138" s="207"/>
      <c r="V1138" s="204"/>
      <c r="W1138" s="204"/>
      <c r="X1138" s="207"/>
      <c r="Y1138" s="207"/>
      <c r="Z1138" s="204"/>
      <c r="AA1138" s="204"/>
      <c r="AB1138" s="204"/>
      <c r="AC1138" s="204"/>
    </row>
    <row r="1139" spans="1:29">
      <c r="A1139" s="204"/>
      <c r="B1139" s="204"/>
      <c r="C1139" s="204"/>
      <c r="D1139" s="204"/>
      <c r="E1139" s="204"/>
      <c r="F1139" s="204"/>
      <c r="G1139" s="204"/>
      <c r="H1139" s="204"/>
      <c r="I1139" s="204"/>
      <c r="J1139" s="204"/>
      <c r="K1139" s="204"/>
      <c r="L1139" s="205"/>
      <c r="M1139" s="205"/>
      <c r="N1139" s="204"/>
      <c r="O1139" s="204"/>
      <c r="P1139" s="206"/>
      <c r="Q1139" s="206"/>
      <c r="R1139" s="206"/>
      <c r="S1139" s="206"/>
      <c r="T1139" s="204"/>
      <c r="U1139" s="207"/>
      <c r="V1139" s="204"/>
      <c r="W1139" s="204"/>
      <c r="X1139" s="207"/>
      <c r="Y1139" s="207"/>
      <c r="Z1139" s="204"/>
      <c r="AA1139" s="204"/>
      <c r="AB1139" s="204"/>
      <c r="AC1139" s="204"/>
    </row>
    <row r="1140" spans="1:29">
      <c r="A1140" s="204"/>
      <c r="B1140" s="204"/>
      <c r="C1140" s="204"/>
      <c r="D1140" s="204"/>
      <c r="E1140" s="204"/>
      <c r="F1140" s="204"/>
      <c r="G1140" s="204"/>
      <c r="H1140" s="204"/>
      <c r="I1140" s="204"/>
      <c r="J1140" s="204"/>
      <c r="K1140" s="204"/>
      <c r="L1140" s="205"/>
      <c r="M1140" s="205"/>
      <c r="N1140" s="204"/>
      <c r="O1140" s="204"/>
      <c r="P1140" s="206"/>
      <c r="Q1140" s="206"/>
      <c r="R1140" s="206"/>
      <c r="S1140" s="206"/>
      <c r="T1140" s="204"/>
      <c r="U1140" s="207"/>
      <c r="V1140" s="204"/>
      <c r="W1140" s="204"/>
      <c r="X1140" s="207"/>
      <c r="Y1140" s="207"/>
      <c r="Z1140" s="204"/>
      <c r="AA1140" s="204"/>
      <c r="AB1140" s="204"/>
      <c r="AC1140" s="204"/>
    </row>
    <row r="1141" spans="1:29">
      <c r="A1141" s="204"/>
      <c r="B1141" s="204"/>
      <c r="C1141" s="204"/>
      <c r="D1141" s="204"/>
      <c r="E1141" s="204"/>
      <c r="F1141" s="204"/>
      <c r="G1141" s="204"/>
      <c r="H1141" s="204"/>
      <c r="I1141" s="204"/>
      <c r="J1141" s="204"/>
      <c r="K1141" s="204"/>
      <c r="L1141" s="205"/>
      <c r="M1141" s="205"/>
      <c r="N1141" s="204"/>
      <c r="O1141" s="204"/>
      <c r="P1141" s="206"/>
      <c r="Q1141" s="206"/>
      <c r="R1141" s="206"/>
      <c r="S1141" s="206"/>
      <c r="T1141" s="204"/>
      <c r="U1141" s="207"/>
      <c r="V1141" s="204"/>
      <c r="W1141" s="204"/>
      <c r="X1141" s="207"/>
      <c r="Y1141" s="207"/>
      <c r="Z1141" s="204"/>
      <c r="AA1141" s="204"/>
      <c r="AB1141" s="204"/>
      <c r="AC1141" s="204"/>
    </row>
    <row r="1142" spans="1:29">
      <c r="A1142" s="204"/>
      <c r="B1142" s="204"/>
      <c r="C1142" s="204"/>
      <c r="D1142" s="204"/>
      <c r="E1142" s="204"/>
      <c r="F1142" s="204"/>
      <c r="G1142" s="204"/>
      <c r="H1142" s="204"/>
      <c r="I1142" s="204"/>
      <c r="J1142" s="204"/>
      <c r="K1142" s="204"/>
      <c r="L1142" s="205"/>
      <c r="M1142" s="205"/>
      <c r="N1142" s="204"/>
      <c r="O1142" s="204"/>
      <c r="P1142" s="206"/>
      <c r="Q1142" s="206"/>
      <c r="R1142" s="206"/>
      <c r="S1142" s="206"/>
      <c r="T1142" s="204"/>
      <c r="U1142" s="207"/>
      <c r="V1142" s="204"/>
      <c r="W1142" s="204"/>
      <c r="X1142" s="207"/>
      <c r="Y1142" s="207"/>
      <c r="Z1142" s="204"/>
      <c r="AA1142" s="204"/>
      <c r="AB1142" s="204"/>
      <c r="AC1142" s="204"/>
    </row>
    <row r="1143" spans="1:29">
      <c r="A1143" s="204"/>
      <c r="B1143" s="204"/>
      <c r="C1143" s="204"/>
      <c r="D1143" s="204"/>
      <c r="E1143" s="204"/>
      <c r="F1143" s="204"/>
      <c r="G1143" s="204"/>
      <c r="H1143" s="204"/>
      <c r="I1143" s="204"/>
      <c r="J1143" s="204"/>
      <c r="K1143" s="204"/>
      <c r="L1143" s="205"/>
      <c r="M1143" s="205"/>
      <c r="N1143" s="204"/>
      <c r="O1143" s="204"/>
      <c r="P1143" s="206"/>
      <c r="Q1143" s="206"/>
      <c r="R1143" s="206"/>
      <c r="S1143" s="206"/>
      <c r="T1143" s="204"/>
      <c r="U1143" s="207"/>
      <c r="V1143" s="204"/>
      <c r="W1143" s="204"/>
      <c r="X1143" s="207"/>
      <c r="Y1143" s="207"/>
      <c r="Z1143" s="204"/>
      <c r="AA1143" s="204"/>
      <c r="AB1143" s="204"/>
      <c r="AC1143" s="204"/>
    </row>
    <row r="1144" spans="1:29">
      <c r="A1144" s="204"/>
      <c r="B1144" s="204"/>
      <c r="C1144" s="204"/>
      <c r="D1144" s="204"/>
      <c r="E1144" s="204"/>
      <c r="F1144" s="204"/>
      <c r="G1144" s="204"/>
      <c r="H1144" s="204"/>
      <c r="I1144" s="204"/>
      <c r="J1144" s="204"/>
      <c r="K1144" s="204"/>
      <c r="L1144" s="205"/>
      <c r="M1144" s="205"/>
      <c r="N1144" s="204"/>
      <c r="O1144" s="204"/>
      <c r="P1144" s="206"/>
      <c r="Q1144" s="206"/>
      <c r="R1144" s="206"/>
      <c r="S1144" s="206"/>
      <c r="T1144" s="204"/>
      <c r="U1144" s="207"/>
      <c r="V1144" s="204"/>
      <c r="W1144" s="204"/>
      <c r="X1144" s="207"/>
      <c r="Y1144" s="207"/>
      <c r="Z1144" s="204"/>
      <c r="AA1144" s="204"/>
      <c r="AB1144" s="204"/>
      <c r="AC1144" s="204"/>
    </row>
    <row r="1145" spans="1:29">
      <c r="A1145" s="204"/>
      <c r="B1145" s="204"/>
      <c r="C1145" s="204"/>
      <c r="D1145" s="204"/>
      <c r="E1145" s="204"/>
      <c r="F1145" s="204"/>
      <c r="G1145" s="204"/>
      <c r="H1145" s="204"/>
      <c r="I1145" s="204"/>
      <c r="J1145" s="204"/>
      <c r="K1145" s="204"/>
      <c r="L1145" s="205"/>
      <c r="M1145" s="205"/>
      <c r="N1145" s="204"/>
      <c r="O1145" s="204"/>
      <c r="P1145" s="206"/>
      <c r="Q1145" s="206"/>
      <c r="R1145" s="206"/>
      <c r="S1145" s="206"/>
      <c r="T1145" s="204"/>
      <c r="U1145" s="207"/>
      <c r="V1145" s="204"/>
      <c r="W1145" s="204"/>
      <c r="X1145" s="207"/>
      <c r="Y1145" s="207"/>
      <c r="Z1145" s="204"/>
      <c r="AA1145" s="204"/>
      <c r="AB1145" s="204"/>
      <c r="AC1145" s="204"/>
    </row>
    <row r="1146" spans="1:29">
      <c r="A1146" s="204"/>
      <c r="B1146" s="204"/>
      <c r="C1146" s="204"/>
      <c r="D1146" s="204"/>
      <c r="E1146" s="204"/>
      <c r="F1146" s="204"/>
      <c r="G1146" s="204"/>
      <c r="H1146" s="204"/>
      <c r="I1146" s="204"/>
      <c r="J1146" s="204"/>
      <c r="K1146" s="204"/>
      <c r="L1146" s="205"/>
      <c r="M1146" s="205"/>
      <c r="N1146" s="204"/>
      <c r="O1146" s="204"/>
      <c r="P1146" s="206"/>
      <c r="Q1146" s="206"/>
      <c r="R1146" s="206"/>
      <c r="S1146" s="206"/>
      <c r="T1146" s="204"/>
      <c r="U1146" s="207"/>
      <c r="V1146" s="204"/>
      <c r="W1146" s="204"/>
      <c r="X1146" s="207"/>
      <c r="Y1146" s="207"/>
      <c r="Z1146" s="204"/>
      <c r="AA1146" s="204"/>
      <c r="AB1146" s="204"/>
      <c r="AC1146" s="204"/>
    </row>
    <row r="1147" spans="1:29">
      <c r="A1147" s="204"/>
      <c r="B1147" s="204"/>
      <c r="C1147" s="204"/>
      <c r="D1147" s="204"/>
      <c r="E1147" s="204"/>
      <c r="F1147" s="204"/>
      <c r="G1147" s="204"/>
      <c r="H1147" s="204"/>
      <c r="I1147" s="204"/>
      <c r="J1147" s="204"/>
      <c r="K1147" s="204"/>
      <c r="L1147" s="205"/>
      <c r="M1147" s="205"/>
      <c r="N1147" s="204"/>
      <c r="O1147" s="204"/>
      <c r="P1147" s="206"/>
      <c r="Q1147" s="206"/>
      <c r="R1147" s="206"/>
      <c r="S1147" s="206"/>
      <c r="T1147" s="204"/>
      <c r="U1147" s="207"/>
      <c r="V1147" s="204"/>
      <c r="W1147" s="204"/>
      <c r="X1147" s="207"/>
      <c r="Y1147" s="207"/>
      <c r="Z1147" s="204"/>
      <c r="AA1147" s="204"/>
      <c r="AB1147" s="204"/>
      <c r="AC1147" s="204"/>
    </row>
    <row r="1148" spans="1:29">
      <c r="A1148" s="204"/>
      <c r="B1148" s="204"/>
      <c r="C1148" s="204"/>
      <c r="D1148" s="204"/>
      <c r="E1148" s="204"/>
      <c r="F1148" s="204"/>
      <c r="G1148" s="204"/>
      <c r="H1148" s="204"/>
      <c r="I1148" s="204"/>
      <c r="J1148" s="204"/>
      <c r="K1148" s="204"/>
      <c r="L1148" s="205"/>
      <c r="M1148" s="205"/>
      <c r="N1148" s="204"/>
      <c r="O1148" s="204"/>
      <c r="P1148" s="206"/>
      <c r="Q1148" s="206"/>
      <c r="R1148" s="206"/>
      <c r="S1148" s="206"/>
      <c r="T1148" s="204"/>
      <c r="U1148" s="207"/>
      <c r="V1148" s="204"/>
      <c r="W1148" s="204"/>
      <c r="X1148" s="207"/>
      <c r="Y1148" s="207"/>
      <c r="Z1148" s="204"/>
      <c r="AA1148" s="204"/>
      <c r="AB1148" s="204"/>
      <c r="AC1148" s="204"/>
    </row>
    <row r="1149" spans="1:29">
      <c r="A1149" s="204"/>
      <c r="B1149" s="204"/>
      <c r="C1149" s="204"/>
      <c r="D1149" s="204"/>
      <c r="E1149" s="204"/>
      <c r="F1149" s="204"/>
      <c r="G1149" s="204"/>
      <c r="H1149" s="204"/>
      <c r="I1149" s="204"/>
      <c r="J1149" s="204"/>
      <c r="K1149" s="204"/>
      <c r="L1149" s="205"/>
      <c r="M1149" s="205"/>
      <c r="N1149" s="204"/>
      <c r="O1149" s="204"/>
      <c r="P1149" s="206"/>
      <c r="Q1149" s="206"/>
      <c r="R1149" s="206"/>
      <c r="S1149" s="206"/>
      <c r="T1149" s="204"/>
      <c r="U1149" s="207"/>
      <c r="V1149" s="204"/>
      <c r="W1149" s="204"/>
      <c r="X1149" s="207"/>
      <c r="Y1149" s="207"/>
      <c r="Z1149" s="204"/>
      <c r="AA1149" s="204"/>
      <c r="AB1149" s="204"/>
      <c r="AC1149" s="204"/>
    </row>
    <row r="1150" spans="1:29">
      <c r="A1150" s="204"/>
      <c r="B1150" s="204"/>
      <c r="C1150" s="204"/>
      <c r="D1150" s="204"/>
      <c r="E1150" s="204"/>
      <c r="F1150" s="204"/>
      <c r="G1150" s="204"/>
      <c r="H1150" s="204"/>
      <c r="I1150" s="204"/>
      <c r="J1150" s="204"/>
      <c r="K1150" s="204"/>
      <c r="L1150" s="205"/>
      <c r="M1150" s="205"/>
      <c r="N1150" s="204"/>
      <c r="O1150" s="204"/>
      <c r="P1150" s="206"/>
      <c r="Q1150" s="206"/>
      <c r="R1150" s="206"/>
      <c r="S1150" s="206"/>
      <c r="T1150" s="204"/>
      <c r="U1150" s="207"/>
      <c r="V1150" s="204"/>
      <c r="W1150" s="204"/>
      <c r="X1150" s="207"/>
      <c r="Y1150" s="207"/>
      <c r="Z1150" s="204"/>
      <c r="AA1150" s="204"/>
      <c r="AB1150" s="204"/>
      <c r="AC1150" s="204"/>
    </row>
    <row r="1151" spans="1:29">
      <c r="A1151" s="204"/>
      <c r="B1151" s="204"/>
      <c r="C1151" s="204"/>
      <c r="D1151" s="204"/>
      <c r="E1151" s="204"/>
      <c r="F1151" s="204"/>
      <c r="G1151" s="204"/>
      <c r="H1151" s="204"/>
      <c r="I1151" s="204"/>
      <c r="J1151" s="204"/>
      <c r="K1151" s="204"/>
      <c r="L1151" s="205"/>
      <c r="M1151" s="205"/>
      <c r="N1151" s="204"/>
      <c r="O1151" s="204"/>
      <c r="P1151" s="206"/>
      <c r="Q1151" s="206"/>
      <c r="R1151" s="206"/>
      <c r="S1151" s="206"/>
      <c r="T1151" s="204"/>
      <c r="U1151" s="207"/>
      <c r="V1151" s="204"/>
      <c r="W1151" s="204"/>
      <c r="X1151" s="207"/>
      <c r="Y1151" s="207"/>
      <c r="Z1151" s="204"/>
      <c r="AA1151" s="204"/>
      <c r="AB1151" s="204"/>
      <c r="AC1151" s="204"/>
    </row>
    <row r="1152" spans="1:29">
      <c r="A1152" s="204"/>
      <c r="B1152" s="204"/>
      <c r="C1152" s="204"/>
      <c r="D1152" s="204"/>
      <c r="E1152" s="204"/>
      <c r="F1152" s="204"/>
      <c r="G1152" s="204"/>
      <c r="H1152" s="204"/>
      <c r="I1152" s="204"/>
      <c r="J1152" s="204"/>
      <c r="K1152" s="204"/>
      <c r="L1152" s="205"/>
      <c r="M1152" s="205"/>
      <c r="N1152" s="204"/>
      <c r="O1152" s="204"/>
      <c r="P1152" s="206"/>
      <c r="Q1152" s="206"/>
      <c r="R1152" s="206"/>
      <c r="S1152" s="206"/>
      <c r="T1152" s="204"/>
      <c r="U1152" s="207"/>
      <c r="V1152" s="204"/>
      <c r="W1152" s="204"/>
      <c r="X1152" s="207"/>
      <c r="Y1152" s="207"/>
      <c r="Z1152" s="204"/>
      <c r="AA1152" s="204"/>
      <c r="AB1152" s="204"/>
      <c r="AC1152" s="204"/>
    </row>
    <row r="1153" spans="1:29">
      <c r="A1153" s="204"/>
      <c r="B1153" s="204"/>
      <c r="C1153" s="204"/>
      <c r="D1153" s="204"/>
      <c r="E1153" s="204"/>
      <c r="F1153" s="204"/>
      <c r="G1153" s="204"/>
      <c r="H1153" s="204"/>
      <c r="I1153" s="204"/>
      <c r="J1153" s="204"/>
      <c r="K1153" s="204"/>
      <c r="L1153" s="205"/>
      <c r="M1153" s="205"/>
      <c r="N1153" s="204"/>
      <c r="O1153" s="204"/>
      <c r="P1153" s="206"/>
      <c r="Q1153" s="206"/>
      <c r="R1153" s="206"/>
      <c r="S1153" s="206"/>
      <c r="T1153" s="204"/>
      <c r="U1153" s="207"/>
      <c r="V1153" s="204"/>
      <c r="W1153" s="204"/>
      <c r="X1153" s="207"/>
      <c r="Y1153" s="207"/>
      <c r="Z1153" s="204"/>
      <c r="AA1153" s="204"/>
      <c r="AB1153" s="204"/>
      <c r="AC1153" s="204"/>
    </row>
    <row r="1154" spans="1:29">
      <c r="A1154" s="204"/>
      <c r="B1154" s="204"/>
      <c r="C1154" s="204"/>
      <c r="D1154" s="204"/>
      <c r="E1154" s="204"/>
      <c r="F1154" s="204"/>
      <c r="G1154" s="204"/>
      <c r="H1154" s="204"/>
      <c r="I1154" s="204"/>
      <c r="J1154" s="204"/>
      <c r="K1154" s="204"/>
      <c r="L1154" s="205"/>
      <c r="M1154" s="205"/>
      <c r="N1154" s="204"/>
      <c r="O1154" s="204"/>
      <c r="P1154" s="206"/>
      <c r="Q1154" s="206"/>
      <c r="R1154" s="206"/>
      <c r="S1154" s="206"/>
      <c r="T1154" s="204"/>
      <c r="U1154" s="207"/>
      <c r="V1154" s="204"/>
      <c r="W1154" s="204"/>
      <c r="X1154" s="207"/>
      <c r="Y1154" s="207"/>
      <c r="Z1154" s="204"/>
      <c r="AA1154" s="204"/>
      <c r="AB1154" s="204"/>
      <c r="AC1154" s="204"/>
    </row>
    <row r="1155" spans="1:29">
      <c r="A1155" s="204"/>
      <c r="B1155" s="204"/>
      <c r="C1155" s="204"/>
      <c r="D1155" s="204"/>
      <c r="E1155" s="204"/>
      <c r="F1155" s="204"/>
      <c r="G1155" s="204"/>
      <c r="H1155" s="204"/>
      <c r="I1155" s="204"/>
      <c r="J1155" s="204"/>
      <c r="K1155" s="204"/>
      <c r="L1155" s="205"/>
      <c r="M1155" s="205"/>
      <c r="N1155" s="204"/>
      <c r="O1155" s="204"/>
      <c r="P1155" s="206"/>
      <c r="Q1155" s="206"/>
      <c r="R1155" s="206"/>
      <c r="S1155" s="206"/>
      <c r="T1155" s="204"/>
      <c r="U1155" s="207"/>
      <c r="V1155" s="204"/>
      <c r="W1155" s="204"/>
      <c r="X1155" s="207"/>
      <c r="Y1155" s="207"/>
      <c r="Z1155" s="204"/>
      <c r="AA1155" s="204"/>
      <c r="AB1155" s="204"/>
      <c r="AC1155" s="204"/>
    </row>
    <row r="1156" spans="1:29">
      <c r="A1156" s="204"/>
      <c r="B1156" s="204"/>
      <c r="C1156" s="204"/>
      <c r="D1156" s="204"/>
      <c r="E1156" s="204"/>
      <c r="F1156" s="204"/>
      <c r="G1156" s="204"/>
      <c r="H1156" s="204"/>
      <c r="I1156" s="204"/>
      <c r="J1156" s="204"/>
      <c r="K1156" s="204"/>
      <c r="L1156" s="205"/>
      <c r="M1156" s="205"/>
      <c r="N1156" s="204"/>
      <c r="O1156" s="204"/>
      <c r="P1156" s="206"/>
      <c r="Q1156" s="206"/>
      <c r="R1156" s="206"/>
      <c r="S1156" s="206"/>
      <c r="T1156" s="204"/>
      <c r="U1156" s="207"/>
      <c r="V1156" s="204"/>
      <c r="W1156" s="204"/>
      <c r="X1156" s="207"/>
      <c r="Y1156" s="207"/>
      <c r="Z1156" s="204"/>
      <c r="AA1156" s="204"/>
      <c r="AB1156" s="204"/>
      <c r="AC1156" s="204"/>
    </row>
    <row r="1157" spans="1:29">
      <c r="A1157" s="204"/>
      <c r="B1157" s="204"/>
      <c r="C1157" s="204"/>
      <c r="D1157" s="204"/>
      <c r="E1157" s="204"/>
      <c r="F1157" s="204"/>
      <c r="G1157" s="204"/>
      <c r="H1157" s="204"/>
      <c r="I1157" s="204"/>
      <c r="J1157" s="204"/>
      <c r="K1157" s="204"/>
      <c r="L1157" s="205"/>
      <c r="M1157" s="205"/>
      <c r="N1157" s="204"/>
      <c r="O1157" s="204"/>
      <c r="P1157" s="206"/>
      <c r="Q1157" s="206"/>
      <c r="R1157" s="206"/>
      <c r="S1157" s="206"/>
      <c r="T1157" s="204"/>
      <c r="U1157" s="207"/>
      <c r="V1157" s="204"/>
      <c r="W1157" s="204"/>
      <c r="X1157" s="207"/>
      <c r="Y1157" s="207"/>
      <c r="Z1157" s="204"/>
      <c r="AA1157" s="204"/>
      <c r="AB1157" s="204"/>
      <c r="AC1157" s="204"/>
    </row>
    <row r="1158" spans="1:29">
      <c r="A1158" s="204"/>
      <c r="B1158" s="204"/>
      <c r="C1158" s="204"/>
      <c r="D1158" s="204"/>
      <c r="E1158" s="204"/>
      <c r="F1158" s="204"/>
      <c r="G1158" s="204"/>
      <c r="H1158" s="204"/>
      <c r="I1158" s="204"/>
      <c r="J1158" s="204"/>
      <c r="K1158" s="204"/>
      <c r="L1158" s="205"/>
      <c r="M1158" s="205"/>
      <c r="N1158" s="204"/>
      <c r="O1158" s="204"/>
      <c r="P1158" s="206"/>
      <c r="Q1158" s="206"/>
      <c r="R1158" s="206"/>
      <c r="S1158" s="206"/>
      <c r="T1158" s="204"/>
      <c r="U1158" s="207"/>
      <c r="V1158" s="204"/>
      <c r="W1158" s="204"/>
      <c r="X1158" s="207"/>
      <c r="Y1158" s="207"/>
      <c r="Z1158" s="204"/>
      <c r="AA1158" s="204"/>
      <c r="AB1158" s="204"/>
      <c r="AC1158" s="204"/>
    </row>
    <row r="1159" spans="1:29">
      <c r="A1159" s="204"/>
      <c r="B1159" s="204"/>
      <c r="C1159" s="204"/>
      <c r="D1159" s="204"/>
      <c r="E1159" s="204"/>
      <c r="F1159" s="204"/>
      <c r="G1159" s="204"/>
      <c r="H1159" s="204"/>
      <c r="I1159" s="204"/>
      <c r="J1159" s="204"/>
      <c r="K1159" s="204"/>
      <c r="L1159" s="205"/>
      <c r="M1159" s="205"/>
      <c r="N1159" s="204"/>
      <c r="O1159" s="204"/>
      <c r="P1159" s="206"/>
      <c r="Q1159" s="206"/>
      <c r="R1159" s="206"/>
      <c r="S1159" s="206"/>
      <c r="T1159" s="204"/>
      <c r="U1159" s="207"/>
      <c r="V1159" s="204"/>
      <c r="W1159" s="204"/>
      <c r="X1159" s="207"/>
      <c r="Y1159" s="207"/>
      <c r="Z1159" s="204"/>
      <c r="AA1159" s="204"/>
      <c r="AB1159" s="204"/>
      <c r="AC1159" s="204"/>
    </row>
    <row r="1160" spans="1:29">
      <c r="A1160" s="204"/>
      <c r="B1160" s="204"/>
      <c r="C1160" s="204"/>
      <c r="D1160" s="204"/>
      <c r="E1160" s="204"/>
      <c r="F1160" s="204"/>
      <c r="G1160" s="204"/>
      <c r="H1160" s="204"/>
      <c r="I1160" s="204"/>
      <c r="J1160" s="204"/>
      <c r="K1160" s="204"/>
      <c r="L1160" s="205"/>
      <c r="M1160" s="205"/>
      <c r="N1160" s="204"/>
      <c r="O1160" s="204"/>
      <c r="P1160" s="206"/>
      <c r="Q1160" s="206"/>
      <c r="R1160" s="206"/>
      <c r="S1160" s="206"/>
      <c r="T1160" s="204"/>
      <c r="U1160" s="207"/>
      <c r="V1160" s="204"/>
      <c r="W1160" s="204"/>
      <c r="X1160" s="207"/>
      <c r="Y1160" s="207"/>
      <c r="Z1160" s="204"/>
      <c r="AA1160" s="204"/>
      <c r="AB1160" s="204"/>
      <c r="AC1160" s="204"/>
    </row>
    <row r="1161" spans="1:29">
      <c r="A1161" s="204"/>
      <c r="B1161" s="204"/>
      <c r="C1161" s="204"/>
      <c r="D1161" s="204"/>
      <c r="E1161" s="204"/>
      <c r="F1161" s="204"/>
      <c r="G1161" s="204"/>
      <c r="H1161" s="204"/>
      <c r="I1161" s="204"/>
      <c r="J1161" s="204"/>
      <c r="K1161" s="204"/>
      <c r="L1161" s="205"/>
      <c r="M1161" s="205"/>
      <c r="N1161" s="204"/>
      <c r="O1161" s="204"/>
      <c r="P1161" s="206"/>
      <c r="Q1161" s="206"/>
      <c r="R1161" s="206"/>
      <c r="S1161" s="206"/>
      <c r="T1161" s="204"/>
      <c r="U1161" s="207"/>
      <c r="V1161" s="204"/>
      <c r="W1161" s="204"/>
      <c r="X1161" s="207"/>
      <c r="Y1161" s="207"/>
      <c r="Z1161" s="204"/>
      <c r="AA1161" s="204"/>
      <c r="AB1161" s="204"/>
      <c r="AC1161" s="204"/>
    </row>
    <row r="1162" spans="1:29">
      <c r="A1162" s="204"/>
      <c r="B1162" s="204"/>
      <c r="C1162" s="204"/>
      <c r="D1162" s="204"/>
      <c r="E1162" s="204"/>
      <c r="F1162" s="204"/>
      <c r="G1162" s="204"/>
      <c r="H1162" s="204"/>
      <c r="I1162" s="204"/>
      <c r="J1162" s="204"/>
      <c r="K1162" s="204"/>
      <c r="L1162" s="205"/>
      <c r="M1162" s="205"/>
      <c r="N1162" s="204"/>
      <c r="O1162" s="204"/>
      <c r="P1162" s="206"/>
      <c r="Q1162" s="206"/>
      <c r="R1162" s="206"/>
      <c r="S1162" s="206"/>
      <c r="T1162" s="204"/>
      <c r="U1162" s="207"/>
      <c r="V1162" s="204"/>
      <c r="W1162" s="204"/>
      <c r="X1162" s="207"/>
      <c r="Y1162" s="207"/>
      <c r="Z1162" s="204"/>
      <c r="AA1162" s="204"/>
      <c r="AB1162" s="204"/>
      <c r="AC1162" s="204"/>
    </row>
    <row r="1163" spans="1:29">
      <c r="A1163" s="204"/>
      <c r="B1163" s="204"/>
      <c r="C1163" s="204"/>
      <c r="D1163" s="204"/>
      <c r="E1163" s="204"/>
      <c r="F1163" s="204"/>
      <c r="G1163" s="204"/>
      <c r="H1163" s="204"/>
      <c r="I1163" s="204"/>
      <c r="J1163" s="204"/>
      <c r="K1163" s="204"/>
      <c r="L1163" s="205"/>
      <c r="M1163" s="205"/>
      <c r="N1163" s="204"/>
      <c r="O1163" s="204"/>
      <c r="P1163" s="206"/>
      <c r="Q1163" s="206"/>
      <c r="R1163" s="206"/>
      <c r="S1163" s="206"/>
      <c r="T1163" s="204"/>
      <c r="U1163" s="207"/>
      <c r="V1163" s="204"/>
      <c r="W1163" s="204"/>
      <c r="X1163" s="207"/>
      <c r="Y1163" s="207"/>
      <c r="Z1163" s="204"/>
      <c r="AA1163" s="204"/>
      <c r="AB1163" s="204"/>
      <c r="AC1163" s="204"/>
    </row>
    <row r="1164" spans="1:29">
      <c r="A1164" s="204"/>
      <c r="B1164" s="204"/>
      <c r="C1164" s="204"/>
      <c r="D1164" s="204"/>
      <c r="E1164" s="204"/>
      <c r="F1164" s="204"/>
      <c r="G1164" s="204"/>
      <c r="H1164" s="204"/>
      <c r="I1164" s="204"/>
      <c r="J1164" s="204"/>
      <c r="K1164" s="204"/>
      <c r="L1164" s="205"/>
      <c r="M1164" s="205"/>
      <c r="N1164" s="204"/>
      <c r="O1164" s="204"/>
      <c r="P1164" s="206"/>
      <c r="Q1164" s="206"/>
      <c r="R1164" s="206"/>
      <c r="S1164" s="206"/>
      <c r="T1164" s="204"/>
      <c r="U1164" s="207"/>
      <c r="V1164" s="204"/>
      <c r="W1164" s="204"/>
      <c r="X1164" s="207"/>
      <c r="Y1164" s="207"/>
      <c r="Z1164" s="204"/>
      <c r="AA1164" s="204"/>
      <c r="AB1164" s="204"/>
      <c r="AC1164" s="204"/>
    </row>
    <row r="1165" spans="1:29">
      <c r="A1165" s="204"/>
      <c r="B1165" s="204"/>
      <c r="C1165" s="204"/>
      <c r="D1165" s="204"/>
      <c r="E1165" s="204"/>
      <c r="F1165" s="204"/>
      <c r="G1165" s="204"/>
      <c r="H1165" s="204"/>
      <c r="I1165" s="204"/>
      <c r="J1165" s="204"/>
      <c r="K1165" s="204"/>
      <c r="L1165" s="205"/>
      <c r="M1165" s="205"/>
      <c r="N1165" s="204"/>
      <c r="O1165" s="204"/>
      <c r="P1165" s="206"/>
      <c r="Q1165" s="206"/>
      <c r="R1165" s="206"/>
      <c r="S1165" s="206"/>
      <c r="T1165" s="204"/>
      <c r="U1165" s="207"/>
      <c r="V1165" s="204"/>
      <c r="W1165" s="204"/>
      <c r="X1165" s="207"/>
      <c r="Y1165" s="207"/>
      <c r="Z1165" s="204"/>
      <c r="AA1165" s="204"/>
      <c r="AB1165" s="204"/>
      <c r="AC1165" s="204"/>
    </row>
    <row r="1166" spans="1:29">
      <c r="A1166" s="204"/>
      <c r="B1166" s="204"/>
      <c r="C1166" s="204"/>
      <c r="D1166" s="204"/>
      <c r="E1166" s="204"/>
      <c r="F1166" s="204"/>
      <c r="G1166" s="204"/>
      <c r="H1166" s="204"/>
      <c r="I1166" s="204"/>
      <c r="J1166" s="204"/>
      <c r="K1166" s="204"/>
      <c r="L1166" s="205"/>
      <c r="M1166" s="205"/>
      <c r="N1166" s="204"/>
      <c r="O1166" s="204"/>
      <c r="P1166" s="206"/>
      <c r="Q1166" s="206"/>
      <c r="R1166" s="206"/>
      <c r="S1166" s="206"/>
      <c r="T1166" s="204"/>
      <c r="U1166" s="207"/>
      <c r="V1166" s="204"/>
      <c r="W1166" s="204"/>
      <c r="X1166" s="207"/>
      <c r="Y1166" s="207"/>
      <c r="Z1166" s="204"/>
      <c r="AA1166" s="204"/>
      <c r="AB1166" s="204"/>
      <c r="AC1166" s="204"/>
    </row>
    <row r="1167" spans="1:29">
      <c r="A1167" s="204"/>
      <c r="B1167" s="204"/>
      <c r="C1167" s="204"/>
      <c r="D1167" s="204"/>
      <c r="E1167" s="204"/>
      <c r="F1167" s="204"/>
      <c r="G1167" s="204"/>
      <c r="H1167" s="204"/>
      <c r="I1167" s="204"/>
      <c r="J1167" s="204"/>
      <c r="K1167" s="204"/>
      <c r="L1167" s="205"/>
      <c r="M1167" s="205"/>
      <c r="N1167" s="204"/>
      <c r="O1167" s="204"/>
      <c r="P1167" s="206"/>
      <c r="Q1167" s="206"/>
      <c r="R1167" s="206"/>
      <c r="S1167" s="206"/>
      <c r="T1167" s="204"/>
      <c r="U1167" s="207"/>
      <c r="V1167" s="204"/>
      <c r="W1167" s="204"/>
      <c r="X1167" s="207"/>
      <c r="Y1167" s="207"/>
      <c r="Z1167" s="204"/>
      <c r="AA1167" s="204"/>
      <c r="AB1167" s="204"/>
      <c r="AC1167" s="204"/>
    </row>
    <row r="1168" spans="1:29">
      <c r="A1168" s="204"/>
      <c r="B1168" s="204"/>
      <c r="C1168" s="204"/>
      <c r="D1168" s="204"/>
      <c r="E1168" s="204"/>
      <c r="F1168" s="204"/>
      <c r="G1168" s="204"/>
      <c r="H1168" s="204"/>
      <c r="I1168" s="204"/>
      <c r="J1168" s="204"/>
      <c r="K1168" s="204"/>
      <c r="L1168" s="205"/>
      <c r="M1168" s="205"/>
      <c r="N1168" s="204"/>
      <c r="O1168" s="204"/>
      <c r="P1168" s="206"/>
      <c r="Q1168" s="206"/>
      <c r="R1168" s="206"/>
      <c r="S1168" s="206"/>
      <c r="T1168" s="204"/>
      <c r="U1168" s="207"/>
      <c r="V1168" s="204"/>
      <c r="W1168" s="204"/>
      <c r="X1168" s="207"/>
      <c r="Y1168" s="207"/>
      <c r="Z1168" s="204"/>
      <c r="AA1168" s="204"/>
      <c r="AB1168" s="204"/>
      <c r="AC1168" s="204"/>
    </row>
    <row r="1169" spans="1:29">
      <c r="A1169" s="204"/>
      <c r="B1169" s="204"/>
      <c r="C1169" s="204"/>
      <c r="D1169" s="204"/>
      <c r="E1169" s="204"/>
      <c r="F1169" s="204"/>
      <c r="G1169" s="204"/>
      <c r="H1169" s="204"/>
      <c r="I1169" s="204"/>
      <c r="J1169" s="204"/>
      <c r="K1169" s="204"/>
      <c r="L1169" s="205"/>
      <c r="M1169" s="205"/>
      <c r="N1169" s="204"/>
      <c r="O1169" s="204"/>
      <c r="P1169" s="206"/>
      <c r="Q1169" s="206"/>
      <c r="R1169" s="206"/>
      <c r="S1169" s="206"/>
      <c r="T1169" s="204"/>
      <c r="U1169" s="207"/>
      <c r="V1169" s="204"/>
      <c r="W1169" s="204"/>
      <c r="X1169" s="207"/>
      <c r="Y1169" s="207"/>
      <c r="Z1169" s="204"/>
      <c r="AA1169" s="204"/>
      <c r="AB1169" s="204"/>
      <c r="AC1169" s="204"/>
    </row>
    <row r="1170" spans="1:29">
      <c r="A1170" s="204"/>
      <c r="B1170" s="204"/>
      <c r="C1170" s="204"/>
      <c r="D1170" s="204"/>
      <c r="E1170" s="204"/>
      <c r="F1170" s="204"/>
      <c r="G1170" s="204"/>
      <c r="H1170" s="204"/>
      <c r="I1170" s="204"/>
      <c r="J1170" s="204"/>
      <c r="K1170" s="204"/>
      <c r="L1170" s="205"/>
      <c r="M1170" s="205"/>
      <c r="N1170" s="204"/>
      <c r="O1170" s="204"/>
      <c r="P1170" s="206"/>
      <c r="Q1170" s="206"/>
      <c r="R1170" s="206"/>
      <c r="S1170" s="206"/>
      <c r="T1170" s="204"/>
      <c r="U1170" s="207"/>
      <c r="V1170" s="204"/>
      <c r="W1170" s="204"/>
      <c r="X1170" s="207"/>
      <c r="Y1170" s="207"/>
      <c r="Z1170" s="204"/>
      <c r="AA1170" s="204"/>
      <c r="AB1170" s="204"/>
      <c r="AC1170" s="204"/>
    </row>
    <row r="1171" spans="1:29">
      <c r="A1171" s="204"/>
      <c r="B1171" s="204"/>
      <c r="C1171" s="204"/>
      <c r="D1171" s="204"/>
      <c r="E1171" s="204"/>
      <c r="F1171" s="204"/>
      <c r="G1171" s="204"/>
      <c r="H1171" s="204"/>
      <c r="I1171" s="204"/>
      <c r="J1171" s="204"/>
      <c r="K1171" s="204"/>
      <c r="L1171" s="205"/>
      <c r="M1171" s="205"/>
      <c r="N1171" s="204"/>
      <c r="O1171" s="204"/>
      <c r="P1171" s="206"/>
      <c r="Q1171" s="206"/>
      <c r="R1171" s="206"/>
      <c r="S1171" s="206"/>
      <c r="T1171" s="204"/>
      <c r="U1171" s="207"/>
      <c r="V1171" s="204"/>
      <c r="W1171" s="204"/>
      <c r="X1171" s="207"/>
      <c r="Y1171" s="207"/>
      <c r="Z1171" s="204"/>
      <c r="AA1171" s="204"/>
      <c r="AB1171" s="204"/>
      <c r="AC1171" s="204"/>
    </row>
    <row r="1172" spans="1:29">
      <c r="A1172" s="204"/>
      <c r="B1172" s="204"/>
      <c r="C1172" s="204"/>
      <c r="D1172" s="204"/>
      <c r="E1172" s="204"/>
      <c r="F1172" s="204"/>
      <c r="G1172" s="204"/>
      <c r="H1172" s="204"/>
      <c r="I1172" s="204"/>
      <c r="J1172" s="204"/>
      <c r="K1172" s="204"/>
      <c r="L1172" s="205"/>
      <c r="M1172" s="205"/>
      <c r="N1172" s="204"/>
      <c r="O1172" s="204"/>
      <c r="P1172" s="206"/>
      <c r="Q1172" s="206"/>
      <c r="R1172" s="206"/>
      <c r="S1172" s="206"/>
      <c r="T1172" s="204"/>
      <c r="U1172" s="207"/>
      <c r="V1172" s="204"/>
      <c r="W1172" s="204"/>
      <c r="X1172" s="207"/>
      <c r="Y1172" s="207"/>
      <c r="Z1172" s="204"/>
      <c r="AA1172" s="204"/>
      <c r="AB1172" s="204"/>
      <c r="AC1172" s="204"/>
    </row>
    <row r="1173" spans="1:29">
      <c r="A1173" s="204"/>
      <c r="B1173" s="204"/>
      <c r="C1173" s="204"/>
      <c r="D1173" s="204"/>
      <c r="E1173" s="204"/>
      <c r="F1173" s="204"/>
      <c r="G1173" s="204"/>
      <c r="H1173" s="204"/>
      <c r="I1173" s="204"/>
      <c r="J1173" s="204"/>
      <c r="K1173" s="204"/>
      <c r="L1173" s="205"/>
      <c r="M1173" s="205"/>
      <c r="N1173" s="204"/>
      <c r="O1173" s="204"/>
      <c r="P1173" s="206"/>
      <c r="Q1173" s="206"/>
      <c r="R1173" s="206"/>
      <c r="S1173" s="206"/>
      <c r="T1173" s="204"/>
      <c r="U1173" s="207"/>
      <c r="V1173" s="204"/>
      <c r="W1173" s="204"/>
      <c r="X1173" s="207"/>
      <c r="Y1173" s="207"/>
      <c r="Z1173" s="204"/>
      <c r="AA1173" s="204"/>
      <c r="AB1173" s="204"/>
      <c r="AC1173" s="204"/>
    </row>
    <row r="1174" spans="1:29">
      <c r="A1174" s="204"/>
      <c r="B1174" s="204"/>
      <c r="C1174" s="204"/>
      <c r="D1174" s="204"/>
      <c r="E1174" s="204"/>
      <c r="F1174" s="204"/>
      <c r="G1174" s="204"/>
      <c r="H1174" s="204"/>
      <c r="I1174" s="204"/>
      <c r="J1174" s="204"/>
      <c r="K1174" s="204"/>
      <c r="L1174" s="205"/>
      <c r="M1174" s="205"/>
      <c r="N1174" s="204"/>
      <c r="O1174" s="204"/>
      <c r="P1174" s="206"/>
      <c r="Q1174" s="206"/>
      <c r="R1174" s="206"/>
      <c r="S1174" s="206"/>
      <c r="T1174" s="204"/>
      <c r="U1174" s="207"/>
      <c r="V1174" s="204"/>
      <c r="W1174" s="204"/>
      <c r="X1174" s="207"/>
      <c r="Y1174" s="207"/>
      <c r="Z1174" s="204"/>
      <c r="AA1174" s="204"/>
      <c r="AB1174" s="204"/>
      <c r="AC1174" s="204"/>
    </row>
    <row r="1175" spans="1:29">
      <c r="A1175" s="204"/>
      <c r="B1175" s="204"/>
      <c r="C1175" s="204"/>
      <c r="D1175" s="204"/>
      <c r="E1175" s="204"/>
      <c r="F1175" s="204"/>
      <c r="G1175" s="204"/>
      <c r="H1175" s="204"/>
      <c r="I1175" s="204"/>
      <c r="J1175" s="204"/>
      <c r="K1175" s="204"/>
      <c r="L1175" s="205"/>
      <c r="M1175" s="205"/>
      <c r="N1175" s="204"/>
      <c r="O1175" s="204"/>
      <c r="P1175" s="206"/>
      <c r="Q1175" s="206"/>
      <c r="R1175" s="206"/>
      <c r="S1175" s="206"/>
      <c r="T1175" s="204"/>
      <c r="U1175" s="207"/>
      <c r="V1175" s="204"/>
      <c r="W1175" s="204"/>
      <c r="X1175" s="207"/>
      <c r="Y1175" s="207"/>
      <c r="Z1175" s="204"/>
      <c r="AA1175" s="204"/>
      <c r="AB1175" s="204"/>
      <c r="AC1175" s="204"/>
    </row>
    <row r="1176" spans="1:29">
      <c r="A1176" s="204"/>
      <c r="B1176" s="204"/>
      <c r="C1176" s="204"/>
      <c r="D1176" s="204"/>
      <c r="E1176" s="204"/>
      <c r="F1176" s="204"/>
      <c r="G1176" s="204"/>
      <c r="H1176" s="204"/>
      <c r="I1176" s="204"/>
      <c r="J1176" s="204"/>
      <c r="K1176" s="204"/>
      <c r="L1176" s="205"/>
      <c r="M1176" s="205"/>
      <c r="N1176" s="204"/>
      <c r="O1176" s="204"/>
      <c r="P1176" s="206"/>
      <c r="Q1176" s="206"/>
      <c r="R1176" s="206"/>
      <c r="S1176" s="206"/>
      <c r="T1176" s="204"/>
      <c r="U1176" s="207"/>
      <c r="V1176" s="204"/>
      <c r="W1176" s="204"/>
      <c r="X1176" s="207"/>
      <c r="Y1176" s="207"/>
      <c r="Z1176" s="204"/>
      <c r="AA1176" s="204"/>
      <c r="AB1176" s="204"/>
      <c r="AC1176" s="204"/>
    </row>
    <row r="1177" spans="1:29">
      <c r="A1177" s="204"/>
      <c r="B1177" s="204"/>
      <c r="C1177" s="204"/>
      <c r="D1177" s="204"/>
      <c r="E1177" s="204"/>
      <c r="F1177" s="204"/>
      <c r="G1177" s="204"/>
      <c r="H1177" s="204"/>
      <c r="I1177" s="204"/>
      <c r="J1177" s="204"/>
      <c r="K1177" s="204"/>
      <c r="L1177" s="205"/>
      <c r="M1177" s="205"/>
      <c r="N1177" s="204"/>
      <c r="O1177" s="204"/>
      <c r="P1177" s="206"/>
      <c r="Q1177" s="206"/>
      <c r="R1177" s="206"/>
      <c r="S1177" s="206"/>
      <c r="T1177" s="204"/>
      <c r="U1177" s="207"/>
      <c r="V1177" s="204"/>
      <c r="W1177" s="204"/>
      <c r="X1177" s="207"/>
      <c r="Y1177" s="207"/>
      <c r="Z1177" s="204"/>
      <c r="AA1177" s="204"/>
      <c r="AB1177" s="204"/>
      <c r="AC1177" s="204"/>
    </row>
    <row r="1178" spans="1:29">
      <c r="A1178" s="204"/>
      <c r="B1178" s="204"/>
      <c r="C1178" s="204"/>
      <c r="D1178" s="204"/>
      <c r="E1178" s="204"/>
      <c r="F1178" s="204"/>
      <c r="G1178" s="204"/>
      <c r="H1178" s="204"/>
      <c r="I1178" s="204"/>
      <c r="J1178" s="204"/>
      <c r="K1178" s="204"/>
      <c r="L1178" s="205"/>
      <c r="M1178" s="205"/>
      <c r="N1178" s="204"/>
      <c r="O1178" s="204"/>
      <c r="P1178" s="206"/>
      <c r="Q1178" s="206"/>
      <c r="R1178" s="206"/>
      <c r="S1178" s="206"/>
      <c r="T1178" s="204"/>
      <c r="U1178" s="207"/>
      <c r="V1178" s="204"/>
      <c r="W1178" s="204"/>
      <c r="X1178" s="207"/>
      <c r="Y1178" s="207"/>
      <c r="Z1178" s="204"/>
      <c r="AA1178" s="204"/>
      <c r="AB1178" s="204"/>
      <c r="AC1178" s="204"/>
    </row>
    <row r="1179" spans="1:29">
      <c r="A1179" s="204"/>
      <c r="B1179" s="204"/>
      <c r="C1179" s="204"/>
      <c r="D1179" s="204"/>
      <c r="E1179" s="204"/>
      <c r="F1179" s="204"/>
      <c r="G1179" s="204"/>
      <c r="H1179" s="204"/>
      <c r="I1179" s="204"/>
      <c r="J1179" s="204"/>
      <c r="K1179" s="204"/>
      <c r="L1179" s="205"/>
      <c r="M1179" s="205"/>
      <c r="N1179" s="204"/>
      <c r="O1179" s="204"/>
      <c r="P1179" s="206"/>
      <c r="Q1179" s="206"/>
      <c r="R1179" s="206"/>
      <c r="S1179" s="206"/>
      <c r="T1179" s="204"/>
      <c r="U1179" s="207"/>
      <c r="V1179" s="204"/>
      <c r="W1179" s="204"/>
      <c r="X1179" s="207"/>
      <c r="Y1179" s="207"/>
      <c r="Z1179" s="204"/>
      <c r="AA1179" s="204"/>
      <c r="AB1179" s="204"/>
      <c r="AC1179" s="204"/>
    </row>
    <row r="1180" spans="1:29">
      <c r="A1180" s="204"/>
      <c r="B1180" s="204"/>
      <c r="C1180" s="204"/>
      <c r="D1180" s="204"/>
      <c r="E1180" s="204"/>
      <c r="F1180" s="204"/>
      <c r="G1180" s="204"/>
      <c r="H1180" s="204"/>
      <c r="I1180" s="204"/>
      <c r="J1180" s="204"/>
      <c r="K1180" s="204"/>
      <c r="L1180" s="205"/>
      <c r="M1180" s="205"/>
      <c r="N1180" s="204"/>
      <c r="O1180" s="204"/>
      <c r="P1180" s="206"/>
      <c r="Q1180" s="206"/>
      <c r="R1180" s="206"/>
      <c r="S1180" s="206"/>
      <c r="T1180" s="204"/>
      <c r="U1180" s="207"/>
      <c r="V1180" s="204"/>
      <c r="W1180" s="204"/>
      <c r="X1180" s="207"/>
      <c r="Y1180" s="207"/>
      <c r="Z1180" s="204"/>
      <c r="AA1180" s="204"/>
      <c r="AB1180" s="204"/>
      <c r="AC1180" s="204"/>
    </row>
    <row r="1181" spans="1:29">
      <c r="A1181" s="204"/>
      <c r="B1181" s="204"/>
      <c r="C1181" s="204"/>
      <c r="D1181" s="204"/>
      <c r="E1181" s="204"/>
      <c r="F1181" s="204"/>
      <c r="G1181" s="204"/>
      <c r="H1181" s="204"/>
      <c r="I1181" s="204"/>
      <c r="J1181" s="204"/>
      <c r="K1181" s="204"/>
      <c r="L1181" s="205"/>
      <c r="M1181" s="205"/>
      <c r="N1181" s="204"/>
      <c r="O1181" s="204"/>
      <c r="P1181" s="206"/>
      <c r="Q1181" s="206"/>
      <c r="R1181" s="206"/>
      <c r="S1181" s="206"/>
      <c r="T1181" s="204"/>
      <c r="U1181" s="207"/>
      <c r="V1181" s="204"/>
      <c r="W1181" s="204"/>
      <c r="X1181" s="207"/>
      <c r="Y1181" s="207"/>
      <c r="Z1181" s="204"/>
      <c r="AA1181" s="204"/>
      <c r="AB1181" s="204"/>
      <c r="AC1181" s="204"/>
    </row>
    <row r="1182" spans="1:29">
      <c r="A1182" s="204"/>
      <c r="B1182" s="204"/>
      <c r="C1182" s="204"/>
      <c r="D1182" s="204"/>
      <c r="E1182" s="204"/>
      <c r="F1182" s="204"/>
      <c r="G1182" s="204"/>
      <c r="H1182" s="204"/>
      <c r="I1182" s="204"/>
      <c r="J1182" s="204"/>
      <c r="K1182" s="204"/>
      <c r="L1182" s="205"/>
      <c r="M1182" s="205"/>
      <c r="N1182" s="204"/>
      <c r="O1182" s="204"/>
      <c r="P1182" s="206"/>
      <c r="Q1182" s="206"/>
      <c r="R1182" s="206"/>
      <c r="S1182" s="206"/>
      <c r="T1182" s="204"/>
      <c r="U1182" s="207"/>
      <c r="V1182" s="204"/>
      <c r="W1182" s="204"/>
      <c r="X1182" s="207"/>
      <c r="Y1182" s="207"/>
      <c r="Z1182" s="204"/>
      <c r="AA1182" s="204"/>
      <c r="AB1182" s="204"/>
      <c r="AC1182" s="204"/>
    </row>
    <row r="1183" spans="1:29">
      <c r="A1183" s="204"/>
      <c r="B1183" s="204"/>
      <c r="C1183" s="204"/>
      <c r="D1183" s="204"/>
      <c r="E1183" s="204"/>
      <c r="F1183" s="204"/>
      <c r="G1183" s="204"/>
      <c r="H1183" s="204"/>
      <c r="I1183" s="204"/>
      <c r="J1183" s="204"/>
      <c r="K1183" s="204"/>
      <c r="L1183" s="205"/>
      <c r="M1183" s="205"/>
      <c r="N1183" s="204"/>
      <c r="O1183" s="204"/>
      <c r="P1183" s="206"/>
      <c r="Q1183" s="206"/>
      <c r="R1183" s="206"/>
      <c r="S1183" s="206"/>
      <c r="T1183" s="204"/>
      <c r="U1183" s="207"/>
      <c r="V1183" s="204"/>
      <c r="W1183" s="204"/>
      <c r="X1183" s="207"/>
      <c r="Y1183" s="207"/>
      <c r="Z1183" s="204"/>
      <c r="AA1183" s="204"/>
      <c r="AB1183" s="204"/>
      <c r="AC1183" s="204"/>
    </row>
    <row r="1184" spans="1:29">
      <c r="A1184" s="204"/>
      <c r="B1184" s="204"/>
      <c r="C1184" s="204"/>
      <c r="D1184" s="204"/>
      <c r="E1184" s="204"/>
      <c r="F1184" s="204"/>
      <c r="G1184" s="204"/>
      <c r="H1184" s="204"/>
      <c r="I1184" s="204"/>
      <c r="J1184" s="204"/>
      <c r="K1184" s="204"/>
      <c r="L1184" s="205"/>
      <c r="M1184" s="205"/>
      <c r="N1184" s="204"/>
      <c r="O1184" s="204"/>
      <c r="P1184" s="206"/>
      <c r="Q1184" s="206"/>
      <c r="R1184" s="206"/>
      <c r="S1184" s="206"/>
      <c r="T1184" s="204"/>
      <c r="U1184" s="207"/>
      <c r="V1184" s="204"/>
      <c r="W1184" s="204"/>
      <c r="X1184" s="207"/>
      <c r="Y1184" s="207"/>
      <c r="Z1184" s="204"/>
      <c r="AA1184" s="204"/>
      <c r="AB1184" s="204"/>
      <c r="AC1184" s="204"/>
    </row>
    <row r="1185" spans="1:29">
      <c r="A1185" s="204"/>
      <c r="B1185" s="204"/>
      <c r="C1185" s="204"/>
      <c r="D1185" s="204"/>
      <c r="E1185" s="204"/>
      <c r="F1185" s="204"/>
      <c r="G1185" s="204"/>
      <c r="H1185" s="204"/>
      <c r="I1185" s="204"/>
      <c r="J1185" s="204"/>
      <c r="K1185" s="204"/>
      <c r="L1185" s="205"/>
      <c r="M1185" s="205"/>
      <c r="N1185" s="204"/>
      <c r="O1185" s="204"/>
      <c r="P1185" s="206"/>
      <c r="Q1185" s="206"/>
      <c r="R1185" s="206"/>
      <c r="S1185" s="206"/>
      <c r="T1185" s="204"/>
      <c r="U1185" s="207"/>
      <c r="V1185" s="204"/>
      <c r="W1185" s="204"/>
      <c r="X1185" s="207"/>
      <c r="Y1185" s="207"/>
      <c r="Z1185" s="204"/>
      <c r="AA1185" s="204"/>
      <c r="AB1185" s="204"/>
      <c r="AC1185" s="204"/>
    </row>
    <row r="1186" spans="1:29">
      <c r="A1186" s="204"/>
      <c r="B1186" s="204"/>
      <c r="C1186" s="204"/>
      <c r="D1186" s="204"/>
      <c r="E1186" s="204"/>
      <c r="F1186" s="204"/>
      <c r="G1186" s="204"/>
      <c r="H1186" s="204"/>
      <c r="I1186" s="204"/>
      <c r="J1186" s="204"/>
      <c r="K1186" s="204"/>
      <c r="L1186" s="205"/>
      <c r="M1186" s="205"/>
      <c r="N1186" s="204"/>
      <c r="O1186" s="204"/>
      <c r="P1186" s="206"/>
      <c r="Q1186" s="206"/>
      <c r="R1186" s="206"/>
      <c r="S1186" s="206"/>
      <c r="T1186" s="204"/>
      <c r="U1186" s="207"/>
      <c r="V1186" s="204"/>
      <c r="W1186" s="204"/>
      <c r="X1186" s="207"/>
      <c r="Y1186" s="207"/>
      <c r="Z1186" s="204"/>
      <c r="AA1186" s="204"/>
      <c r="AB1186" s="204"/>
      <c r="AC1186" s="204"/>
    </row>
    <row r="1187" spans="1:29">
      <c r="A1187" s="204"/>
      <c r="B1187" s="204"/>
      <c r="C1187" s="204"/>
      <c r="D1187" s="204"/>
      <c r="E1187" s="204"/>
      <c r="F1187" s="204"/>
      <c r="G1187" s="204"/>
      <c r="H1187" s="204"/>
      <c r="I1187" s="204"/>
      <c r="J1187" s="204"/>
      <c r="K1187" s="204"/>
      <c r="L1187" s="205"/>
      <c r="M1187" s="205"/>
      <c r="N1187" s="204"/>
      <c r="O1187" s="204"/>
      <c r="P1187" s="206"/>
      <c r="Q1187" s="206"/>
      <c r="R1187" s="206"/>
      <c r="S1187" s="206"/>
      <c r="T1187" s="204"/>
      <c r="U1187" s="207"/>
      <c r="V1187" s="204"/>
      <c r="W1187" s="204"/>
      <c r="X1187" s="207"/>
      <c r="Y1187" s="207"/>
      <c r="Z1187" s="204"/>
      <c r="AA1187" s="204"/>
      <c r="AB1187" s="204"/>
      <c r="AC1187" s="204"/>
    </row>
    <row r="1188" spans="1:29">
      <c r="A1188" s="204"/>
      <c r="B1188" s="204"/>
      <c r="C1188" s="204"/>
      <c r="D1188" s="204"/>
      <c r="E1188" s="204"/>
      <c r="F1188" s="204"/>
      <c r="G1188" s="204"/>
      <c r="H1188" s="204"/>
      <c r="I1188" s="204"/>
      <c r="J1188" s="204"/>
      <c r="K1188" s="204"/>
      <c r="L1188" s="205"/>
      <c r="M1188" s="205"/>
      <c r="N1188" s="204"/>
      <c r="O1188" s="204"/>
      <c r="P1188" s="206"/>
      <c r="Q1188" s="206"/>
      <c r="R1188" s="206"/>
      <c r="S1188" s="206"/>
      <c r="T1188" s="204"/>
      <c r="U1188" s="207"/>
      <c r="V1188" s="204"/>
      <c r="W1188" s="204"/>
      <c r="X1188" s="207"/>
      <c r="Y1188" s="207"/>
      <c r="Z1188" s="204"/>
      <c r="AA1188" s="204"/>
      <c r="AB1188" s="204"/>
      <c r="AC1188" s="204"/>
    </row>
    <row r="1189" spans="1:29">
      <c r="A1189" s="204"/>
      <c r="B1189" s="204"/>
      <c r="C1189" s="204"/>
      <c r="D1189" s="204"/>
      <c r="E1189" s="204"/>
      <c r="F1189" s="204"/>
      <c r="G1189" s="204"/>
      <c r="H1189" s="204"/>
      <c r="I1189" s="204"/>
      <c r="J1189" s="204"/>
      <c r="K1189" s="204"/>
      <c r="L1189" s="205"/>
      <c r="M1189" s="205"/>
      <c r="N1189" s="204"/>
      <c r="O1189" s="204"/>
      <c r="P1189" s="206"/>
      <c r="Q1189" s="206"/>
      <c r="R1189" s="206"/>
      <c r="S1189" s="206"/>
      <c r="T1189" s="204"/>
      <c r="U1189" s="207"/>
      <c r="V1189" s="204"/>
      <c r="W1189" s="204"/>
      <c r="X1189" s="207"/>
      <c r="Y1189" s="207"/>
      <c r="Z1189" s="204"/>
      <c r="AA1189" s="204"/>
      <c r="AB1189" s="204"/>
      <c r="AC1189" s="204"/>
    </row>
    <row r="1190" spans="1:29">
      <c r="A1190" s="204"/>
      <c r="B1190" s="204"/>
      <c r="C1190" s="204"/>
      <c r="D1190" s="204"/>
      <c r="E1190" s="204"/>
      <c r="F1190" s="204"/>
      <c r="G1190" s="204"/>
      <c r="H1190" s="204"/>
      <c r="I1190" s="204"/>
      <c r="J1190" s="204"/>
      <c r="K1190" s="204"/>
      <c r="L1190" s="205"/>
      <c r="M1190" s="205"/>
      <c r="N1190" s="204"/>
      <c r="O1190" s="204"/>
      <c r="P1190" s="206"/>
      <c r="Q1190" s="206"/>
      <c r="R1190" s="206"/>
      <c r="S1190" s="206"/>
      <c r="T1190" s="204"/>
      <c r="U1190" s="207"/>
      <c r="V1190" s="204"/>
      <c r="W1190" s="204"/>
      <c r="X1190" s="207"/>
      <c r="Y1190" s="207"/>
      <c r="Z1190" s="204"/>
      <c r="AA1190" s="204"/>
      <c r="AB1190" s="204"/>
      <c r="AC1190" s="204"/>
    </row>
    <row r="1191" spans="1:29">
      <c r="A1191" s="204"/>
      <c r="B1191" s="204"/>
      <c r="C1191" s="204"/>
      <c r="D1191" s="204"/>
      <c r="E1191" s="204"/>
      <c r="F1191" s="204"/>
      <c r="G1191" s="204"/>
      <c r="H1191" s="204"/>
      <c r="I1191" s="204"/>
      <c r="J1191" s="204"/>
      <c r="K1191" s="204"/>
      <c r="L1191" s="205"/>
      <c r="M1191" s="205"/>
      <c r="N1191" s="204"/>
      <c r="O1191" s="204"/>
      <c r="P1191" s="206"/>
      <c r="Q1191" s="206"/>
      <c r="R1191" s="206"/>
      <c r="S1191" s="206"/>
      <c r="T1191" s="204"/>
      <c r="U1191" s="207"/>
      <c r="V1191" s="204"/>
      <c r="W1191" s="204"/>
      <c r="X1191" s="207"/>
      <c r="Y1191" s="207"/>
      <c r="Z1191" s="204"/>
      <c r="AA1191" s="204"/>
      <c r="AB1191" s="204"/>
      <c r="AC1191" s="204"/>
    </row>
    <row r="1192" spans="1:29">
      <c r="A1192" s="204"/>
      <c r="B1192" s="204"/>
      <c r="C1192" s="204"/>
      <c r="D1192" s="204"/>
      <c r="E1192" s="204"/>
      <c r="F1192" s="204"/>
      <c r="G1192" s="204"/>
      <c r="H1192" s="204"/>
      <c r="I1192" s="204"/>
      <c r="J1192" s="204"/>
      <c r="K1192" s="204"/>
      <c r="L1192" s="205"/>
      <c r="M1192" s="205"/>
      <c r="N1192" s="204"/>
      <c r="O1192" s="204"/>
      <c r="P1192" s="206"/>
      <c r="Q1192" s="206"/>
      <c r="R1192" s="206"/>
      <c r="S1192" s="206"/>
      <c r="T1192" s="204"/>
      <c r="U1192" s="207"/>
      <c r="V1192" s="204"/>
      <c r="W1192" s="204"/>
      <c r="X1192" s="207"/>
      <c r="Y1192" s="207"/>
      <c r="Z1192" s="204"/>
      <c r="AA1192" s="204"/>
      <c r="AB1192" s="204"/>
      <c r="AC1192" s="204"/>
    </row>
    <row r="1193" spans="1:29">
      <c r="A1193" s="204"/>
      <c r="B1193" s="204"/>
      <c r="C1193" s="204"/>
      <c r="D1193" s="204"/>
      <c r="E1193" s="204"/>
      <c r="F1193" s="204"/>
      <c r="G1193" s="204"/>
      <c r="H1193" s="204"/>
      <c r="I1193" s="204"/>
      <c r="J1193" s="204"/>
      <c r="K1193" s="204"/>
      <c r="L1193" s="205"/>
      <c r="M1193" s="205"/>
      <c r="N1193" s="204"/>
      <c r="O1193" s="204"/>
      <c r="P1193" s="206"/>
      <c r="Q1193" s="206"/>
      <c r="R1193" s="206"/>
      <c r="S1193" s="206"/>
      <c r="T1193" s="204"/>
      <c r="U1193" s="207"/>
      <c r="V1193" s="204"/>
      <c r="W1193" s="204"/>
      <c r="X1193" s="207"/>
      <c r="Y1193" s="207"/>
      <c r="Z1193" s="204"/>
      <c r="AA1193" s="204"/>
      <c r="AB1193" s="204"/>
      <c r="AC1193" s="204"/>
    </row>
    <row r="1194" spans="1:29">
      <c r="A1194" s="204"/>
      <c r="B1194" s="204"/>
      <c r="C1194" s="204"/>
      <c r="D1194" s="204"/>
      <c r="E1194" s="204"/>
      <c r="F1194" s="204"/>
      <c r="G1194" s="204"/>
      <c r="H1194" s="204"/>
      <c r="I1194" s="204"/>
      <c r="J1194" s="204"/>
      <c r="K1194" s="204"/>
      <c r="L1194" s="205"/>
      <c r="M1194" s="205"/>
      <c r="N1194" s="204"/>
      <c r="O1194" s="204"/>
      <c r="P1194" s="206"/>
      <c r="Q1194" s="206"/>
      <c r="R1194" s="206"/>
      <c r="S1194" s="206"/>
      <c r="T1194" s="204"/>
      <c r="U1194" s="207"/>
      <c r="V1194" s="204"/>
      <c r="W1194" s="204"/>
      <c r="X1194" s="207"/>
      <c r="Y1194" s="207"/>
      <c r="Z1194" s="204"/>
      <c r="AA1194" s="204"/>
      <c r="AB1194" s="204"/>
      <c r="AC1194" s="204"/>
    </row>
    <row r="1195" spans="1:29">
      <c r="A1195" s="204"/>
      <c r="B1195" s="204"/>
      <c r="C1195" s="204"/>
      <c r="D1195" s="204"/>
      <c r="E1195" s="204"/>
      <c r="F1195" s="204"/>
      <c r="G1195" s="204"/>
      <c r="H1195" s="204"/>
      <c r="I1195" s="204"/>
      <c r="J1195" s="204"/>
      <c r="K1195" s="204"/>
      <c r="L1195" s="205"/>
      <c r="M1195" s="205"/>
      <c r="N1195" s="204"/>
      <c r="O1195" s="204"/>
      <c r="P1195" s="206"/>
      <c r="Q1195" s="206"/>
      <c r="R1195" s="206"/>
      <c r="S1195" s="206"/>
      <c r="T1195" s="204"/>
      <c r="U1195" s="207"/>
      <c r="V1195" s="204"/>
      <c r="W1195" s="204"/>
      <c r="X1195" s="207"/>
      <c r="Y1195" s="207"/>
      <c r="Z1195" s="204"/>
      <c r="AA1195" s="204"/>
      <c r="AB1195" s="204"/>
      <c r="AC1195" s="204"/>
    </row>
    <row r="1196" spans="1:29">
      <c r="A1196" s="204"/>
      <c r="B1196" s="204"/>
      <c r="C1196" s="204"/>
      <c r="D1196" s="204"/>
      <c r="E1196" s="204"/>
      <c r="F1196" s="204"/>
      <c r="G1196" s="204"/>
      <c r="H1196" s="204"/>
      <c r="I1196" s="204"/>
      <c r="J1196" s="204"/>
      <c r="K1196" s="204"/>
      <c r="L1196" s="205"/>
      <c r="M1196" s="205"/>
      <c r="N1196" s="204"/>
      <c r="O1196" s="204"/>
      <c r="P1196" s="206"/>
      <c r="Q1196" s="206"/>
      <c r="R1196" s="206"/>
      <c r="S1196" s="206"/>
      <c r="T1196" s="204"/>
      <c r="U1196" s="207"/>
      <c r="V1196" s="204"/>
      <c r="W1196" s="204"/>
      <c r="X1196" s="207"/>
      <c r="Y1196" s="207"/>
      <c r="Z1196" s="204"/>
      <c r="AA1196" s="204"/>
      <c r="AB1196" s="204"/>
      <c r="AC1196" s="204"/>
    </row>
    <row r="1197" spans="1:29">
      <c r="A1197" s="204"/>
      <c r="B1197" s="204"/>
      <c r="C1197" s="204"/>
      <c r="D1197" s="204"/>
      <c r="E1197" s="204"/>
      <c r="F1197" s="204"/>
      <c r="G1197" s="204"/>
      <c r="H1197" s="204"/>
      <c r="I1197" s="204"/>
      <c r="J1197" s="204"/>
      <c r="K1197" s="204"/>
      <c r="L1197" s="205"/>
      <c r="M1197" s="205"/>
      <c r="N1197" s="204"/>
      <c r="O1197" s="204"/>
      <c r="P1197" s="206"/>
      <c r="Q1197" s="206"/>
      <c r="R1197" s="206"/>
      <c r="S1197" s="206"/>
      <c r="T1197" s="204"/>
      <c r="U1197" s="207"/>
      <c r="V1197" s="204"/>
      <c r="W1197" s="204"/>
      <c r="X1197" s="207"/>
      <c r="Y1197" s="207"/>
      <c r="Z1197" s="204"/>
      <c r="AA1197" s="204"/>
      <c r="AB1197" s="204"/>
      <c r="AC1197" s="204"/>
    </row>
    <row r="1198" spans="1:29">
      <c r="A1198" s="204"/>
      <c r="B1198" s="204"/>
      <c r="C1198" s="204"/>
      <c r="D1198" s="204"/>
      <c r="E1198" s="204"/>
      <c r="F1198" s="204"/>
      <c r="G1198" s="204"/>
      <c r="H1198" s="204"/>
      <c r="I1198" s="204"/>
      <c r="J1198" s="204"/>
      <c r="K1198" s="204"/>
      <c r="L1198" s="205"/>
      <c r="M1198" s="205"/>
      <c r="N1198" s="204"/>
      <c r="O1198" s="204"/>
      <c r="P1198" s="206"/>
      <c r="Q1198" s="206"/>
      <c r="R1198" s="206"/>
      <c r="S1198" s="206"/>
      <c r="T1198" s="204"/>
      <c r="U1198" s="207"/>
      <c r="V1198" s="204"/>
      <c r="W1198" s="204"/>
      <c r="X1198" s="207"/>
      <c r="Y1198" s="207"/>
      <c r="Z1198" s="204"/>
      <c r="AA1198" s="204"/>
      <c r="AB1198" s="204"/>
      <c r="AC1198" s="204"/>
    </row>
    <row r="1199" spans="1:29">
      <c r="A1199" s="204"/>
      <c r="B1199" s="204"/>
      <c r="C1199" s="204"/>
      <c r="D1199" s="204"/>
      <c r="E1199" s="204"/>
      <c r="F1199" s="204"/>
      <c r="G1199" s="204"/>
      <c r="H1199" s="204"/>
      <c r="I1199" s="204"/>
      <c r="J1199" s="204"/>
      <c r="K1199" s="204"/>
      <c r="L1199" s="205"/>
      <c r="M1199" s="205"/>
      <c r="N1199" s="204"/>
      <c r="O1199" s="204"/>
      <c r="P1199" s="206"/>
      <c r="Q1199" s="206"/>
      <c r="R1199" s="206"/>
      <c r="S1199" s="206"/>
      <c r="T1199" s="204"/>
      <c r="U1199" s="207"/>
      <c r="V1199" s="204"/>
      <c r="W1199" s="204"/>
      <c r="X1199" s="207"/>
      <c r="Y1199" s="207"/>
      <c r="Z1199" s="204"/>
      <c r="AA1199" s="204"/>
      <c r="AB1199" s="204"/>
      <c r="AC1199" s="204"/>
    </row>
    <row r="1200" spans="1:29">
      <c r="A1200" s="204"/>
      <c r="B1200" s="204"/>
      <c r="C1200" s="204"/>
      <c r="D1200" s="204"/>
      <c r="E1200" s="204"/>
      <c r="F1200" s="204"/>
      <c r="G1200" s="204"/>
      <c r="H1200" s="204"/>
      <c r="I1200" s="204"/>
      <c r="J1200" s="204"/>
      <c r="K1200" s="204"/>
      <c r="L1200" s="205"/>
      <c r="M1200" s="205"/>
      <c r="N1200" s="204"/>
      <c r="O1200" s="204"/>
      <c r="P1200" s="206"/>
      <c r="Q1200" s="206"/>
      <c r="R1200" s="206"/>
      <c r="S1200" s="206"/>
      <c r="T1200" s="204"/>
      <c r="U1200" s="207"/>
      <c r="V1200" s="204"/>
      <c r="W1200" s="204"/>
      <c r="X1200" s="207"/>
      <c r="Y1200" s="207"/>
      <c r="Z1200" s="204"/>
      <c r="AA1200" s="204"/>
      <c r="AB1200" s="204"/>
      <c r="AC1200" s="204"/>
    </row>
    <row r="1201" spans="1:29">
      <c r="A1201" s="204"/>
      <c r="B1201" s="204"/>
      <c r="C1201" s="204"/>
      <c r="D1201" s="204"/>
      <c r="E1201" s="204"/>
      <c r="F1201" s="204"/>
      <c r="G1201" s="204"/>
      <c r="H1201" s="204"/>
      <c r="I1201" s="204"/>
      <c r="J1201" s="204"/>
      <c r="K1201" s="204"/>
      <c r="L1201" s="205"/>
      <c r="M1201" s="205"/>
      <c r="N1201" s="204"/>
      <c r="O1201" s="204"/>
      <c r="P1201" s="206"/>
      <c r="Q1201" s="206"/>
      <c r="R1201" s="206"/>
      <c r="S1201" s="206"/>
      <c r="T1201" s="204"/>
      <c r="U1201" s="207"/>
      <c r="V1201" s="204"/>
      <c r="W1201" s="204"/>
      <c r="X1201" s="207"/>
      <c r="Y1201" s="207"/>
      <c r="Z1201" s="204"/>
      <c r="AA1201" s="204"/>
      <c r="AB1201" s="204"/>
      <c r="AC1201" s="204"/>
    </row>
    <row r="1202" spans="1:29">
      <c r="A1202" s="204"/>
      <c r="B1202" s="204"/>
      <c r="C1202" s="204"/>
      <c r="D1202" s="204"/>
      <c r="E1202" s="204"/>
      <c r="F1202" s="204"/>
      <c r="G1202" s="204"/>
      <c r="H1202" s="204"/>
      <c r="I1202" s="204"/>
      <c r="J1202" s="204"/>
      <c r="K1202" s="204"/>
      <c r="L1202" s="205"/>
      <c r="M1202" s="205"/>
      <c r="N1202" s="204"/>
      <c r="O1202" s="204"/>
      <c r="P1202" s="206"/>
      <c r="Q1202" s="206"/>
      <c r="R1202" s="206"/>
      <c r="S1202" s="206"/>
      <c r="T1202" s="204"/>
      <c r="U1202" s="207"/>
      <c r="V1202" s="204"/>
      <c r="W1202" s="204"/>
      <c r="X1202" s="207"/>
      <c r="Y1202" s="207"/>
      <c r="Z1202" s="204"/>
      <c r="AA1202" s="204"/>
      <c r="AB1202" s="204"/>
      <c r="AC1202" s="204"/>
    </row>
    <row r="1203" spans="1:29">
      <c r="A1203" s="204"/>
      <c r="B1203" s="204"/>
      <c r="C1203" s="204"/>
      <c r="D1203" s="204"/>
      <c r="E1203" s="204"/>
      <c r="F1203" s="204"/>
      <c r="G1203" s="204"/>
      <c r="H1203" s="204"/>
      <c r="I1203" s="204"/>
      <c r="J1203" s="204"/>
      <c r="K1203" s="204"/>
      <c r="L1203" s="205"/>
      <c r="M1203" s="205"/>
      <c r="N1203" s="204"/>
      <c r="O1203" s="204"/>
      <c r="P1203" s="206"/>
      <c r="Q1203" s="206"/>
      <c r="R1203" s="206"/>
      <c r="S1203" s="206"/>
      <c r="T1203" s="204"/>
      <c r="U1203" s="207"/>
      <c r="V1203" s="204"/>
      <c r="W1203" s="204"/>
      <c r="X1203" s="207"/>
      <c r="Y1203" s="207"/>
      <c r="Z1203" s="204"/>
      <c r="AA1203" s="204"/>
      <c r="AB1203" s="204"/>
      <c r="AC1203" s="204"/>
    </row>
    <row r="1204" spans="1:29">
      <c r="A1204" s="204"/>
      <c r="B1204" s="204"/>
      <c r="C1204" s="204"/>
      <c r="D1204" s="204"/>
      <c r="E1204" s="204"/>
      <c r="F1204" s="204"/>
      <c r="G1204" s="204"/>
      <c r="H1204" s="204"/>
      <c r="I1204" s="204"/>
      <c r="J1204" s="204"/>
      <c r="K1204" s="204"/>
      <c r="L1204" s="205"/>
      <c r="M1204" s="205"/>
      <c r="N1204" s="204"/>
      <c r="O1204" s="204"/>
      <c r="P1204" s="206"/>
      <c r="Q1204" s="206"/>
      <c r="R1204" s="206"/>
      <c r="S1204" s="206"/>
      <c r="T1204" s="204"/>
      <c r="U1204" s="207"/>
      <c r="V1204" s="204"/>
      <c r="W1204" s="204"/>
      <c r="X1204" s="207"/>
      <c r="Y1204" s="207"/>
      <c r="Z1204" s="204"/>
      <c r="AA1204" s="204"/>
      <c r="AB1204" s="204"/>
      <c r="AC1204" s="204"/>
    </row>
    <row r="1205" spans="1:29">
      <c r="A1205" s="204"/>
      <c r="B1205" s="204"/>
      <c r="C1205" s="204"/>
      <c r="D1205" s="204"/>
      <c r="E1205" s="204"/>
      <c r="F1205" s="204"/>
      <c r="G1205" s="204"/>
      <c r="H1205" s="204"/>
      <c r="I1205" s="204"/>
      <c r="J1205" s="204"/>
      <c r="K1205" s="204"/>
      <c r="L1205" s="205"/>
      <c r="M1205" s="205"/>
      <c r="N1205" s="204"/>
      <c r="O1205" s="204"/>
      <c r="P1205" s="206"/>
      <c r="Q1205" s="206"/>
      <c r="R1205" s="206"/>
      <c r="S1205" s="206"/>
      <c r="T1205" s="204"/>
      <c r="U1205" s="207"/>
      <c r="V1205" s="204"/>
      <c r="W1205" s="204"/>
      <c r="X1205" s="207"/>
      <c r="Y1205" s="207"/>
      <c r="Z1205" s="204"/>
      <c r="AA1205" s="204"/>
      <c r="AB1205" s="204"/>
      <c r="AC1205" s="204"/>
    </row>
    <row r="1206" spans="1:29">
      <c r="A1206" s="204"/>
      <c r="B1206" s="204"/>
      <c r="C1206" s="204"/>
      <c r="D1206" s="204"/>
      <c r="E1206" s="204"/>
      <c r="F1206" s="204"/>
      <c r="G1206" s="204"/>
      <c r="H1206" s="204"/>
      <c r="I1206" s="204"/>
      <c r="J1206" s="204"/>
      <c r="K1206" s="204"/>
      <c r="L1206" s="205"/>
      <c r="M1206" s="205"/>
      <c r="N1206" s="204"/>
      <c r="O1206" s="204"/>
      <c r="P1206" s="206"/>
      <c r="Q1206" s="206"/>
      <c r="R1206" s="206"/>
      <c r="S1206" s="206"/>
      <c r="T1206" s="204"/>
      <c r="U1206" s="207"/>
      <c r="V1206" s="204"/>
      <c r="W1206" s="204"/>
      <c r="X1206" s="207"/>
      <c r="Y1206" s="207"/>
      <c r="Z1206" s="204"/>
      <c r="AA1206" s="204"/>
      <c r="AB1206" s="204"/>
      <c r="AC1206" s="204"/>
    </row>
    <row r="1207" spans="1:29">
      <c r="A1207" s="204"/>
      <c r="B1207" s="204"/>
      <c r="C1207" s="204"/>
      <c r="D1207" s="204"/>
      <c r="E1207" s="204"/>
      <c r="F1207" s="204"/>
      <c r="G1207" s="204"/>
      <c r="H1207" s="204"/>
      <c r="I1207" s="204"/>
      <c r="J1207" s="204"/>
      <c r="K1207" s="204"/>
      <c r="L1207" s="205"/>
      <c r="M1207" s="205"/>
      <c r="N1207" s="204"/>
      <c r="O1207" s="204"/>
      <c r="P1207" s="206"/>
      <c r="Q1207" s="206"/>
      <c r="R1207" s="206"/>
      <c r="S1207" s="206"/>
      <c r="T1207" s="204"/>
      <c r="U1207" s="207"/>
      <c r="V1207" s="204"/>
      <c r="W1207" s="204"/>
      <c r="X1207" s="207"/>
      <c r="Y1207" s="207"/>
      <c r="Z1207" s="204"/>
      <c r="AA1207" s="204"/>
      <c r="AB1207" s="204"/>
      <c r="AC1207" s="204"/>
    </row>
    <row r="1208" spans="1:29">
      <c r="A1208" s="204"/>
      <c r="B1208" s="204"/>
      <c r="C1208" s="204"/>
      <c r="D1208" s="204"/>
      <c r="E1208" s="204"/>
      <c r="F1208" s="204"/>
      <c r="G1208" s="204"/>
      <c r="H1208" s="204"/>
      <c r="I1208" s="204"/>
      <c r="J1208" s="204"/>
      <c r="K1208" s="204"/>
      <c r="L1208" s="205"/>
      <c r="M1208" s="205"/>
      <c r="N1208" s="204"/>
      <c r="O1208" s="204"/>
      <c r="P1208" s="206"/>
      <c r="Q1208" s="206"/>
      <c r="R1208" s="206"/>
      <c r="S1208" s="206"/>
      <c r="T1208" s="204"/>
      <c r="U1208" s="207"/>
      <c r="V1208" s="204"/>
      <c r="W1208" s="204"/>
      <c r="X1208" s="207"/>
      <c r="Y1208" s="207"/>
      <c r="Z1208" s="204"/>
      <c r="AA1208" s="204"/>
      <c r="AB1208" s="204"/>
      <c r="AC1208" s="204"/>
    </row>
    <row r="1209" spans="1:29">
      <c r="A1209" s="204"/>
      <c r="B1209" s="204"/>
      <c r="C1209" s="204"/>
      <c r="D1209" s="204"/>
      <c r="E1209" s="204"/>
      <c r="F1209" s="204"/>
      <c r="G1209" s="204"/>
      <c r="H1209" s="204"/>
      <c r="I1209" s="204"/>
      <c r="J1209" s="204"/>
      <c r="K1209" s="204"/>
      <c r="L1209" s="205"/>
      <c r="M1209" s="205"/>
      <c r="N1209" s="204"/>
      <c r="O1209" s="204"/>
      <c r="P1209" s="206"/>
      <c r="Q1209" s="206"/>
      <c r="R1209" s="206"/>
      <c r="S1209" s="206"/>
      <c r="T1209" s="204"/>
      <c r="U1209" s="207"/>
      <c r="V1209" s="204"/>
      <c r="W1209" s="204"/>
      <c r="X1209" s="207"/>
      <c r="Y1209" s="207"/>
      <c r="Z1209" s="204"/>
      <c r="AA1209" s="204"/>
      <c r="AB1209" s="204"/>
      <c r="AC1209" s="204"/>
    </row>
    <row r="1210" spans="1:29">
      <c r="A1210" s="204"/>
      <c r="B1210" s="204"/>
      <c r="C1210" s="204"/>
      <c r="D1210" s="204"/>
      <c r="E1210" s="204"/>
      <c r="F1210" s="204"/>
      <c r="G1210" s="204"/>
      <c r="H1210" s="204"/>
      <c r="I1210" s="204"/>
      <c r="J1210" s="204"/>
      <c r="K1210" s="204"/>
      <c r="L1210" s="205"/>
      <c r="M1210" s="205"/>
      <c r="N1210" s="204"/>
      <c r="O1210" s="204"/>
      <c r="P1210" s="206"/>
      <c r="Q1210" s="206"/>
      <c r="R1210" s="206"/>
      <c r="S1210" s="206"/>
      <c r="T1210" s="204"/>
      <c r="U1210" s="207"/>
      <c r="V1210" s="204"/>
      <c r="W1210" s="204"/>
      <c r="X1210" s="207"/>
      <c r="Y1210" s="207"/>
      <c r="Z1210" s="204"/>
      <c r="AA1210" s="204"/>
      <c r="AB1210" s="204"/>
      <c r="AC1210" s="204"/>
    </row>
    <row r="1211" spans="1:29">
      <c r="A1211" s="204"/>
      <c r="B1211" s="204"/>
      <c r="C1211" s="204"/>
      <c r="D1211" s="204"/>
      <c r="E1211" s="204"/>
      <c r="F1211" s="204"/>
      <c r="G1211" s="204"/>
      <c r="H1211" s="204"/>
      <c r="I1211" s="204"/>
      <c r="J1211" s="204"/>
      <c r="K1211" s="204"/>
      <c r="L1211" s="205"/>
      <c r="M1211" s="205"/>
      <c r="N1211" s="204"/>
      <c r="O1211" s="204"/>
      <c r="P1211" s="206"/>
      <c r="Q1211" s="206"/>
      <c r="R1211" s="206"/>
      <c r="S1211" s="206"/>
      <c r="T1211" s="204"/>
      <c r="U1211" s="207"/>
      <c r="V1211" s="204"/>
      <c r="W1211" s="204"/>
      <c r="X1211" s="207"/>
      <c r="Y1211" s="207"/>
      <c r="Z1211" s="204"/>
      <c r="AA1211" s="204"/>
      <c r="AB1211" s="204"/>
      <c r="AC1211" s="204"/>
    </row>
    <row r="1212" spans="1:29">
      <c r="A1212" s="204"/>
      <c r="B1212" s="204"/>
      <c r="C1212" s="204"/>
      <c r="D1212" s="204"/>
      <c r="E1212" s="204"/>
      <c r="F1212" s="204"/>
      <c r="G1212" s="204"/>
      <c r="H1212" s="204"/>
      <c r="I1212" s="204"/>
      <c r="J1212" s="204"/>
      <c r="K1212" s="204"/>
      <c r="L1212" s="205"/>
      <c r="M1212" s="205"/>
      <c r="N1212" s="204"/>
      <c r="O1212" s="204"/>
      <c r="P1212" s="206"/>
      <c r="Q1212" s="206"/>
      <c r="R1212" s="206"/>
      <c r="S1212" s="206"/>
      <c r="T1212" s="204"/>
      <c r="U1212" s="207"/>
      <c r="V1212" s="204"/>
      <c r="W1212" s="204"/>
      <c r="X1212" s="207"/>
      <c r="Y1212" s="207"/>
      <c r="Z1212" s="204"/>
      <c r="AA1212" s="204"/>
      <c r="AB1212" s="204"/>
      <c r="AC1212" s="204"/>
    </row>
    <row r="1213" spans="1:29">
      <c r="A1213" s="204"/>
      <c r="B1213" s="204"/>
      <c r="C1213" s="204"/>
      <c r="D1213" s="204"/>
      <c r="E1213" s="204"/>
      <c r="F1213" s="204"/>
      <c r="G1213" s="204"/>
      <c r="H1213" s="204"/>
      <c r="I1213" s="204"/>
      <c r="J1213" s="204"/>
      <c r="K1213" s="204"/>
      <c r="L1213" s="205"/>
      <c r="M1213" s="205"/>
      <c r="N1213" s="204"/>
      <c r="O1213" s="204"/>
      <c r="P1213" s="206"/>
      <c r="Q1213" s="206"/>
      <c r="R1213" s="206"/>
      <c r="S1213" s="206"/>
      <c r="T1213" s="204"/>
      <c r="U1213" s="207"/>
      <c r="V1213" s="204"/>
      <c r="W1213" s="204"/>
      <c r="X1213" s="207"/>
      <c r="Y1213" s="207"/>
      <c r="Z1213" s="204"/>
      <c r="AA1213" s="204"/>
      <c r="AB1213" s="204"/>
      <c r="AC1213" s="204"/>
    </row>
    <row r="1214" spans="1:29">
      <c r="A1214" s="204"/>
      <c r="B1214" s="204"/>
      <c r="C1214" s="204"/>
      <c r="D1214" s="204"/>
      <c r="E1214" s="204"/>
      <c r="F1214" s="204"/>
      <c r="G1214" s="204"/>
      <c r="H1214" s="204"/>
      <c r="I1214" s="204"/>
      <c r="J1214" s="204"/>
      <c r="K1214" s="204"/>
      <c r="L1214" s="205"/>
      <c r="M1214" s="205"/>
      <c r="N1214" s="204"/>
      <c r="O1214" s="204"/>
      <c r="P1214" s="206"/>
      <c r="Q1214" s="206"/>
      <c r="R1214" s="206"/>
      <c r="S1214" s="206"/>
      <c r="T1214" s="204"/>
      <c r="U1214" s="207"/>
      <c r="V1214" s="204"/>
      <c r="W1214" s="204"/>
      <c r="X1214" s="207"/>
      <c r="Y1214" s="207"/>
      <c r="Z1214" s="204"/>
      <c r="AA1214" s="204"/>
      <c r="AB1214" s="204"/>
      <c r="AC1214" s="204"/>
    </row>
    <row r="1215" spans="1:29">
      <c r="A1215" s="204"/>
      <c r="B1215" s="204"/>
      <c r="C1215" s="204"/>
      <c r="D1215" s="204"/>
      <c r="E1215" s="204"/>
      <c r="F1215" s="204"/>
      <c r="G1215" s="204"/>
      <c r="H1215" s="204"/>
      <c r="I1215" s="204"/>
      <c r="J1215" s="204"/>
      <c r="K1215" s="204"/>
      <c r="L1215" s="205"/>
      <c r="M1215" s="205"/>
      <c r="N1215" s="204"/>
      <c r="O1215" s="204"/>
      <c r="P1215" s="206"/>
      <c r="Q1215" s="206"/>
      <c r="R1215" s="206"/>
      <c r="S1215" s="206"/>
      <c r="T1215" s="204"/>
      <c r="U1215" s="207"/>
      <c r="V1215" s="204"/>
      <c r="W1215" s="204"/>
      <c r="X1215" s="207"/>
      <c r="Y1215" s="207"/>
      <c r="Z1215" s="204"/>
      <c r="AA1215" s="204"/>
      <c r="AB1215" s="204"/>
      <c r="AC1215" s="204"/>
    </row>
    <row r="1216" spans="1:29">
      <c r="A1216" s="204"/>
      <c r="B1216" s="204"/>
      <c r="C1216" s="204"/>
      <c r="D1216" s="204"/>
      <c r="E1216" s="204"/>
      <c r="F1216" s="204"/>
      <c r="G1216" s="204"/>
      <c r="H1216" s="204"/>
      <c r="I1216" s="204"/>
      <c r="J1216" s="204"/>
      <c r="K1216" s="204"/>
      <c r="L1216" s="205"/>
      <c r="M1216" s="205"/>
      <c r="N1216" s="204"/>
      <c r="O1216" s="204"/>
      <c r="P1216" s="206"/>
      <c r="Q1216" s="206"/>
      <c r="R1216" s="206"/>
      <c r="S1216" s="206"/>
      <c r="T1216" s="204"/>
      <c r="U1216" s="207"/>
      <c r="V1216" s="204"/>
      <c r="W1216" s="204"/>
      <c r="X1216" s="207"/>
      <c r="Y1216" s="207"/>
      <c r="Z1216" s="204"/>
      <c r="AA1216" s="204"/>
      <c r="AB1216" s="204"/>
      <c r="AC1216" s="204"/>
    </row>
    <row r="1217" spans="1:29">
      <c r="A1217" s="204"/>
      <c r="B1217" s="204"/>
      <c r="C1217" s="204"/>
      <c r="D1217" s="204"/>
      <c r="E1217" s="204"/>
      <c r="F1217" s="204"/>
      <c r="G1217" s="204"/>
      <c r="H1217" s="204"/>
      <c r="I1217" s="204"/>
      <c r="J1217" s="204"/>
      <c r="K1217" s="204"/>
      <c r="L1217" s="205"/>
      <c r="M1217" s="205"/>
      <c r="N1217" s="204"/>
      <c r="O1217" s="204"/>
      <c r="P1217" s="206"/>
      <c r="Q1217" s="206"/>
      <c r="R1217" s="206"/>
      <c r="S1217" s="206"/>
      <c r="T1217" s="204"/>
      <c r="U1217" s="207"/>
      <c r="V1217" s="204"/>
      <c r="W1217" s="204"/>
      <c r="X1217" s="207"/>
      <c r="Y1217" s="207"/>
      <c r="Z1217" s="204"/>
      <c r="AA1217" s="204"/>
      <c r="AB1217" s="204"/>
      <c r="AC1217" s="204"/>
    </row>
    <row r="1218" spans="1:29">
      <c r="A1218" s="204"/>
      <c r="B1218" s="204"/>
      <c r="C1218" s="204"/>
      <c r="D1218" s="204"/>
      <c r="E1218" s="204"/>
      <c r="F1218" s="204"/>
      <c r="G1218" s="204"/>
      <c r="H1218" s="204"/>
      <c r="I1218" s="204"/>
      <c r="J1218" s="204"/>
      <c r="K1218" s="204"/>
      <c r="L1218" s="205"/>
      <c r="M1218" s="205"/>
      <c r="N1218" s="204"/>
      <c r="O1218" s="204"/>
      <c r="P1218" s="206"/>
      <c r="Q1218" s="206"/>
      <c r="R1218" s="206"/>
      <c r="S1218" s="206"/>
      <c r="T1218" s="204"/>
      <c r="U1218" s="207"/>
      <c r="V1218" s="204"/>
      <c r="W1218" s="204"/>
      <c r="X1218" s="207"/>
      <c r="Y1218" s="207"/>
      <c r="Z1218" s="204"/>
      <c r="AA1218" s="204"/>
      <c r="AB1218" s="204"/>
      <c r="AC1218" s="204"/>
    </row>
    <row r="1219" spans="1:29">
      <c r="A1219" s="204"/>
      <c r="B1219" s="204"/>
      <c r="C1219" s="204"/>
      <c r="D1219" s="204"/>
      <c r="E1219" s="204"/>
      <c r="F1219" s="204"/>
      <c r="G1219" s="204"/>
      <c r="H1219" s="204"/>
      <c r="I1219" s="204"/>
      <c r="J1219" s="204"/>
      <c r="K1219" s="204"/>
      <c r="L1219" s="205"/>
      <c r="M1219" s="205"/>
      <c r="N1219" s="204"/>
      <c r="O1219" s="204"/>
      <c r="P1219" s="206"/>
      <c r="Q1219" s="206"/>
      <c r="R1219" s="206"/>
      <c r="S1219" s="206"/>
      <c r="T1219" s="204"/>
      <c r="U1219" s="207"/>
      <c r="V1219" s="204"/>
      <c r="W1219" s="204"/>
      <c r="X1219" s="207"/>
      <c r="Y1219" s="207"/>
      <c r="Z1219" s="204"/>
      <c r="AA1219" s="204"/>
      <c r="AB1219" s="204"/>
      <c r="AC1219" s="204"/>
    </row>
    <row r="1220" spans="1:29">
      <c r="A1220" s="204"/>
      <c r="B1220" s="204"/>
      <c r="C1220" s="204"/>
      <c r="D1220" s="204"/>
      <c r="E1220" s="204"/>
      <c r="F1220" s="204"/>
      <c r="G1220" s="204"/>
      <c r="H1220" s="204"/>
      <c r="I1220" s="204"/>
      <c r="J1220" s="204"/>
      <c r="K1220" s="204"/>
      <c r="L1220" s="205"/>
      <c r="M1220" s="205"/>
      <c r="N1220" s="204"/>
      <c r="O1220" s="204"/>
      <c r="P1220" s="206"/>
      <c r="Q1220" s="206"/>
      <c r="R1220" s="206"/>
      <c r="S1220" s="206"/>
      <c r="T1220" s="204"/>
      <c r="U1220" s="207"/>
      <c r="V1220" s="204"/>
      <c r="W1220" s="204"/>
      <c r="X1220" s="207"/>
      <c r="Y1220" s="207"/>
      <c r="Z1220" s="204"/>
      <c r="AA1220" s="204"/>
      <c r="AB1220" s="204"/>
      <c r="AC1220" s="204"/>
    </row>
    <row r="1221" spans="1:29">
      <c r="A1221" s="204"/>
      <c r="B1221" s="204"/>
      <c r="C1221" s="204"/>
      <c r="D1221" s="204"/>
      <c r="E1221" s="204"/>
      <c r="F1221" s="204"/>
      <c r="G1221" s="204"/>
      <c r="H1221" s="204"/>
      <c r="I1221" s="204"/>
      <c r="J1221" s="204"/>
      <c r="K1221" s="204"/>
      <c r="L1221" s="205"/>
      <c r="M1221" s="205"/>
      <c r="N1221" s="204"/>
      <c r="O1221" s="204"/>
      <c r="P1221" s="206"/>
      <c r="Q1221" s="206"/>
      <c r="R1221" s="206"/>
      <c r="S1221" s="206"/>
      <c r="T1221" s="204"/>
      <c r="U1221" s="207"/>
      <c r="V1221" s="204"/>
      <c r="W1221" s="204"/>
      <c r="X1221" s="207"/>
      <c r="Y1221" s="207"/>
      <c r="Z1221" s="204"/>
      <c r="AA1221" s="204"/>
      <c r="AB1221" s="204"/>
      <c r="AC1221" s="204"/>
    </row>
    <row r="1222" spans="1:29">
      <c r="A1222" s="204"/>
      <c r="B1222" s="204"/>
      <c r="C1222" s="204"/>
      <c r="D1222" s="204"/>
      <c r="E1222" s="204"/>
      <c r="F1222" s="204"/>
      <c r="G1222" s="204"/>
      <c r="H1222" s="204"/>
      <c r="I1222" s="204"/>
      <c r="J1222" s="204"/>
      <c r="K1222" s="204"/>
      <c r="L1222" s="205"/>
      <c r="M1222" s="205"/>
      <c r="N1222" s="204"/>
      <c r="O1222" s="204"/>
      <c r="P1222" s="206"/>
      <c r="Q1222" s="206"/>
      <c r="R1222" s="206"/>
      <c r="S1222" s="206"/>
      <c r="T1222" s="204"/>
      <c r="U1222" s="207"/>
      <c r="V1222" s="204"/>
      <c r="W1222" s="204"/>
      <c r="X1222" s="207"/>
      <c r="Y1222" s="207"/>
      <c r="Z1222" s="204"/>
      <c r="AA1222" s="204"/>
      <c r="AB1222" s="204"/>
      <c r="AC1222" s="204"/>
    </row>
    <row r="1223" spans="1:29">
      <c r="A1223" s="204"/>
      <c r="B1223" s="204"/>
      <c r="C1223" s="204"/>
      <c r="D1223" s="204"/>
      <c r="E1223" s="204"/>
      <c r="F1223" s="204"/>
      <c r="G1223" s="204"/>
      <c r="H1223" s="204"/>
      <c r="I1223" s="204"/>
      <c r="J1223" s="204"/>
      <c r="K1223" s="204"/>
      <c r="L1223" s="205"/>
      <c r="M1223" s="205"/>
      <c r="N1223" s="204"/>
      <c r="O1223" s="204"/>
      <c r="P1223" s="206"/>
      <c r="Q1223" s="206"/>
      <c r="R1223" s="206"/>
      <c r="S1223" s="206"/>
      <c r="T1223" s="204"/>
      <c r="U1223" s="207"/>
      <c r="V1223" s="204"/>
      <c r="W1223" s="204"/>
      <c r="X1223" s="207"/>
      <c r="Y1223" s="207"/>
      <c r="Z1223" s="204"/>
      <c r="AA1223" s="204"/>
      <c r="AB1223" s="204"/>
      <c r="AC1223" s="204"/>
    </row>
    <row r="1224" spans="1:29">
      <c r="A1224" s="204"/>
      <c r="B1224" s="204"/>
      <c r="C1224" s="204"/>
      <c r="D1224" s="204"/>
      <c r="E1224" s="204"/>
      <c r="F1224" s="204"/>
      <c r="G1224" s="204"/>
      <c r="H1224" s="204"/>
      <c r="I1224" s="204"/>
      <c r="J1224" s="204"/>
      <c r="K1224" s="204"/>
      <c r="L1224" s="205"/>
      <c r="M1224" s="205"/>
      <c r="N1224" s="204"/>
      <c r="O1224" s="204"/>
      <c r="P1224" s="206"/>
      <c r="Q1224" s="206"/>
      <c r="R1224" s="206"/>
      <c r="S1224" s="206"/>
      <c r="T1224" s="204"/>
      <c r="U1224" s="207"/>
      <c r="V1224" s="204"/>
      <c r="W1224" s="204"/>
      <c r="X1224" s="207"/>
      <c r="Y1224" s="207"/>
      <c r="Z1224" s="204"/>
      <c r="AA1224" s="204"/>
      <c r="AB1224" s="204"/>
      <c r="AC1224" s="204"/>
    </row>
    <row r="1225" spans="1:29">
      <c r="A1225" s="204"/>
      <c r="B1225" s="204"/>
      <c r="C1225" s="204"/>
      <c r="D1225" s="204"/>
      <c r="E1225" s="204"/>
      <c r="F1225" s="204"/>
      <c r="G1225" s="204"/>
      <c r="H1225" s="204"/>
      <c r="I1225" s="204"/>
      <c r="J1225" s="204"/>
      <c r="K1225" s="204"/>
      <c r="L1225" s="205"/>
      <c r="M1225" s="205"/>
      <c r="N1225" s="204"/>
      <c r="O1225" s="204"/>
      <c r="P1225" s="206"/>
      <c r="Q1225" s="206"/>
      <c r="R1225" s="206"/>
      <c r="S1225" s="206"/>
      <c r="T1225" s="204"/>
      <c r="U1225" s="207"/>
      <c r="V1225" s="204"/>
      <c r="W1225" s="204"/>
      <c r="X1225" s="207"/>
      <c r="Y1225" s="207"/>
      <c r="Z1225" s="204"/>
      <c r="AA1225" s="204"/>
      <c r="AB1225" s="204"/>
      <c r="AC1225" s="204"/>
    </row>
    <row r="1226" spans="1:29">
      <c r="A1226" s="204"/>
      <c r="B1226" s="204"/>
      <c r="C1226" s="204"/>
      <c r="D1226" s="204"/>
      <c r="E1226" s="204"/>
      <c r="F1226" s="204"/>
      <c r="G1226" s="204"/>
      <c r="H1226" s="204"/>
      <c r="I1226" s="204"/>
      <c r="J1226" s="204"/>
      <c r="K1226" s="204"/>
      <c r="L1226" s="205"/>
      <c r="M1226" s="205"/>
      <c r="N1226" s="204"/>
      <c r="O1226" s="204"/>
      <c r="P1226" s="206"/>
      <c r="Q1226" s="206"/>
      <c r="R1226" s="206"/>
      <c r="S1226" s="206"/>
      <c r="T1226" s="204"/>
      <c r="U1226" s="207"/>
      <c r="V1226" s="204"/>
      <c r="W1226" s="204"/>
      <c r="X1226" s="207"/>
      <c r="Y1226" s="207"/>
      <c r="Z1226" s="204"/>
      <c r="AA1226" s="204"/>
      <c r="AB1226" s="204"/>
      <c r="AC1226" s="204"/>
    </row>
    <row r="1227" spans="1:29">
      <c r="A1227" s="204"/>
      <c r="B1227" s="204"/>
      <c r="C1227" s="204"/>
      <c r="D1227" s="204"/>
      <c r="E1227" s="204"/>
      <c r="F1227" s="204"/>
      <c r="G1227" s="204"/>
      <c r="H1227" s="204"/>
      <c r="I1227" s="204"/>
      <c r="J1227" s="204"/>
      <c r="K1227" s="204"/>
      <c r="L1227" s="205"/>
      <c r="M1227" s="205"/>
      <c r="N1227" s="204"/>
      <c r="O1227" s="204"/>
      <c r="P1227" s="206"/>
      <c r="Q1227" s="206"/>
      <c r="R1227" s="206"/>
      <c r="S1227" s="206"/>
      <c r="T1227" s="204"/>
      <c r="U1227" s="207"/>
      <c r="V1227" s="204"/>
      <c r="W1227" s="204"/>
      <c r="X1227" s="207"/>
      <c r="Y1227" s="207"/>
      <c r="Z1227" s="204"/>
      <c r="AA1227" s="204"/>
      <c r="AB1227" s="204"/>
      <c r="AC1227" s="204"/>
    </row>
    <row r="1228" spans="1:29">
      <c r="A1228" s="204"/>
      <c r="B1228" s="204"/>
      <c r="C1228" s="204"/>
      <c r="D1228" s="204"/>
      <c r="E1228" s="204"/>
      <c r="F1228" s="204"/>
      <c r="G1228" s="204"/>
      <c r="H1228" s="204"/>
      <c r="I1228" s="204"/>
      <c r="J1228" s="204"/>
      <c r="K1228" s="204"/>
      <c r="L1228" s="205"/>
      <c r="M1228" s="205"/>
      <c r="N1228" s="204"/>
      <c r="O1228" s="204"/>
      <c r="P1228" s="206"/>
      <c r="Q1228" s="206"/>
      <c r="R1228" s="206"/>
      <c r="S1228" s="206"/>
      <c r="T1228" s="204"/>
      <c r="U1228" s="207"/>
      <c r="V1228" s="204"/>
      <c r="W1228" s="204"/>
      <c r="X1228" s="207"/>
      <c r="Y1228" s="207"/>
      <c r="Z1228" s="204"/>
      <c r="AA1228" s="204"/>
      <c r="AB1228" s="204"/>
      <c r="AC1228" s="204"/>
    </row>
    <row r="1229" spans="1:29">
      <c r="A1229" s="204"/>
      <c r="B1229" s="204"/>
      <c r="C1229" s="204"/>
      <c r="D1229" s="204"/>
      <c r="E1229" s="204"/>
      <c r="F1229" s="204"/>
      <c r="G1229" s="204"/>
      <c r="H1229" s="204"/>
      <c r="I1229" s="204"/>
      <c r="J1229" s="204"/>
      <c r="K1229" s="204"/>
      <c r="L1229" s="205"/>
      <c r="M1229" s="205"/>
      <c r="N1229" s="204"/>
      <c r="O1229" s="204"/>
      <c r="P1229" s="206"/>
      <c r="Q1229" s="206"/>
      <c r="R1229" s="206"/>
      <c r="S1229" s="206"/>
      <c r="T1229" s="204"/>
      <c r="U1229" s="207"/>
      <c r="V1229" s="204"/>
      <c r="W1229" s="204"/>
      <c r="X1229" s="207"/>
      <c r="Y1229" s="207"/>
      <c r="Z1229" s="204"/>
      <c r="AA1229" s="204"/>
      <c r="AB1229" s="204"/>
      <c r="AC1229" s="204"/>
    </row>
    <row r="1230" spans="1:29">
      <c r="A1230" s="204"/>
      <c r="B1230" s="204"/>
      <c r="C1230" s="204"/>
      <c r="D1230" s="204"/>
      <c r="E1230" s="204"/>
      <c r="F1230" s="204"/>
      <c r="G1230" s="204"/>
      <c r="H1230" s="204"/>
      <c r="I1230" s="204"/>
      <c r="J1230" s="204"/>
      <c r="K1230" s="204"/>
      <c r="L1230" s="205"/>
      <c r="M1230" s="205"/>
      <c r="N1230" s="204"/>
      <c r="O1230" s="204"/>
      <c r="P1230" s="206"/>
      <c r="Q1230" s="206"/>
      <c r="R1230" s="206"/>
      <c r="S1230" s="206"/>
      <c r="T1230" s="204"/>
      <c r="U1230" s="207"/>
      <c r="V1230" s="204"/>
      <c r="W1230" s="204"/>
      <c r="X1230" s="207"/>
      <c r="Y1230" s="207"/>
      <c r="Z1230" s="204"/>
      <c r="AA1230" s="204"/>
      <c r="AB1230" s="204"/>
      <c r="AC1230" s="204"/>
    </row>
    <row r="1231" spans="1:29">
      <c r="A1231" s="204"/>
      <c r="B1231" s="204"/>
      <c r="C1231" s="204"/>
      <c r="D1231" s="204"/>
      <c r="E1231" s="204"/>
      <c r="F1231" s="204"/>
      <c r="G1231" s="204"/>
      <c r="H1231" s="204"/>
      <c r="I1231" s="204"/>
      <c r="J1231" s="204"/>
      <c r="K1231" s="204"/>
      <c r="L1231" s="205"/>
      <c r="M1231" s="205"/>
      <c r="N1231" s="204"/>
      <c r="O1231" s="204"/>
      <c r="P1231" s="206"/>
      <c r="Q1231" s="206"/>
      <c r="R1231" s="206"/>
      <c r="S1231" s="206"/>
      <c r="T1231" s="204"/>
      <c r="U1231" s="207"/>
      <c r="V1231" s="204"/>
      <c r="W1231" s="204"/>
      <c r="X1231" s="207"/>
      <c r="Y1231" s="207"/>
      <c r="Z1231" s="204"/>
      <c r="AA1231" s="204"/>
      <c r="AB1231" s="204"/>
      <c r="AC1231" s="204"/>
    </row>
    <row r="1232" spans="1:29">
      <c r="A1232" s="204"/>
      <c r="B1232" s="204"/>
      <c r="C1232" s="204"/>
      <c r="D1232" s="204"/>
      <c r="E1232" s="204"/>
      <c r="F1232" s="204"/>
      <c r="G1232" s="204"/>
      <c r="H1232" s="204"/>
      <c r="I1232" s="204"/>
      <c r="J1232" s="204"/>
      <c r="K1232" s="204"/>
      <c r="L1232" s="205"/>
      <c r="M1232" s="205"/>
      <c r="N1232" s="204"/>
      <c r="O1232" s="204"/>
      <c r="P1232" s="206"/>
      <c r="Q1232" s="206"/>
      <c r="R1232" s="206"/>
      <c r="S1232" s="206"/>
      <c r="T1232" s="204"/>
      <c r="U1232" s="207"/>
      <c r="V1232" s="204"/>
      <c r="W1232" s="204"/>
      <c r="X1232" s="207"/>
      <c r="Y1232" s="207"/>
      <c r="Z1232" s="204"/>
      <c r="AA1232" s="204"/>
      <c r="AB1232" s="204"/>
      <c r="AC1232" s="204"/>
    </row>
    <row r="1233" spans="1:29">
      <c r="A1233" s="204"/>
      <c r="B1233" s="204"/>
      <c r="C1233" s="204"/>
      <c r="D1233" s="204"/>
      <c r="E1233" s="204"/>
      <c r="F1233" s="204"/>
      <c r="G1233" s="204"/>
      <c r="H1233" s="204"/>
      <c r="I1233" s="204"/>
      <c r="J1233" s="204"/>
      <c r="K1233" s="204"/>
      <c r="L1233" s="205"/>
      <c r="M1233" s="205"/>
      <c r="N1233" s="204"/>
      <c r="O1233" s="204"/>
      <c r="P1233" s="206"/>
      <c r="Q1233" s="206"/>
      <c r="R1233" s="206"/>
      <c r="S1233" s="206"/>
      <c r="T1233" s="204"/>
      <c r="U1233" s="207"/>
      <c r="V1233" s="204"/>
      <c r="W1233" s="204"/>
      <c r="X1233" s="207"/>
      <c r="Y1233" s="207"/>
      <c r="Z1233" s="204"/>
      <c r="AA1233" s="204"/>
      <c r="AB1233" s="204"/>
      <c r="AC1233" s="204"/>
    </row>
    <row r="1234" spans="1:29">
      <c r="A1234" s="204"/>
      <c r="B1234" s="204"/>
      <c r="C1234" s="204"/>
      <c r="D1234" s="204"/>
      <c r="E1234" s="204"/>
      <c r="F1234" s="204"/>
      <c r="G1234" s="204"/>
      <c r="H1234" s="204"/>
      <c r="I1234" s="204"/>
      <c r="J1234" s="204"/>
      <c r="K1234" s="204"/>
      <c r="L1234" s="205"/>
      <c r="M1234" s="205"/>
      <c r="N1234" s="204"/>
      <c r="O1234" s="204"/>
      <c r="P1234" s="206"/>
      <c r="Q1234" s="206"/>
      <c r="R1234" s="206"/>
      <c r="S1234" s="206"/>
      <c r="T1234" s="204"/>
      <c r="U1234" s="207"/>
      <c r="V1234" s="204"/>
      <c r="W1234" s="204"/>
      <c r="X1234" s="207"/>
      <c r="Y1234" s="207"/>
      <c r="Z1234" s="204"/>
      <c r="AA1234" s="204"/>
      <c r="AB1234" s="204"/>
      <c r="AC1234" s="204"/>
    </row>
    <row r="1235" spans="1:29">
      <c r="A1235" s="204"/>
      <c r="B1235" s="204"/>
      <c r="C1235" s="204"/>
      <c r="D1235" s="204"/>
      <c r="E1235" s="204"/>
      <c r="F1235" s="204"/>
      <c r="G1235" s="204"/>
      <c r="H1235" s="204"/>
      <c r="I1235" s="204"/>
      <c r="J1235" s="204"/>
      <c r="K1235" s="204"/>
      <c r="L1235" s="205"/>
      <c r="M1235" s="205"/>
      <c r="N1235" s="204"/>
      <c r="O1235" s="204"/>
      <c r="P1235" s="206"/>
      <c r="Q1235" s="206"/>
      <c r="R1235" s="206"/>
      <c r="S1235" s="206"/>
      <c r="T1235" s="204"/>
      <c r="U1235" s="207"/>
      <c r="V1235" s="204"/>
      <c r="W1235" s="204"/>
      <c r="X1235" s="207"/>
      <c r="Y1235" s="207"/>
      <c r="Z1235" s="204"/>
      <c r="AA1235" s="204"/>
      <c r="AB1235" s="204"/>
      <c r="AC1235" s="204"/>
    </row>
    <row r="1236" spans="1:29">
      <c r="A1236" s="204"/>
      <c r="B1236" s="204"/>
      <c r="C1236" s="204"/>
      <c r="D1236" s="204"/>
      <c r="E1236" s="204"/>
      <c r="F1236" s="204"/>
      <c r="G1236" s="204"/>
      <c r="H1236" s="204"/>
      <c r="I1236" s="204"/>
      <c r="J1236" s="204"/>
      <c r="K1236" s="204"/>
      <c r="L1236" s="205"/>
      <c r="M1236" s="205"/>
      <c r="N1236" s="204"/>
      <c r="O1236" s="204"/>
      <c r="P1236" s="206"/>
      <c r="Q1236" s="206"/>
      <c r="R1236" s="206"/>
      <c r="S1236" s="206"/>
      <c r="T1236" s="204"/>
      <c r="U1236" s="207"/>
      <c r="V1236" s="204"/>
      <c r="W1236" s="204"/>
      <c r="X1236" s="207"/>
      <c r="Y1236" s="207"/>
      <c r="Z1236" s="204"/>
      <c r="AA1236" s="204"/>
      <c r="AB1236" s="204"/>
      <c r="AC1236" s="204"/>
    </row>
    <row r="1237" spans="1:29">
      <c r="A1237" s="204"/>
      <c r="B1237" s="204"/>
      <c r="C1237" s="204"/>
      <c r="D1237" s="204"/>
      <c r="E1237" s="204"/>
      <c r="F1237" s="204"/>
      <c r="G1237" s="204"/>
      <c r="H1237" s="204"/>
      <c r="I1237" s="204"/>
      <c r="J1237" s="204"/>
      <c r="K1237" s="204"/>
      <c r="L1237" s="205"/>
      <c r="M1237" s="205"/>
      <c r="N1237" s="204"/>
      <c r="O1237" s="204"/>
      <c r="P1237" s="206"/>
      <c r="Q1237" s="206"/>
      <c r="R1237" s="206"/>
      <c r="S1237" s="206"/>
      <c r="T1237" s="204"/>
      <c r="U1237" s="207"/>
      <c r="V1237" s="204"/>
      <c r="W1237" s="204"/>
      <c r="X1237" s="207"/>
      <c r="Y1237" s="207"/>
      <c r="Z1237" s="204"/>
      <c r="AA1237" s="204"/>
      <c r="AB1237" s="204"/>
      <c r="AC1237" s="204"/>
    </row>
    <row r="1238" spans="1:29">
      <c r="A1238" s="204"/>
      <c r="B1238" s="204"/>
      <c r="C1238" s="204"/>
      <c r="D1238" s="204"/>
      <c r="E1238" s="204"/>
      <c r="F1238" s="204"/>
      <c r="G1238" s="204"/>
      <c r="H1238" s="204"/>
      <c r="I1238" s="204"/>
      <c r="J1238" s="204"/>
      <c r="K1238" s="204"/>
      <c r="L1238" s="205"/>
      <c r="M1238" s="205"/>
      <c r="N1238" s="204"/>
      <c r="O1238" s="204"/>
      <c r="P1238" s="206"/>
      <c r="Q1238" s="206"/>
      <c r="R1238" s="206"/>
      <c r="S1238" s="206"/>
      <c r="T1238" s="204"/>
      <c r="U1238" s="207"/>
      <c r="V1238" s="204"/>
      <c r="W1238" s="204"/>
      <c r="X1238" s="207"/>
      <c r="Y1238" s="207"/>
      <c r="Z1238" s="204"/>
      <c r="AA1238" s="204"/>
      <c r="AB1238" s="204"/>
      <c r="AC1238" s="204"/>
    </row>
    <row r="1239" spans="1:29">
      <c r="A1239" s="204"/>
      <c r="B1239" s="204"/>
      <c r="C1239" s="204"/>
      <c r="D1239" s="204"/>
      <c r="E1239" s="204"/>
      <c r="F1239" s="204"/>
      <c r="G1239" s="204"/>
      <c r="H1239" s="204"/>
      <c r="I1239" s="204"/>
      <c r="J1239" s="204"/>
      <c r="K1239" s="204"/>
      <c r="L1239" s="205"/>
      <c r="M1239" s="205"/>
      <c r="N1239" s="204"/>
      <c r="O1239" s="204"/>
      <c r="P1239" s="206"/>
      <c r="Q1239" s="206"/>
      <c r="R1239" s="206"/>
      <c r="S1239" s="206"/>
      <c r="T1239" s="204"/>
      <c r="U1239" s="207"/>
      <c r="V1239" s="204"/>
      <c r="W1239" s="204"/>
      <c r="X1239" s="207"/>
      <c r="Y1239" s="207"/>
      <c r="Z1239" s="204"/>
      <c r="AA1239" s="204"/>
      <c r="AB1239" s="204"/>
      <c r="AC1239" s="204"/>
    </row>
    <row r="1240" spans="1:29">
      <c r="A1240" s="204"/>
      <c r="B1240" s="204"/>
      <c r="C1240" s="204"/>
      <c r="D1240" s="204"/>
      <c r="E1240" s="204"/>
      <c r="F1240" s="204"/>
      <c r="G1240" s="204"/>
      <c r="H1240" s="204"/>
      <c r="I1240" s="204"/>
      <c r="J1240" s="204"/>
      <c r="K1240" s="204"/>
      <c r="L1240" s="205"/>
      <c r="M1240" s="205"/>
      <c r="N1240" s="204"/>
      <c r="O1240" s="204"/>
      <c r="P1240" s="206"/>
      <c r="Q1240" s="206"/>
      <c r="R1240" s="206"/>
      <c r="S1240" s="206"/>
      <c r="T1240" s="204"/>
      <c r="U1240" s="207"/>
      <c r="V1240" s="204"/>
      <c r="W1240" s="204"/>
      <c r="X1240" s="207"/>
      <c r="Y1240" s="207"/>
      <c r="Z1240" s="204"/>
      <c r="AA1240" s="204"/>
      <c r="AB1240" s="204"/>
      <c r="AC1240" s="204"/>
    </row>
    <row r="1241" spans="1:29">
      <c r="A1241" s="204"/>
      <c r="B1241" s="204"/>
      <c r="C1241" s="204"/>
      <c r="D1241" s="204"/>
      <c r="E1241" s="204"/>
      <c r="F1241" s="204"/>
      <c r="G1241" s="204"/>
      <c r="H1241" s="204"/>
      <c r="I1241" s="204"/>
      <c r="J1241" s="204"/>
      <c r="K1241" s="204"/>
      <c r="L1241" s="205"/>
      <c r="M1241" s="205"/>
      <c r="N1241" s="204"/>
      <c r="O1241" s="204"/>
      <c r="P1241" s="206"/>
      <c r="Q1241" s="206"/>
      <c r="R1241" s="206"/>
      <c r="S1241" s="206"/>
      <c r="T1241" s="204"/>
      <c r="U1241" s="207"/>
      <c r="V1241" s="204"/>
      <c r="W1241" s="204"/>
      <c r="X1241" s="207"/>
      <c r="Y1241" s="207"/>
      <c r="Z1241" s="204"/>
      <c r="AA1241" s="204"/>
      <c r="AB1241" s="204"/>
      <c r="AC1241" s="204"/>
    </row>
    <row r="1242" spans="1:29">
      <c r="A1242" s="204"/>
      <c r="B1242" s="204"/>
      <c r="C1242" s="204"/>
      <c r="D1242" s="204"/>
      <c r="E1242" s="204"/>
      <c r="F1242" s="204"/>
      <c r="G1242" s="204"/>
      <c r="H1242" s="204"/>
      <c r="I1242" s="204"/>
      <c r="J1242" s="204"/>
      <c r="K1242" s="204"/>
      <c r="L1242" s="205"/>
      <c r="M1242" s="205"/>
      <c r="N1242" s="204"/>
      <c r="O1242" s="204"/>
      <c r="P1242" s="206"/>
      <c r="Q1242" s="206"/>
      <c r="R1242" s="206"/>
      <c r="S1242" s="206"/>
      <c r="T1242" s="204"/>
      <c r="U1242" s="207"/>
      <c r="V1242" s="204"/>
      <c r="W1242" s="204"/>
      <c r="X1242" s="207"/>
      <c r="Y1242" s="207"/>
      <c r="Z1242" s="204"/>
      <c r="AA1242" s="204"/>
      <c r="AB1242" s="204"/>
      <c r="AC1242" s="204"/>
    </row>
    <row r="1243" spans="1:29">
      <c r="A1243" s="204"/>
      <c r="B1243" s="204"/>
      <c r="C1243" s="204"/>
      <c r="D1243" s="204"/>
      <c r="E1243" s="204"/>
      <c r="F1243" s="204"/>
      <c r="G1243" s="204"/>
      <c r="H1243" s="204"/>
      <c r="I1243" s="204"/>
      <c r="J1243" s="204"/>
      <c r="K1243" s="204"/>
      <c r="L1243" s="205"/>
      <c r="M1243" s="205"/>
      <c r="N1243" s="204"/>
      <c r="O1243" s="204"/>
      <c r="P1243" s="206"/>
      <c r="Q1243" s="206"/>
      <c r="R1243" s="206"/>
      <c r="S1243" s="206"/>
      <c r="T1243" s="204"/>
      <c r="U1243" s="207"/>
      <c r="V1243" s="204"/>
      <c r="W1243" s="204"/>
      <c r="X1243" s="207"/>
      <c r="Y1243" s="207"/>
      <c r="Z1243" s="204"/>
      <c r="AA1243" s="204"/>
      <c r="AB1243" s="204"/>
      <c r="AC1243" s="204"/>
    </row>
    <row r="1244" spans="1:29">
      <c r="A1244" s="204"/>
      <c r="B1244" s="204"/>
      <c r="C1244" s="204"/>
      <c r="D1244" s="204"/>
      <c r="E1244" s="204"/>
      <c r="F1244" s="204"/>
      <c r="G1244" s="204"/>
      <c r="H1244" s="204"/>
      <c r="I1244" s="204"/>
      <c r="J1244" s="204"/>
      <c r="K1244" s="204"/>
      <c r="L1244" s="205"/>
      <c r="M1244" s="205"/>
      <c r="N1244" s="204"/>
      <c r="O1244" s="204"/>
      <c r="P1244" s="206"/>
      <c r="Q1244" s="206"/>
      <c r="R1244" s="206"/>
      <c r="S1244" s="206"/>
      <c r="T1244" s="204"/>
      <c r="U1244" s="207"/>
      <c r="V1244" s="204"/>
      <c r="W1244" s="204"/>
      <c r="X1244" s="207"/>
      <c r="Y1244" s="207"/>
      <c r="Z1244" s="204"/>
      <c r="AA1244" s="204"/>
      <c r="AB1244" s="204"/>
      <c r="AC1244" s="204"/>
    </row>
    <row r="1245" spans="1:29">
      <c r="A1245" s="204"/>
      <c r="B1245" s="204"/>
      <c r="C1245" s="204"/>
      <c r="D1245" s="204"/>
      <c r="E1245" s="204"/>
      <c r="F1245" s="204"/>
      <c r="G1245" s="204"/>
      <c r="H1245" s="204"/>
      <c r="I1245" s="204"/>
      <c r="J1245" s="204"/>
      <c r="K1245" s="204"/>
      <c r="L1245" s="205"/>
      <c r="M1245" s="205"/>
      <c r="N1245" s="204"/>
      <c r="O1245" s="204"/>
      <c r="P1245" s="206"/>
      <c r="Q1245" s="206"/>
      <c r="R1245" s="206"/>
      <c r="S1245" s="206"/>
      <c r="T1245" s="204"/>
      <c r="U1245" s="207"/>
      <c r="V1245" s="204"/>
      <c r="W1245" s="204"/>
      <c r="X1245" s="207"/>
      <c r="Y1245" s="207"/>
      <c r="Z1245" s="204"/>
      <c r="AA1245" s="204"/>
      <c r="AB1245" s="204"/>
      <c r="AC1245" s="204"/>
    </row>
    <row r="1246" spans="1:29">
      <c r="A1246" s="204"/>
      <c r="B1246" s="204"/>
      <c r="C1246" s="204"/>
      <c r="D1246" s="204"/>
      <c r="E1246" s="204"/>
      <c r="F1246" s="204"/>
      <c r="G1246" s="204"/>
      <c r="H1246" s="204"/>
      <c r="I1246" s="204"/>
      <c r="J1246" s="204"/>
      <c r="K1246" s="204"/>
      <c r="L1246" s="205"/>
      <c r="M1246" s="205"/>
      <c r="N1246" s="204"/>
      <c r="O1246" s="204"/>
      <c r="P1246" s="206"/>
      <c r="Q1246" s="206"/>
      <c r="R1246" s="206"/>
      <c r="S1246" s="206"/>
      <c r="T1246" s="204"/>
      <c r="U1246" s="207"/>
      <c r="V1246" s="204"/>
      <c r="W1246" s="204"/>
      <c r="X1246" s="207"/>
      <c r="Y1246" s="207"/>
      <c r="Z1246" s="204"/>
      <c r="AA1246" s="204"/>
      <c r="AB1246" s="204"/>
      <c r="AC1246" s="204"/>
    </row>
    <row r="1247" spans="1:29">
      <c r="A1247" s="204"/>
      <c r="B1247" s="204"/>
      <c r="C1247" s="204"/>
      <c r="D1247" s="204"/>
      <c r="E1247" s="204"/>
      <c r="F1247" s="204"/>
      <c r="G1247" s="204"/>
      <c r="H1247" s="204"/>
      <c r="I1247" s="204"/>
      <c r="J1247" s="204"/>
      <c r="K1247" s="204"/>
      <c r="L1247" s="205"/>
      <c r="M1247" s="205"/>
      <c r="N1247" s="204"/>
      <c r="O1247" s="204"/>
      <c r="P1247" s="206"/>
      <c r="Q1247" s="206"/>
      <c r="R1247" s="206"/>
      <c r="S1247" s="206"/>
      <c r="T1247" s="204"/>
      <c r="U1247" s="207"/>
      <c r="V1247" s="204"/>
      <c r="W1247" s="204"/>
      <c r="X1247" s="207"/>
      <c r="Y1247" s="207"/>
      <c r="Z1247" s="204"/>
      <c r="AA1247" s="204"/>
      <c r="AB1247" s="204"/>
      <c r="AC1247" s="204"/>
    </row>
    <row r="1248" spans="1:29">
      <c r="A1248" s="204"/>
      <c r="B1248" s="204"/>
      <c r="C1248" s="204"/>
      <c r="D1248" s="204"/>
      <c r="E1248" s="204"/>
      <c r="F1248" s="204"/>
      <c r="G1248" s="204"/>
      <c r="H1248" s="204"/>
      <c r="I1248" s="204"/>
      <c r="J1248" s="204"/>
      <c r="K1248" s="204"/>
      <c r="L1248" s="205"/>
      <c r="M1248" s="205"/>
      <c r="N1248" s="204"/>
      <c r="O1248" s="204"/>
      <c r="P1248" s="206"/>
      <c r="Q1248" s="206"/>
      <c r="R1248" s="206"/>
      <c r="S1248" s="206"/>
      <c r="T1248" s="204"/>
      <c r="U1248" s="207"/>
      <c r="V1248" s="204"/>
      <c r="W1248" s="204"/>
      <c r="X1248" s="207"/>
      <c r="Y1248" s="207"/>
      <c r="Z1248" s="204"/>
      <c r="AA1248" s="204"/>
      <c r="AB1248" s="204"/>
      <c r="AC1248" s="204"/>
    </row>
    <row r="1249" spans="1:29">
      <c r="A1249" s="204"/>
      <c r="B1249" s="204"/>
      <c r="C1249" s="204"/>
      <c r="D1249" s="204"/>
      <c r="E1249" s="204"/>
      <c r="F1249" s="204"/>
      <c r="G1249" s="204"/>
      <c r="H1249" s="204"/>
      <c r="I1249" s="204"/>
      <c r="J1249" s="204"/>
      <c r="K1249" s="204"/>
      <c r="L1249" s="205"/>
      <c r="M1249" s="205"/>
      <c r="N1249" s="204"/>
      <c r="O1249" s="204"/>
      <c r="P1249" s="206"/>
      <c r="Q1249" s="206"/>
      <c r="R1249" s="206"/>
      <c r="S1249" s="206"/>
      <c r="T1249" s="204"/>
      <c r="U1249" s="207"/>
      <c r="V1249" s="204"/>
      <c r="W1249" s="204"/>
      <c r="X1249" s="207"/>
      <c r="Y1249" s="207"/>
      <c r="Z1249" s="204"/>
      <c r="AA1249" s="204"/>
      <c r="AB1249" s="204"/>
      <c r="AC1249" s="204"/>
    </row>
    <row r="1250" spans="1:29">
      <c r="A1250" s="204"/>
      <c r="B1250" s="204"/>
      <c r="C1250" s="204"/>
      <c r="D1250" s="204"/>
      <c r="E1250" s="204"/>
      <c r="F1250" s="204"/>
      <c r="G1250" s="204"/>
      <c r="H1250" s="204"/>
      <c r="I1250" s="204"/>
      <c r="J1250" s="204"/>
      <c r="K1250" s="204"/>
      <c r="L1250" s="205"/>
      <c r="M1250" s="205"/>
      <c r="N1250" s="204"/>
      <c r="O1250" s="204"/>
      <c r="P1250" s="206"/>
      <c r="Q1250" s="206"/>
      <c r="R1250" s="206"/>
      <c r="S1250" s="206"/>
      <c r="T1250" s="204"/>
      <c r="U1250" s="207"/>
      <c r="V1250" s="204"/>
      <c r="W1250" s="204"/>
      <c r="X1250" s="207"/>
      <c r="Y1250" s="207"/>
      <c r="Z1250" s="204"/>
      <c r="AA1250" s="204"/>
      <c r="AB1250" s="204"/>
      <c r="AC1250" s="204"/>
    </row>
    <row r="1251" spans="1:29">
      <c r="A1251" s="204"/>
      <c r="B1251" s="204"/>
      <c r="C1251" s="204"/>
      <c r="D1251" s="204"/>
      <c r="E1251" s="204"/>
      <c r="F1251" s="204"/>
      <c r="G1251" s="204"/>
      <c r="H1251" s="204"/>
      <c r="I1251" s="204"/>
      <c r="J1251" s="204"/>
      <c r="K1251" s="204"/>
      <c r="L1251" s="205"/>
      <c r="M1251" s="205"/>
      <c r="N1251" s="204"/>
      <c r="O1251" s="204"/>
      <c r="P1251" s="206"/>
      <c r="Q1251" s="206"/>
      <c r="R1251" s="206"/>
      <c r="S1251" s="206"/>
      <c r="T1251" s="204"/>
      <c r="U1251" s="207"/>
      <c r="V1251" s="204"/>
      <c r="W1251" s="204"/>
      <c r="X1251" s="207"/>
      <c r="Y1251" s="207"/>
      <c r="Z1251" s="204"/>
      <c r="AA1251" s="204"/>
      <c r="AB1251" s="204"/>
      <c r="AC1251" s="204"/>
    </row>
    <row r="1252" spans="1:29">
      <c r="A1252" s="204"/>
      <c r="B1252" s="204"/>
      <c r="C1252" s="204"/>
      <c r="D1252" s="204"/>
      <c r="E1252" s="204"/>
      <c r="F1252" s="204"/>
      <c r="G1252" s="204"/>
      <c r="H1252" s="204"/>
      <c r="I1252" s="204"/>
      <c r="J1252" s="204"/>
      <c r="K1252" s="204"/>
      <c r="L1252" s="205"/>
      <c r="M1252" s="205"/>
      <c r="N1252" s="204"/>
      <c r="O1252" s="204"/>
      <c r="P1252" s="206"/>
      <c r="Q1252" s="206"/>
      <c r="R1252" s="206"/>
      <c r="S1252" s="206"/>
      <c r="T1252" s="204"/>
      <c r="U1252" s="207"/>
      <c r="V1252" s="204"/>
      <c r="W1252" s="204"/>
      <c r="X1252" s="207"/>
      <c r="Y1252" s="207"/>
      <c r="Z1252" s="204"/>
      <c r="AA1252" s="204"/>
      <c r="AB1252" s="204"/>
      <c r="AC1252" s="204"/>
    </row>
    <row r="1253" spans="1:29">
      <c r="A1253" s="204"/>
      <c r="B1253" s="204"/>
      <c r="C1253" s="204"/>
      <c r="D1253" s="204"/>
      <c r="E1253" s="204"/>
      <c r="F1253" s="204"/>
      <c r="G1253" s="204"/>
      <c r="H1253" s="204"/>
      <c r="I1253" s="204"/>
      <c r="J1253" s="204"/>
      <c r="K1253" s="204"/>
      <c r="L1253" s="205"/>
      <c r="M1253" s="205"/>
      <c r="N1253" s="204"/>
      <c r="O1253" s="204"/>
      <c r="P1253" s="206"/>
      <c r="Q1253" s="206"/>
      <c r="R1253" s="206"/>
      <c r="S1253" s="206"/>
      <c r="T1253" s="204"/>
      <c r="U1253" s="207"/>
      <c r="V1253" s="204"/>
      <c r="W1253" s="204"/>
      <c r="X1253" s="207"/>
      <c r="Y1253" s="207"/>
      <c r="Z1253" s="204"/>
      <c r="AA1253" s="204"/>
      <c r="AB1253" s="204"/>
      <c r="AC1253" s="204"/>
    </row>
    <row r="1254" spans="1:29">
      <c r="A1254" s="204"/>
      <c r="B1254" s="204"/>
      <c r="C1254" s="204"/>
      <c r="D1254" s="204"/>
      <c r="E1254" s="204"/>
      <c r="F1254" s="204"/>
      <c r="G1254" s="204"/>
      <c r="H1254" s="204"/>
      <c r="I1254" s="204"/>
      <c r="J1254" s="204"/>
      <c r="K1254" s="204"/>
      <c r="L1254" s="205"/>
      <c r="M1254" s="205"/>
      <c r="N1254" s="204"/>
      <c r="O1254" s="204"/>
      <c r="P1254" s="206"/>
      <c r="Q1254" s="206"/>
      <c r="R1254" s="206"/>
      <c r="S1254" s="206"/>
      <c r="T1254" s="204"/>
      <c r="U1254" s="207"/>
      <c r="V1254" s="204"/>
      <c r="W1254" s="204"/>
      <c r="X1254" s="207"/>
      <c r="Y1254" s="207"/>
      <c r="Z1254" s="204"/>
      <c r="AA1254" s="204"/>
      <c r="AB1254" s="204"/>
      <c r="AC1254" s="204"/>
    </row>
    <row r="1255" spans="1:29">
      <c r="A1255" s="204"/>
      <c r="B1255" s="204"/>
      <c r="C1255" s="204"/>
      <c r="D1255" s="204"/>
      <c r="E1255" s="204"/>
      <c r="F1255" s="204"/>
      <c r="G1255" s="204"/>
      <c r="H1255" s="204"/>
      <c r="I1255" s="204"/>
      <c r="J1255" s="204"/>
      <c r="K1255" s="204"/>
      <c r="L1255" s="205"/>
      <c r="M1255" s="205"/>
      <c r="N1255" s="204"/>
      <c r="O1255" s="204"/>
      <c r="P1255" s="206"/>
      <c r="Q1255" s="206"/>
      <c r="R1255" s="206"/>
      <c r="S1255" s="206"/>
      <c r="T1255" s="204"/>
      <c r="U1255" s="207"/>
      <c r="V1255" s="204"/>
      <c r="W1255" s="204"/>
      <c r="X1255" s="207"/>
      <c r="Y1255" s="207"/>
      <c r="Z1255" s="204"/>
      <c r="AA1255" s="204"/>
      <c r="AB1255" s="204"/>
      <c r="AC1255" s="204"/>
    </row>
    <row r="1256" spans="1:29">
      <c r="A1256" s="204"/>
      <c r="B1256" s="204"/>
      <c r="C1256" s="204"/>
      <c r="D1256" s="204"/>
      <c r="E1256" s="204"/>
      <c r="F1256" s="204"/>
      <c r="G1256" s="204"/>
      <c r="H1256" s="204"/>
      <c r="I1256" s="204"/>
      <c r="J1256" s="204"/>
      <c r="K1256" s="204"/>
      <c r="L1256" s="205"/>
      <c r="M1256" s="205"/>
      <c r="N1256" s="204"/>
      <c r="O1256" s="204"/>
      <c r="P1256" s="206"/>
      <c r="Q1256" s="206"/>
      <c r="R1256" s="206"/>
      <c r="S1256" s="206"/>
      <c r="T1256" s="204"/>
      <c r="U1256" s="207"/>
      <c r="V1256" s="204"/>
      <c r="W1256" s="204"/>
      <c r="X1256" s="207"/>
      <c r="Y1256" s="207"/>
      <c r="Z1256" s="204"/>
      <c r="AA1256" s="204"/>
      <c r="AB1256" s="204"/>
      <c r="AC1256" s="204"/>
    </row>
    <row r="1257" spans="1:29">
      <c r="A1257" s="204"/>
      <c r="B1257" s="204"/>
      <c r="C1257" s="204"/>
      <c r="D1257" s="204"/>
      <c r="E1257" s="204"/>
      <c r="F1257" s="204"/>
      <c r="G1257" s="204"/>
      <c r="H1257" s="204"/>
      <c r="I1257" s="204"/>
      <c r="J1257" s="204"/>
      <c r="K1257" s="204"/>
      <c r="L1257" s="205"/>
      <c r="M1257" s="205"/>
      <c r="N1257" s="204"/>
      <c r="O1257" s="204"/>
      <c r="P1257" s="206"/>
      <c r="Q1257" s="206"/>
      <c r="R1257" s="206"/>
      <c r="S1257" s="206"/>
      <c r="T1257" s="204"/>
      <c r="U1257" s="207"/>
      <c r="V1257" s="204"/>
      <c r="W1257" s="204"/>
      <c r="X1257" s="207"/>
      <c r="Y1257" s="207"/>
      <c r="Z1257" s="204"/>
      <c r="AA1257" s="204"/>
      <c r="AB1257" s="204"/>
      <c r="AC1257" s="204"/>
    </row>
    <row r="1258" spans="1:29">
      <c r="A1258" s="204"/>
      <c r="B1258" s="204"/>
      <c r="C1258" s="204"/>
      <c r="D1258" s="204"/>
      <c r="E1258" s="204"/>
      <c r="F1258" s="204"/>
      <c r="G1258" s="204"/>
      <c r="H1258" s="204"/>
      <c r="I1258" s="204"/>
      <c r="J1258" s="204"/>
      <c r="K1258" s="204"/>
      <c r="L1258" s="205"/>
      <c r="M1258" s="205"/>
      <c r="N1258" s="204"/>
      <c r="O1258" s="204"/>
      <c r="P1258" s="206"/>
      <c r="Q1258" s="206"/>
      <c r="R1258" s="206"/>
      <c r="S1258" s="206"/>
      <c r="T1258" s="204"/>
      <c r="U1258" s="207"/>
      <c r="V1258" s="204"/>
      <c r="W1258" s="204"/>
      <c r="X1258" s="207"/>
      <c r="Y1258" s="207"/>
      <c r="Z1258" s="204"/>
      <c r="AA1258" s="204"/>
      <c r="AB1258" s="204"/>
      <c r="AC1258" s="204"/>
    </row>
    <row r="1259" spans="1:29">
      <c r="A1259" s="204"/>
      <c r="B1259" s="204"/>
      <c r="C1259" s="204"/>
      <c r="D1259" s="204"/>
      <c r="E1259" s="204"/>
      <c r="F1259" s="204"/>
      <c r="G1259" s="204"/>
      <c r="H1259" s="204"/>
      <c r="I1259" s="204"/>
      <c r="J1259" s="204"/>
      <c r="K1259" s="204"/>
      <c r="L1259" s="205"/>
      <c r="M1259" s="205"/>
      <c r="N1259" s="204"/>
      <c r="O1259" s="204"/>
      <c r="P1259" s="206"/>
      <c r="Q1259" s="206"/>
      <c r="R1259" s="206"/>
      <c r="S1259" s="206"/>
      <c r="T1259" s="204"/>
      <c r="U1259" s="207"/>
      <c r="V1259" s="204"/>
      <c r="W1259" s="204"/>
      <c r="X1259" s="207"/>
      <c r="Y1259" s="207"/>
      <c r="Z1259" s="204"/>
      <c r="AA1259" s="204"/>
      <c r="AB1259" s="204"/>
      <c r="AC1259" s="204"/>
    </row>
    <row r="1260" spans="1:29">
      <c r="A1260" s="204"/>
      <c r="B1260" s="204"/>
      <c r="C1260" s="204"/>
      <c r="D1260" s="204"/>
      <c r="E1260" s="204"/>
      <c r="F1260" s="204"/>
      <c r="G1260" s="204"/>
      <c r="H1260" s="204"/>
      <c r="I1260" s="204"/>
      <c r="J1260" s="204"/>
      <c r="K1260" s="204"/>
      <c r="L1260" s="205"/>
      <c r="M1260" s="205"/>
      <c r="N1260" s="204"/>
      <c r="O1260" s="204"/>
      <c r="P1260" s="206"/>
      <c r="Q1260" s="206"/>
      <c r="R1260" s="206"/>
      <c r="S1260" s="206"/>
      <c r="T1260" s="204"/>
      <c r="U1260" s="207"/>
      <c r="V1260" s="204"/>
      <c r="W1260" s="204"/>
      <c r="X1260" s="207"/>
      <c r="Y1260" s="207"/>
      <c r="Z1260" s="204"/>
      <c r="AA1260" s="204"/>
      <c r="AB1260" s="204"/>
      <c r="AC1260" s="204"/>
    </row>
    <row r="1261" spans="1:29">
      <c r="A1261" s="204"/>
      <c r="B1261" s="204"/>
      <c r="C1261" s="204"/>
      <c r="D1261" s="204"/>
      <c r="E1261" s="204"/>
      <c r="F1261" s="204"/>
      <c r="G1261" s="204"/>
      <c r="H1261" s="204"/>
      <c r="I1261" s="204"/>
      <c r="J1261" s="204"/>
      <c r="K1261" s="204"/>
      <c r="L1261" s="205"/>
      <c r="M1261" s="205"/>
      <c r="N1261" s="204"/>
      <c r="O1261" s="204"/>
      <c r="P1261" s="206"/>
      <c r="Q1261" s="206"/>
      <c r="R1261" s="206"/>
      <c r="S1261" s="206"/>
      <c r="T1261" s="204"/>
      <c r="U1261" s="207"/>
      <c r="V1261" s="204"/>
      <c r="W1261" s="204"/>
      <c r="X1261" s="207"/>
      <c r="Y1261" s="207"/>
      <c r="Z1261" s="204"/>
      <c r="AA1261" s="204"/>
      <c r="AB1261" s="204"/>
      <c r="AC1261" s="204"/>
    </row>
    <row r="1262" spans="1:29">
      <c r="A1262" s="204"/>
      <c r="B1262" s="204"/>
      <c r="C1262" s="204"/>
      <c r="D1262" s="204"/>
      <c r="E1262" s="204"/>
      <c r="F1262" s="204"/>
      <c r="G1262" s="204"/>
      <c r="H1262" s="204"/>
      <c r="I1262" s="204"/>
      <c r="J1262" s="204"/>
      <c r="K1262" s="204"/>
      <c r="L1262" s="205"/>
      <c r="M1262" s="205"/>
      <c r="N1262" s="204"/>
      <c r="O1262" s="204"/>
      <c r="P1262" s="206"/>
      <c r="Q1262" s="206"/>
      <c r="R1262" s="206"/>
      <c r="S1262" s="206"/>
      <c r="T1262" s="204"/>
      <c r="U1262" s="207"/>
      <c r="V1262" s="204"/>
      <c r="W1262" s="204"/>
      <c r="X1262" s="207"/>
      <c r="Y1262" s="207"/>
      <c r="Z1262" s="204"/>
      <c r="AA1262" s="204"/>
      <c r="AB1262" s="204"/>
      <c r="AC1262" s="204"/>
    </row>
    <row r="1263" spans="1:29">
      <c r="A1263" s="204"/>
      <c r="B1263" s="204"/>
      <c r="C1263" s="204"/>
      <c r="D1263" s="204"/>
      <c r="E1263" s="204"/>
      <c r="F1263" s="204"/>
      <c r="G1263" s="204"/>
      <c r="H1263" s="204"/>
      <c r="I1263" s="204"/>
      <c r="J1263" s="204"/>
      <c r="K1263" s="204"/>
      <c r="L1263" s="205"/>
      <c r="M1263" s="205"/>
      <c r="N1263" s="204"/>
      <c r="O1263" s="204"/>
      <c r="P1263" s="206"/>
      <c r="Q1263" s="206"/>
      <c r="R1263" s="206"/>
      <c r="S1263" s="206"/>
      <c r="T1263" s="204"/>
      <c r="U1263" s="207"/>
      <c r="V1263" s="204"/>
      <c r="W1263" s="204"/>
      <c r="X1263" s="207"/>
      <c r="Y1263" s="207"/>
      <c r="Z1263" s="204"/>
      <c r="AA1263" s="204"/>
      <c r="AB1263" s="204"/>
      <c r="AC1263" s="204"/>
    </row>
    <row r="1264" spans="1:29">
      <c r="A1264" s="204"/>
      <c r="B1264" s="204"/>
      <c r="C1264" s="204"/>
      <c r="D1264" s="204"/>
      <c r="E1264" s="204"/>
      <c r="F1264" s="204"/>
      <c r="G1264" s="204"/>
      <c r="H1264" s="204"/>
      <c r="I1264" s="204"/>
      <c r="J1264" s="204"/>
      <c r="K1264" s="204"/>
      <c r="L1264" s="205"/>
      <c r="M1264" s="205"/>
      <c r="N1264" s="204"/>
      <c r="O1264" s="204"/>
      <c r="P1264" s="206"/>
      <c r="Q1264" s="206"/>
      <c r="R1264" s="206"/>
      <c r="S1264" s="206"/>
      <c r="T1264" s="204"/>
      <c r="U1264" s="207"/>
      <c r="V1264" s="204"/>
      <c r="W1264" s="204"/>
      <c r="X1264" s="207"/>
      <c r="Y1264" s="207"/>
      <c r="Z1264" s="204"/>
      <c r="AA1264" s="204"/>
      <c r="AB1264" s="204"/>
      <c r="AC1264" s="204"/>
    </row>
    <row r="1265" spans="1:29">
      <c r="A1265" s="204"/>
      <c r="B1265" s="204"/>
      <c r="C1265" s="204"/>
      <c r="D1265" s="204"/>
      <c r="E1265" s="204"/>
      <c r="F1265" s="204"/>
      <c r="G1265" s="204"/>
      <c r="H1265" s="204"/>
      <c r="I1265" s="204"/>
      <c r="J1265" s="204"/>
      <c r="K1265" s="204"/>
      <c r="L1265" s="205"/>
      <c r="M1265" s="205"/>
      <c r="N1265" s="204"/>
      <c r="O1265" s="204"/>
      <c r="P1265" s="206"/>
      <c r="Q1265" s="206"/>
      <c r="R1265" s="206"/>
      <c r="S1265" s="206"/>
      <c r="T1265" s="204"/>
      <c r="U1265" s="207"/>
      <c r="V1265" s="204"/>
      <c r="W1265" s="204"/>
      <c r="X1265" s="207"/>
      <c r="Y1265" s="207"/>
      <c r="Z1265" s="204"/>
      <c r="AA1265" s="204"/>
      <c r="AB1265" s="204"/>
      <c r="AC1265" s="204"/>
    </row>
    <row r="1266" spans="1:29">
      <c r="A1266" s="204"/>
      <c r="B1266" s="204"/>
      <c r="C1266" s="204"/>
      <c r="D1266" s="204"/>
      <c r="E1266" s="204"/>
      <c r="F1266" s="204"/>
      <c r="G1266" s="204"/>
      <c r="H1266" s="204"/>
      <c r="I1266" s="204"/>
      <c r="J1266" s="204"/>
      <c r="K1266" s="204"/>
      <c r="L1266" s="205"/>
      <c r="M1266" s="205"/>
      <c r="N1266" s="204"/>
      <c r="O1266" s="204"/>
      <c r="P1266" s="206"/>
      <c r="Q1266" s="206"/>
      <c r="R1266" s="206"/>
      <c r="S1266" s="206"/>
      <c r="T1266" s="204"/>
      <c r="U1266" s="207"/>
      <c r="V1266" s="204"/>
      <c r="W1266" s="204"/>
      <c r="X1266" s="207"/>
      <c r="Y1266" s="207"/>
      <c r="Z1266" s="204"/>
      <c r="AA1266" s="204"/>
      <c r="AB1266" s="204"/>
      <c r="AC1266" s="204"/>
    </row>
    <row r="1267" spans="1:29">
      <c r="A1267" s="204"/>
      <c r="B1267" s="204"/>
      <c r="C1267" s="204"/>
      <c r="D1267" s="204"/>
      <c r="E1267" s="204"/>
      <c r="F1267" s="204"/>
      <c r="G1267" s="204"/>
      <c r="H1267" s="204"/>
      <c r="I1267" s="204"/>
      <c r="J1267" s="204"/>
      <c r="K1267" s="204"/>
      <c r="L1267" s="205"/>
      <c r="M1267" s="205"/>
      <c r="N1267" s="204"/>
      <c r="O1267" s="204"/>
      <c r="P1267" s="206"/>
      <c r="Q1267" s="206"/>
      <c r="R1267" s="206"/>
      <c r="S1267" s="206"/>
      <c r="T1267" s="204"/>
      <c r="U1267" s="207"/>
      <c r="V1267" s="204"/>
      <c r="W1267" s="204"/>
      <c r="X1267" s="207"/>
      <c r="Y1267" s="207"/>
      <c r="Z1267" s="204"/>
      <c r="AA1267" s="204"/>
      <c r="AB1267" s="204"/>
      <c r="AC1267" s="204"/>
    </row>
    <row r="1268" spans="1:29">
      <c r="A1268" s="204"/>
      <c r="B1268" s="204"/>
      <c r="C1268" s="204"/>
      <c r="D1268" s="204"/>
      <c r="E1268" s="204"/>
      <c r="F1268" s="204"/>
      <c r="G1268" s="204"/>
      <c r="H1268" s="204"/>
      <c r="I1268" s="204"/>
      <c r="J1268" s="204"/>
      <c r="K1268" s="204"/>
      <c r="L1268" s="205"/>
      <c r="M1268" s="205"/>
      <c r="N1268" s="204"/>
      <c r="O1268" s="204"/>
      <c r="P1268" s="206"/>
      <c r="Q1268" s="206"/>
      <c r="R1268" s="206"/>
      <c r="S1268" s="206"/>
      <c r="T1268" s="204"/>
      <c r="U1268" s="207"/>
      <c r="V1268" s="204"/>
      <c r="W1268" s="204"/>
      <c r="X1268" s="207"/>
      <c r="Y1268" s="207"/>
      <c r="Z1268" s="204"/>
      <c r="AA1268" s="204"/>
      <c r="AB1268" s="204"/>
      <c r="AC1268" s="204"/>
    </row>
    <row r="1269" spans="1:29">
      <c r="A1269" s="204"/>
      <c r="B1269" s="204"/>
      <c r="C1269" s="204"/>
      <c r="D1269" s="204"/>
      <c r="E1269" s="204"/>
      <c r="F1269" s="204"/>
      <c r="G1269" s="204"/>
      <c r="H1269" s="204"/>
      <c r="I1269" s="204"/>
      <c r="J1269" s="204"/>
      <c r="K1269" s="204"/>
      <c r="L1269" s="205"/>
      <c r="M1269" s="205"/>
      <c r="N1269" s="204"/>
      <c r="O1269" s="204"/>
      <c r="P1269" s="206"/>
      <c r="Q1269" s="206"/>
      <c r="R1269" s="206"/>
      <c r="S1269" s="206"/>
      <c r="T1269" s="204"/>
      <c r="U1269" s="207"/>
      <c r="V1269" s="204"/>
      <c r="W1269" s="204"/>
      <c r="X1269" s="207"/>
      <c r="Y1269" s="207"/>
      <c r="Z1269" s="204"/>
      <c r="AA1269" s="204"/>
      <c r="AB1269" s="204"/>
      <c r="AC1269" s="204"/>
    </row>
    <row r="1270" spans="1:29">
      <c r="A1270" s="204"/>
      <c r="B1270" s="204"/>
      <c r="C1270" s="204"/>
      <c r="D1270" s="204"/>
      <c r="E1270" s="204"/>
      <c r="F1270" s="204"/>
      <c r="G1270" s="204"/>
      <c r="H1270" s="204"/>
      <c r="I1270" s="204"/>
      <c r="J1270" s="204"/>
      <c r="K1270" s="204"/>
      <c r="L1270" s="205"/>
      <c r="M1270" s="205"/>
      <c r="N1270" s="204"/>
      <c r="O1270" s="204"/>
      <c r="P1270" s="206"/>
      <c r="Q1270" s="206"/>
      <c r="R1270" s="206"/>
      <c r="S1270" s="206"/>
      <c r="T1270" s="204"/>
      <c r="U1270" s="207"/>
      <c r="V1270" s="204"/>
      <c r="W1270" s="204"/>
      <c r="X1270" s="207"/>
      <c r="Y1270" s="207"/>
      <c r="Z1270" s="204"/>
      <c r="AA1270" s="204"/>
      <c r="AB1270" s="204"/>
      <c r="AC1270" s="204"/>
    </row>
    <row r="1271" spans="1:29">
      <c r="A1271" s="204"/>
      <c r="B1271" s="204"/>
      <c r="C1271" s="204"/>
      <c r="D1271" s="204"/>
      <c r="E1271" s="204"/>
      <c r="F1271" s="204"/>
      <c r="G1271" s="204"/>
      <c r="H1271" s="204"/>
      <c r="I1271" s="204"/>
      <c r="J1271" s="204"/>
      <c r="K1271" s="204"/>
      <c r="L1271" s="205"/>
      <c r="M1271" s="205"/>
      <c r="N1271" s="204"/>
      <c r="O1271" s="204"/>
      <c r="P1271" s="206"/>
      <c r="Q1271" s="206"/>
      <c r="R1271" s="206"/>
      <c r="S1271" s="206"/>
      <c r="T1271" s="204"/>
      <c r="U1271" s="207"/>
      <c r="V1271" s="204"/>
      <c r="W1271" s="204"/>
      <c r="X1271" s="207"/>
      <c r="Y1271" s="207"/>
      <c r="Z1271" s="204"/>
      <c r="AA1271" s="204"/>
      <c r="AB1271" s="204"/>
      <c r="AC1271" s="204"/>
    </row>
    <row r="1272" spans="1:29">
      <c r="A1272" s="204"/>
      <c r="B1272" s="204"/>
      <c r="C1272" s="204"/>
      <c r="D1272" s="204"/>
      <c r="E1272" s="204"/>
      <c r="F1272" s="204"/>
      <c r="G1272" s="204"/>
      <c r="H1272" s="204"/>
      <c r="I1272" s="204"/>
      <c r="J1272" s="204"/>
      <c r="K1272" s="204"/>
      <c r="L1272" s="205"/>
      <c r="M1272" s="205"/>
      <c r="N1272" s="204"/>
      <c r="O1272" s="204"/>
      <c r="P1272" s="206"/>
      <c r="Q1272" s="206"/>
      <c r="R1272" s="206"/>
      <c r="S1272" s="206"/>
      <c r="T1272" s="204"/>
      <c r="U1272" s="207"/>
      <c r="V1272" s="204"/>
      <c r="W1272" s="204"/>
      <c r="X1272" s="207"/>
      <c r="Y1272" s="207"/>
      <c r="Z1272" s="204"/>
      <c r="AA1272" s="204"/>
      <c r="AB1272" s="204"/>
      <c r="AC1272" s="204"/>
    </row>
    <row r="1273" spans="1:29">
      <c r="A1273" s="204"/>
      <c r="B1273" s="204"/>
      <c r="C1273" s="204"/>
      <c r="D1273" s="204"/>
      <c r="E1273" s="204"/>
      <c r="F1273" s="204"/>
      <c r="G1273" s="204"/>
      <c r="H1273" s="204"/>
      <c r="I1273" s="204"/>
      <c r="J1273" s="204"/>
      <c r="K1273" s="204"/>
      <c r="L1273" s="205"/>
      <c r="M1273" s="205"/>
      <c r="N1273" s="204"/>
      <c r="O1273" s="204"/>
      <c r="P1273" s="206"/>
      <c r="Q1273" s="206"/>
      <c r="R1273" s="206"/>
      <c r="S1273" s="206"/>
      <c r="T1273" s="204"/>
      <c r="U1273" s="207"/>
      <c r="V1273" s="204"/>
      <c r="W1273" s="204"/>
      <c r="X1273" s="207"/>
      <c r="Y1273" s="207"/>
      <c r="Z1273" s="204"/>
      <c r="AA1273" s="204"/>
      <c r="AB1273" s="204"/>
      <c r="AC1273" s="204"/>
    </row>
    <row r="1274" spans="1:29">
      <c r="A1274" s="204"/>
      <c r="B1274" s="204"/>
      <c r="C1274" s="204"/>
      <c r="D1274" s="204"/>
      <c r="E1274" s="204"/>
      <c r="F1274" s="204"/>
      <c r="G1274" s="204"/>
      <c r="H1274" s="204"/>
      <c r="I1274" s="204"/>
      <c r="J1274" s="204"/>
      <c r="K1274" s="204"/>
      <c r="L1274" s="205"/>
      <c r="M1274" s="205"/>
      <c r="N1274" s="204"/>
      <c r="O1274" s="204"/>
      <c r="P1274" s="206"/>
      <c r="Q1274" s="206"/>
      <c r="R1274" s="206"/>
      <c r="S1274" s="206"/>
      <c r="T1274" s="204"/>
      <c r="U1274" s="207"/>
      <c r="V1274" s="204"/>
      <c r="W1274" s="204"/>
      <c r="X1274" s="207"/>
      <c r="Y1274" s="207"/>
      <c r="Z1274" s="204"/>
      <c r="AA1274" s="204"/>
      <c r="AB1274" s="204"/>
      <c r="AC1274" s="204"/>
    </row>
    <row r="1275" spans="1:29">
      <c r="A1275" s="204"/>
      <c r="B1275" s="204"/>
      <c r="C1275" s="204"/>
      <c r="D1275" s="204"/>
      <c r="E1275" s="204"/>
      <c r="F1275" s="204"/>
      <c r="G1275" s="204"/>
      <c r="H1275" s="204"/>
      <c r="I1275" s="204"/>
      <c r="J1275" s="204"/>
      <c r="K1275" s="204"/>
      <c r="L1275" s="205"/>
      <c r="M1275" s="205"/>
      <c r="N1275" s="204"/>
      <c r="O1275" s="204"/>
      <c r="P1275" s="206"/>
      <c r="Q1275" s="206"/>
      <c r="R1275" s="206"/>
      <c r="S1275" s="206"/>
      <c r="T1275" s="204"/>
      <c r="U1275" s="207"/>
      <c r="V1275" s="204"/>
      <c r="W1275" s="204"/>
      <c r="X1275" s="207"/>
      <c r="Y1275" s="207"/>
      <c r="Z1275" s="204"/>
      <c r="AA1275" s="204"/>
      <c r="AB1275" s="204"/>
      <c r="AC1275" s="204"/>
    </row>
    <row r="1276" spans="1:29">
      <c r="A1276" s="204"/>
      <c r="B1276" s="204"/>
      <c r="C1276" s="204"/>
      <c r="D1276" s="204"/>
      <c r="E1276" s="204"/>
      <c r="F1276" s="204"/>
      <c r="G1276" s="204"/>
      <c r="H1276" s="204"/>
      <c r="I1276" s="204"/>
      <c r="J1276" s="204"/>
      <c r="K1276" s="204"/>
      <c r="L1276" s="205"/>
      <c r="M1276" s="205"/>
      <c r="N1276" s="204"/>
      <c r="O1276" s="204"/>
      <c r="P1276" s="206"/>
      <c r="Q1276" s="206"/>
      <c r="R1276" s="206"/>
      <c r="S1276" s="206"/>
      <c r="T1276" s="204"/>
      <c r="U1276" s="207"/>
      <c r="V1276" s="204"/>
      <c r="W1276" s="204"/>
      <c r="X1276" s="207"/>
      <c r="Y1276" s="207"/>
      <c r="Z1276" s="204"/>
      <c r="AA1276" s="204"/>
      <c r="AB1276" s="204"/>
      <c r="AC1276" s="204"/>
    </row>
    <row r="1277" spans="1:29">
      <c r="A1277" s="204"/>
      <c r="B1277" s="204"/>
      <c r="C1277" s="204"/>
      <c r="D1277" s="204"/>
      <c r="E1277" s="204"/>
      <c r="F1277" s="204"/>
      <c r="G1277" s="204"/>
      <c r="H1277" s="204"/>
      <c r="I1277" s="204"/>
      <c r="J1277" s="204"/>
      <c r="K1277" s="204"/>
      <c r="L1277" s="205"/>
      <c r="M1277" s="205"/>
      <c r="N1277" s="204"/>
      <c r="O1277" s="204"/>
      <c r="P1277" s="206"/>
      <c r="Q1277" s="206"/>
      <c r="R1277" s="206"/>
      <c r="S1277" s="206"/>
      <c r="T1277" s="204"/>
      <c r="U1277" s="207"/>
      <c r="V1277" s="204"/>
      <c r="W1277" s="204"/>
      <c r="X1277" s="207"/>
      <c r="Y1277" s="207"/>
      <c r="Z1277" s="204"/>
      <c r="AA1277" s="204"/>
      <c r="AB1277" s="204"/>
      <c r="AC1277" s="204"/>
    </row>
    <row r="1278" spans="1:29">
      <c r="A1278" s="204"/>
      <c r="B1278" s="204"/>
      <c r="C1278" s="204"/>
      <c r="D1278" s="204"/>
      <c r="E1278" s="204"/>
      <c r="F1278" s="204"/>
      <c r="G1278" s="204"/>
      <c r="H1278" s="204"/>
      <c r="I1278" s="204"/>
      <c r="J1278" s="204"/>
      <c r="K1278" s="204"/>
      <c r="L1278" s="205"/>
      <c r="M1278" s="205"/>
      <c r="N1278" s="204"/>
      <c r="O1278" s="204"/>
      <c r="P1278" s="206"/>
      <c r="Q1278" s="206"/>
      <c r="R1278" s="206"/>
      <c r="S1278" s="206"/>
      <c r="T1278" s="204"/>
      <c r="U1278" s="207"/>
      <c r="V1278" s="204"/>
      <c r="W1278" s="204"/>
      <c r="X1278" s="207"/>
      <c r="Y1278" s="207"/>
      <c r="Z1278" s="204"/>
      <c r="AA1278" s="204"/>
      <c r="AB1278" s="204"/>
      <c r="AC1278" s="204"/>
    </row>
    <row r="1279" spans="1:29">
      <c r="A1279" s="204"/>
      <c r="B1279" s="204"/>
      <c r="C1279" s="204"/>
      <c r="D1279" s="204"/>
      <c r="E1279" s="204"/>
      <c r="F1279" s="204"/>
      <c r="G1279" s="204"/>
      <c r="H1279" s="204"/>
      <c r="I1279" s="204"/>
      <c r="J1279" s="204"/>
      <c r="K1279" s="204"/>
      <c r="L1279" s="205"/>
      <c r="M1279" s="205"/>
      <c r="N1279" s="204"/>
      <c r="O1279" s="204"/>
      <c r="P1279" s="206"/>
      <c r="Q1279" s="206"/>
      <c r="R1279" s="206"/>
      <c r="S1279" s="206"/>
      <c r="T1279" s="204"/>
      <c r="U1279" s="207"/>
      <c r="V1279" s="204"/>
      <c r="W1279" s="204"/>
      <c r="X1279" s="207"/>
      <c r="Y1279" s="207"/>
      <c r="Z1279" s="204"/>
      <c r="AA1279" s="204"/>
      <c r="AB1279" s="204"/>
      <c r="AC1279" s="204"/>
    </row>
    <row r="1280" spans="1:29">
      <c r="A1280" s="204"/>
      <c r="B1280" s="204"/>
      <c r="C1280" s="204"/>
      <c r="D1280" s="204"/>
      <c r="E1280" s="204"/>
      <c r="F1280" s="204"/>
      <c r="G1280" s="204"/>
      <c r="H1280" s="204"/>
      <c r="I1280" s="204"/>
      <c r="J1280" s="204"/>
      <c r="K1280" s="204"/>
      <c r="L1280" s="205"/>
      <c r="M1280" s="205"/>
      <c r="N1280" s="204"/>
      <c r="O1280" s="204"/>
      <c r="P1280" s="206"/>
      <c r="Q1280" s="206"/>
      <c r="R1280" s="206"/>
      <c r="S1280" s="206"/>
      <c r="T1280" s="204"/>
      <c r="U1280" s="207"/>
      <c r="V1280" s="204"/>
      <c r="W1280" s="204"/>
      <c r="X1280" s="207"/>
      <c r="Y1280" s="207"/>
      <c r="Z1280" s="204"/>
      <c r="AA1280" s="204"/>
      <c r="AB1280" s="204"/>
      <c r="AC1280" s="204"/>
    </row>
    <row r="1281" spans="1:29">
      <c r="A1281" s="204"/>
      <c r="B1281" s="204"/>
      <c r="C1281" s="204"/>
      <c r="D1281" s="204"/>
      <c r="E1281" s="204"/>
      <c r="F1281" s="204"/>
      <c r="G1281" s="204"/>
      <c r="H1281" s="204"/>
      <c r="I1281" s="204"/>
      <c r="J1281" s="204"/>
      <c r="K1281" s="204"/>
      <c r="L1281" s="205"/>
      <c r="M1281" s="205"/>
      <c r="N1281" s="204"/>
      <c r="O1281" s="204"/>
      <c r="P1281" s="206"/>
      <c r="Q1281" s="206"/>
      <c r="R1281" s="206"/>
      <c r="S1281" s="206"/>
      <c r="T1281" s="204"/>
      <c r="U1281" s="207"/>
      <c r="V1281" s="204"/>
      <c r="W1281" s="204"/>
      <c r="X1281" s="207"/>
      <c r="Y1281" s="207"/>
      <c r="Z1281" s="204"/>
      <c r="AA1281" s="204"/>
      <c r="AB1281" s="204"/>
      <c r="AC1281" s="204"/>
    </row>
    <row r="1282" spans="1:29">
      <c r="A1282" s="204"/>
      <c r="B1282" s="204"/>
      <c r="C1282" s="204"/>
      <c r="D1282" s="204"/>
      <c r="E1282" s="204"/>
      <c r="F1282" s="204"/>
      <c r="G1282" s="204"/>
      <c r="H1282" s="204"/>
      <c r="I1282" s="204"/>
      <c r="J1282" s="204"/>
      <c r="K1282" s="204"/>
      <c r="L1282" s="205"/>
      <c r="M1282" s="205"/>
      <c r="N1282" s="204"/>
      <c r="O1282" s="204"/>
      <c r="P1282" s="206"/>
      <c r="Q1282" s="206"/>
      <c r="R1282" s="206"/>
      <c r="S1282" s="206"/>
      <c r="T1282" s="204"/>
      <c r="U1282" s="207"/>
      <c r="V1282" s="204"/>
      <c r="W1282" s="204"/>
      <c r="X1282" s="207"/>
      <c r="Y1282" s="207"/>
      <c r="Z1282" s="204"/>
      <c r="AA1282" s="204"/>
      <c r="AB1282" s="204"/>
      <c r="AC1282" s="204"/>
    </row>
    <row r="1283" spans="1:29">
      <c r="A1283" s="204"/>
      <c r="B1283" s="204"/>
      <c r="C1283" s="204"/>
      <c r="D1283" s="204"/>
      <c r="E1283" s="204"/>
      <c r="F1283" s="204"/>
      <c r="G1283" s="204"/>
      <c r="H1283" s="204"/>
      <c r="I1283" s="204"/>
      <c r="J1283" s="204"/>
      <c r="K1283" s="204"/>
      <c r="L1283" s="205"/>
      <c r="M1283" s="205"/>
      <c r="N1283" s="204"/>
      <c r="O1283" s="204"/>
      <c r="P1283" s="206"/>
      <c r="Q1283" s="206"/>
      <c r="R1283" s="206"/>
      <c r="S1283" s="206"/>
      <c r="T1283" s="204"/>
      <c r="U1283" s="207"/>
      <c r="V1283" s="204"/>
      <c r="W1283" s="204"/>
      <c r="X1283" s="207"/>
      <c r="Y1283" s="207"/>
      <c r="Z1283" s="204"/>
      <c r="AA1283" s="204"/>
      <c r="AB1283" s="204"/>
      <c r="AC1283" s="204"/>
    </row>
    <row r="1284" spans="1:29">
      <c r="A1284" s="204"/>
      <c r="B1284" s="204"/>
      <c r="C1284" s="204"/>
      <c r="D1284" s="204"/>
      <c r="E1284" s="204"/>
      <c r="F1284" s="204"/>
      <c r="G1284" s="204"/>
      <c r="H1284" s="204"/>
      <c r="I1284" s="204"/>
      <c r="J1284" s="204"/>
      <c r="K1284" s="204"/>
      <c r="L1284" s="205"/>
      <c r="M1284" s="205"/>
      <c r="N1284" s="204"/>
      <c r="O1284" s="204"/>
      <c r="P1284" s="206"/>
      <c r="Q1284" s="206"/>
      <c r="R1284" s="206"/>
      <c r="S1284" s="206"/>
      <c r="T1284" s="204"/>
      <c r="U1284" s="207"/>
      <c r="V1284" s="204"/>
      <c r="W1284" s="204"/>
      <c r="X1284" s="207"/>
      <c r="Y1284" s="207"/>
      <c r="Z1284" s="204"/>
      <c r="AA1284" s="204"/>
      <c r="AB1284" s="204"/>
      <c r="AC1284" s="204"/>
    </row>
    <row r="1285" spans="1:29">
      <c r="A1285" s="204"/>
      <c r="B1285" s="204"/>
      <c r="C1285" s="204"/>
      <c r="D1285" s="204"/>
      <c r="E1285" s="204"/>
      <c r="F1285" s="204"/>
      <c r="G1285" s="204"/>
      <c r="H1285" s="204"/>
      <c r="I1285" s="204"/>
      <c r="J1285" s="204"/>
      <c r="K1285" s="204"/>
      <c r="L1285" s="205"/>
      <c r="M1285" s="205"/>
      <c r="N1285" s="204"/>
      <c r="O1285" s="204"/>
      <c r="P1285" s="206"/>
      <c r="Q1285" s="206"/>
      <c r="R1285" s="206"/>
      <c r="S1285" s="206"/>
      <c r="T1285" s="204"/>
      <c r="U1285" s="207"/>
      <c r="V1285" s="204"/>
      <c r="W1285" s="204"/>
      <c r="X1285" s="207"/>
      <c r="Y1285" s="207"/>
      <c r="Z1285" s="204"/>
      <c r="AA1285" s="204"/>
      <c r="AB1285" s="204"/>
      <c r="AC1285" s="204"/>
    </row>
    <row r="1286" spans="1:29">
      <c r="A1286" s="204"/>
      <c r="B1286" s="204"/>
      <c r="C1286" s="204"/>
      <c r="D1286" s="204"/>
      <c r="E1286" s="204"/>
      <c r="F1286" s="204"/>
      <c r="G1286" s="204"/>
      <c r="H1286" s="204"/>
      <c r="I1286" s="204"/>
      <c r="J1286" s="204"/>
      <c r="K1286" s="204"/>
      <c r="L1286" s="205"/>
      <c r="M1286" s="205"/>
      <c r="N1286" s="204"/>
      <c r="O1286" s="204"/>
      <c r="P1286" s="206"/>
      <c r="Q1286" s="206"/>
      <c r="R1286" s="206"/>
      <c r="S1286" s="206"/>
      <c r="T1286" s="204"/>
      <c r="U1286" s="207"/>
      <c r="V1286" s="204"/>
      <c r="W1286" s="204"/>
      <c r="X1286" s="207"/>
      <c r="Y1286" s="207"/>
      <c r="Z1286" s="204"/>
      <c r="AA1286" s="204"/>
      <c r="AB1286" s="204"/>
      <c r="AC1286" s="204"/>
    </row>
    <row r="1287" spans="1:29">
      <c r="A1287" s="204"/>
      <c r="B1287" s="204"/>
      <c r="C1287" s="204"/>
      <c r="D1287" s="204"/>
      <c r="E1287" s="204"/>
      <c r="F1287" s="204"/>
      <c r="G1287" s="204"/>
      <c r="H1287" s="204"/>
      <c r="I1287" s="204"/>
      <c r="J1287" s="204"/>
      <c r="K1287" s="204"/>
      <c r="L1287" s="205"/>
      <c r="M1287" s="205"/>
      <c r="N1287" s="204"/>
      <c r="O1287" s="204"/>
      <c r="P1287" s="206"/>
      <c r="Q1287" s="206"/>
      <c r="R1287" s="206"/>
      <c r="S1287" s="206"/>
      <c r="T1287" s="204"/>
      <c r="U1287" s="207"/>
      <c r="V1287" s="204"/>
      <c r="W1287" s="204"/>
      <c r="X1287" s="207"/>
      <c r="Y1287" s="207"/>
      <c r="Z1287" s="204"/>
      <c r="AA1287" s="204"/>
      <c r="AB1287" s="204"/>
      <c r="AC1287" s="204"/>
    </row>
    <row r="1288" spans="1:29">
      <c r="A1288" s="204"/>
      <c r="B1288" s="204"/>
      <c r="C1288" s="204"/>
      <c r="D1288" s="204"/>
      <c r="E1288" s="204"/>
      <c r="F1288" s="204"/>
      <c r="G1288" s="204"/>
      <c r="H1288" s="204"/>
      <c r="I1288" s="204"/>
      <c r="J1288" s="204"/>
      <c r="K1288" s="204"/>
      <c r="L1288" s="205"/>
      <c r="M1288" s="205"/>
      <c r="N1288" s="204"/>
      <c r="O1288" s="204"/>
      <c r="P1288" s="206"/>
      <c r="Q1288" s="206"/>
      <c r="R1288" s="206"/>
      <c r="S1288" s="206"/>
      <c r="T1288" s="204"/>
      <c r="U1288" s="207"/>
      <c r="V1288" s="204"/>
      <c r="W1288" s="204"/>
      <c r="X1288" s="207"/>
      <c r="Y1288" s="207"/>
      <c r="Z1288" s="204"/>
      <c r="AA1288" s="204"/>
      <c r="AB1288" s="204"/>
      <c r="AC1288" s="204"/>
    </row>
    <row r="1289" spans="1:29">
      <c r="A1289" s="204"/>
      <c r="B1289" s="204"/>
      <c r="C1289" s="204"/>
      <c r="D1289" s="204"/>
      <c r="E1289" s="204"/>
      <c r="F1289" s="204"/>
      <c r="G1289" s="204"/>
      <c r="H1289" s="204"/>
      <c r="I1289" s="204"/>
      <c r="J1289" s="204"/>
      <c r="K1289" s="204"/>
      <c r="L1289" s="205"/>
      <c r="M1289" s="205"/>
      <c r="N1289" s="204"/>
      <c r="O1289" s="204"/>
      <c r="P1289" s="206"/>
      <c r="Q1289" s="206"/>
      <c r="R1289" s="206"/>
      <c r="S1289" s="206"/>
      <c r="T1289" s="204"/>
      <c r="U1289" s="207"/>
      <c r="V1289" s="204"/>
      <c r="W1289" s="204"/>
      <c r="X1289" s="207"/>
      <c r="Y1289" s="207"/>
      <c r="Z1289" s="204"/>
      <c r="AA1289" s="204"/>
      <c r="AB1289" s="204"/>
      <c r="AC1289" s="204"/>
    </row>
    <row r="1290" spans="1:29">
      <c r="A1290" s="204"/>
      <c r="B1290" s="204"/>
      <c r="C1290" s="204"/>
      <c r="D1290" s="204"/>
      <c r="E1290" s="204"/>
      <c r="F1290" s="204"/>
      <c r="G1290" s="204"/>
      <c r="H1290" s="204"/>
      <c r="I1290" s="204"/>
      <c r="J1290" s="204"/>
      <c r="K1290" s="204"/>
      <c r="L1290" s="205"/>
      <c r="M1290" s="205"/>
      <c r="N1290" s="204"/>
      <c r="O1290" s="204"/>
      <c r="P1290" s="206"/>
      <c r="Q1290" s="206"/>
      <c r="R1290" s="206"/>
      <c r="S1290" s="206"/>
      <c r="T1290" s="204"/>
      <c r="U1290" s="207"/>
      <c r="V1290" s="204"/>
      <c r="W1290" s="204"/>
      <c r="X1290" s="207"/>
      <c r="Y1290" s="207"/>
      <c r="Z1290" s="204"/>
      <c r="AA1290" s="204"/>
      <c r="AB1290" s="204"/>
      <c r="AC1290" s="204"/>
    </row>
    <row r="1291" spans="1:29">
      <c r="A1291" s="204"/>
      <c r="B1291" s="204"/>
      <c r="C1291" s="204"/>
      <c r="D1291" s="204"/>
      <c r="E1291" s="204"/>
      <c r="F1291" s="204"/>
      <c r="G1291" s="204"/>
      <c r="H1291" s="204"/>
      <c r="I1291" s="204"/>
      <c r="J1291" s="204"/>
      <c r="K1291" s="204"/>
      <c r="L1291" s="205"/>
      <c r="M1291" s="205"/>
      <c r="N1291" s="204"/>
      <c r="O1291" s="204"/>
      <c r="P1291" s="206"/>
      <c r="Q1291" s="206"/>
      <c r="R1291" s="206"/>
      <c r="S1291" s="206"/>
      <c r="T1291" s="204"/>
      <c r="U1291" s="207"/>
      <c r="V1291" s="204"/>
      <c r="W1291" s="204"/>
      <c r="X1291" s="207"/>
      <c r="Y1291" s="207"/>
      <c r="Z1291" s="204"/>
      <c r="AA1291" s="204"/>
      <c r="AB1291" s="204"/>
      <c r="AC1291" s="204"/>
    </row>
    <row r="1292" spans="1:29">
      <c r="A1292" s="204"/>
      <c r="B1292" s="204"/>
      <c r="C1292" s="204"/>
      <c r="D1292" s="204"/>
      <c r="E1292" s="204"/>
      <c r="F1292" s="204"/>
      <c r="G1292" s="204"/>
      <c r="H1292" s="204"/>
      <c r="I1292" s="204"/>
      <c r="J1292" s="204"/>
      <c r="K1292" s="204"/>
      <c r="L1292" s="205"/>
      <c r="M1292" s="205"/>
      <c r="N1292" s="204"/>
      <c r="O1292" s="204"/>
      <c r="P1292" s="206"/>
      <c r="Q1292" s="206"/>
      <c r="R1292" s="206"/>
      <c r="S1292" s="206"/>
      <c r="T1292" s="204"/>
      <c r="U1292" s="207"/>
      <c r="V1292" s="204"/>
      <c r="W1292" s="204"/>
      <c r="X1292" s="207"/>
      <c r="Y1292" s="207"/>
      <c r="Z1292" s="204"/>
      <c r="AA1292" s="204"/>
      <c r="AB1292" s="204"/>
      <c r="AC1292" s="204"/>
    </row>
    <row r="1293" spans="1:29">
      <c r="A1293" s="204"/>
      <c r="B1293" s="204"/>
      <c r="C1293" s="204"/>
      <c r="D1293" s="204"/>
      <c r="E1293" s="204"/>
      <c r="F1293" s="204"/>
      <c r="G1293" s="204"/>
      <c r="H1293" s="204"/>
      <c r="I1293" s="204"/>
      <c r="J1293" s="204"/>
      <c r="K1293" s="204"/>
      <c r="L1293" s="205"/>
      <c r="M1293" s="205"/>
      <c r="N1293" s="204"/>
      <c r="O1293" s="204"/>
      <c r="P1293" s="206"/>
      <c r="Q1293" s="206"/>
      <c r="R1293" s="206"/>
      <c r="S1293" s="206"/>
      <c r="T1293" s="204"/>
      <c r="U1293" s="207"/>
      <c r="V1293" s="204"/>
      <c r="W1293" s="204"/>
      <c r="X1293" s="207"/>
      <c r="Y1293" s="207"/>
      <c r="Z1293" s="204"/>
      <c r="AA1293" s="204"/>
      <c r="AB1293" s="204"/>
      <c r="AC1293" s="204"/>
    </row>
    <row r="1294" spans="1:29">
      <c r="A1294" s="204"/>
      <c r="B1294" s="204"/>
      <c r="C1294" s="204"/>
      <c r="D1294" s="204"/>
      <c r="E1294" s="204"/>
      <c r="F1294" s="204"/>
      <c r="G1294" s="204"/>
      <c r="H1294" s="204"/>
      <c r="I1294" s="204"/>
      <c r="J1294" s="204"/>
      <c r="K1294" s="204"/>
      <c r="L1294" s="205"/>
      <c r="M1294" s="205"/>
      <c r="N1294" s="204"/>
      <c r="O1294" s="204"/>
      <c r="P1294" s="206"/>
      <c r="Q1294" s="206"/>
      <c r="R1294" s="206"/>
      <c r="S1294" s="206"/>
      <c r="T1294" s="204"/>
      <c r="U1294" s="207"/>
      <c r="V1294" s="204"/>
      <c r="W1294" s="204"/>
      <c r="X1294" s="207"/>
      <c r="Y1294" s="207"/>
      <c r="Z1294" s="204"/>
      <c r="AA1294" s="204"/>
      <c r="AB1294" s="204"/>
      <c r="AC1294" s="204"/>
    </row>
    <row r="1295" spans="1:29">
      <c r="A1295" s="204"/>
      <c r="B1295" s="204"/>
      <c r="C1295" s="204"/>
      <c r="D1295" s="204"/>
      <c r="E1295" s="204"/>
      <c r="F1295" s="204"/>
      <c r="G1295" s="204"/>
      <c r="H1295" s="204"/>
      <c r="I1295" s="204"/>
      <c r="J1295" s="204"/>
      <c r="K1295" s="204"/>
      <c r="L1295" s="205"/>
      <c r="M1295" s="205"/>
      <c r="N1295" s="204"/>
      <c r="O1295" s="204"/>
      <c r="P1295" s="206"/>
      <c r="Q1295" s="206"/>
      <c r="R1295" s="206"/>
      <c r="S1295" s="206"/>
      <c r="T1295" s="204"/>
      <c r="U1295" s="207"/>
      <c r="V1295" s="204"/>
      <c r="W1295" s="204"/>
      <c r="X1295" s="207"/>
      <c r="Y1295" s="207"/>
      <c r="Z1295" s="204"/>
      <c r="AA1295" s="204"/>
      <c r="AB1295" s="204"/>
      <c r="AC1295" s="204"/>
    </row>
    <row r="1296" spans="1:29">
      <c r="A1296" s="204"/>
      <c r="B1296" s="204"/>
      <c r="C1296" s="204"/>
      <c r="D1296" s="204"/>
      <c r="E1296" s="204"/>
      <c r="F1296" s="204"/>
      <c r="G1296" s="204"/>
      <c r="H1296" s="204"/>
      <c r="I1296" s="204"/>
      <c r="J1296" s="204"/>
      <c r="K1296" s="204"/>
      <c r="L1296" s="205"/>
      <c r="M1296" s="205"/>
      <c r="N1296" s="204"/>
      <c r="O1296" s="204"/>
      <c r="P1296" s="206"/>
      <c r="Q1296" s="206"/>
      <c r="R1296" s="206"/>
      <c r="S1296" s="206"/>
      <c r="T1296" s="204"/>
      <c r="U1296" s="207"/>
      <c r="V1296" s="204"/>
      <c r="W1296" s="204"/>
      <c r="X1296" s="207"/>
      <c r="Y1296" s="207"/>
      <c r="Z1296" s="204"/>
      <c r="AA1296" s="204"/>
      <c r="AB1296" s="204"/>
      <c r="AC1296" s="204"/>
    </row>
    <row r="1297" spans="1:29">
      <c r="A1297" s="204"/>
      <c r="B1297" s="204"/>
      <c r="C1297" s="204"/>
      <c r="D1297" s="204"/>
      <c r="E1297" s="204"/>
      <c r="F1297" s="204"/>
      <c r="G1297" s="204"/>
      <c r="H1297" s="204"/>
      <c r="I1297" s="204"/>
      <c r="J1297" s="204"/>
      <c r="K1297" s="204"/>
      <c r="L1297" s="205"/>
      <c r="M1297" s="205"/>
      <c r="N1297" s="204"/>
      <c r="O1297" s="204"/>
      <c r="P1297" s="206"/>
      <c r="Q1297" s="206"/>
      <c r="R1297" s="206"/>
      <c r="S1297" s="206"/>
      <c r="T1297" s="204"/>
      <c r="U1297" s="207"/>
      <c r="V1297" s="204"/>
      <c r="W1297" s="204"/>
      <c r="X1297" s="207"/>
      <c r="Y1297" s="207"/>
      <c r="Z1297" s="204"/>
      <c r="AA1297" s="204"/>
      <c r="AB1297" s="204"/>
      <c r="AC1297" s="204"/>
    </row>
    <row r="1298" spans="1:29">
      <c r="A1298" s="204"/>
      <c r="B1298" s="204"/>
      <c r="C1298" s="204"/>
      <c r="D1298" s="204"/>
      <c r="E1298" s="204"/>
      <c r="F1298" s="204"/>
      <c r="G1298" s="204"/>
      <c r="H1298" s="204"/>
      <c r="I1298" s="204"/>
      <c r="J1298" s="204"/>
      <c r="K1298" s="204"/>
      <c r="L1298" s="205"/>
      <c r="M1298" s="205"/>
      <c r="N1298" s="204"/>
      <c r="O1298" s="204"/>
      <c r="P1298" s="206"/>
      <c r="Q1298" s="206"/>
      <c r="R1298" s="206"/>
      <c r="S1298" s="206"/>
      <c r="T1298" s="204"/>
      <c r="U1298" s="207"/>
      <c r="V1298" s="204"/>
      <c r="W1298" s="204"/>
      <c r="X1298" s="207"/>
      <c r="Y1298" s="207"/>
      <c r="Z1298" s="204"/>
      <c r="AA1298" s="204"/>
      <c r="AB1298" s="204"/>
      <c r="AC1298" s="204"/>
    </row>
    <row r="1299" spans="1:29">
      <c r="A1299" s="204"/>
      <c r="B1299" s="204"/>
      <c r="C1299" s="204"/>
      <c r="D1299" s="204"/>
      <c r="E1299" s="204"/>
      <c r="F1299" s="204"/>
      <c r="G1299" s="204"/>
      <c r="H1299" s="204"/>
      <c r="I1299" s="204"/>
      <c r="J1299" s="204"/>
      <c r="K1299" s="204"/>
      <c r="L1299" s="205"/>
      <c r="M1299" s="205"/>
      <c r="N1299" s="204"/>
      <c r="O1299" s="204"/>
      <c r="P1299" s="206"/>
      <c r="Q1299" s="206"/>
      <c r="R1299" s="206"/>
      <c r="S1299" s="206"/>
      <c r="T1299" s="204"/>
      <c r="U1299" s="207"/>
      <c r="V1299" s="204"/>
      <c r="W1299" s="204"/>
      <c r="X1299" s="207"/>
      <c r="Y1299" s="207"/>
      <c r="Z1299" s="204"/>
      <c r="AA1299" s="204"/>
      <c r="AB1299" s="204"/>
      <c r="AC1299" s="204"/>
    </row>
    <row r="1300" spans="1:29">
      <c r="A1300" s="204"/>
      <c r="B1300" s="204"/>
      <c r="C1300" s="204"/>
      <c r="D1300" s="204"/>
      <c r="E1300" s="204"/>
      <c r="F1300" s="204"/>
      <c r="G1300" s="204"/>
      <c r="H1300" s="204"/>
      <c r="I1300" s="204"/>
      <c r="J1300" s="204"/>
      <c r="K1300" s="204"/>
      <c r="L1300" s="205"/>
      <c r="M1300" s="205"/>
      <c r="N1300" s="204"/>
      <c r="O1300" s="204"/>
      <c r="P1300" s="206"/>
      <c r="Q1300" s="206"/>
      <c r="R1300" s="206"/>
      <c r="S1300" s="206"/>
      <c r="T1300" s="204"/>
      <c r="U1300" s="207"/>
      <c r="V1300" s="204"/>
      <c r="W1300" s="204"/>
      <c r="X1300" s="207"/>
      <c r="Y1300" s="207"/>
      <c r="Z1300" s="204"/>
      <c r="AA1300" s="204"/>
      <c r="AB1300" s="204"/>
      <c r="AC1300" s="204"/>
    </row>
    <row r="1301" spans="1:29">
      <c r="A1301" s="204"/>
      <c r="B1301" s="204"/>
      <c r="C1301" s="204"/>
      <c r="D1301" s="204"/>
      <c r="E1301" s="204"/>
      <c r="F1301" s="204"/>
      <c r="G1301" s="204"/>
      <c r="H1301" s="204"/>
      <c r="I1301" s="204"/>
      <c r="J1301" s="204"/>
      <c r="K1301" s="204"/>
      <c r="L1301" s="205"/>
      <c r="M1301" s="205"/>
      <c r="N1301" s="204"/>
      <c r="O1301" s="204"/>
      <c r="P1301" s="206"/>
      <c r="Q1301" s="206"/>
      <c r="R1301" s="206"/>
      <c r="S1301" s="206"/>
      <c r="T1301" s="204"/>
      <c r="U1301" s="207"/>
      <c r="V1301" s="204"/>
      <c r="W1301" s="204"/>
      <c r="X1301" s="207"/>
      <c r="Y1301" s="207"/>
      <c r="Z1301" s="204"/>
      <c r="AA1301" s="204"/>
      <c r="AB1301" s="204"/>
      <c r="AC1301" s="204"/>
    </row>
    <row r="1302" spans="1:29">
      <c r="A1302" s="204"/>
      <c r="B1302" s="204"/>
      <c r="C1302" s="204"/>
      <c r="D1302" s="204"/>
      <c r="E1302" s="204"/>
      <c r="F1302" s="204"/>
      <c r="G1302" s="204"/>
      <c r="H1302" s="204"/>
      <c r="I1302" s="204"/>
      <c r="J1302" s="204"/>
      <c r="K1302" s="204"/>
      <c r="L1302" s="205"/>
      <c r="M1302" s="205"/>
      <c r="N1302" s="204"/>
      <c r="O1302" s="204"/>
      <c r="P1302" s="206"/>
      <c r="Q1302" s="206"/>
      <c r="R1302" s="206"/>
      <c r="S1302" s="206"/>
      <c r="T1302" s="204"/>
      <c r="U1302" s="207"/>
      <c r="V1302" s="204"/>
      <c r="W1302" s="204"/>
      <c r="X1302" s="207"/>
      <c r="Y1302" s="207"/>
      <c r="Z1302" s="204"/>
      <c r="AA1302" s="204"/>
      <c r="AB1302" s="204"/>
      <c r="AC1302" s="204"/>
    </row>
    <row r="1303" spans="1:29">
      <c r="A1303" s="204"/>
      <c r="B1303" s="204"/>
      <c r="C1303" s="204"/>
      <c r="D1303" s="204"/>
      <c r="E1303" s="204"/>
      <c r="F1303" s="204"/>
      <c r="G1303" s="204"/>
      <c r="H1303" s="204"/>
      <c r="I1303" s="204"/>
      <c r="J1303" s="204"/>
      <c r="K1303" s="204"/>
      <c r="L1303" s="205"/>
      <c r="M1303" s="205"/>
      <c r="N1303" s="204"/>
      <c r="O1303" s="204"/>
      <c r="P1303" s="206"/>
      <c r="Q1303" s="206"/>
      <c r="R1303" s="206"/>
      <c r="S1303" s="206"/>
      <c r="T1303" s="204"/>
      <c r="U1303" s="207"/>
      <c r="V1303" s="204"/>
      <c r="W1303" s="204"/>
      <c r="X1303" s="207"/>
      <c r="Y1303" s="207"/>
      <c r="Z1303" s="204"/>
      <c r="AA1303" s="204"/>
      <c r="AB1303" s="204"/>
      <c r="AC1303" s="204"/>
    </row>
    <row r="1304" spans="1:29">
      <c r="A1304" s="204"/>
      <c r="B1304" s="204"/>
      <c r="C1304" s="204"/>
      <c r="D1304" s="204"/>
      <c r="E1304" s="204"/>
      <c r="F1304" s="204"/>
      <c r="G1304" s="204"/>
      <c r="H1304" s="204"/>
      <c r="I1304" s="204"/>
      <c r="J1304" s="204"/>
      <c r="K1304" s="204"/>
      <c r="L1304" s="205"/>
      <c r="M1304" s="205"/>
      <c r="N1304" s="204"/>
      <c r="O1304" s="204"/>
      <c r="P1304" s="206"/>
      <c r="Q1304" s="206"/>
      <c r="R1304" s="206"/>
      <c r="S1304" s="206"/>
      <c r="T1304" s="204"/>
      <c r="U1304" s="207"/>
      <c r="V1304" s="204"/>
      <c r="W1304" s="204"/>
      <c r="X1304" s="207"/>
      <c r="Y1304" s="207"/>
      <c r="Z1304" s="204"/>
      <c r="AA1304" s="204"/>
      <c r="AB1304" s="204"/>
      <c r="AC1304" s="204"/>
    </row>
    <row r="1305" spans="1:29">
      <c r="A1305" s="204"/>
      <c r="B1305" s="204"/>
      <c r="C1305" s="204"/>
      <c r="D1305" s="204"/>
      <c r="E1305" s="204"/>
      <c r="F1305" s="204"/>
      <c r="G1305" s="204"/>
      <c r="H1305" s="204"/>
      <c r="I1305" s="204"/>
      <c r="J1305" s="204"/>
      <c r="K1305" s="204"/>
      <c r="L1305" s="205"/>
      <c r="M1305" s="205"/>
      <c r="N1305" s="204"/>
      <c r="O1305" s="204"/>
      <c r="P1305" s="206"/>
      <c r="Q1305" s="206"/>
      <c r="R1305" s="206"/>
      <c r="S1305" s="206"/>
      <c r="T1305" s="204"/>
      <c r="U1305" s="207"/>
      <c r="V1305" s="204"/>
      <c r="W1305" s="204"/>
      <c r="X1305" s="207"/>
      <c r="Y1305" s="207"/>
      <c r="Z1305" s="204"/>
      <c r="AA1305" s="204"/>
      <c r="AB1305" s="204"/>
      <c r="AC1305" s="204"/>
    </row>
    <row r="1306" spans="1:29">
      <c r="A1306" s="204"/>
      <c r="B1306" s="204"/>
      <c r="C1306" s="204"/>
      <c r="D1306" s="204"/>
      <c r="E1306" s="204"/>
      <c r="F1306" s="204"/>
      <c r="G1306" s="204"/>
      <c r="H1306" s="204"/>
      <c r="I1306" s="204"/>
      <c r="J1306" s="204"/>
      <c r="K1306" s="204"/>
      <c r="L1306" s="205"/>
      <c r="M1306" s="205"/>
      <c r="N1306" s="204"/>
      <c r="O1306" s="204"/>
      <c r="P1306" s="206"/>
      <c r="Q1306" s="206"/>
      <c r="R1306" s="206"/>
      <c r="S1306" s="206"/>
      <c r="T1306" s="204"/>
      <c r="U1306" s="207"/>
      <c r="V1306" s="204"/>
      <c r="W1306" s="204"/>
      <c r="X1306" s="207"/>
      <c r="Y1306" s="207"/>
      <c r="Z1306" s="204"/>
      <c r="AA1306" s="204"/>
      <c r="AB1306" s="204"/>
      <c r="AC1306" s="204"/>
    </row>
    <row r="1307" spans="1:29">
      <c r="A1307" s="204"/>
      <c r="B1307" s="204"/>
      <c r="C1307" s="204"/>
      <c r="D1307" s="204"/>
      <c r="E1307" s="204"/>
      <c r="F1307" s="204"/>
      <c r="G1307" s="204"/>
      <c r="H1307" s="204"/>
      <c r="I1307" s="204"/>
      <c r="J1307" s="204"/>
      <c r="K1307" s="204"/>
      <c r="L1307" s="205"/>
      <c r="M1307" s="205"/>
      <c r="N1307" s="204"/>
      <c r="O1307" s="204"/>
      <c r="P1307" s="206"/>
      <c r="Q1307" s="206"/>
      <c r="R1307" s="206"/>
      <c r="S1307" s="206"/>
      <c r="T1307" s="204"/>
      <c r="U1307" s="207"/>
      <c r="V1307" s="204"/>
      <c r="W1307" s="204"/>
      <c r="X1307" s="207"/>
      <c r="Y1307" s="207"/>
      <c r="Z1307" s="204"/>
      <c r="AA1307" s="204"/>
      <c r="AB1307" s="204"/>
      <c r="AC1307" s="204"/>
    </row>
    <row r="1308" spans="1:29">
      <c r="A1308" s="204"/>
      <c r="B1308" s="204"/>
      <c r="C1308" s="204"/>
      <c r="D1308" s="204"/>
      <c r="E1308" s="204"/>
      <c r="F1308" s="204"/>
      <c r="G1308" s="204"/>
      <c r="H1308" s="204"/>
      <c r="I1308" s="204"/>
      <c r="J1308" s="204"/>
      <c r="K1308" s="204"/>
      <c r="L1308" s="205"/>
      <c r="M1308" s="205"/>
      <c r="N1308" s="204"/>
      <c r="O1308" s="204"/>
      <c r="P1308" s="206"/>
      <c r="Q1308" s="206"/>
      <c r="R1308" s="206"/>
      <c r="S1308" s="206"/>
      <c r="T1308" s="204"/>
      <c r="U1308" s="207"/>
      <c r="V1308" s="204"/>
      <c r="W1308" s="204"/>
      <c r="X1308" s="207"/>
      <c r="Y1308" s="207"/>
      <c r="Z1308" s="204"/>
      <c r="AA1308" s="204"/>
      <c r="AB1308" s="204"/>
      <c r="AC1308" s="204"/>
    </row>
    <row r="1309" spans="1:29">
      <c r="A1309" s="204"/>
      <c r="B1309" s="204"/>
      <c r="C1309" s="204"/>
      <c r="D1309" s="204"/>
      <c r="E1309" s="204"/>
      <c r="F1309" s="204"/>
      <c r="G1309" s="204"/>
      <c r="H1309" s="204"/>
      <c r="I1309" s="204"/>
      <c r="J1309" s="204"/>
      <c r="K1309" s="204"/>
      <c r="L1309" s="205"/>
      <c r="M1309" s="205"/>
      <c r="N1309" s="204"/>
      <c r="O1309" s="204"/>
      <c r="P1309" s="206"/>
      <c r="Q1309" s="206"/>
      <c r="R1309" s="206"/>
      <c r="S1309" s="206"/>
      <c r="T1309" s="204"/>
      <c r="U1309" s="207"/>
      <c r="V1309" s="204"/>
      <c r="W1309" s="204"/>
      <c r="X1309" s="207"/>
      <c r="Y1309" s="207"/>
      <c r="Z1309" s="204"/>
      <c r="AA1309" s="204"/>
      <c r="AB1309" s="204"/>
      <c r="AC1309" s="204"/>
    </row>
    <row r="1310" spans="1:29">
      <c r="A1310" s="204"/>
      <c r="B1310" s="204"/>
      <c r="C1310" s="204"/>
      <c r="D1310" s="204"/>
      <c r="E1310" s="204"/>
      <c r="F1310" s="204"/>
      <c r="G1310" s="204"/>
      <c r="H1310" s="204"/>
      <c r="I1310" s="204"/>
      <c r="J1310" s="204"/>
      <c r="K1310" s="204"/>
      <c r="L1310" s="205"/>
      <c r="M1310" s="205"/>
      <c r="N1310" s="204"/>
      <c r="O1310" s="204"/>
      <c r="P1310" s="206"/>
      <c r="Q1310" s="206"/>
      <c r="R1310" s="206"/>
      <c r="S1310" s="206"/>
      <c r="T1310" s="204"/>
      <c r="U1310" s="207"/>
      <c r="V1310" s="204"/>
      <c r="W1310" s="204"/>
      <c r="X1310" s="207"/>
      <c r="Y1310" s="207"/>
      <c r="Z1310" s="204"/>
      <c r="AA1310" s="204"/>
      <c r="AB1310" s="204"/>
      <c r="AC1310" s="204"/>
    </row>
    <row r="1311" spans="1:29">
      <c r="A1311" s="204"/>
      <c r="B1311" s="204"/>
      <c r="C1311" s="204"/>
      <c r="D1311" s="204"/>
      <c r="E1311" s="204"/>
      <c r="F1311" s="204"/>
      <c r="G1311" s="204"/>
      <c r="H1311" s="204"/>
      <c r="I1311" s="204"/>
      <c r="J1311" s="204"/>
      <c r="K1311" s="204"/>
      <c r="L1311" s="205"/>
      <c r="M1311" s="205"/>
      <c r="N1311" s="204"/>
      <c r="O1311" s="204"/>
      <c r="P1311" s="206"/>
      <c r="Q1311" s="206"/>
      <c r="R1311" s="206"/>
      <c r="S1311" s="206"/>
      <c r="T1311" s="204"/>
      <c r="U1311" s="207"/>
      <c r="V1311" s="204"/>
      <c r="W1311" s="204"/>
      <c r="X1311" s="207"/>
      <c r="Y1311" s="207"/>
      <c r="Z1311" s="204"/>
      <c r="AA1311" s="204"/>
      <c r="AB1311" s="204"/>
      <c r="AC1311" s="204"/>
    </row>
    <row r="1312" spans="1:29">
      <c r="A1312" s="204"/>
      <c r="B1312" s="204"/>
      <c r="C1312" s="204"/>
      <c r="D1312" s="204"/>
      <c r="E1312" s="204"/>
      <c r="F1312" s="204"/>
      <c r="G1312" s="204"/>
      <c r="H1312" s="204"/>
      <c r="I1312" s="204"/>
      <c r="J1312" s="204"/>
      <c r="K1312" s="204"/>
      <c r="L1312" s="205"/>
      <c r="M1312" s="205"/>
      <c r="N1312" s="204"/>
      <c r="O1312" s="204"/>
      <c r="P1312" s="206"/>
      <c r="Q1312" s="206"/>
      <c r="R1312" s="206"/>
      <c r="S1312" s="206"/>
      <c r="T1312" s="204"/>
      <c r="U1312" s="207"/>
      <c r="V1312" s="204"/>
      <c r="W1312" s="204"/>
      <c r="X1312" s="207"/>
      <c r="Y1312" s="207"/>
      <c r="Z1312" s="204"/>
      <c r="AA1312" s="204"/>
      <c r="AB1312" s="204"/>
      <c r="AC1312" s="204"/>
    </row>
    <row r="1313" spans="1:29">
      <c r="A1313" s="204"/>
      <c r="B1313" s="204"/>
      <c r="C1313" s="204"/>
      <c r="D1313" s="204"/>
      <c r="E1313" s="204"/>
      <c r="F1313" s="204"/>
      <c r="G1313" s="204"/>
      <c r="H1313" s="204"/>
      <c r="I1313" s="204"/>
      <c r="J1313" s="204"/>
      <c r="K1313" s="204"/>
      <c r="L1313" s="205"/>
      <c r="M1313" s="205"/>
      <c r="N1313" s="204"/>
      <c r="O1313" s="204"/>
      <c r="P1313" s="206"/>
      <c r="Q1313" s="206"/>
      <c r="R1313" s="206"/>
      <c r="S1313" s="206"/>
      <c r="T1313" s="204"/>
      <c r="U1313" s="207"/>
      <c r="V1313" s="204"/>
      <c r="W1313" s="204"/>
      <c r="X1313" s="207"/>
      <c r="Y1313" s="207"/>
      <c r="Z1313" s="204"/>
      <c r="AA1313" s="204"/>
      <c r="AB1313" s="204"/>
      <c r="AC1313" s="204"/>
    </row>
    <row r="1314" spans="1:29">
      <c r="A1314" s="204"/>
      <c r="B1314" s="204"/>
      <c r="C1314" s="204"/>
      <c r="D1314" s="204"/>
      <c r="E1314" s="204"/>
      <c r="F1314" s="204"/>
      <c r="G1314" s="204"/>
      <c r="H1314" s="204"/>
      <c r="I1314" s="204"/>
      <c r="J1314" s="204"/>
      <c r="K1314" s="204"/>
      <c r="L1314" s="205"/>
      <c r="M1314" s="205"/>
      <c r="N1314" s="204"/>
      <c r="O1314" s="204"/>
      <c r="P1314" s="206"/>
      <c r="Q1314" s="206"/>
      <c r="R1314" s="206"/>
      <c r="S1314" s="206"/>
      <c r="T1314" s="204"/>
      <c r="U1314" s="207"/>
      <c r="V1314" s="204"/>
      <c r="W1314" s="204"/>
      <c r="X1314" s="207"/>
      <c r="Y1314" s="207"/>
      <c r="Z1314" s="204"/>
      <c r="AA1314" s="204"/>
      <c r="AB1314" s="204"/>
      <c r="AC1314" s="204"/>
    </row>
    <row r="1315" spans="1:29">
      <c r="A1315" s="204"/>
      <c r="B1315" s="204"/>
      <c r="C1315" s="204"/>
      <c r="D1315" s="204"/>
      <c r="E1315" s="204"/>
      <c r="F1315" s="204"/>
      <c r="G1315" s="204"/>
      <c r="H1315" s="204"/>
      <c r="I1315" s="204"/>
      <c r="J1315" s="204"/>
      <c r="K1315" s="204"/>
      <c r="L1315" s="205"/>
      <c r="M1315" s="205"/>
      <c r="N1315" s="204"/>
      <c r="O1315" s="204"/>
      <c r="P1315" s="206"/>
      <c r="Q1315" s="206"/>
      <c r="R1315" s="206"/>
      <c r="S1315" s="206"/>
      <c r="T1315" s="204"/>
      <c r="U1315" s="207"/>
      <c r="V1315" s="204"/>
      <c r="W1315" s="204"/>
      <c r="X1315" s="207"/>
      <c r="Y1315" s="207"/>
      <c r="Z1315" s="204"/>
      <c r="AA1315" s="204"/>
      <c r="AB1315" s="204"/>
      <c r="AC1315" s="204"/>
    </row>
    <row r="1316" spans="1:29">
      <c r="A1316" s="204"/>
      <c r="B1316" s="204"/>
      <c r="C1316" s="204"/>
      <c r="D1316" s="204"/>
      <c r="E1316" s="204"/>
      <c r="F1316" s="204"/>
      <c r="G1316" s="204"/>
      <c r="H1316" s="204"/>
      <c r="I1316" s="204"/>
      <c r="J1316" s="204"/>
      <c r="K1316" s="204"/>
      <c r="L1316" s="205"/>
      <c r="M1316" s="205"/>
      <c r="N1316" s="204"/>
      <c r="O1316" s="204"/>
      <c r="P1316" s="206"/>
      <c r="Q1316" s="206"/>
      <c r="R1316" s="206"/>
      <c r="S1316" s="206"/>
      <c r="T1316" s="204"/>
      <c r="U1316" s="207"/>
      <c r="V1316" s="204"/>
      <c r="W1316" s="204"/>
      <c r="X1316" s="207"/>
      <c r="Y1316" s="207"/>
      <c r="Z1316" s="204"/>
      <c r="AA1316" s="204"/>
      <c r="AB1316" s="204"/>
      <c r="AC1316" s="204"/>
    </row>
    <row r="1317" spans="1:29">
      <c r="A1317" s="204"/>
      <c r="B1317" s="204"/>
      <c r="C1317" s="204"/>
      <c r="D1317" s="204"/>
      <c r="E1317" s="204"/>
      <c r="F1317" s="204"/>
      <c r="G1317" s="204"/>
      <c r="H1317" s="204"/>
      <c r="I1317" s="204"/>
      <c r="J1317" s="204"/>
      <c r="K1317" s="204"/>
      <c r="L1317" s="205"/>
      <c r="M1317" s="205"/>
      <c r="N1317" s="204"/>
      <c r="O1317" s="204"/>
      <c r="P1317" s="206"/>
      <c r="Q1317" s="206"/>
      <c r="R1317" s="206"/>
      <c r="S1317" s="206"/>
      <c r="T1317" s="204"/>
      <c r="U1317" s="207"/>
      <c r="V1317" s="204"/>
      <c r="W1317" s="204"/>
      <c r="X1317" s="207"/>
      <c r="Y1317" s="207"/>
      <c r="Z1317" s="204"/>
      <c r="AA1317" s="204"/>
      <c r="AB1317" s="204"/>
      <c r="AC1317" s="204"/>
    </row>
    <row r="1318" spans="1:29">
      <c r="A1318" s="204"/>
      <c r="B1318" s="204"/>
      <c r="C1318" s="204"/>
      <c r="D1318" s="204"/>
      <c r="E1318" s="204"/>
      <c r="F1318" s="204"/>
      <c r="G1318" s="204"/>
      <c r="H1318" s="204"/>
      <c r="I1318" s="204"/>
      <c r="J1318" s="204"/>
      <c r="K1318" s="204"/>
      <c r="L1318" s="205"/>
      <c r="M1318" s="205"/>
      <c r="N1318" s="204"/>
      <c r="O1318" s="204"/>
      <c r="P1318" s="206"/>
      <c r="Q1318" s="206"/>
      <c r="R1318" s="206"/>
      <c r="S1318" s="206"/>
      <c r="T1318" s="204"/>
      <c r="U1318" s="207"/>
      <c r="V1318" s="204"/>
      <c r="W1318" s="204"/>
      <c r="X1318" s="207"/>
      <c r="Y1318" s="207"/>
      <c r="Z1318" s="204"/>
      <c r="AA1318" s="204"/>
      <c r="AB1318" s="204"/>
      <c r="AC1318" s="204"/>
    </row>
    <row r="1319" spans="1:29">
      <c r="A1319" s="204"/>
      <c r="B1319" s="204"/>
      <c r="C1319" s="204"/>
      <c r="D1319" s="204"/>
      <c r="E1319" s="204"/>
      <c r="F1319" s="204"/>
      <c r="G1319" s="204"/>
      <c r="H1319" s="204"/>
      <c r="I1319" s="204"/>
      <c r="J1319" s="204"/>
      <c r="K1319" s="204"/>
      <c r="L1319" s="205"/>
      <c r="M1319" s="205"/>
      <c r="N1319" s="204"/>
      <c r="O1319" s="204"/>
      <c r="P1319" s="206"/>
      <c r="Q1319" s="206"/>
      <c r="R1319" s="206"/>
      <c r="S1319" s="206"/>
      <c r="T1319" s="204"/>
      <c r="U1319" s="207"/>
      <c r="V1319" s="204"/>
      <c r="W1319" s="204"/>
      <c r="X1319" s="207"/>
      <c r="Y1319" s="207"/>
      <c r="Z1319" s="204"/>
      <c r="AA1319" s="204"/>
      <c r="AB1319" s="204"/>
      <c r="AC1319" s="204"/>
    </row>
    <row r="1320" spans="1:29">
      <c r="A1320" s="204"/>
      <c r="B1320" s="204"/>
      <c r="C1320" s="204"/>
      <c r="D1320" s="204"/>
      <c r="E1320" s="204"/>
      <c r="F1320" s="204"/>
      <c r="G1320" s="204"/>
      <c r="H1320" s="204"/>
      <c r="I1320" s="204"/>
      <c r="J1320" s="204"/>
      <c r="K1320" s="204"/>
      <c r="L1320" s="205"/>
      <c r="M1320" s="205"/>
      <c r="N1320" s="204"/>
      <c r="O1320" s="204"/>
      <c r="P1320" s="206"/>
      <c r="Q1320" s="206"/>
      <c r="R1320" s="206"/>
      <c r="S1320" s="206"/>
      <c r="T1320" s="204"/>
      <c r="U1320" s="207"/>
      <c r="V1320" s="204"/>
      <c r="W1320" s="204"/>
      <c r="X1320" s="207"/>
      <c r="Y1320" s="207"/>
      <c r="Z1320" s="204"/>
      <c r="AA1320" s="204"/>
      <c r="AB1320" s="204"/>
      <c r="AC1320" s="204"/>
    </row>
    <row r="1321" spans="1:29">
      <c r="A1321" s="204"/>
      <c r="B1321" s="204"/>
      <c r="C1321" s="204"/>
      <c r="D1321" s="204"/>
      <c r="E1321" s="204"/>
      <c r="F1321" s="204"/>
      <c r="G1321" s="204"/>
      <c r="H1321" s="204"/>
      <c r="I1321" s="204"/>
      <c r="J1321" s="204"/>
      <c r="K1321" s="204"/>
      <c r="L1321" s="205"/>
      <c r="M1321" s="205"/>
      <c r="N1321" s="204"/>
      <c r="O1321" s="204"/>
      <c r="P1321" s="206"/>
      <c r="Q1321" s="206"/>
      <c r="R1321" s="206"/>
      <c r="S1321" s="206"/>
      <c r="T1321" s="204"/>
      <c r="U1321" s="207"/>
      <c r="V1321" s="204"/>
      <c r="W1321" s="204"/>
      <c r="X1321" s="207"/>
      <c r="Y1321" s="207"/>
      <c r="Z1321" s="204"/>
      <c r="AA1321" s="204"/>
      <c r="AB1321" s="204"/>
      <c r="AC1321" s="204"/>
    </row>
    <row r="1322" spans="1:29">
      <c r="A1322" s="204"/>
      <c r="B1322" s="204"/>
      <c r="C1322" s="204"/>
      <c r="D1322" s="204"/>
      <c r="E1322" s="204"/>
      <c r="F1322" s="204"/>
      <c r="G1322" s="204"/>
      <c r="H1322" s="204"/>
      <c r="I1322" s="204"/>
      <c r="J1322" s="204"/>
      <c r="K1322" s="204"/>
      <c r="L1322" s="205"/>
      <c r="M1322" s="205"/>
      <c r="N1322" s="204"/>
      <c r="O1322" s="204"/>
      <c r="P1322" s="206"/>
      <c r="Q1322" s="206"/>
      <c r="R1322" s="206"/>
      <c r="S1322" s="206"/>
      <c r="T1322" s="204"/>
      <c r="U1322" s="207"/>
      <c r="V1322" s="204"/>
      <c r="W1322" s="204"/>
      <c r="X1322" s="207"/>
      <c r="Y1322" s="207"/>
      <c r="Z1322" s="204"/>
      <c r="AA1322" s="204"/>
      <c r="AB1322" s="204"/>
      <c r="AC1322" s="204"/>
    </row>
    <row r="1323" spans="1:29">
      <c r="A1323" s="204"/>
      <c r="B1323" s="204"/>
      <c r="C1323" s="204"/>
      <c r="D1323" s="204"/>
      <c r="E1323" s="204"/>
      <c r="F1323" s="204"/>
      <c r="G1323" s="204"/>
      <c r="H1323" s="204"/>
      <c r="I1323" s="204"/>
      <c r="J1323" s="204"/>
      <c r="K1323" s="204"/>
      <c r="L1323" s="205"/>
      <c r="M1323" s="205"/>
      <c r="N1323" s="204"/>
      <c r="O1323" s="204"/>
      <c r="P1323" s="206"/>
      <c r="Q1323" s="206"/>
      <c r="R1323" s="206"/>
      <c r="S1323" s="206"/>
      <c r="T1323" s="204"/>
      <c r="U1323" s="207"/>
      <c r="V1323" s="204"/>
      <c r="W1323" s="204"/>
      <c r="X1323" s="207"/>
      <c r="Y1323" s="207"/>
      <c r="Z1323" s="204"/>
      <c r="AA1323" s="204"/>
      <c r="AB1323" s="204"/>
      <c r="AC1323" s="204"/>
    </row>
    <row r="1324" spans="1:29">
      <c r="A1324" s="204"/>
      <c r="B1324" s="204"/>
      <c r="C1324" s="204"/>
      <c r="D1324" s="204"/>
      <c r="E1324" s="204"/>
      <c r="F1324" s="204"/>
      <c r="G1324" s="204"/>
      <c r="H1324" s="204"/>
      <c r="I1324" s="204"/>
      <c r="J1324" s="204"/>
      <c r="K1324" s="204"/>
      <c r="L1324" s="205"/>
      <c r="M1324" s="205"/>
      <c r="N1324" s="204"/>
      <c r="O1324" s="204"/>
      <c r="P1324" s="206"/>
      <c r="Q1324" s="206"/>
      <c r="R1324" s="206"/>
      <c r="S1324" s="206"/>
      <c r="T1324" s="204"/>
      <c r="U1324" s="207"/>
      <c r="V1324" s="204"/>
      <c r="W1324" s="204"/>
      <c r="X1324" s="207"/>
      <c r="Y1324" s="207"/>
      <c r="Z1324" s="204"/>
      <c r="AA1324" s="204"/>
      <c r="AB1324" s="204"/>
      <c r="AC1324" s="204"/>
    </row>
    <row r="1325" spans="1:29">
      <c r="A1325" s="204"/>
      <c r="B1325" s="204"/>
      <c r="C1325" s="204"/>
      <c r="D1325" s="204"/>
      <c r="E1325" s="204"/>
      <c r="F1325" s="204"/>
      <c r="G1325" s="204"/>
      <c r="H1325" s="204"/>
      <c r="I1325" s="204"/>
      <c r="J1325" s="204"/>
      <c r="K1325" s="204"/>
      <c r="L1325" s="205"/>
      <c r="M1325" s="205"/>
      <c r="N1325" s="204"/>
      <c r="O1325" s="204"/>
      <c r="P1325" s="206"/>
      <c r="Q1325" s="206"/>
      <c r="R1325" s="206"/>
      <c r="S1325" s="206"/>
      <c r="T1325" s="204"/>
      <c r="U1325" s="207"/>
      <c r="V1325" s="204"/>
      <c r="W1325" s="204"/>
      <c r="X1325" s="207"/>
      <c r="Y1325" s="207"/>
      <c r="Z1325" s="204"/>
      <c r="AA1325" s="204"/>
      <c r="AB1325" s="204"/>
      <c r="AC1325" s="204"/>
    </row>
    <row r="1326" spans="1:29">
      <c r="A1326" s="204"/>
      <c r="B1326" s="204"/>
      <c r="C1326" s="204"/>
      <c r="D1326" s="204"/>
      <c r="E1326" s="204"/>
      <c r="F1326" s="204"/>
      <c r="G1326" s="204"/>
      <c r="H1326" s="204"/>
      <c r="I1326" s="204"/>
      <c r="J1326" s="204"/>
      <c r="K1326" s="204"/>
      <c r="L1326" s="205"/>
      <c r="M1326" s="205"/>
      <c r="N1326" s="204"/>
      <c r="O1326" s="204"/>
      <c r="P1326" s="206"/>
      <c r="Q1326" s="206"/>
      <c r="R1326" s="206"/>
      <c r="S1326" s="206"/>
      <c r="T1326" s="204"/>
      <c r="U1326" s="207"/>
      <c r="V1326" s="204"/>
      <c r="W1326" s="204"/>
      <c r="X1326" s="207"/>
      <c r="Y1326" s="207"/>
      <c r="Z1326" s="204"/>
      <c r="AA1326" s="204"/>
      <c r="AB1326" s="204"/>
      <c r="AC1326" s="204"/>
    </row>
    <row r="1327" spans="1:29">
      <c r="A1327" s="204"/>
      <c r="B1327" s="204"/>
      <c r="C1327" s="204"/>
      <c r="D1327" s="204"/>
      <c r="E1327" s="204"/>
      <c r="F1327" s="204"/>
      <c r="G1327" s="204"/>
      <c r="H1327" s="204"/>
      <c r="I1327" s="204"/>
      <c r="J1327" s="204"/>
      <c r="K1327" s="204"/>
      <c r="L1327" s="205"/>
      <c r="M1327" s="205"/>
      <c r="N1327" s="204"/>
      <c r="O1327" s="204"/>
      <c r="P1327" s="206"/>
      <c r="Q1327" s="206"/>
      <c r="R1327" s="206"/>
      <c r="S1327" s="206"/>
      <c r="T1327" s="204"/>
      <c r="U1327" s="207"/>
      <c r="V1327" s="204"/>
      <c r="W1327" s="204"/>
      <c r="X1327" s="207"/>
      <c r="Y1327" s="207"/>
      <c r="Z1327" s="204"/>
      <c r="AA1327" s="204"/>
      <c r="AB1327" s="204"/>
      <c r="AC1327" s="204"/>
    </row>
    <row r="1328" spans="1:29">
      <c r="A1328" s="204"/>
      <c r="B1328" s="204"/>
      <c r="C1328" s="204"/>
      <c r="D1328" s="204"/>
      <c r="E1328" s="204"/>
      <c r="F1328" s="204"/>
      <c r="G1328" s="204"/>
      <c r="H1328" s="204"/>
      <c r="I1328" s="204"/>
      <c r="J1328" s="204"/>
      <c r="K1328" s="204"/>
      <c r="L1328" s="205"/>
      <c r="M1328" s="205"/>
      <c r="N1328" s="204"/>
      <c r="O1328" s="204"/>
      <c r="P1328" s="206"/>
      <c r="Q1328" s="206"/>
      <c r="R1328" s="206"/>
      <c r="S1328" s="206"/>
      <c r="T1328" s="204"/>
      <c r="U1328" s="207"/>
      <c r="V1328" s="204"/>
      <c r="W1328" s="204"/>
      <c r="X1328" s="207"/>
      <c r="Y1328" s="207"/>
      <c r="Z1328" s="204"/>
      <c r="AA1328" s="204"/>
      <c r="AB1328" s="204"/>
      <c r="AC1328" s="204"/>
    </row>
    <row r="1329" spans="1:29">
      <c r="A1329" s="204"/>
      <c r="B1329" s="204"/>
      <c r="C1329" s="204"/>
      <c r="D1329" s="204"/>
      <c r="E1329" s="204"/>
      <c r="F1329" s="204"/>
      <c r="G1329" s="204"/>
      <c r="H1329" s="204"/>
      <c r="I1329" s="204"/>
      <c r="J1329" s="204"/>
      <c r="K1329" s="204"/>
      <c r="L1329" s="205"/>
      <c r="M1329" s="205"/>
      <c r="N1329" s="204"/>
      <c r="O1329" s="204"/>
      <c r="P1329" s="206"/>
      <c r="Q1329" s="206"/>
      <c r="R1329" s="206"/>
      <c r="S1329" s="206"/>
      <c r="T1329" s="204"/>
      <c r="U1329" s="207"/>
      <c r="V1329" s="204"/>
      <c r="W1329" s="204"/>
      <c r="X1329" s="207"/>
      <c r="Y1329" s="207"/>
      <c r="Z1329" s="204"/>
      <c r="AA1329" s="204"/>
      <c r="AB1329" s="204"/>
      <c r="AC1329" s="204"/>
    </row>
    <row r="1330" spans="1:29">
      <c r="A1330" s="204"/>
      <c r="B1330" s="204"/>
      <c r="C1330" s="204"/>
      <c r="D1330" s="204"/>
      <c r="E1330" s="204"/>
      <c r="F1330" s="204"/>
      <c r="G1330" s="204"/>
      <c r="H1330" s="204"/>
      <c r="I1330" s="204"/>
      <c r="J1330" s="204"/>
      <c r="K1330" s="204"/>
      <c r="L1330" s="205"/>
      <c r="M1330" s="205"/>
      <c r="N1330" s="204"/>
      <c r="O1330" s="204"/>
      <c r="P1330" s="206"/>
      <c r="Q1330" s="206"/>
      <c r="R1330" s="206"/>
      <c r="S1330" s="206"/>
      <c r="T1330" s="204"/>
      <c r="U1330" s="207"/>
      <c r="V1330" s="204"/>
      <c r="W1330" s="204"/>
      <c r="X1330" s="207"/>
      <c r="Y1330" s="207"/>
      <c r="Z1330" s="204"/>
      <c r="AA1330" s="204"/>
      <c r="AB1330" s="204"/>
      <c r="AC1330" s="204"/>
    </row>
    <row r="1331" spans="1:29">
      <c r="A1331" s="204"/>
      <c r="B1331" s="204"/>
      <c r="C1331" s="204"/>
      <c r="D1331" s="204"/>
      <c r="E1331" s="204"/>
      <c r="F1331" s="204"/>
      <c r="G1331" s="204"/>
      <c r="H1331" s="204"/>
      <c r="I1331" s="204"/>
      <c r="J1331" s="204"/>
      <c r="K1331" s="204"/>
      <c r="L1331" s="205"/>
      <c r="M1331" s="205"/>
      <c r="N1331" s="204"/>
      <c r="O1331" s="204"/>
      <c r="P1331" s="206"/>
      <c r="Q1331" s="206"/>
      <c r="R1331" s="206"/>
      <c r="S1331" s="206"/>
      <c r="T1331" s="204"/>
      <c r="U1331" s="207"/>
      <c r="V1331" s="204"/>
      <c r="W1331" s="204"/>
      <c r="X1331" s="207"/>
      <c r="Y1331" s="207"/>
      <c r="Z1331" s="204"/>
      <c r="AA1331" s="204"/>
      <c r="AB1331" s="204"/>
      <c r="AC1331" s="204"/>
    </row>
    <row r="1332" spans="1:29">
      <c r="A1332" s="204"/>
      <c r="B1332" s="204"/>
      <c r="C1332" s="204"/>
      <c r="D1332" s="204"/>
      <c r="E1332" s="204"/>
      <c r="F1332" s="204"/>
      <c r="G1332" s="204"/>
      <c r="H1332" s="204"/>
      <c r="I1332" s="204"/>
      <c r="J1332" s="204"/>
      <c r="K1332" s="204"/>
      <c r="L1332" s="205"/>
      <c r="M1332" s="205"/>
      <c r="N1332" s="204"/>
      <c r="O1332" s="204"/>
      <c r="P1332" s="206"/>
      <c r="Q1332" s="206"/>
      <c r="R1332" s="206"/>
      <c r="S1332" s="206"/>
      <c r="T1332" s="204"/>
      <c r="U1332" s="207"/>
      <c r="V1332" s="204"/>
      <c r="W1332" s="204"/>
      <c r="X1332" s="207"/>
      <c r="Y1332" s="207"/>
      <c r="Z1332" s="204"/>
      <c r="AA1332" s="204"/>
      <c r="AB1332" s="204"/>
      <c r="AC1332" s="204"/>
    </row>
    <row r="1333" spans="1:29">
      <c r="A1333" s="204"/>
      <c r="B1333" s="204"/>
      <c r="C1333" s="204"/>
      <c r="D1333" s="204"/>
      <c r="E1333" s="204"/>
      <c r="F1333" s="204"/>
      <c r="G1333" s="204"/>
      <c r="H1333" s="204"/>
      <c r="I1333" s="204"/>
      <c r="J1333" s="204"/>
      <c r="K1333" s="204"/>
      <c r="L1333" s="205"/>
      <c r="M1333" s="205"/>
      <c r="N1333" s="204"/>
      <c r="O1333" s="204"/>
      <c r="P1333" s="206"/>
      <c r="Q1333" s="206"/>
      <c r="R1333" s="206"/>
      <c r="S1333" s="206"/>
      <c r="T1333" s="204"/>
      <c r="U1333" s="207"/>
      <c r="V1333" s="204"/>
      <c r="W1333" s="204"/>
      <c r="X1333" s="207"/>
      <c r="Y1333" s="207"/>
      <c r="Z1333" s="204"/>
      <c r="AA1333" s="204"/>
      <c r="AB1333" s="204"/>
      <c r="AC1333" s="204"/>
    </row>
    <row r="1334" spans="1:29">
      <c r="A1334" s="204"/>
      <c r="B1334" s="204"/>
      <c r="C1334" s="204"/>
      <c r="D1334" s="204"/>
      <c r="E1334" s="204"/>
      <c r="F1334" s="204"/>
      <c r="G1334" s="204"/>
      <c r="H1334" s="204"/>
      <c r="I1334" s="204"/>
      <c r="J1334" s="204"/>
      <c r="K1334" s="204"/>
      <c r="L1334" s="205"/>
      <c r="M1334" s="205"/>
      <c r="N1334" s="204"/>
      <c r="O1334" s="204"/>
      <c r="P1334" s="206"/>
      <c r="Q1334" s="206"/>
      <c r="R1334" s="206"/>
      <c r="S1334" s="206"/>
      <c r="T1334" s="204"/>
      <c r="U1334" s="207"/>
      <c r="V1334" s="204"/>
      <c r="W1334" s="204"/>
      <c r="X1334" s="207"/>
      <c r="Y1334" s="207"/>
      <c r="Z1334" s="204"/>
      <c r="AA1334" s="204"/>
      <c r="AB1334" s="204"/>
      <c r="AC1334" s="204"/>
    </row>
    <row r="1335" spans="1:29">
      <c r="A1335" s="204"/>
      <c r="B1335" s="204"/>
      <c r="C1335" s="204"/>
      <c r="D1335" s="204"/>
      <c r="E1335" s="204"/>
      <c r="F1335" s="204"/>
      <c r="G1335" s="204"/>
      <c r="H1335" s="204"/>
      <c r="I1335" s="204"/>
      <c r="J1335" s="204"/>
      <c r="K1335" s="204"/>
      <c r="L1335" s="205"/>
      <c r="M1335" s="205"/>
      <c r="N1335" s="204"/>
      <c r="O1335" s="204"/>
      <c r="P1335" s="206"/>
      <c r="Q1335" s="206"/>
      <c r="R1335" s="206"/>
      <c r="S1335" s="206"/>
      <c r="T1335" s="204"/>
      <c r="U1335" s="207"/>
      <c r="V1335" s="204"/>
      <c r="W1335" s="204"/>
      <c r="X1335" s="207"/>
      <c r="Y1335" s="207"/>
      <c r="Z1335" s="204"/>
      <c r="AA1335" s="204"/>
      <c r="AB1335" s="204"/>
      <c r="AC1335" s="204"/>
    </row>
    <row r="1336" spans="1:29">
      <c r="A1336" s="204"/>
      <c r="B1336" s="204"/>
      <c r="C1336" s="204"/>
      <c r="D1336" s="204"/>
      <c r="E1336" s="204"/>
      <c r="F1336" s="204"/>
      <c r="G1336" s="204"/>
      <c r="H1336" s="204"/>
      <c r="I1336" s="204"/>
      <c r="J1336" s="204"/>
      <c r="K1336" s="204"/>
      <c r="L1336" s="205"/>
      <c r="M1336" s="205"/>
      <c r="N1336" s="204"/>
      <c r="O1336" s="204"/>
      <c r="P1336" s="206"/>
      <c r="Q1336" s="206"/>
      <c r="R1336" s="206"/>
      <c r="S1336" s="206"/>
      <c r="T1336" s="204"/>
      <c r="U1336" s="207"/>
      <c r="V1336" s="204"/>
      <c r="W1336" s="204"/>
      <c r="X1336" s="207"/>
      <c r="Y1336" s="207"/>
      <c r="Z1336" s="204"/>
      <c r="AA1336" s="204"/>
      <c r="AB1336" s="204"/>
      <c r="AC1336" s="204"/>
    </row>
    <row r="1337" spans="1:29">
      <c r="A1337" s="204"/>
      <c r="B1337" s="204"/>
      <c r="C1337" s="204"/>
      <c r="D1337" s="204"/>
      <c r="E1337" s="204"/>
      <c r="F1337" s="204"/>
      <c r="G1337" s="204"/>
      <c r="H1337" s="204"/>
      <c r="I1337" s="204"/>
      <c r="J1337" s="204"/>
      <c r="K1337" s="204"/>
      <c r="L1337" s="205"/>
      <c r="M1337" s="205"/>
      <c r="N1337" s="204"/>
      <c r="O1337" s="204"/>
      <c r="P1337" s="206"/>
      <c r="Q1337" s="206"/>
      <c r="R1337" s="206"/>
      <c r="S1337" s="206"/>
      <c r="T1337" s="204"/>
      <c r="U1337" s="207"/>
      <c r="V1337" s="204"/>
      <c r="W1337" s="204"/>
      <c r="X1337" s="207"/>
      <c r="Y1337" s="207"/>
      <c r="Z1337" s="204"/>
      <c r="AA1337" s="204"/>
      <c r="AB1337" s="204"/>
      <c r="AC1337" s="204"/>
    </row>
    <row r="1338" spans="1:29">
      <c r="A1338" s="204"/>
      <c r="B1338" s="204"/>
      <c r="C1338" s="204"/>
      <c r="D1338" s="204"/>
      <c r="E1338" s="204"/>
      <c r="F1338" s="204"/>
      <c r="G1338" s="204"/>
      <c r="H1338" s="204"/>
      <c r="I1338" s="204"/>
      <c r="J1338" s="204"/>
      <c r="K1338" s="204"/>
      <c r="L1338" s="205"/>
      <c r="M1338" s="205"/>
      <c r="N1338" s="204"/>
      <c r="O1338" s="204"/>
      <c r="P1338" s="206"/>
      <c r="Q1338" s="206"/>
      <c r="R1338" s="206"/>
      <c r="S1338" s="206"/>
      <c r="T1338" s="204"/>
      <c r="U1338" s="207"/>
      <c r="V1338" s="204"/>
      <c r="W1338" s="204"/>
      <c r="X1338" s="207"/>
      <c r="Y1338" s="207"/>
      <c r="Z1338" s="204"/>
      <c r="AA1338" s="204"/>
      <c r="AB1338" s="204"/>
      <c r="AC1338" s="204"/>
    </row>
    <row r="1339" spans="1:29">
      <c r="A1339" s="204"/>
      <c r="B1339" s="204"/>
      <c r="C1339" s="204"/>
      <c r="D1339" s="204"/>
      <c r="E1339" s="204"/>
      <c r="F1339" s="204"/>
      <c r="G1339" s="204"/>
      <c r="H1339" s="204"/>
      <c r="I1339" s="204"/>
      <c r="J1339" s="204"/>
      <c r="K1339" s="204"/>
      <c r="L1339" s="205"/>
      <c r="M1339" s="205"/>
      <c r="N1339" s="204"/>
      <c r="O1339" s="204"/>
      <c r="P1339" s="206"/>
      <c r="Q1339" s="206"/>
      <c r="R1339" s="206"/>
      <c r="S1339" s="206"/>
      <c r="T1339" s="204"/>
      <c r="U1339" s="207"/>
      <c r="V1339" s="204"/>
      <c r="W1339" s="204"/>
      <c r="X1339" s="207"/>
      <c r="Y1339" s="207"/>
      <c r="Z1339" s="204"/>
      <c r="AA1339" s="204"/>
      <c r="AB1339" s="204"/>
      <c r="AC1339" s="204"/>
    </row>
    <row r="1340" spans="1:29">
      <c r="A1340" s="204"/>
      <c r="B1340" s="204"/>
      <c r="C1340" s="204"/>
      <c r="D1340" s="204"/>
      <c r="E1340" s="204"/>
      <c r="F1340" s="204"/>
      <c r="G1340" s="204"/>
      <c r="H1340" s="204"/>
      <c r="I1340" s="204"/>
      <c r="J1340" s="204"/>
      <c r="K1340" s="204"/>
      <c r="L1340" s="205"/>
      <c r="M1340" s="205"/>
      <c r="N1340" s="204"/>
      <c r="O1340" s="204"/>
      <c r="P1340" s="206"/>
      <c r="Q1340" s="206"/>
      <c r="R1340" s="206"/>
      <c r="S1340" s="206"/>
      <c r="T1340" s="204"/>
      <c r="U1340" s="207"/>
      <c r="V1340" s="204"/>
      <c r="W1340" s="204"/>
      <c r="X1340" s="207"/>
      <c r="Y1340" s="207"/>
      <c r="Z1340" s="204"/>
      <c r="AA1340" s="204"/>
      <c r="AB1340" s="204"/>
      <c r="AC1340" s="204"/>
    </row>
    <row r="1341" spans="1:29">
      <c r="A1341" s="204"/>
      <c r="B1341" s="204"/>
      <c r="C1341" s="204"/>
      <c r="D1341" s="204"/>
      <c r="E1341" s="204"/>
      <c r="F1341" s="204"/>
      <c r="G1341" s="204"/>
      <c r="H1341" s="204"/>
      <c r="I1341" s="204"/>
      <c r="J1341" s="204"/>
      <c r="K1341" s="204"/>
      <c r="L1341" s="205"/>
      <c r="M1341" s="205"/>
      <c r="N1341" s="204"/>
      <c r="O1341" s="204"/>
      <c r="P1341" s="206"/>
      <c r="Q1341" s="206"/>
      <c r="R1341" s="206"/>
      <c r="S1341" s="206"/>
      <c r="T1341" s="204"/>
      <c r="U1341" s="207"/>
      <c r="V1341" s="204"/>
      <c r="W1341" s="204"/>
      <c r="X1341" s="207"/>
      <c r="Y1341" s="207"/>
      <c r="Z1341" s="204"/>
      <c r="AA1341" s="204"/>
      <c r="AB1341" s="204"/>
      <c r="AC1341" s="204"/>
    </row>
    <row r="1342" spans="1:29">
      <c r="A1342" s="204"/>
      <c r="B1342" s="204"/>
      <c r="C1342" s="204"/>
      <c r="D1342" s="204"/>
      <c r="E1342" s="204"/>
      <c r="F1342" s="204"/>
      <c r="G1342" s="204"/>
      <c r="H1342" s="204"/>
      <c r="I1342" s="204"/>
      <c r="J1342" s="204"/>
      <c r="K1342" s="204"/>
      <c r="L1342" s="205"/>
      <c r="M1342" s="205"/>
      <c r="N1342" s="204"/>
      <c r="O1342" s="204"/>
      <c r="P1342" s="206"/>
      <c r="Q1342" s="206"/>
      <c r="R1342" s="206"/>
      <c r="S1342" s="206"/>
      <c r="T1342" s="204"/>
      <c r="U1342" s="207"/>
      <c r="V1342" s="204"/>
      <c r="W1342" s="204"/>
      <c r="X1342" s="207"/>
      <c r="Y1342" s="207"/>
      <c r="Z1342" s="204"/>
      <c r="AA1342" s="204"/>
      <c r="AB1342" s="204"/>
      <c r="AC1342" s="204"/>
    </row>
    <row r="1343" spans="1:29">
      <c r="A1343" s="204"/>
      <c r="B1343" s="204"/>
      <c r="C1343" s="204"/>
      <c r="D1343" s="204"/>
      <c r="E1343" s="204"/>
      <c r="F1343" s="204"/>
      <c r="G1343" s="204"/>
      <c r="H1343" s="204"/>
      <c r="I1343" s="204"/>
      <c r="J1343" s="204"/>
      <c r="K1343" s="204"/>
      <c r="L1343" s="205"/>
      <c r="M1343" s="205"/>
      <c r="N1343" s="204"/>
      <c r="O1343" s="204"/>
      <c r="P1343" s="206"/>
      <c r="Q1343" s="206"/>
      <c r="R1343" s="206"/>
      <c r="S1343" s="206"/>
      <c r="T1343" s="204"/>
      <c r="U1343" s="207"/>
      <c r="V1343" s="204"/>
      <c r="W1343" s="204"/>
      <c r="X1343" s="207"/>
      <c r="Y1343" s="207"/>
      <c r="Z1343" s="204"/>
      <c r="AA1343" s="204"/>
      <c r="AB1343" s="204"/>
      <c r="AC1343" s="204"/>
    </row>
    <row r="1344" spans="1:29">
      <c r="A1344" s="204"/>
      <c r="B1344" s="204"/>
      <c r="C1344" s="204"/>
      <c r="D1344" s="204"/>
      <c r="E1344" s="204"/>
      <c r="F1344" s="204"/>
      <c r="G1344" s="204"/>
      <c r="H1344" s="204"/>
      <c r="I1344" s="204"/>
      <c r="J1344" s="204"/>
      <c r="K1344" s="204"/>
      <c r="L1344" s="205"/>
      <c r="M1344" s="205"/>
      <c r="N1344" s="204"/>
      <c r="O1344" s="204"/>
      <c r="P1344" s="206"/>
      <c r="Q1344" s="206"/>
      <c r="R1344" s="206"/>
      <c r="S1344" s="206"/>
      <c r="T1344" s="204"/>
      <c r="U1344" s="207"/>
      <c r="V1344" s="204"/>
      <c r="W1344" s="204"/>
      <c r="X1344" s="207"/>
      <c r="Y1344" s="207"/>
      <c r="Z1344" s="204"/>
      <c r="AA1344" s="204"/>
      <c r="AB1344" s="204"/>
      <c r="AC1344" s="204"/>
    </row>
    <row r="1345" spans="1:29">
      <c r="A1345" s="204"/>
      <c r="B1345" s="204"/>
      <c r="C1345" s="204"/>
      <c r="D1345" s="204"/>
      <c r="E1345" s="204"/>
      <c r="F1345" s="204"/>
      <c r="G1345" s="204"/>
      <c r="H1345" s="204"/>
      <c r="I1345" s="204"/>
      <c r="J1345" s="204"/>
      <c r="K1345" s="204"/>
      <c r="L1345" s="205"/>
      <c r="M1345" s="205"/>
      <c r="N1345" s="204"/>
      <c r="O1345" s="204"/>
      <c r="P1345" s="206"/>
      <c r="Q1345" s="206"/>
      <c r="R1345" s="206"/>
      <c r="S1345" s="206"/>
      <c r="T1345" s="204"/>
      <c r="U1345" s="207"/>
      <c r="V1345" s="204"/>
      <c r="W1345" s="204"/>
      <c r="X1345" s="207"/>
      <c r="Y1345" s="207"/>
      <c r="Z1345" s="204"/>
      <c r="AA1345" s="204"/>
      <c r="AB1345" s="204"/>
      <c r="AC1345" s="204"/>
    </row>
    <row r="1346" spans="1:29">
      <c r="A1346" s="204"/>
      <c r="B1346" s="204"/>
      <c r="C1346" s="204"/>
      <c r="D1346" s="204"/>
      <c r="E1346" s="204"/>
      <c r="F1346" s="204"/>
      <c r="G1346" s="204"/>
      <c r="H1346" s="204"/>
      <c r="I1346" s="204"/>
      <c r="J1346" s="204"/>
      <c r="K1346" s="204"/>
      <c r="L1346" s="205"/>
      <c r="M1346" s="205"/>
      <c r="N1346" s="204"/>
      <c r="O1346" s="204"/>
      <c r="P1346" s="206"/>
      <c r="Q1346" s="206"/>
      <c r="R1346" s="206"/>
      <c r="S1346" s="206"/>
      <c r="T1346" s="204"/>
      <c r="U1346" s="207"/>
      <c r="V1346" s="204"/>
      <c r="W1346" s="204"/>
      <c r="X1346" s="207"/>
      <c r="Y1346" s="207"/>
      <c r="Z1346" s="204"/>
      <c r="AA1346" s="204"/>
      <c r="AB1346" s="204"/>
      <c r="AC1346" s="204"/>
    </row>
    <row r="1347" spans="1:29">
      <c r="A1347" s="204"/>
      <c r="B1347" s="204"/>
      <c r="C1347" s="204"/>
      <c r="D1347" s="204"/>
      <c r="E1347" s="204"/>
      <c r="F1347" s="204"/>
      <c r="G1347" s="204"/>
      <c r="H1347" s="204"/>
      <c r="I1347" s="204"/>
      <c r="J1347" s="204"/>
      <c r="K1347" s="204"/>
      <c r="L1347" s="205"/>
      <c r="M1347" s="205"/>
      <c r="N1347" s="204"/>
      <c r="O1347" s="204"/>
      <c r="P1347" s="206"/>
      <c r="Q1347" s="206"/>
      <c r="R1347" s="206"/>
      <c r="S1347" s="206"/>
      <c r="T1347" s="204"/>
      <c r="U1347" s="207"/>
      <c r="V1347" s="204"/>
      <c r="W1347" s="204"/>
      <c r="X1347" s="207"/>
      <c r="Y1347" s="207"/>
      <c r="Z1347" s="204"/>
      <c r="AA1347" s="204"/>
      <c r="AB1347" s="204"/>
      <c r="AC1347" s="204"/>
    </row>
    <row r="1348" spans="1:29">
      <c r="A1348" s="204"/>
      <c r="B1348" s="204"/>
      <c r="C1348" s="204"/>
      <c r="D1348" s="204"/>
      <c r="E1348" s="204"/>
      <c r="F1348" s="204"/>
      <c r="G1348" s="204"/>
      <c r="H1348" s="204"/>
      <c r="I1348" s="204"/>
      <c r="J1348" s="204"/>
      <c r="K1348" s="204"/>
      <c r="L1348" s="205"/>
      <c r="M1348" s="205"/>
      <c r="N1348" s="204"/>
      <c r="O1348" s="204"/>
      <c r="P1348" s="206"/>
      <c r="Q1348" s="206"/>
      <c r="R1348" s="206"/>
      <c r="S1348" s="206"/>
      <c r="T1348" s="204"/>
      <c r="U1348" s="207"/>
      <c r="V1348" s="204"/>
      <c r="W1348" s="204"/>
      <c r="X1348" s="207"/>
      <c r="Y1348" s="207"/>
      <c r="Z1348" s="204"/>
      <c r="AA1348" s="204"/>
      <c r="AB1348" s="204"/>
      <c r="AC1348" s="204"/>
    </row>
    <row r="1349" spans="1:29">
      <c r="A1349" s="204"/>
      <c r="B1349" s="204"/>
      <c r="C1349" s="204"/>
      <c r="D1349" s="204"/>
      <c r="E1349" s="204"/>
      <c r="F1349" s="204"/>
      <c r="G1349" s="204"/>
      <c r="H1349" s="204"/>
      <c r="I1349" s="204"/>
      <c r="J1349" s="204"/>
      <c r="K1349" s="204"/>
      <c r="L1349" s="205"/>
      <c r="M1349" s="205"/>
      <c r="N1349" s="204"/>
      <c r="O1349" s="204"/>
      <c r="P1349" s="206"/>
      <c r="Q1349" s="206"/>
      <c r="R1349" s="206"/>
      <c r="S1349" s="206"/>
      <c r="T1349" s="204"/>
      <c r="U1349" s="207"/>
      <c r="V1349" s="204"/>
      <c r="W1349" s="204"/>
      <c r="X1349" s="207"/>
      <c r="Y1349" s="207"/>
      <c r="Z1349" s="204"/>
      <c r="AA1349" s="204"/>
      <c r="AB1349" s="204"/>
      <c r="AC1349" s="204"/>
    </row>
    <row r="1350" spans="1:29">
      <c r="A1350" s="204"/>
      <c r="B1350" s="204"/>
      <c r="C1350" s="204"/>
      <c r="D1350" s="204"/>
      <c r="E1350" s="204"/>
      <c r="F1350" s="204"/>
      <c r="G1350" s="204"/>
      <c r="H1350" s="204"/>
      <c r="I1350" s="204"/>
      <c r="J1350" s="204"/>
      <c r="K1350" s="204"/>
      <c r="L1350" s="205"/>
      <c r="M1350" s="205"/>
      <c r="N1350" s="204"/>
      <c r="O1350" s="204"/>
      <c r="P1350" s="206"/>
      <c r="Q1350" s="206"/>
      <c r="R1350" s="206"/>
      <c r="S1350" s="206"/>
      <c r="T1350" s="204"/>
      <c r="U1350" s="207"/>
      <c r="V1350" s="204"/>
      <c r="W1350" s="204"/>
      <c r="X1350" s="207"/>
      <c r="Y1350" s="207"/>
      <c r="Z1350" s="204"/>
      <c r="AA1350" s="204"/>
      <c r="AB1350" s="204"/>
      <c r="AC1350" s="204"/>
    </row>
    <row r="1351" spans="1:29">
      <c r="A1351" s="204"/>
      <c r="B1351" s="204"/>
      <c r="C1351" s="204"/>
      <c r="D1351" s="204"/>
      <c r="E1351" s="204"/>
      <c r="F1351" s="204"/>
      <c r="G1351" s="204"/>
      <c r="H1351" s="204"/>
      <c r="I1351" s="204"/>
      <c r="J1351" s="204"/>
      <c r="K1351" s="204"/>
      <c r="L1351" s="205"/>
      <c r="M1351" s="205"/>
      <c r="N1351" s="204"/>
      <c r="O1351" s="204"/>
      <c r="P1351" s="206"/>
      <c r="Q1351" s="206"/>
      <c r="R1351" s="206"/>
      <c r="S1351" s="206"/>
      <c r="T1351" s="204"/>
      <c r="U1351" s="207"/>
      <c r="V1351" s="204"/>
      <c r="W1351" s="204"/>
      <c r="X1351" s="207"/>
      <c r="Y1351" s="207"/>
      <c r="Z1351" s="204"/>
      <c r="AA1351" s="204"/>
      <c r="AB1351" s="204"/>
      <c r="AC1351" s="204"/>
    </row>
    <row r="1352" spans="1:29">
      <c r="A1352" s="204"/>
      <c r="B1352" s="204"/>
      <c r="C1352" s="204"/>
      <c r="D1352" s="204"/>
      <c r="E1352" s="204"/>
      <c r="F1352" s="204"/>
      <c r="G1352" s="204"/>
      <c r="H1352" s="204"/>
      <c r="I1352" s="204"/>
      <c r="J1352" s="204"/>
      <c r="K1352" s="204"/>
      <c r="L1352" s="205"/>
      <c r="M1352" s="205"/>
      <c r="N1352" s="204"/>
      <c r="O1352" s="204"/>
      <c r="P1352" s="206"/>
      <c r="Q1352" s="206"/>
      <c r="R1352" s="206"/>
      <c r="S1352" s="206"/>
      <c r="T1352" s="204"/>
      <c r="U1352" s="207"/>
      <c r="V1352" s="204"/>
      <c r="W1352" s="204"/>
      <c r="X1352" s="207"/>
      <c r="Y1352" s="207"/>
      <c r="Z1352" s="204"/>
      <c r="AA1352" s="204"/>
      <c r="AB1352" s="204"/>
      <c r="AC1352" s="204"/>
    </row>
    <row r="1353" spans="1:29">
      <c r="A1353" s="204"/>
      <c r="B1353" s="204"/>
      <c r="C1353" s="204"/>
      <c r="D1353" s="204"/>
      <c r="E1353" s="204"/>
      <c r="F1353" s="204"/>
      <c r="G1353" s="204"/>
      <c r="H1353" s="204"/>
      <c r="I1353" s="204"/>
      <c r="J1353" s="204"/>
      <c r="K1353" s="204"/>
      <c r="L1353" s="205"/>
      <c r="M1353" s="205"/>
      <c r="N1353" s="204"/>
      <c r="O1353" s="204"/>
      <c r="P1353" s="206"/>
      <c r="Q1353" s="206"/>
      <c r="R1353" s="206"/>
      <c r="S1353" s="206"/>
      <c r="T1353" s="204"/>
      <c r="U1353" s="207"/>
      <c r="V1353" s="204"/>
      <c r="W1353" s="204"/>
      <c r="X1353" s="207"/>
      <c r="Y1353" s="207"/>
      <c r="Z1353" s="204"/>
      <c r="AA1353" s="204"/>
      <c r="AB1353" s="204"/>
      <c r="AC1353" s="204"/>
    </row>
    <row r="1354" spans="1:29">
      <c r="A1354" s="204"/>
      <c r="B1354" s="204"/>
      <c r="C1354" s="204"/>
      <c r="D1354" s="204"/>
      <c r="E1354" s="204"/>
      <c r="F1354" s="204"/>
      <c r="G1354" s="204"/>
      <c r="H1354" s="204"/>
      <c r="I1354" s="204"/>
      <c r="J1354" s="204"/>
      <c r="K1354" s="204"/>
      <c r="L1354" s="205"/>
      <c r="M1354" s="205"/>
      <c r="N1354" s="204"/>
      <c r="O1354" s="204"/>
      <c r="P1354" s="206"/>
      <c r="Q1354" s="206"/>
      <c r="R1354" s="206"/>
      <c r="S1354" s="206"/>
      <c r="T1354" s="204"/>
      <c r="U1354" s="207"/>
      <c r="V1354" s="204"/>
      <c r="W1354" s="204"/>
      <c r="X1354" s="207"/>
      <c r="Y1354" s="207"/>
      <c r="Z1354" s="204"/>
      <c r="AA1354" s="204"/>
      <c r="AB1354" s="204"/>
      <c r="AC1354" s="204"/>
    </row>
    <row r="1355" spans="1:29">
      <c r="A1355" s="204"/>
      <c r="B1355" s="204"/>
      <c r="C1355" s="204"/>
      <c r="D1355" s="204"/>
      <c r="E1355" s="204"/>
      <c r="F1355" s="204"/>
      <c r="G1355" s="204"/>
      <c r="H1355" s="204"/>
      <c r="I1355" s="204"/>
      <c r="J1355" s="204"/>
      <c r="K1355" s="204"/>
      <c r="L1355" s="205"/>
      <c r="M1355" s="205"/>
      <c r="N1355" s="204"/>
      <c r="O1355" s="204"/>
      <c r="P1355" s="206"/>
      <c r="Q1355" s="206"/>
      <c r="R1355" s="206"/>
      <c r="S1355" s="206"/>
      <c r="T1355" s="204"/>
      <c r="U1355" s="207"/>
      <c r="V1355" s="204"/>
      <c r="W1355" s="204"/>
      <c r="X1355" s="207"/>
      <c r="Y1355" s="207"/>
      <c r="Z1355" s="204"/>
      <c r="AA1355" s="204"/>
      <c r="AB1355" s="204"/>
      <c r="AC1355" s="204"/>
    </row>
    <row r="1356" spans="1:29">
      <c r="A1356" s="204"/>
      <c r="B1356" s="204"/>
      <c r="C1356" s="204"/>
      <c r="D1356" s="204"/>
      <c r="E1356" s="204"/>
      <c r="F1356" s="204"/>
      <c r="G1356" s="204"/>
      <c r="H1356" s="204"/>
      <c r="I1356" s="204"/>
      <c r="J1356" s="204"/>
      <c r="K1356" s="204"/>
      <c r="L1356" s="205"/>
      <c r="M1356" s="205"/>
      <c r="N1356" s="204"/>
      <c r="O1356" s="204"/>
      <c r="P1356" s="206"/>
      <c r="Q1356" s="206"/>
      <c r="R1356" s="206"/>
      <c r="S1356" s="206"/>
      <c r="T1356" s="204"/>
      <c r="U1356" s="207"/>
      <c r="V1356" s="204"/>
      <c r="W1356" s="204"/>
      <c r="X1356" s="207"/>
      <c r="Y1356" s="207"/>
      <c r="Z1356" s="204"/>
      <c r="AA1356" s="204"/>
      <c r="AB1356" s="204"/>
      <c r="AC1356" s="204"/>
    </row>
    <row r="1357" spans="1:29">
      <c r="A1357" s="204"/>
      <c r="B1357" s="204"/>
      <c r="C1357" s="204"/>
      <c r="D1357" s="204"/>
      <c r="E1357" s="204"/>
      <c r="F1357" s="204"/>
      <c r="G1357" s="204"/>
      <c r="H1357" s="204"/>
      <c r="I1357" s="204"/>
      <c r="J1357" s="204"/>
      <c r="K1357" s="204"/>
      <c r="L1357" s="205"/>
      <c r="M1357" s="205"/>
      <c r="N1357" s="204"/>
      <c r="O1357" s="204"/>
      <c r="P1357" s="206"/>
      <c r="Q1357" s="206"/>
      <c r="R1357" s="206"/>
      <c r="S1357" s="206"/>
      <c r="T1357" s="204"/>
      <c r="U1357" s="207"/>
      <c r="V1357" s="204"/>
      <c r="W1357" s="204"/>
      <c r="X1357" s="207"/>
      <c r="Y1357" s="207"/>
      <c r="Z1357" s="204"/>
      <c r="AA1357" s="204"/>
      <c r="AB1357" s="204"/>
      <c r="AC1357" s="204"/>
    </row>
    <row r="1358" spans="1:29">
      <c r="A1358" s="204"/>
      <c r="B1358" s="204"/>
      <c r="C1358" s="204"/>
      <c r="D1358" s="204"/>
      <c r="E1358" s="204"/>
      <c r="F1358" s="204"/>
      <c r="G1358" s="204"/>
      <c r="H1358" s="204"/>
      <c r="I1358" s="204"/>
      <c r="J1358" s="204"/>
      <c r="K1358" s="204"/>
      <c r="L1358" s="205"/>
      <c r="M1358" s="205"/>
      <c r="N1358" s="204"/>
      <c r="O1358" s="204"/>
      <c r="P1358" s="206"/>
      <c r="Q1358" s="206"/>
      <c r="R1358" s="206"/>
      <c r="S1358" s="206"/>
      <c r="T1358" s="204"/>
      <c r="U1358" s="207"/>
      <c r="V1358" s="204"/>
      <c r="W1358" s="204"/>
      <c r="X1358" s="207"/>
      <c r="Y1358" s="207"/>
      <c r="Z1358" s="204"/>
      <c r="AA1358" s="204"/>
      <c r="AB1358" s="204"/>
      <c r="AC1358" s="204"/>
    </row>
    <row r="1359" spans="1:29">
      <c r="A1359" s="204"/>
      <c r="B1359" s="204"/>
      <c r="C1359" s="204"/>
      <c r="D1359" s="204"/>
      <c r="E1359" s="204"/>
      <c r="F1359" s="204"/>
      <c r="G1359" s="204"/>
      <c r="H1359" s="204"/>
      <c r="I1359" s="204"/>
      <c r="J1359" s="204"/>
      <c r="K1359" s="204"/>
      <c r="L1359" s="205"/>
      <c r="M1359" s="205"/>
      <c r="N1359" s="204"/>
      <c r="O1359" s="204"/>
      <c r="P1359" s="206"/>
      <c r="Q1359" s="206"/>
      <c r="R1359" s="206"/>
      <c r="S1359" s="206"/>
      <c r="T1359" s="204"/>
      <c r="U1359" s="207"/>
      <c r="V1359" s="204"/>
      <c r="W1359" s="204"/>
      <c r="X1359" s="207"/>
      <c r="Y1359" s="207"/>
      <c r="Z1359" s="204"/>
      <c r="AA1359" s="204"/>
      <c r="AB1359" s="204"/>
      <c r="AC1359" s="204"/>
    </row>
    <row r="1360" spans="1:29">
      <c r="A1360" s="204"/>
      <c r="B1360" s="204"/>
      <c r="C1360" s="204"/>
      <c r="D1360" s="204"/>
      <c r="E1360" s="204"/>
      <c r="F1360" s="204"/>
      <c r="G1360" s="204"/>
      <c r="H1360" s="204"/>
      <c r="I1360" s="204"/>
      <c r="J1360" s="204"/>
      <c r="K1360" s="204"/>
      <c r="L1360" s="205"/>
      <c r="M1360" s="205"/>
      <c r="N1360" s="204"/>
      <c r="O1360" s="204"/>
      <c r="P1360" s="206"/>
      <c r="Q1360" s="206"/>
      <c r="R1360" s="206"/>
      <c r="S1360" s="206"/>
      <c r="T1360" s="204"/>
      <c r="U1360" s="207"/>
      <c r="V1360" s="204"/>
      <c r="W1360" s="204"/>
      <c r="X1360" s="207"/>
      <c r="Y1360" s="207"/>
      <c r="Z1360" s="204"/>
      <c r="AA1360" s="204"/>
      <c r="AB1360" s="204"/>
      <c r="AC1360" s="204"/>
    </row>
    <row r="1361" spans="1:29">
      <c r="A1361" s="204"/>
      <c r="B1361" s="204"/>
      <c r="C1361" s="204"/>
      <c r="D1361" s="204"/>
      <c r="E1361" s="204"/>
      <c r="F1361" s="204"/>
      <c r="G1361" s="204"/>
      <c r="H1361" s="204"/>
      <c r="I1361" s="204"/>
      <c r="J1361" s="204"/>
      <c r="K1361" s="204"/>
      <c r="L1361" s="205"/>
      <c r="M1361" s="205"/>
      <c r="N1361" s="204"/>
      <c r="O1361" s="204"/>
      <c r="P1361" s="206"/>
      <c r="Q1361" s="206"/>
      <c r="R1361" s="206"/>
      <c r="S1361" s="206"/>
      <c r="T1361" s="204"/>
      <c r="U1361" s="207"/>
      <c r="V1361" s="204"/>
      <c r="W1361" s="204"/>
      <c r="X1361" s="207"/>
      <c r="Y1361" s="207"/>
      <c r="Z1361" s="204"/>
      <c r="AA1361" s="204"/>
      <c r="AB1361" s="204"/>
      <c r="AC1361" s="204"/>
    </row>
    <row r="1362" spans="1:29">
      <c r="A1362" s="204"/>
      <c r="B1362" s="204"/>
      <c r="C1362" s="204"/>
      <c r="D1362" s="204"/>
      <c r="E1362" s="204"/>
      <c r="F1362" s="204"/>
      <c r="G1362" s="204"/>
      <c r="H1362" s="204"/>
      <c r="I1362" s="204"/>
      <c r="J1362" s="204"/>
      <c r="K1362" s="204"/>
      <c r="L1362" s="205"/>
      <c r="M1362" s="205"/>
      <c r="N1362" s="204"/>
      <c r="O1362" s="204"/>
      <c r="P1362" s="206"/>
      <c r="Q1362" s="206"/>
      <c r="R1362" s="206"/>
      <c r="S1362" s="206"/>
      <c r="T1362" s="204"/>
      <c r="U1362" s="207"/>
      <c r="V1362" s="204"/>
      <c r="W1362" s="204"/>
      <c r="X1362" s="207"/>
      <c r="Y1362" s="207"/>
      <c r="Z1362" s="204"/>
      <c r="AA1362" s="204"/>
      <c r="AB1362" s="204"/>
      <c r="AC1362" s="204"/>
    </row>
    <row r="1363" spans="1:29">
      <c r="A1363" s="204"/>
      <c r="B1363" s="204"/>
      <c r="C1363" s="204"/>
      <c r="D1363" s="204"/>
      <c r="E1363" s="204"/>
      <c r="F1363" s="204"/>
      <c r="G1363" s="204"/>
      <c r="H1363" s="204"/>
      <c r="I1363" s="204"/>
      <c r="J1363" s="204"/>
      <c r="K1363" s="204"/>
      <c r="L1363" s="205"/>
      <c r="M1363" s="205"/>
      <c r="N1363" s="204"/>
      <c r="O1363" s="204"/>
      <c r="P1363" s="206"/>
      <c r="Q1363" s="206"/>
      <c r="R1363" s="206"/>
      <c r="S1363" s="206"/>
      <c r="T1363" s="204"/>
      <c r="U1363" s="207"/>
      <c r="V1363" s="204"/>
      <c r="W1363" s="204"/>
      <c r="X1363" s="207"/>
      <c r="Y1363" s="207"/>
      <c r="Z1363" s="204"/>
      <c r="AA1363" s="204"/>
      <c r="AB1363" s="204"/>
      <c r="AC1363" s="204"/>
    </row>
    <row r="1364" spans="1:29">
      <c r="A1364" s="204"/>
      <c r="B1364" s="204"/>
      <c r="C1364" s="204"/>
      <c r="D1364" s="204"/>
      <c r="E1364" s="204"/>
      <c r="F1364" s="204"/>
      <c r="G1364" s="204"/>
      <c r="H1364" s="204"/>
      <c r="I1364" s="204"/>
      <c r="J1364" s="204"/>
      <c r="K1364" s="204"/>
      <c r="L1364" s="205"/>
      <c r="M1364" s="205"/>
      <c r="N1364" s="204"/>
      <c r="O1364" s="204"/>
      <c r="P1364" s="206"/>
      <c r="Q1364" s="206"/>
      <c r="R1364" s="206"/>
      <c r="S1364" s="206"/>
      <c r="T1364" s="204"/>
      <c r="U1364" s="207"/>
      <c r="V1364" s="204"/>
      <c r="W1364" s="204"/>
      <c r="X1364" s="207"/>
      <c r="Y1364" s="207"/>
      <c r="Z1364" s="204"/>
      <c r="AA1364" s="204"/>
      <c r="AB1364" s="204"/>
      <c r="AC1364" s="204"/>
    </row>
    <row r="1365" spans="1:29">
      <c r="A1365" s="204"/>
      <c r="B1365" s="204"/>
      <c r="C1365" s="204"/>
      <c r="D1365" s="204"/>
      <c r="E1365" s="204"/>
      <c r="F1365" s="204"/>
      <c r="G1365" s="204"/>
      <c r="H1365" s="204"/>
      <c r="I1365" s="204"/>
      <c r="J1365" s="204"/>
      <c r="K1365" s="204"/>
      <c r="L1365" s="205"/>
      <c r="M1365" s="205"/>
      <c r="N1365" s="204"/>
      <c r="O1365" s="204"/>
      <c r="P1365" s="206"/>
      <c r="Q1365" s="206"/>
      <c r="R1365" s="206"/>
      <c r="S1365" s="206"/>
      <c r="T1365" s="204"/>
      <c r="U1365" s="207"/>
      <c r="V1365" s="204"/>
      <c r="W1365" s="204"/>
      <c r="X1365" s="207"/>
      <c r="Y1365" s="207"/>
      <c r="Z1365" s="204"/>
      <c r="AA1365" s="204"/>
      <c r="AB1365" s="204"/>
      <c r="AC1365" s="204"/>
    </row>
    <row r="1366" spans="1:29">
      <c r="A1366" s="204"/>
      <c r="B1366" s="204"/>
      <c r="C1366" s="204"/>
      <c r="D1366" s="204"/>
      <c r="E1366" s="204"/>
      <c r="F1366" s="204"/>
      <c r="G1366" s="204"/>
      <c r="H1366" s="204"/>
      <c r="I1366" s="204"/>
      <c r="J1366" s="204"/>
      <c r="K1366" s="204"/>
      <c r="L1366" s="205"/>
      <c r="M1366" s="205"/>
      <c r="N1366" s="204"/>
      <c r="O1366" s="204"/>
      <c r="P1366" s="206"/>
      <c r="Q1366" s="206"/>
      <c r="R1366" s="206"/>
      <c r="S1366" s="206"/>
      <c r="T1366" s="204"/>
      <c r="U1366" s="207"/>
      <c r="V1366" s="204"/>
      <c r="W1366" s="204"/>
      <c r="X1366" s="207"/>
      <c r="Y1366" s="207"/>
      <c r="Z1366" s="204"/>
      <c r="AA1366" s="204"/>
      <c r="AB1366" s="204"/>
      <c r="AC1366" s="204"/>
    </row>
    <row r="1367" spans="1:29">
      <c r="A1367" s="204"/>
      <c r="B1367" s="204"/>
      <c r="C1367" s="204"/>
      <c r="D1367" s="204"/>
      <c r="E1367" s="204"/>
      <c r="F1367" s="204"/>
      <c r="G1367" s="204"/>
      <c r="H1367" s="204"/>
      <c r="I1367" s="204"/>
      <c r="J1367" s="204"/>
      <c r="K1367" s="204"/>
      <c r="L1367" s="205"/>
      <c r="M1367" s="205"/>
      <c r="N1367" s="204"/>
      <c r="O1367" s="204"/>
      <c r="P1367" s="206"/>
      <c r="Q1367" s="206"/>
      <c r="R1367" s="206"/>
      <c r="S1367" s="206"/>
      <c r="T1367" s="204"/>
      <c r="U1367" s="207"/>
      <c r="V1367" s="204"/>
      <c r="W1367" s="204"/>
      <c r="X1367" s="207"/>
      <c r="Y1367" s="207"/>
      <c r="Z1367" s="204"/>
      <c r="AA1367" s="204"/>
      <c r="AB1367" s="204"/>
      <c r="AC1367" s="204"/>
    </row>
    <row r="1368" spans="1:29">
      <c r="A1368" s="204"/>
      <c r="B1368" s="204"/>
      <c r="C1368" s="204"/>
      <c r="D1368" s="204"/>
      <c r="E1368" s="204"/>
      <c r="F1368" s="204"/>
      <c r="G1368" s="204"/>
      <c r="H1368" s="204"/>
      <c r="I1368" s="204"/>
      <c r="J1368" s="204"/>
      <c r="K1368" s="204"/>
      <c r="L1368" s="205"/>
      <c r="M1368" s="205"/>
      <c r="N1368" s="204"/>
      <c r="O1368" s="204"/>
      <c r="P1368" s="206"/>
      <c r="Q1368" s="206"/>
      <c r="R1368" s="206"/>
      <c r="S1368" s="206"/>
      <c r="T1368" s="204"/>
      <c r="U1368" s="207"/>
      <c r="V1368" s="204"/>
      <c r="W1368" s="204"/>
      <c r="X1368" s="207"/>
      <c r="Y1368" s="207"/>
      <c r="Z1368" s="204"/>
      <c r="AA1368" s="204"/>
      <c r="AB1368" s="204"/>
      <c r="AC1368" s="204"/>
    </row>
    <row r="1369" spans="1:29">
      <c r="A1369" s="204"/>
      <c r="B1369" s="204"/>
      <c r="C1369" s="204"/>
      <c r="D1369" s="204"/>
      <c r="E1369" s="204"/>
      <c r="F1369" s="204"/>
      <c r="G1369" s="204"/>
      <c r="H1369" s="204"/>
      <c r="I1369" s="204"/>
      <c r="J1369" s="204"/>
      <c r="K1369" s="204"/>
      <c r="L1369" s="205"/>
      <c r="M1369" s="205"/>
      <c r="N1369" s="204"/>
      <c r="O1369" s="204"/>
      <c r="P1369" s="206"/>
      <c r="Q1369" s="206"/>
      <c r="R1369" s="206"/>
      <c r="S1369" s="206"/>
      <c r="T1369" s="204"/>
      <c r="U1369" s="207"/>
      <c r="V1369" s="204"/>
      <c r="W1369" s="204"/>
      <c r="X1369" s="207"/>
      <c r="Y1369" s="207"/>
      <c r="Z1369" s="204"/>
      <c r="AA1369" s="204"/>
      <c r="AB1369" s="204"/>
      <c r="AC1369" s="204"/>
    </row>
    <row r="1370" spans="1:29">
      <c r="A1370" s="204"/>
      <c r="B1370" s="204"/>
      <c r="C1370" s="204"/>
      <c r="D1370" s="204"/>
      <c r="E1370" s="204"/>
      <c r="F1370" s="204"/>
      <c r="G1370" s="204"/>
      <c r="H1370" s="204"/>
      <c r="I1370" s="204"/>
      <c r="J1370" s="204"/>
      <c r="K1370" s="204"/>
      <c r="L1370" s="205"/>
      <c r="M1370" s="205"/>
      <c r="N1370" s="204"/>
      <c r="O1370" s="204"/>
      <c r="P1370" s="206"/>
      <c r="Q1370" s="206"/>
      <c r="R1370" s="206"/>
      <c r="S1370" s="206"/>
      <c r="T1370" s="204"/>
      <c r="U1370" s="207"/>
      <c r="V1370" s="204"/>
      <c r="W1370" s="204"/>
      <c r="X1370" s="207"/>
      <c r="Y1370" s="207"/>
      <c r="Z1370" s="204"/>
      <c r="AA1370" s="204"/>
      <c r="AB1370" s="204"/>
      <c r="AC1370" s="204"/>
    </row>
    <row r="1371" spans="1:29">
      <c r="A1371" s="204"/>
      <c r="B1371" s="204"/>
      <c r="C1371" s="204"/>
      <c r="D1371" s="204"/>
      <c r="E1371" s="204"/>
      <c r="F1371" s="204"/>
      <c r="G1371" s="204"/>
      <c r="H1371" s="204"/>
      <c r="I1371" s="204"/>
      <c r="J1371" s="204"/>
      <c r="K1371" s="204"/>
      <c r="L1371" s="205"/>
      <c r="M1371" s="205"/>
      <c r="N1371" s="204"/>
      <c r="O1371" s="204"/>
      <c r="P1371" s="206"/>
      <c r="Q1371" s="206"/>
      <c r="R1371" s="206"/>
      <c r="S1371" s="206"/>
      <c r="T1371" s="204"/>
      <c r="U1371" s="207"/>
      <c r="V1371" s="204"/>
      <c r="W1371" s="204"/>
      <c r="X1371" s="207"/>
      <c r="Y1371" s="207"/>
      <c r="Z1371" s="204"/>
      <c r="AA1371" s="204"/>
      <c r="AB1371" s="204"/>
      <c r="AC1371" s="204"/>
    </row>
    <row r="1372" spans="1:29">
      <c r="A1372" s="204"/>
      <c r="B1372" s="204"/>
      <c r="C1372" s="204"/>
      <c r="D1372" s="204"/>
      <c r="E1372" s="204"/>
      <c r="F1372" s="204"/>
      <c r="G1372" s="204"/>
      <c r="H1372" s="204"/>
      <c r="I1372" s="204"/>
      <c r="J1372" s="204"/>
      <c r="K1372" s="204"/>
      <c r="L1372" s="205"/>
      <c r="M1372" s="205"/>
      <c r="N1372" s="204"/>
      <c r="O1372" s="204"/>
      <c r="P1372" s="206"/>
      <c r="Q1372" s="206"/>
      <c r="R1372" s="206"/>
      <c r="S1372" s="206"/>
      <c r="T1372" s="204"/>
      <c r="U1372" s="207"/>
      <c r="V1372" s="204"/>
      <c r="W1372" s="204"/>
      <c r="X1372" s="207"/>
      <c r="Y1372" s="207"/>
      <c r="Z1372" s="204"/>
      <c r="AA1372" s="204"/>
      <c r="AB1372" s="204"/>
      <c r="AC1372" s="204"/>
    </row>
    <row r="1373" spans="1:29">
      <c r="A1373" s="204"/>
      <c r="B1373" s="204"/>
      <c r="C1373" s="204"/>
      <c r="D1373" s="204"/>
      <c r="E1373" s="204"/>
      <c r="F1373" s="204"/>
      <c r="G1373" s="204"/>
      <c r="H1373" s="204"/>
      <c r="I1373" s="204"/>
      <c r="J1373" s="204"/>
      <c r="K1373" s="204"/>
      <c r="L1373" s="205"/>
      <c r="M1373" s="205"/>
      <c r="N1373" s="204"/>
      <c r="O1373" s="204"/>
      <c r="P1373" s="206"/>
      <c r="Q1373" s="206"/>
      <c r="R1373" s="206"/>
      <c r="S1373" s="206"/>
      <c r="T1373" s="204"/>
      <c r="U1373" s="207"/>
      <c r="V1373" s="204"/>
      <c r="W1373" s="204"/>
      <c r="X1373" s="207"/>
      <c r="Y1373" s="207"/>
      <c r="Z1373" s="204"/>
      <c r="AA1373" s="204"/>
      <c r="AB1373" s="204"/>
      <c r="AC1373" s="204"/>
    </row>
    <row r="1374" spans="1:29">
      <c r="A1374" s="204"/>
      <c r="B1374" s="204"/>
      <c r="C1374" s="204"/>
      <c r="D1374" s="204"/>
      <c r="E1374" s="204"/>
      <c r="F1374" s="204"/>
      <c r="G1374" s="204"/>
      <c r="H1374" s="204"/>
      <c r="I1374" s="204"/>
      <c r="J1374" s="204"/>
      <c r="K1374" s="204"/>
      <c r="L1374" s="205"/>
      <c r="M1374" s="205"/>
      <c r="N1374" s="204"/>
      <c r="O1374" s="204"/>
      <c r="P1374" s="206"/>
      <c r="Q1374" s="206"/>
      <c r="R1374" s="206"/>
      <c r="S1374" s="206"/>
      <c r="T1374" s="204"/>
      <c r="U1374" s="207"/>
      <c r="V1374" s="204"/>
      <c r="W1374" s="204"/>
      <c r="X1374" s="207"/>
      <c r="Y1374" s="207"/>
      <c r="Z1374" s="204"/>
      <c r="AA1374" s="204"/>
      <c r="AB1374" s="204"/>
      <c r="AC1374" s="204"/>
    </row>
    <row r="1375" spans="1:29">
      <c r="A1375" s="204"/>
      <c r="B1375" s="204"/>
      <c r="C1375" s="204"/>
      <c r="D1375" s="204"/>
      <c r="E1375" s="204"/>
      <c r="F1375" s="204"/>
      <c r="G1375" s="204"/>
      <c r="H1375" s="204"/>
      <c r="I1375" s="204"/>
      <c r="J1375" s="204"/>
      <c r="K1375" s="204"/>
      <c r="L1375" s="205"/>
      <c r="M1375" s="205"/>
      <c r="N1375" s="204"/>
      <c r="O1375" s="204"/>
      <c r="P1375" s="206"/>
      <c r="Q1375" s="206"/>
      <c r="R1375" s="206"/>
      <c r="S1375" s="206"/>
      <c r="T1375" s="204"/>
      <c r="U1375" s="207"/>
      <c r="V1375" s="204"/>
      <c r="W1375" s="204"/>
      <c r="X1375" s="207"/>
      <c r="Y1375" s="207"/>
      <c r="Z1375" s="204"/>
      <c r="AA1375" s="204"/>
      <c r="AB1375" s="204"/>
      <c r="AC1375" s="204"/>
    </row>
    <row r="1376" spans="1:29">
      <c r="A1376" s="204"/>
      <c r="B1376" s="204"/>
      <c r="C1376" s="204"/>
      <c r="D1376" s="204"/>
      <c r="E1376" s="204"/>
      <c r="F1376" s="204"/>
      <c r="G1376" s="204"/>
      <c r="H1376" s="204"/>
      <c r="I1376" s="204"/>
      <c r="J1376" s="204"/>
      <c r="K1376" s="204"/>
      <c r="L1376" s="205"/>
      <c r="M1376" s="205"/>
      <c r="N1376" s="204"/>
      <c r="O1376" s="204"/>
      <c r="P1376" s="206"/>
      <c r="Q1376" s="206"/>
      <c r="R1376" s="206"/>
      <c r="S1376" s="206"/>
      <c r="T1376" s="204"/>
      <c r="U1376" s="207"/>
      <c r="V1376" s="204"/>
      <c r="W1376" s="204"/>
      <c r="X1376" s="207"/>
      <c r="Y1376" s="207"/>
      <c r="Z1376" s="204"/>
      <c r="AA1376" s="204"/>
      <c r="AB1376" s="204"/>
      <c r="AC1376" s="204"/>
    </row>
    <row r="1377" spans="1:29">
      <c r="A1377" s="204"/>
      <c r="B1377" s="204"/>
      <c r="C1377" s="204"/>
      <c r="D1377" s="204"/>
      <c r="E1377" s="204"/>
      <c r="F1377" s="204"/>
      <c r="G1377" s="204"/>
      <c r="H1377" s="204"/>
      <c r="I1377" s="204"/>
      <c r="J1377" s="204"/>
      <c r="K1377" s="204"/>
      <c r="L1377" s="205"/>
      <c r="M1377" s="205"/>
      <c r="N1377" s="204"/>
      <c r="O1377" s="204"/>
      <c r="P1377" s="206"/>
      <c r="Q1377" s="206"/>
      <c r="R1377" s="206"/>
      <c r="S1377" s="206"/>
      <c r="T1377" s="204"/>
      <c r="U1377" s="207"/>
      <c r="V1377" s="204"/>
      <c r="W1377" s="204"/>
      <c r="X1377" s="207"/>
      <c r="Y1377" s="207"/>
      <c r="Z1377" s="204"/>
      <c r="AA1377" s="204"/>
      <c r="AB1377" s="204"/>
      <c r="AC1377" s="204"/>
    </row>
    <row r="1378" spans="1:29">
      <c r="A1378" s="204"/>
      <c r="B1378" s="204"/>
      <c r="C1378" s="204"/>
      <c r="D1378" s="204"/>
      <c r="E1378" s="204"/>
      <c r="F1378" s="204"/>
      <c r="G1378" s="204"/>
      <c r="H1378" s="204"/>
      <c r="I1378" s="204"/>
      <c r="J1378" s="204"/>
      <c r="K1378" s="204"/>
      <c r="L1378" s="205"/>
      <c r="M1378" s="205"/>
      <c r="N1378" s="204"/>
      <c r="O1378" s="204"/>
      <c r="P1378" s="206"/>
      <c r="Q1378" s="206"/>
      <c r="R1378" s="206"/>
      <c r="S1378" s="206"/>
      <c r="T1378" s="204"/>
      <c r="U1378" s="207"/>
      <c r="V1378" s="204"/>
      <c r="W1378" s="204"/>
      <c r="X1378" s="207"/>
      <c r="Y1378" s="207"/>
      <c r="Z1378" s="204"/>
      <c r="AA1378" s="204"/>
      <c r="AB1378" s="204"/>
      <c r="AC1378" s="204"/>
    </row>
    <row r="1379" spans="1:29">
      <c r="A1379" s="204"/>
      <c r="B1379" s="204"/>
      <c r="C1379" s="204"/>
      <c r="D1379" s="204"/>
      <c r="E1379" s="204"/>
      <c r="F1379" s="204"/>
      <c r="G1379" s="204"/>
      <c r="H1379" s="204"/>
      <c r="I1379" s="204"/>
      <c r="J1379" s="204"/>
      <c r="K1379" s="204"/>
      <c r="L1379" s="205"/>
      <c r="M1379" s="205"/>
      <c r="N1379" s="204"/>
      <c r="O1379" s="204"/>
      <c r="P1379" s="206"/>
      <c r="Q1379" s="206"/>
      <c r="R1379" s="206"/>
      <c r="S1379" s="206"/>
      <c r="T1379" s="204"/>
      <c r="U1379" s="207"/>
      <c r="V1379" s="204"/>
      <c r="W1379" s="204"/>
      <c r="X1379" s="207"/>
      <c r="Y1379" s="207"/>
      <c r="Z1379" s="204"/>
      <c r="AA1379" s="204"/>
      <c r="AB1379" s="204"/>
      <c r="AC1379" s="204"/>
    </row>
    <row r="1380" spans="1:29">
      <c r="A1380" s="204"/>
      <c r="B1380" s="204"/>
      <c r="C1380" s="204"/>
      <c r="D1380" s="204"/>
      <c r="E1380" s="204"/>
      <c r="F1380" s="204"/>
      <c r="G1380" s="204"/>
      <c r="H1380" s="204"/>
      <c r="I1380" s="204"/>
      <c r="J1380" s="204"/>
      <c r="K1380" s="204"/>
      <c r="L1380" s="205"/>
      <c r="M1380" s="205"/>
      <c r="N1380" s="204"/>
      <c r="O1380" s="204"/>
      <c r="P1380" s="206"/>
      <c r="Q1380" s="206"/>
      <c r="R1380" s="206"/>
      <c r="S1380" s="206"/>
      <c r="T1380" s="204"/>
      <c r="U1380" s="207"/>
      <c r="V1380" s="204"/>
      <c r="W1380" s="204"/>
      <c r="X1380" s="207"/>
      <c r="Y1380" s="207"/>
      <c r="Z1380" s="204"/>
      <c r="AA1380" s="204"/>
      <c r="AB1380" s="204"/>
      <c r="AC1380" s="204"/>
    </row>
    <row r="1381" spans="1:29">
      <c r="A1381" s="204"/>
      <c r="B1381" s="204"/>
      <c r="C1381" s="204"/>
      <c r="D1381" s="204"/>
      <c r="E1381" s="204"/>
      <c r="F1381" s="204"/>
      <c r="G1381" s="204"/>
      <c r="H1381" s="204"/>
      <c r="I1381" s="204"/>
      <c r="J1381" s="204"/>
      <c r="K1381" s="204"/>
      <c r="L1381" s="205"/>
      <c r="M1381" s="205"/>
      <c r="N1381" s="204"/>
      <c r="O1381" s="204"/>
      <c r="P1381" s="206"/>
      <c r="Q1381" s="206"/>
      <c r="R1381" s="206"/>
      <c r="S1381" s="206"/>
      <c r="T1381" s="204"/>
      <c r="U1381" s="207"/>
      <c r="V1381" s="204"/>
      <c r="W1381" s="204"/>
      <c r="X1381" s="207"/>
      <c r="Y1381" s="207"/>
      <c r="Z1381" s="204"/>
      <c r="AA1381" s="204"/>
      <c r="AB1381" s="204"/>
      <c r="AC1381" s="204"/>
    </row>
    <row r="1382" spans="1:29">
      <c r="A1382" s="204"/>
      <c r="B1382" s="204"/>
      <c r="C1382" s="204"/>
      <c r="D1382" s="204"/>
      <c r="E1382" s="204"/>
      <c r="F1382" s="204"/>
      <c r="G1382" s="204"/>
      <c r="H1382" s="204"/>
      <c r="I1382" s="204"/>
      <c r="J1382" s="204"/>
      <c r="K1382" s="204"/>
      <c r="L1382" s="205"/>
      <c r="M1382" s="205"/>
      <c r="N1382" s="204"/>
      <c r="O1382" s="204"/>
      <c r="P1382" s="206"/>
      <c r="Q1382" s="206"/>
      <c r="R1382" s="206"/>
      <c r="S1382" s="206"/>
      <c r="T1382" s="204"/>
      <c r="U1382" s="207"/>
      <c r="V1382" s="204"/>
      <c r="W1382" s="204"/>
      <c r="X1382" s="207"/>
      <c r="Y1382" s="207"/>
      <c r="Z1382" s="204"/>
      <c r="AA1382" s="204"/>
      <c r="AB1382" s="204"/>
      <c r="AC1382" s="204"/>
    </row>
    <row r="1383" spans="1:29">
      <c r="A1383" s="204"/>
      <c r="B1383" s="204"/>
      <c r="C1383" s="204"/>
      <c r="D1383" s="204"/>
      <c r="E1383" s="204"/>
      <c r="F1383" s="204"/>
      <c r="G1383" s="204"/>
      <c r="H1383" s="204"/>
      <c r="I1383" s="204"/>
      <c r="J1383" s="204"/>
      <c r="K1383" s="204"/>
      <c r="L1383" s="205"/>
      <c r="M1383" s="205"/>
      <c r="N1383" s="204"/>
      <c r="O1383" s="204"/>
      <c r="P1383" s="206"/>
      <c r="Q1383" s="206"/>
      <c r="R1383" s="206"/>
      <c r="S1383" s="206"/>
      <c r="T1383" s="204"/>
      <c r="U1383" s="207"/>
      <c r="V1383" s="204"/>
      <c r="W1383" s="204"/>
      <c r="X1383" s="207"/>
      <c r="Y1383" s="207"/>
      <c r="Z1383" s="204"/>
      <c r="AA1383" s="204"/>
      <c r="AB1383" s="204"/>
      <c r="AC1383" s="204"/>
    </row>
    <row r="1384" spans="1:29">
      <c r="A1384" s="204"/>
      <c r="B1384" s="204"/>
      <c r="C1384" s="204"/>
      <c r="D1384" s="204"/>
      <c r="E1384" s="204"/>
      <c r="F1384" s="204"/>
      <c r="G1384" s="204"/>
      <c r="H1384" s="204"/>
      <c r="I1384" s="204"/>
      <c r="J1384" s="204"/>
      <c r="K1384" s="204"/>
      <c r="L1384" s="205"/>
      <c r="M1384" s="205"/>
      <c r="N1384" s="204"/>
      <c r="O1384" s="204"/>
      <c r="P1384" s="206"/>
      <c r="Q1384" s="206"/>
      <c r="R1384" s="206"/>
      <c r="S1384" s="206"/>
      <c r="T1384" s="204"/>
      <c r="U1384" s="207"/>
      <c r="V1384" s="204"/>
      <c r="W1384" s="204"/>
      <c r="X1384" s="207"/>
      <c r="Y1384" s="207"/>
      <c r="Z1384" s="204"/>
      <c r="AA1384" s="204"/>
      <c r="AB1384" s="204"/>
      <c r="AC1384" s="204"/>
    </row>
    <row r="1385" spans="1:29">
      <c r="A1385" s="204"/>
      <c r="B1385" s="204"/>
      <c r="C1385" s="204"/>
      <c r="D1385" s="204"/>
      <c r="E1385" s="204"/>
      <c r="F1385" s="204"/>
      <c r="G1385" s="204"/>
      <c r="H1385" s="204"/>
      <c r="I1385" s="204"/>
      <c r="J1385" s="204"/>
      <c r="K1385" s="204"/>
      <c r="L1385" s="205"/>
      <c r="M1385" s="205"/>
      <c r="N1385" s="204"/>
      <c r="O1385" s="204"/>
      <c r="P1385" s="206"/>
      <c r="Q1385" s="206"/>
      <c r="R1385" s="206"/>
      <c r="S1385" s="206"/>
      <c r="T1385" s="204"/>
      <c r="U1385" s="207"/>
      <c r="V1385" s="204"/>
      <c r="W1385" s="204"/>
      <c r="X1385" s="207"/>
      <c r="Y1385" s="207"/>
      <c r="Z1385" s="204"/>
      <c r="AA1385" s="204"/>
      <c r="AB1385" s="204"/>
      <c r="AC1385" s="204"/>
    </row>
    <row r="1386" spans="1:29">
      <c r="A1386" s="204"/>
      <c r="B1386" s="204"/>
      <c r="C1386" s="204"/>
      <c r="D1386" s="204"/>
      <c r="E1386" s="204"/>
      <c r="F1386" s="204"/>
      <c r="G1386" s="204"/>
      <c r="H1386" s="204"/>
      <c r="I1386" s="204"/>
      <c r="J1386" s="204"/>
      <c r="K1386" s="204"/>
      <c r="L1386" s="205"/>
      <c r="M1386" s="205"/>
      <c r="N1386" s="204"/>
      <c r="O1386" s="204"/>
      <c r="P1386" s="206"/>
      <c r="Q1386" s="206"/>
      <c r="R1386" s="206"/>
      <c r="S1386" s="206"/>
      <c r="T1386" s="204"/>
      <c r="U1386" s="207"/>
      <c r="V1386" s="204"/>
      <c r="W1386" s="204"/>
      <c r="X1386" s="207"/>
      <c r="Y1386" s="207"/>
      <c r="Z1386" s="204"/>
      <c r="AA1386" s="204"/>
      <c r="AB1386" s="204"/>
      <c r="AC1386" s="204"/>
    </row>
    <row r="1387" spans="1:29">
      <c r="A1387" s="204"/>
      <c r="B1387" s="204"/>
      <c r="C1387" s="204"/>
      <c r="D1387" s="204"/>
      <c r="E1387" s="204"/>
      <c r="F1387" s="204"/>
      <c r="G1387" s="204"/>
      <c r="H1387" s="204"/>
      <c r="I1387" s="204"/>
      <c r="J1387" s="204"/>
      <c r="K1387" s="204"/>
      <c r="L1387" s="205"/>
      <c r="M1387" s="205"/>
      <c r="N1387" s="204"/>
      <c r="O1387" s="204"/>
      <c r="P1387" s="206"/>
      <c r="Q1387" s="206"/>
      <c r="R1387" s="206"/>
      <c r="S1387" s="206"/>
      <c r="T1387" s="204"/>
      <c r="U1387" s="207"/>
      <c r="V1387" s="204"/>
      <c r="W1387" s="204"/>
      <c r="X1387" s="207"/>
      <c r="Y1387" s="207"/>
      <c r="Z1387" s="204"/>
      <c r="AA1387" s="204"/>
      <c r="AB1387" s="204"/>
      <c r="AC1387" s="204"/>
    </row>
    <row r="1388" spans="1:29">
      <c r="A1388" s="204"/>
      <c r="B1388" s="204"/>
      <c r="C1388" s="204"/>
      <c r="D1388" s="204"/>
      <c r="E1388" s="204"/>
      <c r="F1388" s="204"/>
      <c r="G1388" s="204"/>
      <c r="H1388" s="204"/>
      <c r="I1388" s="204"/>
      <c r="J1388" s="204"/>
      <c r="K1388" s="204"/>
      <c r="L1388" s="205"/>
      <c r="M1388" s="205"/>
      <c r="N1388" s="204"/>
      <c r="O1388" s="204"/>
      <c r="P1388" s="206"/>
      <c r="Q1388" s="206"/>
      <c r="R1388" s="206"/>
      <c r="S1388" s="206"/>
      <c r="T1388" s="204"/>
      <c r="U1388" s="207"/>
      <c r="V1388" s="204"/>
      <c r="W1388" s="204"/>
      <c r="X1388" s="207"/>
      <c r="Y1388" s="207"/>
      <c r="Z1388" s="204"/>
      <c r="AA1388" s="204"/>
      <c r="AB1388" s="204"/>
      <c r="AC1388" s="204"/>
    </row>
    <row r="1389" spans="1:29">
      <c r="A1389" s="204"/>
      <c r="B1389" s="204"/>
      <c r="C1389" s="204"/>
      <c r="D1389" s="204"/>
      <c r="E1389" s="204"/>
      <c r="F1389" s="204"/>
      <c r="G1389" s="204"/>
      <c r="H1389" s="204"/>
      <c r="I1389" s="204"/>
      <c r="J1389" s="204"/>
      <c r="K1389" s="204"/>
      <c r="L1389" s="205"/>
      <c r="M1389" s="205"/>
      <c r="N1389" s="204"/>
      <c r="O1389" s="204"/>
      <c r="P1389" s="206"/>
      <c r="Q1389" s="206"/>
      <c r="R1389" s="206"/>
      <c r="S1389" s="206"/>
      <c r="T1389" s="204"/>
      <c r="U1389" s="207"/>
      <c r="V1389" s="204"/>
      <c r="W1389" s="204"/>
      <c r="X1389" s="207"/>
      <c r="Y1389" s="207"/>
      <c r="Z1389" s="204"/>
      <c r="AA1389" s="204"/>
      <c r="AB1389" s="204"/>
      <c r="AC1389" s="204"/>
    </row>
    <row r="1390" spans="1:29">
      <c r="A1390" s="204"/>
      <c r="B1390" s="204"/>
      <c r="C1390" s="204"/>
      <c r="D1390" s="204"/>
      <c r="E1390" s="204"/>
      <c r="F1390" s="204"/>
      <c r="G1390" s="204"/>
      <c r="H1390" s="204"/>
      <c r="I1390" s="204"/>
      <c r="J1390" s="204"/>
      <c r="K1390" s="204"/>
      <c r="L1390" s="205"/>
      <c r="M1390" s="205"/>
      <c r="N1390" s="204"/>
      <c r="O1390" s="204"/>
      <c r="P1390" s="206"/>
      <c r="Q1390" s="206"/>
      <c r="R1390" s="206"/>
      <c r="S1390" s="206"/>
      <c r="T1390" s="204"/>
      <c r="U1390" s="207"/>
      <c r="V1390" s="204"/>
      <c r="W1390" s="204"/>
      <c r="X1390" s="207"/>
      <c r="Y1390" s="207"/>
      <c r="Z1390" s="204"/>
      <c r="AA1390" s="204"/>
      <c r="AB1390" s="204"/>
      <c r="AC1390" s="204"/>
    </row>
    <row r="1391" spans="1:29">
      <c r="A1391" s="204"/>
      <c r="B1391" s="204"/>
      <c r="C1391" s="204"/>
      <c r="D1391" s="204"/>
      <c r="E1391" s="204"/>
      <c r="F1391" s="204"/>
      <c r="G1391" s="204"/>
      <c r="H1391" s="204"/>
      <c r="I1391" s="204"/>
      <c r="J1391" s="204"/>
      <c r="K1391" s="204"/>
      <c r="L1391" s="205"/>
      <c r="M1391" s="205"/>
      <c r="N1391" s="204"/>
      <c r="O1391" s="204"/>
      <c r="P1391" s="206"/>
      <c r="Q1391" s="206"/>
      <c r="R1391" s="206"/>
      <c r="S1391" s="206"/>
      <c r="T1391" s="204"/>
      <c r="U1391" s="207"/>
      <c r="V1391" s="204"/>
      <c r="W1391" s="204"/>
      <c r="X1391" s="207"/>
      <c r="Y1391" s="207"/>
      <c r="Z1391" s="204"/>
      <c r="AA1391" s="204"/>
      <c r="AB1391" s="204"/>
      <c r="AC1391" s="204"/>
    </row>
    <row r="1392" spans="1:29">
      <c r="A1392" s="204"/>
      <c r="B1392" s="204"/>
      <c r="C1392" s="204"/>
      <c r="D1392" s="204"/>
      <c r="E1392" s="204"/>
      <c r="F1392" s="204"/>
      <c r="G1392" s="204"/>
      <c r="H1392" s="204"/>
      <c r="I1392" s="204"/>
      <c r="J1392" s="204"/>
      <c r="K1392" s="204"/>
      <c r="L1392" s="205"/>
      <c r="M1392" s="205"/>
      <c r="N1392" s="204"/>
      <c r="O1392" s="204"/>
      <c r="P1392" s="206"/>
      <c r="Q1392" s="206"/>
      <c r="R1392" s="206"/>
      <c r="S1392" s="206"/>
      <c r="T1392" s="204"/>
      <c r="U1392" s="207"/>
      <c r="V1392" s="204"/>
      <c r="W1392" s="204"/>
      <c r="X1392" s="207"/>
      <c r="Y1392" s="207"/>
      <c r="Z1392" s="204"/>
      <c r="AA1392" s="204"/>
      <c r="AB1392" s="204"/>
      <c r="AC1392" s="204"/>
    </row>
    <row r="1393" spans="1:29">
      <c r="A1393" s="204"/>
      <c r="B1393" s="204"/>
      <c r="C1393" s="204"/>
      <c r="D1393" s="204"/>
      <c r="E1393" s="204"/>
      <c r="F1393" s="204"/>
      <c r="G1393" s="204"/>
      <c r="H1393" s="204"/>
      <c r="I1393" s="204"/>
      <c r="J1393" s="204"/>
      <c r="K1393" s="204"/>
      <c r="L1393" s="205"/>
      <c r="M1393" s="205"/>
      <c r="N1393" s="204"/>
      <c r="O1393" s="204"/>
      <c r="P1393" s="206"/>
      <c r="Q1393" s="206"/>
      <c r="R1393" s="206"/>
      <c r="S1393" s="206"/>
      <c r="T1393" s="204"/>
      <c r="U1393" s="207"/>
      <c r="V1393" s="204"/>
      <c r="W1393" s="204"/>
      <c r="X1393" s="207"/>
      <c r="Y1393" s="207"/>
      <c r="Z1393" s="204"/>
      <c r="AA1393" s="204"/>
      <c r="AB1393" s="204"/>
      <c r="AC1393" s="204"/>
    </row>
    <row r="1394" spans="1:29">
      <c r="A1394" s="204"/>
      <c r="B1394" s="204"/>
      <c r="C1394" s="204"/>
      <c r="D1394" s="204"/>
      <c r="E1394" s="204"/>
      <c r="F1394" s="204"/>
      <c r="G1394" s="204"/>
      <c r="H1394" s="204"/>
      <c r="I1394" s="204"/>
      <c r="J1394" s="204"/>
      <c r="K1394" s="204"/>
      <c r="L1394" s="205"/>
      <c r="M1394" s="205"/>
      <c r="N1394" s="204"/>
      <c r="O1394" s="204"/>
      <c r="P1394" s="206"/>
      <c r="Q1394" s="206"/>
      <c r="R1394" s="206"/>
      <c r="S1394" s="206"/>
      <c r="T1394" s="204"/>
      <c r="U1394" s="207"/>
      <c r="V1394" s="204"/>
      <c r="W1394" s="204"/>
      <c r="X1394" s="207"/>
      <c r="Y1394" s="207"/>
      <c r="Z1394" s="204"/>
      <c r="AA1394" s="204"/>
      <c r="AB1394" s="204"/>
      <c r="AC1394" s="204"/>
    </row>
    <row r="1395" spans="1:29">
      <c r="A1395" s="204"/>
      <c r="B1395" s="204"/>
      <c r="C1395" s="204"/>
      <c r="D1395" s="204"/>
      <c r="E1395" s="204"/>
      <c r="F1395" s="204"/>
      <c r="G1395" s="204"/>
      <c r="H1395" s="204"/>
      <c r="I1395" s="204"/>
      <c r="J1395" s="204"/>
      <c r="K1395" s="204"/>
      <c r="L1395" s="205"/>
      <c r="M1395" s="205"/>
      <c r="N1395" s="204"/>
      <c r="O1395" s="204"/>
      <c r="P1395" s="206"/>
      <c r="Q1395" s="206"/>
      <c r="R1395" s="206"/>
      <c r="S1395" s="206"/>
      <c r="T1395" s="204"/>
      <c r="U1395" s="207"/>
      <c r="V1395" s="204"/>
      <c r="W1395" s="204"/>
      <c r="X1395" s="207"/>
      <c r="Y1395" s="207"/>
      <c r="Z1395" s="204"/>
      <c r="AA1395" s="204"/>
      <c r="AB1395" s="204"/>
      <c r="AC1395" s="204"/>
    </row>
    <row r="1396" spans="1:29">
      <c r="A1396" s="204"/>
      <c r="B1396" s="204"/>
      <c r="C1396" s="204"/>
      <c r="D1396" s="204"/>
      <c r="E1396" s="204"/>
      <c r="F1396" s="204"/>
      <c r="G1396" s="204"/>
      <c r="H1396" s="204"/>
      <c r="I1396" s="204"/>
      <c r="J1396" s="204"/>
      <c r="K1396" s="204"/>
      <c r="L1396" s="205"/>
      <c r="M1396" s="205"/>
      <c r="N1396" s="204"/>
      <c r="O1396" s="204"/>
      <c r="P1396" s="206"/>
      <c r="Q1396" s="206"/>
      <c r="R1396" s="206"/>
      <c r="S1396" s="206"/>
      <c r="T1396" s="204"/>
      <c r="U1396" s="207"/>
      <c r="V1396" s="204"/>
      <c r="W1396" s="204"/>
      <c r="X1396" s="207"/>
      <c r="Y1396" s="207"/>
      <c r="Z1396" s="204"/>
      <c r="AA1396" s="204"/>
      <c r="AB1396" s="204"/>
      <c r="AC1396" s="204"/>
    </row>
    <row r="1397" spans="1:29">
      <c r="A1397" s="204"/>
      <c r="B1397" s="204"/>
      <c r="C1397" s="204"/>
      <c r="D1397" s="204"/>
      <c r="E1397" s="204"/>
      <c r="F1397" s="204"/>
      <c r="G1397" s="204"/>
      <c r="H1397" s="204"/>
      <c r="I1397" s="204"/>
      <c r="J1397" s="204"/>
      <c r="K1397" s="204"/>
      <c r="L1397" s="205"/>
      <c r="M1397" s="205"/>
      <c r="N1397" s="204"/>
      <c r="O1397" s="204"/>
      <c r="P1397" s="206"/>
      <c r="Q1397" s="206"/>
      <c r="R1397" s="206"/>
      <c r="S1397" s="206"/>
      <c r="T1397" s="204"/>
      <c r="U1397" s="207"/>
      <c r="V1397" s="204"/>
      <c r="W1397" s="204"/>
      <c r="X1397" s="207"/>
      <c r="Y1397" s="207"/>
      <c r="Z1397" s="204"/>
      <c r="AA1397" s="204"/>
      <c r="AB1397" s="204"/>
      <c r="AC1397" s="204"/>
    </row>
    <row r="1398" spans="1:29">
      <c r="A1398" s="204"/>
      <c r="B1398" s="204"/>
      <c r="C1398" s="204"/>
      <c r="D1398" s="204"/>
      <c r="E1398" s="204"/>
      <c r="F1398" s="204"/>
      <c r="G1398" s="204"/>
      <c r="H1398" s="204"/>
      <c r="I1398" s="204"/>
      <c r="J1398" s="204"/>
      <c r="K1398" s="204"/>
      <c r="L1398" s="205"/>
      <c r="M1398" s="205"/>
      <c r="N1398" s="204"/>
      <c r="O1398" s="204"/>
      <c r="P1398" s="206"/>
      <c r="Q1398" s="206"/>
      <c r="R1398" s="206"/>
      <c r="S1398" s="206"/>
      <c r="T1398" s="204"/>
      <c r="U1398" s="207"/>
      <c r="V1398" s="204"/>
      <c r="W1398" s="204"/>
      <c r="X1398" s="207"/>
      <c r="Y1398" s="207"/>
      <c r="Z1398" s="204"/>
      <c r="AA1398" s="204"/>
      <c r="AB1398" s="204"/>
      <c r="AC1398" s="204"/>
    </row>
    <row r="1399" spans="1:29">
      <c r="A1399" s="204"/>
      <c r="B1399" s="204"/>
      <c r="C1399" s="204"/>
      <c r="D1399" s="204"/>
      <c r="E1399" s="204"/>
      <c r="F1399" s="204"/>
      <c r="G1399" s="204"/>
      <c r="H1399" s="204"/>
      <c r="I1399" s="204"/>
      <c r="J1399" s="204"/>
      <c r="K1399" s="204"/>
      <c r="L1399" s="205"/>
      <c r="M1399" s="205"/>
      <c r="N1399" s="204"/>
      <c r="O1399" s="204"/>
      <c r="P1399" s="206"/>
      <c r="Q1399" s="206"/>
      <c r="R1399" s="206"/>
      <c r="S1399" s="206"/>
      <c r="T1399" s="204"/>
      <c r="U1399" s="207"/>
      <c r="V1399" s="204"/>
      <c r="W1399" s="204"/>
      <c r="X1399" s="207"/>
      <c r="Y1399" s="207"/>
      <c r="Z1399" s="204"/>
      <c r="AA1399" s="204"/>
      <c r="AB1399" s="204"/>
      <c r="AC1399" s="204"/>
    </row>
    <row r="1400" spans="1:29">
      <c r="A1400" s="204"/>
      <c r="B1400" s="204"/>
      <c r="C1400" s="204"/>
      <c r="D1400" s="204"/>
      <c r="E1400" s="204"/>
      <c r="F1400" s="204"/>
      <c r="G1400" s="204"/>
      <c r="H1400" s="204"/>
      <c r="I1400" s="204"/>
      <c r="J1400" s="204"/>
      <c r="K1400" s="204"/>
      <c r="L1400" s="205"/>
      <c r="M1400" s="205"/>
      <c r="N1400" s="204"/>
      <c r="O1400" s="204"/>
      <c r="P1400" s="206"/>
      <c r="Q1400" s="206"/>
      <c r="R1400" s="206"/>
      <c r="S1400" s="206"/>
      <c r="T1400" s="204"/>
      <c r="U1400" s="207"/>
      <c r="V1400" s="204"/>
      <c r="W1400" s="204"/>
      <c r="X1400" s="207"/>
      <c r="Y1400" s="207"/>
      <c r="Z1400" s="204"/>
      <c r="AA1400" s="204"/>
      <c r="AB1400" s="204"/>
      <c r="AC1400" s="204"/>
    </row>
    <row r="1401" spans="1:29">
      <c r="A1401" s="204"/>
      <c r="B1401" s="204"/>
      <c r="C1401" s="204"/>
      <c r="D1401" s="204"/>
      <c r="E1401" s="204"/>
      <c r="F1401" s="204"/>
      <c r="G1401" s="204"/>
      <c r="H1401" s="204"/>
      <c r="I1401" s="204"/>
      <c r="J1401" s="204"/>
      <c r="K1401" s="204"/>
      <c r="L1401" s="205"/>
      <c r="M1401" s="205"/>
      <c r="N1401" s="204"/>
      <c r="O1401" s="204"/>
      <c r="P1401" s="206"/>
      <c r="Q1401" s="206"/>
      <c r="R1401" s="206"/>
      <c r="S1401" s="206"/>
      <c r="T1401" s="204"/>
      <c r="U1401" s="207"/>
      <c r="V1401" s="204"/>
      <c r="W1401" s="204"/>
      <c r="X1401" s="207"/>
      <c r="Y1401" s="207"/>
      <c r="Z1401" s="204"/>
      <c r="AA1401" s="204"/>
      <c r="AB1401" s="204"/>
      <c r="AC1401" s="204"/>
    </row>
    <row r="1402" spans="1:29">
      <c r="A1402" s="204"/>
      <c r="B1402" s="204"/>
      <c r="C1402" s="204"/>
      <c r="D1402" s="204"/>
      <c r="E1402" s="204"/>
      <c r="F1402" s="204"/>
      <c r="G1402" s="204"/>
      <c r="H1402" s="204"/>
      <c r="I1402" s="204"/>
      <c r="J1402" s="204"/>
      <c r="K1402" s="204"/>
      <c r="L1402" s="205"/>
      <c r="M1402" s="205"/>
      <c r="N1402" s="204"/>
      <c r="O1402" s="204"/>
      <c r="P1402" s="206"/>
      <c r="Q1402" s="206"/>
      <c r="R1402" s="206"/>
      <c r="S1402" s="206"/>
      <c r="T1402" s="204"/>
      <c r="U1402" s="207"/>
      <c r="V1402" s="204"/>
      <c r="W1402" s="204"/>
      <c r="X1402" s="207"/>
      <c r="Y1402" s="207"/>
      <c r="Z1402" s="204"/>
      <c r="AA1402" s="204"/>
      <c r="AB1402" s="204"/>
      <c r="AC1402" s="204"/>
    </row>
    <row r="1403" spans="1:29">
      <c r="A1403" s="204"/>
      <c r="B1403" s="204"/>
      <c r="C1403" s="204"/>
      <c r="D1403" s="204"/>
      <c r="E1403" s="204"/>
      <c r="F1403" s="204"/>
      <c r="G1403" s="204"/>
      <c r="H1403" s="204"/>
      <c r="I1403" s="204"/>
      <c r="J1403" s="204"/>
      <c r="K1403" s="204"/>
      <c r="L1403" s="205"/>
      <c r="M1403" s="205"/>
      <c r="N1403" s="204"/>
      <c r="O1403" s="204"/>
      <c r="P1403" s="206"/>
      <c r="Q1403" s="206"/>
      <c r="R1403" s="206"/>
      <c r="S1403" s="206"/>
      <c r="T1403" s="204"/>
      <c r="U1403" s="207"/>
      <c r="V1403" s="204"/>
      <c r="W1403" s="204"/>
      <c r="X1403" s="207"/>
      <c r="Y1403" s="207"/>
      <c r="Z1403" s="204"/>
      <c r="AA1403" s="204"/>
      <c r="AB1403" s="204"/>
      <c r="AC1403" s="204"/>
    </row>
    <row r="1404" spans="1:29">
      <c r="A1404" s="204"/>
      <c r="B1404" s="204"/>
      <c r="C1404" s="204"/>
      <c r="D1404" s="204"/>
      <c r="E1404" s="204"/>
      <c r="F1404" s="204"/>
      <c r="G1404" s="204"/>
      <c r="H1404" s="204"/>
      <c r="I1404" s="204"/>
      <c r="J1404" s="204"/>
      <c r="K1404" s="204"/>
      <c r="L1404" s="205"/>
      <c r="M1404" s="205"/>
      <c r="N1404" s="204"/>
      <c r="O1404" s="204"/>
      <c r="P1404" s="206"/>
      <c r="Q1404" s="206"/>
      <c r="R1404" s="206"/>
      <c r="S1404" s="206"/>
      <c r="T1404" s="204"/>
      <c r="U1404" s="207"/>
      <c r="V1404" s="204"/>
      <c r="W1404" s="204"/>
      <c r="X1404" s="207"/>
      <c r="Y1404" s="207"/>
      <c r="Z1404" s="204"/>
      <c r="AA1404" s="204"/>
      <c r="AB1404" s="204"/>
      <c r="AC1404" s="204"/>
    </row>
    <row r="1405" spans="1:29">
      <c r="A1405" s="204"/>
      <c r="B1405" s="204"/>
      <c r="C1405" s="204"/>
      <c r="D1405" s="204"/>
      <c r="E1405" s="204"/>
      <c r="F1405" s="204"/>
      <c r="G1405" s="204"/>
      <c r="H1405" s="204"/>
      <c r="I1405" s="204"/>
      <c r="J1405" s="204"/>
      <c r="K1405" s="204"/>
      <c r="L1405" s="205"/>
      <c r="M1405" s="205"/>
      <c r="N1405" s="204"/>
      <c r="O1405" s="204"/>
      <c r="P1405" s="206"/>
      <c r="Q1405" s="206"/>
      <c r="R1405" s="206"/>
      <c r="S1405" s="206"/>
      <c r="T1405" s="204"/>
      <c r="U1405" s="207"/>
      <c r="V1405" s="204"/>
      <c r="W1405" s="204"/>
      <c r="X1405" s="207"/>
      <c r="Y1405" s="207"/>
      <c r="Z1405" s="204"/>
      <c r="AA1405" s="204"/>
      <c r="AB1405" s="204"/>
      <c r="AC1405" s="204"/>
    </row>
    <row r="1406" spans="1:29">
      <c r="A1406" s="204"/>
      <c r="B1406" s="204"/>
      <c r="C1406" s="204"/>
      <c r="D1406" s="204"/>
      <c r="E1406" s="204"/>
      <c r="F1406" s="204"/>
      <c r="G1406" s="204"/>
      <c r="H1406" s="204"/>
      <c r="I1406" s="204"/>
      <c r="J1406" s="204"/>
      <c r="K1406" s="204"/>
      <c r="L1406" s="205"/>
      <c r="M1406" s="205"/>
      <c r="N1406" s="204"/>
      <c r="O1406" s="204"/>
      <c r="P1406" s="206"/>
      <c r="Q1406" s="206"/>
      <c r="R1406" s="206"/>
      <c r="S1406" s="206"/>
      <c r="T1406" s="204"/>
      <c r="U1406" s="207"/>
      <c r="V1406" s="204"/>
      <c r="W1406" s="204"/>
      <c r="X1406" s="207"/>
      <c r="Y1406" s="207"/>
      <c r="Z1406" s="204"/>
      <c r="AA1406" s="204"/>
      <c r="AB1406" s="204"/>
      <c r="AC1406" s="204"/>
    </row>
    <row r="1407" spans="1:29">
      <c r="A1407" s="204"/>
      <c r="B1407" s="204"/>
      <c r="C1407" s="204"/>
      <c r="D1407" s="204"/>
      <c r="E1407" s="204"/>
      <c r="F1407" s="204"/>
      <c r="G1407" s="204"/>
      <c r="H1407" s="204"/>
      <c r="I1407" s="204"/>
      <c r="J1407" s="204"/>
      <c r="K1407" s="204"/>
      <c r="L1407" s="205"/>
      <c r="M1407" s="205"/>
      <c r="N1407" s="204"/>
      <c r="O1407" s="204"/>
      <c r="P1407" s="206"/>
      <c r="Q1407" s="206"/>
      <c r="R1407" s="206"/>
      <c r="S1407" s="206"/>
      <c r="T1407" s="204"/>
      <c r="U1407" s="207"/>
      <c r="V1407" s="204"/>
      <c r="W1407" s="204"/>
      <c r="X1407" s="207"/>
      <c r="Y1407" s="207"/>
      <c r="Z1407" s="204"/>
      <c r="AA1407" s="204"/>
      <c r="AB1407" s="204"/>
      <c r="AC1407" s="204"/>
    </row>
    <row r="1408" spans="1:29">
      <c r="A1408" s="204"/>
      <c r="B1408" s="204"/>
      <c r="C1408" s="204"/>
      <c r="D1408" s="204"/>
      <c r="E1408" s="204"/>
      <c r="F1408" s="204"/>
      <c r="G1408" s="204"/>
      <c r="H1408" s="204"/>
      <c r="I1408" s="204"/>
      <c r="J1408" s="204"/>
      <c r="K1408" s="204"/>
      <c r="L1408" s="205"/>
      <c r="M1408" s="205"/>
      <c r="N1408" s="204"/>
      <c r="O1408" s="204"/>
      <c r="P1408" s="206"/>
      <c r="Q1408" s="206"/>
      <c r="R1408" s="206"/>
      <c r="S1408" s="206"/>
      <c r="T1408" s="204"/>
      <c r="U1408" s="207"/>
      <c r="V1408" s="204"/>
      <c r="W1408" s="204"/>
      <c r="X1408" s="207"/>
      <c r="Y1408" s="207"/>
      <c r="Z1408" s="204"/>
      <c r="AA1408" s="204"/>
      <c r="AB1408" s="204"/>
      <c r="AC1408" s="204"/>
    </row>
    <row r="1409" spans="1:29">
      <c r="A1409" s="204"/>
      <c r="B1409" s="204"/>
      <c r="C1409" s="204"/>
      <c r="D1409" s="204"/>
      <c r="E1409" s="204"/>
      <c r="F1409" s="204"/>
      <c r="G1409" s="204"/>
      <c r="H1409" s="204"/>
      <c r="I1409" s="204"/>
      <c r="J1409" s="204"/>
      <c r="K1409" s="204"/>
      <c r="L1409" s="205"/>
      <c r="M1409" s="205"/>
      <c r="N1409" s="204"/>
      <c r="O1409" s="204"/>
      <c r="P1409" s="206"/>
      <c r="Q1409" s="206"/>
      <c r="R1409" s="206"/>
      <c r="S1409" s="206"/>
      <c r="T1409" s="204"/>
      <c r="U1409" s="207"/>
      <c r="V1409" s="204"/>
      <c r="W1409" s="204"/>
      <c r="X1409" s="207"/>
      <c r="Y1409" s="207"/>
      <c r="Z1409" s="204"/>
      <c r="AA1409" s="204"/>
      <c r="AB1409" s="204"/>
      <c r="AC1409" s="204"/>
    </row>
    <row r="1410" spans="1:29">
      <c r="A1410" s="204"/>
      <c r="B1410" s="204"/>
      <c r="C1410" s="204"/>
      <c r="D1410" s="204"/>
      <c r="E1410" s="204"/>
      <c r="F1410" s="204"/>
      <c r="G1410" s="204"/>
      <c r="H1410" s="204"/>
      <c r="I1410" s="204"/>
      <c r="J1410" s="204"/>
      <c r="K1410" s="204"/>
      <c r="L1410" s="205"/>
      <c r="M1410" s="205"/>
      <c r="N1410" s="204"/>
      <c r="O1410" s="204"/>
      <c r="P1410" s="206"/>
      <c r="Q1410" s="206"/>
      <c r="R1410" s="206"/>
      <c r="S1410" s="206"/>
      <c r="T1410" s="204"/>
      <c r="U1410" s="207"/>
      <c r="V1410" s="204"/>
      <c r="W1410" s="204"/>
      <c r="X1410" s="207"/>
      <c r="Y1410" s="207"/>
      <c r="Z1410" s="204"/>
      <c r="AA1410" s="204"/>
      <c r="AB1410" s="204"/>
      <c r="AC1410" s="204"/>
    </row>
    <row r="1411" spans="1:29">
      <c r="A1411" s="204"/>
      <c r="B1411" s="204"/>
      <c r="C1411" s="204"/>
      <c r="D1411" s="204"/>
      <c r="E1411" s="204"/>
      <c r="F1411" s="204"/>
      <c r="G1411" s="204"/>
      <c r="H1411" s="204"/>
      <c r="I1411" s="204"/>
      <c r="J1411" s="204"/>
      <c r="K1411" s="204"/>
      <c r="L1411" s="205"/>
      <c r="M1411" s="205"/>
      <c r="N1411" s="204"/>
      <c r="O1411" s="204"/>
      <c r="P1411" s="206"/>
      <c r="Q1411" s="206"/>
      <c r="R1411" s="206"/>
      <c r="S1411" s="206"/>
      <c r="T1411" s="204"/>
      <c r="U1411" s="207"/>
      <c r="V1411" s="204"/>
      <c r="W1411" s="204"/>
      <c r="X1411" s="207"/>
      <c r="Y1411" s="207"/>
      <c r="Z1411" s="204"/>
      <c r="AA1411" s="204"/>
      <c r="AB1411" s="204"/>
      <c r="AC1411" s="204"/>
    </row>
    <row r="1412" spans="1:29">
      <c r="A1412" s="204"/>
      <c r="B1412" s="204"/>
      <c r="C1412" s="204"/>
      <c r="D1412" s="204"/>
      <c r="E1412" s="204"/>
      <c r="F1412" s="204"/>
      <c r="G1412" s="204"/>
      <c r="H1412" s="204"/>
      <c r="I1412" s="204"/>
      <c r="J1412" s="204"/>
      <c r="K1412" s="204"/>
      <c r="L1412" s="205"/>
      <c r="M1412" s="205"/>
      <c r="N1412" s="204"/>
      <c r="O1412" s="204"/>
      <c r="P1412" s="206"/>
      <c r="Q1412" s="206"/>
      <c r="R1412" s="206"/>
      <c r="S1412" s="206"/>
      <c r="T1412" s="204"/>
      <c r="U1412" s="207"/>
      <c r="V1412" s="204"/>
      <c r="W1412" s="204"/>
      <c r="X1412" s="207"/>
      <c r="Y1412" s="207"/>
      <c r="Z1412" s="204"/>
      <c r="AA1412" s="204"/>
      <c r="AB1412" s="204"/>
      <c r="AC1412" s="204"/>
    </row>
    <row r="1413" spans="1:29">
      <c r="A1413" s="204"/>
      <c r="B1413" s="204"/>
      <c r="C1413" s="204"/>
      <c r="D1413" s="204"/>
      <c r="E1413" s="204"/>
      <c r="F1413" s="204"/>
      <c r="G1413" s="204"/>
      <c r="H1413" s="204"/>
      <c r="I1413" s="204"/>
      <c r="J1413" s="204"/>
      <c r="K1413" s="204"/>
      <c r="L1413" s="205"/>
      <c r="M1413" s="205"/>
      <c r="N1413" s="204"/>
      <c r="O1413" s="204"/>
      <c r="P1413" s="206"/>
      <c r="Q1413" s="206"/>
      <c r="R1413" s="206"/>
      <c r="S1413" s="206"/>
      <c r="T1413" s="204"/>
      <c r="U1413" s="207"/>
      <c r="V1413" s="204"/>
      <c r="W1413" s="204"/>
      <c r="X1413" s="207"/>
      <c r="Y1413" s="207"/>
      <c r="Z1413" s="204"/>
      <c r="AA1413" s="204"/>
      <c r="AB1413" s="204"/>
      <c r="AC1413" s="204"/>
    </row>
    <row r="1414" spans="1:29">
      <c r="A1414" s="204"/>
      <c r="B1414" s="204"/>
      <c r="C1414" s="204"/>
      <c r="D1414" s="204"/>
      <c r="E1414" s="204"/>
      <c r="F1414" s="204"/>
      <c r="G1414" s="204"/>
      <c r="H1414" s="204"/>
      <c r="I1414" s="204"/>
      <c r="J1414" s="204"/>
      <c r="K1414" s="204"/>
      <c r="L1414" s="205"/>
      <c r="M1414" s="205"/>
      <c r="N1414" s="204"/>
      <c r="O1414" s="204"/>
      <c r="P1414" s="206"/>
      <c r="Q1414" s="206"/>
      <c r="R1414" s="206"/>
      <c r="S1414" s="206"/>
      <c r="T1414" s="204"/>
      <c r="U1414" s="207"/>
      <c r="V1414" s="204"/>
      <c r="W1414" s="204"/>
      <c r="X1414" s="207"/>
      <c r="Y1414" s="207"/>
      <c r="Z1414" s="204"/>
      <c r="AA1414" s="204"/>
      <c r="AB1414" s="204"/>
      <c r="AC1414" s="204"/>
    </row>
    <row r="1415" spans="1:29">
      <c r="A1415" s="204"/>
      <c r="B1415" s="204"/>
      <c r="C1415" s="204"/>
      <c r="D1415" s="204"/>
      <c r="E1415" s="204"/>
      <c r="F1415" s="204"/>
      <c r="G1415" s="204"/>
      <c r="H1415" s="204"/>
      <c r="I1415" s="204"/>
      <c r="J1415" s="204"/>
      <c r="K1415" s="204"/>
      <c r="L1415" s="205"/>
      <c r="M1415" s="205"/>
      <c r="N1415" s="204"/>
      <c r="O1415" s="204"/>
      <c r="P1415" s="206"/>
      <c r="Q1415" s="206"/>
      <c r="R1415" s="206"/>
      <c r="S1415" s="206"/>
      <c r="T1415" s="204"/>
      <c r="U1415" s="207"/>
      <c r="V1415" s="204"/>
      <c r="W1415" s="204"/>
      <c r="X1415" s="207"/>
      <c r="Y1415" s="207"/>
      <c r="Z1415" s="204"/>
      <c r="AA1415" s="204"/>
      <c r="AB1415" s="204"/>
      <c r="AC1415" s="204"/>
    </row>
    <row r="1416" spans="1:29">
      <c r="A1416" s="204"/>
      <c r="B1416" s="204"/>
      <c r="C1416" s="204"/>
      <c r="D1416" s="204"/>
      <c r="E1416" s="204"/>
      <c r="F1416" s="204"/>
      <c r="G1416" s="204"/>
      <c r="H1416" s="204"/>
      <c r="I1416" s="204"/>
      <c r="J1416" s="204"/>
      <c r="K1416" s="204"/>
      <c r="L1416" s="205"/>
      <c r="M1416" s="205"/>
      <c r="N1416" s="204"/>
      <c r="O1416" s="204"/>
      <c r="P1416" s="206"/>
      <c r="Q1416" s="206"/>
      <c r="R1416" s="206"/>
      <c r="S1416" s="206"/>
      <c r="T1416" s="204"/>
      <c r="U1416" s="207"/>
      <c r="V1416" s="204"/>
      <c r="W1416" s="204"/>
      <c r="X1416" s="207"/>
      <c r="Y1416" s="207"/>
      <c r="Z1416" s="204"/>
      <c r="AA1416" s="204"/>
      <c r="AB1416" s="204"/>
      <c r="AC1416" s="204"/>
    </row>
    <row r="1417" spans="1:29">
      <c r="A1417" s="204"/>
      <c r="B1417" s="204"/>
      <c r="C1417" s="204"/>
      <c r="D1417" s="204"/>
      <c r="E1417" s="204"/>
      <c r="F1417" s="204"/>
      <c r="G1417" s="204"/>
      <c r="H1417" s="204"/>
      <c r="I1417" s="204"/>
      <c r="J1417" s="204"/>
      <c r="K1417" s="204"/>
      <c r="L1417" s="205"/>
      <c r="M1417" s="205"/>
      <c r="N1417" s="204"/>
      <c r="O1417" s="204"/>
      <c r="P1417" s="206"/>
      <c r="Q1417" s="206"/>
      <c r="R1417" s="206"/>
      <c r="S1417" s="206"/>
      <c r="T1417" s="204"/>
      <c r="U1417" s="207"/>
      <c r="V1417" s="204"/>
      <c r="W1417" s="204"/>
      <c r="X1417" s="207"/>
      <c r="Y1417" s="207"/>
      <c r="Z1417" s="204"/>
      <c r="AA1417" s="204"/>
      <c r="AB1417" s="204"/>
      <c r="AC1417" s="204"/>
    </row>
    <row r="1418" spans="1:29">
      <c r="A1418" s="204"/>
      <c r="B1418" s="204"/>
      <c r="C1418" s="204"/>
      <c r="D1418" s="204"/>
      <c r="E1418" s="204"/>
      <c r="F1418" s="204"/>
      <c r="G1418" s="204"/>
      <c r="H1418" s="204"/>
      <c r="I1418" s="204"/>
      <c r="J1418" s="204"/>
      <c r="K1418" s="204"/>
      <c r="L1418" s="205"/>
      <c r="M1418" s="205"/>
      <c r="N1418" s="204"/>
      <c r="O1418" s="204"/>
      <c r="P1418" s="206"/>
      <c r="Q1418" s="206"/>
      <c r="R1418" s="206"/>
      <c r="S1418" s="206"/>
      <c r="T1418" s="204"/>
      <c r="U1418" s="207"/>
      <c r="V1418" s="204"/>
      <c r="W1418" s="204"/>
      <c r="X1418" s="207"/>
      <c r="Y1418" s="207"/>
      <c r="Z1418" s="204"/>
      <c r="AA1418" s="204"/>
      <c r="AB1418" s="204"/>
      <c r="AC1418" s="204"/>
    </row>
    <row r="1419" spans="1:29">
      <c r="A1419" s="204"/>
      <c r="B1419" s="204"/>
      <c r="C1419" s="204"/>
      <c r="D1419" s="204"/>
      <c r="E1419" s="204"/>
      <c r="F1419" s="204"/>
      <c r="G1419" s="204"/>
      <c r="H1419" s="204"/>
      <c r="I1419" s="204"/>
      <c r="J1419" s="204"/>
      <c r="K1419" s="204"/>
      <c r="L1419" s="205"/>
      <c r="M1419" s="205"/>
      <c r="N1419" s="204"/>
      <c r="O1419" s="204"/>
      <c r="P1419" s="206"/>
      <c r="Q1419" s="206"/>
      <c r="R1419" s="206"/>
      <c r="S1419" s="206"/>
      <c r="T1419" s="204"/>
      <c r="U1419" s="207"/>
      <c r="V1419" s="204"/>
      <c r="W1419" s="204"/>
      <c r="X1419" s="207"/>
      <c r="Y1419" s="207"/>
      <c r="Z1419" s="204"/>
      <c r="AA1419" s="204"/>
      <c r="AB1419" s="204"/>
      <c r="AC1419" s="204"/>
    </row>
    <row r="1420" spans="1:29">
      <c r="A1420" s="204"/>
      <c r="B1420" s="204"/>
      <c r="C1420" s="204"/>
      <c r="D1420" s="204"/>
      <c r="E1420" s="204"/>
      <c r="F1420" s="204"/>
      <c r="G1420" s="204"/>
      <c r="H1420" s="204"/>
      <c r="I1420" s="204"/>
      <c r="J1420" s="204"/>
      <c r="K1420" s="204"/>
      <c r="L1420" s="205"/>
      <c r="M1420" s="205"/>
      <c r="N1420" s="204"/>
      <c r="O1420" s="204"/>
      <c r="P1420" s="206"/>
      <c r="Q1420" s="206"/>
      <c r="R1420" s="206"/>
      <c r="S1420" s="206"/>
      <c r="T1420" s="204"/>
      <c r="U1420" s="207"/>
      <c r="V1420" s="204"/>
      <c r="W1420" s="204"/>
      <c r="X1420" s="207"/>
      <c r="Y1420" s="207"/>
      <c r="Z1420" s="204"/>
      <c r="AA1420" s="204"/>
      <c r="AB1420" s="204"/>
      <c r="AC1420" s="204"/>
    </row>
    <row r="1421" spans="1:29">
      <c r="A1421" s="204"/>
      <c r="B1421" s="204"/>
      <c r="C1421" s="204"/>
      <c r="D1421" s="204"/>
      <c r="E1421" s="204"/>
      <c r="F1421" s="204"/>
      <c r="G1421" s="204"/>
      <c r="H1421" s="204"/>
      <c r="I1421" s="204"/>
      <c r="J1421" s="204"/>
      <c r="K1421" s="204"/>
      <c r="L1421" s="205"/>
      <c r="M1421" s="205"/>
      <c r="N1421" s="204"/>
      <c r="O1421" s="204"/>
      <c r="P1421" s="206"/>
      <c r="Q1421" s="206"/>
      <c r="R1421" s="206"/>
      <c r="S1421" s="206"/>
      <c r="T1421" s="204"/>
      <c r="U1421" s="207"/>
      <c r="V1421" s="204"/>
      <c r="W1421" s="204"/>
      <c r="X1421" s="207"/>
      <c r="Y1421" s="207"/>
      <c r="Z1421" s="204"/>
      <c r="AA1421" s="204"/>
      <c r="AB1421" s="204"/>
      <c r="AC1421" s="204"/>
    </row>
    <row r="1422" spans="1:29">
      <c r="A1422" s="204"/>
      <c r="B1422" s="204"/>
      <c r="C1422" s="204"/>
      <c r="D1422" s="204"/>
      <c r="E1422" s="204"/>
      <c r="F1422" s="204"/>
      <c r="G1422" s="204"/>
      <c r="H1422" s="204"/>
      <c r="I1422" s="204"/>
      <c r="J1422" s="204"/>
      <c r="K1422" s="204"/>
      <c r="L1422" s="205"/>
      <c r="M1422" s="205"/>
      <c r="N1422" s="204"/>
      <c r="O1422" s="204"/>
      <c r="P1422" s="206"/>
      <c r="Q1422" s="206"/>
      <c r="R1422" s="206"/>
      <c r="S1422" s="206"/>
      <c r="T1422" s="204"/>
      <c r="U1422" s="207"/>
      <c r="V1422" s="204"/>
      <c r="W1422" s="204"/>
      <c r="X1422" s="207"/>
      <c r="Y1422" s="207"/>
      <c r="Z1422" s="204"/>
      <c r="AA1422" s="204"/>
      <c r="AB1422" s="204"/>
      <c r="AC1422" s="204"/>
    </row>
    <row r="1423" spans="1:29">
      <c r="A1423" s="204"/>
      <c r="B1423" s="204"/>
      <c r="C1423" s="204"/>
      <c r="D1423" s="204"/>
      <c r="E1423" s="204"/>
      <c r="F1423" s="204"/>
      <c r="G1423" s="204"/>
      <c r="H1423" s="204"/>
      <c r="I1423" s="204"/>
      <c r="J1423" s="204"/>
      <c r="K1423" s="204"/>
      <c r="L1423" s="205"/>
      <c r="M1423" s="205"/>
      <c r="N1423" s="204"/>
      <c r="O1423" s="204"/>
      <c r="P1423" s="206"/>
      <c r="Q1423" s="206"/>
      <c r="R1423" s="206"/>
      <c r="S1423" s="206"/>
      <c r="T1423" s="204"/>
      <c r="U1423" s="207"/>
      <c r="V1423" s="204"/>
      <c r="W1423" s="204"/>
      <c r="X1423" s="207"/>
      <c r="Y1423" s="207"/>
      <c r="Z1423" s="204"/>
      <c r="AA1423" s="204"/>
      <c r="AB1423" s="204"/>
      <c r="AC1423" s="204"/>
    </row>
    <row r="1424" spans="1:29">
      <c r="A1424" s="204"/>
      <c r="B1424" s="204"/>
      <c r="C1424" s="204"/>
      <c r="D1424" s="204"/>
      <c r="E1424" s="204"/>
      <c r="F1424" s="204"/>
      <c r="G1424" s="204"/>
      <c r="H1424" s="204"/>
      <c r="I1424" s="204"/>
      <c r="J1424" s="204"/>
      <c r="K1424" s="204"/>
      <c r="L1424" s="205"/>
      <c r="M1424" s="205"/>
      <c r="N1424" s="204"/>
      <c r="O1424" s="204"/>
      <c r="P1424" s="206"/>
      <c r="Q1424" s="206"/>
      <c r="R1424" s="206"/>
      <c r="S1424" s="206"/>
      <c r="T1424" s="204"/>
      <c r="U1424" s="207"/>
      <c r="V1424" s="204"/>
      <c r="W1424" s="204"/>
      <c r="X1424" s="207"/>
      <c r="Y1424" s="207"/>
      <c r="Z1424" s="204"/>
      <c r="AA1424" s="204"/>
      <c r="AB1424" s="204"/>
      <c r="AC1424" s="204"/>
    </row>
    <row r="1425" spans="1:29">
      <c r="A1425" s="204"/>
      <c r="B1425" s="204"/>
      <c r="C1425" s="204"/>
      <c r="D1425" s="204"/>
      <c r="E1425" s="204"/>
      <c r="F1425" s="204"/>
      <c r="G1425" s="204"/>
      <c r="H1425" s="204"/>
      <c r="I1425" s="204"/>
      <c r="J1425" s="204"/>
      <c r="K1425" s="204"/>
      <c r="L1425" s="205"/>
      <c r="M1425" s="205"/>
      <c r="N1425" s="204"/>
      <c r="O1425" s="204"/>
      <c r="P1425" s="206"/>
      <c r="Q1425" s="206"/>
      <c r="R1425" s="206"/>
      <c r="S1425" s="206"/>
      <c r="T1425" s="204"/>
      <c r="U1425" s="207"/>
      <c r="V1425" s="204"/>
      <c r="W1425" s="204"/>
      <c r="X1425" s="207"/>
      <c r="Y1425" s="207"/>
      <c r="Z1425" s="204"/>
      <c r="AA1425" s="204"/>
      <c r="AB1425" s="204"/>
      <c r="AC1425" s="204"/>
    </row>
    <row r="1426" spans="1:29">
      <c r="A1426" s="204"/>
      <c r="B1426" s="204"/>
      <c r="C1426" s="204"/>
      <c r="D1426" s="204"/>
      <c r="E1426" s="204"/>
      <c r="F1426" s="204"/>
      <c r="G1426" s="204"/>
      <c r="H1426" s="204"/>
      <c r="I1426" s="204"/>
      <c r="J1426" s="204"/>
      <c r="K1426" s="204"/>
      <c r="L1426" s="205"/>
      <c r="M1426" s="205"/>
      <c r="N1426" s="204"/>
      <c r="O1426" s="204"/>
      <c r="P1426" s="206"/>
      <c r="Q1426" s="206"/>
      <c r="R1426" s="206"/>
      <c r="S1426" s="206"/>
      <c r="T1426" s="204"/>
      <c r="U1426" s="207"/>
      <c r="V1426" s="204"/>
      <c r="W1426" s="204"/>
      <c r="X1426" s="207"/>
      <c r="Y1426" s="207"/>
      <c r="Z1426" s="204"/>
      <c r="AA1426" s="204"/>
      <c r="AB1426" s="204"/>
      <c r="AC1426" s="204"/>
    </row>
    <row r="1427" spans="1:29">
      <c r="A1427" s="204"/>
      <c r="B1427" s="204"/>
      <c r="C1427" s="204"/>
      <c r="D1427" s="204"/>
      <c r="E1427" s="204"/>
      <c r="F1427" s="204"/>
      <c r="G1427" s="204"/>
      <c r="H1427" s="204"/>
      <c r="I1427" s="204"/>
      <c r="J1427" s="204"/>
      <c r="K1427" s="204"/>
      <c r="L1427" s="205"/>
      <c r="M1427" s="205"/>
      <c r="N1427" s="204"/>
      <c r="O1427" s="204"/>
      <c r="P1427" s="206"/>
      <c r="Q1427" s="206"/>
      <c r="R1427" s="206"/>
      <c r="S1427" s="206"/>
      <c r="T1427" s="204"/>
      <c r="U1427" s="207"/>
      <c r="V1427" s="204"/>
      <c r="W1427" s="204"/>
      <c r="X1427" s="207"/>
      <c r="Y1427" s="207"/>
      <c r="Z1427" s="204"/>
      <c r="AA1427" s="204"/>
      <c r="AB1427" s="204"/>
      <c r="AC1427" s="204"/>
    </row>
    <row r="1428" spans="1:29">
      <c r="A1428" s="204"/>
      <c r="B1428" s="204"/>
      <c r="C1428" s="204"/>
      <c r="D1428" s="204"/>
      <c r="E1428" s="204"/>
      <c r="F1428" s="204"/>
      <c r="G1428" s="204"/>
      <c r="H1428" s="204"/>
      <c r="I1428" s="204"/>
      <c r="J1428" s="204"/>
      <c r="K1428" s="204"/>
      <c r="L1428" s="205"/>
      <c r="M1428" s="205"/>
      <c r="N1428" s="204"/>
      <c r="O1428" s="204"/>
      <c r="P1428" s="206"/>
      <c r="Q1428" s="206"/>
      <c r="R1428" s="206"/>
      <c r="S1428" s="206"/>
      <c r="T1428" s="204"/>
      <c r="U1428" s="207"/>
      <c r="V1428" s="204"/>
      <c r="W1428" s="204"/>
      <c r="X1428" s="207"/>
      <c r="Y1428" s="207"/>
      <c r="Z1428" s="204"/>
      <c r="AA1428" s="204"/>
      <c r="AB1428" s="204"/>
      <c r="AC1428" s="204"/>
    </row>
    <row r="1429" spans="1:29">
      <c r="A1429" s="204"/>
      <c r="B1429" s="204"/>
      <c r="C1429" s="204"/>
      <c r="D1429" s="204"/>
      <c r="E1429" s="204"/>
      <c r="F1429" s="204"/>
      <c r="G1429" s="204"/>
      <c r="H1429" s="204"/>
      <c r="I1429" s="204"/>
      <c r="J1429" s="204"/>
      <c r="K1429" s="204"/>
      <c r="L1429" s="205"/>
      <c r="M1429" s="205"/>
      <c r="N1429" s="204"/>
      <c r="O1429" s="204"/>
      <c r="P1429" s="206"/>
      <c r="Q1429" s="206"/>
      <c r="R1429" s="206"/>
      <c r="S1429" s="206"/>
      <c r="T1429" s="204"/>
      <c r="U1429" s="207"/>
      <c r="V1429" s="204"/>
      <c r="W1429" s="204"/>
      <c r="X1429" s="207"/>
      <c r="Y1429" s="207"/>
      <c r="Z1429" s="204"/>
      <c r="AA1429" s="204"/>
      <c r="AB1429" s="204"/>
      <c r="AC1429" s="204"/>
    </row>
    <row r="1430" spans="1:29">
      <c r="A1430" s="204"/>
      <c r="B1430" s="204"/>
      <c r="C1430" s="204"/>
      <c r="D1430" s="204"/>
      <c r="E1430" s="204"/>
      <c r="F1430" s="204"/>
      <c r="G1430" s="204"/>
      <c r="H1430" s="204"/>
      <c r="I1430" s="204"/>
      <c r="J1430" s="204"/>
      <c r="K1430" s="204"/>
      <c r="L1430" s="205"/>
      <c r="M1430" s="205"/>
      <c r="N1430" s="204"/>
      <c r="O1430" s="204"/>
      <c r="P1430" s="206"/>
      <c r="Q1430" s="206"/>
      <c r="R1430" s="206"/>
      <c r="S1430" s="206"/>
      <c r="T1430" s="204"/>
      <c r="U1430" s="207"/>
      <c r="V1430" s="204"/>
      <c r="W1430" s="204"/>
      <c r="X1430" s="207"/>
      <c r="Y1430" s="207"/>
      <c r="Z1430" s="204"/>
      <c r="AA1430" s="204"/>
      <c r="AB1430" s="204"/>
      <c r="AC1430" s="204"/>
    </row>
    <row r="1431" spans="1:29">
      <c r="A1431" s="204"/>
      <c r="B1431" s="204"/>
      <c r="C1431" s="204"/>
      <c r="D1431" s="204"/>
      <c r="E1431" s="204"/>
      <c r="F1431" s="204"/>
      <c r="G1431" s="204"/>
      <c r="H1431" s="204"/>
      <c r="I1431" s="204"/>
      <c r="J1431" s="204"/>
      <c r="K1431" s="204"/>
      <c r="L1431" s="205"/>
      <c r="M1431" s="205"/>
      <c r="N1431" s="204"/>
      <c r="O1431" s="204"/>
      <c r="P1431" s="206"/>
      <c r="Q1431" s="206"/>
      <c r="R1431" s="206"/>
      <c r="S1431" s="206"/>
      <c r="T1431" s="204"/>
      <c r="U1431" s="207"/>
      <c r="V1431" s="204"/>
      <c r="W1431" s="204"/>
      <c r="X1431" s="207"/>
      <c r="Y1431" s="207"/>
      <c r="Z1431" s="204"/>
      <c r="AA1431" s="204"/>
      <c r="AB1431" s="204"/>
      <c r="AC1431" s="204"/>
    </row>
    <row r="1432" spans="1:29">
      <c r="A1432" s="204"/>
      <c r="B1432" s="204"/>
      <c r="C1432" s="204"/>
      <c r="D1432" s="204"/>
      <c r="E1432" s="204"/>
      <c r="F1432" s="204"/>
      <c r="G1432" s="204"/>
      <c r="H1432" s="204"/>
      <c r="I1432" s="204"/>
      <c r="J1432" s="204"/>
      <c r="K1432" s="204"/>
      <c r="L1432" s="205"/>
      <c r="M1432" s="205"/>
      <c r="N1432" s="204"/>
      <c r="O1432" s="204"/>
      <c r="P1432" s="206"/>
      <c r="Q1432" s="206"/>
      <c r="R1432" s="206"/>
      <c r="S1432" s="206"/>
      <c r="T1432" s="204"/>
      <c r="U1432" s="207"/>
      <c r="V1432" s="204"/>
      <c r="W1432" s="204"/>
      <c r="X1432" s="207"/>
      <c r="Y1432" s="207"/>
      <c r="Z1432" s="204"/>
      <c r="AA1432" s="204"/>
      <c r="AB1432" s="204"/>
      <c r="AC1432" s="204"/>
    </row>
    <row r="1433" spans="1:29">
      <c r="A1433" s="204"/>
      <c r="B1433" s="204"/>
      <c r="C1433" s="204"/>
      <c r="D1433" s="204"/>
      <c r="E1433" s="204"/>
      <c r="F1433" s="204"/>
      <c r="G1433" s="204"/>
      <c r="H1433" s="204"/>
      <c r="I1433" s="204"/>
      <c r="J1433" s="204"/>
      <c r="K1433" s="204"/>
      <c r="L1433" s="205"/>
      <c r="M1433" s="205"/>
      <c r="N1433" s="204"/>
      <c r="O1433" s="204"/>
      <c r="P1433" s="206"/>
      <c r="Q1433" s="206"/>
      <c r="R1433" s="206"/>
      <c r="S1433" s="206"/>
      <c r="T1433" s="204"/>
      <c r="U1433" s="207"/>
      <c r="V1433" s="204"/>
      <c r="W1433" s="204"/>
      <c r="X1433" s="207"/>
      <c r="Y1433" s="207"/>
      <c r="Z1433" s="204"/>
      <c r="AA1433" s="204"/>
      <c r="AB1433" s="204"/>
      <c r="AC1433" s="204"/>
    </row>
    <row r="1434" spans="1:29">
      <c r="A1434" s="204"/>
      <c r="B1434" s="204"/>
      <c r="C1434" s="204"/>
      <c r="D1434" s="204"/>
      <c r="E1434" s="204"/>
      <c r="F1434" s="204"/>
      <c r="G1434" s="204"/>
      <c r="H1434" s="204"/>
      <c r="I1434" s="204"/>
      <c r="J1434" s="204"/>
      <c r="K1434" s="204"/>
      <c r="L1434" s="205"/>
      <c r="M1434" s="205"/>
      <c r="N1434" s="204"/>
      <c r="O1434" s="204"/>
      <c r="P1434" s="206"/>
      <c r="Q1434" s="206"/>
      <c r="R1434" s="206"/>
      <c r="S1434" s="206"/>
      <c r="T1434" s="204"/>
      <c r="U1434" s="207"/>
      <c r="V1434" s="204"/>
      <c r="W1434" s="204"/>
      <c r="X1434" s="207"/>
      <c r="Y1434" s="207"/>
      <c r="Z1434" s="204"/>
      <c r="AA1434" s="204"/>
      <c r="AB1434" s="204"/>
      <c r="AC1434" s="204"/>
    </row>
    <row r="1435" spans="1:29">
      <c r="A1435" s="204"/>
      <c r="B1435" s="204"/>
      <c r="C1435" s="204"/>
      <c r="D1435" s="204"/>
      <c r="E1435" s="204"/>
      <c r="F1435" s="204"/>
      <c r="G1435" s="204"/>
      <c r="H1435" s="204"/>
      <c r="I1435" s="204"/>
      <c r="J1435" s="204"/>
      <c r="K1435" s="204"/>
      <c r="L1435" s="205"/>
      <c r="M1435" s="205"/>
      <c r="N1435" s="204"/>
      <c r="O1435" s="204"/>
      <c r="P1435" s="206"/>
      <c r="Q1435" s="206"/>
      <c r="R1435" s="206"/>
      <c r="S1435" s="206"/>
      <c r="T1435" s="204"/>
      <c r="U1435" s="207"/>
      <c r="V1435" s="204"/>
      <c r="W1435" s="204"/>
      <c r="X1435" s="207"/>
      <c r="Y1435" s="207"/>
      <c r="Z1435" s="204"/>
      <c r="AA1435" s="204"/>
      <c r="AB1435" s="204"/>
      <c r="AC1435" s="204"/>
    </row>
    <row r="1436" spans="1:29">
      <c r="A1436" s="204"/>
      <c r="B1436" s="204"/>
      <c r="C1436" s="204"/>
      <c r="D1436" s="204"/>
      <c r="E1436" s="204"/>
      <c r="F1436" s="204"/>
      <c r="G1436" s="204"/>
      <c r="H1436" s="204"/>
      <c r="I1436" s="204"/>
      <c r="J1436" s="204"/>
      <c r="K1436" s="204"/>
      <c r="L1436" s="205"/>
      <c r="M1436" s="205"/>
      <c r="N1436" s="204"/>
      <c r="O1436" s="204"/>
      <c r="P1436" s="206"/>
      <c r="Q1436" s="206"/>
      <c r="R1436" s="206"/>
      <c r="S1436" s="206"/>
      <c r="T1436" s="204"/>
      <c r="U1436" s="207"/>
      <c r="V1436" s="204"/>
      <c r="W1436" s="204"/>
      <c r="X1436" s="207"/>
      <c r="Y1436" s="207"/>
      <c r="Z1436" s="204"/>
      <c r="AA1436" s="204"/>
      <c r="AB1436" s="204"/>
      <c r="AC1436" s="204"/>
    </row>
    <row r="1437" spans="1:29">
      <c r="A1437" s="204"/>
      <c r="B1437" s="204"/>
      <c r="C1437" s="204"/>
      <c r="D1437" s="204"/>
      <c r="E1437" s="204"/>
      <c r="F1437" s="204"/>
      <c r="G1437" s="204"/>
      <c r="H1437" s="204"/>
      <c r="I1437" s="204"/>
      <c r="J1437" s="204"/>
      <c r="K1437" s="204"/>
      <c r="L1437" s="205"/>
      <c r="M1437" s="205"/>
      <c r="N1437" s="204"/>
      <c r="O1437" s="204"/>
      <c r="P1437" s="206"/>
      <c r="Q1437" s="206"/>
      <c r="R1437" s="206"/>
      <c r="S1437" s="206"/>
      <c r="T1437" s="204"/>
      <c r="U1437" s="207"/>
      <c r="V1437" s="204"/>
      <c r="W1437" s="204"/>
      <c r="X1437" s="207"/>
      <c r="Y1437" s="207"/>
      <c r="Z1437" s="204"/>
      <c r="AA1437" s="204"/>
      <c r="AB1437" s="204"/>
      <c r="AC1437" s="204"/>
    </row>
    <row r="1438" spans="1:29">
      <c r="A1438" s="204"/>
      <c r="B1438" s="204"/>
      <c r="C1438" s="204"/>
      <c r="D1438" s="204"/>
      <c r="E1438" s="204"/>
      <c r="F1438" s="204"/>
      <c r="G1438" s="204"/>
      <c r="H1438" s="204"/>
      <c r="I1438" s="204"/>
      <c r="J1438" s="204"/>
      <c r="K1438" s="204"/>
      <c r="L1438" s="205"/>
      <c r="M1438" s="205"/>
      <c r="N1438" s="204"/>
      <c r="O1438" s="204"/>
      <c r="P1438" s="206"/>
      <c r="Q1438" s="206"/>
      <c r="R1438" s="206"/>
      <c r="S1438" s="206"/>
      <c r="T1438" s="204"/>
      <c r="U1438" s="207"/>
      <c r="V1438" s="204"/>
      <c r="W1438" s="204"/>
      <c r="X1438" s="207"/>
      <c r="Y1438" s="207"/>
      <c r="Z1438" s="204"/>
      <c r="AA1438" s="204"/>
      <c r="AB1438" s="204"/>
      <c r="AC1438" s="204"/>
    </row>
    <row r="1439" spans="1:29">
      <c r="A1439" s="204"/>
      <c r="B1439" s="204"/>
      <c r="C1439" s="204"/>
      <c r="D1439" s="204"/>
      <c r="E1439" s="204"/>
      <c r="F1439" s="204"/>
      <c r="G1439" s="204"/>
      <c r="H1439" s="204"/>
      <c r="I1439" s="204"/>
      <c r="J1439" s="204"/>
      <c r="K1439" s="204"/>
      <c r="L1439" s="205"/>
      <c r="M1439" s="205"/>
      <c r="N1439" s="204"/>
      <c r="O1439" s="204"/>
      <c r="P1439" s="206"/>
      <c r="Q1439" s="206"/>
      <c r="R1439" s="206"/>
      <c r="S1439" s="206"/>
      <c r="T1439" s="204"/>
      <c r="U1439" s="207"/>
      <c r="V1439" s="204"/>
      <c r="W1439" s="204"/>
      <c r="X1439" s="207"/>
      <c r="Y1439" s="207"/>
      <c r="Z1439" s="204"/>
      <c r="AA1439" s="204"/>
      <c r="AB1439" s="204"/>
      <c r="AC1439" s="204"/>
    </row>
    <row r="1440" spans="1:29">
      <c r="A1440" s="204"/>
      <c r="B1440" s="204"/>
      <c r="C1440" s="204"/>
      <c r="D1440" s="204"/>
      <c r="E1440" s="204"/>
      <c r="F1440" s="204"/>
      <c r="G1440" s="204"/>
      <c r="H1440" s="204"/>
      <c r="I1440" s="204"/>
      <c r="J1440" s="204"/>
      <c r="K1440" s="204"/>
      <c r="L1440" s="205"/>
      <c r="M1440" s="205"/>
      <c r="N1440" s="204"/>
      <c r="O1440" s="204"/>
      <c r="P1440" s="206"/>
      <c r="Q1440" s="206"/>
      <c r="R1440" s="206"/>
      <c r="S1440" s="206"/>
      <c r="T1440" s="204"/>
      <c r="U1440" s="207"/>
      <c r="V1440" s="204"/>
      <c r="W1440" s="204"/>
      <c r="X1440" s="207"/>
      <c r="Y1440" s="207"/>
      <c r="Z1440" s="204"/>
      <c r="AA1440" s="204"/>
      <c r="AB1440" s="204"/>
      <c r="AC1440" s="204"/>
    </row>
    <row r="1441" spans="1:29">
      <c r="A1441" s="204"/>
      <c r="B1441" s="204"/>
      <c r="C1441" s="204"/>
      <c r="D1441" s="204"/>
      <c r="E1441" s="204"/>
      <c r="F1441" s="204"/>
      <c r="G1441" s="204"/>
      <c r="H1441" s="204"/>
      <c r="I1441" s="204"/>
      <c r="J1441" s="204"/>
      <c r="K1441" s="204"/>
      <c r="L1441" s="205"/>
      <c r="M1441" s="205"/>
      <c r="N1441" s="204"/>
      <c r="O1441" s="204"/>
      <c r="P1441" s="206"/>
      <c r="Q1441" s="206"/>
      <c r="R1441" s="206"/>
      <c r="S1441" s="206"/>
      <c r="T1441" s="204"/>
      <c r="U1441" s="207"/>
      <c r="V1441" s="204"/>
      <c r="W1441" s="204"/>
      <c r="X1441" s="207"/>
      <c r="Y1441" s="207"/>
      <c r="Z1441" s="204"/>
      <c r="AA1441" s="204"/>
      <c r="AB1441" s="204"/>
      <c r="AC1441" s="204"/>
    </row>
    <row r="1442" spans="1:29">
      <c r="A1442" s="204"/>
      <c r="B1442" s="204"/>
      <c r="C1442" s="204"/>
      <c r="D1442" s="204"/>
      <c r="E1442" s="204"/>
      <c r="F1442" s="204"/>
      <c r="G1442" s="204"/>
      <c r="H1442" s="204"/>
      <c r="I1442" s="204"/>
      <c r="J1442" s="204"/>
      <c r="K1442" s="204"/>
      <c r="L1442" s="205"/>
      <c r="M1442" s="205"/>
      <c r="N1442" s="204"/>
      <c r="O1442" s="204"/>
      <c r="P1442" s="206"/>
      <c r="Q1442" s="206"/>
      <c r="R1442" s="206"/>
      <c r="S1442" s="206"/>
      <c r="T1442" s="204"/>
      <c r="U1442" s="207"/>
      <c r="V1442" s="204"/>
      <c r="W1442" s="204"/>
      <c r="X1442" s="207"/>
      <c r="Y1442" s="207"/>
      <c r="Z1442" s="204"/>
      <c r="AA1442" s="204"/>
      <c r="AB1442" s="204"/>
      <c r="AC1442" s="204"/>
    </row>
    <row r="1443" spans="1:29">
      <c r="A1443" s="204"/>
      <c r="B1443" s="204"/>
      <c r="C1443" s="204"/>
      <c r="D1443" s="204"/>
      <c r="E1443" s="204"/>
      <c r="F1443" s="204"/>
      <c r="G1443" s="204"/>
      <c r="H1443" s="204"/>
      <c r="I1443" s="204"/>
      <c r="J1443" s="204"/>
      <c r="K1443" s="204"/>
      <c r="L1443" s="205"/>
      <c r="M1443" s="205"/>
      <c r="N1443" s="204"/>
      <c r="O1443" s="204"/>
      <c r="P1443" s="206"/>
      <c r="Q1443" s="206"/>
      <c r="R1443" s="206"/>
      <c r="S1443" s="206"/>
      <c r="T1443" s="204"/>
      <c r="U1443" s="207"/>
      <c r="V1443" s="204"/>
      <c r="W1443" s="204"/>
      <c r="X1443" s="207"/>
      <c r="Y1443" s="207"/>
      <c r="Z1443" s="204"/>
      <c r="AA1443" s="204"/>
      <c r="AB1443" s="204"/>
      <c r="AC1443" s="204"/>
    </row>
    <row r="1444" spans="1:29">
      <c r="A1444" s="204"/>
      <c r="B1444" s="204"/>
      <c r="C1444" s="204"/>
      <c r="D1444" s="204"/>
      <c r="E1444" s="204"/>
      <c r="F1444" s="204"/>
      <c r="G1444" s="204"/>
      <c r="H1444" s="204"/>
      <c r="I1444" s="204"/>
      <c r="J1444" s="204"/>
      <c r="K1444" s="204"/>
      <c r="L1444" s="205"/>
      <c r="M1444" s="205"/>
      <c r="N1444" s="204"/>
      <c r="O1444" s="204"/>
      <c r="P1444" s="206"/>
      <c r="Q1444" s="206"/>
      <c r="R1444" s="206"/>
      <c r="S1444" s="206"/>
      <c r="T1444" s="204"/>
      <c r="U1444" s="207"/>
      <c r="V1444" s="204"/>
      <c r="W1444" s="204"/>
      <c r="X1444" s="207"/>
      <c r="Y1444" s="207"/>
      <c r="Z1444" s="204"/>
      <c r="AA1444" s="204"/>
      <c r="AB1444" s="204"/>
      <c r="AC1444" s="204"/>
    </row>
    <row r="1445" spans="1:29">
      <c r="A1445" s="204"/>
      <c r="B1445" s="204"/>
      <c r="C1445" s="204"/>
      <c r="D1445" s="204"/>
      <c r="E1445" s="204"/>
      <c r="F1445" s="204"/>
      <c r="G1445" s="204"/>
      <c r="H1445" s="204"/>
      <c r="I1445" s="204"/>
      <c r="J1445" s="204"/>
      <c r="K1445" s="204"/>
      <c r="L1445" s="205"/>
      <c r="M1445" s="205"/>
      <c r="N1445" s="204"/>
      <c r="O1445" s="204"/>
      <c r="P1445" s="206"/>
      <c r="Q1445" s="206"/>
      <c r="R1445" s="206"/>
      <c r="S1445" s="206"/>
      <c r="T1445" s="204"/>
      <c r="U1445" s="207"/>
      <c r="V1445" s="204"/>
      <c r="W1445" s="204"/>
      <c r="X1445" s="207"/>
      <c r="Y1445" s="207"/>
      <c r="Z1445" s="204"/>
      <c r="AA1445" s="204"/>
      <c r="AB1445" s="204"/>
      <c r="AC1445" s="204"/>
    </row>
    <row r="1446" spans="1:29">
      <c r="A1446" s="204"/>
      <c r="B1446" s="204"/>
      <c r="C1446" s="204"/>
      <c r="D1446" s="204"/>
      <c r="E1446" s="204"/>
      <c r="F1446" s="204"/>
      <c r="G1446" s="204"/>
      <c r="H1446" s="204"/>
      <c r="I1446" s="204"/>
      <c r="J1446" s="204"/>
      <c r="K1446" s="204"/>
      <c r="L1446" s="205"/>
      <c r="M1446" s="205"/>
      <c r="N1446" s="204"/>
      <c r="O1446" s="204"/>
      <c r="P1446" s="206"/>
      <c r="Q1446" s="206"/>
      <c r="R1446" s="206"/>
      <c r="S1446" s="206"/>
      <c r="T1446" s="204"/>
      <c r="U1446" s="207"/>
      <c r="V1446" s="204"/>
      <c r="W1446" s="204"/>
      <c r="X1446" s="207"/>
      <c r="Y1446" s="207"/>
      <c r="Z1446" s="204"/>
      <c r="AA1446" s="204"/>
      <c r="AB1446" s="204"/>
      <c r="AC1446" s="204"/>
    </row>
    <row r="1447" spans="1:29">
      <c r="A1447" s="204"/>
      <c r="B1447" s="204"/>
      <c r="C1447" s="204"/>
      <c r="D1447" s="204"/>
      <c r="E1447" s="204"/>
      <c r="F1447" s="204"/>
      <c r="G1447" s="204"/>
      <c r="H1447" s="204"/>
      <c r="I1447" s="204"/>
      <c r="J1447" s="204"/>
      <c r="K1447" s="204"/>
      <c r="L1447" s="205"/>
      <c r="M1447" s="205"/>
      <c r="N1447" s="204"/>
      <c r="O1447" s="204"/>
      <c r="P1447" s="206"/>
      <c r="Q1447" s="206"/>
      <c r="R1447" s="206"/>
      <c r="S1447" s="206"/>
      <c r="T1447" s="204"/>
      <c r="U1447" s="207"/>
      <c r="V1447" s="204"/>
      <c r="W1447" s="204"/>
      <c r="X1447" s="207"/>
      <c r="Y1447" s="207"/>
      <c r="Z1447" s="204"/>
      <c r="AA1447" s="204"/>
      <c r="AB1447" s="204"/>
      <c r="AC1447" s="204"/>
    </row>
    <row r="1448" spans="1:29">
      <c r="A1448" s="204"/>
      <c r="B1448" s="204"/>
      <c r="C1448" s="204"/>
      <c r="D1448" s="204"/>
      <c r="E1448" s="204"/>
      <c r="F1448" s="204"/>
      <c r="G1448" s="204"/>
      <c r="H1448" s="204"/>
      <c r="I1448" s="204"/>
      <c r="J1448" s="204"/>
      <c r="K1448" s="204"/>
      <c r="L1448" s="205"/>
      <c r="M1448" s="205"/>
      <c r="N1448" s="204"/>
      <c r="O1448" s="204"/>
      <c r="P1448" s="206"/>
      <c r="Q1448" s="206"/>
      <c r="R1448" s="206"/>
      <c r="S1448" s="206"/>
      <c r="T1448" s="204"/>
      <c r="U1448" s="207"/>
      <c r="V1448" s="204"/>
      <c r="W1448" s="204"/>
      <c r="X1448" s="207"/>
      <c r="Y1448" s="207"/>
      <c r="Z1448" s="204"/>
      <c r="AA1448" s="204"/>
      <c r="AB1448" s="204"/>
      <c r="AC1448" s="204"/>
    </row>
    <row r="1449" spans="1:29">
      <c r="A1449" s="204"/>
      <c r="B1449" s="204"/>
      <c r="C1449" s="204"/>
      <c r="D1449" s="204"/>
      <c r="E1449" s="204"/>
      <c r="F1449" s="204"/>
      <c r="G1449" s="204"/>
      <c r="H1449" s="204"/>
      <c r="I1449" s="204"/>
      <c r="J1449" s="204"/>
      <c r="K1449" s="204"/>
      <c r="L1449" s="205"/>
      <c r="M1449" s="205"/>
      <c r="N1449" s="204"/>
      <c r="O1449" s="204"/>
      <c r="P1449" s="206"/>
      <c r="Q1449" s="206"/>
      <c r="R1449" s="206"/>
      <c r="S1449" s="206"/>
      <c r="T1449" s="204"/>
      <c r="U1449" s="207"/>
      <c r="V1449" s="204"/>
      <c r="W1449" s="204"/>
      <c r="X1449" s="207"/>
      <c r="Y1449" s="207"/>
      <c r="Z1449" s="204"/>
      <c r="AA1449" s="204"/>
      <c r="AB1449" s="204"/>
      <c r="AC1449" s="204"/>
    </row>
    <row r="1450" spans="1:29">
      <c r="A1450" s="204"/>
      <c r="B1450" s="204"/>
      <c r="C1450" s="204"/>
      <c r="D1450" s="204"/>
      <c r="E1450" s="204"/>
      <c r="F1450" s="204"/>
      <c r="G1450" s="204"/>
      <c r="H1450" s="204"/>
      <c r="I1450" s="204"/>
      <c r="J1450" s="204"/>
      <c r="K1450" s="204"/>
      <c r="L1450" s="205"/>
      <c r="M1450" s="205"/>
      <c r="N1450" s="204"/>
      <c r="O1450" s="204"/>
      <c r="P1450" s="206"/>
      <c r="Q1450" s="206"/>
      <c r="R1450" s="206"/>
      <c r="S1450" s="206"/>
      <c r="T1450" s="204"/>
      <c r="U1450" s="207"/>
      <c r="V1450" s="204"/>
      <c r="W1450" s="204"/>
      <c r="X1450" s="207"/>
      <c r="Y1450" s="207"/>
      <c r="Z1450" s="204"/>
      <c r="AA1450" s="204"/>
      <c r="AB1450" s="204"/>
      <c r="AC1450" s="204"/>
    </row>
    <row r="1451" spans="1:29">
      <c r="A1451" s="204"/>
      <c r="B1451" s="204"/>
      <c r="C1451" s="204"/>
      <c r="D1451" s="204"/>
      <c r="E1451" s="204"/>
      <c r="F1451" s="204"/>
      <c r="G1451" s="204"/>
      <c r="H1451" s="204"/>
      <c r="I1451" s="204"/>
      <c r="J1451" s="204"/>
      <c r="K1451" s="204"/>
      <c r="L1451" s="205"/>
      <c r="M1451" s="205"/>
      <c r="N1451" s="204"/>
      <c r="O1451" s="204"/>
      <c r="P1451" s="206"/>
      <c r="Q1451" s="206"/>
      <c r="R1451" s="206"/>
      <c r="S1451" s="206"/>
      <c r="T1451" s="204"/>
      <c r="U1451" s="207"/>
      <c r="V1451" s="204"/>
      <c r="W1451" s="204"/>
      <c r="X1451" s="207"/>
      <c r="Y1451" s="207"/>
      <c r="Z1451" s="204"/>
      <c r="AA1451" s="204"/>
      <c r="AB1451" s="204"/>
      <c r="AC1451" s="204"/>
    </row>
    <row r="1452" spans="1:29">
      <c r="A1452" s="204"/>
      <c r="B1452" s="204"/>
      <c r="C1452" s="204"/>
      <c r="D1452" s="204"/>
      <c r="E1452" s="204"/>
      <c r="F1452" s="204"/>
      <c r="G1452" s="204"/>
      <c r="H1452" s="204"/>
      <c r="I1452" s="204"/>
      <c r="J1452" s="204"/>
      <c r="K1452" s="204"/>
      <c r="L1452" s="205"/>
      <c r="M1452" s="205"/>
      <c r="N1452" s="204"/>
      <c r="O1452" s="204"/>
      <c r="P1452" s="206"/>
      <c r="Q1452" s="206"/>
      <c r="R1452" s="206"/>
      <c r="S1452" s="206"/>
      <c r="T1452" s="204"/>
      <c r="U1452" s="207"/>
      <c r="V1452" s="204"/>
      <c r="W1452" s="204"/>
      <c r="X1452" s="207"/>
      <c r="Y1452" s="207"/>
      <c r="Z1452" s="204"/>
      <c r="AA1452" s="204"/>
      <c r="AB1452" s="204"/>
      <c r="AC1452" s="204"/>
    </row>
    <row r="1453" spans="1:29">
      <c r="A1453" s="204"/>
      <c r="B1453" s="204"/>
      <c r="C1453" s="204"/>
      <c r="D1453" s="204"/>
      <c r="E1453" s="204"/>
      <c r="F1453" s="204"/>
      <c r="G1453" s="204"/>
      <c r="H1453" s="204"/>
      <c r="I1453" s="204"/>
      <c r="J1453" s="204"/>
      <c r="K1453" s="204"/>
      <c r="L1453" s="205"/>
      <c r="M1453" s="205"/>
      <c r="N1453" s="204"/>
      <c r="O1453" s="204"/>
      <c r="P1453" s="206"/>
      <c r="Q1453" s="206"/>
      <c r="R1453" s="206"/>
      <c r="S1453" s="206"/>
      <c r="T1453" s="204"/>
      <c r="U1453" s="207"/>
      <c r="V1453" s="204"/>
      <c r="W1453" s="204"/>
      <c r="X1453" s="207"/>
      <c r="Y1453" s="207"/>
      <c r="Z1453" s="204"/>
      <c r="AA1453" s="204"/>
      <c r="AB1453" s="204"/>
      <c r="AC1453" s="204"/>
    </row>
    <row r="1454" spans="1:29">
      <c r="A1454" s="204"/>
      <c r="B1454" s="204"/>
      <c r="C1454" s="204"/>
      <c r="D1454" s="204"/>
      <c r="E1454" s="204"/>
      <c r="F1454" s="204"/>
      <c r="G1454" s="204"/>
      <c r="H1454" s="204"/>
      <c r="I1454" s="204"/>
      <c r="J1454" s="204"/>
      <c r="K1454" s="204"/>
      <c r="L1454" s="205"/>
      <c r="M1454" s="205"/>
      <c r="N1454" s="204"/>
      <c r="O1454" s="204"/>
      <c r="P1454" s="206"/>
      <c r="Q1454" s="206"/>
      <c r="R1454" s="206"/>
      <c r="S1454" s="206"/>
      <c r="T1454" s="204"/>
      <c r="U1454" s="207"/>
      <c r="V1454" s="204"/>
      <c r="W1454" s="204"/>
      <c r="X1454" s="207"/>
      <c r="Y1454" s="207"/>
      <c r="Z1454" s="204"/>
      <c r="AA1454" s="204"/>
      <c r="AB1454" s="204"/>
      <c r="AC1454" s="204"/>
    </row>
    <row r="1455" spans="1:29">
      <c r="A1455" s="204"/>
      <c r="B1455" s="204"/>
      <c r="C1455" s="204"/>
      <c r="D1455" s="204"/>
      <c r="E1455" s="204"/>
      <c r="F1455" s="204"/>
      <c r="G1455" s="204"/>
      <c r="H1455" s="204"/>
      <c r="I1455" s="204"/>
      <c r="J1455" s="204"/>
      <c r="K1455" s="204"/>
      <c r="L1455" s="205"/>
      <c r="M1455" s="205"/>
      <c r="N1455" s="204"/>
      <c r="O1455" s="204"/>
      <c r="P1455" s="206"/>
      <c r="Q1455" s="206"/>
      <c r="R1455" s="206"/>
      <c r="S1455" s="206"/>
      <c r="T1455" s="204"/>
      <c r="U1455" s="207"/>
      <c r="V1455" s="204"/>
      <c r="W1455" s="204"/>
      <c r="X1455" s="207"/>
      <c r="Y1455" s="207"/>
      <c r="Z1455" s="204"/>
      <c r="AA1455" s="204"/>
      <c r="AB1455" s="204"/>
      <c r="AC1455" s="204"/>
    </row>
    <row r="1456" spans="1:29">
      <c r="A1456" s="204"/>
      <c r="B1456" s="204"/>
      <c r="C1456" s="204"/>
      <c r="D1456" s="204"/>
      <c r="E1456" s="204"/>
      <c r="F1456" s="204"/>
      <c r="G1456" s="204"/>
      <c r="H1456" s="204"/>
      <c r="I1456" s="204"/>
      <c r="J1456" s="204"/>
      <c r="K1456" s="204"/>
      <c r="L1456" s="205"/>
      <c r="M1456" s="205"/>
      <c r="N1456" s="204"/>
      <c r="O1456" s="204"/>
      <c r="P1456" s="206"/>
      <c r="Q1456" s="206"/>
      <c r="R1456" s="206"/>
      <c r="S1456" s="206"/>
      <c r="T1456" s="204"/>
      <c r="U1456" s="207"/>
      <c r="V1456" s="204"/>
      <c r="W1456" s="204"/>
      <c r="X1456" s="207"/>
      <c r="Y1456" s="207"/>
      <c r="Z1456" s="204"/>
      <c r="AA1456" s="204"/>
      <c r="AB1456" s="204"/>
      <c r="AC1456" s="204"/>
    </row>
    <row r="1457" spans="1:29">
      <c r="A1457" s="204"/>
      <c r="B1457" s="204"/>
      <c r="C1457" s="204"/>
      <c r="D1457" s="204"/>
      <c r="E1457" s="204"/>
      <c r="F1457" s="204"/>
      <c r="G1457" s="204"/>
      <c r="H1457" s="204"/>
      <c r="I1457" s="204"/>
      <c r="J1457" s="204"/>
      <c r="K1457" s="204"/>
      <c r="L1457" s="205"/>
      <c r="M1457" s="205"/>
      <c r="N1457" s="204"/>
      <c r="O1457" s="204"/>
      <c r="P1457" s="206"/>
      <c r="Q1457" s="206"/>
      <c r="R1457" s="206"/>
      <c r="S1457" s="206"/>
      <c r="T1457" s="204"/>
      <c r="U1457" s="207"/>
      <c r="V1457" s="204"/>
      <c r="W1457" s="204"/>
      <c r="X1457" s="207"/>
      <c r="Y1457" s="207"/>
      <c r="Z1457" s="204"/>
      <c r="AA1457" s="204"/>
      <c r="AB1457" s="204"/>
      <c r="AC1457" s="204"/>
    </row>
    <row r="1458" spans="1:29">
      <c r="A1458" s="204"/>
      <c r="B1458" s="204"/>
      <c r="C1458" s="204"/>
      <c r="D1458" s="204"/>
      <c r="E1458" s="204"/>
      <c r="F1458" s="204"/>
      <c r="G1458" s="204"/>
      <c r="H1458" s="204"/>
      <c r="I1458" s="204"/>
      <c r="J1458" s="204"/>
      <c r="K1458" s="204"/>
      <c r="L1458" s="205"/>
      <c r="M1458" s="205"/>
      <c r="N1458" s="204"/>
      <c r="O1458" s="204"/>
      <c r="P1458" s="206"/>
      <c r="Q1458" s="206"/>
      <c r="R1458" s="206"/>
      <c r="S1458" s="206"/>
      <c r="T1458" s="204"/>
      <c r="U1458" s="207"/>
      <c r="V1458" s="204"/>
      <c r="W1458" s="204"/>
      <c r="X1458" s="207"/>
      <c r="Y1458" s="207"/>
      <c r="Z1458" s="204"/>
      <c r="AA1458" s="204"/>
      <c r="AB1458" s="204"/>
      <c r="AC1458" s="204"/>
    </row>
    <row r="1459" spans="1:29">
      <c r="A1459" s="204"/>
      <c r="B1459" s="204"/>
      <c r="C1459" s="204"/>
      <c r="D1459" s="204"/>
      <c r="E1459" s="204"/>
      <c r="F1459" s="204"/>
      <c r="G1459" s="204"/>
      <c r="H1459" s="204"/>
      <c r="I1459" s="204"/>
      <c r="J1459" s="204"/>
      <c r="K1459" s="204"/>
      <c r="L1459" s="205"/>
      <c r="M1459" s="205"/>
      <c r="N1459" s="204"/>
      <c r="O1459" s="204"/>
      <c r="P1459" s="206"/>
      <c r="Q1459" s="206"/>
      <c r="R1459" s="206"/>
      <c r="S1459" s="206"/>
      <c r="T1459" s="204"/>
      <c r="U1459" s="207"/>
      <c r="V1459" s="204"/>
      <c r="W1459" s="204"/>
      <c r="X1459" s="207"/>
      <c r="Y1459" s="207"/>
      <c r="Z1459" s="204"/>
      <c r="AA1459" s="204"/>
      <c r="AB1459" s="204"/>
      <c r="AC1459" s="204"/>
    </row>
    <row r="1460" spans="1:29">
      <c r="A1460" s="204"/>
      <c r="B1460" s="204"/>
      <c r="C1460" s="204"/>
      <c r="D1460" s="204"/>
      <c r="E1460" s="204"/>
      <c r="F1460" s="204"/>
      <c r="G1460" s="204"/>
      <c r="H1460" s="204"/>
      <c r="I1460" s="204"/>
      <c r="J1460" s="204"/>
      <c r="K1460" s="204"/>
      <c r="L1460" s="205"/>
      <c r="M1460" s="205"/>
      <c r="N1460" s="204"/>
      <c r="O1460" s="204"/>
      <c r="P1460" s="206"/>
      <c r="Q1460" s="206"/>
      <c r="R1460" s="206"/>
      <c r="S1460" s="206"/>
      <c r="T1460" s="204"/>
      <c r="U1460" s="207"/>
      <c r="V1460" s="204"/>
      <c r="W1460" s="204"/>
      <c r="X1460" s="207"/>
      <c r="Y1460" s="207"/>
      <c r="Z1460" s="204"/>
      <c r="AA1460" s="204"/>
      <c r="AB1460" s="204"/>
      <c r="AC1460" s="204"/>
    </row>
    <row r="1461" spans="1:29">
      <c r="A1461" s="204"/>
      <c r="B1461" s="204"/>
      <c r="C1461" s="204"/>
      <c r="D1461" s="204"/>
      <c r="E1461" s="204"/>
      <c r="F1461" s="204"/>
      <c r="G1461" s="204"/>
      <c r="H1461" s="204"/>
      <c r="I1461" s="204"/>
      <c r="J1461" s="204"/>
      <c r="K1461" s="204"/>
      <c r="L1461" s="205"/>
      <c r="M1461" s="205"/>
      <c r="N1461" s="204"/>
      <c r="O1461" s="204"/>
      <c r="P1461" s="206"/>
      <c r="Q1461" s="206"/>
      <c r="R1461" s="206"/>
      <c r="S1461" s="206"/>
      <c r="T1461" s="204"/>
      <c r="U1461" s="207"/>
      <c r="V1461" s="204"/>
      <c r="W1461" s="204"/>
      <c r="X1461" s="207"/>
      <c r="Y1461" s="207"/>
      <c r="Z1461" s="204"/>
      <c r="AA1461" s="204"/>
      <c r="AB1461" s="204"/>
      <c r="AC1461" s="204"/>
    </row>
    <row r="1462" spans="1:29">
      <c r="A1462" s="204"/>
      <c r="B1462" s="204"/>
      <c r="C1462" s="204"/>
      <c r="D1462" s="204"/>
      <c r="E1462" s="204"/>
      <c r="F1462" s="204"/>
      <c r="G1462" s="204"/>
      <c r="H1462" s="204"/>
      <c r="I1462" s="204"/>
      <c r="J1462" s="204"/>
      <c r="K1462" s="204"/>
      <c r="L1462" s="205"/>
      <c r="M1462" s="205"/>
      <c r="N1462" s="204"/>
      <c r="O1462" s="204"/>
      <c r="P1462" s="206"/>
      <c r="Q1462" s="206"/>
      <c r="R1462" s="206"/>
      <c r="S1462" s="206"/>
      <c r="T1462" s="204"/>
      <c r="U1462" s="207"/>
      <c r="V1462" s="204"/>
      <c r="W1462" s="204"/>
      <c r="X1462" s="207"/>
      <c r="Y1462" s="207"/>
      <c r="Z1462" s="204"/>
      <c r="AA1462" s="204"/>
      <c r="AB1462" s="204"/>
      <c r="AC1462" s="204"/>
    </row>
    <row r="1463" spans="1:29">
      <c r="A1463" s="204"/>
      <c r="B1463" s="204"/>
      <c r="C1463" s="204"/>
      <c r="D1463" s="204"/>
      <c r="E1463" s="204"/>
      <c r="F1463" s="204"/>
      <c r="G1463" s="204"/>
      <c r="H1463" s="204"/>
      <c r="I1463" s="204"/>
      <c r="J1463" s="204"/>
      <c r="K1463" s="204"/>
      <c r="L1463" s="205"/>
      <c r="M1463" s="205"/>
      <c r="N1463" s="204"/>
      <c r="O1463" s="204"/>
      <c r="P1463" s="206"/>
      <c r="Q1463" s="206"/>
      <c r="R1463" s="206"/>
      <c r="S1463" s="206"/>
      <c r="T1463" s="204"/>
      <c r="U1463" s="207"/>
      <c r="V1463" s="204"/>
      <c r="W1463" s="204"/>
      <c r="X1463" s="207"/>
      <c r="Y1463" s="207"/>
      <c r="Z1463" s="204"/>
      <c r="AA1463" s="204"/>
      <c r="AB1463" s="204"/>
      <c r="AC1463" s="204"/>
    </row>
    <row r="1464" spans="1:29">
      <c r="A1464" s="204"/>
      <c r="B1464" s="204"/>
      <c r="C1464" s="204"/>
      <c r="D1464" s="204"/>
      <c r="E1464" s="204"/>
      <c r="F1464" s="204"/>
      <c r="G1464" s="204"/>
      <c r="H1464" s="204"/>
      <c r="I1464" s="204"/>
      <c r="J1464" s="204"/>
      <c r="K1464" s="204"/>
      <c r="L1464" s="205"/>
      <c r="M1464" s="205"/>
      <c r="N1464" s="204"/>
      <c r="O1464" s="204"/>
      <c r="P1464" s="206"/>
      <c r="Q1464" s="206"/>
      <c r="R1464" s="206"/>
      <c r="S1464" s="206"/>
      <c r="T1464" s="204"/>
      <c r="U1464" s="207"/>
      <c r="V1464" s="204"/>
      <c r="W1464" s="204"/>
      <c r="X1464" s="207"/>
      <c r="Y1464" s="207"/>
      <c r="Z1464" s="204"/>
      <c r="AA1464" s="204"/>
      <c r="AB1464" s="204"/>
      <c r="AC1464" s="204"/>
    </row>
    <row r="1465" spans="1:29">
      <c r="A1465" s="204"/>
      <c r="B1465" s="204"/>
      <c r="C1465" s="204"/>
      <c r="D1465" s="204"/>
      <c r="E1465" s="204"/>
      <c r="F1465" s="204"/>
      <c r="G1465" s="204"/>
      <c r="H1465" s="204"/>
      <c r="I1465" s="204"/>
      <c r="J1465" s="204"/>
      <c r="K1465" s="204"/>
      <c r="L1465" s="205"/>
      <c r="M1465" s="205"/>
      <c r="N1465" s="204"/>
      <c r="O1465" s="204"/>
      <c r="P1465" s="206"/>
      <c r="Q1465" s="206"/>
      <c r="R1465" s="206"/>
      <c r="S1465" s="206"/>
      <c r="T1465" s="204"/>
      <c r="U1465" s="207"/>
      <c r="V1465" s="204"/>
      <c r="W1465" s="204"/>
      <c r="X1465" s="207"/>
      <c r="Y1465" s="207"/>
      <c r="Z1465" s="204"/>
      <c r="AA1465" s="204"/>
      <c r="AB1465" s="204"/>
      <c r="AC1465" s="204"/>
    </row>
    <row r="1466" spans="1:29">
      <c r="A1466" s="204"/>
      <c r="B1466" s="204"/>
      <c r="C1466" s="204"/>
      <c r="D1466" s="204"/>
      <c r="E1466" s="204"/>
      <c r="F1466" s="204"/>
      <c r="G1466" s="204"/>
      <c r="H1466" s="204"/>
      <c r="I1466" s="204"/>
      <c r="J1466" s="204"/>
      <c r="K1466" s="204"/>
      <c r="L1466" s="205"/>
      <c r="M1466" s="205"/>
      <c r="N1466" s="204"/>
      <c r="O1466" s="204"/>
      <c r="P1466" s="206"/>
      <c r="Q1466" s="206"/>
      <c r="R1466" s="206"/>
      <c r="S1466" s="206"/>
      <c r="T1466" s="204"/>
      <c r="U1466" s="207"/>
      <c r="V1466" s="204"/>
      <c r="W1466" s="204"/>
      <c r="X1466" s="207"/>
      <c r="Y1466" s="207"/>
      <c r="Z1466" s="204"/>
      <c r="AA1466" s="204"/>
      <c r="AB1466" s="204"/>
      <c r="AC1466" s="204"/>
    </row>
    <row r="1467" spans="1:29">
      <c r="A1467" s="204"/>
      <c r="B1467" s="204"/>
      <c r="C1467" s="204"/>
      <c r="D1467" s="204"/>
      <c r="E1467" s="204"/>
      <c r="F1467" s="204"/>
      <c r="G1467" s="204"/>
      <c r="H1467" s="204"/>
      <c r="I1467" s="204"/>
      <c r="J1467" s="204"/>
      <c r="K1467" s="204"/>
      <c r="L1467" s="205"/>
      <c r="M1467" s="205"/>
      <c r="N1467" s="204"/>
      <c r="O1467" s="204"/>
      <c r="P1467" s="206"/>
      <c r="Q1467" s="206"/>
      <c r="R1467" s="206"/>
      <c r="S1467" s="206"/>
      <c r="T1467" s="204"/>
      <c r="U1467" s="207"/>
      <c r="V1467" s="204"/>
      <c r="W1467" s="204"/>
      <c r="X1467" s="207"/>
      <c r="Y1467" s="207"/>
      <c r="Z1467" s="204"/>
      <c r="AA1467" s="204"/>
      <c r="AB1467" s="204"/>
      <c r="AC1467" s="204"/>
    </row>
    <row r="1468" spans="1:29">
      <c r="A1468" s="204"/>
      <c r="B1468" s="204"/>
      <c r="C1468" s="204"/>
      <c r="D1468" s="204"/>
      <c r="E1468" s="204"/>
      <c r="F1468" s="204"/>
      <c r="G1468" s="204"/>
      <c r="H1468" s="204"/>
      <c r="I1468" s="204"/>
      <c r="J1468" s="204"/>
      <c r="K1468" s="204"/>
      <c r="L1468" s="205"/>
      <c r="M1468" s="205"/>
      <c r="N1468" s="204"/>
      <c r="O1468" s="204"/>
      <c r="P1468" s="206"/>
      <c r="Q1468" s="206"/>
      <c r="R1468" s="206"/>
      <c r="S1468" s="206"/>
      <c r="T1468" s="204"/>
      <c r="U1468" s="207"/>
      <c r="V1468" s="204"/>
      <c r="W1468" s="204"/>
      <c r="X1468" s="207"/>
      <c r="Y1468" s="207"/>
      <c r="Z1468" s="204"/>
      <c r="AA1468" s="204"/>
      <c r="AB1468" s="204"/>
      <c r="AC1468" s="204"/>
    </row>
    <row r="1469" spans="1:29">
      <c r="A1469" s="204"/>
      <c r="B1469" s="204"/>
      <c r="C1469" s="204"/>
      <c r="D1469" s="204"/>
      <c r="E1469" s="204"/>
      <c r="F1469" s="204"/>
      <c r="G1469" s="204"/>
      <c r="H1469" s="204"/>
      <c r="I1469" s="204"/>
      <c r="J1469" s="204"/>
      <c r="K1469" s="204"/>
      <c r="L1469" s="205"/>
      <c r="M1469" s="205"/>
      <c r="N1469" s="204"/>
      <c r="O1469" s="204"/>
      <c r="P1469" s="206"/>
      <c r="Q1469" s="206"/>
      <c r="R1469" s="206"/>
      <c r="S1469" s="206"/>
      <c r="T1469" s="204"/>
      <c r="U1469" s="207"/>
      <c r="V1469" s="204"/>
      <c r="W1469" s="204"/>
      <c r="X1469" s="207"/>
      <c r="Y1469" s="207"/>
      <c r="Z1469" s="204"/>
      <c r="AA1469" s="204"/>
      <c r="AB1469" s="204"/>
      <c r="AC1469" s="204"/>
    </row>
    <row r="1470" spans="1:29">
      <c r="A1470" s="204"/>
      <c r="B1470" s="204"/>
      <c r="C1470" s="204"/>
      <c r="D1470" s="204"/>
      <c r="E1470" s="204"/>
      <c r="F1470" s="204"/>
      <c r="G1470" s="204"/>
      <c r="H1470" s="204"/>
      <c r="I1470" s="204"/>
      <c r="J1470" s="204"/>
      <c r="K1470" s="204"/>
      <c r="L1470" s="205"/>
      <c r="M1470" s="205"/>
      <c r="N1470" s="204"/>
      <c r="O1470" s="204"/>
      <c r="P1470" s="206"/>
      <c r="Q1470" s="206"/>
      <c r="R1470" s="206"/>
      <c r="S1470" s="206"/>
      <c r="T1470" s="204"/>
      <c r="U1470" s="207"/>
      <c r="V1470" s="204"/>
      <c r="W1470" s="204"/>
      <c r="X1470" s="207"/>
      <c r="Y1470" s="207"/>
      <c r="Z1470" s="204"/>
      <c r="AA1470" s="204"/>
      <c r="AB1470" s="204"/>
      <c r="AC1470" s="204"/>
    </row>
    <row r="1471" spans="1:29">
      <c r="A1471" s="204"/>
      <c r="B1471" s="204"/>
      <c r="C1471" s="204"/>
      <c r="D1471" s="204"/>
      <c r="E1471" s="204"/>
      <c r="F1471" s="204"/>
      <c r="G1471" s="204"/>
      <c r="H1471" s="204"/>
      <c r="I1471" s="204"/>
      <c r="J1471" s="204"/>
      <c r="K1471" s="204"/>
      <c r="L1471" s="205"/>
      <c r="M1471" s="205"/>
      <c r="N1471" s="204"/>
      <c r="O1471" s="204"/>
      <c r="P1471" s="206"/>
      <c r="Q1471" s="206"/>
      <c r="R1471" s="206"/>
      <c r="S1471" s="206"/>
      <c r="T1471" s="204"/>
      <c r="U1471" s="207"/>
      <c r="V1471" s="204"/>
      <c r="W1471" s="204"/>
      <c r="X1471" s="207"/>
      <c r="Y1471" s="207"/>
      <c r="Z1471" s="204"/>
      <c r="AA1471" s="204"/>
      <c r="AB1471" s="204"/>
      <c r="AC1471" s="204"/>
    </row>
    <row r="1472" spans="1:29">
      <c r="A1472" s="204"/>
      <c r="B1472" s="204"/>
      <c r="C1472" s="204"/>
      <c r="D1472" s="204"/>
      <c r="E1472" s="204"/>
      <c r="F1472" s="204"/>
      <c r="G1472" s="204"/>
      <c r="H1472" s="204"/>
      <c r="I1472" s="204"/>
      <c r="J1472" s="204"/>
      <c r="K1472" s="204"/>
      <c r="L1472" s="205"/>
      <c r="M1472" s="205"/>
      <c r="N1472" s="204"/>
      <c r="O1472" s="204"/>
      <c r="P1472" s="206"/>
      <c r="Q1472" s="206"/>
      <c r="R1472" s="206"/>
      <c r="S1472" s="206"/>
      <c r="T1472" s="204"/>
      <c r="U1472" s="207"/>
      <c r="V1472" s="204"/>
      <c r="W1472" s="204"/>
      <c r="X1472" s="207"/>
      <c r="Y1472" s="207"/>
      <c r="Z1472" s="204"/>
      <c r="AA1472" s="204"/>
      <c r="AB1472" s="204"/>
      <c r="AC1472" s="204"/>
    </row>
    <row r="1473" spans="1:29">
      <c r="A1473" s="204"/>
      <c r="B1473" s="204"/>
      <c r="C1473" s="204"/>
      <c r="D1473" s="204"/>
      <c r="E1473" s="204"/>
      <c r="F1473" s="204"/>
      <c r="G1473" s="204"/>
      <c r="H1473" s="204"/>
      <c r="I1473" s="204"/>
      <c r="J1473" s="204"/>
      <c r="K1473" s="204"/>
      <c r="L1473" s="205"/>
      <c r="M1473" s="205"/>
      <c r="N1473" s="204"/>
      <c r="O1473" s="204"/>
      <c r="P1473" s="206"/>
      <c r="Q1473" s="206"/>
      <c r="R1473" s="206"/>
      <c r="S1473" s="206"/>
      <c r="T1473" s="204"/>
      <c r="U1473" s="207"/>
      <c r="V1473" s="204"/>
      <c r="W1473" s="204"/>
      <c r="X1473" s="207"/>
      <c r="Y1473" s="207"/>
      <c r="Z1473" s="204"/>
      <c r="AA1473" s="204"/>
      <c r="AB1473" s="204"/>
      <c r="AC1473" s="204"/>
    </row>
    <row r="1474" spans="1:29">
      <c r="A1474" s="204"/>
      <c r="B1474" s="204"/>
      <c r="C1474" s="204"/>
      <c r="D1474" s="204"/>
      <c r="E1474" s="204"/>
      <c r="F1474" s="204"/>
      <c r="G1474" s="204"/>
      <c r="H1474" s="204"/>
      <c r="I1474" s="204"/>
      <c r="J1474" s="204"/>
      <c r="K1474" s="204"/>
      <c r="L1474" s="205"/>
      <c r="M1474" s="205"/>
      <c r="N1474" s="204"/>
      <c r="O1474" s="204"/>
      <c r="P1474" s="206"/>
      <c r="Q1474" s="206"/>
      <c r="R1474" s="206"/>
      <c r="S1474" s="206"/>
      <c r="T1474" s="204"/>
      <c r="U1474" s="207"/>
      <c r="V1474" s="204"/>
      <c r="W1474" s="204"/>
      <c r="X1474" s="207"/>
      <c r="Y1474" s="207"/>
      <c r="Z1474" s="204"/>
      <c r="AA1474" s="204"/>
      <c r="AB1474" s="204"/>
      <c r="AC1474" s="204"/>
    </row>
    <row r="1475" spans="1:29">
      <c r="A1475" s="204"/>
      <c r="B1475" s="204"/>
      <c r="C1475" s="204"/>
      <c r="D1475" s="204"/>
      <c r="E1475" s="204"/>
      <c r="F1475" s="204"/>
      <c r="G1475" s="204"/>
      <c r="H1475" s="204"/>
      <c r="I1475" s="204"/>
      <c r="J1475" s="204"/>
      <c r="K1475" s="204"/>
      <c r="L1475" s="205"/>
      <c r="M1475" s="205"/>
      <c r="N1475" s="204"/>
      <c r="O1475" s="204"/>
      <c r="P1475" s="206"/>
      <c r="Q1475" s="206"/>
      <c r="R1475" s="206"/>
      <c r="S1475" s="206"/>
      <c r="T1475" s="204"/>
      <c r="U1475" s="207"/>
      <c r="V1475" s="204"/>
      <c r="W1475" s="204"/>
      <c r="X1475" s="207"/>
      <c r="Y1475" s="207"/>
      <c r="Z1475" s="204"/>
      <c r="AA1475" s="204"/>
      <c r="AB1475" s="204"/>
      <c r="AC1475" s="204"/>
    </row>
    <row r="1476" spans="1:29">
      <c r="A1476" s="204"/>
      <c r="B1476" s="204"/>
      <c r="C1476" s="204"/>
      <c r="D1476" s="204"/>
      <c r="E1476" s="204"/>
      <c r="F1476" s="204"/>
      <c r="G1476" s="204"/>
      <c r="H1476" s="204"/>
      <c r="I1476" s="204"/>
      <c r="J1476" s="204"/>
      <c r="K1476" s="204"/>
      <c r="L1476" s="205"/>
      <c r="M1476" s="205"/>
      <c r="N1476" s="204"/>
      <c r="O1476" s="204"/>
      <c r="P1476" s="206"/>
      <c r="Q1476" s="206"/>
      <c r="R1476" s="206"/>
      <c r="S1476" s="206"/>
      <c r="T1476" s="204"/>
      <c r="U1476" s="207"/>
      <c r="V1476" s="204"/>
      <c r="W1476" s="204"/>
      <c r="X1476" s="207"/>
      <c r="Y1476" s="207"/>
      <c r="Z1476" s="204"/>
      <c r="AA1476" s="204"/>
      <c r="AB1476" s="204"/>
      <c r="AC1476" s="204"/>
    </row>
    <row r="1477" spans="1:29">
      <c r="A1477" s="204"/>
      <c r="B1477" s="204"/>
      <c r="C1477" s="204"/>
      <c r="D1477" s="204"/>
      <c r="E1477" s="204"/>
      <c r="F1477" s="204"/>
      <c r="G1477" s="204"/>
      <c r="H1477" s="204"/>
      <c r="I1477" s="204"/>
      <c r="J1477" s="204"/>
      <c r="K1477" s="204"/>
      <c r="L1477" s="205"/>
      <c r="M1477" s="205"/>
      <c r="N1477" s="204"/>
      <c r="O1477" s="204"/>
      <c r="P1477" s="206"/>
      <c r="Q1477" s="206"/>
      <c r="R1477" s="206"/>
      <c r="S1477" s="206"/>
      <c r="T1477" s="204"/>
      <c r="U1477" s="207"/>
      <c r="V1477" s="204"/>
      <c r="W1477" s="204"/>
      <c r="X1477" s="207"/>
      <c r="Y1477" s="207"/>
      <c r="Z1477" s="204"/>
      <c r="AA1477" s="204"/>
      <c r="AB1477" s="204"/>
      <c r="AC1477" s="204"/>
    </row>
    <row r="1478" spans="1:29">
      <c r="A1478" s="204"/>
      <c r="B1478" s="204"/>
      <c r="C1478" s="204"/>
      <c r="D1478" s="204"/>
      <c r="E1478" s="204"/>
      <c r="F1478" s="204"/>
      <c r="G1478" s="204"/>
      <c r="H1478" s="204"/>
      <c r="I1478" s="204"/>
      <c r="J1478" s="204"/>
      <c r="K1478" s="204"/>
      <c r="L1478" s="205"/>
      <c r="M1478" s="205"/>
      <c r="N1478" s="204"/>
      <c r="O1478" s="204"/>
      <c r="P1478" s="206"/>
      <c r="Q1478" s="206"/>
      <c r="R1478" s="206"/>
      <c r="S1478" s="206"/>
      <c r="T1478" s="204"/>
      <c r="U1478" s="207"/>
      <c r="V1478" s="204"/>
      <c r="W1478" s="204"/>
      <c r="X1478" s="207"/>
      <c r="Y1478" s="207"/>
      <c r="Z1478" s="204"/>
      <c r="AA1478" s="204"/>
      <c r="AB1478" s="204"/>
      <c r="AC1478" s="204"/>
    </row>
    <row r="1479" spans="1:29">
      <c r="A1479" s="204"/>
      <c r="B1479" s="204"/>
      <c r="C1479" s="204"/>
      <c r="D1479" s="204"/>
      <c r="E1479" s="204"/>
      <c r="F1479" s="204"/>
      <c r="G1479" s="204"/>
      <c r="H1479" s="204"/>
      <c r="I1479" s="204"/>
      <c r="J1479" s="204"/>
      <c r="K1479" s="204"/>
      <c r="L1479" s="205"/>
      <c r="M1479" s="205"/>
      <c r="N1479" s="204"/>
      <c r="O1479" s="204"/>
      <c r="P1479" s="206"/>
      <c r="Q1479" s="206"/>
      <c r="R1479" s="206"/>
      <c r="S1479" s="206"/>
      <c r="T1479" s="204"/>
      <c r="U1479" s="207"/>
      <c r="V1479" s="204"/>
      <c r="W1479" s="204"/>
      <c r="X1479" s="207"/>
      <c r="Y1479" s="207"/>
      <c r="Z1479" s="204"/>
      <c r="AA1479" s="204"/>
      <c r="AB1479" s="204"/>
      <c r="AC1479" s="204"/>
    </row>
    <row r="1480" spans="1:29">
      <c r="A1480" s="204"/>
      <c r="B1480" s="204"/>
      <c r="C1480" s="204"/>
      <c r="D1480" s="204"/>
      <c r="E1480" s="204"/>
      <c r="F1480" s="204"/>
      <c r="G1480" s="204"/>
      <c r="H1480" s="204"/>
      <c r="I1480" s="204"/>
      <c r="J1480" s="204"/>
      <c r="K1480" s="204"/>
      <c r="L1480" s="205"/>
      <c r="M1480" s="205"/>
      <c r="N1480" s="204"/>
      <c r="O1480" s="204"/>
      <c r="P1480" s="206"/>
      <c r="Q1480" s="206"/>
      <c r="R1480" s="206"/>
      <c r="S1480" s="206"/>
      <c r="T1480" s="204"/>
      <c r="U1480" s="207"/>
      <c r="V1480" s="204"/>
      <c r="W1480" s="204"/>
      <c r="X1480" s="207"/>
      <c r="Y1480" s="207"/>
      <c r="Z1480" s="204"/>
      <c r="AA1480" s="204"/>
      <c r="AB1480" s="204"/>
      <c r="AC1480" s="204"/>
    </row>
    <row r="1481" spans="1:29">
      <c r="A1481" s="204"/>
      <c r="B1481" s="204"/>
      <c r="C1481" s="204"/>
      <c r="D1481" s="204"/>
      <c r="E1481" s="204"/>
      <c r="F1481" s="204"/>
      <c r="G1481" s="204"/>
      <c r="H1481" s="204"/>
      <c r="I1481" s="204"/>
      <c r="J1481" s="204"/>
      <c r="K1481" s="204"/>
      <c r="L1481" s="205"/>
      <c r="M1481" s="205"/>
      <c r="N1481" s="204"/>
      <c r="O1481" s="204"/>
      <c r="P1481" s="206"/>
      <c r="Q1481" s="206"/>
      <c r="R1481" s="206"/>
      <c r="S1481" s="206"/>
      <c r="T1481" s="204"/>
      <c r="U1481" s="207"/>
      <c r="V1481" s="204"/>
      <c r="W1481" s="204"/>
      <c r="X1481" s="207"/>
      <c r="Y1481" s="207"/>
      <c r="Z1481" s="204"/>
      <c r="AA1481" s="204"/>
      <c r="AB1481" s="204"/>
      <c r="AC1481" s="204"/>
    </row>
    <row r="1482" spans="1:29">
      <c r="A1482" s="204"/>
      <c r="B1482" s="204"/>
      <c r="C1482" s="204"/>
      <c r="D1482" s="204"/>
      <c r="E1482" s="204"/>
      <c r="F1482" s="204"/>
      <c r="G1482" s="204"/>
      <c r="H1482" s="204"/>
      <c r="I1482" s="204"/>
      <c r="J1482" s="204"/>
      <c r="K1482" s="204"/>
      <c r="L1482" s="205"/>
      <c r="M1482" s="205"/>
      <c r="N1482" s="204"/>
      <c r="O1482" s="204"/>
      <c r="P1482" s="206"/>
      <c r="Q1482" s="206"/>
      <c r="R1482" s="206"/>
      <c r="S1482" s="206"/>
      <c r="T1482" s="204"/>
      <c r="U1482" s="207"/>
      <c r="V1482" s="204"/>
      <c r="W1482" s="204"/>
      <c r="X1482" s="207"/>
      <c r="Y1482" s="207"/>
      <c r="Z1482" s="204"/>
      <c r="AA1482" s="204"/>
      <c r="AB1482" s="204"/>
      <c r="AC1482" s="204"/>
    </row>
    <row r="1483" spans="1:29">
      <c r="A1483" s="204"/>
      <c r="B1483" s="204"/>
      <c r="C1483" s="204"/>
      <c r="D1483" s="204"/>
      <c r="E1483" s="204"/>
      <c r="F1483" s="204"/>
      <c r="G1483" s="204"/>
      <c r="H1483" s="204"/>
      <c r="I1483" s="204"/>
      <c r="J1483" s="204"/>
      <c r="K1483" s="204"/>
      <c r="L1483" s="205"/>
      <c r="M1483" s="205"/>
      <c r="N1483" s="204"/>
      <c r="O1483" s="204"/>
      <c r="P1483" s="206"/>
      <c r="Q1483" s="206"/>
      <c r="R1483" s="206"/>
      <c r="S1483" s="206"/>
      <c r="T1483" s="204"/>
      <c r="U1483" s="207"/>
      <c r="V1483" s="204"/>
      <c r="W1483" s="204"/>
      <c r="X1483" s="207"/>
      <c r="Y1483" s="207"/>
      <c r="Z1483" s="204"/>
      <c r="AA1483" s="204"/>
      <c r="AB1483" s="204"/>
      <c r="AC1483" s="204"/>
    </row>
    <row r="1484" spans="1:29">
      <c r="A1484" s="204"/>
      <c r="B1484" s="204"/>
      <c r="C1484" s="204"/>
      <c r="D1484" s="204"/>
      <c r="E1484" s="204"/>
      <c r="F1484" s="204"/>
      <c r="G1484" s="204"/>
      <c r="H1484" s="204"/>
      <c r="I1484" s="204"/>
      <c r="J1484" s="204"/>
      <c r="K1484" s="204"/>
      <c r="L1484" s="205"/>
      <c r="M1484" s="205"/>
      <c r="N1484" s="204"/>
      <c r="O1484" s="204"/>
      <c r="P1484" s="206"/>
      <c r="Q1484" s="206"/>
      <c r="R1484" s="206"/>
      <c r="S1484" s="206"/>
      <c r="T1484" s="204"/>
      <c r="U1484" s="207"/>
      <c r="V1484" s="204"/>
      <c r="W1484" s="204"/>
      <c r="X1484" s="207"/>
      <c r="Y1484" s="207"/>
      <c r="Z1484" s="204"/>
      <c r="AA1484" s="204"/>
      <c r="AB1484" s="204"/>
      <c r="AC1484" s="204"/>
    </row>
    <row r="1485" spans="1:29">
      <c r="A1485" s="204"/>
      <c r="B1485" s="204"/>
      <c r="C1485" s="204"/>
      <c r="D1485" s="204"/>
      <c r="E1485" s="204"/>
      <c r="F1485" s="204"/>
      <c r="G1485" s="204"/>
      <c r="H1485" s="204"/>
      <c r="I1485" s="204"/>
      <c r="J1485" s="204"/>
      <c r="K1485" s="204"/>
      <c r="L1485" s="205"/>
      <c r="M1485" s="205"/>
      <c r="N1485" s="204"/>
      <c r="O1485" s="204"/>
      <c r="P1485" s="206"/>
      <c r="Q1485" s="206"/>
      <c r="R1485" s="206"/>
      <c r="S1485" s="206"/>
      <c r="T1485" s="204"/>
      <c r="U1485" s="207"/>
      <c r="V1485" s="204"/>
      <c r="W1485" s="204"/>
      <c r="X1485" s="207"/>
      <c r="Y1485" s="207"/>
      <c r="Z1485" s="204"/>
      <c r="AA1485" s="204"/>
      <c r="AB1485" s="204"/>
      <c r="AC1485" s="204"/>
    </row>
    <row r="1486" spans="1:29">
      <c r="A1486" s="204"/>
      <c r="B1486" s="204"/>
      <c r="C1486" s="204"/>
      <c r="D1486" s="204"/>
      <c r="E1486" s="204"/>
      <c r="F1486" s="204"/>
      <c r="G1486" s="204"/>
      <c r="H1486" s="204"/>
      <c r="I1486" s="204"/>
      <c r="J1486" s="204"/>
      <c r="K1486" s="204"/>
      <c r="L1486" s="205"/>
      <c r="M1486" s="205"/>
      <c r="N1486" s="204"/>
      <c r="O1486" s="204"/>
      <c r="P1486" s="206"/>
      <c r="Q1486" s="206"/>
      <c r="R1486" s="206"/>
      <c r="S1486" s="206"/>
      <c r="T1486" s="204"/>
      <c r="U1486" s="207"/>
      <c r="V1486" s="204"/>
      <c r="W1486" s="204"/>
      <c r="X1486" s="207"/>
      <c r="Y1486" s="207"/>
      <c r="Z1486" s="204"/>
      <c r="AA1486" s="204"/>
      <c r="AB1486" s="204"/>
      <c r="AC1486" s="204"/>
    </row>
    <row r="1487" spans="1:29">
      <c r="A1487" s="204"/>
      <c r="B1487" s="204"/>
      <c r="C1487" s="204"/>
      <c r="D1487" s="204"/>
      <c r="E1487" s="204"/>
      <c r="F1487" s="204"/>
      <c r="G1487" s="204"/>
      <c r="H1487" s="204"/>
      <c r="I1487" s="204"/>
      <c r="J1487" s="204"/>
      <c r="K1487" s="204"/>
      <c r="L1487" s="205"/>
      <c r="M1487" s="205"/>
      <c r="N1487" s="204"/>
      <c r="O1487" s="204"/>
      <c r="P1487" s="206"/>
      <c r="Q1487" s="206"/>
      <c r="R1487" s="206"/>
      <c r="S1487" s="206"/>
      <c r="T1487" s="204"/>
      <c r="U1487" s="207"/>
      <c r="V1487" s="204"/>
      <c r="W1487" s="204"/>
      <c r="X1487" s="207"/>
      <c r="Y1487" s="207"/>
      <c r="Z1487" s="204"/>
      <c r="AA1487" s="204"/>
      <c r="AB1487" s="204"/>
      <c r="AC1487" s="204"/>
    </row>
    <row r="1488" spans="1:29">
      <c r="A1488" s="204"/>
      <c r="B1488" s="204"/>
      <c r="C1488" s="204"/>
      <c r="D1488" s="204"/>
      <c r="E1488" s="204"/>
      <c r="F1488" s="204"/>
      <c r="G1488" s="204"/>
      <c r="H1488" s="204"/>
      <c r="I1488" s="204"/>
      <c r="J1488" s="204"/>
      <c r="K1488" s="204"/>
      <c r="L1488" s="205"/>
      <c r="M1488" s="205"/>
      <c r="N1488" s="204"/>
      <c r="O1488" s="204"/>
      <c r="P1488" s="206"/>
      <c r="Q1488" s="206"/>
      <c r="R1488" s="206"/>
      <c r="S1488" s="206"/>
      <c r="T1488" s="204"/>
      <c r="U1488" s="207"/>
      <c r="V1488" s="204"/>
      <c r="W1488" s="204"/>
      <c r="X1488" s="207"/>
      <c r="Y1488" s="207"/>
      <c r="Z1488" s="204"/>
      <c r="AA1488" s="204"/>
      <c r="AB1488" s="204"/>
      <c r="AC1488" s="204"/>
    </row>
    <row r="1489" spans="1:29">
      <c r="A1489" s="204"/>
      <c r="B1489" s="204"/>
      <c r="C1489" s="204"/>
      <c r="D1489" s="204"/>
      <c r="E1489" s="204"/>
      <c r="F1489" s="204"/>
      <c r="G1489" s="204"/>
      <c r="H1489" s="204"/>
      <c r="I1489" s="204"/>
      <c r="J1489" s="204"/>
      <c r="K1489" s="204"/>
      <c r="L1489" s="205"/>
      <c r="M1489" s="205"/>
      <c r="N1489" s="204"/>
      <c r="O1489" s="204"/>
      <c r="P1489" s="206"/>
      <c r="Q1489" s="206"/>
      <c r="R1489" s="206"/>
      <c r="S1489" s="206"/>
      <c r="T1489" s="204"/>
      <c r="U1489" s="207"/>
      <c r="V1489" s="204"/>
      <c r="W1489" s="204"/>
      <c r="X1489" s="207"/>
      <c r="Y1489" s="207"/>
      <c r="Z1489" s="204"/>
      <c r="AA1489" s="204"/>
      <c r="AB1489" s="204"/>
      <c r="AC1489" s="204"/>
    </row>
    <row r="1490" spans="1:29">
      <c r="A1490" s="204"/>
      <c r="B1490" s="204"/>
      <c r="C1490" s="204"/>
      <c r="D1490" s="204"/>
      <c r="E1490" s="204"/>
      <c r="F1490" s="204"/>
      <c r="G1490" s="204"/>
      <c r="H1490" s="204"/>
      <c r="I1490" s="204"/>
      <c r="J1490" s="204"/>
      <c r="K1490" s="204"/>
      <c r="L1490" s="205"/>
      <c r="M1490" s="205"/>
      <c r="N1490" s="204"/>
      <c r="O1490" s="204"/>
      <c r="P1490" s="206"/>
      <c r="Q1490" s="206"/>
      <c r="R1490" s="206"/>
      <c r="S1490" s="206"/>
      <c r="T1490" s="204"/>
      <c r="U1490" s="207"/>
      <c r="V1490" s="204"/>
      <c r="W1490" s="204"/>
      <c r="X1490" s="207"/>
      <c r="Y1490" s="207"/>
      <c r="Z1490" s="204"/>
      <c r="AA1490" s="204"/>
      <c r="AB1490" s="204"/>
      <c r="AC1490" s="204"/>
    </row>
    <row r="1491" spans="1:29">
      <c r="A1491" s="204"/>
      <c r="B1491" s="204"/>
      <c r="C1491" s="204"/>
      <c r="D1491" s="204"/>
      <c r="E1491" s="204"/>
      <c r="F1491" s="204"/>
      <c r="G1491" s="204"/>
      <c r="H1491" s="204"/>
      <c r="I1491" s="204"/>
      <c r="J1491" s="204"/>
      <c r="K1491" s="204"/>
      <c r="L1491" s="205"/>
      <c r="M1491" s="205"/>
      <c r="N1491" s="204"/>
      <c r="O1491" s="204"/>
      <c r="P1491" s="206"/>
      <c r="Q1491" s="206"/>
      <c r="R1491" s="206"/>
      <c r="S1491" s="206"/>
      <c r="T1491" s="204"/>
      <c r="U1491" s="207"/>
      <c r="V1491" s="204"/>
      <c r="W1491" s="204"/>
      <c r="X1491" s="207"/>
      <c r="Y1491" s="207"/>
      <c r="Z1491" s="204"/>
      <c r="AA1491" s="204"/>
      <c r="AB1491" s="204"/>
      <c r="AC1491" s="204"/>
    </row>
    <row r="1492" spans="1:29">
      <c r="A1492" s="204"/>
      <c r="B1492" s="204"/>
      <c r="C1492" s="204"/>
      <c r="D1492" s="204"/>
      <c r="E1492" s="204"/>
      <c r="F1492" s="204"/>
      <c r="G1492" s="204"/>
      <c r="H1492" s="204"/>
      <c r="I1492" s="204"/>
      <c r="J1492" s="204"/>
      <c r="K1492" s="204"/>
      <c r="L1492" s="205"/>
      <c r="M1492" s="205"/>
      <c r="N1492" s="204"/>
      <c r="O1492" s="204"/>
      <c r="P1492" s="206"/>
      <c r="Q1492" s="206"/>
      <c r="R1492" s="206"/>
      <c r="S1492" s="206"/>
      <c r="T1492" s="204"/>
      <c r="U1492" s="207"/>
      <c r="V1492" s="204"/>
      <c r="W1492" s="204"/>
      <c r="X1492" s="207"/>
      <c r="Y1492" s="207"/>
      <c r="Z1492" s="204"/>
      <c r="AA1492" s="204"/>
      <c r="AB1492" s="204"/>
      <c r="AC1492" s="204"/>
    </row>
    <row r="1493" spans="1:29">
      <c r="A1493" s="204"/>
      <c r="B1493" s="204"/>
      <c r="C1493" s="204"/>
      <c r="D1493" s="204"/>
      <c r="E1493" s="204"/>
      <c r="F1493" s="204"/>
      <c r="G1493" s="204"/>
      <c r="H1493" s="204"/>
      <c r="I1493" s="204"/>
      <c r="J1493" s="204"/>
      <c r="K1493" s="204"/>
      <c r="L1493" s="205"/>
      <c r="M1493" s="205"/>
      <c r="N1493" s="204"/>
      <c r="O1493" s="204"/>
      <c r="P1493" s="206"/>
      <c r="Q1493" s="206"/>
      <c r="R1493" s="206"/>
      <c r="S1493" s="206"/>
      <c r="T1493" s="204"/>
      <c r="U1493" s="207"/>
      <c r="V1493" s="204"/>
      <c r="W1493" s="204"/>
      <c r="X1493" s="207"/>
      <c r="Y1493" s="207"/>
      <c r="Z1493" s="204"/>
      <c r="AA1493" s="204"/>
      <c r="AB1493" s="204"/>
      <c r="AC1493" s="204"/>
    </row>
    <row r="1494" spans="1:29">
      <c r="A1494" s="204"/>
      <c r="B1494" s="204"/>
      <c r="C1494" s="204"/>
      <c r="D1494" s="204"/>
      <c r="E1494" s="204"/>
      <c r="F1494" s="204"/>
      <c r="G1494" s="204"/>
      <c r="H1494" s="204"/>
      <c r="I1494" s="204"/>
      <c r="J1494" s="204"/>
      <c r="K1494" s="204"/>
      <c r="L1494" s="205"/>
      <c r="M1494" s="205"/>
      <c r="N1494" s="204"/>
      <c r="O1494" s="204"/>
      <c r="P1494" s="206"/>
      <c r="Q1494" s="206"/>
      <c r="R1494" s="206"/>
      <c r="S1494" s="206"/>
      <c r="T1494" s="204"/>
      <c r="U1494" s="207"/>
      <c r="V1494" s="204"/>
      <c r="W1494" s="204"/>
      <c r="X1494" s="207"/>
      <c r="Y1494" s="207"/>
      <c r="Z1494" s="204"/>
      <c r="AA1494" s="204"/>
      <c r="AB1494" s="204"/>
      <c r="AC1494" s="204"/>
    </row>
    <row r="1495" spans="1:29">
      <c r="A1495" s="204"/>
      <c r="B1495" s="204"/>
      <c r="C1495" s="204"/>
      <c r="D1495" s="204"/>
      <c r="E1495" s="204"/>
      <c r="F1495" s="204"/>
      <c r="G1495" s="204"/>
      <c r="H1495" s="204"/>
      <c r="I1495" s="204"/>
      <c r="J1495" s="204"/>
      <c r="K1495" s="204"/>
      <c r="L1495" s="205"/>
      <c r="M1495" s="205"/>
      <c r="N1495" s="204"/>
      <c r="O1495" s="204"/>
      <c r="P1495" s="206"/>
      <c r="Q1495" s="206"/>
      <c r="R1495" s="206"/>
      <c r="S1495" s="206"/>
      <c r="T1495" s="204"/>
      <c r="U1495" s="207"/>
      <c r="V1495" s="204"/>
      <c r="W1495" s="204"/>
      <c r="X1495" s="207"/>
      <c r="Y1495" s="207"/>
      <c r="Z1495" s="204"/>
      <c r="AA1495" s="204"/>
      <c r="AB1495" s="204"/>
      <c r="AC1495" s="204"/>
    </row>
    <row r="1496" spans="1:29">
      <c r="A1496" s="204"/>
      <c r="B1496" s="204"/>
      <c r="C1496" s="204"/>
      <c r="D1496" s="204"/>
      <c r="E1496" s="204"/>
      <c r="F1496" s="204"/>
      <c r="G1496" s="204"/>
      <c r="H1496" s="204"/>
      <c r="I1496" s="204"/>
      <c r="J1496" s="204"/>
      <c r="K1496" s="204"/>
      <c r="L1496" s="205"/>
      <c r="M1496" s="205"/>
      <c r="N1496" s="204"/>
      <c r="O1496" s="204"/>
      <c r="P1496" s="206"/>
      <c r="Q1496" s="206"/>
      <c r="R1496" s="206"/>
      <c r="S1496" s="206"/>
      <c r="T1496" s="204"/>
      <c r="U1496" s="207"/>
      <c r="V1496" s="204"/>
      <c r="W1496" s="204"/>
      <c r="X1496" s="207"/>
      <c r="Y1496" s="207"/>
      <c r="Z1496" s="204"/>
      <c r="AA1496" s="204"/>
      <c r="AB1496" s="204"/>
      <c r="AC1496" s="204"/>
    </row>
    <row r="1497" spans="1:29">
      <c r="A1497" s="204"/>
      <c r="B1497" s="204"/>
      <c r="C1497" s="204"/>
      <c r="D1497" s="204"/>
      <c r="E1497" s="204"/>
      <c r="F1497" s="204"/>
      <c r="G1497" s="204"/>
      <c r="H1497" s="204"/>
      <c r="I1497" s="204"/>
      <c r="J1497" s="204"/>
      <c r="K1497" s="204"/>
      <c r="L1497" s="205"/>
      <c r="M1497" s="205"/>
      <c r="N1497" s="204"/>
      <c r="O1497" s="204"/>
      <c r="P1497" s="206"/>
      <c r="Q1497" s="206"/>
      <c r="R1497" s="206"/>
      <c r="S1497" s="206"/>
      <c r="T1497" s="204"/>
      <c r="U1497" s="207"/>
      <c r="V1497" s="204"/>
      <c r="W1497" s="204"/>
      <c r="X1497" s="207"/>
      <c r="Y1497" s="207"/>
      <c r="Z1497" s="204"/>
      <c r="AA1497" s="204"/>
      <c r="AB1497" s="204"/>
      <c r="AC1497" s="204"/>
    </row>
    <row r="1498" spans="1:29">
      <c r="A1498" s="204"/>
      <c r="B1498" s="204"/>
      <c r="C1498" s="204"/>
      <c r="D1498" s="204"/>
      <c r="E1498" s="204"/>
      <c r="F1498" s="204"/>
      <c r="G1498" s="204"/>
      <c r="H1498" s="204"/>
      <c r="I1498" s="204"/>
      <c r="J1498" s="204"/>
      <c r="K1498" s="204"/>
      <c r="L1498" s="205"/>
      <c r="M1498" s="205"/>
      <c r="N1498" s="204"/>
      <c r="O1498" s="204"/>
      <c r="P1498" s="206"/>
      <c r="Q1498" s="206"/>
      <c r="R1498" s="206"/>
      <c r="S1498" s="206"/>
      <c r="T1498" s="204"/>
      <c r="U1498" s="207"/>
      <c r="V1498" s="204"/>
      <c r="W1498" s="204"/>
      <c r="X1498" s="207"/>
      <c r="Y1498" s="207"/>
      <c r="Z1498" s="204"/>
      <c r="AA1498" s="204"/>
      <c r="AB1498" s="204"/>
      <c r="AC1498" s="204"/>
    </row>
    <row r="1499" spans="1:29">
      <c r="A1499" s="204"/>
      <c r="B1499" s="204"/>
      <c r="C1499" s="204"/>
      <c r="D1499" s="204"/>
      <c r="E1499" s="204"/>
      <c r="F1499" s="204"/>
      <c r="G1499" s="204"/>
      <c r="H1499" s="204"/>
      <c r="I1499" s="204"/>
      <c r="J1499" s="204"/>
      <c r="K1499" s="204"/>
      <c r="L1499" s="205"/>
      <c r="M1499" s="205"/>
      <c r="N1499" s="204"/>
      <c r="O1499" s="204"/>
      <c r="P1499" s="206"/>
      <c r="Q1499" s="206"/>
      <c r="R1499" s="206"/>
      <c r="S1499" s="206"/>
      <c r="T1499" s="204"/>
      <c r="U1499" s="207"/>
      <c r="V1499" s="204"/>
      <c r="W1499" s="204"/>
      <c r="X1499" s="207"/>
      <c r="Y1499" s="207"/>
      <c r="Z1499" s="204"/>
      <c r="AA1499" s="204"/>
      <c r="AB1499" s="204"/>
      <c r="AC1499" s="204"/>
    </row>
    <row r="1500" spans="1:29">
      <c r="A1500" s="204"/>
      <c r="B1500" s="204"/>
      <c r="C1500" s="204"/>
      <c r="D1500" s="204"/>
      <c r="E1500" s="204"/>
      <c r="F1500" s="204"/>
      <c r="G1500" s="204"/>
      <c r="H1500" s="204"/>
      <c r="I1500" s="204"/>
      <c r="J1500" s="204"/>
      <c r="K1500" s="204"/>
      <c r="L1500" s="205"/>
      <c r="M1500" s="205"/>
      <c r="N1500" s="204"/>
      <c r="O1500" s="204"/>
      <c r="P1500" s="206"/>
      <c r="Q1500" s="206"/>
      <c r="R1500" s="206"/>
      <c r="S1500" s="206"/>
      <c r="T1500" s="204"/>
      <c r="U1500" s="207"/>
      <c r="V1500" s="204"/>
      <c r="W1500" s="204"/>
      <c r="X1500" s="207"/>
      <c r="Y1500" s="207"/>
      <c r="Z1500" s="204"/>
      <c r="AA1500" s="204"/>
      <c r="AB1500" s="204"/>
      <c r="AC1500" s="204"/>
    </row>
    <row r="1501" spans="1:29">
      <c r="A1501" s="204"/>
      <c r="B1501" s="204"/>
      <c r="C1501" s="204"/>
      <c r="D1501" s="204"/>
      <c r="E1501" s="204"/>
      <c r="F1501" s="204"/>
      <c r="G1501" s="204"/>
      <c r="H1501" s="204"/>
      <c r="I1501" s="204"/>
      <c r="J1501" s="204"/>
      <c r="K1501" s="204"/>
      <c r="L1501" s="205"/>
      <c r="M1501" s="205"/>
      <c r="N1501" s="204"/>
      <c r="O1501" s="204"/>
      <c r="P1501" s="206"/>
      <c r="Q1501" s="206"/>
      <c r="R1501" s="206"/>
      <c r="S1501" s="206"/>
      <c r="T1501" s="204"/>
      <c r="U1501" s="207"/>
      <c r="V1501" s="204"/>
      <c r="W1501" s="204"/>
      <c r="X1501" s="207"/>
      <c r="Y1501" s="207"/>
      <c r="Z1501" s="204"/>
      <c r="AA1501" s="204"/>
      <c r="AB1501" s="204"/>
      <c r="AC1501" s="204"/>
    </row>
    <row r="1502" spans="1:29">
      <c r="A1502" s="204"/>
      <c r="B1502" s="204"/>
      <c r="C1502" s="204"/>
      <c r="D1502" s="204"/>
      <c r="E1502" s="204"/>
      <c r="F1502" s="204"/>
      <c r="G1502" s="204"/>
      <c r="H1502" s="204"/>
      <c r="I1502" s="204"/>
      <c r="J1502" s="204"/>
      <c r="K1502" s="204"/>
      <c r="L1502" s="205"/>
      <c r="M1502" s="205"/>
      <c r="N1502" s="204"/>
      <c r="O1502" s="204"/>
      <c r="P1502" s="206"/>
      <c r="Q1502" s="206"/>
      <c r="R1502" s="206"/>
      <c r="S1502" s="206"/>
      <c r="T1502" s="204"/>
      <c r="U1502" s="207"/>
      <c r="V1502" s="204"/>
      <c r="W1502" s="204"/>
      <c r="X1502" s="207"/>
      <c r="Y1502" s="207"/>
      <c r="Z1502" s="204"/>
      <c r="AA1502" s="204"/>
      <c r="AB1502" s="204"/>
      <c r="AC1502" s="204"/>
    </row>
    <row r="1503" spans="1:29">
      <c r="A1503" s="204"/>
      <c r="B1503" s="204"/>
      <c r="C1503" s="204"/>
      <c r="D1503" s="204"/>
      <c r="E1503" s="204"/>
      <c r="F1503" s="204"/>
      <c r="G1503" s="204"/>
      <c r="H1503" s="204"/>
      <c r="I1503" s="204"/>
      <c r="J1503" s="204"/>
      <c r="K1503" s="204"/>
      <c r="L1503" s="205"/>
      <c r="M1503" s="205"/>
      <c r="N1503" s="204"/>
      <c r="O1503" s="204"/>
      <c r="P1503" s="206"/>
      <c r="Q1503" s="206"/>
      <c r="R1503" s="206"/>
      <c r="S1503" s="206"/>
      <c r="T1503" s="204"/>
      <c r="U1503" s="207"/>
      <c r="V1503" s="204"/>
      <c r="W1503" s="204"/>
      <c r="X1503" s="207"/>
      <c r="Y1503" s="207"/>
      <c r="Z1503" s="204"/>
      <c r="AA1503" s="204"/>
      <c r="AB1503" s="204"/>
      <c r="AC1503" s="204"/>
    </row>
    <row r="1504" spans="1:29">
      <c r="A1504" s="204"/>
      <c r="B1504" s="204"/>
      <c r="C1504" s="204"/>
      <c r="D1504" s="204"/>
      <c r="E1504" s="204"/>
      <c r="F1504" s="204"/>
      <c r="G1504" s="204"/>
      <c r="H1504" s="204"/>
      <c r="I1504" s="204"/>
      <c r="J1504" s="204"/>
      <c r="K1504" s="204"/>
      <c r="L1504" s="205"/>
      <c r="M1504" s="205"/>
      <c r="N1504" s="204"/>
      <c r="O1504" s="204"/>
      <c r="P1504" s="206"/>
      <c r="Q1504" s="206"/>
      <c r="R1504" s="206"/>
      <c r="S1504" s="206"/>
      <c r="T1504" s="204"/>
      <c r="U1504" s="207"/>
      <c r="V1504" s="204"/>
      <c r="W1504" s="204"/>
      <c r="X1504" s="207"/>
      <c r="Y1504" s="207"/>
      <c r="Z1504" s="204"/>
      <c r="AA1504" s="204"/>
      <c r="AB1504" s="204"/>
      <c r="AC1504" s="204"/>
    </row>
    <row r="1505" spans="1:29">
      <c r="A1505" s="204"/>
      <c r="B1505" s="204"/>
      <c r="C1505" s="204"/>
      <c r="D1505" s="204"/>
      <c r="E1505" s="204"/>
      <c r="F1505" s="204"/>
      <c r="G1505" s="204"/>
      <c r="H1505" s="204"/>
      <c r="I1505" s="204"/>
      <c r="J1505" s="204"/>
      <c r="K1505" s="204"/>
      <c r="L1505" s="205"/>
      <c r="M1505" s="205"/>
      <c r="N1505" s="204"/>
      <c r="O1505" s="204"/>
      <c r="P1505" s="206"/>
      <c r="Q1505" s="206"/>
      <c r="R1505" s="206"/>
      <c r="S1505" s="206"/>
      <c r="T1505" s="204"/>
      <c r="U1505" s="207"/>
      <c r="V1505" s="204"/>
      <c r="W1505" s="204"/>
      <c r="X1505" s="207"/>
      <c r="Y1505" s="207"/>
      <c r="Z1505" s="204"/>
      <c r="AA1505" s="204"/>
      <c r="AB1505" s="204"/>
      <c r="AC1505" s="204"/>
    </row>
    <row r="1506" spans="1:29">
      <c r="A1506" s="204"/>
      <c r="B1506" s="204"/>
      <c r="C1506" s="204"/>
      <c r="D1506" s="204"/>
      <c r="E1506" s="204"/>
      <c r="F1506" s="204"/>
      <c r="G1506" s="204"/>
      <c r="H1506" s="204"/>
      <c r="I1506" s="204"/>
      <c r="J1506" s="204"/>
      <c r="K1506" s="204"/>
      <c r="L1506" s="205"/>
      <c r="M1506" s="205"/>
      <c r="N1506" s="204"/>
      <c r="O1506" s="204"/>
      <c r="P1506" s="206"/>
      <c r="Q1506" s="206"/>
      <c r="R1506" s="206"/>
      <c r="S1506" s="206"/>
      <c r="T1506" s="204"/>
      <c r="U1506" s="207"/>
      <c r="V1506" s="204"/>
      <c r="W1506" s="204"/>
      <c r="X1506" s="207"/>
      <c r="Y1506" s="207"/>
      <c r="Z1506" s="204"/>
      <c r="AA1506" s="204"/>
      <c r="AB1506" s="204"/>
      <c r="AC1506" s="204"/>
    </row>
    <row r="1507" spans="1:29">
      <c r="A1507" s="204"/>
      <c r="B1507" s="204"/>
      <c r="C1507" s="204"/>
      <c r="D1507" s="204"/>
      <c r="E1507" s="204"/>
      <c r="F1507" s="204"/>
      <c r="G1507" s="204"/>
      <c r="H1507" s="204"/>
      <c r="I1507" s="204"/>
      <c r="J1507" s="204"/>
      <c r="K1507" s="204"/>
      <c r="L1507" s="205"/>
      <c r="M1507" s="205"/>
      <c r="N1507" s="204"/>
      <c r="O1507" s="204"/>
      <c r="P1507" s="206"/>
      <c r="Q1507" s="206"/>
      <c r="R1507" s="206"/>
      <c r="S1507" s="206"/>
      <c r="T1507" s="204"/>
      <c r="U1507" s="207"/>
      <c r="V1507" s="204"/>
      <c r="W1507" s="204"/>
      <c r="X1507" s="207"/>
      <c r="Y1507" s="207"/>
      <c r="Z1507" s="204"/>
      <c r="AA1507" s="204"/>
      <c r="AB1507" s="204"/>
      <c r="AC1507" s="204"/>
    </row>
    <row r="1508" spans="1:29">
      <c r="A1508" s="204"/>
      <c r="B1508" s="204"/>
      <c r="C1508" s="204"/>
      <c r="D1508" s="204"/>
      <c r="E1508" s="204"/>
      <c r="F1508" s="204"/>
      <c r="G1508" s="204"/>
      <c r="H1508" s="204"/>
      <c r="I1508" s="204"/>
      <c r="J1508" s="204"/>
      <c r="K1508" s="204"/>
      <c r="L1508" s="205"/>
      <c r="M1508" s="205"/>
      <c r="N1508" s="204"/>
      <c r="O1508" s="204"/>
      <c r="P1508" s="206"/>
      <c r="Q1508" s="206"/>
      <c r="R1508" s="206"/>
      <c r="S1508" s="206"/>
      <c r="T1508" s="204"/>
      <c r="U1508" s="207"/>
      <c r="V1508" s="204"/>
      <c r="W1508" s="204"/>
      <c r="X1508" s="207"/>
      <c r="Y1508" s="207"/>
      <c r="Z1508" s="204"/>
      <c r="AA1508" s="204"/>
      <c r="AB1508" s="204"/>
      <c r="AC1508" s="204"/>
    </row>
    <row r="1509" spans="1:29">
      <c r="A1509" s="204"/>
      <c r="B1509" s="204"/>
      <c r="C1509" s="204"/>
      <c r="D1509" s="204"/>
      <c r="E1509" s="204"/>
      <c r="F1509" s="204"/>
      <c r="G1509" s="204"/>
      <c r="H1509" s="204"/>
      <c r="I1509" s="204"/>
      <c r="J1509" s="204"/>
      <c r="K1509" s="204"/>
      <c r="L1509" s="205"/>
      <c r="M1509" s="205"/>
      <c r="N1509" s="204"/>
      <c r="O1509" s="204"/>
      <c r="P1509" s="206"/>
      <c r="Q1509" s="206"/>
      <c r="R1509" s="206"/>
      <c r="S1509" s="206"/>
      <c r="T1509" s="204"/>
      <c r="U1509" s="207"/>
      <c r="V1509" s="204"/>
      <c r="W1509" s="204"/>
      <c r="X1509" s="207"/>
      <c r="Y1509" s="207"/>
      <c r="Z1509" s="204"/>
      <c r="AA1509" s="204"/>
      <c r="AB1509" s="204"/>
      <c r="AC1509" s="204"/>
    </row>
    <row r="1510" spans="1:29">
      <c r="A1510" s="204"/>
      <c r="B1510" s="204"/>
      <c r="C1510" s="204"/>
      <c r="D1510" s="204"/>
      <c r="E1510" s="204"/>
      <c r="F1510" s="204"/>
      <c r="G1510" s="204"/>
      <c r="H1510" s="204"/>
      <c r="I1510" s="204"/>
      <c r="J1510" s="204"/>
      <c r="K1510" s="204"/>
      <c r="L1510" s="205"/>
      <c r="M1510" s="205"/>
      <c r="N1510" s="204"/>
      <c r="O1510" s="204"/>
      <c r="P1510" s="206"/>
      <c r="Q1510" s="206"/>
      <c r="R1510" s="206"/>
      <c r="S1510" s="206"/>
      <c r="T1510" s="204"/>
      <c r="U1510" s="207"/>
      <c r="V1510" s="204"/>
      <c r="W1510" s="204"/>
      <c r="X1510" s="207"/>
      <c r="Y1510" s="207"/>
      <c r="Z1510" s="204"/>
      <c r="AA1510" s="204"/>
      <c r="AB1510" s="204"/>
      <c r="AC1510" s="204"/>
    </row>
    <row r="1511" spans="1:29">
      <c r="A1511" s="204"/>
      <c r="B1511" s="204"/>
      <c r="C1511" s="204"/>
      <c r="D1511" s="204"/>
      <c r="E1511" s="204"/>
      <c r="F1511" s="204"/>
      <c r="G1511" s="204"/>
      <c r="H1511" s="204"/>
      <c r="I1511" s="204"/>
      <c r="J1511" s="204"/>
      <c r="K1511" s="204"/>
      <c r="L1511" s="205"/>
      <c r="M1511" s="205"/>
      <c r="N1511" s="204"/>
      <c r="O1511" s="204"/>
      <c r="P1511" s="206"/>
      <c r="Q1511" s="206"/>
      <c r="R1511" s="206"/>
      <c r="S1511" s="206"/>
      <c r="T1511" s="204"/>
      <c r="U1511" s="207"/>
      <c r="V1511" s="204"/>
      <c r="W1511" s="204"/>
      <c r="X1511" s="207"/>
      <c r="Y1511" s="207"/>
      <c r="Z1511" s="204"/>
      <c r="AA1511" s="204"/>
      <c r="AB1511" s="204"/>
      <c r="AC1511" s="204"/>
    </row>
    <row r="1512" spans="1:29">
      <c r="A1512" s="204"/>
      <c r="B1512" s="204"/>
      <c r="C1512" s="204"/>
      <c r="D1512" s="204"/>
      <c r="E1512" s="204"/>
      <c r="F1512" s="204"/>
      <c r="G1512" s="204"/>
      <c r="H1512" s="204"/>
      <c r="I1512" s="204"/>
      <c r="J1512" s="204"/>
      <c r="K1512" s="204"/>
      <c r="L1512" s="205"/>
      <c r="M1512" s="205"/>
      <c r="N1512" s="204"/>
      <c r="O1512" s="204"/>
      <c r="P1512" s="206"/>
      <c r="Q1512" s="206"/>
      <c r="R1512" s="206"/>
      <c r="S1512" s="206"/>
      <c r="T1512" s="204"/>
      <c r="U1512" s="207"/>
      <c r="V1512" s="204"/>
      <c r="W1512" s="204"/>
      <c r="X1512" s="207"/>
      <c r="Y1512" s="207"/>
      <c r="Z1512" s="204"/>
      <c r="AA1512" s="204"/>
      <c r="AB1512" s="204"/>
      <c r="AC1512" s="204"/>
    </row>
    <row r="1513" spans="1:29">
      <c r="A1513" s="204"/>
      <c r="B1513" s="204"/>
      <c r="C1513" s="204"/>
      <c r="D1513" s="204"/>
      <c r="E1513" s="204"/>
      <c r="F1513" s="204"/>
      <c r="G1513" s="204"/>
      <c r="H1513" s="204"/>
      <c r="I1513" s="204"/>
      <c r="J1513" s="204"/>
      <c r="K1513" s="204"/>
      <c r="L1513" s="205"/>
      <c r="M1513" s="205"/>
      <c r="N1513" s="204"/>
      <c r="O1513" s="204"/>
      <c r="P1513" s="206"/>
      <c r="Q1513" s="206"/>
      <c r="R1513" s="206"/>
      <c r="S1513" s="206"/>
      <c r="T1513" s="204"/>
      <c r="U1513" s="207"/>
      <c r="V1513" s="204"/>
      <c r="W1513" s="204"/>
      <c r="X1513" s="207"/>
      <c r="Y1513" s="207"/>
      <c r="Z1513" s="204"/>
      <c r="AA1513" s="204"/>
      <c r="AB1513" s="204"/>
      <c r="AC1513" s="204"/>
    </row>
    <row r="1514" spans="1:29">
      <c r="A1514" s="204"/>
      <c r="B1514" s="204"/>
      <c r="C1514" s="204"/>
      <c r="D1514" s="204"/>
      <c r="E1514" s="204"/>
      <c r="F1514" s="204"/>
      <c r="G1514" s="204"/>
      <c r="H1514" s="204"/>
      <c r="I1514" s="204"/>
      <c r="J1514" s="204"/>
      <c r="K1514" s="204"/>
      <c r="L1514" s="205"/>
      <c r="M1514" s="205"/>
      <c r="N1514" s="204"/>
      <c r="O1514" s="204"/>
      <c r="P1514" s="206"/>
      <c r="Q1514" s="206"/>
      <c r="R1514" s="206"/>
      <c r="S1514" s="206"/>
      <c r="T1514" s="204"/>
      <c r="U1514" s="207"/>
      <c r="V1514" s="204"/>
      <c r="W1514" s="204"/>
      <c r="X1514" s="207"/>
      <c r="Y1514" s="207"/>
      <c r="Z1514" s="204"/>
      <c r="AA1514" s="204"/>
      <c r="AB1514" s="204"/>
      <c r="AC1514" s="204"/>
    </row>
    <row r="1515" spans="1:29">
      <c r="A1515" s="204"/>
      <c r="B1515" s="204"/>
      <c r="C1515" s="204"/>
      <c r="D1515" s="204"/>
      <c r="E1515" s="204"/>
      <c r="F1515" s="204"/>
      <c r="G1515" s="204"/>
      <c r="H1515" s="204"/>
      <c r="I1515" s="204"/>
      <c r="J1515" s="204"/>
      <c r="K1515" s="204"/>
      <c r="L1515" s="205"/>
      <c r="M1515" s="205"/>
      <c r="N1515" s="204"/>
      <c r="O1515" s="204"/>
      <c r="P1515" s="206"/>
      <c r="Q1515" s="206"/>
      <c r="R1515" s="206"/>
      <c r="S1515" s="206"/>
      <c r="T1515" s="204"/>
      <c r="U1515" s="207"/>
      <c r="V1515" s="204"/>
      <c r="W1515" s="204"/>
      <c r="X1515" s="207"/>
      <c r="Y1515" s="207"/>
      <c r="Z1515" s="204"/>
      <c r="AA1515" s="204"/>
      <c r="AB1515" s="204"/>
      <c r="AC1515" s="204"/>
    </row>
    <row r="1516" spans="1:29">
      <c r="A1516" s="204"/>
      <c r="B1516" s="204"/>
      <c r="C1516" s="204"/>
      <c r="D1516" s="204"/>
      <c r="E1516" s="204"/>
      <c r="F1516" s="204"/>
      <c r="G1516" s="204"/>
      <c r="H1516" s="204"/>
      <c r="I1516" s="204"/>
      <c r="J1516" s="204"/>
      <c r="K1516" s="204"/>
      <c r="L1516" s="205"/>
      <c r="M1516" s="205"/>
      <c r="N1516" s="204"/>
      <c r="O1516" s="204"/>
      <c r="P1516" s="206"/>
      <c r="Q1516" s="206"/>
      <c r="R1516" s="206"/>
      <c r="S1516" s="206"/>
      <c r="T1516" s="204"/>
      <c r="U1516" s="207"/>
      <c r="V1516" s="204"/>
      <c r="W1516" s="204"/>
      <c r="X1516" s="207"/>
      <c r="Y1516" s="207"/>
      <c r="Z1516" s="204"/>
      <c r="AA1516" s="204"/>
      <c r="AB1516" s="204"/>
      <c r="AC1516" s="204"/>
    </row>
    <row r="1517" spans="1:29">
      <c r="A1517" s="204"/>
      <c r="B1517" s="204"/>
      <c r="C1517" s="204"/>
      <c r="D1517" s="204"/>
      <c r="E1517" s="204"/>
      <c r="F1517" s="204"/>
      <c r="G1517" s="204"/>
      <c r="H1517" s="204"/>
      <c r="I1517" s="204"/>
      <c r="J1517" s="204"/>
      <c r="K1517" s="204"/>
      <c r="L1517" s="205"/>
      <c r="M1517" s="205"/>
      <c r="N1517" s="204"/>
      <c r="O1517" s="204"/>
      <c r="P1517" s="206"/>
      <c r="Q1517" s="206"/>
      <c r="R1517" s="206"/>
      <c r="S1517" s="206"/>
      <c r="T1517" s="204"/>
      <c r="U1517" s="207"/>
      <c r="V1517" s="204"/>
      <c r="W1517" s="204"/>
      <c r="X1517" s="207"/>
      <c r="Y1517" s="207"/>
      <c r="Z1517" s="204"/>
      <c r="AA1517" s="204"/>
      <c r="AB1517" s="204"/>
      <c r="AC1517" s="204"/>
    </row>
    <row r="1518" spans="1:29">
      <c r="A1518" s="204"/>
      <c r="B1518" s="204"/>
      <c r="C1518" s="204"/>
      <c r="D1518" s="204"/>
      <c r="E1518" s="204"/>
      <c r="F1518" s="204"/>
      <c r="G1518" s="204"/>
      <c r="H1518" s="204"/>
      <c r="I1518" s="204"/>
      <c r="J1518" s="204"/>
      <c r="K1518" s="204"/>
      <c r="L1518" s="205"/>
      <c r="M1518" s="205"/>
      <c r="N1518" s="204"/>
      <c r="O1518" s="204"/>
      <c r="P1518" s="206"/>
      <c r="Q1518" s="206"/>
      <c r="R1518" s="206"/>
      <c r="S1518" s="206"/>
      <c r="T1518" s="204"/>
      <c r="U1518" s="207"/>
      <c r="V1518" s="204"/>
      <c r="W1518" s="204"/>
      <c r="X1518" s="207"/>
      <c r="Y1518" s="207"/>
      <c r="Z1518" s="204"/>
      <c r="AA1518" s="204"/>
      <c r="AB1518" s="204"/>
      <c r="AC1518" s="204"/>
    </row>
    <row r="1519" spans="1:29">
      <c r="A1519" s="204"/>
      <c r="B1519" s="204"/>
      <c r="C1519" s="204"/>
      <c r="D1519" s="204"/>
      <c r="E1519" s="204"/>
      <c r="F1519" s="204"/>
      <c r="G1519" s="204"/>
      <c r="H1519" s="204"/>
      <c r="I1519" s="204"/>
      <c r="J1519" s="204"/>
      <c r="K1519" s="204"/>
      <c r="L1519" s="205"/>
      <c r="M1519" s="205"/>
      <c r="N1519" s="204"/>
      <c r="O1519" s="204"/>
      <c r="P1519" s="206"/>
      <c r="Q1519" s="206"/>
      <c r="R1519" s="206"/>
      <c r="S1519" s="206"/>
      <c r="T1519" s="204"/>
      <c r="U1519" s="207"/>
      <c r="V1519" s="204"/>
      <c r="W1519" s="204"/>
      <c r="X1519" s="207"/>
      <c r="Y1519" s="207"/>
      <c r="Z1519" s="204"/>
      <c r="AA1519" s="204"/>
      <c r="AB1519" s="204"/>
      <c r="AC1519" s="204"/>
    </row>
    <row r="1520" spans="1:29">
      <c r="A1520" s="204"/>
      <c r="B1520" s="204"/>
      <c r="C1520" s="204"/>
      <c r="D1520" s="204"/>
      <c r="E1520" s="204"/>
      <c r="F1520" s="204"/>
      <c r="G1520" s="204"/>
      <c r="H1520" s="204"/>
      <c r="I1520" s="204"/>
      <c r="J1520" s="204"/>
      <c r="K1520" s="204"/>
      <c r="L1520" s="205"/>
      <c r="M1520" s="205"/>
      <c r="N1520" s="204"/>
      <c r="O1520" s="204"/>
      <c r="P1520" s="206"/>
      <c r="Q1520" s="206"/>
      <c r="R1520" s="206"/>
      <c r="S1520" s="206"/>
      <c r="T1520" s="204"/>
      <c r="U1520" s="207"/>
      <c r="V1520" s="204"/>
      <c r="W1520" s="204"/>
      <c r="X1520" s="207"/>
      <c r="Y1520" s="207"/>
      <c r="Z1520" s="204"/>
      <c r="AA1520" s="204"/>
      <c r="AB1520" s="204"/>
      <c r="AC1520" s="204"/>
    </row>
    <row r="1521" spans="1:29">
      <c r="A1521" s="204"/>
      <c r="B1521" s="204"/>
      <c r="C1521" s="204"/>
      <c r="D1521" s="204"/>
      <c r="E1521" s="204"/>
      <c r="F1521" s="204"/>
      <c r="G1521" s="204"/>
      <c r="H1521" s="204"/>
      <c r="I1521" s="204"/>
      <c r="J1521" s="204"/>
      <c r="K1521" s="204"/>
      <c r="L1521" s="205"/>
      <c r="M1521" s="205"/>
      <c r="N1521" s="204"/>
      <c r="O1521" s="204"/>
      <c r="P1521" s="206"/>
      <c r="Q1521" s="206"/>
      <c r="R1521" s="206"/>
      <c r="S1521" s="206"/>
      <c r="T1521" s="204"/>
      <c r="U1521" s="207"/>
      <c r="V1521" s="204"/>
      <c r="W1521" s="204"/>
      <c r="X1521" s="207"/>
      <c r="Y1521" s="207"/>
      <c r="Z1521" s="204"/>
      <c r="AA1521" s="204"/>
      <c r="AB1521" s="204"/>
      <c r="AC1521" s="204"/>
    </row>
    <row r="1522" spans="1:29">
      <c r="A1522" s="204"/>
      <c r="B1522" s="204"/>
      <c r="C1522" s="204"/>
      <c r="D1522" s="204"/>
      <c r="E1522" s="204"/>
      <c r="F1522" s="204"/>
      <c r="G1522" s="204"/>
      <c r="H1522" s="204"/>
      <c r="I1522" s="204"/>
      <c r="J1522" s="204"/>
      <c r="K1522" s="204"/>
      <c r="L1522" s="205"/>
      <c r="M1522" s="205"/>
      <c r="N1522" s="204"/>
      <c r="O1522" s="204"/>
      <c r="P1522" s="206"/>
      <c r="Q1522" s="206"/>
      <c r="R1522" s="206"/>
      <c r="S1522" s="206"/>
      <c r="T1522" s="204"/>
      <c r="U1522" s="207"/>
      <c r="V1522" s="204"/>
      <c r="W1522" s="204"/>
      <c r="X1522" s="207"/>
      <c r="Y1522" s="207"/>
      <c r="Z1522" s="204"/>
      <c r="AA1522" s="204"/>
      <c r="AB1522" s="204"/>
      <c r="AC1522" s="204"/>
    </row>
    <row r="1523" spans="1:29">
      <c r="A1523" s="204"/>
      <c r="B1523" s="204"/>
      <c r="C1523" s="204"/>
      <c r="D1523" s="204"/>
      <c r="E1523" s="204"/>
      <c r="F1523" s="204"/>
      <c r="G1523" s="204"/>
      <c r="H1523" s="204"/>
      <c r="I1523" s="204"/>
      <c r="J1523" s="204"/>
      <c r="K1523" s="204"/>
      <c r="L1523" s="205"/>
      <c r="M1523" s="205"/>
      <c r="N1523" s="204"/>
      <c r="O1523" s="204"/>
      <c r="P1523" s="206"/>
      <c r="Q1523" s="206"/>
      <c r="R1523" s="206"/>
      <c r="S1523" s="206"/>
      <c r="T1523" s="204"/>
      <c r="U1523" s="207"/>
      <c r="V1523" s="204"/>
      <c r="W1523" s="204"/>
      <c r="X1523" s="207"/>
      <c r="Y1523" s="207"/>
      <c r="Z1523" s="204"/>
      <c r="AA1523" s="204"/>
      <c r="AB1523" s="204"/>
      <c r="AC1523" s="204"/>
    </row>
    <row r="1524" spans="1:29">
      <c r="A1524" s="204"/>
      <c r="B1524" s="204"/>
      <c r="C1524" s="204"/>
      <c r="D1524" s="204"/>
      <c r="E1524" s="204"/>
      <c r="F1524" s="204"/>
      <c r="G1524" s="204"/>
      <c r="H1524" s="204"/>
      <c r="I1524" s="204"/>
      <c r="J1524" s="204"/>
      <c r="K1524" s="204"/>
      <c r="L1524" s="205"/>
      <c r="M1524" s="205"/>
      <c r="N1524" s="204"/>
      <c r="O1524" s="204"/>
      <c r="P1524" s="206"/>
      <c r="Q1524" s="206"/>
      <c r="R1524" s="206"/>
      <c r="S1524" s="206"/>
      <c r="T1524" s="204"/>
      <c r="U1524" s="207"/>
      <c r="V1524" s="204"/>
      <c r="W1524" s="204"/>
      <c r="X1524" s="207"/>
      <c r="Y1524" s="207"/>
      <c r="Z1524" s="204"/>
      <c r="AA1524" s="204"/>
      <c r="AB1524" s="204"/>
      <c r="AC1524" s="204"/>
    </row>
    <row r="1525" spans="1:29">
      <c r="A1525" s="204"/>
      <c r="B1525" s="204"/>
      <c r="C1525" s="204"/>
      <c r="D1525" s="204"/>
      <c r="E1525" s="204"/>
      <c r="F1525" s="204"/>
      <c r="G1525" s="204"/>
      <c r="H1525" s="204"/>
      <c r="I1525" s="204"/>
      <c r="J1525" s="204"/>
      <c r="K1525" s="204"/>
      <c r="L1525" s="205"/>
      <c r="M1525" s="205"/>
      <c r="N1525" s="204"/>
      <c r="O1525" s="204"/>
      <c r="P1525" s="206"/>
      <c r="Q1525" s="206"/>
      <c r="R1525" s="206"/>
      <c r="S1525" s="206"/>
      <c r="T1525" s="204"/>
      <c r="U1525" s="207"/>
      <c r="V1525" s="204"/>
      <c r="W1525" s="204"/>
      <c r="X1525" s="207"/>
      <c r="Y1525" s="207"/>
      <c r="Z1525" s="204"/>
      <c r="AA1525" s="204"/>
      <c r="AB1525" s="204"/>
      <c r="AC1525" s="204"/>
    </row>
    <row r="1526" spans="1:29">
      <c r="A1526" s="204"/>
      <c r="B1526" s="204"/>
      <c r="C1526" s="204"/>
      <c r="D1526" s="204"/>
      <c r="E1526" s="204"/>
      <c r="F1526" s="204"/>
      <c r="G1526" s="204"/>
      <c r="H1526" s="204"/>
      <c r="I1526" s="204"/>
      <c r="J1526" s="204"/>
      <c r="K1526" s="204"/>
      <c r="L1526" s="205"/>
      <c r="M1526" s="205"/>
      <c r="N1526" s="204"/>
      <c r="O1526" s="204"/>
      <c r="P1526" s="206"/>
      <c r="Q1526" s="206"/>
      <c r="R1526" s="206"/>
      <c r="S1526" s="206"/>
      <c r="T1526" s="204"/>
      <c r="U1526" s="207"/>
      <c r="V1526" s="204"/>
      <c r="W1526" s="204"/>
      <c r="X1526" s="207"/>
      <c r="Y1526" s="207"/>
      <c r="Z1526" s="204"/>
      <c r="AA1526" s="204"/>
      <c r="AB1526" s="204"/>
      <c r="AC1526" s="204"/>
    </row>
    <row r="1527" spans="1:29">
      <c r="A1527" s="204"/>
      <c r="B1527" s="204"/>
      <c r="C1527" s="204"/>
      <c r="D1527" s="204"/>
      <c r="E1527" s="204"/>
      <c r="F1527" s="204"/>
      <c r="G1527" s="204"/>
      <c r="H1527" s="204"/>
      <c r="I1527" s="204"/>
      <c r="J1527" s="204"/>
      <c r="K1527" s="204"/>
      <c r="L1527" s="205"/>
      <c r="M1527" s="205"/>
      <c r="N1527" s="204"/>
      <c r="O1527" s="204"/>
      <c r="P1527" s="206"/>
      <c r="Q1527" s="206"/>
      <c r="R1527" s="206"/>
      <c r="S1527" s="206"/>
      <c r="T1527" s="204"/>
      <c r="U1527" s="207"/>
      <c r="V1527" s="204"/>
      <c r="W1527" s="204"/>
      <c r="X1527" s="207"/>
      <c r="Y1527" s="207"/>
      <c r="Z1527" s="204"/>
      <c r="AA1527" s="204"/>
      <c r="AB1527" s="204"/>
      <c r="AC1527" s="204"/>
    </row>
    <row r="1528" spans="1:29">
      <c r="A1528" s="204"/>
      <c r="B1528" s="204"/>
      <c r="C1528" s="204"/>
      <c r="D1528" s="204"/>
      <c r="E1528" s="204"/>
      <c r="F1528" s="204"/>
      <c r="G1528" s="204"/>
      <c r="H1528" s="204"/>
      <c r="I1528" s="204"/>
      <c r="J1528" s="204"/>
      <c r="K1528" s="204"/>
      <c r="L1528" s="205"/>
      <c r="M1528" s="205"/>
      <c r="N1528" s="204"/>
      <c r="O1528" s="204"/>
      <c r="P1528" s="206"/>
      <c r="Q1528" s="206"/>
      <c r="R1528" s="206"/>
      <c r="S1528" s="206"/>
      <c r="T1528" s="204"/>
      <c r="U1528" s="207"/>
      <c r="V1528" s="204"/>
      <c r="W1528" s="204"/>
      <c r="X1528" s="207"/>
      <c r="Y1528" s="207"/>
      <c r="Z1528" s="204"/>
      <c r="AA1528" s="204"/>
      <c r="AB1528" s="204"/>
      <c r="AC1528" s="204"/>
    </row>
    <row r="1529" spans="1:29">
      <c r="A1529" s="204"/>
      <c r="B1529" s="204"/>
      <c r="C1529" s="204"/>
      <c r="D1529" s="204"/>
      <c r="E1529" s="204"/>
      <c r="F1529" s="204"/>
      <c r="G1529" s="204"/>
      <c r="H1529" s="204"/>
      <c r="I1529" s="204"/>
      <c r="J1529" s="204"/>
      <c r="K1529" s="204"/>
      <c r="L1529" s="205"/>
      <c r="M1529" s="205"/>
      <c r="N1529" s="204"/>
      <c r="O1529" s="204"/>
      <c r="P1529" s="206"/>
      <c r="Q1529" s="206"/>
      <c r="R1529" s="206"/>
      <c r="S1529" s="206"/>
      <c r="T1529" s="204"/>
      <c r="U1529" s="207"/>
      <c r="V1529" s="204"/>
      <c r="W1529" s="204"/>
      <c r="X1529" s="207"/>
      <c r="Y1529" s="207"/>
      <c r="Z1529" s="204"/>
      <c r="AA1529" s="204"/>
      <c r="AB1529" s="204"/>
      <c r="AC1529" s="204"/>
    </row>
    <row r="1530" spans="1:29">
      <c r="A1530" s="204"/>
      <c r="B1530" s="204"/>
      <c r="C1530" s="204"/>
      <c r="D1530" s="204"/>
      <c r="E1530" s="204"/>
      <c r="F1530" s="204"/>
      <c r="G1530" s="204"/>
      <c r="H1530" s="204"/>
      <c r="I1530" s="204"/>
      <c r="J1530" s="204"/>
      <c r="K1530" s="204"/>
      <c r="L1530" s="205"/>
      <c r="M1530" s="205"/>
      <c r="N1530" s="204"/>
      <c r="O1530" s="204"/>
      <c r="P1530" s="206"/>
      <c r="Q1530" s="206"/>
      <c r="R1530" s="206"/>
      <c r="S1530" s="206"/>
      <c r="T1530" s="204"/>
      <c r="U1530" s="207"/>
      <c r="V1530" s="204"/>
      <c r="W1530" s="204"/>
      <c r="X1530" s="207"/>
      <c r="Y1530" s="207"/>
      <c r="Z1530" s="204"/>
      <c r="AA1530" s="204"/>
      <c r="AB1530" s="204"/>
      <c r="AC1530" s="204"/>
    </row>
    <row r="1531" spans="1:29">
      <c r="A1531" s="204"/>
      <c r="B1531" s="204"/>
      <c r="C1531" s="204"/>
      <c r="D1531" s="204"/>
      <c r="E1531" s="204"/>
      <c r="F1531" s="204"/>
      <c r="G1531" s="204"/>
      <c r="H1531" s="204"/>
      <c r="I1531" s="204"/>
      <c r="J1531" s="204"/>
      <c r="K1531" s="204"/>
      <c r="L1531" s="205"/>
      <c r="M1531" s="205"/>
      <c r="N1531" s="204"/>
      <c r="O1531" s="204"/>
      <c r="P1531" s="206"/>
      <c r="Q1531" s="206"/>
      <c r="R1531" s="206"/>
      <c r="S1531" s="206"/>
      <c r="T1531" s="204"/>
      <c r="U1531" s="207"/>
      <c r="V1531" s="204"/>
      <c r="W1531" s="204"/>
      <c r="X1531" s="207"/>
      <c r="Y1531" s="207"/>
      <c r="Z1531" s="204"/>
      <c r="AA1531" s="204"/>
      <c r="AB1531" s="204"/>
      <c r="AC1531" s="204"/>
    </row>
    <row r="1532" spans="1:29">
      <c r="A1532" s="204"/>
      <c r="B1532" s="204"/>
      <c r="C1532" s="204"/>
      <c r="D1532" s="204"/>
      <c r="E1532" s="204"/>
      <c r="F1532" s="204"/>
      <c r="G1532" s="204"/>
      <c r="H1532" s="204"/>
      <c r="I1532" s="204"/>
      <c r="J1532" s="204"/>
      <c r="K1532" s="204"/>
      <c r="L1532" s="205"/>
      <c r="M1532" s="205"/>
      <c r="N1532" s="204"/>
      <c r="O1532" s="204"/>
      <c r="P1532" s="206"/>
      <c r="Q1532" s="206"/>
      <c r="R1532" s="206"/>
      <c r="S1532" s="206"/>
      <c r="T1532" s="204"/>
      <c r="U1532" s="207"/>
      <c r="V1532" s="204"/>
      <c r="W1532" s="204"/>
      <c r="X1532" s="207"/>
      <c r="Y1532" s="207"/>
      <c r="Z1532" s="204"/>
      <c r="AA1532" s="204"/>
      <c r="AB1532" s="204"/>
      <c r="AC1532" s="204"/>
    </row>
    <row r="1533" spans="1:29">
      <c r="A1533" s="204"/>
      <c r="B1533" s="204"/>
      <c r="C1533" s="204"/>
      <c r="D1533" s="204"/>
      <c r="E1533" s="204"/>
      <c r="F1533" s="204"/>
      <c r="G1533" s="204"/>
      <c r="H1533" s="204"/>
      <c r="I1533" s="204"/>
      <c r="J1533" s="204"/>
      <c r="K1533" s="204"/>
      <c r="L1533" s="205"/>
      <c r="M1533" s="205"/>
      <c r="N1533" s="204"/>
      <c r="O1533" s="204"/>
      <c r="P1533" s="206"/>
      <c r="Q1533" s="206"/>
      <c r="R1533" s="206"/>
      <c r="S1533" s="206"/>
      <c r="T1533" s="204"/>
      <c r="U1533" s="207"/>
      <c r="V1533" s="204"/>
      <c r="W1533" s="204"/>
      <c r="X1533" s="207"/>
      <c r="Y1533" s="207"/>
      <c r="Z1533" s="204"/>
      <c r="AA1533" s="204"/>
      <c r="AB1533" s="204"/>
      <c r="AC1533" s="204"/>
    </row>
    <row r="1534" spans="1:29">
      <c r="A1534" s="204"/>
      <c r="B1534" s="204"/>
      <c r="C1534" s="204"/>
      <c r="D1534" s="204"/>
      <c r="E1534" s="204"/>
      <c r="F1534" s="204"/>
      <c r="G1534" s="204"/>
      <c r="H1534" s="204"/>
      <c r="I1534" s="204"/>
      <c r="J1534" s="204"/>
      <c r="K1534" s="204"/>
      <c r="L1534" s="205"/>
      <c r="M1534" s="205"/>
      <c r="N1534" s="204"/>
      <c r="O1534" s="204"/>
      <c r="P1534" s="206"/>
      <c r="Q1534" s="206"/>
      <c r="R1534" s="206"/>
      <c r="S1534" s="206"/>
      <c r="T1534" s="204"/>
      <c r="U1534" s="207"/>
      <c r="V1534" s="204"/>
      <c r="W1534" s="204"/>
      <c r="X1534" s="207"/>
      <c r="Y1534" s="207"/>
      <c r="Z1534" s="204"/>
      <c r="AA1534" s="204"/>
      <c r="AB1534" s="204"/>
      <c r="AC1534" s="204"/>
    </row>
    <row r="1535" spans="1:29">
      <c r="A1535" s="204"/>
      <c r="B1535" s="204"/>
      <c r="C1535" s="204"/>
      <c r="D1535" s="204"/>
      <c r="E1535" s="204"/>
      <c r="F1535" s="204"/>
      <c r="G1535" s="204"/>
      <c r="H1535" s="204"/>
      <c r="I1535" s="204"/>
      <c r="J1535" s="204"/>
      <c r="K1535" s="204"/>
      <c r="L1535" s="205"/>
      <c r="M1535" s="205"/>
      <c r="N1535" s="204"/>
      <c r="O1535" s="204"/>
      <c r="P1535" s="206"/>
      <c r="Q1535" s="206"/>
      <c r="R1535" s="206"/>
      <c r="S1535" s="206"/>
      <c r="T1535" s="204"/>
      <c r="U1535" s="207"/>
      <c r="V1535" s="204"/>
      <c r="W1535" s="204"/>
      <c r="X1535" s="207"/>
      <c r="Y1535" s="207"/>
      <c r="Z1535" s="204"/>
      <c r="AA1535" s="204"/>
      <c r="AB1535" s="204"/>
      <c r="AC1535" s="204"/>
    </row>
    <row r="1536" spans="1:29">
      <c r="A1536" s="204"/>
      <c r="B1536" s="204"/>
      <c r="C1536" s="204"/>
      <c r="D1536" s="204"/>
      <c r="E1536" s="204"/>
      <c r="F1536" s="204"/>
      <c r="G1536" s="204"/>
      <c r="H1536" s="204"/>
      <c r="I1536" s="204"/>
      <c r="J1536" s="204"/>
      <c r="K1536" s="204"/>
      <c r="L1536" s="205"/>
      <c r="M1536" s="205"/>
      <c r="N1536" s="204"/>
      <c r="O1536" s="204"/>
      <c r="P1536" s="206"/>
      <c r="Q1536" s="206"/>
      <c r="R1536" s="206"/>
      <c r="S1536" s="206"/>
      <c r="T1536" s="204"/>
      <c r="U1536" s="207"/>
      <c r="V1536" s="204"/>
      <c r="W1536" s="204"/>
      <c r="X1536" s="207"/>
      <c r="Y1536" s="207"/>
      <c r="Z1536" s="204"/>
      <c r="AA1536" s="204"/>
      <c r="AB1536" s="204"/>
      <c r="AC1536" s="204"/>
    </row>
    <row r="1537" spans="1:29">
      <c r="A1537" s="204"/>
      <c r="B1537" s="204"/>
      <c r="C1537" s="204"/>
      <c r="D1537" s="204"/>
      <c r="E1537" s="204"/>
      <c r="F1537" s="204"/>
      <c r="G1537" s="204"/>
      <c r="H1537" s="204"/>
      <c r="I1537" s="204"/>
      <c r="J1537" s="204"/>
      <c r="K1537" s="204"/>
      <c r="L1537" s="205"/>
      <c r="M1537" s="205"/>
      <c r="N1537" s="204"/>
      <c r="O1537" s="204"/>
      <c r="P1537" s="206"/>
      <c r="Q1537" s="206"/>
      <c r="R1537" s="206"/>
      <c r="S1537" s="206"/>
      <c r="T1537" s="204"/>
      <c r="U1537" s="207"/>
      <c r="V1537" s="204"/>
      <c r="W1537" s="204"/>
      <c r="X1537" s="207"/>
      <c r="Y1537" s="207"/>
      <c r="Z1537" s="204"/>
      <c r="AA1537" s="204"/>
      <c r="AB1537" s="204"/>
      <c r="AC1537" s="204"/>
    </row>
    <row r="1538" spans="1:29">
      <c r="A1538" s="204"/>
      <c r="B1538" s="204"/>
      <c r="C1538" s="204"/>
      <c r="D1538" s="204"/>
      <c r="E1538" s="204"/>
      <c r="F1538" s="204"/>
      <c r="G1538" s="204"/>
      <c r="H1538" s="204"/>
      <c r="I1538" s="204"/>
      <c r="J1538" s="204"/>
      <c r="K1538" s="204"/>
      <c r="L1538" s="205"/>
      <c r="M1538" s="205"/>
      <c r="N1538" s="204"/>
      <c r="O1538" s="204"/>
      <c r="P1538" s="206"/>
      <c r="Q1538" s="206"/>
      <c r="R1538" s="206"/>
      <c r="S1538" s="206"/>
      <c r="T1538" s="204"/>
      <c r="U1538" s="207"/>
      <c r="V1538" s="204"/>
      <c r="W1538" s="204"/>
      <c r="X1538" s="207"/>
      <c r="Y1538" s="207"/>
      <c r="Z1538" s="204"/>
      <c r="AA1538" s="204"/>
      <c r="AB1538" s="204"/>
      <c r="AC1538" s="204"/>
    </row>
    <row r="1539" spans="1:29">
      <c r="A1539" s="204"/>
      <c r="B1539" s="204"/>
      <c r="C1539" s="204"/>
      <c r="D1539" s="204"/>
      <c r="E1539" s="204"/>
      <c r="F1539" s="204"/>
      <c r="G1539" s="204"/>
      <c r="H1539" s="204"/>
      <c r="I1539" s="204"/>
      <c r="J1539" s="204"/>
      <c r="K1539" s="204"/>
      <c r="L1539" s="205"/>
      <c r="M1539" s="205"/>
      <c r="N1539" s="204"/>
      <c r="O1539" s="204"/>
      <c r="P1539" s="206"/>
      <c r="Q1539" s="206"/>
      <c r="R1539" s="206"/>
      <c r="S1539" s="206"/>
      <c r="T1539" s="204"/>
      <c r="U1539" s="207"/>
      <c r="V1539" s="204"/>
      <c r="W1539" s="204"/>
      <c r="X1539" s="207"/>
      <c r="Y1539" s="207"/>
      <c r="Z1539" s="204"/>
      <c r="AA1539" s="204"/>
      <c r="AB1539" s="204"/>
      <c r="AC1539" s="204"/>
    </row>
    <row r="1540" spans="1:29">
      <c r="A1540" s="204"/>
      <c r="B1540" s="204"/>
      <c r="C1540" s="204"/>
      <c r="D1540" s="204"/>
      <c r="E1540" s="204"/>
      <c r="F1540" s="204"/>
      <c r="G1540" s="204"/>
      <c r="H1540" s="204"/>
      <c r="I1540" s="204"/>
      <c r="J1540" s="204"/>
      <c r="K1540" s="204"/>
      <c r="L1540" s="205"/>
      <c r="M1540" s="205"/>
      <c r="N1540" s="204"/>
      <c r="O1540" s="204"/>
      <c r="P1540" s="206"/>
      <c r="Q1540" s="206"/>
      <c r="R1540" s="206"/>
      <c r="S1540" s="206"/>
      <c r="T1540" s="204"/>
      <c r="U1540" s="207"/>
      <c r="V1540" s="204"/>
      <c r="W1540" s="204"/>
      <c r="X1540" s="207"/>
      <c r="Y1540" s="207"/>
      <c r="Z1540" s="204"/>
      <c r="AA1540" s="204"/>
      <c r="AB1540" s="204"/>
      <c r="AC1540" s="204"/>
    </row>
    <row r="1541" spans="1:29">
      <c r="A1541" s="204"/>
      <c r="B1541" s="204"/>
      <c r="C1541" s="204"/>
      <c r="D1541" s="204"/>
      <c r="E1541" s="204"/>
      <c r="F1541" s="204"/>
      <c r="G1541" s="204"/>
      <c r="H1541" s="204"/>
      <c r="I1541" s="204"/>
      <c r="J1541" s="204"/>
      <c r="K1541" s="204"/>
      <c r="L1541" s="205"/>
      <c r="M1541" s="205"/>
      <c r="N1541" s="204"/>
      <c r="O1541" s="204"/>
      <c r="P1541" s="206"/>
      <c r="Q1541" s="206"/>
      <c r="R1541" s="206"/>
      <c r="S1541" s="206"/>
      <c r="T1541" s="204"/>
      <c r="U1541" s="207"/>
      <c r="V1541" s="204"/>
      <c r="W1541" s="204"/>
      <c r="X1541" s="207"/>
      <c r="Y1541" s="207"/>
      <c r="Z1541" s="204"/>
      <c r="AA1541" s="204"/>
      <c r="AB1541" s="204"/>
      <c r="AC1541" s="204"/>
    </row>
    <row r="1542" spans="1:29">
      <c r="A1542" s="204"/>
      <c r="B1542" s="204"/>
      <c r="C1542" s="204"/>
      <c r="D1542" s="204"/>
      <c r="E1542" s="204"/>
      <c r="F1542" s="204"/>
      <c r="G1542" s="204"/>
      <c r="H1542" s="204"/>
      <c r="I1542" s="204"/>
      <c r="J1542" s="204"/>
      <c r="K1542" s="204"/>
      <c r="L1542" s="205"/>
      <c r="M1542" s="205"/>
      <c r="N1542" s="204"/>
      <c r="O1542" s="204"/>
      <c r="P1542" s="206"/>
      <c r="Q1542" s="206"/>
      <c r="R1542" s="206"/>
      <c r="S1542" s="206"/>
      <c r="T1542" s="204"/>
      <c r="U1542" s="207"/>
      <c r="V1542" s="204"/>
      <c r="W1542" s="204"/>
      <c r="X1542" s="207"/>
      <c r="Y1542" s="207"/>
      <c r="Z1542" s="204"/>
      <c r="AA1542" s="204"/>
      <c r="AB1542" s="204"/>
      <c r="AC1542" s="204"/>
    </row>
    <row r="1543" spans="1:29">
      <c r="A1543" s="204"/>
      <c r="B1543" s="204"/>
      <c r="C1543" s="204"/>
      <c r="D1543" s="204"/>
      <c r="E1543" s="204"/>
      <c r="F1543" s="204"/>
      <c r="G1543" s="204"/>
      <c r="H1543" s="204"/>
      <c r="I1543" s="204"/>
      <c r="J1543" s="204"/>
      <c r="K1543" s="204"/>
      <c r="L1543" s="205"/>
      <c r="M1543" s="205"/>
      <c r="N1543" s="204"/>
      <c r="O1543" s="204"/>
      <c r="P1543" s="206"/>
      <c r="Q1543" s="206"/>
      <c r="R1543" s="206"/>
      <c r="S1543" s="206"/>
      <c r="T1543" s="204"/>
      <c r="U1543" s="207"/>
      <c r="V1543" s="204"/>
      <c r="W1543" s="204"/>
      <c r="X1543" s="207"/>
      <c r="Y1543" s="207"/>
      <c r="Z1543" s="204"/>
      <c r="AA1543" s="204"/>
      <c r="AB1543" s="204"/>
      <c r="AC1543" s="204"/>
    </row>
    <row r="1544" spans="1:29">
      <c r="A1544" s="204"/>
      <c r="B1544" s="204"/>
      <c r="C1544" s="204"/>
      <c r="D1544" s="204"/>
      <c r="E1544" s="204"/>
      <c r="F1544" s="204"/>
      <c r="G1544" s="204"/>
      <c r="H1544" s="204"/>
      <c r="I1544" s="204"/>
      <c r="J1544" s="204"/>
      <c r="K1544" s="204"/>
      <c r="L1544" s="205"/>
      <c r="M1544" s="205"/>
      <c r="N1544" s="204"/>
      <c r="O1544" s="204"/>
      <c r="P1544" s="206"/>
      <c r="Q1544" s="206"/>
      <c r="R1544" s="206"/>
      <c r="S1544" s="206"/>
      <c r="T1544" s="204"/>
      <c r="U1544" s="207"/>
      <c r="V1544" s="204"/>
      <c r="W1544" s="204"/>
      <c r="X1544" s="207"/>
      <c r="Y1544" s="207"/>
      <c r="Z1544" s="204"/>
      <c r="AA1544" s="204"/>
      <c r="AB1544" s="204"/>
      <c r="AC1544" s="204"/>
    </row>
    <row r="1545" spans="1:29">
      <c r="A1545" s="204"/>
      <c r="B1545" s="204"/>
      <c r="C1545" s="204"/>
      <c r="D1545" s="204"/>
      <c r="E1545" s="204"/>
      <c r="F1545" s="204"/>
      <c r="G1545" s="204"/>
      <c r="H1545" s="204"/>
      <c r="I1545" s="204"/>
      <c r="J1545" s="204"/>
      <c r="K1545" s="204"/>
      <c r="L1545" s="205"/>
      <c r="M1545" s="205"/>
      <c r="N1545" s="204"/>
      <c r="O1545" s="204"/>
      <c r="P1545" s="206"/>
      <c r="Q1545" s="206"/>
      <c r="R1545" s="206"/>
      <c r="S1545" s="206"/>
      <c r="T1545" s="204"/>
      <c r="U1545" s="207"/>
      <c r="V1545" s="204"/>
      <c r="W1545" s="204"/>
      <c r="X1545" s="207"/>
      <c r="Y1545" s="207"/>
      <c r="Z1545" s="204"/>
      <c r="AA1545" s="204"/>
      <c r="AB1545" s="204"/>
      <c r="AC1545" s="204"/>
    </row>
    <row r="1546" spans="1:29">
      <c r="A1546" s="204"/>
      <c r="B1546" s="204"/>
      <c r="C1546" s="204"/>
      <c r="D1546" s="204"/>
      <c r="E1546" s="204"/>
      <c r="F1546" s="204"/>
      <c r="G1546" s="204"/>
      <c r="H1546" s="204"/>
      <c r="I1546" s="204"/>
      <c r="J1546" s="204"/>
      <c r="K1546" s="204"/>
      <c r="L1546" s="205"/>
      <c r="M1546" s="205"/>
      <c r="N1546" s="204"/>
      <c r="O1546" s="204"/>
      <c r="P1546" s="206"/>
      <c r="Q1546" s="206"/>
      <c r="R1546" s="206"/>
      <c r="S1546" s="206"/>
      <c r="T1546" s="204"/>
      <c r="U1546" s="207"/>
      <c r="V1546" s="204"/>
      <c r="W1546" s="204"/>
      <c r="X1546" s="207"/>
      <c r="Y1546" s="207"/>
      <c r="Z1546" s="204"/>
      <c r="AA1546" s="204"/>
      <c r="AB1546" s="204"/>
      <c r="AC1546" s="204"/>
    </row>
    <row r="1547" spans="1:29">
      <c r="A1547" s="204"/>
      <c r="B1547" s="204"/>
      <c r="C1547" s="204"/>
      <c r="D1547" s="204"/>
      <c r="E1547" s="204"/>
      <c r="F1547" s="204"/>
      <c r="G1547" s="204"/>
      <c r="H1547" s="204"/>
      <c r="I1547" s="204"/>
      <c r="J1547" s="204"/>
      <c r="K1547" s="204"/>
      <c r="L1547" s="205"/>
      <c r="M1547" s="205"/>
      <c r="N1547" s="204"/>
      <c r="O1547" s="204"/>
      <c r="P1547" s="206"/>
      <c r="Q1547" s="206"/>
      <c r="R1547" s="206"/>
      <c r="S1547" s="206"/>
      <c r="T1547" s="204"/>
      <c r="U1547" s="207"/>
      <c r="V1547" s="204"/>
      <c r="W1547" s="204"/>
      <c r="X1547" s="207"/>
      <c r="Y1547" s="207"/>
      <c r="Z1547" s="204"/>
      <c r="AA1547" s="204"/>
      <c r="AB1547" s="204"/>
      <c r="AC1547" s="204"/>
    </row>
    <row r="1548" spans="1:29">
      <c r="A1548" s="204"/>
      <c r="B1548" s="204"/>
      <c r="C1548" s="204"/>
      <c r="D1548" s="204"/>
      <c r="E1548" s="204"/>
      <c r="F1548" s="204"/>
      <c r="G1548" s="204"/>
      <c r="H1548" s="204"/>
      <c r="I1548" s="204"/>
      <c r="J1548" s="204"/>
      <c r="K1548" s="204"/>
      <c r="L1548" s="205"/>
      <c r="M1548" s="205"/>
      <c r="N1548" s="204"/>
      <c r="O1548" s="204"/>
      <c r="P1548" s="206"/>
      <c r="Q1548" s="206"/>
      <c r="R1548" s="206"/>
      <c r="S1548" s="206"/>
      <c r="T1548" s="204"/>
      <c r="U1548" s="207"/>
      <c r="V1548" s="204"/>
      <c r="W1548" s="204"/>
      <c r="X1548" s="207"/>
      <c r="Y1548" s="207"/>
      <c r="Z1548" s="204"/>
      <c r="AA1548" s="204"/>
      <c r="AB1548" s="204"/>
      <c r="AC1548" s="204"/>
    </row>
    <row r="1549" spans="1:29">
      <c r="A1549" s="204"/>
      <c r="B1549" s="204"/>
      <c r="C1549" s="204"/>
      <c r="D1549" s="204"/>
      <c r="E1549" s="204"/>
      <c r="F1549" s="204"/>
      <c r="G1549" s="204"/>
      <c r="H1549" s="204"/>
      <c r="I1549" s="204"/>
      <c r="J1549" s="204"/>
      <c r="K1549" s="204"/>
      <c r="L1549" s="205"/>
      <c r="M1549" s="205"/>
      <c r="N1549" s="204"/>
      <c r="O1549" s="204"/>
      <c r="P1549" s="206"/>
      <c r="Q1549" s="206"/>
      <c r="R1549" s="206"/>
      <c r="S1549" s="206"/>
      <c r="T1549" s="204"/>
      <c r="U1549" s="207"/>
      <c r="V1549" s="204"/>
      <c r="W1549" s="204"/>
      <c r="X1549" s="207"/>
      <c r="Y1549" s="207"/>
      <c r="Z1549" s="204"/>
      <c r="AA1549" s="204"/>
      <c r="AB1549" s="204"/>
      <c r="AC1549" s="204"/>
    </row>
    <row r="1550" spans="1:29">
      <c r="A1550" s="204"/>
      <c r="B1550" s="204"/>
      <c r="C1550" s="204"/>
      <c r="D1550" s="204"/>
      <c r="E1550" s="204"/>
      <c r="F1550" s="204"/>
      <c r="G1550" s="204"/>
      <c r="H1550" s="204"/>
      <c r="I1550" s="204"/>
      <c r="J1550" s="204"/>
      <c r="K1550" s="204"/>
      <c r="L1550" s="205"/>
      <c r="M1550" s="205"/>
      <c r="N1550" s="204"/>
      <c r="O1550" s="204"/>
      <c r="P1550" s="206"/>
      <c r="Q1550" s="206"/>
      <c r="R1550" s="206"/>
      <c r="S1550" s="206"/>
      <c r="T1550" s="204"/>
      <c r="U1550" s="207"/>
      <c r="V1550" s="204"/>
      <c r="W1550" s="204"/>
      <c r="X1550" s="207"/>
      <c r="Y1550" s="207"/>
      <c r="Z1550" s="204"/>
      <c r="AA1550" s="204"/>
      <c r="AB1550" s="204"/>
      <c r="AC1550" s="204"/>
    </row>
    <row r="1551" spans="1:29">
      <c r="A1551" s="204"/>
      <c r="B1551" s="204"/>
      <c r="C1551" s="204"/>
      <c r="D1551" s="204"/>
      <c r="E1551" s="204"/>
      <c r="F1551" s="204"/>
      <c r="G1551" s="204"/>
      <c r="H1551" s="204"/>
      <c r="I1551" s="204"/>
      <c r="J1551" s="204"/>
      <c r="K1551" s="204"/>
      <c r="L1551" s="205"/>
      <c r="M1551" s="205"/>
      <c r="N1551" s="204"/>
      <c r="O1551" s="204"/>
      <c r="P1551" s="206"/>
      <c r="Q1551" s="206"/>
      <c r="R1551" s="206"/>
      <c r="S1551" s="206"/>
      <c r="T1551" s="204"/>
      <c r="U1551" s="207"/>
      <c r="V1551" s="204"/>
      <c r="W1551" s="204"/>
      <c r="X1551" s="207"/>
      <c r="Y1551" s="207"/>
      <c r="Z1551" s="204"/>
      <c r="AA1551" s="204"/>
      <c r="AB1551" s="204"/>
      <c r="AC1551" s="204"/>
    </row>
    <row r="1552" spans="1:29">
      <c r="A1552" s="204"/>
      <c r="B1552" s="204"/>
      <c r="C1552" s="204"/>
      <c r="D1552" s="204"/>
      <c r="E1552" s="204"/>
      <c r="F1552" s="204"/>
      <c r="G1552" s="204"/>
      <c r="H1552" s="204"/>
      <c r="I1552" s="204"/>
      <c r="J1552" s="204"/>
      <c r="K1552" s="204"/>
      <c r="L1552" s="205"/>
      <c r="M1552" s="205"/>
      <c r="N1552" s="204"/>
      <c r="O1552" s="204"/>
      <c r="P1552" s="206"/>
      <c r="Q1552" s="206"/>
      <c r="R1552" s="206"/>
      <c r="S1552" s="206"/>
      <c r="T1552" s="204"/>
      <c r="U1552" s="207"/>
      <c r="V1552" s="204"/>
      <c r="W1552" s="204"/>
      <c r="X1552" s="207"/>
      <c r="Y1552" s="207"/>
      <c r="Z1552" s="204"/>
      <c r="AA1552" s="204"/>
      <c r="AB1552" s="204"/>
      <c r="AC1552" s="204"/>
    </row>
    <row r="1553" spans="1:29">
      <c r="A1553" s="204"/>
      <c r="B1553" s="204"/>
      <c r="C1553" s="204"/>
      <c r="D1553" s="204"/>
      <c r="E1553" s="204"/>
      <c r="F1553" s="204"/>
      <c r="G1553" s="204"/>
      <c r="H1553" s="204"/>
      <c r="I1553" s="204"/>
      <c r="J1553" s="204"/>
      <c r="K1553" s="204"/>
      <c r="L1553" s="205"/>
      <c r="M1553" s="205"/>
      <c r="N1553" s="204"/>
      <c r="O1553" s="204"/>
      <c r="P1553" s="206"/>
      <c r="Q1553" s="206"/>
      <c r="R1553" s="206"/>
      <c r="S1553" s="206"/>
      <c r="T1553" s="204"/>
      <c r="U1553" s="207"/>
      <c r="V1553" s="204"/>
      <c r="W1553" s="204"/>
      <c r="X1553" s="207"/>
      <c r="Y1553" s="207"/>
      <c r="Z1553" s="204"/>
      <c r="AA1553" s="204"/>
      <c r="AB1553" s="204"/>
      <c r="AC1553" s="204"/>
    </row>
    <row r="1554" spans="1:29">
      <c r="A1554" s="204"/>
      <c r="B1554" s="204"/>
      <c r="C1554" s="204"/>
      <c r="D1554" s="204"/>
      <c r="E1554" s="204"/>
      <c r="F1554" s="204"/>
      <c r="G1554" s="204"/>
      <c r="H1554" s="204"/>
      <c r="I1554" s="204"/>
      <c r="J1554" s="204"/>
      <c r="K1554" s="204"/>
      <c r="L1554" s="205"/>
      <c r="M1554" s="205"/>
      <c r="N1554" s="204"/>
      <c r="O1554" s="204"/>
      <c r="P1554" s="206"/>
      <c r="Q1554" s="206"/>
      <c r="R1554" s="206"/>
      <c r="S1554" s="206"/>
      <c r="T1554" s="204"/>
      <c r="U1554" s="207"/>
      <c r="V1554" s="204"/>
      <c r="W1554" s="204"/>
      <c r="X1554" s="207"/>
      <c r="Y1554" s="207"/>
      <c r="Z1554" s="204"/>
      <c r="AA1554" s="204"/>
      <c r="AB1554" s="204"/>
      <c r="AC1554" s="204"/>
    </row>
    <row r="1555" spans="1:29">
      <c r="A1555" s="204"/>
      <c r="B1555" s="204"/>
      <c r="C1555" s="204"/>
      <c r="D1555" s="204"/>
      <c r="E1555" s="204"/>
      <c r="F1555" s="204"/>
      <c r="G1555" s="204"/>
      <c r="H1555" s="204"/>
      <c r="I1555" s="204"/>
      <c r="J1555" s="204"/>
      <c r="K1555" s="204"/>
      <c r="L1555" s="205"/>
      <c r="M1555" s="205"/>
      <c r="N1555" s="204"/>
      <c r="O1555" s="204"/>
      <c r="P1555" s="206"/>
      <c r="Q1555" s="206"/>
      <c r="R1555" s="206"/>
      <c r="S1555" s="206"/>
      <c r="T1555" s="204"/>
      <c r="U1555" s="207"/>
      <c r="V1555" s="204"/>
      <c r="W1555" s="204"/>
      <c r="X1555" s="207"/>
      <c r="Y1555" s="207"/>
      <c r="Z1555" s="204"/>
      <c r="AA1555" s="204"/>
      <c r="AB1555" s="204"/>
      <c r="AC1555" s="204"/>
    </row>
    <row r="1556" spans="1:29">
      <c r="A1556" s="204"/>
      <c r="B1556" s="204"/>
      <c r="C1556" s="204"/>
      <c r="D1556" s="204"/>
      <c r="E1556" s="204"/>
      <c r="F1556" s="204"/>
      <c r="G1556" s="204"/>
      <c r="H1556" s="204"/>
      <c r="I1556" s="204"/>
      <c r="J1556" s="204"/>
      <c r="K1556" s="204"/>
      <c r="L1556" s="205"/>
      <c r="M1556" s="205"/>
      <c r="N1556" s="204"/>
      <c r="O1556" s="204"/>
      <c r="P1556" s="206"/>
      <c r="Q1556" s="206"/>
      <c r="R1556" s="206"/>
      <c r="S1556" s="206"/>
      <c r="T1556" s="204"/>
      <c r="U1556" s="207"/>
      <c r="V1556" s="204"/>
      <c r="W1556" s="204"/>
      <c r="X1556" s="207"/>
      <c r="Y1556" s="207"/>
      <c r="Z1556" s="204"/>
      <c r="AA1556" s="204"/>
      <c r="AB1556" s="204"/>
      <c r="AC1556" s="204"/>
    </row>
    <row r="1557" spans="1:29">
      <c r="A1557" s="204"/>
      <c r="B1557" s="204"/>
      <c r="C1557" s="204"/>
      <c r="D1557" s="204"/>
      <c r="E1557" s="204"/>
      <c r="F1557" s="204"/>
      <c r="G1557" s="204"/>
      <c r="H1557" s="204"/>
      <c r="I1557" s="204"/>
      <c r="J1557" s="204"/>
      <c r="K1557" s="204"/>
      <c r="L1557" s="205"/>
      <c r="M1557" s="205"/>
      <c r="N1557" s="204"/>
      <c r="O1557" s="204"/>
      <c r="P1557" s="206"/>
      <c r="Q1557" s="206"/>
      <c r="R1557" s="206"/>
      <c r="S1557" s="206"/>
      <c r="T1557" s="204"/>
      <c r="U1557" s="207"/>
      <c r="V1557" s="204"/>
      <c r="W1557" s="204"/>
      <c r="X1557" s="207"/>
      <c r="Y1557" s="207"/>
      <c r="Z1557" s="204"/>
      <c r="AA1557" s="204"/>
      <c r="AB1557" s="204"/>
      <c r="AC1557" s="204"/>
    </row>
    <row r="1558" spans="1:29">
      <c r="A1558" s="204"/>
      <c r="B1558" s="204"/>
      <c r="C1558" s="204"/>
      <c r="D1558" s="204"/>
      <c r="E1558" s="204"/>
      <c r="F1558" s="204"/>
      <c r="G1558" s="204"/>
      <c r="H1558" s="204"/>
      <c r="I1558" s="204"/>
      <c r="J1558" s="204"/>
      <c r="K1558" s="204"/>
      <c r="L1558" s="205"/>
      <c r="M1558" s="205"/>
      <c r="N1558" s="204"/>
      <c r="O1558" s="204"/>
      <c r="P1558" s="206"/>
      <c r="Q1558" s="206"/>
      <c r="R1558" s="206"/>
      <c r="S1558" s="206"/>
      <c r="T1558" s="204"/>
      <c r="U1558" s="207"/>
      <c r="V1558" s="204"/>
      <c r="W1558" s="204"/>
      <c r="X1558" s="207"/>
      <c r="Y1558" s="207"/>
      <c r="Z1558" s="204"/>
      <c r="AA1558" s="204"/>
      <c r="AB1558" s="204"/>
      <c r="AC1558" s="204"/>
    </row>
    <row r="1559" spans="1:29">
      <c r="A1559" s="204"/>
      <c r="B1559" s="204"/>
      <c r="C1559" s="204"/>
      <c r="D1559" s="204"/>
      <c r="E1559" s="204"/>
      <c r="F1559" s="204"/>
      <c r="G1559" s="204"/>
      <c r="H1559" s="204"/>
      <c r="I1559" s="204"/>
      <c r="J1559" s="204"/>
      <c r="K1559" s="204"/>
      <c r="L1559" s="205"/>
      <c r="M1559" s="205"/>
      <c r="N1559" s="204"/>
      <c r="O1559" s="204"/>
      <c r="P1559" s="206"/>
      <c r="Q1559" s="206"/>
      <c r="R1559" s="206"/>
      <c r="S1559" s="206"/>
      <c r="T1559" s="204"/>
      <c r="U1559" s="207"/>
      <c r="V1559" s="204"/>
      <c r="W1559" s="204"/>
      <c r="X1559" s="207"/>
      <c r="Y1559" s="207"/>
      <c r="Z1559" s="204"/>
      <c r="AA1559" s="204"/>
      <c r="AB1559" s="204"/>
      <c r="AC1559" s="204"/>
    </row>
    <row r="1560" spans="1:29">
      <c r="A1560" s="204"/>
      <c r="B1560" s="204"/>
      <c r="C1560" s="204"/>
      <c r="D1560" s="204"/>
      <c r="E1560" s="204"/>
      <c r="F1560" s="204"/>
      <c r="G1560" s="204"/>
      <c r="H1560" s="204"/>
      <c r="I1560" s="204"/>
      <c r="J1560" s="204"/>
      <c r="K1560" s="204"/>
      <c r="L1560" s="205"/>
      <c r="M1560" s="205"/>
      <c r="N1560" s="204"/>
      <c r="O1560" s="204"/>
      <c r="P1560" s="206"/>
      <c r="Q1560" s="206"/>
      <c r="R1560" s="206"/>
      <c r="S1560" s="206"/>
      <c r="T1560" s="204"/>
      <c r="U1560" s="207"/>
      <c r="V1560" s="204"/>
      <c r="W1560" s="204"/>
      <c r="X1560" s="207"/>
      <c r="Y1560" s="207"/>
      <c r="Z1560" s="204"/>
      <c r="AA1560" s="204"/>
      <c r="AB1560" s="204"/>
      <c r="AC1560" s="204"/>
    </row>
    <row r="1561" spans="1:29">
      <c r="A1561" s="204"/>
      <c r="B1561" s="204"/>
      <c r="C1561" s="204"/>
      <c r="D1561" s="204"/>
      <c r="E1561" s="204"/>
      <c r="F1561" s="204"/>
      <c r="G1561" s="204"/>
      <c r="H1561" s="204"/>
      <c r="I1561" s="204"/>
      <c r="J1561" s="204"/>
      <c r="K1561" s="204"/>
      <c r="L1561" s="205"/>
      <c r="M1561" s="205"/>
      <c r="N1561" s="204"/>
      <c r="O1561" s="204"/>
      <c r="P1561" s="206"/>
      <c r="Q1561" s="206"/>
      <c r="R1561" s="206"/>
      <c r="S1561" s="206"/>
      <c r="T1561" s="204"/>
      <c r="U1561" s="207"/>
      <c r="V1561" s="204"/>
      <c r="W1561" s="204"/>
      <c r="X1561" s="207"/>
      <c r="Y1561" s="207"/>
      <c r="Z1561" s="204"/>
      <c r="AA1561" s="204"/>
      <c r="AB1561" s="204"/>
      <c r="AC1561" s="204"/>
    </row>
    <row r="1562" spans="1:29">
      <c r="A1562" s="204"/>
      <c r="B1562" s="204"/>
      <c r="C1562" s="204"/>
      <c r="D1562" s="204"/>
      <c r="E1562" s="204"/>
      <c r="F1562" s="204"/>
      <c r="G1562" s="204"/>
      <c r="H1562" s="204"/>
      <c r="I1562" s="204"/>
      <c r="J1562" s="204"/>
      <c r="K1562" s="204"/>
      <c r="L1562" s="205"/>
      <c r="M1562" s="205"/>
      <c r="N1562" s="204"/>
      <c r="O1562" s="204"/>
      <c r="P1562" s="206"/>
      <c r="Q1562" s="206"/>
      <c r="R1562" s="206"/>
      <c r="S1562" s="206"/>
      <c r="T1562" s="204"/>
      <c r="U1562" s="207"/>
      <c r="V1562" s="204"/>
      <c r="W1562" s="204"/>
      <c r="X1562" s="207"/>
      <c r="Y1562" s="207"/>
      <c r="Z1562" s="204"/>
      <c r="AA1562" s="204"/>
      <c r="AB1562" s="204"/>
      <c r="AC1562" s="204"/>
    </row>
    <row r="1563" spans="1:29">
      <c r="A1563" s="204"/>
      <c r="B1563" s="204"/>
      <c r="C1563" s="204"/>
      <c r="D1563" s="204"/>
      <c r="E1563" s="204"/>
      <c r="F1563" s="204"/>
      <c r="G1563" s="204"/>
      <c r="H1563" s="204"/>
      <c r="I1563" s="204"/>
      <c r="J1563" s="204"/>
      <c r="K1563" s="204"/>
      <c r="L1563" s="205"/>
      <c r="M1563" s="205"/>
      <c r="N1563" s="204"/>
      <c r="O1563" s="204"/>
      <c r="P1563" s="206"/>
      <c r="Q1563" s="206"/>
      <c r="R1563" s="206"/>
      <c r="S1563" s="206"/>
      <c r="T1563" s="204"/>
      <c r="U1563" s="207"/>
      <c r="V1563" s="204"/>
      <c r="W1563" s="204"/>
      <c r="X1563" s="207"/>
      <c r="Y1563" s="207"/>
      <c r="Z1563" s="204"/>
      <c r="AA1563" s="204"/>
      <c r="AB1563" s="204"/>
      <c r="AC1563" s="204"/>
    </row>
    <row r="1564" spans="1:29">
      <c r="A1564" s="204"/>
      <c r="B1564" s="204"/>
      <c r="C1564" s="204"/>
      <c r="D1564" s="204"/>
      <c r="E1564" s="204"/>
      <c r="F1564" s="204"/>
      <c r="G1564" s="204"/>
      <c r="H1564" s="204"/>
      <c r="I1564" s="204"/>
      <c r="J1564" s="204"/>
      <c r="K1564" s="204"/>
      <c r="L1564" s="205"/>
      <c r="M1564" s="205"/>
      <c r="N1564" s="204"/>
      <c r="O1564" s="204"/>
      <c r="P1564" s="206"/>
      <c r="Q1564" s="206"/>
      <c r="R1564" s="206"/>
      <c r="S1564" s="206"/>
      <c r="T1564" s="204"/>
      <c r="U1564" s="207"/>
      <c r="V1564" s="204"/>
      <c r="W1564" s="204"/>
      <c r="X1564" s="207"/>
      <c r="Y1564" s="207"/>
      <c r="Z1564" s="204"/>
      <c r="AA1564" s="204"/>
      <c r="AB1564" s="204"/>
      <c r="AC1564" s="204"/>
    </row>
    <row r="1565" spans="1:29">
      <c r="A1565" s="204"/>
      <c r="B1565" s="204"/>
      <c r="C1565" s="204"/>
      <c r="D1565" s="204"/>
      <c r="E1565" s="204"/>
      <c r="F1565" s="204"/>
      <c r="G1565" s="204"/>
      <c r="H1565" s="204"/>
      <c r="I1565" s="204"/>
      <c r="J1565" s="204"/>
      <c r="K1565" s="204"/>
      <c r="L1565" s="205"/>
      <c r="M1565" s="205"/>
      <c r="N1565" s="204"/>
      <c r="O1565" s="204"/>
      <c r="P1565" s="206"/>
      <c r="Q1565" s="206"/>
      <c r="R1565" s="206"/>
      <c r="S1565" s="206"/>
      <c r="T1565" s="204"/>
      <c r="U1565" s="207"/>
      <c r="V1565" s="204"/>
      <c r="W1565" s="204"/>
      <c r="X1565" s="207"/>
      <c r="Y1565" s="207"/>
      <c r="Z1565" s="204"/>
      <c r="AA1565" s="204"/>
      <c r="AB1565" s="204"/>
      <c r="AC1565" s="204"/>
    </row>
    <row r="1566" spans="1:29">
      <c r="A1566" s="204"/>
      <c r="B1566" s="204"/>
      <c r="C1566" s="204"/>
      <c r="D1566" s="204"/>
      <c r="E1566" s="204"/>
      <c r="F1566" s="204"/>
      <c r="G1566" s="204"/>
      <c r="H1566" s="204"/>
      <c r="I1566" s="204"/>
      <c r="J1566" s="204"/>
      <c r="K1566" s="204"/>
      <c r="L1566" s="205"/>
      <c r="M1566" s="205"/>
      <c r="N1566" s="204"/>
      <c r="O1566" s="204"/>
      <c r="P1566" s="206"/>
      <c r="Q1566" s="206"/>
      <c r="R1566" s="206"/>
      <c r="S1566" s="206"/>
      <c r="T1566" s="204"/>
      <c r="U1566" s="207"/>
      <c r="V1566" s="204"/>
      <c r="W1566" s="204"/>
      <c r="X1566" s="207"/>
      <c r="Y1566" s="207"/>
      <c r="Z1566" s="204"/>
      <c r="AA1566" s="204"/>
      <c r="AB1566" s="204"/>
      <c r="AC1566" s="204"/>
    </row>
    <row r="1567" spans="1:29">
      <c r="A1567" s="204"/>
      <c r="B1567" s="204"/>
      <c r="C1567" s="204"/>
      <c r="D1567" s="204"/>
      <c r="E1567" s="204"/>
      <c r="F1567" s="204"/>
      <c r="G1567" s="204"/>
      <c r="H1567" s="204"/>
      <c r="I1567" s="204"/>
      <c r="J1567" s="204"/>
      <c r="K1567" s="204"/>
      <c r="L1567" s="205"/>
      <c r="M1567" s="205"/>
      <c r="N1567" s="204"/>
      <c r="O1567" s="204"/>
      <c r="P1567" s="206"/>
      <c r="Q1567" s="206"/>
      <c r="R1567" s="206"/>
      <c r="S1567" s="206"/>
      <c r="T1567" s="204"/>
      <c r="U1567" s="207"/>
      <c r="V1567" s="204"/>
      <c r="W1567" s="204"/>
      <c r="X1567" s="207"/>
      <c r="Y1567" s="207"/>
      <c r="Z1567" s="204"/>
      <c r="AA1567" s="204"/>
      <c r="AB1567" s="204"/>
      <c r="AC1567" s="204"/>
    </row>
    <row r="1568" spans="1:29">
      <c r="A1568" s="204"/>
      <c r="B1568" s="204"/>
      <c r="C1568" s="204"/>
      <c r="D1568" s="204"/>
      <c r="E1568" s="204"/>
      <c r="F1568" s="204"/>
      <c r="G1568" s="204"/>
      <c r="H1568" s="204"/>
      <c r="I1568" s="204"/>
      <c r="J1568" s="204"/>
      <c r="K1568" s="204"/>
      <c r="L1568" s="205"/>
      <c r="M1568" s="205"/>
      <c r="N1568" s="204"/>
      <c r="O1568" s="204"/>
      <c r="P1568" s="206"/>
      <c r="Q1568" s="206"/>
      <c r="R1568" s="206"/>
      <c r="S1568" s="206"/>
      <c r="T1568" s="204"/>
      <c r="U1568" s="207"/>
      <c r="V1568" s="204"/>
      <c r="W1568" s="204"/>
      <c r="X1568" s="207"/>
      <c r="Y1568" s="207"/>
      <c r="Z1568" s="204"/>
      <c r="AA1568" s="204"/>
      <c r="AB1568" s="204"/>
      <c r="AC1568" s="204"/>
    </row>
    <row r="1569" spans="1:29">
      <c r="A1569" s="204"/>
      <c r="B1569" s="204"/>
      <c r="C1569" s="204"/>
      <c r="D1569" s="204"/>
      <c r="E1569" s="204"/>
      <c r="F1569" s="204"/>
      <c r="G1569" s="204"/>
      <c r="H1569" s="204"/>
      <c r="I1569" s="204"/>
      <c r="J1569" s="204"/>
      <c r="K1569" s="204"/>
      <c r="L1569" s="205"/>
      <c r="M1569" s="205"/>
      <c r="N1569" s="204"/>
      <c r="O1569" s="204"/>
      <c r="P1569" s="206"/>
      <c r="Q1569" s="206"/>
      <c r="R1569" s="206"/>
      <c r="S1569" s="206"/>
      <c r="T1569" s="204"/>
      <c r="U1569" s="207"/>
      <c r="V1569" s="204"/>
      <c r="W1569" s="204"/>
      <c r="X1569" s="207"/>
      <c r="Y1569" s="207"/>
      <c r="Z1569" s="204"/>
      <c r="AA1569" s="204"/>
      <c r="AB1569" s="204"/>
      <c r="AC1569" s="204"/>
    </row>
    <row r="1570" spans="1:29">
      <c r="A1570" s="204"/>
      <c r="B1570" s="204"/>
      <c r="C1570" s="204"/>
      <c r="D1570" s="204"/>
      <c r="E1570" s="204"/>
      <c r="F1570" s="204"/>
      <c r="G1570" s="204"/>
      <c r="H1570" s="204"/>
      <c r="I1570" s="204"/>
      <c r="J1570" s="204"/>
      <c r="K1570" s="204"/>
      <c r="L1570" s="205"/>
      <c r="M1570" s="205"/>
      <c r="N1570" s="204"/>
      <c r="O1570" s="204"/>
      <c r="P1570" s="206"/>
      <c r="Q1570" s="206"/>
      <c r="R1570" s="206"/>
      <c r="S1570" s="206"/>
      <c r="T1570" s="204"/>
      <c r="U1570" s="207"/>
      <c r="V1570" s="204"/>
      <c r="W1570" s="204"/>
      <c r="X1570" s="207"/>
      <c r="Y1570" s="207"/>
      <c r="Z1570" s="204"/>
      <c r="AA1570" s="204"/>
      <c r="AB1570" s="204"/>
      <c r="AC1570" s="204"/>
    </row>
    <row r="1571" spans="1:29">
      <c r="A1571" s="204"/>
      <c r="B1571" s="204"/>
      <c r="C1571" s="204"/>
      <c r="D1571" s="204"/>
      <c r="E1571" s="204"/>
      <c r="F1571" s="204"/>
      <c r="G1571" s="204"/>
      <c r="H1571" s="204"/>
      <c r="I1571" s="204"/>
      <c r="J1571" s="204"/>
      <c r="K1571" s="204"/>
      <c r="L1571" s="205"/>
      <c r="M1571" s="205"/>
      <c r="N1571" s="204"/>
      <c r="O1571" s="204"/>
      <c r="P1571" s="206"/>
      <c r="Q1571" s="206"/>
      <c r="R1571" s="206"/>
      <c r="S1571" s="206"/>
      <c r="T1571" s="204"/>
      <c r="U1571" s="207"/>
      <c r="V1571" s="204"/>
      <c r="W1571" s="204"/>
      <c r="X1571" s="207"/>
      <c r="Y1571" s="207"/>
      <c r="Z1571" s="204"/>
      <c r="AA1571" s="204"/>
      <c r="AB1571" s="204"/>
      <c r="AC1571" s="204"/>
    </row>
    <row r="1572" spans="1:29">
      <c r="A1572" s="204"/>
      <c r="B1572" s="204"/>
      <c r="C1572" s="204"/>
      <c r="D1572" s="204"/>
      <c r="E1572" s="204"/>
      <c r="F1572" s="204"/>
      <c r="G1572" s="204"/>
      <c r="H1572" s="204"/>
      <c r="I1572" s="204"/>
      <c r="J1572" s="204"/>
      <c r="K1572" s="204"/>
      <c r="L1572" s="205"/>
      <c r="M1572" s="205"/>
      <c r="N1572" s="204"/>
      <c r="O1572" s="204"/>
      <c r="P1572" s="206"/>
      <c r="Q1572" s="206"/>
      <c r="R1572" s="206"/>
      <c r="S1572" s="206"/>
      <c r="T1572" s="204"/>
      <c r="U1572" s="207"/>
      <c r="V1572" s="204"/>
      <c r="W1572" s="204"/>
      <c r="X1572" s="207"/>
      <c r="Y1572" s="207"/>
      <c r="Z1572" s="204"/>
      <c r="AA1572" s="204"/>
      <c r="AB1572" s="204"/>
      <c r="AC1572" s="204"/>
    </row>
    <row r="1573" spans="1:29">
      <c r="A1573" s="204"/>
      <c r="B1573" s="204"/>
      <c r="C1573" s="204"/>
      <c r="D1573" s="204"/>
      <c r="E1573" s="204"/>
      <c r="F1573" s="204"/>
      <c r="G1573" s="204"/>
      <c r="H1573" s="204"/>
      <c r="I1573" s="204"/>
      <c r="J1573" s="204"/>
      <c r="K1573" s="204"/>
      <c r="L1573" s="205"/>
      <c r="M1573" s="205"/>
      <c r="N1573" s="204"/>
      <c r="O1573" s="204"/>
      <c r="P1573" s="206"/>
      <c r="Q1573" s="206"/>
      <c r="R1573" s="206"/>
      <c r="S1573" s="206"/>
      <c r="T1573" s="204"/>
      <c r="U1573" s="207"/>
      <c r="V1573" s="204"/>
      <c r="W1573" s="204"/>
      <c r="X1573" s="207"/>
      <c r="Y1573" s="207"/>
      <c r="Z1573" s="204"/>
      <c r="AA1573" s="204"/>
      <c r="AB1573" s="204"/>
      <c r="AC1573" s="204"/>
    </row>
    <row r="1574" spans="1:29">
      <c r="A1574" s="204"/>
      <c r="B1574" s="204"/>
      <c r="C1574" s="204"/>
      <c r="D1574" s="204"/>
      <c r="E1574" s="204"/>
      <c r="F1574" s="204"/>
      <c r="G1574" s="204"/>
      <c r="H1574" s="204"/>
      <c r="I1574" s="204"/>
      <c r="J1574" s="204"/>
      <c r="K1574" s="204"/>
      <c r="L1574" s="205"/>
      <c r="M1574" s="205"/>
      <c r="N1574" s="204"/>
      <c r="O1574" s="204"/>
      <c r="P1574" s="206"/>
      <c r="Q1574" s="206"/>
      <c r="R1574" s="206"/>
      <c r="S1574" s="206"/>
      <c r="T1574" s="204"/>
      <c r="U1574" s="207"/>
      <c r="V1574" s="204"/>
      <c r="W1574" s="204"/>
      <c r="X1574" s="207"/>
      <c r="Y1574" s="207"/>
      <c r="Z1574" s="204"/>
      <c r="AA1574" s="204"/>
      <c r="AB1574" s="204"/>
      <c r="AC1574" s="204"/>
    </row>
    <row r="1575" spans="1:29">
      <c r="A1575" s="204"/>
      <c r="B1575" s="204"/>
      <c r="C1575" s="204"/>
      <c r="D1575" s="204"/>
      <c r="E1575" s="204"/>
      <c r="F1575" s="204"/>
      <c r="G1575" s="204"/>
      <c r="H1575" s="204"/>
      <c r="I1575" s="204"/>
      <c r="J1575" s="204"/>
      <c r="K1575" s="204"/>
      <c r="L1575" s="205"/>
      <c r="M1575" s="205"/>
      <c r="N1575" s="204"/>
      <c r="O1575" s="204"/>
      <c r="P1575" s="206"/>
      <c r="Q1575" s="206"/>
      <c r="R1575" s="206"/>
      <c r="S1575" s="206"/>
      <c r="T1575" s="204"/>
      <c r="U1575" s="207"/>
      <c r="V1575" s="204"/>
      <c r="W1575" s="204"/>
      <c r="X1575" s="207"/>
      <c r="Y1575" s="207"/>
      <c r="Z1575" s="204"/>
      <c r="AA1575" s="204"/>
      <c r="AB1575" s="204"/>
      <c r="AC1575" s="204"/>
    </row>
    <row r="1576" spans="1:29">
      <c r="A1576" s="204"/>
      <c r="B1576" s="204"/>
      <c r="C1576" s="204"/>
      <c r="D1576" s="204"/>
      <c r="E1576" s="204"/>
      <c r="F1576" s="204"/>
      <c r="G1576" s="204"/>
      <c r="H1576" s="204"/>
      <c r="I1576" s="204"/>
      <c r="J1576" s="204"/>
      <c r="K1576" s="204"/>
      <c r="L1576" s="205"/>
      <c r="M1576" s="205"/>
      <c r="N1576" s="204"/>
      <c r="O1576" s="204"/>
      <c r="P1576" s="206"/>
      <c r="Q1576" s="206"/>
      <c r="R1576" s="206"/>
      <c r="S1576" s="206"/>
      <c r="T1576" s="204"/>
      <c r="U1576" s="207"/>
      <c r="V1576" s="204"/>
      <c r="W1576" s="204"/>
      <c r="X1576" s="207"/>
      <c r="Y1576" s="207"/>
      <c r="Z1576" s="204"/>
      <c r="AA1576" s="204"/>
      <c r="AB1576" s="204"/>
      <c r="AC1576" s="204"/>
    </row>
    <row r="1577" spans="1:29">
      <c r="A1577" s="204"/>
      <c r="B1577" s="204"/>
      <c r="C1577" s="204"/>
      <c r="D1577" s="204"/>
      <c r="E1577" s="204"/>
      <c r="F1577" s="204"/>
      <c r="G1577" s="204"/>
      <c r="H1577" s="204"/>
      <c r="I1577" s="204"/>
      <c r="J1577" s="204"/>
      <c r="K1577" s="204"/>
      <c r="L1577" s="205"/>
      <c r="M1577" s="205"/>
      <c r="N1577" s="204"/>
      <c r="O1577" s="204"/>
      <c r="P1577" s="206"/>
      <c r="Q1577" s="206"/>
      <c r="R1577" s="206"/>
      <c r="S1577" s="206"/>
      <c r="T1577" s="204"/>
      <c r="U1577" s="207"/>
      <c r="V1577" s="204"/>
      <c r="W1577" s="204"/>
      <c r="X1577" s="207"/>
      <c r="Y1577" s="207"/>
      <c r="Z1577" s="204"/>
      <c r="AA1577" s="204"/>
      <c r="AB1577" s="204"/>
      <c r="AC1577" s="204"/>
    </row>
    <row r="1578" spans="1:29">
      <c r="A1578" s="204"/>
      <c r="B1578" s="204"/>
      <c r="C1578" s="204"/>
      <c r="D1578" s="204"/>
      <c r="E1578" s="204"/>
      <c r="F1578" s="204"/>
      <c r="G1578" s="204"/>
      <c r="H1578" s="204"/>
      <c r="I1578" s="204"/>
      <c r="J1578" s="204"/>
      <c r="K1578" s="204"/>
      <c r="L1578" s="205"/>
      <c r="M1578" s="205"/>
      <c r="N1578" s="204"/>
      <c r="O1578" s="204"/>
      <c r="P1578" s="206"/>
      <c r="Q1578" s="206"/>
      <c r="R1578" s="206"/>
      <c r="S1578" s="206"/>
      <c r="T1578" s="204"/>
      <c r="U1578" s="207"/>
      <c r="V1578" s="204"/>
      <c r="W1578" s="204"/>
      <c r="X1578" s="207"/>
      <c r="Y1578" s="207"/>
      <c r="Z1578" s="204"/>
      <c r="AA1578" s="204"/>
      <c r="AB1578" s="204"/>
      <c r="AC1578" s="204"/>
    </row>
    <row r="1579" spans="1:29">
      <c r="A1579" s="204"/>
      <c r="B1579" s="204"/>
      <c r="C1579" s="204"/>
      <c r="D1579" s="204"/>
      <c r="E1579" s="204"/>
      <c r="F1579" s="204"/>
      <c r="G1579" s="204"/>
      <c r="H1579" s="204"/>
      <c r="I1579" s="204"/>
      <c r="J1579" s="204"/>
      <c r="K1579" s="204"/>
      <c r="L1579" s="205"/>
      <c r="M1579" s="205"/>
      <c r="N1579" s="204"/>
      <c r="O1579" s="204"/>
      <c r="P1579" s="206"/>
      <c r="Q1579" s="206"/>
      <c r="R1579" s="206"/>
      <c r="S1579" s="206"/>
      <c r="T1579" s="204"/>
      <c r="U1579" s="207"/>
      <c r="V1579" s="204"/>
      <c r="W1579" s="204"/>
      <c r="X1579" s="207"/>
      <c r="Y1579" s="207"/>
      <c r="Z1579" s="204"/>
      <c r="AA1579" s="204"/>
      <c r="AB1579" s="204"/>
      <c r="AC1579" s="204"/>
    </row>
    <row r="1580" spans="1:29">
      <c r="A1580" s="204"/>
      <c r="B1580" s="204"/>
      <c r="C1580" s="204"/>
      <c r="D1580" s="204"/>
      <c r="E1580" s="204"/>
      <c r="F1580" s="204"/>
      <c r="G1580" s="204"/>
      <c r="H1580" s="204"/>
      <c r="I1580" s="204"/>
      <c r="J1580" s="204"/>
      <c r="K1580" s="204"/>
      <c r="L1580" s="205"/>
      <c r="M1580" s="205"/>
      <c r="N1580" s="204"/>
      <c r="O1580" s="204"/>
      <c r="P1580" s="206"/>
      <c r="Q1580" s="206"/>
      <c r="R1580" s="206"/>
      <c r="S1580" s="206"/>
      <c r="T1580" s="204"/>
      <c r="U1580" s="207"/>
      <c r="V1580" s="204"/>
      <c r="W1580" s="204"/>
      <c r="X1580" s="207"/>
      <c r="Y1580" s="207"/>
      <c r="Z1580" s="204"/>
      <c r="AA1580" s="204"/>
      <c r="AB1580" s="204"/>
      <c r="AC1580" s="204"/>
    </row>
    <row r="1581" spans="1:29">
      <c r="A1581" s="204"/>
      <c r="B1581" s="204"/>
      <c r="C1581" s="204"/>
      <c r="D1581" s="204"/>
      <c r="E1581" s="204"/>
      <c r="F1581" s="204"/>
      <c r="G1581" s="204"/>
      <c r="H1581" s="204"/>
      <c r="I1581" s="204"/>
      <c r="J1581" s="204"/>
      <c r="K1581" s="204"/>
      <c r="L1581" s="205"/>
      <c r="M1581" s="205"/>
      <c r="N1581" s="204"/>
      <c r="O1581" s="204"/>
      <c r="P1581" s="206"/>
      <c r="Q1581" s="206"/>
      <c r="R1581" s="206"/>
      <c r="S1581" s="206"/>
      <c r="T1581" s="204"/>
      <c r="U1581" s="207"/>
      <c r="V1581" s="204"/>
      <c r="W1581" s="204"/>
      <c r="X1581" s="207"/>
      <c r="Y1581" s="207"/>
      <c r="Z1581" s="204"/>
      <c r="AA1581" s="204"/>
      <c r="AB1581" s="204"/>
      <c r="AC1581" s="204"/>
    </row>
    <row r="1582" spans="1:29">
      <c r="A1582" s="204"/>
      <c r="B1582" s="204"/>
      <c r="C1582" s="204"/>
      <c r="D1582" s="204"/>
      <c r="E1582" s="204"/>
      <c r="F1582" s="204"/>
      <c r="G1582" s="204"/>
      <c r="H1582" s="204"/>
      <c r="I1582" s="204"/>
      <c r="J1582" s="204"/>
      <c r="K1582" s="204"/>
      <c r="L1582" s="205"/>
      <c r="M1582" s="205"/>
      <c r="N1582" s="204"/>
      <c r="O1582" s="204"/>
      <c r="P1582" s="206"/>
      <c r="Q1582" s="206"/>
      <c r="R1582" s="206"/>
      <c r="S1582" s="206"/>
      <c r="T1582" s="204"/>
      <c r="U1582" s="207"/>
      <c r="V1582" s="204"/>
      <c r="W1582" s="204"/>
      <c r="X1582" s="207"/>
      <c r="Y1582" s="207"/>
      <c r="Z1582" s="204"/>
      <c r="AA1582" s="204"/>
      <c r="AB1582" s="204"/>
      <c r="AC1582" s="204"/>
    </row>
    <row r="1583" spans="1:29">
      <c r="A1583" s="204"/>
      <c r="B1583" s="204"/>
      <c r="C1583" s="204"/>
      <c r="D1583" s="204"/>
      <c r="E1583" s="204"/>
      <c r="F1583" s="204"/>
      <c r="G1583" s="204"/>
      <c r="H1583" s="204"/>
      <c r="I1583" s="204"/>
      <c r="J1583" s="204"/>
      <c r="K1583" s="204"/>
      <c r="L1583" s="205"/>
      <c r="M1583" s="205"/>
      <c r="N1583" s="204"/>
      <c r="O1583" s="204"/>
      <c r="P1583" s="206"/>
      <c r="Q1583" s="206"/>
      <c r="R1583" s="206"/>
      <c r="S1583" s="206"/>
      <c r="T1583" s="204"/>
      <c r="U1583" s="207"/>
      <c r="V1583" s="204"/>
      <c r="W1583" s="204"/>
      <c r="X1583" s="207"/>
      <c r="Y1583" s="207"/>
      <c r="Z1583" s="204"/>
      <c r="AA1583" s="204"/>
      <c r="AB1583" s="204"/>
      <c r="AC1583" s="204"/>
    </row>
    <row r="1584" spans="1:29">
      <c r="A1584" s="204"/>
      <c r="B1584" s="204"/>
      <c r="C1584" s="204"/>
      <c r="D1584" s="204"/>
      <c r="E1584" s="204"/>
      <c r="F1584" s="204"/>
      <c r="G1584" s="204"/>
      <c r="H1584" s="204"/>
      <c r="I1584" s="204"/>
      <c r="J1584" s="204"/>
      <c r="K1584" s="204"/>
      <c r="L1584" s="205"/>
      <c r="M1584" s="205"/>
      <c r="N1584" s="204"/>
      <c r="O1584" s="204"/>
      <c r="P1584" s="206"/>
      <c r="Q1584" s="206"/>
      <c r="R1584" s="206"/>
      <c r="S1584" s="206"/>
      <c r="T1584" s="204"/>
      <c r="U1584" s="207"/>
      <c r="V1584" s="204"/>
      <c r="W1584" s="204"/>
      <c r="X1584" s="207"/>
      <c r="Y1584" s="207"/>
      <c r="Z1584" s="204"/>
      <c r="AA1584" s="204"/>
      <c r="AB1584" s="204"/>
      <c r="AC1584" s="204"/>
    </row>
    <row r="1585" spans="1:29">
      <c r="A1585" s="204"/>
      <c r="B1585" s="204"/>
      <c r="C1585" s="204"/>
      <c r="D1585" s="204"/>
      <c r="E1585" s="204"/>
      <c r="F1585" s="204"/>
      <c r="G1585" s="204"/>
      <c r="H1585" s="204"/>
      <c r="I1585" s="204"/>
      <c r="J1585" s="204"/>
      <c r="K1585" s="204"/>
      <c r="L1585" s="205"/>
      <c r="M1585" s="205"/>
      <c r="N1585" s="204"/>
      <c r="O1585" s="204"/>
      <c r="P1585" s="206"/>
      <c r="Q1585" s="206"/>
      <c r="R1585" s="206"/>
      <c r="S1585" s="206"/>
      <c r="T1585" s="204"/>
      <c r="U1585" s="207"/>
      <c r="V1585" s="204"/>
      <c r="W1585" s="204"/>
      <c r="X1585" s="207"/>
      <c r="Y1585" s="207"/>
      <c r="Z1585" s="204"/>
      <c r="AA1585" s="204"/>
      <c r="AB1585" s="204"/>
      <c r="AC1585" s="204"/>
    </row>
    <row r="1586" spans="1:29">
      <c r="A1586" s="204"/>
      <c r="B1586" s="204"/>
      <c r="C1586" s="204"/>
      <c r="D1586" s="204"/>
      <c r="E1586" s="204"/>
      <c r="F1586" s="204"/>
      <c r="G1586" s="204"/>
      <c r="H1586" s="204"/>
      <c r="I1586" s="204"/>
      <c r="J1586" s="204"/>
      <c r="K1586" s="204"/>
      <c r="L1586" s="205"/>
      <c r="M1586" s="205"/>
      <c r="N1586" s="204"/>
      <c r="O1586" s="204"/>
      <c r="P1586" s="206"/>
      <c r="Q1586" s="206"/>
      <c r="R1586" s="206"/>
      <c r="S1586" s="206"/>
      <c r="T1586" s="204"/>
      <c r="U1586" s="207"/>
      <c r="V1586" s="204"/>
      <c r="W1586" s="204"/>
      <c r="X1586" s="207"/>
      <c r="Y1586" s="207"/>
      <c r="Z1586" s="204"/>
      <c r="AA1586" s="204"/>
      <c r="AB1586" s="204"/>
      <c r="AC1586" s="204"/>
    </row>
    <row r="1587" spans="1:29">
      <c r="A1587" s="204"/>
      <c r="B1587" s="204"/>
      <c r="C1587" s="204"/>
      <c r="D1587" s="204"/>
      <c r="E1587" s="204"/>
      <c r="F1587" s="204"/>
      <c r="G1587" s="204"/>
      <c r="H1587" s="204"/>
      <c r="I1587" s="204"/>
      <c r="J1587" s="204"/>
      <c r="K1587" s="204"/>
      <c r="L1587" s="205"/>
      <c r="M1587" s="205"/>
      <c r="N1587" s="204"/>
      <c r="O1587" s="204"/>
      <c r="P1587" s="206"/>
      <c r="Q1587" s="206"/>
      <c r="R1587" s="206"/>
      <c r="S1587" s="206"/>
      <c r="T1587" s="204"/>
      <c r="U1587" s="207"/>
      <c r="V1587" s="204"/>
      <c r="W1587" s="204"/>
      <c r="X1587" s="207"/>
      <c r="Y1587" s="207"/>
      <c r="Z1587" s="204"/>
      <c r="AA1587" s="204"/>
      <c r="AB1587" s="204"/>
      <c r="AC1587" s="204"/>
    </row>
    <row r="1588" spans="1:29">
      <c r="A1588" s="204"/>
      <c r="B1588" s="204"/>
      <c r="C1588" s="204"/>
      <c r="D1588" s="204"/>
      <c r="E1588" s="204"/>
      <c r="F1588" s="204"/>
      <c r="G1588" s="204"/>
      <c r="H1588" s="204"/>
      <c r="I1588" s="204"/>
      <c r="J1588" s="204"/>
      <c r="K1588" s="204"/>
      <c r="L1588" s="205"/>
      <c r="M1588" s="205"/>
      <c r="N1588" s="204"/>
      <c r="O1588" s="204"/>
      <c r="P1588" s="206"/>
      <c r="Q1588" s="206"/>
      <c r="R1588" s="206"/>
      <c r="S1588" s="206"/>
      <c r="T1588" s="204"/>
      <c r="U1588" s="207"/>
      <c r="V1588" s="204"/>
      <c r="W1588" s="204"/>
      <c r="X1588" s="207"/>
      <c r="Y1588" s="207"/>
      <c r="Z1588" s="204"/>
      <c r="AA1588" s="204"/>
      <c r="AB1588" s="204"/>
      <c r="AC1588" s="204"/>
    </row>
    <row r="1589" spans="1:29">
      <c r="A1589" s="204"/>
      <c r="B1589" s="204"/>
      <c r="C1589" s="204"/>
      <c r="D1589" s="204"/>
      <c r="E1589" s="204"/>
      <c r="F1589" s="204"/>
      <c r="G1589" s="204"/>
      <c r="H1589" s="204"/>
      <c r="I1589" s="204"/>
      <c r="J1589" s="204"/>
      <c r="K1589" s="204"/>
      <c r="L1589" s="205"/>
      <c r="M1589" s="205"/>
      <c r="N1589" s="204"/>
      <c r="O1589" s="204"/>
      <c r="P1589" s="206"/>
      <c r="Q1589" s="206"/>
      <c r="R1589" s="206"/>
      <c r="S1589" s="206"/>
      <c r="T1589" s="204"/>
      <c r="U1589" s="207"/>
      <c r="V1589" s="204"/>
      <c r="W1589" s="204"/>
      <c r="X1589" s="207"/>
      <c r="Y1589" s="207"/>
      <c r="Z1589" s="204"/>
      <c r="AA1589" s="204"/>
      <c r="AB1589" s="204"/>
      <c r="AC1589" s="204"/>
    </row>
    <row r="1590" spans="1:29">
      <c r="A1590" s="204"/>
      <c r="B1590" s="204"/>
      <c r="C1590" s="204"/>
      <c r="D1590" s="204"/>
      <c r="E1590" s="204"/>
      <c r="F1590" s="204"/>
      <c r="G1590" s="204"/>
      <c r="H1590" s="204"/>
      <c r="I1590" s="204"/>
      <c r="J1590" s="204"/>
      <c r="K1590" s="204"/>
      <c r="L1590" s="205"/>
      <c r="M1590" s="205"/>
      <c r="N1590" s="204"/>
      <c r="O1590" s="204"/>
      <c r="P1590" s="206"/>
      <c r="Q1590" s="206"/>
      <c r="R1590" s="206"/>
      <c r="S1590" s="206"/>
      <c r="T1590" s="204"/>
      <c r="U1590" s="207"/>
      <c r="V1590" s="204"/>
      <c r="W1590" s="204"/>
      <c r="X1590" s="207"/>
      <c r="Y1590" s="207"/>
      <c r="Z1590" s="204"/>
      <c r="AA1590" s="204"/>
      <c r="AB1590" s="204"/>
      <c r="AC1590" s="204"/>
    </row>
    <row r="1591" spans="1:29">
      <c r="A1591" s="204"/>
      <c r="B1591" s="204"/>
      <c r="C1591" s="204"/>
      <c r="D1591" s="204"/>
      <c r="E1591" s="204"/>
      <c r="F1591" s="204"/>
      <c r="G1591" s="204"/>
      <c r="H1591" s="204"/>
      <c r="I1591" s="204"/>
      <c r="J1591" s="204"/>
      <c r="K1591" s="204"/>
      <c r="L1591" s="205"/>
      <c r="M1591" s="205"/>
      <c r="N1591" s="204"/>
      <c r="O1591" s="204"/>
      <c r="P1591" s="206"/>
      <c r="Q1591" s="206"/>
      <c r="R1591" s="206"/>
      <c r="S1591" s="206"/>
      <c r="T1591" s="204"/>
      <c r="U1591" s="207"/>
      <c r="V1591" s="204"/>
      <c r="W1591" s="204"/>
      <c r="X1591" s="207"/>
      <c r="Y1591" s="207"/>
      <c r="Z1591" s="204"/>
      <c r="AA1591" s="204"/>
      <c r="AB1591" s="204"/>
      <c r="AC1591" s="204"/>
    </row>
    <row r="1592" spans="1:29">
      <c r="A1592" s="204"/>
      <c r="B1592" s="204"/>
      <c r="C1592" s="204"/>
      <c r="D1592" s="204"/>
      <c r="E1592" s="204"/>
      <c r="F1592" s="204"/>
      <c r="G1592" s="204"/>
      <c r="H1592" s="204"/>
      <c r="I1592" s="204"/>
      <c r="J1592" s="204"/>
      <c r="K1592" s="204"/>
      <c r="L1592" s="205"/>
      <c r="M1592" s="205"/>
      <c r="N1592" s="204"/>
      <c r="O1592" s="204"/>
      <c r="P1592" s="206"/>
      <c r="Q1592" s="206"/>
      <c r="R1592" s="206"/>
      <c r="S1592" s="206"/>
      <c r="T1592" s="204"/>
      <c r="U1592" s="207"/>
      <c r="V1592" s="204"/>
      <c r="W1592" s="204"/>
      <c r="X1592" s="207"/>
      <c r="Y1592" s="207"/>
      <c r="Z1592" s="204"/>
      <c r="AA1592" s="204"/>
      <c r="AB1592" s="204"/>
      <c r="AC1592" s="204"/>
    </row>
    <row r="1593" spans="1:29">
      <c r="A1593" s="204"/>
      <c r="B1593" s="204"/>
      <c r="C1593" s="204"/>
      <c r="D1593" s="204"/>
      <c r="E1593" s="204"/>
      <c r="F1593" s="204"/>
      <c r="G1593" s="204"/>
      <c r="H1593" s="204"/>
      <c r="I1593" s="204"/>
      <c r="J1593" s="204"/>
      <c r="K1593" s="204"/>
      <c r="L1593" s="205"/>
      <c r="M1593" s="205"/>
      <c r="N1593" s="204"/>
      <c r="O1593" s="204"/>
      <c r="P1593" s="206"/>
      <c r="Q1593" s="206"/>
      <c r="R1593" s="206"/>
      <c r="S1593" s="206"/>
      <c r="T1593" s="204"/>
      <c r="U1593" s="207"/>
      <c r="V1593" s="204"/>
      <c r="W1593" s="204"/>
      <c r="X1593" s="207"/>
      <c r="Y1593" s="207"/>
      <c r="Z1593" s="204"/>
      <c r="AA1593" s="204"/>
      <c r="AB1593" s="204"/>
      <c r="AC1593" s="204"/>
    </row>
    <row r="1594" spans="1:29">
      <c r="A1594" s="204"/>
      <c r="B1594" s="204"/>
      <c r="C1594" s="204"/>
      <c r="D1594" s="204"/>
      <c r="E1594" s="204"/>
      <c r="F1594" s="204"/>
      <c r="G1594" s="204"/>
      <c r="H1594" s="204"/>
      <c r="I1594" s="204"/>
      <c r="J1594" s="204"/>
      <c r="K1594" s="204"/>
      <c r="L1594" s="205"/>
      <c r="M1594" s="205"/>
      <c r="N1594" s="204"/>
      <c r="O1594" s="204"/>
      <c r="P1594" s="206"/>
      <c r="Q1594" s="206"/>
      <c r="R1594" s="206"/>
      <c r="S1594" s="206"/>
      <c r="T1594" s="204"/>
      <c r="U1594" s="207"/>
      <c r="V1594" s="204"/>
      <c r="W1594" s="204"/>
      <c r="X1594" s="207"/>
      <c r="Y1594" s="207"/>
      <c r="Z1594" s="204"/>
      <c r="AA1594" s="204"/>
      <c r="AB1594" s="204"/>
      <c r="AC1594" s="204"/>
    </row>
    <row r="1595" spans="1:29">
      <c r="A1595" s="204"/>
      <c r="B1595" s="204"/>
      <c r="C1595" s="204"/>
      <c r="D1595" s="204"/>
      <c r="E1595" s="204"/>
      <c r="F1595" s="204"/>
      <c r="G1595" s="204"/>
      <c r="H1595" s="204"/>
      <c r="I1595" s="204"/>
      <c r="J1595" s="204"/>
      <c r="K1595" s="204"/>
      <c r="L1595" s="205"/>
      <c r="M1595" s="205"/>
      <c r="N1595" s="204"/>
      <c r="O1595" s="204"/>
      <c r="P1595" s="206"/>
      <c r="Q1595" s="206"/>
      <c r="R1595" s="206"/>
      <c r="S1595" s="206"/>
      <c r="T1595" s="204"/>
      <c r="U1595" s="207"/>
      <c r="V1595" s="204"/>
      <c r="W1595" s="204"/>
      <c r="X1595" s="207"/>
      <c r="Y1595" s="207"/>
      <c r="Z1595" s="204"/>
      <c r="AA1595" s="204"/>
      <c r="AB1595" s="204"/>
      <c r="AC1595" s="204"/>
    </row>
    <row r="1596" spans="1:29">
      <c r="A1596" s="204"/>
      <c r="B1596" s="204"/>
      <c r="C1596" s="204"/>
      <c r="D1596" s="204"/>
      <c r="E1596" s="204"/>
      <c r="F1596" s="204"/>
      <c r="G1596" s="204"/>
      <c r="H1596" s="204"/>
      <c r="I1596" s="204"/>
      <c r="J1596" s="204"/>
      <c r="K1596" s="204"/>
      <c r="L1596" s="205"/>
      <c r="M1596" s="205"/>
      <c r="N1596" s="204"/>
      <c r="O1596" s="204"/>
      <c r="P1596" s="206"/>
      <c r="Q1596" s="206"/>
      <c r="R1596" s="206"/>
      <c r="S1596" s="206"/>
      <c r="T1596" s="204"/>
      <c r="U1596" s="207"/>
      <c r="V1596" s="204"/>
      <c r="W1596" s="204"/>
      <c r="X1596" s="207"/>
      <c r="Y1596" s="207"/>
      <c r="Z1596" s="204"/>
      <c r="AA1596" s="204"/>
      <c r="AB1596" s="204"/>
      <c r="AC1596" s="204"/>
    </row>
    <row r="1597" spans="1:29">
      <c r="A1597" s="204"/>
      <c r="B1597" s="204"/>
      <c r="C1597" s="204"/>
      <c r="D1597" s="204"/>
      <c r="E1597" s="204"/>
      <c r="F1597" s="204"/>
      <c r="G1597" s="204"/>
      <c r="H1597" s="204"/>
      <c r="I1597" s="204"/>
      <c r="J1597" s="204"/>
      <c r="K1597" s="204"/>
      <c r="L1597" s="205"/>
      <c r="M1597" s="205"/>
      <c r="N1597" s="204"/>
      <c r="O1597" s="204"/>
      <c r="P1597" s="206"/>
      <c r="Q1597" s="206"/>
      <c r="R1597" s="206"/>
      <c r="S1597" s="206"/>
      <c r="T1597" s="204"/>
      <c r="U1597" s="207"/>
      <c r="V1597" s="204"/>
      <c r="W1597" s="204"/>
      <c r="X1597" s="207"/>
      <c r="Y1597" s="207"/>
      <c r="Z1597" s="204"/>
      <c r="AA1597" s="204"/>
      <c r="AB1597" s="204"/>
      <c r="AC1597" s="204"/>
    </row>
    <row r="1598" spans="1:29">
      <c r="A1598" s="204"/>
      <c r="B1598" s="204"/>
      <c r="C1598" s="204"/>
      <c r="D1598" s="204"/>
      <c r="E1598" s="204"/>
      <c r="F1598" s="204"/>
      <c r="G1598" s="204"/>
      <c r="H1598" s="204"/>
      <c r="I1598" s="204"/>
      <c r="J1598" s="204"/>
      <c r="K1598" s="204"/>
      <c r="L1598" s="205"/>
      <c r="M1598" s="205"/>
      <c r="N1598" s="204"/>
      <c r="O1598" s="204"/>
      <c r="P1598" s="206"/>
      <c r="Q1598" s="206"/>
      <c r="R1598" s="206"/>
      <c r="S1598" s="206"/>
      <c r="T1598" s="204"/>
      <c r="U1598" s="207"/>
      <c r="V1598" s="204"/>
      <c r="W1598" s="204"/>
      <c r="X1598" s="207"/>
      <c r="Y1598" s="207"/>
      <c r="Z1598" s="204"/>
      <c r="AA1598" s="204"/>
      <c r="AB1598" s="204"/>
      <c r="AC1598" s="204"/>
    </row>
    <row r="1599" spans="1:29">
      <c r="A1599" s="204"/>
      <c r="B1599" s="204"/>
      <c r="C1599" s="204"/>
      <c r="D1599" s="204"/>
      <c r="E1599" s="204"/>
      <c r="F1599" s="204"/>
      <c r="G1599" s="204"/>
      <c r="H1599" s="204"/>
      <c r="I1599" s="204"/>
      <c r="J1599" s="204"/>
      <c r="K1599" s="204"/>
      <c r="L1599" s="205"/>
      <c r="M1599" s="205"/>
      <c r="N1599" s="204"/>
      <c r="O1599" s="204"/>
      <c r="P1599" s="206"/>
      <c r="Q1599" s="206"/>
      <c r="R1599" s="206"/>
      <c r="S1599" s="206"/>
      <c r="T1599" s="204"/>
      <c r="U1599" s="207"/>
      <c r="V1599" s="204"/>
      <c r="W1599" s="204"/>
      <c r="X1599" s="207"/>
      <c r="Y1599" s="207"/>
      <c r="Z1599" s="204"/>
      <c r="AA1599" s="204"/>
      <c r="AB1599" s="204"/>
      <c r="AC1599" s="204"/>
    </row>
    <row r="1600" spans="1:29">
      <c r="A1600" s="204"/>
      <c r="B1600" s="204"/>
      <c r="C1600" s="204"/>
      <c r="D1600" s="204"/>
      <c r="E1600" s="204"/>
      <c r="F1600" s="204"/>
      <c r="G1600" s="204"/>
      <c r="H1600" s="204"/>
      <c r="I1600" s="204"/>
      <c r="J1600" s="204"/>
      <c r="K1600" s="204"/>
      <c r="L1600" s="205"/>
      <c r="M1600" s="205"/>
      <c r="N1600" s="204"/>
      <c r="O1600" s="204"/>
      <c r="P1600" s="206"/>
      <c r="Q1600" s="206"/>
      <c r="R1600" s="206"/>
      <c r="S1600" s="206"/>
      <c r="T1600" s="204"/>
      <c r="U1600" s="207"/>
      <c r="V1600" s="204"/>
      <c r="W1600" s="204"/>
      <c r="X1600" s="207"/>
      <c r="Y1600" s="207"/>
      <c r="Z1600" s="204"/>
      <c r="AA1600" s="204"/>
      <c r="AB1600" s="204"/>
      <c r="AC1600" s="204"/>
    </row>
    <row r="1601" spans="1:29">
      <c r="A1601" s="204"/>
      <c r="B1601" s="204"/>
      <c r="C1601" s="204"/>
      <c r="D1601" s="204"/>
      <c r="E1601" s="204"/>
      <c r="F1601" s="204"/>
      <c r="G1601" s="204"/>
      <c r="H1601" s="204"/>
      <c r="I1601" s="204"/>
      <c r="J1601" s="204"/>
      <c r="K1601" s="204"/>
      <c r="L1601" s="205"/>
      <c r="M1601" s="205"/>
      <c r="N1601" s="204"/>
      <c r="O1601" s="204"/>
      <c r="P1601" s="206"/>
      <c r="Q1601" s="206"/>
      <c r="R1601" s="206"/>
      <c r="S1601" s="206"/>
      <c r="T1601" s="204"/>
      <c r="U1601" s="207"/>
      <c r="V1601" s="204"/>
      <c r="W1601" s="204"/>
      <c r="X1601" s="207"/>
      <c r="Y1601" s="207"/>
      <c r="Z1601" s="204"/>
      <c r="AA1601" s="204"/>
      <c r="AB1601" s="204"/>
      <c r="AC1601" s="204"/>
    </row>
    <row r="1602" spans="1:29">
      <c r="A1602" s="204"/>
      <c r="B1602" s="204"/>
      <c r="C1602" s="204"/>
      <c r="D1602" s="204"/>
      <c r="E1602" s="204"/>
      <c r="F1602" s="204"/>
      <c r="G1602" s="204"/>
      <c r="H1602" s="204"/>
      <c r="I1602" s="204"/>
      <c r="J1602" s="204"/>
      <c r="K1602" s="204"/>
      <c r="L1602" s="205"/>
      <c r="M1602" s="205"/>
      <c r="N1602" s="204"/>
      <c r="O1602" s="204"/>
      <c r="P1602" s="206"/>
      <c r="Q1602" s="206"/>
      <c r="R1602" s="206"/>
      <c r="S1602" s="206"/>
      <c r="T1602" s="204"/>
      <c r="U1602" s="207"/>
      <c r="V1602" s="204"/>
      <c r="W1602" s="204"/>
      <c r="X1602" s="207"/>
      <c r="Y1602" s="207"/>
      <c r="Z1602" s="204"/>
      <c r="AA1602" s="204"/>
      <c r="AB1602" s="204"/>
      <c r="AC1602" s="204"/>
    </row>
    <row r="1603" spans="1:29">
      <c r="A1603" s="204"/>
      <c r="B1603" s="204"/>
      <c r="C1603" s="204"/>
      <c r="D1603" s="204"/>
      <c r="E1603" s="204"/>
      <c r="F1603" s="204"/>
      <c r="G1603" s="204"/>
      <c r="H1603" s="204"/>
      <c r="I1603" s="204"/>
      <c r="J1603" s="204"/>
      <c r="K1603" s="204"/>
      <c r="L1603" s="205"/>
      <c r="M1603" s="205"/>
      <c r="N1603" s="204"/>
      <c r="O1603" s="204"/>
      <c r="P1603" s="206"/>
      <c r="Q1603" s="206"/>
      <c r="R1603" s="206"/>
      <c r="S1603" s="206"/>
      <c r="T1603" s="204"/>
      <c r="U1603" s="207"/>
      <c r="V1603" s="204"/>
      <c r="W1603" s="204"/>
      <c r="X1603" s="207"/>
      <c r="Y1603" s="207"/>
      <c r="Z1603" s="204"/>
      <c r="AA1603" s="204"/>
      <c r="AB1603" s="204"/>
      <c r="AC1603" s="204"/>
    </row>
    <row r="1604" spans="1:29">
      <c r="A1604" s="204"/>
      <c r="B1604" s="204"/>
      <c r="C1604" s="204"/>
      <c r="D1604" s="204"/>
      <c r="E1604" s="204"/>
      <c r="F1604" s="204"/>
      <c r="G1604" s="204"/>
      <c r="H1604" s="204"/>
      <c r="I1604" s="204"/>
      <c r="J1604" s="204"/>
      <c r="K1604" s="204"/>
      <c r="L1604" s="205"/>
      <c r="M1604" s="205"/>
      <c r="N1604" s="204"/>
      <c r="O1604" s="204"/>
      <c r="P1604" s="206"/>
      <c r="Q1604" s="206"/>
      <c r="R1604" s="206"/>
      <c r="S1604" s="206"/>
      <c r="T1604" s="204"/>
      <c r="U1604" s="207"/>
      <c r="V1604" s="204"/>
      <c r="W1604" s="204"/>
      <c r="X1604" s="207"/>
      <c r="Y1604" s="207"/>
      <c r="Z1604" s="204"/>
      <c r="AA1604" s="204"/>
      <c r="AB1604" s="204"/>
      <c r="AC1604" s="204"/>
    </row>
    <row r="1605" spans="1:29">
      <c r="A1605" s="204"/>
      <c r="B1605" s="204"/>
      <c r="C1605" s="204"/>
      <c r="D1605" s="204"/>
      <c r="E1605" s="204"/>
      <c r="F1605" s="204"/>
      <c r="G1605" s="204"/>
      <c r="H1605" s="204"/>
      <c r="I1605" s="204"/>
      <c r="J1605" s="204"/>
      <c r="K1605" s="204"/>
      <c r="L1605" s="205"/>
      <c r="M1605" s="205"/>
      <c r="N1605" s="204"/>
      <c r="O1605" s="204"/>
      <c r="P1605" s="206"/>
      <c r="Q1605" s="206"/>
      <c r="R1605" s="206"/>
      <c r="S1605" s="206"/>
      <c r="T1605" s="204"/>
      <c r="U1605" s="207"/>
      <c r="V1605" s="204"/>
      <c r="W1605" s="204"/>
      <c r="X1605" s="207"/>
      <c r="Y1605" s="207"/>
      <c r="Z1605" s="204"/>
      <c r="AA1605" s="204"/>
      <c r="AB1605" s="204"/>
      <c r="AC1605" s="204"/>
    </row>
    <row r="1606" spans="1:29">
      <c r="A1606" s="204"/>
      <c r="B1606" s="204"/>
      <c r="C1606" s="204"/>
      <c r="D1606" s="204"/>
      <c r="E1606" s="204"/>
      <c r="F1606" s="204"/>
      <c r="G1606" s="204"/>
      <c r="H1606" s="204"/>
      <c r="I1606" s="204"/>
      <c r="J1606" s="204"/>
      <c r="K1606" s="204"/>
      <c r="L1606" s="205"/>
      <c r="M1606" s="205"/>
      <c r="N1606" s="204"/>
      <c r="O1606" s="204"/>
      <c r="P1606" s="206"/>
      <c r="Q1606" s="206"/>
      <c r="R1606" s="206"/>
      <c r="S1606" s="206"/>
      <c r="T1606" s="204"/>
      <c r="U1606" s="207"/>
      <c r="V1606" s="204"/>
      <c r="W1606" s="204"/>
      <c r="X1606" s="207"/>
      <c r="Y1606" s="207"/>
      <c r="Z1606" s="204"/>
      <c r="AA1606" s="204"/>
      <c r="AB1606" s="204"/>
      <c r="AC1606" s="204"/>
    </row>
    <row r="1607" spans="1:29">
      <c r="A1607" s="204"/>
      <c r="B1607" s="204"/>
      <c r="C1607" s="204"/>
      <c r="D1607" s="204"/>
      <c r="E1607" s="204"/>
      <c r="F1607" s="204"/>
      <c r="G1607" s="204"/>
      <c r="H1607" s="204"/>
      <c r="I1607" s="204"/>
      <c r="J1607" s="204"/>
      <c r="K1607" s="204"/>
      <c r="L1607" s="205"/>
      <c r="M1607" s="205"/>
      <c r="N1607" s="204"/>
      <c r="O1607" s="204"/>
      <c r="P1607" s="206"/>
      <c r="Q1607" s="206"/>
      <c r="R1607" s="206"/>
      <c r="S1607" s="206"/>
      <c r="T1607" s="204"/>
      <c r="U1607" s="207"/>
      <c r="V1607" s="204"/>
      <c r="W1607" s="204"/>
      <c r="X1607" s="207"/>
      <c r="Y1607" s="207"/>
      <c r="Z1607" s="204"/>
      <c r="AA1607" s="204"/>
      <c r="AB1607" s="204"/>
      <c r="AC1607" s="204"/>
    </row>
    <row r="1608" spans="1:29">
      <c r="A1608" s="204"/>
      <c r="B1608" s="204"/>
      <c r="C1608" s="204"/>
      <c r="D1608" s="204"/>
      <c r="E1608" s="204"/>
      <c r="F1608" s="204"/>
      <c r="G1608" s="204"/>
      <c r="H1608" s="204"/>
      <c r="I1608" s="204"/>
      <c r="J1608" s="204"/>
      <c r="K1608" s="204"/>
      <c r="L1608" s="205"/>
      <c r="M1608" s="205"/>
      <c r="N1608" s="204"/>
      <c r="O1608" s="204"/>
      <c r="P1608" s="206"/>
      <c r="Q1608" s="206"/>
      <c r="R1608" s="206"/>
      <c r="S1608" s="206"/>
      <c r="T1608" s="204"/>
      <c r="U1608" s="207"/>
      <c r="V1608" s="204"/>
      <c r="W1608" s="204"/>
      <c r="X1608" s="207"/>
      <c r="Y1608" s="207"/>
      <c r="Z1608" s="204"/>
      <c r="AA1608" s="204"/>
      <c r="AB1608" s="204"/>
      <c r="AC1608" s="204"/>
    </row>
    <row r="1609" spans="1:29">
      <c r="A1609" s="204"/>
      <c r="B1609" s="204"/>
      <c r="C1609" s="204"/>
      <c r="D1609" s="204"/>
      <c r="E1609" s="204"/>
      <c r="F1609" s="204"/>
      <c r="G1609" s="204"/>
      <c r="H1609" s="204"/>
      <c r="I1609" s="204"/>
      <c r="J1609" s="204"/>
      <c r="K1609" s="204"/>
      <c r="L1609" s="205"/>
      <c r="M1609" s="205"/>
      <c r="N1609" s="204"/>
      <c r="O1609" s="204"/>
      <c r="P1609" s="206"/>
      <c r="Q1609" s="206"/>
      <c r="R1609" s="206"/>
      <c r="S1609" s="206"/>
      <c r="T1609" s="204"/>
      <c r="U1609" s="207"/>
      <c r="V1609" s="204"/>
      <c r="W1609" s="204"/>
      <c r="X1609" s="207"/>
      <c r="Y1609" s="207"/>
      <c r="Z1609" s="204"/>
      <c r="AA1609" s="204"/>
      <c r="AB1609" s="204"/>
      <c r="AC1609" s="204"/>
    </row>
    <row r="1610" spans="1:29">
      <c r="A1610" s="204"/>
      <c r="B1610" s="204"/>
      <c r="C1610" s="204"/>
      <c r="D1610" s="204"/>
      <c r="E1610" s="204"/>
      <c r="F1610" s="204"/>
      <c r="G1610" s="204"/>
      <c r="H1610" s="204"/>
      <c r="I1610" s="204"/>
      <c r="J1610" s="204"/>
      <c r="K1610" s="204"/>
      <c r="L1610" s="205"/>
      <c r="M1610" s="205"/>
      <c r="N1610" s="204"/>
      <c r="O1610" s="204"/>
      <c r="P1610" s="206"/>
      <c r="Q1610" s="206"/>
      <c r="R1610" s="206"/>
      <c r="S1610" s="206"/>
      <c r="T1610" s="204"/>
      <c r="U1610" s="207"/>
      <c r="V1610" s="204"/>
      <c r="W1610" s="204"/>
      <c r="X1610" s="207"/>
      <c r="Y1610" s="207"/>
      <c r="Z1610" s="204"/>
      <c r="AA1610" s="204"/>
      <c r="AB1610" s="204"/>
      <c r="AC1610" s="204"/>
    </row>
    <row r="1611" spans="1:29">
      <c r="A1611" s="204"/>
      <c r="B1611" s="204"/>
      <c r="C1611" s="204"/>
      <c r="D1611" s="204"/>
      <c r="E1611" s="204"/>
      <c r="F1611" s="204"/>
      <c r="G1611" s="204"/>
      <c r="H1611" s="204"/>
      <c r="I1611" s="204"/>
      <c r="J1611" s="204"/>
      <c r="K1611" s="204"/>
      <c r="L1611" s="205"/>
      <c r="M1611" s="205"/>
      <c r="N1611" s="204"/>
      <c r="O1611" s="204"/>
      <c r="P1611" s="206"/>
      <c r="Q1611" s="206"/>
      <c r="R1611" s="206"/>
      <c r="S1611" s="206"/>
      <c r="T1611" s="204"/>
      <c r="U1611" s="207"/>
      <c r="V1611" s="204"/>
      <c r="W1611" s="204"/>
      <c r="X1611" s="207"/>
      <c r="Y1611" s="207"/>
      <c r="Z1611" s="204"/>
      <c r="AA1611" s="204"/>
      <c r="AB1611" s="204"/>
      <c r="AC1611" s="204"/>
    </row>
    <row r="1612" spans="1:29">
      <c r="A1612" s="204"/>
      <c r="B1612" s="204"/>
      <c r="C1612" s="204"/>
      <c r="D1612" s="204"/>
      <c r="E1612" s="204"/>
      <c r="F1612" s="204"/>
      <c r="G1612" s="204"/>
      <c r="H1612" s="204"/>
      <c r="I1612" s="204"/>
      <c r="J1612" s="204"/>
      <c r="K1612" s="204"/>
      <c r="L1612" s="205"/>
      <c r="M1612" s="205"/>
      <c r="N1612" s="204"/>
      <c r="O1612" s="204"/>
      <c r="P1612" s="206"/>
      <c r="Q1612" s="206"/>
      <c r="R1612" s="206"/>
      <c r="S1612" s="206"/>
      <c r="T1612" s="204"/>
      <c r="U1612" s="207"/>
      <c r="V1612" s="204"/>
      <c r="W1612" s="204"/>
      <c r="X1612" s="207"/>
      <c r="Y1612" s="207"/>
      <c r="Z1612" s="204"/>
      <c r="AA1612" s="204"/>
      <c r="AB1612" s="204"/>
      <c r="AC1612" s="204"/>
    </row>
    <row r="1613" spans="1:29">
      <c r="A1613" s="204"/>
      <c r="B1613" s="204"/>
      <c r="C1613" s="204"/>
      <c r="D1613" s="204"/>
      <c r="E1613" s="204"/>
      <c r="F1613" s="204"/>
      <c r="G1613" s="204"/>
      <c r="H1613" s="204"/>
      <c r="I1613" s="204"/>
      <c r="J1613" s="204"/>
      <c r="K1613" s="204"/>
      <c r="L1613" s="205"/>
      <c r="M1613" s="205"/>
      <c r="N1613" s="204"/>
      <c r="O1613" s="204"/>
      <c r="P1613" s="206"/>
      <c r="Q1613" s="206"/>
      <c r="R1613" s="206"/>
      <c r="S1613" s="206"/>
      <c r="T1613" s="204"/>
      <c r="U1613" s="207"/>
      <c r="V1613" s="204"/>
      <c r="W1613" s="204"/>
      <c r="X1613" s="207"/>
      <c r="Y1613" s="207"/>
      <c r="Z1613" s="204"/>
      <c r="AA1613" s="204"/>
      <c r="AB1613" s="204"/>
      <c r="AC1613" s="204"/>
    </row>
    <row r="1614" spans="1:29">
      <c r="A1614" s="204"/>
      <c r="B1614" s="204"/>
      <c r="C1614" s="204"/>
      <c r="D1614" s="204"/>
      <c r="E1614" s="204"/>
      <c r="F1614" s="204"/>
      <c r="G1614" s="204"/>
      <c r="H1614" s="204"/>
      <c r="I1614" s="204"/>
      <c r="J1614" s="204"/>
      <c r="K1614" s="204"/>
      <c r="L1614" s="205"/>
      <c r="M1614" s="205"/>
      <c r="N1614" s="204"/>
      <c r="O1614" s="204"/>
      <c r="P1614" s="206"/>
      <c r="Q1614" s="206"/>
      <c r="R1614" s="206"/>
      <c r="S1614" s="206"/>
      <c r="T1614" s="204"/>
      <c r="U1614" s="207"/>
      <c r="V1614" s="204"/>
      <c r="W1614" s="204"/>
      <c r="X1614" s="207"/>
      <c r="Y1614" s="207"/>
      <c r="Z1614" s="204"/>
      <c r="AA1614" s="204"/>
      <c r="AB1614" s="204"/>
      <c r="AC1614" s="204"/>
    </row>
    <row r="1615" spans="1:29">
      <c r="A1615" s="204"/>
      <c r="B1615" s="204"/>
      <c r="C1615" s="204"/>
      <c r="D1615" s="204"/>
      <c r="E1615" s="204"/>
      <c r="F1615" s="204"/>
      <c r="G1615" s="204"/>
      <c r="H1615" s="204"/>
      <c r="I1615" s="204"/>
      <c r="J1615" s="204"/>
      <c r="K1615" s="204"/>
      <c r="L1615" s="205"/>
      <c r="M1615" s="205"/>
      <c r="N1615" s="204"/>
      <c r="O1615" s="204"/>
      <c r="P1615" s="206"/>
      <c r="Q1615" s="206"/>
      <c r="R1615" s="206"/>
      <c r="S1615" s="206"/>
      <c r="T1615" s="204"/>
      <c r="U1615" s="207"/>
      <c r="V1615" s="204"/>
      <c r="W1615" s="204"/>
      <c r="X1615" s="207"/>
      <c r="Y1615" s="207"/>
      <c r="Z1615" s="204"/>
      <c r="AA1615" s="204"/>
      <c r="AB1615" s="204"/>
      <c r="AC1615" s="204"/>
    </row>
    <row r="1616" spans="1:29">
      <c r="A1616" s="204"/>
      <c r="B1616" s="204"/>
      <c r="C1616" s="204"/>
      <c r="D1616" s="204"/>
      <c r="E1616" s="204"/>
      <c r="F1616" s="204"/>
      <c r="G1616" s="204"/>
      <c r="H1616" s="204"/>
      <c r="I1616" s="204"/>
      <c r="J1616" s="204"/>
      <c r="K1616" s="204"/>
      <c r="L1616" s="205"/>
      <c r="M1616" s="205"/>
      <c r="N1616" s="204"/>
      <c r="O1616" s="204"/>
      <c r="P1616" s="206"/>
      <c r="Q1616" s="206"/>
      <c r="R1616" s="206"/>
      <c r="S1616" s="206"/>
      <c r="T1616" s="204"/>
      <c r="U1616" s="207"/>
      <c r="V1616" s="204"/>
      <c r="W1616" s="204"/>
      <c r="X1616" s="207"/>
      <c r="Y1616" s="207"/>
      <c r="Z1616" s="204"/>
      <c r="AA1616" s="204"/>
      <c r="AB1616" s="204"/>
      <c r="AC1616" s="204"/>
    </row>
    <row r="1617" spans="1:29">
      <c r="A1617" s="204"/>
      <c r="B1617" s="204"/>
      <c r="C1617" s="204"/>
      <c r="D1617" s="204"/>
      <c r="E1617" s="204"/>
      <c r="F1617" s="204"/>
      <c r="G1617" s="204"/>
      <c r="H1617" s="204"/>
      <c r="I1617" s="204"/>
      <c r="J1617" s="204"/>
      <c r="K1617" s="204"/>
      <c r="L1617" s="205"/>
      <c r="M1617" s="205"/>
      <c r="N1617" s="204"/>
      <c r="O1617" s="204"/>
      <c r="P1617" s="206"/>
      <c r="Q1617" s="206"/>
      <c r="R1617" s="206"/>
      <c r="S1617" s="206"/>
      <c r="T1617" s="204"/>
      <c r="U1617" s="207"/>
      <c r="V1617" s="204"/>
      <c r="W1617" s="204"/>
      <c r="X1617" s="207"/>
      <c r="Y1617" s="207"/>
      <c r="Z1617" s="204"/>
      <c r="AA1617" s="204"/>
      <c r="AB1617" s="204"/>
      <c r="AC1617" s="204"/>
    </row>
    <row r="1618" spans="1:29">
      <c r="A1618" s="204"/>
      <c r="B1618" s="204"/>
      <c r="C1618" s="204"/>
      <c r="D1618" s="204"/>
      <c r="E1618" s="204"/>
      <c r="F1618" s="204"/>
      <c r="G1618" s="204"/>
      <c r="H1618" s="204"/>
      <c r="I1618" s="204"/>
      <c r="J1618" s="204"/>
      <c r="K1618" s="204"/>
      <c r="L1618" s="205"/>
      <c r="M1618" s="205"/>
      <c r="N1618" s="204"/>
      <c r="O1618" s="204"/>
      <c r="P1618" s="206"/>
      <c r="Q1618" s="206"/>
      <c r="R1618" s="206"/>
      <c r="S1618" s="206"/>
      <c r="T1618" s="204"/>
      <c r="U1618" s="207"/>
      <c r="V1618" s="204"/>
      <c r="W1618" s="204"/>
      <c r="X1618" s="207"/>
      <c r="Y1618" s="207"/>
      <c r="Z1618" s="204"/>
      <c r="AA1618" s="204"/>
      <c r="AB1618" s="204"/>
      <c r="AC1618" s="204"/>
    </row>
    <row r="1619" spans="1:29">
      <c r="A1619" s="204"/>
      <c r="B1619" s="204"/>
      <c r="C1619" s="204"/>
      <c r="D1619" s="204"/>
      <c r="E1619" s="204"/>
      <c r="F1619" s="204"/>
      <c r="G1619" s="204"/>
      <c r="H1619" s="204"/>
      <c r="I1619" s="204"/>
      <c r="J1619" s="204"/>
      <c r="K1619" s="204"/>
      <c r="L1619" s="205"/>
      <c r="M1619" s="205"/>
      <c r="N1619" s="204"/>
      <c r="O1619" s="204"/>
      <c r="P1619" s="206"/>
      <c r="Q1619" s="206"/>
      <c r="R1619" s="206"/>
      <c r="S1619" s="206"/>
      <c r="T1619" s="204"/>
      <c r="U1619" s="207"/>
      <c r="V1619" s="204"/>
      <c r="W1619" s="204"/>
      <c r="X1619" s="207"/>
      <c r="Y1619" s="207"/>
      <c r="Z1619" s="204"/>
      <c r="AA1619" s="204"/>
      <c r="AB1619" s="204"/>
      <c r="AC1619" s="204"/>
    </row>
    <row r="1620" spans="1:29">
      <c r="A1620" s="204"/>
      <c r="B1620" s="204"/>
      <c r="C1620" s="204"/>
      <c r="D1620" s="204"/>
      <c r="E1620" s="204"/>
      <c r="F1620" s="204"/>
      <c r="G1620" s="204"/>
      <c r="H1620" s="204"/>
      <c r="I1620" s="204"/>
      <c r="J1620" s="204"/>
      <c r="K1620" s="204"/>
      <c r="L1620" s="205"/>
      <c r="M1620" s="205"/>
      <c r="N1620" s="204"/>
      <c r="O1620" s="204"/>
      <c r="P1620" s="206"/>
      <c r="Q1620" s="206"/>
      <c r="R1620" s="206"/>
      <c r="S1620" s="206"/>
      <c r="T1620" s="204"/>
      <c r="U1620" s="207"/>
      <c r="V1620" s="204"/>
      <c r="W1620" s="204"/>
      <c r="X1620" s="207"/>
      <c r="Y1620" s="207"/>
      <c r="Z1620" s="204"/>
      <c r="AA1620" s="204"/>
      <c r="AB1620" s="204"/>
      <c r="AC1620" s="204"/>
    </row>
    <row r="1621" spans="1:29">
      <c r="A1621" s="204"/>
      <c r="B1621" s="204"/>
      <c r="C1621" s="204"/>
      <c r="D1621" s="204"/>
      <c r="E1621" s="204"/>
      <c r="F1621" s="204"/>
      <c r="G1621" s="204"/>
      <c r="H1621" s="204"/>
      <c r="I1621" s="204"/>
      <c r="J1621" s="204"/>
      <c r="K1621" s="204"/>
      <c r="L1621" s="205"/>
      <c r="M1621" s="205"/>
      <c r="N1621" s="204"/>
      <c r="O1621" s="204"/>
      <c r="P1621" s="206"/>
      <c r="Q1621" s="206"/>
      <c r="R1621" s="206"/>
      <c r="S1621" s="206"/>
      <c r="T1621" s="204"/>
      <c r="U1621" s="207"/>
      <c r="V1621" s="204"/>
      <c r="W1621" s="204"/>
      <c r="X1621" s="207"/>
      <c r="Y1621" s="207"/>
      <c r="Z1621" s="204"/>
      <c r="AA1621" s="204"/>
      <c r="AB1621" s="204"/>
      <c r="AC1621" s="204"/>
    </row>
    <row r="1622" spans="1:29">
      <c r="A1622" s="204"/>
      <c r="B1622" s="204"/>
      <c r="C1622" s="204"/>
      <c r="D1622" s="204"/>
      <c r="E1622" s="204"/>
      <c r="F1622" s="204"/>
      <c r="G1622" s="204"/>
      <c r="H1622" s="204"/>
      <c r="I1622" s="204"/>
      <c r="J1622" s="204"/>
      <c r="K1622" s="204"/>
      <c r="L1622" s="205"/>
      <c r="M1622" s="205"/>
      <c r="N1622" s="204"/>
      <c r="O1622" s="204"/>
      <c r="P1622" s="206"/>
      <c r="Q1622" s="206"/>
      <c r="R1622" s="206"/>
      <c r="S1622" s="206"/>
      <c r="T1622" s="204"/>
      <c r="U1622" s="207"/>
      <c r="V1622" s="204"/>
      <c r="W1622" s="204"/>
      <c r="X1622" s="207"/>
      <c r="Y1622" s="207"/>
      <c r="Z1622" s="204"/>
      <c r="AA1622" s="204"/>
      <c r="AB1622" s="204"/>
      <c r="AC1622" s="204"/>
    </row>
    <row r="1623" spans="1:29">
      <c r="A1623" s="204"/>
      <c r="B1623" s="204"/>
      <c r="C1623" s="204"/>
      <c r="D1623" s="204"/>
      <c r="E1623" s="204"/>
      <c r="F1623" s="204"/>
      <c r="G1623" s="204"/>
      <c r="H1623" s="204"/>
      <c r="I1623" s="204"/>
      <c r="J1623" s="204"/>
      <c r="K1623" s="204"/>
      <c r="L1623" s="205"/>
      <c r="M1623" s="205"/>
      <c r="N1623" s="204"/>
      <c r="O1623" s="204"/>
      <c r="P1623" s="206"/>
      <c r="Q1623" s="206"/>
      <c r="R1623" s="206"/>
      <c r="S1623" s="206"/>
      <c r="T1623" s="204"/>
      <c r="U1623" s="207"/>
      <c r="V1623" s="204"/>
      <c r="W1623" s="204"/>
      <c r="X1623" s="207"/>
      <c r="Y1623" s="207"/>
      <c r="Z1623" s="204"/>
      <c r="AA1623" s="204"/>
      <c r="AB1623" s="204"/>
      <c r="AC1623" s="204"/>
    </row>
    <row r="1624" spans="1:29">
      <c r="A1624" s="204"/>
      <c r="B1624" s="204"/>
      <c r="C1624" s="204"/>
      <c r="D1624" s="204"/>
      <c r="E1624" s="204"/>
      <c r="F1624" s="204"/>
      <c r="G1624" s="204"/>
      <c r="H1624" s="204"/>
      <c r="I1624" s="204"/>
      <c r="J1624" s="204"/>
      <c r="K1624" s="204"/>
      <c r="L1624" s="205"/>
      <c r="M1624" s="205"/>
      <c r="N1624" s="204"/>
      <c r="O1624" s="204"/>
      <c r="P1624" s="206"/>
      <c r="Q1624" s="206"/>
      <c r="R1624" s="206"/>
      <c r="S1624" s="206"/>
      <c r="T1624" s="204"/>
      <c r="U1624" s="207"/>
      <c r="V1624" s="204"/>
      <c r="W1624" s="204"/>
      <c r="X1624" s="207"/>
      <c r="Y1624" s="207"/>
      <c r="Z1624" s="204"/>
      <c r="AA1624" s="204"/>
      <c r="AB1624" s="204"/>
      <c r="AC1624" s="204"/>
    </row>
    <row r="1625" spans="1:29">
      <c r="A1625" s="204"/>
      <c r="B1625" s="204"/>
      <c r="C1625" s="204"/>
      <c r="D1625" s="204"/>
      <c r="E1625" s="204"/>
      <c r="F1625" s="204"/>
      <c r="G1625" s="204"/>
      <c r="H1625" s="204"/>
      <c r="I1625" s="204"/>
      <c r="J1625" s="204"/>
      <c r="K1625" s="204"/>
      <c r="L1625" s="205"/>
      <c r="M1625" s="205"/>
      <c r="N1625" s="204"/>
      <c r="O1625" s="204"/>
      <c r="P1625" s="206"/>
      <c r="Q1625" s="206"/>
      <c r="R1625" s="206"/>
      <c r="S1625" s="206"/>
      <c r="T1625" s="204"/>
      <c r="U1625" s="207"/>
      <c r="V1625" s="204"/>
      <c r="W1625" s="204"/>
      <c r="X1625" s="207"/>
      <c r="Y1625" s="207"/>
      <c r="Z1625" s="204"/>
      <c r="AA1625" s="204"/>
      <c r="AB1625" s="204"/>
      <c r="AC1625" s="204"/>
    </row>
    <row r="1626" spans="1:29">
      <c r="A1626" s="204"/>
      <c r="B1626" s="204"/>
      <c r="C1626" s="204"/>
      <c r="D1626" s="204"/>
      <c r="E1626" s="204"/>
      <c r="F1626" s="204"/>
      <c r="G1626" s="204"/>
      <c r="H1626" s="204"/>
      <c r="I1626" s="204"/>
      <c r="J1626" s="204"/>
      <c r="K1626" s="204"/>
      <c r="L1626" s="205"/>
      <c r="M1626" s="205"/>
      <c r="N1626" s="204"/>
      <c r="O1626" s="204"/>
      <c r="P1626" s="206"/>
      <c r="Q1626" s="206"/>
      <c r="R1626" s="206"/>
      <c r="S1626" s="206"/>
      <c r="T1626" s="204"/>
      <c r="U1626" s="207"/>
      <c r="V1626" s="204"/>
      <c r="W1626" s="204"/>
      <c r="X1626" s="207"/>
      <c r="Y1626" s="207"/>
      <c r="Z1626" s="204"/>
      <c r="AA1626" s="204"/>
      <c r="AB1626" s="204"/>
      <c r="AC1626" s="204"/>
    </row>
    <row r="1627" spans="1:29">
      <c r="A1627" s="204"/>
      <c r="B1627" s="204"/>
      <c r="C1627" s="204"/>
      <c r="D1627" s="204"/>
      <c r="E1627" s="204"/>
      <c r="F1627" s="204"/>
      <c r="G1627" s="204"/>
      <c r="H1627" s="204"/>
      <c r="I1627" s="204"/>
      <c r="J1627" s="204"/>
      <c r="K1627" s="204"/>
      <c r="L1627" s="205"/>
      <c r="M1627" s="205"/>
      <c r="N1627" s="204"/>
      <c r="O1627" s="204"/>
      <c r="P1627" s="206"/>
      <c r="Q1627" s="206"/>
      <c r="R1627" s="206"/>
      <c r="S1627" s="206"/>
      <c r="T1627" s="204"/>
      <c r="U1627" s="207"/>
      <c r="V1627" s="204"/>
      <c r="W1627" s="204"/>
      <c r="X1627" s="207"/>
      <c r="Y1627" s="207"/>
      <c r="Z1627" s="204"/>
      <c r="AA1627" s="204"/>
      <c r="AB1627" s="204"/>
      <c r="AC1627" s="204"/>
    </row>
    <row r="1628" spans="1:29">
      <c r="A1628" s="204"/>
      <c r="B1628" s="204"/>
      <c r="C1628" s="204"/>
      <c r="D1628" s="204"/>
      <c r="E1628" s="204"/>
      <c r="F1628" s="204"/>
      <c r="G1628" s="204"/>
      <c r="H1628" s="204"/>
      <c r="I1628" s="204"/>
      <c r="J1628" s="204"/>
      <c r="K1628" s="204"/>
      <c r="L1628" s="205"/>
      <c r="M1628" s="205"/>
      <c r="N1628" s="204"/>
      <c r="O1628" s="204"/>
      <c r="P1628" s="206"/>
      <c r="Q1628" s="206"/>
      <c r="R1628" s="206"/>
      <c r="S1628" s="206"/>
      <c r="T1628" s="204"/>
      <c r="U1628" s="207"/>
      <c r="V1628" s="204"/>
      <c r="W1628" s="204"/>
      <c r="X1628" s="207"/>
      <c r="Y1628" s="207"/>
      <c r="Z1628" s="204"/>
      <c r="AA1628" s="204"/>
      <c r="AB1628" s="204"/>
      <c r="AC1628" s="204"/>
    </row>
    <row r="1629" spans="1:29">
      <c r="A1629" s="204"/>
      <c r="B1629" s="204"/>
      <c r="C1629" s="204"/>
      <c r="D1629" s="204"/>
      <c r="E1629" s="204"/>
      <c r="F1629" s="204"/>
      <c r="G1629" s="204"/>
      <c r="H1629" s="204"/>
      <c r="I1629" s="204"/>
      <c r="J1629" s="204"/>
      <c r="K1629" s="204"/>
      <c r="L1629" s="205"/>
      <c r="M1629" s="205"/>
      <c r="N1629" s="204"/>
      <c r="O1629" s="204"/>
      <c r="P1629" s="206"/>
      <c r="Q1629" s="206"/>
      <c r="R1629" s="206"/>
      <c r="S1629" s="206"/>
      <c r="T1629" s="204"/>
      <c r="U1629" s="207"/>
      <c r="V1629" s="204"/>
      <c r="W1629" s="204"/>
      <c r="X1629" s="207"/>
      <c r="Y1629" s="207"/>
      <c r="Z1629" s="204"/>
      <c r="AA1629" s="204"/>
      <c r="AB1629" s="204"/>
      <c r="AC1629" s="204"/>
    </row>
    <row r="1630" spans="1:29">
      <c r="A1630" s="204"/>
      <c r="B1630" s="204"/>
      <c r="C1630" s="204"/>
      <c r="D1630" s="204"/>
      <c r="E1630" s="204"/>
      <c r="F1630" s="204"/>
      <c r="G1630" s="204"/>
      <c r="H1630" s="204"/>
      <c r="I1630" s="204"/>
      <c r="J1630" s="204"/>
      <c r="K1630" s="204"/>
      <c r="L1630" s="205"/>
      <c r="M1630" s="205"/>
      <c r="N1630" s="204"/>
      <c r="O1630" s="204"/>
      <c r="P1630" s="206"/>
      <c r="Q1630" s="206"/>
      <c r="R1630" s="206"/>
      <c r="S1630" s="206"/>
      <c r="T1630" s="204"/>
      <c r="U1630" s="207"/>
      <c r="V1630" s="204"/>
      <c r="W1630" s="204"/>
      <c r="X1630" s="207"/>
      <c r="Y1630" s="207"/>
      <c r="Z1630" s="204"/>
      <c r="AA1630" s="204"/>
      <c r="AB1630" s="204"/>
      <c r="AC1630" s="204"/>
    </row>
    <row r="1631" spans="1:29">
      <c r="A1631" s="204"/>
      <c r="B1631" s="204"/>
      <c r="C1631" s="204"/>
      <c r="D1631" s="204"/>
      <c r="E1631" s="204"/>
      <c r="F1631" s="204"/>
      <c r="G1631" s="204"/>
      <c r="H1631" s="204"/>
      <c r="I1631" s="204"/>
      <c r="J1631" s="204"/>
      <c r="K1631" s="204"/>
      <c r="L1631" s="205"/>
      <c r="M1631" s="205"/>
      <c r="N1631" s="204"/>
      <c r="O1631" s="204"/>
      <c r="P1631" s="206"/>
      <c r="Q1631" s="206"/>
      <c r="R1631" s="206"/>
      <c r="S1631" s="206"/>
      <c r="T1631" s="204"/>
      <c r="U1631" s="207"/>
      <c r="V1631" s="204"/>
      <c r="W1631" s="204"/>
      <c r="X1631" s="207"/>
      <c r="Y1631" s="207"/>
      <c r="Z1631" s="204"/>
      <c r="AA1631" s="204"/>
      <c r="AB1631" s="204"/>
      <c r="AC1631" s="204"/>
    </row>
    <row r="1632" spans="1:29">
      <c r="A1632" s="204"/>
      <c r="B1632" s="204"/>
      <c r="C1632" s="204"/>
      <c r="D1632" s="204"/>
      <c r="E1632" s="204"/>
      <c r="F1632" s="204"/>
      <c r="G1632" s="204"/>
      <c r="H1632" s="204"/>
      <c r="I1632" s="204"/>
      <c r="J1632" s="204"/>
      <c r="K1632" s="204"/>
      <c r="L1632" s="205"/>
      <c r="M1632" s="205"/>
      <c r="N1632" s="204"/>
      <c r="O1632" s="204"/>
      <c r="P1632" s="206"/>
      <c r="Q1632" s="206"/>
      <c r="R1632" s="206"/>
      <c r="S1632" s="206"/>
      <c r="T1632" s="204"/>
      <c r="U1632" s="207"/>
      <c r="V1632" s="204"/>
      <c r="W1632" s="204"/>
      <c r="X1632" s="207"/>
      <c r="Y1632" s="207"/>
      <c r="Z1632" s="204"/>
      <c r="AA1632" s="204"/>
      <c r="AB1632" s="204"/>
      <c r="AC1632" s="204"/>
    </row>
    <row r="1633" spans="1:29">
      <c r="A1633" s="204"/>
      <c r="B1633" s="204"/>
      <c r="C1633" s="204"/>
      <c r="D1633" s="204"/>
      <c r="E1633" s="204"/>
      <c r="F1633" s="204"/>
      <c r="G1633" s="204"/>
      <c r="H1633" s="204"/>
      <c r="I1633" s="204"/>
      <c r="J1633" s="204"/>
      <c r="K1633" s="204"/>
      <c r="L1633" s="205"/>
      <c r="M1633" s="205"/>
      <c r="N1633" s="204"/>
      <c r="O1633" s="204"/>
      <c r="P1633" s="206"/>
      <c r="Q1633" s="206"/>
      <c r="R1633" s="206"/>
      <c r="S1633" s="206"/>
      <c r="T1633" s="204"/>
      <c r="U1633" s="207"/>
      <c r="V1633" s="204"/>
      <c r="W1633" s="204"/>
      <c r="X1633" s="207"/>
      <c r="Y1633" s="207"/>
      <c r="Z1633" s="204"/>
      <c r="AA1633" s="204"/>
      <c r="AB1633" s="204"/>
      <c r="AC1633" s="204"/>
    </row>
    <row r="1634" spans="1:29">
      <c r="A1634" s="204"/>
      <c r="B1634" s="204"/>
      <c r="C1634" s="204"/>
      <c r="D1634" s="204"/>
      <c r="E1634" s="204"/>
      <c r="F1634" s="204"/>
      <c r="G1634" s="204"/>
      <c r="H1634" s="204"/>
      <c r="I1634" s="204"/>
      <c r="J1634" s="204"/>
      <c r="K1634" s="204"/>
      <c r="L1634" s="205"/>
      <c r="M1634" s="205"/>
      <c r="N1634" s="204"/>
      <c r="O1634" s="204"/>
      <c r="P1634" s="206"/>
      <c r="Q1634" s="206"/>
      <c r="R1634" s="206"/>
      <c r="S1634" s="206"/>
      <c r="T1634" s="204"/>
      <c r="U1634" s="207"/>
      <c r="V1634" s="204"/>
      <c r="W1634" s="204"/>
      <c r="X1634" s="207"/>
      <c r="Y1634" s="207"/>
      <c r="Z1634" s="204"/>
      <c r="AA1634" s="204"/>
      <c r="AB1634" s="204"/>
      <c r="AC1634" s="204"/>
    </row>
    <row r="1635" spans="1:29">
      <c r="A1635" s="204"/>
      <c r="B1635" s="204"/>
      <c r="C1635" s="204"/>
      <c r="D1635" s="204"/>
      <c r="E1635" s="204"/>
      <c r="F1635" s="204"/>
      <c r="G1635" s="204"/>
      <c r="H1635" s="204"/>
      <c r="I1635" s="204"/>
      <c r="J1635" s="204"/>
      <c r="K1635" s="204"/>
      <c r="L1635" s="205"/>
      <c r="M1635" s="205"/>
      <c r="N1635" s="204"/>
      <c r="O1635" s="204"/>
      <c r="P1635" s="206"/>
      <c r="Q1635" s="206"/>
      <c r="R1635" s="206"/>
      <c r="S1635" s="206"/>
      <c r="T1635" s="204"/>
      <c r="U1635" s="207"/>
      <c r="V1635" s="204"/>
      <c r="W1635" s="204"/>
      <c r="X1635" s="207"/>
      <c r="Y1635" s="207"/>
      <c r="Z1635" s="204"/>
      <c r="AA1635" s="204"/>
      <c r="AB1635" s="204"/>
      <c r="AC1635" s="204"/>
    </row>
    <row r="1636" spans="1:29">
      <c r="A1636" s="204"/>
      <c r="B1636" s="204"/>
      <c r="C1636" s="204"/>
      <c r="D1636" s="204"/>
      <c r="E1636" s="204"/>
      <c r="F1636" s="204"/>
      <c r="G1636" s="204"/>
      <c r="H1636" s="204"/>
      <c r="I1636" s="204"/>
      <c r="J1636" s="204"/>
      <c r="K1636" s="204"/>
      <c r="L1636" s="205"/>
      <c r="M1636" s="205"/>
      <c r="N1636" s="204"/>
      <c r="O1636" s="204"/>
      <c r="P1636" s="206"/>
      <c r="Q1636" s="206"/>
      <c r="R1636" s="206"/>
      <c r="S1636" s="206"/>
      <c r="T1636" s="204"/>
      <c r="U1636" s="207"/>
      <c r="V1636" s="204"/>
      <c r="W1636" s="204"/>
      <c r="X1636" s="207"/>
      <c r="Y1636" s="207"/>
      <c r="Z1636" s="204"/>
      <c r="AA1636" s="204"/>
      <c r="AB1636" s="204"/>
      <c r="AC1636" s="204"/>
    </row>
    <row r="1637" spans="1:29">
      <c r="A1637" s="204"/>
      <c r="B1637" s="204"/>
      <c r="C1637" s="204"/>
      <c r="D1637" s="204"/>
      <c r="E1637" s="204"/>
      <c r="F1637" s="204"/>
      <c r="G1637" s="204"/>
      <c r="H1637" s="204"/>
      <c r="I1637" s="204"/>
      <c r="J1637" s="204"/>
      <c r="K1637" s="204"/>
      <c r="L1637" s="205"/>
      <c r="M1637" s="205"/>
      <c r="N1637" s="204"/>
      <c r="O1637" s="204"/>
      <c r="P1637" s="206"/>
      <c r="Q1637" s="206"/>
      <c r="R1637" s="206"/>
      <c r="S1637" s="206"/>
      <c r="T1637" s="204"/>
      <c r="U1637" s="207"/>
      <c r="V1637" s="204"/>
      <c r="W1637" s="204"/>
      <c r="X1637" s="207"/>
      <c r="Y1637" s="207"/>
      <c r="Z1637" s="204"/>
      <c r="AA1637" s="204"/>
      <c r="AB1637" s="204"/>
      <c r="AC1637" s="204"/>
    </row>
    <row r="1638" spans="1:29">
      <c r="A1638" s="204"/>
      <c r="B1638" s="204"/>
      <c r="C1638" s="204"/>
      <c r="D1638" s="204"/>
      <c r="E1638" s="204"/>
      <c r="F1638" s="204"/>
      <c r="G1638" s="204"/>
      <c r="H1638" s="204"/>
      <c r="I1638" s="204"/>
      <c r="J1638" s="204"/>
      <c r="K1638" s="204"/>
      <c r="L1638" s="205"/>
      <c r="M1638" s="205"/>
      <c r="N1638" s="204"/>
      <c r="O1638" s="204"/>
      <c r="P1638" s="206"/>
      <c r="Q1638" s="206"/>
      <c r="R1638" s="206"/>
      <c r="S1638" s="206"/>
      <c r="T1638" s="204"/>
      <c r="U1638" s="207"/>
      <c r="V1638" s="204"/>
      <c r="W1638" s="204"/>
      <c r="X1638" s="207"/>
      <c r="Y1638" s="207"/>
      <c r="Z1638" s="204"/>
      <c r="AA1638" s="204"/>
      <c r="AB1638" s="204"/>
      <c r="AC1638" s="204"/>
    </row>
    <row r="1639" spans="1:29">
      <c r="A1639" s="204"/>
      <c r="B1639" s="204"/>
      <c r="C1639" s="204"/>
      <c r="D1639" s="204"/>
      <c r="E1639" s="204"/>
      <c r="F1639" s="204"/>
      <c r="G1639" s="204"/>
      <c r="H1639" s="204"/>
      <c r="I1639" s="204"/>
      <c r="J1639" s="204"/>
      <c r="K1639" s="204"/>
      <c r="L1639" s="205"/>
      <c r="M1639" s="205"/>
      <c r="N1639" s="204"/>
      <c r="O1639" s="204"/>
      <c r="P1639" s="206"/>
      <c r="Q1639" s="206"/>
      <c r="R1639" s="206"/>
      <c r="S1639" s="206"/>
      <c r="T1639" s="204"/>
      <c r="U1639" s="207"/>
      <c r="V1639" s="204"/>
      <c r="W1639" s="204"/>
      <c r="X1639" s="207"/>
      <c r="Y1639" s="207"/>
      <c r="Z1639" s="204"/>
      <c r="AA1639" s="204"/>
      <c r="AB1639" s="204"/>
      <c r="AC1639" s="204"/>
    </row>
    <row r="1640" spans="1:29">
      <c r="A1640" s="204"/>
      <c r="B1640" s="204"/>
      <c r="C1640" s="204"/>
      <c r="D1640" s="204"/>
      <c r="E1640" s="204"/>
      <c r="F1640" s="204"/>
      <c r="G1640" s="204"/>
      <c r="H1640" s="204"/>
      <c r="I1640" s="204"/>
      <c r="J1640" s="204"/>
      <c r="K1640" s="204"/>
      <c r="L1640" s="205"/>
      <c r="M1640" s="205"/>
      <c r="N1640" s="204"/>
      <c r="O1640" s="204"/>
      <c r="P1640" s="206"/>
      <c r="Q1640" s="206"/>
      <c r="R1640" s="206"/>
      <c r="S1640" s="206"/>
      <c r="T1640" s="204"/>
      <c r="U1640" s="207"/>
      <c r="V1640" s="204"/>
      <c r="W1640" s="204"/>
      <c r="X1640" s="207"/>
      <c r="Y1640" s="207"/>
      <c r="Z1640" s="204"/>
      <c r="AA1640" s="204"/>
      <c r="AB1640" s="204"/>
      <c r="AC1640" s="204"/>
    </row>
    <row r="1641" spans="1:29">
      <c r="A1641" s="204"/>
      <c r="B1641" s="204"/>
      <c r="C1641" s="204"/>
      <c r="D1641" s="204"/>
      <c r="E1641" s="204"/>
      <c r="F1641" s="204"/>
      <c r="G1641" s="204"/>
      <c r="H1641" s="204"/>
      <c r="I1641" s="204"/>
      <c r="J1641" s="204"/>
      <c r="K1641" s="204"/>
      <c r="L1641" s="205"/>
      <c r="M1641" s="205"/>
      <c r="N1641" s="204"/>
      <c r="O1641" s="204"/>
      <c r="P1641" s="206"/>
      <c r="Q1641" s="206"/>
      <c r="R1641" s="206"/>
      <c r="S1641" s="206"/>
      <c r="T1641" s="204"/>
      <c r="U1641" s="207"/>
      <c r="V1641" s="204"/>
      <c r="W1641" s="204"/>
      <c r="X1641" s="207"/>
      <c r="Y1641" s="207"/>
      <c r="Z1641" s="204"/>
      <c r="AA1641" s="204"/>
      <c r="AB1641" s="204"/>
      <c r="AC1641" s="204"/>
    </row>
    <row r="1642" spans="1:29">
      <c r="A1642" s="204"/>
      <c r="B1642" s="204"/>
      <c r="C1642" s="204"/>
      <c r="D1642" s="204"/>
      <c r="E1642" s="204"/>
      <c r="F1642" s="204"/>
      <c r="G1642" s="204"/>
      <c r="H1642" s="204"/>
      <c r="I1642" s="204"/>
      <c r="J1642" s="204"/>
      <c r="K1642" s="204"/>
      <c r="L1642" s="205"/>
      <c r="M1642" s="205"/>
      <c r="N1642" s="204"/>
      <c r="O1642" s="204"/>
      <c r="P1642" s="206"/>
      <c r="Q1642" s="206"/>
      <c r="R1642" s="206"/>
      <c r="S1642" s="206"/>
      <c r="T1642" s="204"/>
      <c r="U1642" s="207"/>
      <c r="V1642" s="204"/>
      <c r="W1642" s="204"/>
      <c r="X1642" s="207"/>
      <c r="Y1642" s="207"/>
      <c r="Z1642" s="204"/>
      <c r="AA1642" s="204"/>
      <c r="AB1642" s="204"/>
      <c r="AC1642" s="204"/>
    </row>
    <row r="1643" spans="1:29">
      <c r="A1643" s="204"/>
      <c r="B1643" s="204"/>
      <c r="C1643" s="204"/>
      <c r="D1643" s="204"/>
      <c r="E1643" s="204"/>
      <c r="F1643" s="204"/>
      <c r="G1643" s="204"/>
      <c r="H1643" s="204"/>
      <c r="I1643" s="204"/>
      <c r="J1643" s="204"/>
      <c r="K1643" s="204"/>
      <c r="L1643" s="205"/>
      <c r="M1643" s="205"/>
      <c r="N1643" s="204"/>
      <c r="O1643" s="204"/>
      <c r="P1643" s="206"/>
      <c r="Q1643" s="206"/>
      <c r="R1643" s="206"/>
      <c r="S1643" s="206"/>
      <c r="T1643" s="204"/>
      <c r="U1643" s="207"/>
      <c r="V1643" s="204"/>
      <c r="W1643" s="204"/>
      <c r="X1643" s="207"/>
      <c r="Y1643" s="207"/>
      <c r="Z1643" s="204"/>
      <c r="AA1643" s="204"/>
      <c r="AB1643" s="204"/>
      <c r="AC1643" s="204"/>
    </row>
    <row r="1644" spans="1:29">
      <c r="A1644" s="204"/>
      <c r="B1644" s="204"/>
      <c r="C1644" s="204"/>
      <c r="D1644" s="204"/>
      <c r="E1644" s="204"/>
      <c r="F1644" s="204"/>
      <c r="G1644" s="204"/>
      <c r="H1644" s="204"/>
      <c r="I1644" s="204"/>
      <c r="J1644" s="204"/>
      <c r="K1644" s="204"/>
      <c r="L1644" s="205"/>
      <c r="M1644" s="205"/>
      <c r="N1644" s="204"/>
      <c r="O1644" s="204"/>
      <c r="P1644" s="206"/>
      <c r="Q1644" s="206"/>
      <c r="R1644" s="206"/>
      <c r="S1644" s="206"/>
      <c r="T1644" s="204"/>
      <c r="U1644" s="207"/>
      <c r="V1644" s="204"/>
      <c r="W1644" s="204"/>
      <c r="X1644" s="207"/>
      <c r="Y1644" s="207"/>
      <c r="Z1644" s="204"/>
      <c r="AA1644" s="204"/>
      <c r="AB1644" s="204"/>
      <c r="AC1644" s="204"/>
    </row>
    <row r="1645" spans="1:29">
      <c r="A1645" s="204"/>
      <c r="B1645" s="204"/>
      <c r="C1645" s="204"/>
      <c r="D1645" s="204"/>
      <c r="E1645" s="204"/>
      <c r="F1645" s="204"/>
      <c r="G1645" s="204"/>
      <c r="H1645" s="204"/>
      <c r="I1645" s="204"/>
      <c r="J1645" s="204"/>
      <c r="K1645" s="204"/>
      <c r="L1645" s="205"/>
      <c r="M1645" s="205"/>
      <c r="N1645" s="204"/>
      <c r="O1645" s="204"/>
      <c r="P1645" s="206"/>
      <c r="Q1645" s="206"/>
      <c r="R1645" s="206"/>
      <c r="S1645" s="206"/>
      <c r="T1645" s="204"/>
      <c r="U1645" s="207"/>
      <c r="V1645" s="204"/>
      <c r="W1645" s="204"/>
      <c r="X1645" s="207"/>
      <c r="Y1645" s="207"/>
      <c r="Z1645" s="204"/>
      <c r="AA1645" s="204"/>
      <c r="AB1645" s="204"/>
      <c r="AC1645" s="204"/>
    </row>
    <row r="1646" spans="1:29">
      <c r="A1646" s="204"/>
      <c r="B1646" s="204"/>
      <c r="C1646" s="204"/>
      <c r="D1646" s="204"/>
      <c r="E1646" s="204"/>
      <c r="F1646" s="204"/>
      <c r="G1646" s="204"/>
      <c r="H1646" s="204"/>
      <c r="I1646" s="204"/>
      <c r="J1646" s="204"/>
      <c r="K1646" s="204"/>
      <c r="L1646" s="205"/>
      <c r="M1646" s="205"/>
      <c r="N1646" s="204"/>
      <c r="O1646" s="204"/>
      <c r="P1646" s="206"/>
      <c r="Q1646" s="206"/>
      <c r="R1646" s="206"/>
      <c r="S1646" s="206"/>
      <c r="T1646" s="204"/>
      <c r="U1646" s="207"/>
      <c r="V1646" s="204"/>
      <c r="W1646" s="204"/>
      <c r="X1646" s="207"/>
      <c r="Y1646" s="207"/>
      <c r="Z1646" s="204"/>
      <c r="AA1646" s="204"/>
      <c r="AB1646" s="204"/>
      <c r="AC1646" s="204"/>
    </row>
    <row r="1647" spans="1:29">
      <c r="A1647" s="204"/>
      <c r="B1647" s="204"/>
      <c r="C1647" s="204"/>
      <c r="D1647" s="204"/>
      <c r="E1647" s="204"/>
      <c r="F1647" s="204"/>
      <c r="G1647" s="204"/>
      <c r="H1647" s="204"/>
      <c r="I1647" s="204"/>
      <c r="J1647" s="204"/>
      <c r="K1647" s="204"/>
      <c r="L1647" s="205"/>
      <c r="M1647" s="205"/>
      <c r="N1647" s="204"/>
      <c r="O1647" s="204"/>
      <c r="P1647" s="206"/>
      <c r="Q1647" s="206"/>
      <c r="R1647" s="206"/>
      <c r="S1647" s="206"/>
      <c r="T1647" s="204"/>
      <c r="U1647" s="207"/>
      <c r="V1647" s="204"/>
      <c r="W1647" s="204"/>
      <c r="X1647" s="207"/>
      <c r="Y1647" s="207"/>
      <c r="Z1647" s="204"/>
      <c r="AA1647" s="204"/>
      <c r="AB1647" s="204"/>
      <c r="AC1647" s="204"/>
    </row>
    <row r="1648" spans="1:29">
      <c r="A1648" s="204"/>
      <c r="B1648" s="204"/>
      <c r="C1648" s="204"/>
      <c r="D1648" s="204"/>
      <c r="E1648" s="204"/>
      <c r="F1648" s="204"/>
      <c r="G1648" s="204"/>
      <c r="H1648" s="204"/>
      <c r="I1648" s="204"/>
      <c r="J1648" s="204"/>
      <c r="K1648" s="204"/>
      <c r="L1648" s="205"/>
      <c r="M1648" s="205"/>
      <c r="N1648" s="204"/>
      <c r="O1648" s="204"/>
      <c r="P1648" s="206"/>
      <c r="Q1648" s="206"/>
      <c r="R1648" s="206"/>
      <c r="S1648" s="206"/>
      <c r="T1648" s="204"/>
      <c r="U1648" s="207"/>
      <c r="V1648" s="204"/>
      <c r="W1648" s="204"/>
      <c r="X1648" s="207"/>
      <c r="Y1648" s="207"/>
      <c r="Z1648" s="204"/>
      <c r="AA1648" s="204"/>
      <c r="AB1648" s="204"/>
      <c r="AC1648" s="204"/>
    </row>
    <row r="1649" spans="1:29">
      <c r="A1649" s="204"/>
      <c r="B1649" s="204"/>
      <c r="C1649" s="204"/>
      <c r="D1649" s="204"/>
      <c r="E1649" s="204"/>
      <c r="F1649" s="204"/>
      <c r="G1649" s="204"/>
      <c r="H1649" s="204"/>
      <c r="I1649" s="204"/>
      <c r="J1649" s="204"/>
      <c r="K1649" s="204"/>
      <c r="L1649" s="205"/>
      <c r="M1649" s="205"/>
      <c r="N1649" s="204"/>
      <c r="O1649" s="204"/>
      <c r="P1649" s="206"/>
      <c r="Q1649" s="206"/>
      <c r="R1649" s="206"/>
      <c r="S1649" s="206"/>
      <c r="T1649" s="204"/>
      <c r="U1649" s="207"/>
      <c r="V1649" s="204"/>
      <c r="W1649" s="204"/>
      <c r="X1649" s="207"/>
      <c r="Y1649" s="207"/>
      <c r="Z1649" s="204"/>
      <c r="AA1649" s="204"/>
      <c r="AB1649" s="204"/>
      <c r="AC1649" s="204"/>
    </row>
    <row r="1650" spans="1:29">
      <c r="A1650" s="204"/>
      <c r="B1650" s="204"/>
      <c r="C1650" s="204"/>
      <c r="D1650" s="204"/>
      <c r="E1650" s="204"/>
      <c r="F1650" s="204"/>
      <c r="G1650" s="204"/>
      <c r="H1650" s="204"/>
      <c r="I1650" s="204"/>
      <c r="J1650" s="204"/>
      <c r="K1650" s="204"/>
      <c r="L1650" s="205"/>
      <c r="M1650" s="205"/>
      <c r="N1650" s="204"/>
      <c r="O1650" s="204"/>
      <c r="P1650" s="206"/>
      <c r="Q1650" s="206"/>
      <c r="R1650" s="206"/>
      <c r="S1650" s="206"/>
      <c r="T1650" s="204"/>
      <c r="U1650" s="207"/>
      <c r="V1650" s="204"/>
      <c r="W1650" s="204"/>
      <c r="X1650" s="207"/>
      <c r="Y1650" s="207"/>
      <c r="Z1650" s="204"/>
      <c r="AA1650" s="204"/>
      <c r="AB1650" s="204"/>
      <c r="AC1650" s="204"/>
    </row>
    <row r="1651" spans="1:29">
      <c r="A1651" s="204"/>
      <c r="B1651" s="204"/>
      <c r="C1651" s="204"/>
      <c r="D1651" s="204"/>
      <c r="E1651" s="204"/>
      <c r="F1651" s="204"/>
      <c r="G1651" s="204"/>
      <c r="H1651" s="204"/>
      <c r="I1651" s="204"/>
      <c r="J1651" s="204"/>
      <c r="K1651" s="204"/>
      <c r="L1651" s="205"/>
      <c r="M1651" s="205"/>
      <c r="N1651" s="204"/>
      <c r="O1651" s="204"/>
      <c r="P1651" s="206"/>
      <c r="Q1651" s="206"/>
      <c r="R1651" s="206"/>
      <c r="S1651" s="206"/>
      <c r="T1651" s="204"/>
      <c r="U1651" s="207"/>
      <c r="V1651" s="204"/>
      <c r="W1651" s="204"/>
      <c r="X1651" s="207"/>
      <c r="Y1651" s="207"/>
      <c r="Z1651" s="204"/>
      <c r="AA1651" s="204"/>
      <c r="AB1651" s="204"/>
      <c r="AC1651" s="204"/>
    </row>
    <row r="1652" spans="1:29">
      <c r="A1652" s="204"/>
      <c r="B1652" s="204"/>
      <c r="C1652" s="204"/>
      <c r="D1652" s="204"/>
      <c r="E1652" s="204"/>
      <c r="F1652" s="204"/>
      <c r="G1652" s="204"/>
      <c r="H1652" s="204"/>
      <c r="I1652" s="204"/>
      <c r="J1652" s="204"/>
      <c r="K1652" s="204"/>
      <c r="L1652" s="205"/>
      <c r="M1652" s="205"/>
      <c r="N1652" s="204"/>
      <c r="O1652" s="204"/>
      <c r="P1652" s="206"/>
      <c r="Q1652" s="206"/>
      <c r="R1652" s="206"/>
      <c r="S1652" s="206"/>
      <c r="T1652" s="204"/>
      <c r="U1652" s="207"/>
      <c r="V1652" s="204"/>
      <c r="W1652" s="204"/>
      <c r="X1652" s="207"/>
      <c r="Y1652" s="207"/>
      <c r="Z1652" s="204"/>
      <c r="AA1652" s="204"/>
      <c r="AB1652" s="204"/>
      <c r="AC1652" s="204"/>
    </row>
    <row r="1653" spans="1:29">
      <c r="A1653" s="204"/>
      <c r="B1653" s="204"/>
      <c r="C1653" s="204"/>
      <c r="D1653" s="204"/>
      <c r="E1653" s="204"/>
      <c r="F1653" s="204"/>
      <c r="G1653" s="204"/>
      <c r="H1653" s="204"/>
      <c r="I1653" s="204"/>
      <c r="J1653" s="204"/>
      <c r="K1653" s="204"/>
      <c r="L1653" s="205"/>
      <c r="M1653" s="205"/>
      <c r="N1653" s="204"/>
      <c r="O1653" s="204"/>
      <c r="P1653" s="206"/>
      <c r="Q1653" s="206"/>
      <c r="R1653" s="206"/>
      <c r="S1653" s="206"/>
      <c r="T1653" s="204"/>
      <c r="U1653" s="207"/>
      <c r="V1653" s="204"/>
      <c r="W1653" s="204"/>
      <c r="X1653" s="207"/>
      <c r="Y1653" s="207"/>
      <c r="Z1653" s="204"/>
      <c r="AA1653" s="204"/>
      <c r="AB1653" s="204"/>
      <c r="AC1653" s="204"/>
    </row>
    <row r="1654" spans="1:29">
      <c r="A1654" s="204"/>
      <c r="B1654" s="204"/>
      <c r="C1654" s="204"/>
      <c r="D1654" s="204"/>
      <c r="E1654" s="204"/>
      <c r="F1654" s="204"/>
      <c r="G1654" s="204"/>
      <c r="H1654" s="204"/>
      <c r="I1654" s="204"/>
      <c r="J1654" s="204"/>
      <c r="K1654" s="204"/>
      <c r="L1654" s="205"/>
      <c r="M1654" s="205"/>
      <c r="N1654" s="204"/>
      <c r="O1654" s="204"/>
      <c r="P1654" s="206"/>
      <c r="Q1654" s="206"/>
      <c r="R1654" s="206"/>
      <c r="S1654" s="206"/>
      <c r="T1654" s="204"/>
      <c r="U1654" s="207"/>
      <c r="V1654" s="204"/>
      <c r="W1654" s="204"/>
      <c r="X1654" s="207"/>
      <c r="Y1654" s="207"/>
      <c r="Z1654" s="204"/>
      <c r="AA1654" s="204"/>
      <c r="AB1654" s="204"/>
      <c r="AC1654" s="204"/>
    </row>
    <row r="1655" spans="1:29">
      <c r="A1655" s="204"/>
      <c r="B1655" s="204"/>
      <c r="C1655" s="204"/>
      <c r="D1655" s="204"/>
      <c r="E1655" s="204"/>
      <c r="F1655" s="204"/>
      <c r="G1655" s="204"/>
      <c r="H1655" s="204"/>
      <c r="I1655" s="204"/>
      <c r="J1655" s="204"/>
      <c r="K1655" s="204"/>
      <c r="L1655" s="205"/>
      <c r="M1655" s="205"/>
      <c r="N1655" s="204"/>
      <c r="O1655" s="204"/>
      <c r="P1655" s="206"/>
      <c r="Q1655" s="206"/>
      <c r="R1655" s="206"/>
      <c r="S1655" s="206"/>
      <c r="T1655" s="204"/>
      <c r="U1655" s="207"/>
      <c r="V1655" s="204"/>
      <c r="W1655" s="204"/>
      <c r="X1655" s="207"/>
      <c r="Y1655" s="207"/>
      <c r="Z1655" s="204"/>
      <c r="AA1655" s="204"/>
      <c r="AB1655" s="204"/>
      <c r="AC1655" s="204"/>
    </row>
    <row r="1656" spans="1:29">
      <c r="A1656" s="204"/>
      <c r="B1656" s="204"/>
      <c r="C1656" s="204"/>
      <c r="D1656" s="204"/>
      <c r="E1656" s="204"/>
      <c r="F1656" s="204"/>
      <c r="G1656" s="204"/>
      <c r="H1656" s="204"/>
      <c r="I1656" s="204"/>
      <c r="J1656" s="204"/>
      <c r="K1656" s="204"/>
      <c r="L1656" s="205"/>
      <c r="M1656" s="205"/>
      <c r="N1656" s="204"/>
      <c r="O1656" s="204"/>
      <c r="P1656" s="206"/>
      <c r="Q1656" s="206"/>
      <c r="R1656" s="206"/>
      <c r="S1656" s="206"/>
      <c r="T1656" s="204"/>
      <c r="U1656" s="207"/>
      <c r="V1656" s="204"/>
      <c r="W1656" s="204"/>
      <c r="X1656" s="207"/>
      <c r="Y1656" s="207"/>
      <c r="Z1656" s="204"/>
      <c r="AA1656" s="204"/>
      <c r="AB1656" s="204"/>
      <c r="AC1656" s="204"/>
    </row>
    <row r="1657" spans="1:29">
      <c r="A1657" s="204"/>
      <c r="B1657" s="204"/>
      <c r="C1657" s="204"/>
      <c r="D1657" s="204"/>
      <c r="E1657" s="204"/>
      <c r="F1657" s="204"/>
      <c r="G1657" s="204"/>
      <c r="H1657" s="204"/>
      <c r="I1657" s="204"/>
      <c r="J1657" s="204"/>
      <c r="K1657" s="204"/>
      <c r="L1657" s="205"/>
      <c r="M1657" s="205"/>
      <c r="N1657" s="204"/>
      <c r="O1657" s="204"/>
      <c r="P1657" s="206"/>
      <c r="Q1657" s="206"/>
      <c r="R1657" s="206"/>
      <c r="S1657" s="206"/>
      <c r="T1657" s="204"/>
      <c r="U1657" s="207"/>
      <c r="V1657" s="204"/>
      <c r="W1657" s="204"/>
      <c r="X1657" s="207"/>
      <c r="Y1657" s="207"/>
      <c r="Z1657" s="204"/>
      <c r="AA1657" s="204"/>
      <c r="AB1657" s="204"/>
      <c r="AC1657" s="204"/>
    </row>
    <row r="1658" spans="1:29">
      <c r="A1658" s="204"/>
      <c r="B1658" s="204"/>
      <c r="C1658" s="204"/>
      <c r="D1658" s="204"/>
      <c r="E1658" s="204"/>
      <c r="F1658" s="204"/>
      <c r="G1658" s="204"/>
      <c r="H1658" s="204"/>
      <c r="I1658" s="204"/>
      <c r="J1658" s="204"/>
      <c r="K1658" s="204"/>
      <c r="L1658" s="205"/>
      <c r="M1658" s="205"/>
      <c r="N1658" s="204"/>
      <c r="O1658" s="204"/>
      <c r="P1658" s="206"/>
      <c r="Q1658" s="206"/>
      <c r="R1658" s="206"/>
      <c r="S1658" s="206"/>
      <c r="T1658" s="204"/>
      <c r="U1658" s="207"/>
      <c r="V1658" s="204"/>
      <c r="W1658" s="204"/>
      <c r="X1658" s="207"/>
      <c r="Y1658" s="207"/>
      <c r="Z1658" s="204"/>
      <c r="AA1658" s="204"/>
      <c r="AB1658" s="204"/>
      <c r="AC1658" s="204"/>
    </row>
    <row r="1659" spans="1:29">
      <c r="A1659" s="204"/>
      <c r="B1659" s="204"/>
      <c r="C1659" s="204"/>
      <c r="D1659" s="204"/>
      <c r="E1659" s="204"/>
      <c r="F1659" s="204"/>
      <c r="G1659" s="204"/>
      <c r="H1659" s="204"/>
      <c r="I1659" s="204"/>
      <c r="J1659" s="204"/>
      <c r="K1659" s="204"/>
      <c r="L1659" s="205"/>
      <c r="M1659" s="205"/>
      <c r="N1659" s="204"/>
      <c r="O1659" s="204"/>
      <c r="P1659" s="206"/>
      <c r="Q1659" s="206"/>
      <c r="R1659" s="206"/>
      <c r="S1659" s="206"/>
      <c r="T1659" s="204"/>
      <c r="U1659" s="207"/>
      <c r="V1659" s="204"/>
      <c r="W1659" s="204"/>
      <c r="X1659" s="207"/>
      <c r="Y1659" s="207"/>
      <c r="Z1659" s="204"/>
      <c r="AA1659" s="204"/>
      <c r="AB1659" s="204"/>
      <c r="AC1659" s="204"/>
    </row>
    <row r="1660" spans="1:29">
      <c r="A1660" s="204"/>
      <c r="B1660" s="204"/>
      <c r="C1660" s="204"/>
      <c r="D1660" s="204"/>
      <c r="E1660" s="204"/>
      <c r="F1660" s="204"/>
      <c r="G1660" s="204"/>
      <c r="H1660" s="204"/>
      <c r="I1660" s="204"/>
      <c r="J1660" s="204"/>
      <c r="K1660" s="204"/>
      <c r="L1660" s="205"/>
      <c r="M1660" s="205"/>
      <c r="N1660" s="204"/>
      <c r="O1660" s="204"/>
      <c r="P1660" s="206"/>
      <c r="Q1660" s="206"/>
      <c r="R1660" s="206"/>
      <c r="S1660" s="206"/>
      <c r="T1660" s="204"/>
      <c r="U1660" s="207"/>
      <c r="V1660" s="204"/>
      <c r="W1660" s="204"/>
      <c r="X1660" s="207"/>
      <c r="Y1660" s="207"/>
      <c r="Z1660" s="204"/>
      <c r="AA1660" s="204"/>
      <c r="AB1660" s="204"/>
      <c r="AC1660" s="204"/>
    </row>
    <row r="1661" spans="1:29">
      <c r="A1661" s="204"/>
      <c r="B1661" s="204"/>
      <c r="C1661" s="204"/>
      <c r="D1661" s="204"/>
      <c r="E1661" s="204"/>
      <c r="F1661" s="204"/>
      <c r="G1661" s="204"/>
      <c r="H1661" s="204"/>
      <c r="I1661" s="204"/>
      <c r="J1661" s="204"/>
      <c r="K1661" s="204"/>
      <c r="L1661" s="205"/>
      <c r="M1661" s="205"/>
      <c r="N1661" s="204"/>
      <c r="O1661" s="204"/>
      <c r="P1661" s="206"/>
      <c r="Q1661" s="206"/>
      <c r="R1661" s="206"/>
      <c r="S1661" s="206"/>
      <c r="T1661" s="204"/>
      <c r="U1661" s="207"/>
      <c r="V1661" s="204"/>
      <c r="W1661" s="204"/>
      <c r="X1661" s="207"/>
      <c r="Y1661" s="207"/>
      <c r="Z1661" s="204"/>
      <c r="AA1661" s="204"/>
      <c r="AB1661" s="204"/>
      <c r="AC1661" s="204"/>
    </row>
    <row r="1662" spans="1:29">
      <c r="A1662" s="204"/>
      <c r="B1662" s="204"/>
      <c r="C1662" s="204"/>
      <c r="D1662" s="204"/>
      <c r="E1662" s="204"/>
      <c r="F1662" s="204"/>
      <c r="G1662" s="204"/>
      <c r="H1662" s="204"/>
      <c r="I1662" s="204"/>
      <c r="J1662" s="204"/>
      <c r="K1662" s="204"/>
      <c r="L1662" s="205"/>
      <c r="M1662" s="205"/>
      <c r="N1662" s="204"/>
      <c r="O1662" s="204"/>
      <c r="P1662" s="206"/>
      <c r="Q1662" s="206"/>
      <c r="R1662" s="206"/>
      <c r="S1662" s="206"/>
      <c r="T1662" s="204"/>
      <c r="U1662" s="207"/>
      <c r="V1662" s="204"/>
      <c r="W1662" s="204"/>
      <c r="X1662" s="207"/>
      <c r="Y1662" s="207"/>
      <c r="Z1662" s="204"/>
      <c r="AA1662" s="204"/>
      <c r="AB1662" s="204"/>
      <c r="AC1662" s="204"/>
    </row>
    <row r="1663" spans="1:29">
      <c r="A1663" s="204"/>
      <c r="B1663" s="204"/>
      <c r="C1663" s="204"/>
      <c r="D1663" s="204"/>
      <c r="E1663" s="204"/>
      <c r="F1663" s="204"/>
      <c r="G1663" s="204"/>
      <c r="H1663" s="204"/>
      <c r="I1663" s="204"/>
      <c r="J1663" s="204"/>
      <c r="K1663" s="204"/>
      <c r="L1663" s="205"/>
      <c r="M1663" s="205"/>
      <c r="N1663" s="204"/>
      <c r="O1663" s="204"/>
      <c r="P1663" s="206"/>
      <c r="Q1663" s="206"/>
      <c r="R1663" s="206"/>
      <c r="S1663" s="206"/>
      <c r="T1663" s="204"/>
      <c r="U1663" s="207"/>
      <c r="V1663" s="204"/>
      <c r="W1663" s="204"/>
      <c r="X1663" s="207"/>
      <c r="Y1663" s="207"/>
      <c r="Z1663" s="204"/>
      <c r="AA1663" s="204"/>
      <c r="AB1663" s="204"/>
      <c r="AC1663" s="204"/>
    </row>
    <row r="1664" spans="1:29">
      <c r="A1664" s="204"/>
      <c r="B1664" s="204"/>
      <c r="C1664" s="204"/>
      <c r="D1664" s="204"/>
      <c r="E1664" s="204"/>
      <c r="F1664" s="204"/>
      <c r="G1664" s="204"/>
      <c r="H1664" s="204"/>
      <c r="I1664" s="204"/>
      <c r="J1664" s="204"/>
      <c r="K1664" s="204"/>
      <c r="L1664" s="205"/>
      <c r="M1664" s="205"/>
      <c r="N1664" s="204"/>
      <c r="O1664" s="204"/>
      <c r="P1664" s="206"/>
      <c r="Q1664" s="206"/>
      <c r="R1664" s="206"/>
      <c r="S1664" s="206"/>
      <c r="T1664" s="204"/>
      <c r="U1664" s="207"/>
      <c r="V1664" s="204"/>
      <c r="W1664" s="204"/>
      <c r="X1664" s="207"/>
      <c r="Y1664" s="207"/>
      <c r="Z1664" s="204"/>
      <c r="AA1664" s="204"/>
      <c r="AB1664" s="204"/>
      <c r="AC1664" s="204"/>
    </row>
    <row r="1665" spans="1:29">
      <c r="A1665" s="204"/>
      <c r="B1665" s="204"/>
      <c r="C1665" s="204"/>
      <c r="D1665" s="204"/>
      <c r="E1665" s="204"/>
      <c r="F1665" s="204"/>
      <c r="G1665" s="204"/>
      <c r="H1665" s="204"/>
      <c r="I1665" s="204"/>
      <c r="J1665" s="204"/>
      <c r="K1665" s="204"/>
      <c r="L1665" s="205"/>
      <c r="M1665" s="205"/>
      <c r="N1665" s="204"/>
      <c r="O1665" s="204"/>
      <c r="P1665" s="206"/>
      <c r="Q1665" s="206"/>
      <c r="R1665" s="206"/>
      <c r="S1665" s="206"/>
      <c r="T1665" s="204"/>
      <c r="U1665" s="207"/>
      <c r="V1665" s="204"/>
      <c r="W1665" s="204"/>
      <c r="X1665" s="207"/>
      <c r="Y1665" s="207"/>
      <c r="Z1665" s="204"/>
      <c r="AA1665" s="204"/>
      <c r="AB1665" s="204"/>
      <c r="AC1665" s="204"/>
    </row>
    <row r="1666" spans="1:29">
      <c r="A1666" s="204"/>
      <c r="B1666" s="204"/>
      <c r="C1666" s="204"/>
      <c r="D1666" s="204"/>
      <c r="E1666" s="204"/>
      <c r="F1666" s="204"/>
      <c r="G1666" s="204"/>
      <c r="H1666" s="204"/>
      <c r="I1666" s="204"/>
      <c r="J1666" s="204"/>
      <c r="K1666" s="204"/>
      <c r="L1666" s="205"/>
      <c r="M1666" s="205"/>
      <c r="N1666" s="204"/>
      <c r="O1666" s="204"/>
      <c r="P1666" s="206"/>
      <c r="Q1666" s="206"/>
      <c r="R1666" s="206"/>
      <c r="S1666" s="206"/>
      <c r="T1666" s="204"/>
      <c r="U1666" s="207"/>
      <c r="V1666" s="204"/>
      <c r="W1666" s="204"/>
      <c r="X1666" s="207"/>
      <c r="Y1666" s="207"/>
      <c r="Z1666" s="204"/>
      <c r="AA1666" s="204"/>
      <c r="AB1666" s="204"/>
      <c r="AC1666" s="204"/>
    </row>
    <row r="1667" spans="1:29">
      <c r="A1667" s="204"/>
      <c r="B1667" s="204"/>
      <c r="C1667" s="204"/>
      <c r="D1667" s="204"/>
      <c r="E1667" s="204"/>
      <c r="F1667" s="204"/>
      <c r="G1667" s="204"/>
      <c r="H1667" s="204"/>
      <c r="I1667" s="204"/>
      <c r="J1667" s="204"/>
      <c r="K1667" s="204"/>
      <c r="L1667" s="205"/>
      <c r="M1667" s="205"/>
      <c r="N1667" s="204"/>
      <c r="O1667" s="204"/>
      <c r="P1667" s="206"/>
      <c r="Q1667" s="206"/>
      <c r="R1667" s="206"/>
      <c r="S1667" s="206"/>
      <c r="T1667" s="204"/>
      <c r="U1667" s="207"/>
      <c r="V1667" s="204"/>
      <c r="W1667" s="204"/>
      <c r="X1667" s="207"/>
      <c r="Y1667" s="207"/>
      <c r="Z1667" s="204"/>
      <c r="AA1667" s="204"/>
      <c r="AB1667" s="204"/>
      <c r="AC1667" s="204"/>
    </row>
    <row r="1668" spans="1:29">
      <c r="A1668" s="204"/>
      <c r="B1668" s="204"/>
      <c r="C1668" s="204"/>
      <c r="D1668" s="204"/>
      <c r="E1668" s="204"/>
      <c r="F1668" s="204"/>
      <c r="G1668" s="204"/>
      <c r="H1668" s="204"/>
      <c r="I1668" s="204"/>
      <c r="J1668" s="204"/>
      <c r="K1668" s="204"/>
      <c r="L1668" s="205"/>
      <c r="M1668" s="205"/>
      <c r="N1668" s="204"/>
      <c r="O1668" s="204"/>
      <c r="P1668" s="206"/>
      <c r="Q1668" s="206"/>
      <c r="R1668" s="206"/>
      <c r="S1668" s="206"/>
      <c r="T1668" s="204"/>
      <c r="U1668" s="207"/>
      <c r="V1668" s="204"/>
      <c r="W1668" s="204"/>
      <c r="X1668" s="207"/>
      <c r="Y1668" s="207"/>
      <c r="Z1668" s="204"/>
      <c r="AA1668" s="204"/>
      <c r="AB1668" s="204"/>
      <c r="AC1668" s="204"/>
    </row>
    <row r="1669" spans="1:29">
      <c r="A1669" s="204"/>
      <c r="B1669" s="204"/>
      <c r="C1669" s="204"/>
      <c r="D1669" s="204"/>
      <c r="E1669" s="204"/>
      <c r="F1669" s="204"/>
      <c r="G1669" s="204"/>
      <c r="H1669" s="204"/>
      <c r="I1669" s="204"/>
      <c r="J1669" s="204"/>
      <c r="K1669" s="204"/>
      <c r="L1669" s="205"/>
      <c r="M1669" s="205"/>
      <c r="N1669" s="204"/>
      <c r="O1669" s="204"/>
      <c r="P1669" s="206"/>
      <c r="Q1669" s="206"/>
      <c r="R1669" s="206"/>
      <c r="S1669" s="206"/>
      <c r="T1669" s="204"/>
      <c r="U1669" s="207"/>
      <c r="V1669" s="204"/>
      <c r="W1669" s="204"/>
      <c r="X1669" s="207"/>
      <c r="Y1669" s="207"/>
      <c r="Z1669" s="204"/>
      <c r="AA1669" s="204"/>
      <c r="AB1669" s="204"/>
      <c r="AC1669" s="204"/>
    </row>
    <row r="1670" spans="1:29">
      <c r="A1670" s="204"/>
      <c r="B1670" s="204"/>
      <c r="C1670" s="204"/>
      <c r="D1670" s="204"/>
      <c r="E1670" s="204"/>
      <c r="F1670" s="204"/>
      <c r="G1670" s="204"/>
      <c r="H1670" s="204"/>
      <c r="I1670" s="204"/>
      <c r="J1670" s="204"/>
      <c r="K1670" s="204"/>
      <c r="L1670" s="205"/>
      <c r="M1670" s="205"/>
      <c r="N1670" s="204"/>
      <c r="O1670" s="204"/>
      <c r="P1670" s="206"/>
      <c r="Q1670" s="206"/>
      <c r="R1670" s="206"/>
      <c r="S1670" s="206"/>
      <c r="T1670" s="204"/>
      <c r="U1670" s="207"/>
      <c r="V1670" s="204"/>
      <c r="W1670" s="204"/>
      <c r="X1670" s="207"/>
      <c r="Y1670" s="207"/>
      <c r="Z1670" s="204"/>
      <c r="AA1670" s="204"/>
      <c r="AB1670" s="204"/>
      <c r="AC1670" s="204"/>
    </row>
    <row r="1671" spans="1:29">
      <c r="A1671" s="204"/>
      <c r="B1671" s="204"/>
      <c r="C1671" s="204"/>
      <c r="D1671" s="204"/>
      <c r="E1671" s="204"/>
      <c r="F1671" s="204"/>
      <c r="G1671" s="204"/>
      <c r="H1671" s="204"/>
      <c r="I1671" s="204"/>
      <c r="J1671" s="204"/>
      <c r="K1671" s="204"/>
      <c r="L1671" s="205"/>
      <c r="M1671" s="205"/>
      <c r="N1671" s="204"/>
      <c r="O1671" s="204"/>
      <c r="P1671" s="206"/>
      <c r="Q1671" s="206"/>
      <c r="R1671" s="206"/>
      <c r="S1671" s="206"/>
      <c r="T1671" s="204"/>
      <c r="U1671" s="207"/>
      <c r="V1671" s="204"/>
      <c r="W1671" s="204"/>
      <c r="X1671" s="207"/>
      <c r="Y1671" s="207"/>
      <c r="Z1671" s="204"/>
      <c r="AA1671" s="204"/>
      <c r="AB1671" s="204"/>
      <c r="AC1671" s="204"/>
    </row>
    <row r="1672" spans="1:29">
      <c r="A1672" s="204"/>
      <c r="B1672" s="204"/>
      <c r="C1672" s="204"/>
      <c r="D1672" s="204"/>
      <c r="E1672" s="204"/>
      <c r="F1672" s="204"/>
      <c r="G1672" s="204"/>
      <c r="H1672" s="204"/>
      <c r="I1672" s="204"/>
      <c r="J1672" s="204"/>
      <c r="K1672" s="204"/>
      <c r="L1672" s="205"/>
      <c r="M1672" s="205"/>
      <c r="N1672" s="204"/>
      <c r="O1672" s="204"/>
      <c r="P1672" s="206"/>
      <c r="Q1672" s="206"/>
      <c r="R1672" s="206"/>
      <c r="S1672" s="206"/>
      <c r="T1672" s="204"/>
      <c r="U1672" s="207"/>
      <c r="V1672" s="204"/>
      <c r="W1672" s="204"/>
      <c r="X1672" s="207"/>
      <c r="Y1672" s="207"/>
      <c r="Z1672" s="204"/>
      <c r="AA1672" s="204"/>
      <c r="AB1672" s="204"/>
      <c r="AC1672" s="204"/>
    </row>
    <row r="1673" spans="1:29">
      <c r="A1673" s="204"/>
      <c r="B1673" s="204"/>
      <c r="C1673" s="204"/>
      <c r="D1673" s="204"/>
      <c r="E1673" s="204"/>
      <c r="F1673" s="204"/>
      <c r="G1673" s="204"/>
      <c r="H1673" s="204"/>
      <c r="I1673" s="204"/>
      <c r="J1673" s="204"/>
      <c r="K1673" s="204"/>
      <c r="L1673" s="205"/>
      <c r="M1673" s="205"/>
      <c r="N1673" s="204"/>
      <c r="O1673" s="204"/>
      <c r="P1673" s="206"/>
      <c r="Q1673" s="206"/>
      <c r="R1673" s="206"/>
      <c r="S1673" s="206"/>
      <c r="T1673" s="204"/>
      <c r="U1673" s="207"/>
      <c r="V1673" s="204"/>
      <c r="W1673" s="204"/>
      <c r="X1673" s="207"/>
      <c r="Y1673" s="207"/>
      <c r="Z1673" s="204"/>
      <c r="AA1673" s="204"/>
      <c r="AB1673" s="204"/>
      <c r="AC1673" s="204"/>
    </row>
    <row r="1674" spans="1:29">
      <c r="A1674" s="204"/>
      <c r="B1674" s="204"/>
      <c r="C1674" s="204"/>
      <c r="D1674" s="204"/>
      <c r="E1674" s="204"/>
      <c r="F1674" s="204"/>
      <c r="G1674" s="204"/>
      <c r="H1674" s="204"/>
      <c r="I1674" s="204"/>
      <c r="J1674" s="204"/>
      <c r="K1674" s="204"/>
      <c r="L1674" s="205"/>
      <c r="M1674" s="205"/>
      <c r="N1674" s="204"/>
      <c r="O1674" s="204"/>
      <c r="P1674" s="206"/>
      <c r="Q1674" s="206"/>
      <c r="R1674" s="206"/>
      <c r="S1674" s="206"/>
      <c r="T1674" s="204"/>
      <c r="U1674" s="207"/>
      <c r="V1674" s="204"/>
      <c r="W1674" s="204"/>
      <c r="X1674" s="207"/>
      <c r="Y1674" s="207"/>
      <c r="Z1674" s="204"/>
      <c r="AA1674" s="204"/>
      <c r="AB1674" s="204"/>
      <c r="AC1674" s="204"/>
    </row>
    <row r="1675" spans="1:29">
      <c r="A1675" s="204"/>
      <c r="B1675" s="204"/>
      <c r="C1675" s="204"/>
      <c r="D1675" s="204"/>
      <c r="E1675" s="204"/>
      <c r="F1675" s="204"/>
      <c r="G1675" s="204"/>
      <c r="H1675" s="204"/>
      <c r="I1675" s="204"/>
      <c r="J1675" s="204"/>
      <c r="K1675" s="204"/>
      <c r="L1675" s="205"/>
      <c r="M1675" s="205"/>
      <c r="N1675" s="204"/>
      <c r="O1675" s="204"/>
      <c r="P1675" s="206"/>
      <c r="Q1675" s="206"/>
      <c r="R1675" s="206"/>
      <c r="S1675" s="206"/>
      <c r="T1675" s="204"/>
      <c r="U1675" s="207"/>
      <c r="V1675" s="204"/>
      <c r="W1675" s="204"/>
      <c r="X1675" s="207"/>
      <c r="Y1675" s="207"/>
      <c r="Z1675" s="204"/>
      <c r="AA1675" s="204"/>
      <c r="AB1675" s="204"/>
      <c r="AC1675" s="204"/>
    </row>
    <row r="1676" spans="1:29">
      <c r="A1676" s="204"/>
      <c r="B1676" s="204"/>
      <c r="C1676" s="204"/>
      <c r="D1676" s="204"/>
      <c r="E1676" s="204"/>
      <c r="F1676" s="204"/>
      <c r="G1676" s="204"/>
      <c r="H1676" s="204"/>
      <c r="I1676" s="204"/>
      <c r="J1676" s="204"/>
      <c r="K1676" s="204"/>
      <c r="L1676" s="205"/>
      <c r="M1676" s="205"/>
      <c r="N1676" s="204"/>
      <c r="O1676" s="204"/>
      <c r="P1676" s="206"/>
      <c r="Q1676" s="206"/>
      <c r="R1676" s="206"/>
      <c r="S1676" s="206"/>
      <c r="T1676" s="204"/>
      <c r="U1676" s="207"/>
      <c r="V1676" s="204"/>
      <c r="W1676" s="204"/>
      <c r="X1676" s="207"/>
      <c r="Y1676" s="207"/>
      <c r="Z1676" s="204"/>
      <c r="AA1676" s="204"/>
      <c r="AB1676" s="204"/>
      <c r="AC1676" s="204"/>
    </row>
    <row r="1677" spans="1:29">
      <c r="A1677" s="204"/>
      <c r="B1677" s="204"/>
      <c r="C1677" s="204"/>
      <c r="D1677" s="204"/>
      <c r="E1677" s="204"/>
      <c r="F1677" s="204"/>
      <c r="G1677" s="204"/>
      <c r="H1677" s="204"/>
      <c r="I1677" s="204"/>
      <c r="J1677" s="204"/>
      <c r="K1677" s="204"/>
      <c r="L1677" s="205"/>
      <c r="M1677" s="205"/>
      <c r="N1677" s="204"/>
      <c r="O1677" s="204"/>
      <c r="P1677" s="206"/>
      <c r="Q1677" s="206"/>
      <c r="R1677" s="206"/>
      <c r="S1677" s="206"/>
      <c r="T1677" s="204"/>
      <c r="U1677" s="207"/>
      <c r="V1677" s="204"/>
      <c r="W1677" s="204"/>
      <c r="X1677" s="207"/>
      <c r="Y1677" s="207"/>
      <c r="Z1677" s="204"/>
      <c r="AA1677" s="204"/>
      <c r="AB1677" s="204"/>
      <c r="AC1677" s="204"/>
    </row>
    <row r="1678" spans="1:29">
      <c r="A1678" s="204"/>
      <c r="B1678" s="204"/>
      <c r="C1678" s="204"/>
      <c r="D1678" s="204"/>
      <c r="E1678" s="204"/>
      <c r="F1678" s="204"/>
      <c r="G1678" s="204"/>
      <c r="H1678" s="204"/>
      <c r="I1678" s="204"/>
      <c r="J1678" s="204"/>
      <c r="K1678" s="204"/>
      <c r="L1678" s="205"/>
      <c r="M1678" s="205"/>
      <c r="N1678" s="204"/>
      <c r="O1678" s="204"/>
      <c r="P1678" s="206"/>
      <c r="Q1678" s="206"/>
      <c r="R1678" s="206"/>
      <c r="S1678" s="206"/>
      <c r="T1678" s="204"/>
      <c r="U1678" s="207"/>
      <c r="V1678" s="204"/>
      <c r="W1678" s="204"/>
      <c r="X1678" s="207"/>
      <c r="Y1678" s="207"/>
      <c r="Z1678" s="204"/>
      <c r="AA1678" s="204"/>
      <c r="AB1678" s="204"/>
      <c r="AC1678" s="204"/>
    </row>
    <row r="1679" spans="1:29">
      <c r="A1679" s="204"/>
      <c r="B1679" s="204"/>
      <c r="C1679" s="204"/>
      <c r="D1679" s="204"/>
      <c r="E1679" s="204"/>
      <c r="F1679" s="204"/>
      <c r="G1679" s="204"/>
      <c r="H1679" s="204"/>
      <c r="I1679" s="204"/>
      <c r="J1679" s="204"/>
      <c r="K1679" s="204"/>
      <c r="L1679" s="205"/>
      <c r="M1679" s="205"/>
      <c r="N1679" s="204"/>
      <c r="O1679" s="204"/>
      <c r="P1679" s="206"/>
      <c r="Q1679" s="206"/>
      <c r="R1679" s="206"/>
      <c r="S1679" s="206"/>
      <c r="T1679" s="204"/>
      <c r="U1679" s="207"/>
      <c r="V1679" s="204"/>
      <c r="W1679" s="204"/>
      <c r="X1679" s="207"/>
      <c r="Y1679" s="207"/>
      <c r="Z1679" s="204"/>
      <c r="AA1679" s="204"/>
      <c r="AB1679" s="204"/>
      <c r="AC1679" s="204"/>
    </row>
    <row r="1680" spans="1:29">
      <c r="A1680" s="204"/>
      <c r="B1680" s="204"/>
      <c r="C1680" s="204"/>
      <c r="D1680" s="204"/>
      <c r="E1680" s="204"/>
      <c r="F1680" s="204"/>
      <c r="G1680" s="204"/>
      <c r="H1680" s="204"/>
      <c r="I1680" s="204"/>
      <c r="J1680" s="204"/>
      <c r="K1680" s="204"/>
      <c r="L1680" s="205"/>
      <c r="M1680" s="205"/>
      <c r="N1680" s="204"/>
      <c r="O1680" s="204"/>
      <c r="P1680" s="206"/>
      <c r="Q1680" s="206"/>
      <c r="R1680" s="206"/>
      <c r="S1680" s="206"/>
      <c r="T1680" s="204"/>
      <c r="U1680" s="207"/>
      <c r="V1680" s="204"/>
      <c r="W1680" s="204"/>
      <c r="X1680" s="207"/>
      <c r="Y1680" s="207"/>
      <c r="Z1680" s="204"/>
      <c r="AA1680" s="204"/>
      <c r="AB1680" s="204"/>
      <c r="AC1680" s="204"/>
    </row>
    <row r="1681" spans="1:29">
      <c r="A1681" s="204"/>
      <c r="B1681" s="204"/>
      <c r="C1681" s="204"/>
      <c r="D1681" s="204"/>
      <c r="E1681" s="204"/>
      <c r="F1681" s="204"/>
      <c r="G1681" s="204"/>
      <c r="H1681" s="204"/>
      <c r="I1681" s="204"/>
      <c r="J1681" s="204"/>
      <c r="K1681" s="204"/>
      <c r="L1681" s="205"/>
      <c r="M1681" s="205"/>
      <c r="N1681" s="204"/>
      <c r="O1681" s="204"/>
      <c r="P1681" s="206"/>
      <c r="Q1681" s="206"/>
      <c r="R1681" s="206"/>
      <c r="S1681" s="206"/>
      <c r="T1681" s="204"/>
      <c r="U1681" s="207"/>
      <c r="V1681" s="204"/>
      <c r="W1681" s="204"/>
      <c r="X1681" s="207"/>
      <c r="Y1681" s="207"/>
      <c r="Z1681" s="204"/>
      <c r="AA1681" s="204"/>
      <c r="AB1681" s="204"/>
      <c r="AC1681" s="204"/>
    </row>
    <row r="1682" spans="1:29">
      <c r="A1682" s="204"/>
      <c r="B1682" s="204"/>
      <c r="C1682" s="204"/>
      <c r="D1682" s="204"/>
      <c r="E1682" s="204"/>
      <c r="F1682" s="204"/>
      <c r="G1682" s="204"/>
      <c r="H1682" s="204"/>
      <c r="I1682" s="204"/>
      <c r="J1682" s="204"/>
      <c r="K1682" s="204"/>
      <c r="L1682" s="205"/>
      <c r="M1682" s="205"/>
      <c r="N1682" s="204"/>
      <c r="O1682" s="204"/>
      <c r="P1682" s="206"/>
      <c r="Q1682" s="206"/>
      <c r="R1682" s="206"/>
      <c r="S1682" s="206"/>
      <c r="T1682" s="204"/>
      <c r="U1682" s="207"/>
      <c r="V1682" s="204"/>
      <c r="W1682" s="204"/>
      <c r="X1682" s="207"/>
      <c r="Y1682" s="207"/>
      <c r="Z1682" s="204"/>
      <c r="AA1682" s="204"/>
      <c r="AB1682" s="204"/>
      <c r="AC1682" s="204"/>
    </row>
    <row r="1683" spans="1:29">
      <c r="A1683" s="204"/>
      <c r="B1683" s="204"/>
      <c r="C1683" s="204"/>
      <c r="D1683" s="204"/>
      <c r="E1683" s="204"/>
      <c r="F1683" s="204"/>
      <c r="G1683" s="204"/>
      <c r="H1683" s="204"/>
      <c r="I1683" s="204"/>
      <c r="J1683" s="204"/>
      <c r="K1683" s="204"/>
      <c r="L1683" s="205"/>
      <c r="M1683" s="205"/>
      <c r="N1683" s="204"/>
      <c r="O1683" s="204"/>
      <c r="P1683" s="206"/>
      <c r="Q1683" s="206"/>
      <c r="R1683" s="206"/>
      <c r="S1683" s="206"/>
      <c r="T1683" s="204"/>
      <c r="U1683" s="207"/>
      <c r="V1683" s="204"/>
      <c r="W1683" s="204"/>
      <c r="X1683" s="207"/>
      <c r="Y1683" s="207"/>
      <c r="Z1683" s="204"/>
      <c r="AA1683" s="204"/>
      <c r="AB1683" s="204"/>
      <c r="AC1683" s="204"/>
    </row>
    <row r="1684" spans="1:29">
      <c r="A1684" s="204"/>
      <c r="B1684" s="204"/>
      <c r="C1684" s="204"/>
      <c r="D1684" s="204"/>
      <c r="E1684" s="204"/>
      <c r="F1684" s="204"/>
      <c r="G1684" s="204"/>
      <c r="H1684" s="204"/>
      <c r="I1684" s="204"/>
      <c r="J1684" s="204"/>
      <c r="K1684" s="204"/>
      <c r="L1684" s="205"/>
      <c r="M1684" s="205"/>
      <c r="N1684" s="204"/>
      <c r="O1684" s="204"/>
      <c r="P1684" s="206"/>
      <c r="Q1684" s="206"/>
      <c r="R1684" s="206"/>
      <c r="S1684" s="206"/>
      <c r="T1684" s="204"/>
      <c r="U1684" s="207"/>
      <c r="V1684" s="204"/>
      <c r="W1684" s="204"/>
      <c r="X1684" s="207"/>
      <c r="Y1684" s="207"/>
      <c r="Z1684" s="204"/>
      <c r="AA1684" s="204"/>
      <c r="AB1684" s="204"/>
      <c r="AC1684" s="204"/>
    </row>
    <row r="1685" spans="1:29">
      <c r="A1685" s="204"/>
      <c r="B1685" s="204"/>
      <c r="C1685" s="204"/>
      <c r="D1685" s="204"/>
      <c r="E1685" s="204"/>
      <c r="F1685" s="204"/>
      <c r="G1685" s="204"/>
      <c r="H1685" s="204"/>
      <c r="I1685" s="204"/>
      <c r="J1685" s="204"/>
      <c r="K1685" s="204"/>
      <c r="L1685" s="205"/>
      <c r="M1685" s="205"/>
      <c r="N1685" s="204"/>
      <c r="O1685" s="204"/>
      <c r="P1685" s="206"/>
      <c r="Q1685" s="206"/>
      <c r="R1685" s="206"/>
      <c r="S1685" s="206"/>
      <c r="T1685" s="204"/>
      <c r="U1685" s="207"/>
      <c r="V1685" s="204"/>
      <c r="W1685" s="204"/>
      <c r="X1685" s="207"/>
      <c r="Y1685" s="207"/>
      <c r="Z1685" s="204"/>
      <c r="AA1685" s="204"/>
      <c r="AB1685" s="204"/>
      <c r="AC1685" s="204"/>
    </row>
    <row r="1686" spans="1:29">
      <c r="A1686" s="204"/>
      <c r="B1686" s="204"/>
      <c r="C1686" s="204"/>
      <c r="D1686" s="204"/>
      <c r="E1686" s="204"/>
      <c r="F1686" s="204"/>
      <c r="G1686" s="204"/>
      <c r="H1686" s="204"/>
      <c r="I1686" s="204"/>
      <c r="J1686" s="204"/>
      <c r="K1686" s="204"/>
      <c r="L1686" s="205"/>
      <c r="M1686" s="205"/>
      <c r="N1686" s="204"/>
      <c r="O1686" s="204"/>
      <c r="P1686" s="206"/>
      <c r="Q1686" s="206"/>
      <c r="R1686" s="206"/>
      <c r="S1686" s="206"/>
      <c r="T1686" s="204"/>
      <c r="U1686" s="207"/>
      <c r="V1686" s="204"/>
      <c r="W1686" s="204"/>
      <c r="X1686" s="207"/>
      <c r="Y1686" s="207"/>
      <c r="Z1686" s="204"/>
      <c r="AA1686" s="204"/>
      <c r="AB1686" s="204"/>
      <c r="AC1686" s="204"/>
    </row>
    <row r="1687" spans="1:29">
      <c r="A1687" s="204"/>
      <c r="B1687" s="204"/>
      <c r="C1687" s="204"/>
      <c r="D1687" s="204"/>
      <c r="E1687" s="204"/>
      <c r="F1687" s="204"/>
      <c r="G1687" s="204"/>
      <c r="H1687" s="204"/>
      <c r="I1687" s="204"/>
      <c r="J1687" s="204"/>
      <c r="K1687" s="204"/>
      <c r="L1687" s="205"/>
      <c r="M1687" s="205"/>
      <c r="N1687" s="204"/>
      <c r="O1687" s="204"/>
      <c r="P1687" s="206"/>
      <c r="Q1687" s="206"/>
      <c r="R1687" s="206"/>
      <c r="S1687" s="206"/>
      <c r="T1687" s="204"/>
      <c r="U1687" s="207"/>
      <c r="V1687" s="204"/>
      <c r="W1687" s="204"/>
      <c r="X1687" s="207"/>
      <c r="Y1687" s="207"/>
      <c r="Z1687" s="204"/>
      <c r="AA1687" s="204"/>
      <c r="AB1687" s="204"/>
      <c r="AC1687" s="204"/>
    </row>
    <row r="1688" spans="1:29">
      <c r="A1688" s="204"/>
      <c r="B1688" s="204"/>
      <c r="C1688" s="204"/>
      <c r="D1688" s="204"/>
      <c r="E1688" s="204"/>
      <c r="F1688" s="204"/>
      <c r="G1688" s="204"/>
      <c r="H1688" s="204"/>
      <c r="I1688" s="204"/>
      <c r="J1688" s="204"/>
      <c r="K1688" s="204"/>
      <c r="L1688" s="205"/>
      <c r="M1688" s="205"/>
      <c r="N1688" s="204"/>
      <c r="O1688" s="204"/>
      <c r="P1688" s="206"/>
      <c r="Q1688" s="206"/>
      <c r="R1688" s="206"/>
      <c r="S1688" s="206"/>
      <c r="T1688" s="204"/>
      <c r="U1688" s="207"/>
      <c r="V1688" s="204"/>
      <c r="W1688" s="204"/>
      <c r="X1688" s="207"/>
      <c r="Y1688" s="207"/>
      <c r="Z1688" s="204"/>
      <c r="AA1688" s="204"/>
      <c r="AB1688" s="204"/>
      <c r="AC1688" s="204"/>
    </row>
    <row r="1689" spans="1:29">
      <c r="A1689" s="204"/>
      <c r="B1689" s="204"/>
      <c r="C1689" s="204"/>
      <c r="D1689" s="204"/>
      <c r="E1689" s="204"/>
      <c r="F1689" s="204"/>
      <c r="G1689" s="204"/>
      <c r="H1689" s="204"/>
      <c r="I1689" s="204"/>
      <c r="J1689" s="204"/>
      <c r="K1689" s="204"/>
      <c r="L1689" s="205"/>
      <c r="M1689" s="205"/>
      <c r="N1689" s="204"/>
      <c r="O1689" s="204"/>
      <c r="P1689" s="206"/>
      <c r="Q1689" s="206"/>
      <c r="R1689" s="206"/>
      <c r="S1689" s="206"/>
      <c r="T1689" s="204"/>
      <c r="U1689" s="207"/>
      <c r="V1689" s="204"/>
      <c r="W1689" s="204"/>
      <c r="X1689" s="207"/>
      <c r="Y1689" s="207"/>
      <c r="Z1689" s="204"/>
      <c r="AA1689" s="204"/>
      <c r="AB1689" s="204"/>
      <c r="AC1689" s="204"/>
    </row>
    <row r="1690" spans="1:29">
      <c r="A1690" s="204"/>
      <c r="B1690" s="204"/>
      <c r="C1690" s="204"/>
      <c r="D1690" s="204"/>
      <c r="E1690" s="204"/>
      <c r="F1690" s="204"/>
      <c r="G1690" s="204"/>
      <c r="H1690" s="204"/>
      <c r="I1690" s="204"/>
      <c r="J1690" s="204"/>
      <c r="K1690" s="204"/>
      <c r="L1690" s="205"/>
      <c r="M1690" s="205"/>
      <c r="N1690" s="204"/>
      <c r="O1690" s="204"/>
      <c r="P1690" s="206"/>
      <c r="Q1690" s="206"/>
      <c r="R1690" s="206"/>
      <c r="S1690" s="206"/>
      <c r="T1690" s="204"/>
      <c r="U1690" s="207"/>
      <c r="V1690" s="204"/>
      <c r="W1690" s="204"/>
      <c r="X1690" s="207"/>
      <c r="Y1690" s="207"/>
      <c r="Z1690" s="204"/>
      <c r="AA1690" s="204"/>
      <c r="AB1690" s="204"/>
      <c r="AC1690" s="204"/>
    </row>
    <row r="1691" spans="1:29">
      <c r="A1691" s="204"/>
      <c r="B1691" s="204"/>
      <c r="C1691" s="204"/>
      <c r="D1691" s="204"/>
      <c r="E1691" s="204"/>
      <c r="F1691" s="204"/>
      <c r="G1691" s="204"/>
      <c r="H1691" s="204"/>
      <c r="I1691" s="204"/>
      <c r="J1691" s="204"/>
      <c r="K1691" s="204"/>
      <c r="L1691" s="205"/>
      <c r="M1691" s="205"/>
      <c r="N1691" s="204"/>
      <c r="O1691" s="204"/>
      <c r="P1691" s="206"/>
      <c r="Q1691" s="206"/>
      <c r="R1691" s="206"/>
      <c r="S1691" s="206"/>
      <c r="T1691" s="204"/>
      <c r="U1691" s="207"/>
      <c r="V1691" s="204"/>
      <c r="W1691" s="204"/>
      <c r="X1691" s="207"/>
      <c r="Y1691" s="207"/>
      <c r="Z1691" s="204"/>
      <c r="AA1691" s="204"/>
      <c r="AB1691" s="204"/>
      <c r="AC1691" s="204"/>
    </row>
    <row r="1692" spans="1:29">
      <c r="A1692" s="204"/>
      <c r="B1692" s="204"/>
      <c r="C1692" s="204"/>
      <c r="D1692" s="204"/>
      <c r="E1692" s="204"/>
      <c r="F1692" s="204"/>
      <c r="G1692" s="204"/>
      <c r="H1692" s="204"/>
      <c r="I1692" s="204"/>
      <c r="J1692" s="204"/>
      <c r="K1692" s="204"/>
      <c r="L1692" s="205"/>
      <c r="M1692" s="205"/>
      <c r="N1692" s="204"/>
      <c r="O1692" s="204"/>
      <c r="P1692" s="206"/>
      <c r="Q1692" s="206"/>
      <c r="R1692" s="206"/>
      <c r="S1692" s="206"/>
      <c r="T1692" s="204"/>
      <c r="U1692" s="207"/>
      <c r="V1692" s="204"/>
      <c r="W1692" s="204"/>
      <c r="X1692" s="207"/>
      <c r="Y1692" s="207"/>
      <c r="Z1692" s="204"/>
      <c r="AA1692" s="204"/>
      <c r="AB1692" s="204"/>
      <c r="AC1692" s="204"/>
    </row>
    <row r="1693" spans="1:29">
      <c r="A1693" s="204"/>
      <c r="B1693" s="204"/>
      <c r="C1693" s="204"/>
      <c r="D1693" s="204"/>
      <c r="E1693" s="204"/>
      <c r="F1693" s="204"/>
      <c r="G1693" s="204"/>
      <c r="H1693" s="204"/>
      <c r="I1693" s="204"/>
      <c r="J1693" s="204"/>
      <c r="K1693" s="204"/>
      <c r="L1693" s="205"/>
      <c r="M1693" s="205"/>
      <c r="N1693" s="204"/>
      <c r="O1693" s="204"/>
      <c r="P1693" s="206"/>
      <c r="Q1693" s="206"/>
      <c r="R1693" s="206"/>
      <c r="S1693" s="206"/>
      <c r="T1693" s="204"/>
      <c r="U1693" s="207"/>
      <c r="V1693" s="204"/>
      <c r="W1693" s="204"/>
      <c r="X1693" s="207"/>
      <c r="Y1693" s="207"/>
      <c r="Z1693" s="204"/>
      <c r="AA1693" s="204"/>
      <c r="AB1693" s="204"/>
      <c r="AC1693" s="204"/>
    </row>
    <row r="1694" spans="1:29">
      <c r="A1694" s="204"/>
      <c r="B1694" s="204"/>
      <c r="C1694" s="204"/>
      <c r="D1694" s="204"/>
      <c r="E1694" s="204"/>
      <c r="F1694" s="204"/>
      <c r="G1694" s="204"/>
      <c r="H1694" s="204"/>
      <c r="I1694" s="204"/>
      <c r="J1694" s="204"/>
      <c r="K1694" s="204"/>
      <c r="L1694" s="205"/>
      <c r="M1694" s="205"/>
      <c r="N1694" s="204"/>
      <c r="O1694" s="204"/>
      <c r="P1694" s="206"/>
      <c r="Q1694" s="206"/>
      <c r="R1694" s="206"/>
      <c r="S1694" s="206"/>
      <c r="T1694" s="204"/>
      <c r="U1694" s="207"/>
      <c r="V1694" s="204"/>
      <c r="W1694" s="204"/>
      <c r="X1694" s="207"/>
      <c r="Y1694" s="207"/>
      <c r="Z1694" s="204"/>
      <c r="AA1694" s="204"/>
      <c r="AB1694" s="204"/>
      <c r="AC1694" s="204"/>
    </row>
    <row r="1695" spans="1:29">
      <c r="A1695" s="204"/>
      <c r="B1695" s="204"/>
      <c r="C1695" s="204"/>
      <c r="D1695" s="204"/>
      <c r="E1695" s="204"/>
      <c r="F1695" s="204"/>
      <c r="G1695" s="204"/>
      <c r="H1695" s="204"/>
      <c r="I1695" s="204"/>
      <c r="J1695" s="204"/>
      <c r="K1695" s="204"/>
      <c r="L1695" s="205"/>
      <c r="M1695" s="205"/>
      <c r="N1695" s="204"/>
      <c r="O1695" s="204"/>
      <c r="P1695" s="206"/>
      <c r="Q1695" s="206"/>
      <c r="R1695" s="206"/>
      <c r="S1695" s="206"/>
      <c r="T1695" s="204"/>
      <c r="U1695" s="207"/>
      <c r="V1695" s="204"/>
      <c r="W1695" s="204"/>
      <c r="X1695" s="207"/>
      <c r="Y1695" s="207"/>
      <c r="Z1695" s="204"/>
      <c r="AA1695" s="204"/>
      <c r="AB1695" s="204"/>
      <c r="AC1695" s="204"/>
    </row>
    <row r="1696" spans="1:29">
      <c r="A1696" s="204"/>
      <c r="B1696" s="204"/>
      <c r="C1696" s="204"/>
      <c r="D1696" s="204"/>
      <c r="E1696" s="204"/>
      <c r="F1696" s="204"/>
      <c r="G1696" s="204"/>
      <c r="H1696" s="204"/>
      <c r="I1696" s="204"/>
      <c r="J1696" s="204"/>
      <c r="K1696" s="204"/>
      <c r="L1696" s="205"/>
      <c r="M1696" s="205"/>
      <c r="N1696" s="204"/>
      <c r="O1696" s="204"/>
      <c r="P1696" s="206"/>
      <c r="Q1696" s="206"/>
      <c r="R1696" s="206"/>
      <c r="S1696" s="206"/>
      <c r="T1696" s="204"/>
      <c r="U1696" s="207"/>
      <c r="V1696" s="204"/>
      <c r="W1696" s="204"/>
      <c r="X1696" s="207"/>
      <c r="Y1696" s="207"/>
      <c r="Z1696" s="204"/>
      <c r="AA1696" s="204"/>
      <c r="AB1696" s="204"/>
      <c r="AC1696" s="204"/>
    </row>
    <row r="1697" spans="1:29">
      <c r="A1697" s="204"/>
      <c r="B1697" s="204"/>
      <c r="C1697" s="204"/>
      <c r="D1697" s="204"/>
      <c r="E1697" s="204"/>
      <c r="F1697" s="204"/>
      <c r="G1697" s="204"/>
      <c r="H1697" s="204"/>
      <c r="I1697" s="204"/>
      <c r="J1697" s="204"/>
      <c r="K1697" s="204"/>
      <c r="L1697" s="205"/>
      <c r="M1697" s="205"/>
      <c r="N1697" s="204"/>
      <c r="O1697" s="204"/>
      <c r="P1697" s="206"/>
      <c r="Q1697" s="206"/>
      <c r="R1697" s="206"/>
      <c r="S1697" s="206"/>
      <c r="T1697" s="204"/>
      <c r="U1697" s="207"/>
      <c r="V1697" s="204"/>
      <c r="W1697" s="204"/>
      <c r="X1697" s="207"/>
      <c r="Y1697" s="207"/>
      <c r="Z1697" s="204"/>
      <c r="AA1697" s="204"/>
      <c r="AB1697" s="204"/>
      <c r="AC1697" s="204"/>
    </row>
    <row r="1698" spans="1:29">
      <c r="A1698" s="204"/>
      <c r="B1698" s="204"/>
      <c r="C1698" s="204"/>
      <c r="D1698" s="204"/>
      <c r="E1698" s="204"/>
      <c r="F1698" s="204"/>
      <c r="G1698" s="204"/>
      <c r="H1698" s="204"/>
      <c r="I1698" s="204"/>
      <c r="J1698" s="204"/>
      <c r="K1698" s="204"/>
      <c r="L1698" s="205"/>
      <c r="M1698" s="205"/>
      <c r="N1698" s="204"/>
      <c r="O1698" s="204"/>
      <c r="P1698" s="206"/>
      <c r="Q1698" s="206"/>
      <c r="R1698" s="206"/>
      <c r="S1698" s="206"/>
      <c r="T1698" s="204"/>
      <c r="U1698" s="207"/>
      <c r="V1698" s="204"/>
      <c r="W1698" s="204"/>
      <c r="X1698" s="207"/>
      <c r="Y1698" s="207"/>
      <c r="Z1698" s="204"/>
      <c r="AA1698" s="204"/>
      <c r="AB1698" s="204"/>
      <c r="AC1698" s="204"/>
    </row>
    <row r="1699" spans="1:29">
      <c r="A1699" s="204"/>
      <c r="B1699" s="204"/>
      <c r="C1699" s="204"/>
      <c r="D1699" s="204"/>
      <c r="E1699" s="204"/>
      <c r="F1699" s="204"/>
      <c r="G1699" s="204"/>
      <c r="H1699" s="204"/>
      <c r="I1699" s="204"/>
      <c r="J1699" s="204"/>
      <c r="K1699" s="204"/>
      <c r="L1699" s="205"/>
      <c r="M1699" s="205"/>
      <c r="N1699" s="204"/>
      <c r="O1699" s="204"/>
      <c r="P1699" s="206"/>
      <c r="Q1699" s="206"/>
      <c r="R1699" s="206"/>
      <c r="S1699" s="206"/>
      <c r="T1699" s="204"/>
      <c r="U1699" s="207"/>
      <c r="V1699" s="204"/>
      <c r="W1699" s="204"/>
      <c r="X1699" s="207"/>
      <c r="Y1699" s="207"/>
      <c r="Z1699" s="204"/>
      <c r="AA1699" s="204"/>
      <c r="AB1699" s="204"/>
      <c r="AC1699" s="204"/>
    </row>
    <row r="1700" spans="1:29">
      <c r="A1700" s="204"/>
      <c r="B1700" s="204"/>
      <c r="C1700" s="204"/>
      <c r="D1700" s="204"/>
      <c r="E1700" s="204"/>
      <c r="F1700" s="204"/>
      <c r="G1700" s="204"/>
      <c r="H1700" s="204"/>
      <c r="I1700" s="204"/>
      <c r="J1700" s="204"/>
      <c r="K1700" s="204"/>
      <c r="L1700" s="205"/>
      <c r="M1700" s="205"/>
      <c r="N1700" s="204"/>
      <c r="O1700" s="204"/>
      <c r="P1700" s="206"/>
      <c r="Q1700" s="206"/>
      <c r="R1700" s="206"/>
      <c r="S1700" s="206"/>
      <c r="T1700" s="204"/>
      <c r="U1700" s="207"/>
      <c r="V1700" s="204"/>
      <c r="W1700" s="204"/>
      <c r="X1700" s="207"/>
      <c r="Y1700" s="207"/>
      <c r="Z1700" s="204"/>
      <c r="AA1700" s="204"/>
      <c r="AB1700" s="204"/>
      <c r="AC1700" s="204"/>
    </row>
    <row r="1701" spans="1:29">
      <c r="A1701" s="204"/>
      <c r="B1701" s="204"/>
      <c r="C1701" s="204"/>
      <c r="D1701" s="204"/>
      <c r="E1701" s="204"/>
      <c r="F1701" s="204"/>
      <c r="G1701" s="204"/>
      <c r="H1701" s="204"/>
      <c r="I1701" s="204"/>
      <c r="J1701" s="204"/>
      <c r="K1701" s="204"/>
      <c r="L1701" s="205"/>
      <c r="M1701" s="205"/>
      <c r="N1701" s="204"/>
      <c r="O1701" s="204"/>
      <c r="P1701" s="206"/>
      <c r="Q1701" s="206"/>
      <c r="R1701" s="206"/>
      <c r="S1701" s="206"/>
      <c r="T1701" s="204"/>
      <c r="U1701" s="207"/>
      <c r="V1701" s="204"/>
      <c r="W1701" s="204"/>
      <c r="X1701" s="207"/>
      <c r="Y1701" s="207"/>
      <c r="Z1701" s="204"/>
      <c r="AA1701" s="204"/>
      <c r="AB1701" s="204"/>
      <c r="AC1701" s="204"/>
    </row>
    <row r="1702" spans="1:29">
      <c r="A1702" s="204"/>
      <c r="B1702" s="204"/>
      <c r="C1702" s="204"/>
      <c r="D1702" s="204"/>
      <c r="E1702" s="204"/>
      <c r="F1702" s="204"/>
      <c r="G1702" s="204"/>
      <c r="H1702" s="204"/>
      <c r="I1702" s="204"/>
      <c r="J1702" s="204"/>
      <c r="K1702" s="204"/>
      <c r="L1702" s="205"/>
      <c r="M1702" s="205"/>
      <c r="N1702" s="204"/>
      <c r="O1702" s="204"/>
      <c r="P1702" s="206"/>
      <c r="Q1702" s="206"/>
      <c r="R1702" s="206"/>
      <c r="S1702" s="206"/>
      <c r="T1702" s="204"/>
      <c r="U1702" s="207"/>
      <c r="V1702" s="204"/>
      <c r="W1702" s="204"/>
      <c r="X1702" s="207"/>
      <c r="Y1702" s="207"/>
      <c r="Z1702" s="204"/>
      <c r="AA1702" s="204"/>
      <c r="AB1702" s="204"/>
      <c r="AC1702" s="204"/>
    </row>
    <row r="1703" spans="1:29">
      <c r="A1703" s="204"/>
      <c r="B1703" s="204"/>
      <c r="C1703" s="204"/>
      <c r="D1703" s="204"/>
      <c r="E1703" s="204"/>
      <c r="F1703" s="204"/>
      <c r="G1703" s="204"/>
      <c r="H1703" s="204"/>
      <c r="I1703" s="204"/>
      <c r="J1703" s="204"/>
      <c r="K1703" s="204"/>
      <c r="L1703" s="205"/>
      <c r="M1703" s="205"/>
      <c r="N1703" s="204"/>
      <c r="O1703" s="204"/>
      <c r="P1703" s="206"/>
      <c r="Q1703" s="206"/>
      <c r="R1703" s="206"/>
      <c r="S1703" s="206"/>
      <c r="T1703" s="204"/>
      <c r="U1703" s="207"/>
      <c r="V1703" s="204"/>
      <c r="W1703" s="204"/>
      <c r="X1703" s="207"/>
      <c r="Y1703" s="207"/>
      <c r="Z1703" s="204"/>
      <c r="AA1703" s="204"/>
      <c r="AB1703" s="204"/>
      <c r="AC1703" s="204"/>
    </row>
    <row r="1704" spans="1:29">
      <c r="A1704" s="204"/>
      <c r="B1704" s="204"/>
      <c r="C1704" s="204"/>
      <c r="D1704" s="204"/>
      <c r="E1704" s="204"/>
      <c r="F1704" s="204"/>
      <c r="G1704" s="204"/>
      <c r="H1704" s="204"/>
      <c r="I1704" s="204"/>
      <c r="J1704" s="204"/>
      <c r="K1704" s="204"/>
      <c r="L1704" s="205"/>
      <c r="M1704" s="205"/>
      <c r="N1704" s="204"/>
      <c r="O1704" s="204"/>
      <c r="P1704" s="206"/>
      <c r="Q1704" s="206"/>
      <c r="R1704" s="206"/>
      <c r="S1704" s="206"/>
      <c r="T1704" s="204"/>
      <c r="U1704" s="207"/>
      <c r="V1704" s="204"/>
      <c r="W1704" s="204"/>
      <c r="X1704" s="207"/>
      <c r="Y1704" s="207"/>
      <c r="Z1704" s="204"/>
      <c r="AA1704" s="204"/>
      <c r="AB1704" s="204"/>
      <c r="AC1704" s="204"/>
    </row>
    <row r="1705" spans="1:29">
      <c r="A1705" s="204"/>
      <c r="B1705" s="204"/>
      <c r="C1705" s="204"/>
      <c r="D1705" s="204"/>
      <c r="E1705" s="204"/>
      <c r="F1705" s="204"/>
      <c r="G1705" s="204"/>
      <c r="H1705" s="204"/>
      <c r="I1705" s="204"/>
      <c r="J1705" s="204"/>
      <c r="K1705" s="204"/>
      <c r="L1705" s="205"/>
      <c r="M1705" s="205"/>
      <c r="N1705" s="204"/>
      <c r="O1705" s="204"/>
      <c r="P1705" s="206"/>
      <c r="Q1705" s="206"/>
      <c r="R1705" s="206"/>
      <c r="S1705" s="206"/>
      <c r="T1705" s="204"/>
      <c r="U1705" s="207"/>
      <c r="V1705" s="204"/>
      <c r="W1705" s="204"/>
      <c r="X1705" s="207"/>
      <c r="Y1705" s="207"/>
      <c r="Z1705" s="204"/>
      <c r="AA1705" s="204"/>
      <c r="AB1705" s="204"/>
      <c r="AC1705" s="204"/>
    </row>
    <row r="1706" spans="1:29">
      <c r="A1706" s="204"/>
      <c r="B1706" s="204"/>
      <c r="C1706" s="204"/>
      <c r="D1706" s="204"/>
      <c r="E1706" s="204"/>
      <c r="F1706" s="204"/>
      <c r="G1706" s="204"/>
      <c r="H1706" s="204"/>
      <c r="I1706" s="204"/>
      <c r="J1706" s="204"/>
      <c r="K1706" s="204"/>
      <c r="L1706" s="205"/>
      <c r="M1706" s="205"/>
      <c r="N1706" s="204"/>
      <c r="O1706" s="204"/>
      <c r="P1706" s="206"/>
      <c r="Q1706" s="206"/>
      <c r="R1706" s="206"/>
      <c r="S1706" s="206"/>
      <c r="T1706" s="204"/>
      <c r="U1706" s="207"/>
      <c r="V1706" s="204"/>
      <c r="W1706" s="204"/>
      <c r="X1706" s="207"/>
      <c r="Y1706" s="207"/>
      <c r="Z1706" s="204"/>
      <c r="AA1706" s="204"/>
      <c r="AB1706" s="204"/>
      <c r="AC1706" s="204"/>
    </row>
    <row r="1707" spans="1:29">
      <c r="A1707" s="204"/>
      <c r="B1707" s="204"/>
      <c r="C1707" s="204"/>
      <c r="D1707" s="204"/>
      <c r="E1707" s="204"/>
      <c r="F1707" s="204"/>
      <c r="G1707" s="204"/>
      <c r="H1707" s="204"/>
      <c r="I1707" s="204"/>
      <c r="J1707" s="204"/>
      <c r="K1707" s="204"/>
      <c r="L1707" s="205"/>
      <c r="M1707" s="205"/>
      <c r="N1707" s="204"/>
      <c r="O1707" s="204"/>
      <c r="P1707" s="206"/>
      <c r="Q1707" s="206"/>
      <c r="R1707" s="206"/>
      <c r="S1707" s="206"/>
      <c r="T1707" s="204"/>
      <c r="U1707" s="207"/>
      <c r="V1707" s="204"/>
      <c r="W1707" s="204"/>
      <c r="X1707" s="207"/>
      <c r="Y1707" s="207"/>
      <c r="Z1707" s="204"/>
      <c r="AA1707" s="204"/>
      <c r="AB1707" s="204"/>
      <c r="AC1707" s="204"/>
    </row>
    <row r="1708" spans="1:29">
      <c r="A1708" s="204"/>
      <c r="B1708" s="204"/>
      <c r="C1708" s="204"/>
      <c r="D1708" s="204"/>
      <c r="E1708" s="204"/>
      <c r="F1708" s="204"/>
      <c r="G1708" s="204"/>
      <c r="H1708" s="204"/>
      <c r="I1708" s="204"/>
      <c r="J1708" s="204"/>
      <c r="K1708" s="204"/>
      <c r="L1708" s="205"/>
      <c r="M1708" s="205"/>
      <c r="N1708" s="204"/>
      <c r="O1708" s="204"/>
      <c r="P1708" s="206"/>
      <c r="Q1708" s="206"/>
      <c r="R1708" s="206"/>
      <c r="S1708" s="206"/>
      <c r="T1708" s="204"/>
      <c r="U1708" s="207"/>
      <c r="V1708" s="204"/>
      <c r="W1708" s="204"/>
      <c r="X1708" s="207"/>
      <c r="Y1708" s="207"/>
      <c r="Z1708" s="204"/>
      <c r="AA1708" s="204"/>
      <c r="AB1708" s="204"/>
      <c r="AC1708" s="204"/>
    </row>
    <row r="1709" spans="1:29">
      <c r="A1709" s="204"/>
      <c r="B1709" s="204"/>
      <c r="C1709" s="204"/>
      <c r="D1709" s="204"/>
      <c r="E1709" s="204"/>
      <c r="F1709" s="204"/>
      <c r="G1709" s="204"/>
      <c r="H1709" s="204"/>
      <c r="I1709" s="204"/>
      <c r="J1709" s="204"/>
      <c r="K1709" s="204"/>
      <c r="L1709" s="205"/>
      <c r="M1709" s="205"/>
      <c r="N1709" s="204"/>
      <c r="O1709" s="204"/>
      <c r="P1709" s="206"/>
      <c r="Q1709" s="206"/>
      <c r="R1709" s="206"/>
      <c r="S1709" s="206"/>
      <c r="T1709" s="204"/>
      <c r="U1709" s="207"/>
      <c r="V1709" s="204"/>
      <c r="W1709" s="204"/>
      <c r="X1709" s="207"/>
      <c r="Y1709" s="207"/>
      <c r="Z1709" s="204"/>
      <c r="AA1709" s="204"/>
      <c r="AB1709" s="204"/>
      <c r="AC1709" s="204"/>
    </row>
    <row r="1710" spans="1:29">
      <c r="A1710" s="204"/>
      <c r="B1710" s="204"/>
      <c r="C1710" s="204"/>
      <c r="D1710" s="204"/>
      <c r="E1710" s="204"/>
      <c r="F1710" s="204"/>
      <c r="G1710" s="204"/>
      <c r="H1710" s="204"/>
      <c r="I1710" s="204"/>
      <c r="J1710" s="204"/>
      <c r="K1710" s="204"/>
      <c r="L1710" s="205"/>
      <c r="M1710" s="205"/>
      <c r="N1710" s="204"/>
      <c r="O1710" s="204"/>
      <c r="P1710" s="206"/>
      <c r="Q1710" s="206"/>
      <c r="R1710" s="206"/>
      <c r="S1710" s="206"/>
      <c r="T1710" s="204"/>
      <c r="U1710" s="207"/>
      <c r="V1710" s="204"/>
      <c r="W1710" s="204"/>
      <c r="X1710" s="207"/>
      <c r="Y1710" s="207"/>
      <c r="Z1710" s="204"/>
      <c r="AA1710" s="204"/>
      <c r="AB1710" s="204"/>
      <c r="AC1710" s="204"/>
    </row>
    <row r="1711" spans="1:29">
      <c r="A1711" s="204"/>
      <c r="B1711" s="204"/>
      <c r="C1711" s="204"/>
      <c r="D1711" s="204"/>
      <c r="E1711" s="204"/>
      <c r="F1711" s="204"/>
      <c r="G1711" s="204"/>
      <c r="H1711" s="204"/>
      <c r="I1711" s="204"/>
      <c r="J1711" s="204"/>
      <c r="K1711" s="204"/>
      <c r="L1711" s="205"/>
      <c r="M1711" s="205"/>
      <c r="N1711" s="204"/>
      <c r="O1711" s="204"/>
      <c r="P1711" s="206"/>
      <c r="Q1711" s="206"/>
      <c r="R1711" s="206"/>
      <c r="S1711" s="206"/>
      <c r="T1711" s="204"/>
      <c r="U1711" s="207"/>
      <c r="V1711" s="204"/>
      <c r="W1711" s="204"/>
      <c r="X1711" s="207"/>
      <c r="Y1711" s="207"/>
      <c r="Z1711" s="204"/>
      <c r="AA1711" s="204"/>
      <c r="AB1711" s="204"/>
      <c r="AC1711" s="204"/>
    </row>
    <row r="1712" spans="1:29">
      <c r="A1712" s="204"/>
      <c r="B1712" s="204"/>
      <c r="C1712" s="204"/>
      <c r="D1712" s="204"/>
      <c r="E1712" s="204"/>
      <c r="F1712" s="204"/>
      <c r="G1712" s="204"/>
      <c r="H1712" s="204"/>
      <c r="I1712" s="204"/>
      <c r="J1712" s="204"/>
      <c r="K1712" s="204"/>
      <c r="L1712" s="205"/>
      <c r="M1712" s="205"/>
      <c r="N1712" s="204"/>
      <c r="O1712" s="204"/>
      <c r="P1712" s="206"/>
      <c r="Q1712" s="206"/>
      <c r="R1712" s="206"/>
      <c r="S1712" s="206"/>
      <c r="T1712" s="204"/>
      <c r="U1712" s="207"/>
      <c r="V1712" s="204"/>
      <c r="W1712" s="204"/>
      <c r="X1712" s="207"/>
      <c r="Y1712" s="207"/>
      <c r="Z1712" s="204"/>
      <c r="AA1712" s="204"/>
      <c r="AB1712" s="204"/>
      <c r="AC1712" s="204"/>
    </row>
    <row r="1713" spans="1:29">
      <c r="A1713" s="204"/>
      <c r="B1713" s="204"/>
      <c r="C1713" s="204"/>
      <c r="D1713" s="204"/>
      <c r="E1713" s="204"/>
      <c r="F1713" s="204"/>
      <c r="G1713" s="204"/>
      <c r="H1713" s="204"/>
      <c r="I1713" s="204"/>
      <c r="J1713" s="204"/>
      <c r="K1713" s="204"/>
      <c r="L1713" s="205"/>
      <c r="M1713" s="205"/>
      <c r="N1713" s="204"/>
      <c r="O1713" s="204"/>
      <c r="P1713" s="206"/>
      <c r="Q1713" s="206"/>
      <c r="R1713" s="206"/>
      <c r="S1713" s="206"/>
      <c r="T1713" s="204"/>
      <c r="U1713" s="207"/>
      <c r="V1713" s="204"/>
      <c r="W1713" s="204"/>
      <c r="X1713" s="207"/>
      <c r="Y1713" s="207"/>
      <c r="Z1713" s="204"/>
      <c r="AA1713" s="204"/>
      <c r="AB1713" s="204"/>
      <c r="AC1713" s="204"/>
    </row>
    <row r="1714" spans="1:29">
      <c r="A1714" s="204"/>
      <c r="B1714" s="204"/>
      <c r="C1714" s="204"/>
      <c r="D1714" s="204"/>
      <c r="E1714" s="204"/>
      <c r="F1714" s="204"/>
      <c r="G1714" s="204"/>
      <c r="H1714" s="204"/>
      <c r="I1714" s="204"/>
      <c r="J1714" s="204"/>
      <c r="K1714" s="204"/>
      <c r="L1714" s="205"/>
      <c r="M1714" s="205"/>
      <c r="N1714" s="204"/>
      <c r="O1714" s="204"/>
      <c r="P1714" s="206"/>
      <c r="Q1714" s="206"/>
      <c r="R1714" s="206"/>
      <c r="S1714" s="206"/>
      <c r="T1714" s="204"/>
      <c r="U1714" s="207"/>
      <c r="V1714" s="204"/>
      <c r="W1714" s="204"/>
      <c r="X1714" s="207"/>
      <c r="Y1714" s="207"/>
      <c r="Z1714" s="204"/>
      <c r="AA1714" s="204"/>
      <c r="AB1714" s="204"/>
      <c r="AC1714" s="204"/>
    </row>
    <row r="1715" spans="1:29">
      <c r="A1715" s="204"/>
      <c r="B1715" s="204"/>
      <c r="C1715" s="204"/>
      <c r="D1715" s="204"/>
      <c r="E1715" s="204"/>
      <c r="F1715" s="204"/>
      <c r="G1715" s="204"/>
      <c r="H1715" s="204"/>
      <c r="I1715" s="204"/>
      <c r="J1715" s="204"/>
      <c r="K1715" s="204"/>
      <c r="L1715" s="205"/>
      <c r="M1715" s="205"/>
      <c r="N1715" s="204"/>
      <c r="O1715" s="204"/>
      <c r="P1715" s="206"/>
      <c r="Q1715" s="206"/>
      <c r="R1715" s="206"/>
      <c r="S1715" s="206"/>
      <c r="T1715" s="204"/>
      <c r="U1715" s="207"/>
      <c r="V1715" s="204"/>
      <c r="W1715" s="204"/>
      <c r="X1715" s="207"/>
      <c r="Y1715" s="207"/>
      <c r="Z1715" s="204"/>
      <c r="AA1715" s="204"/>
      <c r="AB1715" s="204"/>
      <c r="AC1715" s="204"/>
    </row>
    <row r="1716" spans="1:29">
      <c r="A1716" s="204"/>
      <c r="B1716" s="204"/>
      <c r="C1716" s="204"/>
      <c r="D1716" s="204"/>
      <c r="E1716" s="204"/>
      <c r="F1716" s="204"/>
      <c r="G1716" s="204"/>
      <c r="H1716" s="204"/>
      <c r="I1716" s="204"/>
      <c r="J1716" s="204"/>
      <c r="K1716" s="204"/>
      <c r="L1716" s="205"/>
      <c r="M1716" s="205"/>
      <c r="N1716" s="204"/>
      <c r="O1716" s="204"/>
      <c r="P1716" s="206"/>
      <c r="Q1716" s="206"/>
      <c r="R1716" s="206"/>
      <c r="S1716" s="206"/>
      <c r="T1716" s="204"/>
      <c r="U1716" s="207"/>
      <c r="V1716" s="204"/>
      <c r="W1716" s="204"/>
      <c r="X1716" s="207"/>
      <c r="Y1716" s="207"/>
      <c r="Z1716" s="204"/>
      <c r="AA1716" s="204"/>
      <c r="AB1716" s="204"/>
      <c r="AC1716" s="204"/>
    </row>
    <row r="1717" spans="1:29">
      <c r="A1717" s="204"/>
      <c r="B1717" s="204"/>
      <c r="C1717" s="204"/>
      <c r="D1717" s="204"/>
      <c r="E1717" s="204"/>
      <c r="F1717" s="204"/>
      <c r="G1717" s="204"/>
      <c r="H1717" s="204"/>
      <c r="I1717" s="204"/>
      <c r="J1717" s="204"/>
      <c r="K1717" s="204"/>
      <c r="L1717" s="205"/>
      <c r="M1717" s="205"/>
      <c r="N1717" s="204"/>
      <c r="O1717" s="204"/>
      <c r="P1717" s="206"/>
      <c r="Q1717" s="206"/>
      <c r="R1717" s="206"/>
      <c r="S1717" s="206"/>
      <c r="T1717" s="204"/>
      <c r="U1717" s="207"/>
      <c r="V1717" s="204"/>
      <c r="W1717" s="204"/>
      <c r="X1717" s="207"/>
      <c r="Y1717" s="207"/>
      <c r="Z1717" s="204"/>
      <c r="AA1717" s="204"/>
      <c r="AB1717" s="204"/>
      <c r="AC1717" s="204"/>
    </row>
    <row r="1718" spans="1:29">
      <c r="A1718" s="204"/>
      <c r="B1718" s="204"/>
      <c r="C1718" s="204"/>
      <c r="D1718" s="204"/>
      <c r="E1718" s="204"/>
      <c r="F1718" s="204"/>
      <c r="G1718" s="204"/>
      <c r="H1718" s="204"/>
      <c r="I1718" s="204"/>
      <c r="J1718" s="204"/>
      <c r="K1718" s="204"/>
      <c r="L1718" s="205"/>
      <c r="M1718" s="205"/>
      <c r="N1718" s="204"/>
      <c r="O1718" s="204"/>
      <c r="P1718" s="206"/>
      <c r="Q1718" s="206"/>
      <c r="R1718" s="206"/>
      <c r="S1718" s="206"/>
      <c r="T1718" s="204"/>
      <c r="U1718" s="207"/>
      <c r="V1718" s="204"/>
      <c r="W1718" s="204"/>
      <c r="X1718" s="207"/>
      <c r="Y1718" s="207"/>
      <c r="Z1718" s="204"/>
      <c r="AA1718" s="204"/>
      <c r="AB1718" s="204"/>
      <c r="AC1718" s="204"/>
    </row>
    <row r="1719" spans="1:29">
      <c r="A1719" s="204"/>
      <c r="B1719" s="204"/>
      <c r="C1719" s="204"/>
      <c r="D1719" s="204"/>
      <c r="E1719" s="204"/>
      <c r="F1719" s="204"/>
      <c r="G1719" s="204"/>
      <c r="H1719" s="204"/>
      <c r="I1719" s="204"/>
      <c r="J1719" s="204"/>
      <c r="K1719" s="204"/>
      <c r="L1719" s="205"/>
      <c r="M1719" s="205"/>
      <c r="N1719" s="204"/>
      <c r="O1719" s="204"/>
      <c r="P1719" s="206"/>
      <c r="Q1719" s="206"/>
      <c r="R1719" s="206"/>
      <c r="S1719" s="206"/>
      <c r="T1719" s="204"/>
      <c r="U1719" s="207"/>
      <c r="V1719" s="204"/>
      <c r="W1719" s="204"/>
      <c r="X1719" s="207"/>
      <c r="Y1719" s="207"/>
      <c r="Z1719" s="204"/>
      <c r="AA1719" s="204"/>
      <c r="AB1719" s="204"/>
      <c r="AC1719" s="204"/>
    </row>
    <row r="1720" spans="1:29">
      <c r="A1720" s="204"/>
      <c r="B1720" s="204"/>
      <c r="C1720" s="204"/>
      <c r="D1720" s="204"/>
      <c r="E1720" s="204"/>
      <c r="F1720" s="204"/>
      <c r="G1720" s="204"/>
      <c r="H1720" s="204"/>
      <c r="I1720" s="204"/>
      <c r="J1720" s="204"/>
      <c r="K1720" s="204"/>
      <c r="L1720" s="205"/>
      <c r="M1720" s="205"/>
      <c r="N1720" s="204"/>
      <c r="O1720" s="204"/>
      <c r="P1720" s="206"/>
      <c r="Q1720" s="206"/>
      <c r="R1720" s="206"/>
      <c r="S1720" s="206"/>
      <c r="T1720" s="204"/>
      <c r="U1720" s="207"/>
      <c r="V1720" s="204"/>
      <c r="W1720" s="204"/>
      <c r="X1720" s="207"/>
      <c r="Y1720" s="207"/>
      <c r="Z1720" s="204"/>
      <c r="AA1720" s="204"/>
      <c r="AB1720" s="204"/>
      <c r="AC1720" s="204"/>
    </row>
    <row r="1721" spans="1:29">
      <c r="A1721" s="204"/>
      <c r="B1721" s="204"/>
      <c r="C1721" s="204"/>
      <c r="D1721" s="204"/>
      <c r="E1721" s="204"/>
      <c r="F1721" s="204"/>
      <c r="G1721" s="204"/>
      <c r="H1721" s="204"/>
      <c r="I1721" s="204"/>
      <c r="J1721" s="204"/>
      <c r="K1721" s="204"/>
      <c r="L1721" s="205"/>
      <c r="M1721" s="205"/>
      <c r="N1721" s="204"/>
      <c r="O1721" s="204"/>
      <c r="P1721" s="206"/>
      <c r="Q1721" s="206"/>
      <c r="R1721" s="206"/>
      <c r="S1721" s="206"/>
      <c r="T1721" s="204"/>
      <c r="U1721" s="207"/>
      <c r="V1721" s="204"/>
      <c r="W1721" s="204"/>
      <c r="X1721" s="207"/>
      <c r="Y1721" s="207"/>
      <c r="Z1721" s="204"/>
      <c r="AA1721" s="204"/>
      <c r="AB1721" s="204"/>
      <c r="AC1721" s="204"/>
    </row>
    <row r="1722" spans="1:29">
      <c r="A1722" s="204"/>
      <c r="B1722" s="204"/>
      <c r="C1722" s="204"/>
      <c r="D1722" s="204"/>
      <c r="E1722" s="204"/>
      <c r="F1722" s="204"/>
      <c r="G1722" s="204"/>
      <c r="H1722" s="204"/>
      <c r="I1722" s="204"/>
      <c r="J1722" s="204"/>
      <c r="K1722" s="204"/>
      <c r="L1722" s="205"/>
      <c r="M1722" s="205"/>
      <c r="N1722" s="204"/>
      <c r="O1722" s="204"/>
      <c r="P1722" s="206"/>
      <c r="Q1722" s="206"/>
      <c r="R1722" s="206"/>
      <c r="S1722" s="206"/>
      <c r="T1722" s="204"/>
      <c r="U1722" s="207"/>
      <c r="V1722" s="204"/>
      <c r="W1722" s="204"/>
      <c r="X1722" s="207"/>
      <c r="Y1722" s="207"/>
      <c r="Z1722" s="204"/>
      <c r="AA1722" s="204"/>
      <c r="AB1722" s="204"/>
      <c r="AC1722" s="204"/>
    </row>
    <row r="1723" spans="1:29">
      <c r="A1723" s="204"/>
      <c r="B1723" s="204"/>
      <c r="C1723" s="204"/>
      <c r="D1723" s="204"/>
      <c r="E1723" s="204"/>
      <c r="F1723" s="204"/>
      <c r="G1723" s="204"/>
      <c r="H1723" s="204"/>
      <c r="I1723" s="204"/>
      <c r="J1723" s="204"/>
      <c r="K1723" s="204"/>
      <c r="L1723" s="205"/>
      <c r="M1723" s="205"/>
      <c r="N1723" s="204"/>
      <c r="O1723" s="204"/>
      <c r="P1723" s="206"/>
      <c r="Q1723" s="206"/>
      <c r="R1723" s="206"/>
      <c r="S1723" s="206"/>
      <c r="T1723" s="204"/>
      <c r="U1723" s="207"/>
      <c r="V1723" s="204"/>
      <c r="W1723" s="204"/>
      <c r="X1723" s="207"/>
      <c r="Y1723" s="207"/>
      <c r="Z1723" s="204"/>
      <c r="AA1723" s="204"/>
      <c r="AB1723" s="204"/>
      <c r="AC1723" s="204"/>
    </row>
    <row r="1724" spans="1:29">
      <c r="A1724" s="204"/>
      <c r="B1724" s="204"/>
      <c r="C1724" s="204"/>
      <c r="D1724" s="204"/>
      <c r="E1724" s="204"/>
      <c r="F1724" s="204"/>
      <c r="G1724" s="204"/>
      <c r="H1724" s="204"/>
      <c r="I1724" s="204"/>
      <c r="J1724" s="204"/>
      <c r="K1724" s="204"/>
      <c r="L1724" s="205"/>
      <c r="M1724" s="205"/>
      <c r="N1724" s="204"/>
      <c r="O1724" s="204"/>
      <c r="P1724" s="206"/>
      <c r="Q1724" s="206"/>
      <c r="R1724" s="206"/>
      <c r="S1724" s="206"/>
      <c r="T1724" s="204"/>
      <c r="U1724" s="207"/>
      <c r="V1724" s="204"/>
      <c r="W1724" s="204"/>
      <c r="X1724" s="207"/>
      <c r="Y1724" s="207"/>
      <c r="Z1724" s="204"/>
      <c r="AA1724" s="204"/>
      <c r="AB1724" s="204"/>
      <c r="AC1724" s="204"/>
    </row>
    <row r="1725" spans="1:29">
      <c r="A1725" s="204"/>
      <c r="B1725" s="204"/>
      <c r="C1725" s="204"/>
      <c r="D1725" s="204"/>
      <c r="E1725" s="204"/>
      <c r="F1725" s="204"/>
      <c r="G1725" s="204"/>
      <c r="H1725" s="204"/>
      <c r="I1725" s="204"/>
      <c r="J1725" s="204"/>
      <c r="K1725" s="204"/>
      <c r="L1725" s="205"/>
      <c r="M1725" s="205"/>
      <c r="N1725" s="204"/>
      <c r="O1725" s="204"/>
      <c r="P1725" s="206"/>
      <c r="Q1725" s="206"/>
      <c r="R1725" s="206"/>
      <c r="S1725" s="206"/>
      <c r="T1725" s="204"/>
      <c r="U1725" s="207"/>
      <c r="V1725" s="204"/>
      <c r="W1725" s="204"/>
      <c r="X1725" s="207"/>
      <c r="Y1725" s="207"/>
      <c r="Z1725" s="204"/>
      <c r="AA1725" s="204"/>
      <c r="AB1725" s="204"/>
      <c r="AC1725" s="204"/>
    </row>
    <row r="1726" spans="1:29">
      <c r="A1726" s="204"/>
      <c r="B1726" s="204"/>
      <c r="C1726" s="204"/>
      <c r="D1726" s="204"/>
      <c r="E1726" s="204"/>
      <c r="F1726" s="204"/>
      <c r="G1726" s="204"/>
      <c r="H1726" s="204"/>
      <c r="I1726" s="204"/>
      <c r="J1726" s="204"/>
      <c r="K1726" s="204"/>
      <c r="L1726" s="205"/>
      <c r="M1726" s="205"/>
      <c r="N1726" s="204"/>
      <c r="O1726" s="204"/>
      <c r="P1726" s="206"/>
      <c r="Q1726" s="206"/>
      <c r="R1726" s="206"/>
      <c r="S1726" s="206"/>
      <c r="T1726" s="204"/>
      <c r="U1726" s="207"/>
      <c r="V1726" s="204"/>
      <c r="W1726" s="204"/>
      <c r="X1726" s="207"/>
      <c r="Y1726" s="207"/>
      <c r="Z1726" s="204"/>
      <c r="AA1726" s="204"/>
      <c r="AB1726" s="204"/>
      <c r="AC1726" s="204"/>
    </row>
    <row r="1727" spans="1:29">
      <c r="A1727" s="204"/>
      <c r="B1727" s="204"/>
      <c r="C1727" s="204"/>
      <c r="D1727" s="204"/>
      <c r="E1727" s="204"/>
      <c r="F1727" s="204"/>
      <c r="G1727" s="204"/>
      <c r="H1727" s="204"/>
      <c r="I1727" s="204"/>
      <c r="J1727" s="204"/>
      <c r="K1727" s="204"/>
      <c r="L1727" s="205"/>
      <c r="M1727" s="205"/>
      <c r="N1727" s="204"/>
      <c r="O1727" s="204"/>
      <c r="P1727" s="206"/>
      <c r="Q1727" s="206"/>
      <c r="R1727" s="206"/>
      <c r="S1727" s="206"/>
      <c r="T1727" s="204"/>
      <c r="U1727" s="207"/>
      <c r="V1727" s="204"/>
      <c r="W1727" s="204"/>
      <c r="X1727" s="207"/>
      <c r="Y1727" s="207"/>
      <c r="Z1727" s="204"/>
      <c r="AA1727" s="204"/>
      <c r="AB1727" s="204"/>
      <c r="AC1727" s="204"/>
    </row>
    <row r="1728" spans="1:29">
      <c r="A1728" s="204"/>
      <c r="B1728" s="204"/>
      <c r="C1728" s="204"/>
      <c r="D1728" s="204"/>
      <c r="E1728" s="204"/>
      <c r="F1728" s="204"/>
      <c r="G1728" s="204"/>
      <c r="H1728" s="204"/>
      <c r="I1728" s="204"/>
      <c r="J1728" s="204"/>
      <c r="K1728" s="204"/>
      <c r="L1728" s="205"/>
      <c r="M1728" s="205"/>
      <c r="N1728" s="204"/>
      <c r="O1728" s="204"/>
      <c r="P1728" s="206"/>
      <c r="Q1728" s="206"/>
      <c r="R1728" s="206"/>
      <c r="S1728" s="206"/>
      <c r="T1728" s="204"/>
      <c r="U1728" s="207"/>
      <c r="V1728" s="204"/>
      <c r="W1728" s="204"/>
      <c r="X1728" s="207"/>
      <c r="Y1728" s="207"/>
      <c r="Z1728" s="204"/>
      <c r="AA1728" s="204"/>
      <c r="AB1728" s="204"/>
      <c r="AC1728" s="204"/>
    </row>
    <row r="1729" spans="1:29">
      <c r="A1729" s="204"/>
      <c r="B1729" s="204"/>
      <c r="C1729" s="204"/>
      <c r="D1729" s="204"/>
      <c r="E1729" s="204"/>
      <c r="F1729" s="204"/>
      <c r="G1729" s="204"/>
      <c r="H1729" s="204"/>
      <c r="I1729" s="204"/>
      <c r="J1729" s="204"/>
      <c r="K1729" s="204"/>
      <c r="L1729" s="205"/>
      <c r="M1729" s="205"/>
      <c r="N1729" s="204"/>
      <c r="O1729" s="204"/>
      <c r="P1729" s="206"/>
      <c r="Q1729" s="206"/>
      <c r="R1729" s="206"/>
      <c r="S1729" s="206"/>
      <c r="T1729" s="204"/>
      <c r="U1729" s="207"/>
      <c r="V1729" s="204"/>
      <c r="W1729" s="204"/>
      <c r="X1729" s="207"/>
      <c r="Y1729" s="207"/>
      <c r="Z1729" s="204"/>
      <c r="AA1729" s="204"/>
      <c r="AB1729" s="204"/>
      <c r="AC1729" s="204"/>
    </row>
    <row r="1730" spans="1:29">
      <c r="A1730" s="204"/>
      <c r="B1730" s="204"/>
      <c r="C1730" s="204"/>
      <c r="D1730" s="204"/>
      <c r="E1730" s="204"/>
      <c r="F1730" s="204"/>
      <c r="G1730" s="204"/>
      <c r="H1730" s="204"/>
      <c r="I1730" s="204"/>
      <c r="J1730" s="204"/>
      <c r="K1730" s="204"/>
      <c r="L1730" s="205"/>
      <c r="M1730" s="205"/>
      <c r="N1730" s="204"/>
      <c r="O1730" s="204"/>
      <c r="P1730" s="206"/>
      <c r="Q1730" s="206"/>
      <c r="R1730" s="206"/>
      <c r="S1730" s="206"/>
      <c r="T1730" s="204"/>
      <c r="U1730" s="207"/>
      <c r="V1730" s="204"/>
      <c r="W1730" s="204"/>
      <c r="X1730" s="207"/>
      <c r="Y1730" s="207"/>
      <c r="Z1730" s="204"/>
      <c r="AA1730" s="204"/>
      <c r="AB1730" s="204"/>
      <c r="AC1730" s="204"/>
    </row>
    <row r="1731" spans="1:29">
      <c r="A1731" s="204"/>
      <c r="B1731" s="204"/>
      <c r="C1731" s="204"/>
      <c r="D1731" s="204"/>
      <c r="E1731" s="204"/>
      <c r="F1731" s="204"/>
      <c r="G1731" s="204"/>
      <c r="H1731" s="204"/>
      <c r="I1731" s="204"/>
      <c r="J1731" s="204"/>
      <c r="K1731" s="204"/>
      <c r="L1731" s="205"/>
      <c r="M1731" s="205"/>
      <c r="N1731" s="204"/>
      <c r="O1731" s="204"/>
      <c r="P1731" s="206"/>
      <c r="Q1731" s="206"/>
      <c r="R1731" s="206"/>
      <c r="S1731" s="206"/>
      <c r="T1731" s="204"/>
      <c r="U1731" s="207"/>
      <c r="V1731" s="204"/>
      <c r="W1731" s="204"/>
      <c r="X1731" s="207"/>
      <c r="Y1731" s="207"/>
      <c r="Z1731" s="204"/>
      <c r="AA1731" s="204"/>
      <c r="AB1731" s="204"/>
      <c r="AC1731" s="204"/>
    </row>
    <row r="1732" spans="1:29">
      <c r="A1732" s="204"/>
      <c r="B1732" s="204"/>
      <c r="C1732" s="204"/>
      <c r="D1732" s="204"/>
      <c r="E1732" s="204"/>
      <c r="F1732" s="204"/>
      <c r="G1732" s="204"/>
      <c r="H1732" s="204"/>
      <c r="I1732" s="204"/>
      <c r="J1732" s="204"/>
      <c r="K1732" s="204"/>
      <c r="L1732" s="205"/>
      <c r="M1732" s="205"/>
      <c r="N1732" s="204"/>
      <c r="O1732" s="204"/>
      <c r="P1732" s="206"/>
      <c r="Q1732" s="206"/>
      <c r="R1732" s="206"/>
      <c r="S1732" s="206"/>
      <c r="T1732" s="204"/>
      <c r="U1732" s="207"/>
      <c r="V1732" s="204"/>
      <c r="W1732" s="204"/>
      <c r="X1732" s="207"/>
      <c r="Y1732" s="207"/>
      <c r="Z1732" s="204"/>
      <c r="AA1732" s="204"/>
      <c r="AB1732" s="204"/>
      <c r="AC1732" s="204"/>
    </row>
    <row r="1733" spans="1:29">
      <c r="A1733" s="204"/>
      <c r="B1733" s="204"/>
      <c r="C1733" s="204"/>
      <c r="D1733" s="204"/>
      <c r="E1733" s="204"/>
      <c r="F1733" s="204"/>
      <c r="G1733" s="204"/>
      <c r="H1733" s="204"/>
      <c r="I1733" s="204"/>
      <c r="J1733" s="204"/>
      <c r="K1733" s="204"/>
      <c r="L1733" s="205"/>
      <c r="M1733" s="205"/>
      <c r="N1733" s="204"/>
      <c r="O1733" s="204"/>
      <c r="P1733" s="206"/>
      <c r="Q1733" s="206"/>
      <c r="R1733" s="206"/>
      <c r="S1733" s="206"/>
      <c r="T1733" s="204"/>
      <c r="U1733" s="207"/>
      <c r="V1733" s="204"/>
      <c r="W1733" s="204"/>
      <c r="X1733" s="207"/>
      <c r="Y1733" s="207"/>
      <c r="Z1733" s="204"/>
      <c r="AA1733" s="204"/>
      <c r="AB1733" s="204"/>
      <c r="AC1733" s="204"/>
    </row>
    <row r="1734" spans="1:29">
      <c r="A1734" s="204"/>
      <c r="B1734" s="204"/>
      <c r="C1734" s="204"/>
      <c r="D1734" s="204"/>
      <c r="E1734" s="204"/>
      <c r="F1734" s="204"/>
      <c r="G1734" s="204"/>
      <c r="H1734" s="204"/>
      <c r="I1734" s="204"/>
      <c r="J1734" s="204"/>
      <c r="K1734" s="204"/>
      <c r="L1734" s="205"/>
      <c r="M1734" s="205"/>
      <c r="N1734" s="204"/>
      <c r="O1734" s="204"/>
      <c r="P1734" s="206"/>
      <c r="Q1734" s="206"/>
      <c r="R1734" s="206"/>
      <c r="S1734" s="206"/>
      <c r="T1734" s="204"/>
      <c r="U1734" s="207"/>
      <c r="V1734" s="204"/>
      <c r="W1734" s="204"/>
      <c r="X1734" s="207"/>
      <c r="Y1734" s="207"/>
      <c r="Z1734" s="204"/>
      <c r="AA1734" s="204"/>
      <c r="AB1734" s="204"/>
      <c r="AC1734" s="204"/>
    </row>
    <row r="1735" spans="1:29">
      <c r="A1735" s="204"/>
      <c r="B1735" s="204"/>
      <c r="C1735" s="204"/>
      <c r="D1735" s="204"/>
      <c r="E1735" s="204"/>
      <c r="F1735" s="204"/>
      <c r="G1735" s="204"/>
      <c r="H1735" s="204"/>
      <c r="I1735" s="204"/>
      <c r="J1735" s="204"/>
      <c r="K1735" s="204"/>
      <c r="L1735" s="205"/>
      <c r="M1735" s="205"/>
      <c r="N1735" s="204"/>
      <c r="O1735" s="204"/>
      <c r="P1735" s="206"/>
      <c r="Q1735" s="206"/>
      <c r="R1735" s="206"/>
      <c r="S1735" s="206"/>
      <c r="T1735" s="204"/>
      <c r="U1735" s="207"/>
      <c r="V1735" s="204"/>
      <c r="W1735" s="204"/>
      <c r="X1735" s="207"/>
      <c r="Y1735" s="207"/>
      <c r="Z1735" s="204"/>
      <c r="AA1735" s="204"/>
      <c r="AB1735" s="204"/>
      <c r="AC1735" s="204"/>
    </row>
    <row r="1736" spans="1:29">
      <c r="A1736" s="204"/>
      <c r="B1736" s="204"/>
      <c r="C1736" s="204"/>
      <c r="D1736" s="204"/>
      <c r="E1736" s="204"/>
      <c r="F1736" s="204"/>
      <c r="G1736" s="204"/>
      <c r="H1736" s="204"/>
      <c r="I1736" s="204"/>
      <c r="J1736" s="204"/>
      <c r="K1736" s="204"/>
      <c r="L1736" s="205"/>
      <c r="M1736" s="205"/>
      <c r="N1736" s="204"/>
      <c r="O1736" s="204"/>
      <c r="P1736" s="206"/>
      <c r="Q1736" s="206"/>
      <c r="R1736" s="206"/>
      <c r="S1736" s="206"/>
      <c r="T1736" s="204"/>
      <c r="U1736" s="207"/>
      <c r="V1736" s="204"/>
      <c r="W1736" s="204"/>
      <c r="X1736" s="207"/>
      <c r="Y1736" s="207"/>
      <c r="Z1736" s="204"/>
      <c r="AA1736" s="204"/>
      <c r="AB1736" s="204"/>
      <c r="AC1736" s="204"/>
    </row>
    <row r="1737" spans="1:29">
      <c r="A1737" s="204"/>
      <c r="B1737" s="204"/>
      <c r="C1737" s="204"/>
      <c r="D1737" s="204"/>
      <c r="E1737" s="204"/>
      <c r="F1737" s="204"/>
      <c r="G1737" s="204"/>
      <c r="H1737" s="204"/>
      <c r="I1737" s="204"/>
      <c r="J1737" s="204"/>
      <c r="K1737" s="204"/>
      <c r="L1737" s="205"/>
      <c r="M1737" s="205"/>
      <c r="N1737" s="204"/>
      <c r="O1737" s="204"/>
      <c r="P1737" s="206"/>
      <c r="Q1737" s="206"/>
      <c r="R1737" s="206"/>
      <c r="S1737" s="206"/>
      <c r="T1737" s="204"/>
      <c r="U1737" s="207"/>
      <c r="V1737" s="204"/>
      <c r="W1737" s="204"/>
      <c r="X1737" s="207"/>
      <c r="Y1737" s="207"/>
      <c r="Z1737" s="204"/>
      <c r="AA1737" s="204"/>
      <c r="AB1737" s="204"/>
      <c r="AC1737" s="204"/>
    </row>
    <row r="1738" spans="1:29">
      <c r="A1738" s="204"/>
      <c r="B1738" s="204"/>
      <c r="C1738" s="204"/>
      <c r="D1738" s="204"/>
      <c r="E1738" s="204"/>
      <c r="F1738" s="204"/>
      <c r="G1738" s="204"/>
      <c r="H1738" s="204"/>
      <c r="I1738" s="204"/>
      <c r="J1738" s="204"/>
      <c r="K1738" s="204"/>
      <c r="L1738" s="205"/>
      <c r="M1738" s="205"/>
      <c r="N1738" s="204"/>
      <c r="O1738" s="204"/>
      <c r="P1738" s="206"/>
      <c r="Q1738" s="206"/>
      <c r="R1738" s="206"/>
      <c r="S1738" s="206"/>
      <c r="T1738" s="204"/>
      <c r="U1738" s="207"/>
      <c r="V1738" s="204"/>
      <c r="W1738" s="204"/>
      <c r="X1738" s="207"/>
      <c r="Y1738" s="207"/>
      <c r="Z1738" s="204"/>
      <c r="AA1738" s="204"/>
      <c r="AB1738" s="204"/>
      <c r="AC1738" s="204"/>
    </row>
    <row r="1739" spans="1:29">
      <c r="A1739" s="204"/>
      <c r="B1739" s="204"/>
      <c r="C1739" s="204"/>
      <c r="D1739" s="204"/>
      <c r="E1739" s="204"/>
      <c r="F1739" s="204"/>
      <c r="G1739" s="204"/>
      <c r="H1739" s="204"/>
      <c r="I1739" s="204"/>
      <c r="J1739" s="204"/>
      <c r="K1739" s="204"/>
      <c r="L1739" s="205"/>
      <c r="M1739" s="205"/>
      <c r="N1739" s="204"/>
      <c r="O1739" s="204"/>
      <c r="P1739" s="206"/>
      <c r="Q1739" s="206"/>
      <c r="R1739" s="206"/>
      <c r="S1739" s="206"/>
      <c r="T1739" s="204"/>
      <c r="U1739" s="207"/>
      <c r="V1739" s="204"/>
      <c r="W1739" s="204"/>
      <c r="X1739" s="207"/>
      <c r="Y1739" s="207"/>
      <c r="Z1739" s="204"/>
      <c r="AA1739" s="204"/>
      <c r="AB1739" s="204"/>
      <c r="AC1739" s="204"/>
    </row>
    <row r="1740" spans="1:29">
      <c r="A1740" s="204"/>
      <c r="B1740" s="204"/>
      <c r="C1740" s="204"/>
      <c r="D1740" s="204"/>
      <c r="E1740" s="204"/>
      <c r="F1740" s="204"/>
      <c r="G1740" s="204"/>
      <c r="H1740" s="204"/>
      <c r="I1740" s="204"/>
      <c r="J1740" s="204"/>
      <c r="K1740" s="204"/>
      <c r="L1740" s="205"/>
      <c r="M1740" s="205"/>
      <c r="N1740" s="204"/>
      <c r="O1740" s="204"/>
      <c r="P1740" s="206"/>
      <c r="Q1740" s="206"/>
      <c r="R1740" s="206"/>
      <c r="S1740" s="206"/>
      <c r="T1740" s="204"/>
      <c r="U1740" s="207"/>
      <c r="V1740" s="204"/>
      <c r="W1740" s="204"/>
      <c r="X1740" s="207"/>
      <c r="Y1740" s="207"/>
      <c r="Z1740" s="204"/>
      <c r="AA1740" s="204"/>
      <c r="AB1740" s="204"/>
      <c r="AC1740" s="204"/>
    </row>
    <row r="1741" spans="1:29">
      <c r="A1741" s="204"/>
      <c r="B1741" s="204"/>
      <c r="C1741" s="204"/>
      <c r="D1741" s="204"/>
      <c r="E1741" s="204"/>
      <c r="F1741" s="204"/>
      <c r="G1741" s="204"/>
      <c r="H1741" s="204"/>
      <c r="I1741" s="204"/>
      <c r="J1741" s="204"/>
      <c r="K1741" s="204"/>
      <c r="L1741" s="205"/>
      <c r="M1741" s="205"/>
      <c r="N1741" s="204"/>
      <c r="O1741" s="204"/>
      <c r="P1741" s="206"/>
      <c r="Q1741" s="206"/>
      <c r="R1741" s="206"/>
      <c r="S1741" s="206"/>
      <c r="T1741" s="204"/>
      <c r="U1741" s="207"/>
      <c r="V1741" s="204"/>
      <c r="W1741" s="204"/>
      <c r="X1741" s="207"/>
      <c r="Y1741" s="207"/>
      <c r="Z1741" s="204"/>
      <c r="AA1741" s="204"/>
      <c r="AB1741" s="204"/>
      <c r="AC1741" s="204"/>
    </row>
    <row r="1742" spans="1:29">
      <c r="A1742" s="204"/>
      <c r="B1742" s="204"/>
      <c r="C1742" s="204"/>
      <c r="D1742" s="204"/>
      <c r="E1742" s="204"/>
      <c r="F1742" s="204"/>
      <c r="G1742" s="204"/>
      <c r="H1742" s="204"/>
      <c r="I1742" s="204"/>
      <c r="J1742" s="204"/>
      <c r="K1742" s="204"/>
      <c r="L1742" s="205"/>
      <c r="M1742" s="205"/>
      <c r="N1742" s="204"/>
      <c r="O1742" s="204"/>
      <c r="P1742" s="206"/>
      <c r="Q1742" s="206"/>
      <c r="R1742" s="206"/>
      <c r="S1742" s="206"/>
      <c r="T1742" s="204"/>
      <c r="U1742" s="207"/>
      <c r="V1742" s="204"/>
      <c r="W1742" s="204"/>
      <c r="X1742" s="207"/>
      <c r="Y1742" s="207"/>
      <c r="Z1742" s="204"/>
      <c r="AA1742" s="204"/>
      <c r="AB1742" s="204"/>
      <c r="AC1742" s="204"/>
    </row>
    <row r="1743" spans="1:29">
      <c r="A1743" s="204"/>
      <c r="B1743" s="204"/>
      <c r="C1743" s="204"/>
      <c r="D1743" s="204"/>
      <c r="E1743" s="204"/>
      <c r="F1743" s="204"/>
      <c r="G1743" s="204"/>
      <c r="H1743" s="204"/>
      <c r="I1743" s="204"/>
      <c r="J1743" s="204"/>
      <c r="K1743" s="204"/>
      <c r="L1743" s="205"/>
      <c r="M1743" s="205"/>
      <c r="N1743" s="204"/>
      <c r="O1743" s="204"/>
      <c r="P1743" s="206"/>
      <c r="Q1743" s="206"/>
      <c r="R1743" s="206"/>
      <c r="S1743" s="206"/>
      <c r="T1743" s="204"/>
      <c r="U1743" s="207"/>
      <c r="V1743" s="204"/>
      <c r="W1743" s="204"/>
      <c r="X1743" s="207"/>
      <c r="Y1743" s="207"/>
      <c r="Z1743" s="204"/>
      <c r="AA1743" s="204"/>
      <c r="AB1743" s="204"/>
      <c r="AC1743" s="204"/>
    </row>
    <row r="1744" spans="1:29">
      <c r="A1744" s="204"/>
      <c r="B1744" s="204"/>
      <c r="C1744" s="204"/>
      <c r="D1744" s="204"/>
      <c r="E1744" s="204"/>
      <c r="F1744" s="204"/>
      <c r="G1744" s="204"/>
      <c r="H1744" s="204"/>
      <c r="I1744" s="204"/>
      <c r="J1744" s="204"/>
      <c r="K1744" s="204"/>
      <c r="L1744" s="205"/>
      <c r="M1744" s="205"/>
      <c r="N1744" s="204"/>
      <c r="O1744" s="204"/>
      <c r="P1744" s="206"/>
      <c r="Q1744" s="206"/>
      <c r="R1744" s="206"/>
      <c r="S1744" s="206"/>
      <c r="T1744" s="204"/>
      <c r="U1744" s="207"/>
      <c r="V1744" s="204"/>
      <c r="W1744" s="204"/>
      <c r="X1744" s="207"/>
      <c r="Y1744" s="207"/>
      <c r="Z1744" s="204"/>
      <c r="AA1744" s="204"/>
      <c r="AB1744" s="204"/>
      <c r="AC1744" s="204"/>
    </row>
    <row r="1745" spans="1:29">
      <c r="A1745" s="204"/>
      <c r="B1745" s="204"/>
      <c r="C1745" s="204"/>
      <c r="D1745" s="204"/>
      <c r="E1745" s="204"/>
      <c r="F1745" s="204"/>
      <c r="G1745" s="204"/>
      <c r="H1745" s="204"/>
      <c r="I1745" s="204"/>
      <c r="J1745" s="204"/>
      <c r="K1745" s="204"/>
      <c r="L1745" s="205"/>
      <c r="M1745" s="205"/>
      <c r="N1745" s="204"/>
      <c r="O1745" s="204"/>
      <c r="P1745" s="206"/>
      <c r="Q1745" s="206"/>
      <c r="R1745" s="206"/>
      <c r="S1745" s="206"/>
      <c r="T1745" s="204"/>
      <c r="U1745" s="207"/>
      <c r="V1745" s="204"/>
      <c r="W1745" s="204"/>
      <c r="X1745" s="207"/>
      <c r="Y1745" s="207"/>
      <c r="Z1745" s="204"/>
      <c r="AA1745" s="204"/>
      <c r="AB1745" s="204"/>
      <c r="AC1745" s="204"/>
    </row>
    <row r="1746" spans="1:29">
      <c r="A1746" s="204"/>
      <c r="B1746" s="204"/>
      <c r="C1746" s="204"/>
      <c r="D1746" s="204"/>
      <c r="E1746" s="204"/>
      <c r="F1746" s="204"/>
      <c r="G1746" s="204"/>
      <c r="H1746" s="204"/>
      <c r="I1746" s="204"/>
      <c r="J1746" s="204"/>
      <c r="K1746" s="204"/>
      <c r="L1746" s="205"/>
      <c r="M1746" s="205"/>
      <c r="N1746" s="204"/>
      <c r="O1746" s="204"/>
      <c r="P1746" s="206"/>
      <c r="Q1746" s="206"/>
      <c r="R1746" s="206"/>
      <c r="S1746" s="206"/>
      <c r="T1746" s="204"/>
      <c r="U1746" s="207"/>
      <c r="V1746" s="204"/>
      <c r="W1746" s="204"/>
      <c r="X1746" s="207"/>
      <c r="Y1746" s="207"/>
      <c r="Z1746" s="204"/>
      <c r="AA1746" s="204"/>
      <c r="AB1746" s="204"/>
      <c r="AC1746" s="204"/>
    </row>
    <row r="1747" spans="1:29">
      <c r="A1747" s="204"/>
      <c r="B1747" s="204"/>
      <c r="C1747" s="204"/>
      <c r="D1747" s="204"/>
      <c r="E1747" s="204"/>
      <c r="F1747" s="204"/>
      <c r="G1747" s="204"/>
      <c r="H1747" s="204"/>
      <c r="I1747" s="204"/>
      <c r="J1747" s="204"/>
      <c r="K1747" s="204"/>
      <c r="L1747" s="205"/>
      <c r="M1747" s="205"/>
      <c r="N1747" s="204"/>
      <c r="O1747" s="204"/>
      <c r="P1747" s="206"/>
      <c r="Q1747" s="206"/>
      <c r="R1747" s="206"/>
      <c r="S1747" s="206"/>
      <c r="T1747" s="204"/>
      <c r="U1747" s="207"/>
      <c r="V1747" s="204"/>
      <c r="W1747" s="204"/>
      <c r="X1747" s="207"/>
      <c r="Y1747" s="207"/>
      <c r="Z1747" s="204"/>
      <c r="AA1747" s="204"/>
      <c r="AB1747" s="204"/>
      <c r="AC1747" s="204"/>
    </row>
    <row r="1748" spans="1:29">
      <c r="A1748" s="204"/>
      <c r="B1748" s="204"/>
      <c r="C1748" s="204"/>
      <c r="D1748" s="204"/>
      <c r="E1748" s="204"/>
      <c r="F1748" s="204"/>
      <c r="G1748" s="204"/>
      <c r="H1748" s="204"/>
      <c r="I1748" s="204"/>
      <c r="J1748" s="204"/>
      <c r="K1748" s="204"/>
      <c r="L1748" s="205"/>
      <c r="M1748" s="205"/>
      <c r="N1748" s="204"/>
      <c r="O1748" s="204"/>
      <c r="P1748" s="206"/>
      <c r="Q1748" s="206"/>
      <c r="R1748" s="206"/>
      <c r="S1748" s="206"/>
      <c r="T1748" s="204"/>
      <c r="U1748" s="207"/>
      <c r="V1748" s="204"/>
      <c r="W1748" s="204"/>
      <c r="X1748" s="207"/>
      <c r="Y1748" s="207"/>
      <c r="Z1748" s="204"/>
      <c r="AA1748" s="204"/>
      <c r="AB1748" s="204"/>
      <c r="AC1748" s="204"/>
    </row>
    <row r="1749" spans="1:29">
      <c r="A1749" s="204"/>
      <c r="B1749" s="204"/>
      <c r="C1749" s="204"/>
      <c r="D1749" s="204"/>
      <c r="E1749" s="204"/>
      <c r="F1749" s="204"/>
      <c r="G1749" s="204"/>
      <c r="H1749" s="204"/>
      <c r="I1749" s="204"/>
      <c r="J1749" s="204"/>
      <c r="K1749" s="204"/>
      <c r="L1749" s="205"/>
      <c r="M1749" s="205"/>
      <c r="N1749" s="204"/>
      <c r="O1749" s="204"/>
      <c r="P1749" s="206"/>
      <c r="Q1749" s="206"/>
      <c r="R1749" s="206"/>
      <c r="S1749" s="206"/>
      <c r="T1749" s="204"/>
      <c r="U1749" s="207"/>
      <c r="V1749" s="204"/>
      <c r="W1749" s="204"/>
      <c r="X1749" s="207"/>
      <c r="Y1749" s="207"/>
      <c r="Z1749" s="204"/>
      <c r="AA1749" s="204"/>
      <c r="AB1749" s="204"/>
      <c r="AC1749" s="204"/>
    </row>
    <row r="1750" spans="1:29">
      <c r="A1750" s="204"/>
      <c r="B1750" s="204"/>
      <c r="C1750" s="204"/>
      <c r="D1750" s="204"/>
      <c r="E1750" s="204"/>
      <c r="F1750" s="204"/>
      <c r="G1750" s="204"/>
      <c r="H1750" s="204"/>
      <c r="I1750" s="204"/>
      <c r="J1750" s="204"/>
      <c r="K1750" s="204"/>
      <c r="L1750" s="205"/>
      <c r="M1750" s="205"/>
      <c r="N1750" s="204"/>
      <c r="O1750" s="204"/>
      <c r="P1750" s="206"/>
      <c r="Q1750" s="206"/>
      <c r="R1750" s="206"/>
      <c r="S1750" s="206"/>
      <c r="T1750" s="204"/>
      <c r="U1750" s="207"/>
      <c r="V1750" s="204"/>
      <c r="W1750" s="204"/>
      <c r="X1750" s="207"/>
      <c r="Y1750" s="207"/>
      <c r="Z1750" s="204"/>
      <c r="AA1750" s="204"/>
      <c r="AB1750" s="204"/>
      <c r="AC1750" s="204"/>
    </row>
    <row r="1751" spans="1:29">
      <c r="A1751" s="204"/>
      <c r="B1751" s="204"/>
      <c r="C1751" s="204"/>
      <c r="D1751" s="204"/>
      <c r="E1751" s="204"/>
      <c r="F1751" s="204"/>
      <c r="G1751" s="204"/>
      <c r="H1751" s="204"/>
      <c r="I1751" s="204"/>
      <c r="J1751" s="204"/>
      <c r="K1751" s="204"/>
      <c r="L1751" s="205"/>
      <c r="M1751" s="205"/>
      <c r="N1751" s="204"/>
      <c r="O1751" s="204"/>
      <c r="P1751" s="206"/>
      <c r="Q1751" s="206"/>
      <c r="R1751" s="206"/>
      <c r="S1751" s="206"/>
      <c r="T1751" s="204"/>
      <c r="U1751" s="207"/>
      <c r="V1751" s="204"/>
      <c r="W1751" s="204"/>
      <c r="X1751" s="207"/>
      <c r="Y1751" s="207"/>
      <c r="Z1751" s="204"/>
      <c r="AA1751" s="204"/>
      <c r="AB1751" s="204"/>
      <c r="AC1751" s="204"/>
    </row>
    <row r="1752" spans="1:29">
      <c r="A1752" s="204"/>
      <c r="B1752" s="204"/>
      <c r="C1752" s="204"/>
      <c r="D1752" s="204"/>
      <c r="E1752" s="204"/>
      <c r="F1752" s="204"/>
      <c r="G1752" s="204"/>
      <c r="H1752" s="204"/>
      <c r="I1752" s="204"/>
      <c r="J1752" s="204"/>
      <c r="K1752" s="204"/>
      <c r="L1752" s="205"/>
      <c r="M1752" s="205"/>
      <c r="N1752" s="204"/>
      <c r="O1752" s="204"/>
      <c r="P1752" s="206"/>
      <c r="Q1752" s="206"/>
      <c r="R1752" s="206"/>
      <c r="S1752" s="206"/>
      <c r="T1752" s="204"/>
      <c r="U1752" s="207"/>
      <c r="V1752" s="204"/>
      <c r="W1752" s="204"/>
      <c r="X1752" s="207"/>
      <c r="Y1752" s="207"/>
      <c r="Z1752" s="204"/>
      <c r="AA1752" s="204"/>
      <c r="AB1752" s="204"/>
      <c r="AC1752" s="204"/>
    </row>
    <row r="1753" spans="1:29">
      <c r="A1753" s="204"/>
      <c r="B1753" s="204"/>
      <c r="C1753" s="204"/>
      <c r="D1753" s="204"/>
      <c r="E1753" s="204"/>
      <c r="F1753" s="204"/>
      <c r="G1753" s="204"/>
      <c r="H1753" s="204"/>
      <c r="I1753" s="204"/>
      <c r="J1753" s="204"/>
      <c r="K1753" s="204"/>
      <c r="L1753" s="205"/>
      <c r="M1753" s="205"/>
      <c r="N1753" s="204"/>
      <c r="O1753" s="204"/>
      <c r="P1753" s="206"/>
      <c r="Q1753" s="206"/>
      <c r="R1753" s="206"/>
      <c r="S1753" s="206"/>
      <c r="T1753" s="204"/>
      <c r="U1753" s="207"/>
      <c r="V1753" s="204"/>
      <c r="W1753" s="204"/>
      <c r="X1753" s="207"/>
      <c r="Y1753" s="207"/>
      <c r="Z1753" s="204"/>
      <c r="AA1753" s="204"/>
      <c r="AB1753" s="204"/>
      <c r="AC1753" s="204"/>
    </row>
    <row r="1754" spans="1:29">
      <c r="A1754" s="204"/>
      <c r="B1754" s="204"/>
      <c r="C1754" s="204"/>
      <c r="D1754" s="204"/>
      <c r="E1754" s="204"/>
      <c r="F1754" s="204"/>
      <c r="G1754" s="204"/>
      <c r="H1754" s="204"/>
      <c r="I1754" s="204"/>
      <c r="J1754" s="204"/>
      <c r="K1754" s="204"/>
      <c r="L1754" s="205"/>
      <c r="M1754" s="205"/>
      <c r="N1754" s="204"/>
      <c r="O1754" s="204"/>
      <c r="P1754" s="206"/>
      <c r="Q1754" s="206"/>
      <c r="R1754" s="206"/>
      <c r="S1754" s="206"/>
      <c r="T1754" s="204"/>
      <c r="U1754" s="207"/>
      <c r="V1754" s="204"/>
      <c r="W1754" s="204"/>
      <c r="X1754" s="207"/>
      <c r="Y1754" s="207"/>
      <c r="Z1754" s="204"/>
      <c r="AA1754" s="204"/>
      <c r="AB1754" s="204"/>
      <c r="AC1754" s="204"/>
    </row>
    <row r="1755" spans="1:29">
      <c r="A1755" s="204"/>
      <c r="B1755" s="204"/>
      <c r="C1755" s="204"/>
      <c r="D1755" s="204"/>
      <c r="E1755" s="204"/>
      <c r="F1755" s="204"/>
      <c r="G1755" s="204"/>
      <c r="H1755" s="204"/>
      <c r="I1755" s="204"/>
      <c r="J1755" s="204"/>
      <c r="K1755" s="204"/>
      <c r="L1755" s="205"/>
      <c r="M1755" s="205"/>
      <c r="N1755" s="204"/>
      <c r="O1755" s="204"/>
      <c r="P1755" s="206"/>
      <c r="Q1755" s="206"/>
      <c r="R1755" s="206"/>
      <c r="S1755" s="206"/>
      <c r="T1755" s="204"/>
      <c r="U1755" s="207"/>
      <c r="V1755" s="204"/>
      <c r="W1755" s="204"/>
      <c r="X1755" s="207"/>
      <c r="Y1755" s="207"/>
      <c r="Z1755" s="204"/>
      <c r="AA1755" s="204"/>
      <c r="AB1755" s="204"/>
      <c r="AC1755" s="204"/>
    </row>
    <row r="1756" spans="1:29">
      <c r="A1756" s="204"/>
      <c r="B1756" s="204"/>
      <c r="C1756" s="204"/>
      <c r="D1756" s="204"/>
      <c r="E1756" s="204"/>
      <c r="F1756" s="204"/>
      <c r="G1756" s="204"/>
      <c r="H1756" s="204"/>
      <c r="I1756" s="204"/>
      <c r="J1756" s="204"/>
      <c r="K1756" s="204"/>
      <c r="L1756" s="205"/>
      <c r="M1756" s="205"/>
      <c r="N1756" s="204"/>
      <c r="O1756" s="204"/>
      <c r="P1756" s="206"/>
      <c r="Q1756" s="206"/>
      <c r="R1756" s="206"/>
      <c r="S1756" s="206"/>
      <c r="T1756" s="204"/>
      <c r="U1756" s="207"/>
      <c r="V1756" s="204"/>
      <c r="W1756" s="204"/>
      <c r="X1756" s="207"/>
      <c r="Y1756" s="207"/>
      <c r="Z1756" s="204"/>
      <c r="AA1756" s="204"/>
      <c r="AB1756" s="204"/>
      <c r="AC1756" s="204"/>
    </row>
    <row r="1757" spans="1:29">
      <c r="A1757" s="204"/>
      <c r="B1757" s="204"/>
      <c r="C1757" s="204"/>
      <c r="D1757" s="204"/>
      <c r="E1757" s="204"/>
      <c r="F1757" s="204"/>
      <c r="G1757" s="204"/>
      <c r="H1757" s="204"/>
      <c r="I1757" s="204"/>
      <c r="J1757" s="204"/>
      <c r="K1757" s="204"/>
      <c r="L1757" s="205"/>
      <c r="M1757" s="205"/>
      <c r="N1757" s="204"/>
      <c r="O1757" s="204"/>
      <c r="P1757" s="206"/>
      <c r="Q1757" s="206"/>
      <c r="R1757" s="206"/>
      <c r="S1757" s="206"/>
      <c r="T1757" s="204"/>
      <c r="U1757" s="207"/>
      <c r="V1757" s="204"/>
      <c r="W1757" s="204"/>
      <c r="X1757" s="207"/>
      <c r="Y1757" s="207"/>
      <c r="Z1757" s="204"/>
      <c r="AA1757" s="204"/>
      <c r="AB1757" s="204"/>
      <c r="AC1757" s="204"/>
    </row>
    <row r="1758" spans="1:29">
      <c r="A1758" s="204"/>
      <c r="B1758" s="204"/>
      <c r="C1758" s="204"/>
      <c r="D1758" s="204"/>
      <c r="E1758" s="204"/>
      <c r="F1758" s="204"/>
      <c r="G1758" s="204"/>
      <c r="H1758" s="204"/>
      <c r="I1758" s="204"/>
      <c r="J1758" s="204"/>
      <c r="K1758" s="204"/>
      <c r="L1758" s="205"/>
      <c r="M1758" s="205"/>
      <c r="N1758" s="204"/>
      <c r="O1758" s="204"/>
      <c r="P1758" s="206"/>
      <c r="Q1758" s="206"/>
      <c r="R1758" s="206"/>
      <c r="S1758" s="206"/>
      <c r="T1758" s="204"/>
      <c r="U1758" s="207"/>
      <c r="V1758" s="204"/>
      <c r="W1758" s="204"/>
      <c r="X1758" s="207"/>
      <c r="Y1758" s="207"/>
      <c r="Z1758" s="204"/>
      <c r="AA1758" s="204"/>
      <c r="AB1758" s="204"/>
      <c r="AC1758" s="204"/>
    </row>
    <row r="1759" spans="1:29">
      <c r="A1759" s="204"/>
      <c r="B1759" s="204"/>
      <c r="C1759" s="204"/>
      <c r="D1759" s="204"/>
      <c r="E1759" s="204"/>
      <c r="F1759" s="204"/>
      <c r="G1759" s="204"/>
      <c r="H1759" s="204"/>
      <c r="I1759" s="204"/>
      <c r="J1759" s="204"/>
      <c r="K1759" s="204"/>
      <c r="L1759" s="205"/>
      <c r="M1759" s="205"/>
      <c r="N1759" s="204"/>
      <c r="O1759" s="204"/>
      <c r="P1759" s="206"/>
      <c r="Q1759" s="206"/>
      <c r="R1759" s="206"/>
      <c r="S1759" s="206"/>
      <c r="T1759" s="204"/>
      <c r="U1759" s="207"/>
      <c r="V1759" s="204"/>
      <c r="W1759" s="204"/>
      <c r="X1759" s="207"/>
      <c r="Y1759" s="207"/>
      <c r="Z1759" s="204"/>
      <c r="AA1759" s="204"/>
      <c r="AB1759" s="204"/>
      <c r="AC1759" s="204"/>
    </row>
    <row r="1760" spans="1:29">
      <c r="A1760" s="204"/>
      <c r="B1760" s="204"/>
      <c r="C1760" s="204"/>
      <c r="D1760" s="204"/>
      <c r="E1760" s="204"/>
      <c r="F1760" s="204"/>
      <c r="G1760" s="204"/>
      <c r="H1760" s="204"/>
      <c r="I1760" s="204"/>
      <c r="J1760" s="204"/>
      <c r="K1760" s="204"/>
      <c r="L1760" s="205"/>
      <c r="M1760" s="205"/>
      <c r="N1760" s="204"/>
      <c r="O1760" s="204"/>
      <c r="P1760" s="206"/>
      <c r="Q1760" s="206"/>
      <c r="R1760" s="206"/>
      <c r="S1760" s="206"/>
      <c r="T1760" s="204"/>
      <c r="U1760" s="207"/>
      <c r="V1760" s="204"/>
      <c r="W1760" s="204"/>
      <c r="X1760" s="207"/>
      <c r="Y1760" s="207"/>
      <c r="Z1760" s="204"/>
      <c r="AA1760" s="204"/>
      <c r="AB1760" s="204"/>
      <c r="AC1760" s="204"/>
    </row>
    <row r="1761" spans="1:29">
      <c r="A1761" s="204"/>
      <c r="B1761" s="204"/>
      <c r="C1761" s="204"/>
      <c r="D1761" s="204"/>
      <c r="E1761" s="204"/>
      <c r="F1761" s="204"/>
      <c r="G1761" s="204"/>
      <c r="H1761" s="204"/>
      <c r="I1761" s="204"/>
      <c r="J1761" s="204"/>
      <c r="K1761" s="204"/>
      <c r="L1761" s="205"/>
      <c r="M1761" s="205"/>
      <c r="N1761" s="204"/>
      <c r="O1761" s="204"/>
      <c r="P1761" s="206"/>
      <c r="Q1761" s="206"/>
      <c r="R1761" s="206"/>
      <c r="S1761" s="206"/>
      <c r="T1761" s="204"/>
      <c r="U1761" s="207"/>
      <c r="V1761" s="204"/>
      <c r="W1761" s="204"/>
      <c r="X1761" s="207"/>
      <c r="Y1761" s="207"/>
      <c r="Z1761" s="204"/>
      <c r="AA1761" s="204"/>
      <c r="AB1761" s="204"/>
      <c r="AC1761" s="204"/>
    </row>
    <row r="1762" spans="1:29">
      <c r="A1762" s="204"/>
      <c r="B1762" s="204"/>
      <c r="C1762" s="204"/>
      <c r="D1762" s="204"/>
      <c r="E1762" s="204"/>
      <c r="F1762" s="204"/>
      <c r="G1762" s="204"/>
      <c r="H1762" s="204"/>
      <c r="I1762" s="204"/>
      <c r="J1762" s="204"/>
      <c r="K1762" s="204"/>
      <c r="L1762" s="205"/>
      <c r="M1762" s="205"/>
      <c r="N1762" s="204"/>
      <c r="O1762" s="204"/>
      <c r="P1762" s="206"/>
      <c r="Q1762" s="206"/>
      <c r="R1762" s="206"/>
      <c r="S1762" s="206"/>
      <c r="T1762" s="204"/>
      <c r="U1762" s="207"/>
      <c r="V1762" s="204"/>
      <c r="W1762" s="204"/>
      <c r="X1762" s="207"/>
      <c r="Y1762" s="207"/>
      <c r="Z1762" s="204"/>
      <c r="AA1762" s="204"/>
      <c r="AB1762" s="204"/>
      <c r="AC1762" s="204"/>
    </row>
    <row r="1763" spans="1:29">
      <c r="A1763" s="204"/>
      <c r="B1763" s="204"/>
      <c r="C1763" s="204"/>
      <c r="D1763" s="204"/>
      <c r="E1763" s="204"/>
      <c r="F1763" s="204"/>
      <c r="G1763" s="204"/>
      <c r="H1763" s="204"/>
      <c r="I1763" s="204"/>
      <c r="J1763" s="204"/>
      <c r="K1763" s="204"/>
      <c r="L1763" s="205"/>
      <c r="M1763" s="205"/>
      <c r="N1763" s="204"/>
      <c r="O1763" s="204"/>
      <c r="P1763" s="206"/>
      <c r="Q1763" s="206"/>
      <c r="R1763" s="206"/>
      <c r="S1763" s="206"/>
      <c r="T1763" s="204"/>
      <c r="U1763" s="207"/>
      <c r="V1763" s="204"/>
      <c r="W1763" s="204"/>
      <c r="X1763" s="207"/>
      <c r="Y1763" s="207"/>
      <c r="Z1763" s="204"/>
      <c r="AA1763" s="204"/>
      <c r="AB1763" s="204"/>
      <c r="AC1763" s="204"/>
    </row>
    <row r="1764" spans="1:29">
      <c r="A1764" s="204"/>
      <c r="B1764" s="204"/>
      <c r="C1764" s="204"/>
      <c r="D1764" s="204"/>
      <c r="E1764" s="204"/>
      <c r="F1764" s="204"/>
      <c r="G1764" s="204"/>
      <c r="H1764" s="204"/>
      <c r="I1764" s="204"/>
      <c r="J1764" s="204"/>
      <c r="K1764" s="204"/>
      <c r="L1764" s="205"/>
      <c r="M1764" s="205"/>
      <c r="N1764" s="204"/>
      <c r="O1764" s="204"/>
      <c r="P1764" s="206"/>
      <c r="Q1764" s="206"/>
      <c r="R1764" s="206"/>
      <c r="S1764" s="206"/>
      <c r="T1764" s="204"/>
      <c r="U1764" s="207"/>
      <c r="V1764" s="204"/>
      <c r="W1764" s="204"/>
      <c r="X1764" s="207"/>
      <c r="Y1764" s="207"/>
      <c r="Z1764" s="204"/>
      <c r="AA1764" s="204"/>
      <c r="AB1764" s="204"/>
      <c r="AC1764" s="204"/>
    </row>
    <row r="1765" spans="1:29">
      <c r="A1765" s="204"/>
      <c r="B1765" s="204"/>
      <c r="C1765" s="204"/>
      <c r="D1765" s="204"/>
      <c r="E1765" s="204"/>
      <c r="F1765" s="204"/>
      <c r="G1765" s="204"/>
      <c r="H1765" s="204"/>
      <c r="I1765" s="204"/>
      <c r="J1765" s="204"/>
      <c r="K1765" s="204"/>
      <c r="L1765" s="205"/>
      <c r="M1765" s="205"/>
      <c r="N1765" s="204"/>
      <c r="O1765" s="204"/>
      <c r="P1765" s="206"/>
      <c r="Q1765" s="206"/>
      <c r="R1765" s="206"/>
      <c r="S1765" s="206"/>
      <c r="T1765" s="204"/>
      <c r="U1765" s="207"/>
      <c r="V1765" s="204"/>
      <c r="W1765" s="204"/>
      <c r="X1765" s="207"/>
      <c r="Y1765" s="207"/>
      <c r="Z1765" s="204"/>
      <c r="AA1765" s="204"/>
      <c r="AB1765" s="204"/>
      <c r="AC1765" s="204"/>
    </row>
    <row r="1766" spans="1:29">
      <c r="A1766" s="204"/>
      <c r="B1766" s="204"/>
      <c r="C1766" s="204"/>
      <c r="D1766" s="204"/>
      <c r="E1766" s="204"/>
      <c r="F1766" s="204"/>
      <c r="G1766" s="204"/>
      <c r="H1766" s="204"/>
      <c r="I1766" s="204"/>
      <c r="J1766" s="204"/>
      <c r="K1766" s="204"/>
      <c r="L1766" s="205"/>
      <c r="M1766" s="205"/>
      <c r="N1766" s="204"/>
      <c r="O1766" s="204"/>
      <c r="P1766" s="206"/>
      <c r="Q1766" s="206"/>
      <c r="R1766" s="206"/>
      <c r="S1766" s="206"/>
      <c r="T1766" s="204"/>
      <c r="U1766" s="207"/>
      <c r="V1766" s="204"/>
      <c r="W1766" s="204"/>
      <c r="X1766" s="207"/>
      <c r="Y1766" s="207"/>
      <c r="Z1766" s="204"/>
      <c r="AA1766" s="204"/>
      <c r="AB1766" s="204"/>
      <c r="AC1766" s="204"/>
    </row>
    <row r="1767" spans="1:29">
      <c r="A1767" s="204"/>
      <c r="B1767" s="204"/>
      <c r="C1767" s="204"/>
      <c r="D1767" s="204"/>
      <c r="E1767" s="204"/>
      <c r="F1767" s="204"/>
      <c r="G1767" s="204"/>
      <c r="H1767" s="204"/>
      <c r="I1767" s="204"/>
      <c r="J1767" s="204"/>
      <c r="K1767" s="204"/>
      <c r="L1767" s="205"/>
      <c r="M1767" s="205"/>
      <c r="N1767" s="204"/>
      <c r="O1767" s="204"/>
      <c r="P1767" s="206"/>
      <c r="Q1767" s="206"/>
      <c r="R1767" s="206"/>
      <c r="S1767" s="206"/>
      <c r="T1767" s="204"/>
      <c r="U1767" s="207"/>
      <c r="V1767" s="204"/>
      <c r="W1767" s="204"/>
      <c r="X1767" s="207"/>
      <c r="Y1767" s="207"/>
      <c r="Z1767" s="204"/>
      <c r="AA1767" s="204"/>
      <c r="AB1767" s="204"/>
      <c r="AC1767" s="204"/>
    </row>
    <row r="1768" spans="1:29">
      <c r="A1768" s="204"/>
      <c r="B1768" s="204"/>
      <c r="C1768" s="204"/>
      <c r="D1768" s="204"/>
      <c r="E1768" s="204"/>
      <c r="F1768" s="204"/>
      <c r="G1768" s="204"/>
      <c r="H1768" s="204"/>
      <c r="I1768" s="204"/>
      <c r="J1768" s="204"/>
      <c r="K1768" s="204"/>
      <c r="L1768" s="205"/>
      <c r="M1768" s="205"/>
      <c r="N1768" s="204"/>
      <c r="O1768" s="204"/>
      <c r="P1768" s="206"/>
      <c r="Q1768" s="206"/>
      <c r="R1768" s="206"/>
      <c r="S1768" s="206"/>
      <c r="T1768" s="204"/>
      <c r="U1768" s="207"/>
      <c r="V1768" s="204"/>
      <c r="W1768" s="204"/>
      <c r="X1768" s="207"/>
      <c r="Y1768" s="207"/>
      <c r="Z1768" s="204"/>
      <c r="AA1768" s="204"/>
      <c r="AB1768" s="204"/>
      <c r="AC1768" s="204"/>
    </row>
    <row r="1769" spans="1:29">
      <c r="A1769" s="204"/>
      <c r="B1769" s="204"/>
      <c r="C1769" s="204"/>
      <c r="D1769" s="204"/>
      <c r="E1769" s="204"/>
      <c r="F1769" s="204"/>
      <c r="G1769" s="204"/>
      <c r="H1769" s="204"/>
      <c r="I1769" s="204"/>
      <c r="J1769" s="204"/>
      <c r="K1769" s="204"/>
      <c r="L1769" s="205"/>
      <c r="M1769" s="205"/>
      <c r="N1769" s="204"/>
      <c r="O1769" s="204"/>
      <c r="P1769" s="206"/>
      <c r="Q1769" s="206"/>
      <c r="R1769" s="206"/>
      <c r="S1769" s="206"/>
      <c r="T1769" s="204"/>
      <c r="U1769" s="207"/>
      <c r="V1769" s="204"/>
      <c r="W1769" s="204"/>
      <c r="X1769" s="207"/>
      <c r="Y1769" s="207"/>
      <c r="Z1769" s="204"/>
      <c r="AA1769" s="204"/>
      <c r="AB1769" s="204"/>
      <c r="AC1769" s="204"/>
    </row>
    <row r="1770" spans="1:29">
      <c r="A1770" s="204"/>
      <c r="B1770" s="204"/>
      <c r="C1770" s="204"/>
      <c r="D1770" s="204"/>
      <c r="E1770" s="204"/>
      <c r="F1770" s="204"/>
      <c r="G1770" s="204"/>
      <c r="H1770" s="204"/>
      <c r="I1770" s="204"/>
      <c r="J1770" s="204"/>
      <c r="K1770" s="204"/>
      <c r="L1770" s="205"/>
      <c r="M1770" s="205"/>
      <c r="N1770" s="204"/>
      <c r="O1770" s="204"/>
      <c r="P1770" s="206"/>
      <c r="Q1770" s="206"/>
      <c r="R1770" s="206"/>
      <c r="S1770" s="206"/>
      <c r="T1770" s="204"/>
      <c r="U1770" s="207"/>
      <c r="V1770" s="204"/>
      <c r="W1770" s="204"/>
      <c r="X1770" s="207"/>
      <c r="Y1770" s="207"/>
      <c r="Z1770" s="204"/>
      <c r="AA1770" s="204"/>
      <c r="AB1770" s="204"/>
      <c r="AC1770" s="204"/>
    </row>
    <row r="1771" spans="1:29">
      <c r="A1771" s="204"/>
      <c r="B1771" s="204"/>
      <c r="C1771" s="204"/>
      <c r="D1771" s="204"/>
      <c r="E1771" s="204"/>
      <c r="F1771" s="204"/>
      <c r="G1771" s="204"/>
      <c r="H1771" s="204"/>
      <c r="I1771" s="204"/>
      <c r="J1771" s="204"/>
      <c r="K1771" s="204"/>
      <c r="L1771" s="205"/>
      <c r="M1771" s="205"/>
      <c r="N1771" s="204"/>
      <c r="O1771" s="204"/>
      <c r="P1771" s="206"/>
      <c r="Q1771" s="206"/>
      <c r="R1771" s="206"/>
      <c r="S1771" s="206"/>
      <c r="T1771" s="204"/>
      <c r="U1771" s="207"/>
      <c r="V1771" s="204"/>
      <c r="W1771" s="204"/>
      <c r="X1771" s="207"/>
      <c r="Y1771" s="207"/>
      <c r="Z1771" s="204"/>
      <c r="AA1771" s="204"/>
      <c r="AB1771" s="204"/>
      <c r="AC1771" s="204"/>
    </row>
    <row r="1772" spans="1:29">
      <c r="A1772" s="204"/>
      <c r="B1772" s="204"/>
      <c r="C1772" s="204"/>
      <c r="D1772" s="204"/>
      <c r="E1772" s="204"/>
      <c r="F1772" s="204"/>
      <c r="G1772" s="204"/>
      <c r="H1772" s="204"/>
      <c r="I1772" s="204"/>
      <c r="J1772" s="204"/>
      <c r="K1772" s="204"/>
      <c r="L1772" s="205"/>
      <c r="M1772" s="205"/>
      <c r="N1772" s="204"/>
      <c r="O1772" s="204"/>
      <c r="P1772" s="206"/>
      <c r="Q1772" s="206"/>
      <c r="R1772" s="206"/>
      <c r="S1772" s="206"/>
      <c r="T1772" s="204"/>
      <c r="U1772" s="207"/>
      <c r="V1772" s="204"/>
      <c r="W1772" s="204"/>
      <c r="X1772" s="207"/>
      <c r="Y1772" s="207"/>
      <c r="Z1772" s="204"/>
      <c r="AA1772" s="204"/>
      <c r="AB1772" s="204"/>
      <c r="AC1772" s="204"/>
    </row>
    <row r="1773" spans="1:29">
      <c r="A1773" s="204"/>
      <c r="B1773" s="204"/>
      <c r="C1773" s="204"/>
      <c r="D1773" s="204"/>
      <c r="E1773" s="204"/>
      <c r="F1773" s="204"/>
      <c r="G1773" s="204"/>
      <c r="H1773" s="204"/>
      <c r="I1773" s="204"/>
      <c r="J1773" s="204"/>
      <c r="K1773" s="204"/>
      <c r="L1773" s="205"/>
      <c r="M1773" s="205"/>
      <c r="N1773" s="204"/>
      <c r="O1773" s="204"/>
      <c r="P1773" s="206"/>
      <c r="Q1773" s="206"/>
      <c r="R1773" s="206"/>
      <c r="S1773" s="206"/>
      <c r="T1773" s="204"/>
      <c r="U1773" s="207"/>
      <c r="V1773" s="204"/>
      <c r="W1773" s="204"/>
      <c r="X1773" s="207"/>
      <c r="Y1773" s="207"/>
      <c r="Z1773" s="204"/>
      <c r="AA1773" s="204"/>
      <c r="AB1773" s="204"/>
      <c r="AC1773" s="204"/>
    </row>
    <row r="1774" spans="1:29">
      <c r="A1774" s="204"/>
      <c r="B1774" s="204"/>
      <c r="C1774" s="204"/>
      <c r="D1774" s="204"/>
      <c r="E1774" s="204"/>
      <c r="F1774" s="204"/>
      <c r="G1774" s="204"/>
      <c r="H1774" s="204"/>
      <c r="I1774" s="204"/>
      <c r="J1774" s="204"/>
      <c r="K1774" s="204"/>
      <c r="L1774" s="205"/>
      <c r="M1774" s="205"/>
      <c r="N1774" s="204"/>
      <c r="O1774" s="204"/>
      <c r="P1774" s="206"/>
      <c r="Q1774" s="206"/>
      <c r="R1774" s="206"/>
      <c r="S1774" s="206"/>
      <c r="T1774" s="204"/>
      <c r="U1774" s="207"/>
      <c r="V1774" s="204"/>
      <c r="W1774" s="204"/>
      <c r="X1774" s="207"/>
      <c r="Y1774" s="207"/>
      <c r="Z1774" s="204"/>
      <c r="AA1774" s="204"/>
      <c r="AB1774" s="204"/>
      <c r="AC1774" s="204"/>
    </row>
    <row r="1775" spans="1:29">
      <c r="A1775" s="204"/>
      <c r="B1775" s="204"/>
      <c r="C1775" s="204"/>
      <c r="D1775" s="204"/>
      <c r="E1775" s="204"/>
      <c r="F1775" s="204"/>
      <c r="G1775" s="204"/>
      <c r="H1775" s="204"/>
      <c r="I1775" s="204"/>
      <c r="J1775" s="204"/>
      <c r="K1775" s="204"/>
      <c r="L1775" s="205"/>
      <c r="M1775" s="205"/>
      <c r="N1775" s="204"/>
      <c r="O1775" s="204"/>
      <c r="P1775" s="206"/>
      <c r="Q1775" s="206"/>
      <c r="R1775" s="206"/>
      <c r="S1775" s="206"/>
      <c r="T1775" s="204"/>
      <c r="U1775" s="207"/>
      <c r="V1775" s="204"/>
      <c r="W1775" s="204"/>
      <c r="X1775" s="207"/>
      <c r="Y1775" s="207"/>
      <c r="Z1775" s="204"/>
      <c r="AA1775" s="204"/>
      <c r="AB1775" s="204"/>
      <c r="AC1775" s="204"/>
    </row>
    <row r="1776" spans="1:29">
      <c r="A1776" s="204"/>
      <c r="B1776" s="204"/>
      <c r="C1776" s="204"/>
      <c r="D1776" s="204"/>
      <c r="E1776" s="204"/>
      <c r="F1776" s="204"/>
      <c r="G1776" s="204"/>
      <c r="H1776" s="204"/>
      <c r="I1776" s="204"/>
      <c r="J1776" s="204"/>
      <c r="K1776" s="204"/>
      <c r="L1776" s="205"/>
      <c r="M1776" s="205"/>
      <c r="N1776" s="204"/>
      <c r="O1776" s="204"/>
      <c r="P1776" s="206"/>
      <c r="Q1776" s="206"/>
      <c r="R1776" s="206"/>
      <c r="S1776" s="206"/>
      <c r="T1776" s="204"/>
      <c r="U1776" s="207"/>
      <c r="V1776" s="204"/>
      <c r="W1776" s="204"/>
      <c r="X1776" s="207"/>
      <c r="Y1776" s="207"/>
      <c r="Z1776" s="204"/>
      <c r="AA1776" s="204"/>
      <c r="AB1776" s="204"/>
      <c r="AC1776" s="204"/>
    </row>
    <row r="1777" spans="1:29">
      <c r="A1777" s="204"/>
      <c r="B1777" s="204"/>
      <c r="C1777" s="204"/>
      <c r="D1777" s="204"/>
      <c r="E1777" s="204"/>
      <c r="F1777" s="204"/>
      <c r="G1777" s="204"/>
      <c r="H1777" s="204"/>
      <c r="I1777" s="204"/>
      <c r="J1777" s="204"/>
      <c r="K1777" s="204"/>
      <c r="L1777" s="205"/>
      <c r="M1777" s="205"/>
      <c r="N1777" s="204"/>
      <c r="O1777" s="204"/>
      <c r="P1777" s="206"/>
      <c r="Q1777" s="206"/>
      <c r="R1777" s="206"/>
      <c r="S1777" s="206"/>
      <c r="T1777" s="204"/>
      <c r="U1777" s="207"/>
      <c r="V1777" s="204"/>
      <c r="W1777" s="204"/>
      <c r="X1777" s="207"/>
      <c r="Y1777" s="207"/>
      <c r="Z1777" s="204"/>
      <c r="AA1777" s="204"/>
      <c r="AB1777" s="204"/>
      <c r="AC1777" s="204"/>
    </row>
    <row r="1778" spans="1:29">
      <c r="A1778" s="204"/>
      <c r="B1778" s="204"/>
      <c r="C1778" s="204"/>
      <c r="D1778" s="204"/>
      <c r="E1778" s="204"/>
      <c r="F1778" s="204"/>
      <c r="G1778" s="204"/>
      <c r="H1778" s="204"/>
      <c r="I1778" s="204"/>
      <c r="J1778" s="204"/>
      <c r="K1778" s="204"/>
      <c r="L1778" s="205"/>
      <c r="M1778" s="205"/>
      <c r="N1778" s="204"/>
      <c r="O1778" s="204"/>
      <c r="P1778" s="206"/>
      <c r="Q1778" s="206"/>
      <c r="R1778" s="206"/>
      <c r="S1778" s="206"/>
      <c r="T1778" s="204"/>
      <c r="U1778" s="207"/>
      <c r="V1778" s="204"/>
      <c r="W1778" s="204"/>
      <c r="X1778" s="207"/>
      <c r="Y1778" s="207"/>
      <c r="Z1778" s="204"/>
      <c r="AA1778" s="204"/>
      <c r="AB1778" s="204"/>
      <c r="AC1778" s="204"/>
    </row>
    <row r="1779" spans="1:29">
      <c r="A1779" s="204"/>
      <c r="B1779" s="204"/>
      <c r="C1779" s="204"/>
      <c r="D1779" s="204"/>
      <c r="E1779" s="204"/>
      <c r="F1779" s="204"/>
      <c r="G1779" s="204"/>
      <c r="H1779" s="204"/>
      <c r="I1779" s="204"/>
      <c r="J1779" s="204"/>
      <c r="K1779" s="204"/>
      <c r="L1779" s="205"/>
      <c r="M1779" s="205"/>
      <c r="N1779" s="204"/>
      <c r="O1779" s="204"/>
      <c r="P1779" s="206"/>
      <c r="Q1779" s="206"/>
      <c r="R1779" s="206"/>
      <c r="S1779" s="206"/>
      <c r="T1779" s="204"/>
      <c r="U1779" s="207"/>
      <c r="V1779" s="204"/>
      <c r="W1779" s="204"/>
      <c r="X1779" s="207"/>
      <c r="Y1779" s="207"/>
      <c r="Z1779" s="204"/>
      <c r="AA1779" s="204"/>
      <c r="AB1779" s="204"/>
      <c r="AC1779" s="204"/>
    </row>
    <row r="1780" spans="1:29">
      <c r="A1780" s="204"/>
      <c r="B1780" s="204"/>
      <c r="C1780" s="204"/>
      <c r="D1780" s="204"/>
      <c r="E1780" s="204"/>
      <c r="F1780" s="204"/>
      <c r="G1780" s="204"/>
      <c r="H1780" s="204"/>
      <c r="I1780" s="204"/>
      <c r="J1780" s="204"/>
      <c r="K1780" s="204"/>
      <c r="L1780" s="205"/>
      <c r="M1780" s="205"/>
      <c r="N1780" s="204"/>
      <c r="O1780" s="204"/>
      <c r="P1780" s="206"/>
      <c r="Q1780" s="206"/>
      <c r="R1780" s="206"/>
      <c r="S1780" s="206"/>
      <c r="T1780" s="204"/>
      <c r="U1780" s="207"/>
      <c r="V1780" s="204"/>
      <c r="W1780" s="204"/>
      <c r="X1780" s="207"/>
      <c r="Y1780" s="207"/>
      <c r="Z1780" s="204"/>
      <c r="AA1780" s="204"/>
      <c r="AB1780" s="204"/>
      <c r="AC1780" s="204"/>
    </row>
    <row r="1781" spans="1:29">
      <c r="A1781" s="204"/>
      <c r="B1781" s="204"/>
      <c r="C1781" s="204"/>
      <c r="D1781" s="204"/>
      <c r="E1781" s="204"/>
      <c r="F1781" s="204"/>
      <c r="G1781" s="204"/>
      <c r="H1781" s="204"/>
      <c r="I1781" s="204"/>
      <c r="J1781" s="204"/>
      <c r="K1781" s="204"/>
      <c r="L1781" s="205"/>
      <c r="M1781" s="205"/>
      <c r="N1781" s="204"/>
      <c r="O1781" s="204"/>
      <c r="P1781" s="206"/>
      <c r="Q1781" s="206"/>
      <c r="R1781" s="206"/>
      <c r="S1781" s="206"/>
      <c r="T1781" s="204"/>
      <c r="U1781" s="207"/>
      <c r="V1781" s="204"/>
      <c r="W1781" s="204"/>
      <c r="X1781" s="207"/>
      <c r="Y1781" s="207"/>
      <c r="Z1781" s="204"/>
      <c r="AA1781" s="204"/>
      <c r="AB1781" s="204"/>
      <c r="AC1781" s="204"/>
    </row>
    <row r="1782" spans="1:29">
      <c r="A1782" s="204"/>
      <c r="B1782" s="204"/>
      <c r="C1782" s="204"/>
      <c r="D1782" s="204"/>
      <c r="E1782" s="204"/>
      <c r="F1782" s="204"/>
      <c r="G1782" s="204"/>
      <c r="H1782" s="204"/>
      <c r="I1782" s="204"/>
      <c r="J1782" s="204"/>
      <c r="K1782" s="204"/>
      <c r="L1782" s="205"/>
      <c r="M1782" s="205"/>
      <c r="N1782" s="204"/>
      <c r="O1782" s="204"/>
      <c r="P1782" s="206"/>
      <c r="Q1782" s="206"/>
      <c r="R1782" s="206"/>
      <c r="S1782" s="206"/>
      <c r="T1782" s="204"/>
      <c r="U1782" s="207"/>
      <c r="V1782" s="204"/>
      <c r="W1782" s="204"/>
      <c r="X1782" s="207"/>
      <c r="Y1782" s="207"/>
      <c r="Z1782" s="204"/>
      <c r="AA1782" s="204"/>
      <c r="AB1782" s="204"/>
      <c r="AC1782" s="204"/>
    </row>
    <row r="1783" spans="1:29">
      <c r="A1783" s="204"/>
      <c r="B1783" s="204"/>
      <c r="C1783" s="204"/>
      <c r="D1783" s="204"/>
      <c r="E1783" s="204"/>
      <c r="F1783" s="204"/>
      <c r="G1783" s="204"/>
      <c r="H1783" s="204"/>
      <c r="I1783" s="204"/>
      <c r="J1783" s="204"/>
      <c r="K1783" s="204"/>
      <c r="L1783" s="205"/>
      <c r="M1783" s="205"/>
      <c r="N1783" s="204"/>
      <c r="O1783" s="204"/>
      <c r="P1783" s="206"/>
      <c r="Q1783" s="206"/>
      <c r="R1783" s="206"/>
      <c r="S1783" s="206"/>
      <c r="T1783" s="204"/>
      <c r="U1783" s="207"/>
      <c r="V1783" s="204"/>
      <c r="W1783" s="204"/>
      <c r="X1783" s="207"/>
      <c r="Y1783" s="207"/>
      <c r="Z1783" s="204"/>
      <c r="AA1783" s="204"/>
      <c r="AB1783" s="204"/>
      <c r="AC1783" s="204"/>
    </row>
    <row r="1784" spans="1:29">
      <c r="A1784" s="204"/>
      <c r="B1784" s="204"/>
      <c r="C1784" s="204"/>
      <c r="D1784" s="204"/>
      <c r="E1784" s="204"/>
      <c r="F1784" s="204"/>
      <c r="G1784" s="204"/>
      <c r="H1784" s="204"/>
      <c r="I1784" s="204"/>
      <c r="J1784" s="204"/>
      <c r="K1784" s="204"/>
      <c r="L1784" s="205"/>
      <c r="M1784" s="205"/>
      <c r="N1784" s="204"/>
      <c r="O1784" s="204"/>
      <c r="P1784" s="206"/>
      <c r="Q1784" s="206"/>
      <c r="R1784" s="206"/>
      <c r="S1784" s="206"/>
      <c r="T1784" s="204"/>
      <c r="U1784" s="207"/>
      <c r="V1784" s="204"/>
      <c r="W1784" s="204"/>
      <c r="X1784" s="207"/>
      <c r="Y1784" s="207"/>
      <c r="Z1784" s="204"/>
      <c r="AA1784" s="204"/>
      <c r="AB1784" s="204"/>
      <c r="AC1784" s="204"/>
    </row>
    <row r="1785" spans="1:29">
      <c r="A1785" s="204"/>
      <c r="B1785" s="204"/>
      <c r="C1785" s="204"/>
      <c r="D1785" s="204"/>
      <c r="E1785" s="204"/>
      <c r="F1785" s="204"/>
      <c r="G1785" s="204"/>
      <c r="H1785" s="204"/>
      <c r="I1785" s="204"/>
      <c r="J1785" s="204"/>
      <c r="K1785" s="204"/>
      <c r="L1785" s="205"/>
      <c r="M1785" s="205"/>
      <c r="N1785" s="204"/>
      <c r="O1785" s="204"/>
      <c r="P1785" s="206"/>
      <c r="Q1785" s="206"/>
      <c r="R1785" s="206"/>
      <c r="S1785" s="206"/>
      <c r="T1785" s="204"/>
      <c r="U1785" s="207"/>
      <c r="V1785" s="204"/>
      <c r="W1785" s="204"/>
      <c r="X1785" s="207"/>
      <c r="Y1785" s="207"/>
      <c r="Z1785" s="204"/>
      <c r="AA1785" s="204"/>
      <c r="AB1785" s="204"/>
      <c r="AC1785" s="204"/>
    </row>
    <row r="1786" spans="1:29">
      <c r="A1786" s="204"/>
      <c r="B1786" s="204"/>
      <c r="C1786" s="204"/>
      <c r="D1786" s="204"/>
      <c r="E1786" s="204"/>
      <c r="F1786" s="204"/>
      <c r="G1786" s="204"/>
      <c r="H1786" s="204"/>
      <c r="I1786" s="204"/>
      <c r="J1786" s="204"/>
      <c r="K1786" s="204"/>
      <c r="L1786" s="205"/>
      <c r="M1786" s="205"/>
      <c r="N1786" s="204"/>
      <c r="O1786" s="204"/>
      <c r="P1786" s="206"/>
      <c r="Q1786" s="206"/>
      <c r="R1786" s="206"/>
      <c r="S1786" s="206"/>
      <c r="T1786" s="204"/>
      <c r="U1786" s="207"/>
      <c r="V1786" s="204"/>
      <c r="W1786" s="204"/>
      <c r="X1786" s="207"/>
      <c r="Y1786" s="207"/>
      <c r="Z1786" s="204"/>
      <c r="AA1786" s="204"/>
      <c r="AB1786" s="204"/>
      <c r="AC1786" s="204"/>
    </row>
    <row r="1787" spans="1:29">
      <c r="A1787" s="204"/>
      <c r="B1787" s="204"/>
      <c r="C1787" s="204"/>
      <c r="D1787" s="204"/>
      <c r="E1787" s="204"/>
      <c r="F1787" s="204"/>
      <c r="G1787" s="204"/>
      <c r="H1787" s="204"/>
      <c r="I1787" s="204"/>
      <c r="J1787" s="204"/>
      <c r="K1787" s="204"/>
      <c r="L1787" s="205"/>
      <c r="M1787" s="205"/>
      <c r="N1787" s="204"/>
      <c r="O1787" s="204"/>
      <c r="P1787" s="206"/>
      <c r="Q1787" s="206"/>
      <c r="R1787" s="206"/>
      <c r="S1787" s="206"/>
      <c r="T1787" s="204"/>
      <c r="U1787" s="207"/>
      <c r="V1787" s="204"/>
      <c r="W1787" s="204"/>
      <c r="X1787" s="207"/>
      <c r="Y1787" s="207"/>
      <c r="Z1787" s="204"/>
      <c r="AA1787" s="204"/>
      <c r="AB1787" s="204"/>
      <c r="AC1787" s="204"/>
    </row>
    <row r="1788" spans="1:29">
      <c r="A1788" s="204"/>
      <c r="B1788" s="204"/>
      <c r="C1788" s="204"/>
      <c r="D1788" s="204"/>
      <c r="E1788" s="204"/>
      <c r="F1788" s="204"/>
      <c r="G1788" s="204"/>
      <c r="H1788" s="204"/>
      <c r="I1788" s="204"/>
      <c r="J1788" s="204"/>
      <c r="K1788" s="204"/>
      <c r="L1788" s="205"/>
      <c r="M1788" s="205"/>
      <c r="N1788" s="204"/>
      <c r="O1788" s="204"/>
      <c r="P1788" s="206"/>
      <c r="Q1788" s="206"/>
      <c r="R1788" s="206"/>
      <c r="S1788" s="206"/>
      <c r="T1788" s="204"/>
      <c r="U1788" s="207"/>
      <c r="V1788" s="204"/>
      <c r="W1788" s="204"/>
      <c r="X1788" s="207"/>
      <c r="Y1788" s="207"/>
      <c r="Z1788" s="204"/>
      <c r="AA1788" s="204"/>
      <c r="AB1788" s="204"/>
      <c r="AC1788" s="204"/>
    </row>
    <row r="1789" spans="1:29">
      <c r="A1789" s="204"/>
      <c r="B1789" s="204"/>
      <c r="C1789" s="204"/>
      <c r="D1789" s="204"/>
      <c r="E1789" s="204"/>
      <c r="F1789" s="204"/>
      <c r="G1789" s="204"/>
      <c r="H1789" s="204"/>
      <c r="I1789" s="204"/>
      <c r="J1789" s="204"/>
      <c r="K1789" s="204"/>
      <c r="L1789" s="205"/>
      <c r="M1789" s="205"/>
      <c r="N1789" s="204"/>
      <c r="O1789" s="204"/>
      <c r="P1789" s="206"/>
      <c r="Q1789" s="206"/>
      <c r="R1789" s="206"/>
      <c r="S1789" s="206"/>
      <c r="T1789" s="204"/>
      <c r="U1789" s="207"/>
      <c r="V1789" s="204"/>
      <c r="W1789" s="204"/>
      <c r="X1789" s="207"/>
      <c r="Y1789" s="207"/>
      <c r="Z1789" s="204"/>
      <c r="AA1789" s="204"/>
      <c r="AB1789" s="204"/>
      <c r="AC1789" s="204"/>
    </row>
    <row r="1790" spans="1:29">
      <c r="A1790" s="204"/>
      <c r="B1790" s="204"/>
      <c r="C1790" s="204"/>
      <c r="D1790" s="204"/>
      <c r="E1790" s="204"/>
      <c r="F1790" s="204"/>
      <c r="G1790" s="204"/>
      <c r="H1790" s="204"/>
      <c r="I1790" s="204"/>
      <c r="J1790" s="204"/>
      <c r="K1790" s="204"/>
      <c r="L1790" s="205"/>
      <c r="M1790" s="205"/>
      <c r="N1790" s="204"/>
      <c r="O1790" s="204"/>
      <c r="P1790" s="206"/>
      <c r="Q1790" s="206"/>
      <c r="R1790" s="206"/>
      <c r="S1790" s="206"/>
      <c r="T1790" s="204"/>
      <c r="U1790" s="207"/>
      <c r="V1790" s="204"/>
      <c r="W1790" s="204"/>
      <c r="X1790" s="207"/>
      <c r="Y1790" s="207"/>
      <c r="Z1790" s="204"/>
      <c r="AA1790" s="204"/>
      <c r="AB1790" s="204"/>
      <c r="AC1790" s="204"/>
    </row>
    <row r="1791" spans="1:29">
      <c r="A1791" s="204"/>
      <c r="B1791" s="204"/>
      <c r="C1791" s="204"/>
      <c r="D1791" s="204"/>
      <c r="E1791" s="204"/>
      <c r="F1791" s="204"/>
      <c r="G1791" s="204"/>
      <c r="H1791" s="204"/>
      <c r="I1791" s="204"/>
      <c r="J1791" s="204"/>
      <c r="K1791" s="204"/>
      <c r="L1791" s="205"/>
      <c r="M1791" s="205"/>
      <c r="N1791" s="204"/>
      <c r="O1791" s="204"/>
      <c r="P1791" s="206"/>
      <c r="Q1791" s="206"/>
      <c r="R1791" s="206"/>
      <c r="S1791" s="206"/>
      <c r="T1791" s="204"/>
      <c r="U1791" s="207"/>
      <c r="V1791" s="204"/>
      <c r="W1791" s="204"/>
      <c r="X1791" s="207"/>
      <c r="Y1791" s="207"/>
      <c r="Z1791" s="204"/>
      <c r="AA1791" s="204"/>
      <c r="AB1791" s="204"/>
      <c r="AC1791" s="204"/>
    </row>
    <row r="1792" spans="1:29">
      <c r="A1792" s="204"/>
      <c r="B1792" s="204"/>
      <c r="C1792" s="204"/>
      <c r="D1792" s="204"/>
      <c r="E1792" s="204"/>
      <c r="F1792" s="204"/>
      <c r="G1792" s="204"/>
      <c r="H1792" s="204"/>
      <c r="I1792" s="204"/>
      <c r="J1792" s="204"/>
      <c r="K1792" s="204"/>
      <c r="L1792" s="205"/>
      <c r="M1792" s="205"/>
      <c r="N1792" s="204"/>
      <c r="O1792" s="204"/>
      <c r="P1792" s="206"/>
      <c r="Q1792" s="206"/>
      <c r="R1792" s="206"/>
      <c r="S1792" s="206"/>
      <c r="T1792" s="204"/>
      <c r="U1792" s="207"/>
      <c r="V1792" s="204"/>
      <c r="W1792" s="204"/>
      <c r="X1792" s="207"/>
      <c r="Y1792" s="207"/>
      <c r="Z1792" s="204"/>
      <c r="AA1792" s="204"/>
      <c r="AB1792" s="204"/>
      <c r="AC1792" s="204"/>
    </row>
    <row r="1793" spans="1:29">
      <c r="A1793" s="204"/>
      <c r="B1793" s="204"/>
      <c r="C1793" s="204"/>
      <c r="D1793" s="204"/>
      <c r="E1793" s="204"/>
      <c r="F1793" s="204"/>
      <c r="G1793" s="204"/>
      <c r="H1793" s="204"/>
      <c r="I1793" s="204"/>
      <c r="J1793" s="204"/>
      <c r="K1793" s="204"/>
      <c r="L1793" s="205"/>
      <c r="M1793" s="205"/>
      <c r="N1793" s="204"/>
      <c r="O1793" s="204"/>
      <c r="P1793" s="206"/>
      <c r="Q1793" s="206"/>
      <c r="R1793" s="206"/>
      <c r="S1793" s="206"/>
      <c r="T1793" s="204"/>
      <c r="U1793" s="207"/>
      <c r="V1793" s="204"/>
      <c r="W1793" s="204"/>
      <c r="X1793" s="207"/>
      <c r="Y1793" s="207"/>
      <c r="Z1793" s="204"/>
      <c r="AA1793" s="204"/>
      <c r="AB1793" s="204"/>
      <c r="AC1793" s="204"/>
    </row>
    <row r="1794" spans="1:29">
      <c r="A1794" s="204"/>
      <c r="B1794" s="204"/>
      <c r="C1794" s="204"/>
      <c r="D1794" s="204"/>
      <c r="E1794" s="204"/>
      <c r="F1794" s="204"/>
      <c r="G1794" s="204"/>
      <c r="H1794" s="204"/>
      <c r="I1794" s="204"/>
      <c r="J1794" s="204"/>
      <c r="K1794" s="204"/>
      <c r="L1794" s="205"/>
      <c r="M1794" s="205"/>
      <c r="N1794" s="204"/>
      <c r="O1794" s="204"/>
      <c r="P1794" s="206"/>
      <c r="Q1794" s="206"/>
      <c r="R1794" s="206"/>
      <c r="S1794" s="206"/>
      <c r="T1794" s="204"/>
      <c r="U1794" s="207"/>
      <c r="V1794" s="204"/>
      <c r="W1794" s="204"/>
      <c r="X1794" s="207"/>
      <c r="Y1794" s="207"/>
      <c r="Z1794" s="204"/>
      <c r="AA1794" s="204"/>
      <c r="AB1794" s="204"/>
      <c r="AC1794" s="204"/>
    </row>
    <row r="1795" spans="1:29">
      <c r="A1795" s="204"/>
      <c r="B1795" s="204"/>
      <c r="C1795" s="204"/>
      <c r="D1795" s="204"/>
      <c r="E1795" s="204"/>
      <c r="F1795" s="204"/>
      <c r="G1795" s="204"/>
      <c r="H1795" s="204"/>
      <c r="I1795" s="204"/>
      <c r="J1795" s="204"/>
      <c r="K1795" s="204"/>
      <c r="L1795" s="205"/>
      <c r="M1795" s="205"/>
      <c r="N1795" s="204"/>
      <c r="O1795" s="204"/>
      <c r="P1795" s="206"/>
      <c r="Q1795" s="206"/>
      <c r="R1795" s="206"/>
      <c r="S1795" s="206"/>
      <c r="T1795" s="204"/>
      <c r="U1795" s="207"/>
      <c r="V1795" s="204"/>
      <c r="W1795" s="204"/>
      <c r="X1795" s="207"/>
      <c r="Y1795" s="207"/>
      <c r="Z1795" s="204"/>
      <c r="AA1795" s="204"/>
      <c r="AB1795" s="204"/>
      <c r="AC1795" s="204"/>
    </row>
    <row r="1796" spans="1:29">
      <c r="A1796" s="204"/>
      <c r="B1796" s="204"/>
      <c r="C1796" s="204"/>
      <c r="D1796" s="204"/>
      <c r="E1796" s="204"/>
      <c r="F1796" s="204"/>
      <c r="G1796" s="204"/>
      <c r="H1796" s="204"/>
      <c r="I1796" s="204"/>
      <c r="J1796" s="204"/>
      <c r="K1796" s="204"/>
      <c r="L1796" s="205"/>
      <c r="M1796" s="205"/>
      <c r="N1796" s="204"/>
      <c r="O1796" s="204"/>
      <c r="P1796" s="206"/>
      <c r="Q1796" s="206"/>
      <c r="R1796" s="206"/>
      <c r="S1796" s="206"/>
      <c r="T1796" s="204"/>
      <c r="U1796" s="207"/>
      <c r="V1796" s="204"/>
      <c r="W1796" s="204"/>
      <c r="X1796" s="207"/>
      <c r="Y1796" s="207"/>
      <c r="Z1796" s="204"/>
      <c r="AA1796" s="204"/>
      <c r="AB1796" s="204"/>
      <c r="AC1796" s="204"/>
    </row>
    <row r="1797" spans="1:29">
      <c r="A1797" s="204"/>
      <c r="B1797" s="204"/>
      <c r="C1797" s="204"/>
      <c r="D1797" s="204"/>
      <c r="E1797" s="204"/>
      <c r="F1797" s="204"/>
      <c r="G1797" s="204"/>
      <c r="H1797" s="204"/>
      <c r="I1797" s="204"/>
      <c r="J1797" s="204"/>
      <c r="K1797" s="204"/>
      <c r="L1797" s="205"/>
      <c r="M1797" s="205"/>
      <c r="N1797" s="204"/>
      <c r="O1797" s="204"/>
      <c r="P1797" s="206"/>
      <c r="Q1797" s="206"/>
      <c r="R1797" s="206"/>
      <c r="S1797" s="206"/>
      <c r="T1797" s="204"/>
      <c r="U1797" s="207"/>
      <c r="V1797" s="204"/>
      <c r="W1797" s="204"/>
      <c r="X1797" s="207"/>
      <c r="Y1797" s="207"/>
      <c r="Z1797" s="204"/>
      <c r="AA1797" s="204"/>
      <c r="AB1797" s="204"/>
      <c r="AC1797" s="204"/>
    </row>
    <row r="1798" spans="1:29">
      <c r="A1798" s="204"/>
      <c r="B1798" s="204"/>
      <c r="C1798" s="204"/>
      <c r="D1798" s="204"/>
      <c r="E1798" s="204"/>
      <c r="F1798" s="204"/>
      <c r="G1798" s="204"/>
      <c r="H1798" s="204"/>
      <c r="I1798" s="204"/>
      <c r="J1798" s="204"/>
      <c r="K1798" s="204"/>
      <c r="L1798" s="205"/>
      <c r="M1798" s="205"/>
      <c r="N1798" s="204"/>
      <c r="O1798" s="204"/>
      <c r="P1798" s="206"/>
      <c r="Q1798" s="206"/>
      <c r="R1798" s="206"/>
      <c r="S1798" s="206"/>
      <c r="T1798" s="204"/>
      <c r="U1798" s="207"/>
      <c r="V1798" s="204"/>
      <c r="W1798" s="204"/>
      <c r="X1798" s="207"/>
      <c r="Y1798" s="207"/>
      <c r="Z1798" s="204"/>
      <c r="AA1798" s="204"/>
      <c r="AB1798" s="204"/>
      <c r="AC1798" s="204"/>
    </row>
    <row r="1799" spans="1:29">
      <c r="A1799" s="204"/>
      <c r="B1799" s="204"/>
      <c r="C1799" s="204"/>
      <c r="D1799" s="204"/>
      <c r="E1799" s="204"/>
      <c r="F1799" s="204"/>
      <c r="G1799" s="204"/>
      <c r="H1799" s="204"/>
      <c r="I1799" s="204"/>
      <c r="J1799" s="204"/>
      <c r="K1799" s="204"/>
      <c r="L1799" s="205"/>
      <c r="M1799" s="205"/>
      <c r="N1799" s="204"/>
      <c r="O1799" s="204"/>
      <c r="P1799" s="206"/>
      <c r="Q1799" s="206"/>
      <c r="R1799" s="206"/>
      <c r="S1799" s="206"/>
      <c r="T1799" s="204"/>
      <c r="U1799" s="207"/>
      <c r="V1799" s="204"/>
      <c r="W1799" s="204"/>
      <c r="X1799" s="207"/>
      <c r="Y1799" s="207"/>
      <c r="Z1799" s="204"/>
      <c r="AA1799" s="204"/>
      <c r="AB1799" s="204"/>
      <c r="AC1799" s="204"/>
    </row>
    <row r="1800" spans="1:29">
      <c r="A1800" s="204"/>
      <c r="B1800" s="204"/>
      <c r="C1800" s="204"/>
      <c r="D1800" s="204"/>
      <c r="E1800" s="204"/>
      <c r="F1800" s="204"/>
      <c r="G1800" s="204"/>
      <c r="H1800" s="204"/>
      <c r="I1800" s="204"/>
      <c r="J1800" s="204"/>
      <c r="K1800" s="204"/>
      <c r="L1800" s="205"/>
      <c r="M1800" s="205"/>
      <c r="N1800" s="204"/>
      <c r="O1800" s="204"/>
      <c r="P1800" s="206"/>
      <c r="Q1800" s="206"/>
      <c r="R1800" s="206"/>
      <c r="S1800" s="206"/>
      <c r="T1800" s="204"/>
      <c r="U1800" s="207"/>
      <c r="V1800" s="204"/>
      <c r="W1800" s="204"/>
      <c r="X1800" s="207"/>
      <c r="Y1800" s="207"/>
      <c r="Z1800" s="204"/>
      <c r="AA1800" s="204"/>
      <c r="AB1800" s="204"/>
      <c r="AC1800" s="204"/>
    </row>
    <row r="1801" spans="1:29">
      <c r="A1801" s="204"/>
      <c r="B1801" s="204"/>
      <c r="C1801" s="204"/>
      <c r="D1801" s="204"/>
      <c r="E1801" s="204"/>
      <c r="F1801" s="204"/>
      <c r="G1801" s="204"/>
      <c r="H1801" s="204"/>
      <c r="I1801" s="204"/>
      <c r="J1801" s="204"/>
      <c r="K1801" s="204"/>
      <c r="L1801" s="205"/>
      <c r="M1801" s="205"/>
      <c r="N1801" s="204"/>
      <c r="O1801" s="204"/>
      <c r="P1801" s="206"/>
      <c r="Q1801" s="206"/>
      <c r="R1801" s="206"/>
      <c r="S1801" s="206"/>
      <c r="T1801" s="204"/>
      <c r="U1801" s="207"/>
      <c r="V1801" s="204"/>
      <c r="W1801" s="204"/>
      <c r="X1801" s="207"/>
      <c r="Y1801" s="207"/>
      <c r="Z1801" s="204"/>
      <c r="AA1801" s="204"/>
      <c r="AB1801" s="204"/>
      <c r="AC1801" s="204"/>
    </row>
    <row r="1802" spans="1:29">
      <c r="A1802" s="204"/>
      <c r="B1802" s="204"/>
      <c r="C1802" s="204"/>
      <c r="D1802" s="204"/>
      <c r="E1802" s="204"/>
      <c r="F1802" s="204"/>
      <c r="G1802" s="204"/>
      <c r="H1802" s="204"/>
      <c r="I1802" s="204"/>
      <c r="J1802" s="204"/>
      <c r="K1802" s="204"/>
      <c r="L1802" s="205"/>
      <c r="M1802" s="205"/>
      <c r="N1802" s="204"/>
      <c r="O1802" s="204"/>
      <c r="P1802" s="206"/>
      <c r="Q1802" s="206"/>
      <c r="R1802" s="206"/>
      <c r="S1802" s="206"/>
      <c r="T1802" s="204"/>
      <c r="U1802" s="207"/>
      <c r="V1802" s="204"/>
      <c r="W1802" s="204"/>
      <c r="X1802" s="207"/>
      <c r="Y1802" s="207"/>
      <c r="Z1802" s="204"/>
      <c r="AA1802" s="204"/>
      <c r="AB1802" s="204"/>
      <c r="AC1802" s="204"/>
    </row>
    <row r="1803" spans="1:29">
      <c r="A1803" s="204"/>
      <c r="B1803" s="204"/>
      <c r="C1803" s="204"/>
      <c r="D1803" s="204"/>
      <c r="E1803" s="204"/>
      <c r="F1803" s="204"/>
      <c r="G1803" s="204"/>
      <c r="H1803" s="204"/>
      <c r="I1803" s="204"/>
      <c r="J1803" s="204"/>
      <c r="K1803" s="204"/>
      <c r="L1803" s="205"/>
      <c r="M1803" s="205"/>
      <c r="N1803" s="204"/>
      <c r="O1803" s="204"/>
      <c r="P1803" s="206"/>
      <c r="Q1803" s="206"/>
      <c r="R1803" s="206"/>
      <c r="S1803" s="206"/>
      <c r="T1803" s="204"/>
      <c r="U1803" s="207"/>
      <c r="V1803" s="204"/>
      <c r="W1803" s="204"/>
      <c r="X1803" s="207"/>
      <c r="Y1803" s="207"/>
      <c r="Z1803" s="204"/>
      <c r="AA1803" s="204"/>
      <c r="AB1803" s="204"/>
      <c r="AC1803" s="204"/>
    </row>
    <row r="1804" spans="1:29">
      <c r="A1804" s="204"/>
      <c r="B1804" s="204"/>
      <c r="C1804" s="204"/>
      <c r="D1804" s="204"/>
      <c r="E1804" s="204"/>
      <c r="F1804" s="204"/>
      <c r="G1804" s="204"/>
      <c r="H1804" s="204"/>
      <c r="I1804" s="204"/>
      <c r="J1804" s="204"/>
      <c r="K1804" s="204"/>
      <c r="L1804" s="205"/>
      <c r="M1804" s="205"/>
      <c r="N1804" s="204"/>
      <c r="O1804" s="204"/>
      <c r="P1804" s="206"/>
      <c r="Q1804" s="206"/>
      <c r="R1804" s="206"/>
      <c r="S1804" s="206"/>
      <c r="T1804" s="204"/>
      <c r="U1804" s="207"/>
      <c r="V1804" s="204"/>
      <c r="W1804" s="204"/>
      <c r="X1804" s="207"/>
      <c r="Y1804" s="207"/>
      <c r="Z1804" s="204"/>
      <c r="AA1804" s="204"/>
      <c r="AB1804" s="204"/>
      <c r="AC1804" s="204"/>
    </row>
    <row r="1805" spans="1:29">
      <c r="A1805" s="204"/>
      <c r="B1805" s="204"/>
      <c r="C1805" s="204"/>
      <c r="D1805" s="204"/>
      <c r="E1805" s="204"/>
      <c r="F1805" s="204"/>
      <c r="G1805" s="204"/>
      <c r="H1805" s="204"/>
      <c r="I1805" s="204"/>
      <c r="J1805" s="204"/>
      <c r="K1805" s="204"/>
      <c r="L1805" s="205"/>
      <c r="M1805" s="205"/>
      <c r="N1805" s="204"/>
      <c r="O1805" s="204"/>
      <c r="P1805" s="206"/>
      <c r="Q1805" s="206"/>
      <c r="R1805" s="206"/>
      <c r="S1805" s="206"/>
      <c r="T1805" s="204"/>
      <c r="U1805" s="207"/>
      <c r="V1805" s="204"/>
      <c r="W1805" s="204"/>
      <c r="X1805" s="207"/>
      <c r="Y1805" s="207"/>
      <c r="Z1805" s="204"/>
      <c r="AA1805" s="204"/>
      <c r="AB1805" s="204"/>
      <c r="AC1805" s="204"/>
    </row>
    <row r="1806" spans="1:29">
      <c r="A1806" s="204"/>
      <c r="B1806" s="204"/>
      <c r="C1806" s="204"/>
      <c r="D1806" s="204"/>
      <c r="E1806" s="204"/>
      <c r="F1806" s="204"/>
      <c r="G1806" s="204"/>
      <c r="H1806" s="204"/>
      <c r="I1806" s="204"/>
      <c r="J1806" s="204"/>
      <c r="K1806" s="204"/>
      <c r="L1806" s="205"/>
      <c r="M1806" s="205"/>
      <c r="N1806" s="204"/>
      <c r="O1806" s="204"/>
      <c r="P1806" s="206"/>
      <c r="Q1806" s="206"/>
      <c r="R1806" s="206"/>
      <c r="S1806" s="206"/>
      <c r="T1806" s="204"/>
      <c r="U1806" s="207"/>
      <c r="V1806" s="204"/>
      <c r="W1806" s="204"/>
      <c r="X1806" s="207"/>
      <c r="Y1806" s="207"/>
      <c r="Z1806" s="204"/>
      <c r="AA1806" s="204"/>
      <c r="AB1806" s="204"/>
      <c r="AC1806" s="204"/>
    </row>
    <row r="1807" spans="1:29">
      <c r="A1807" s="204"/>
      <c r="B1807" s="204"/>
      <c r="C1807" s="204"/>
      <c r="D1807" s="204"/>
      <c r="E1807" s="204"/>
      <c r="F1807" s="204"/>
      <c r="G1807" s="204"/>
      <c r="H1807" s="204"/>
      <c r="I1807" s="204"/>
      <c r="J1807" s="204"/>
      <c r="K1807" s="204"/>
      <c r="L1807" s="205"/>
      <c r="M1807" s="205"/>
      <c r="N1807" s="204"/>
      <c r="O1807" s="204"/>
      <c r="P1807" s="206"/>
      <c r="Q1807" s="206"/>
      <c r="R1807" s="206"/>
      <c r="S1807" s="206"/>
      <c r="T1807" s="204"/>
      <c r="U1807" s="207"/>
      <c r="V1807" s="204"/>
      <c r="W1807" s="204"/>
      <c r="X1807" s="207"/>
      <c r="Y1807" s="207"/>
      <c r="Z1807" s="204"/>
      <c r="AA1807" s="204"/>
      <c r="AB1807" s="204"/>
      <c r="AC1807" s="204"/>
    </row>
    <row r="1808" spans="1:29">
      <c r="A1808" s="204"/>
      <c r="B1808" s="204"/>
      <c r="C1808" s="204"/>
      <c r="D1808" s="204"/>
      <c r="E1808" s="204"/>
      <c r="F1808" s="204"/>
      <c r="G1808" s="204"/>
      <c r="H1808" s="204"/>
      <c r="I1808" s="204"/>
      <c r="J1808" s="204"/>
      <c r="K1808" s="204"/>
      <c r="L1808" s="205"/>
      <c r="M1808" s="205"/>
      <c r="N1808" s="204"/>
      <c r="O1808" s="204"/>
      <c r="P1808" s="206"/>
      <c r="Q1808" s="206"/>
      <c r="R1808" s="206"/>
      <c r="S1808" s="206"/>
      <c r="T1808" s="204"/>
      <c r="U1808" s="207"/>
      <c r="V1808" s="204"/>
      <c r="W1808" s="204"/>
      <c r="X1808" s="207"/>
      <c r="Y1808" s="207"/>
      <c r="Z1808" s="204"/>
      <c r="AA1808" s="204"/>
      <c r="AB1808" s="204"/>
      <c r="AC1808" s="204"/>
    </row>
    <row r="1809" spans="1:29">
      <c r="A1809" s="204"/>
      <c r="B1809" s="204"/>
      <c r="C1809" s="204"/>
      <c r="D1809" s="204"/>
      <c r="E1809" s="204"/>
      <c r="F1809" s="204"/>
      <c r="G1809" s="204"/>
      <c r="H1809" s="204"/>
      <c r="I1809" s="204"/>
      <c r="J1809" s="204"/>
      <c r="K1809" s="204"/>
      <c r="L1809" s="205"/>
      <c r="M1809" s="205"/>
      <c r="N1809" s="204"/>
      <c r="O1809" s="204"/>
      <c r="P1809" s="206"/>
      <c r="Q1809" s="206"/>
      <c r="R1809" s="206"/>
      <c r="S1809" s="206"/>
      <c r="T1809" s="204"/>
      <c r="U1809" s="207"/>
      <c r="V1809" s="204"/>
      <c r="W1809" s="204"/>
      <c r="X1809" s="207"/>
      <c r="Y1809" s="207"/>
      <c r="Z1809" s="204"/>
      <c r="AA1809" s="204"/>
      <c r="AB1809" s="204"/>
      <c r="AC1809" s="204"/>
    </row>
    <row r="1810" spans="1:29">
      <c r="A1810" s="204"/>
      <c r="B1810" s="204"/>
      <c r="C1810" s="204"/>
      <c r="D1810" s="204"/>
      <c r="E1810" s="204"/>
      <c r="F1810" s="204"/>
      <c r="G1810" s="204"/>
      <c r="H1810" s="204"/>
      <c r="I1810" s="204"/>
      <c r="J1810" s="204"/>
      <c r="K1810" s="204"/>
      <c r="L1810" s="205"/>
      <c r="M1810" s="205"/>
      <c r="N1810" s="204"/>
      <c r="O1810" s="204"/>
      <c r="P1810" s="206"/>
      <c r="Q1810" s="206"/>
      <c r="R1810" s="206"/>
      <c r="S1810" s="206"/>
      <c r="T1810" s="204"/>
      <c r="U1810" s="207"/>
      <c r="V1810" s="204"/>
      <c r="W1810" s="204"/>
      <c r="X1810" s="207"/>
      <c r="Y1810" s="207"/>
      <c r="Z1810" s="204"/>
      <c r="AA1810" s="204"/>
      <c r="AB1810" s="204"/>
      <c r="AC1810" s="204"/>
    </row>
    <row r="1811" spans="1:29">
      <c r="A1811" s="204"/>
      <c r="B1811" s="204"/>
      <c r="C1811" s="204"/>
      <c r="D1811" s="204"/>
      <c r="E1811" s="204"/>
      <c r="F1811" s="204"/>
      <c r="G1811" s="204"/>
      <c r="H1811" s="204"/>
      <c r="I1811" s="204"/>
      <c r="J1811" s="204"/>
      <c r="K1811" s="204"/>
      <c r="L1811" s="205"/>
      <c r="M1811" s="205"/>
      <c r="N1811" s="204"/>
      <c r="O1811" s="204"/>
      <c r="P1811" s="206"/>
      <c r="Q1811" s="206"/>
      <c r="R1811" s="206"/>
      <c r="S1811" s="206"/>
      <c r="T1811" s="204"/>
      <c r="U1811" s="207"/>
      <c r="V1811" s="204"/>
      <c r="W1811" s="204"/>
      <c r="X1811" s="207"/>
      <c r="Y1811" s="207"/>
      <c r="Z1811" s="204"/>
      <c r="AA1811" s="204"/>
      <c r="AB1811" s="204"/>
      <c r="AC1811" s="204"/>
    </row>
    <row r="1812" spans="1:29">
      <c r="A1812" s="204"/>
      <c r="B1812" s="204"/>
      <c r="C1812" s="204"/>
      <c r="D1812" s="204"/>
      <c r="E1812" s="204"/>
      <c r="F1812" s="204"/>
      <c r="G1812" s="204"/>
      <c r="H1812" s="204"/>
      <c r="I1812" s="204"/>
      <c r="J1812" s="204"/>
      <c r="K1812" s="204"/>
      <c r="L1812" s="205"/>
      <c r="M1812" s="205"/>
      <c r="N1812" s="204"/>
      <c r="O1812" s="204"/>
      <c r="P1812" s="206"/>
      <c r="Q1812" s="206"/>
      <c r="R1812" s="206"/>
      <c r="S1812" s="206"/>
      <c r="T1812" s="204"/>
      <c r="U1812" s="207"/>
      <c r="V1812" s="204"/>
      <c r="W1812" s="204"/>
      <c r="X1812" s="207"/>
      <c r="Y1812" s="207"/>
      <c r="Z1812" s="204"/>
      <c r="AA1812" s="204"/>
      <c r="AB1812" s="204"/>
      <c r="AC1812" s="204"/>
    </row>
    <row r="1813" spans="1:29">
      <c r="A1813" s="204"/>
      <c r="B1813" s="204"/>
      <c r="C1813" s="204"/>
      <c r="D1813" s="204"/>
      <c r="E1813" s="204"/>
      <c r="F1813" s="204"/>
      <c r="G1813" s="204"/>
      <c r="H1813" s="204"/>
      <c r="I1813" s="204"/>
      <c r="J1813" s="204"/>
      <c r="K1813" s="204"/>
      <c r="L1813" s="205"/>
      <c r="M1813" s="205"/>
      <c r="N1813" s="204"/>
      <c r="O1813" s="204"/>
      <c r="P1813" s="206"/>
      <c r="Q1813" s="206"/>
      <c r="R1813" s="206"/>
      <c r="S1813" s="206"/>
      <c r="T1813" s="204"/>
      <c r="U1813" s="207"/>
      <c r="V1813" s="204"/>
      <c r="W1813" s="204"/>
      <c r="X1813" s="207"/>
      <c r="Y1813" s="207"/>
      <c r="Z1813" s="204"/>
      <c r="AA1813" s="204"/>
      <c r="AB1813" s="204"/>
      <c r="AC1813" s="204"/>
    </row>
    <row r="1814" spans="1:29">
      <c r="A1814" s="204"/>
      <c r="B1814" s="204"/>
      <c r="C1814" s="204"/>
      <c r="D1814" s="204"/>
      <c r="E1814" s="204"/>
      <c r="F1814" s="204"/>
      <c r="G1814" s="204"/>
      <c r="H1814" s="204"/>
      <c r="I1814" s="204"/>
      <c r="J1814" s="204"/>
      <c r="K1814" s="204"/>
      <c r="L1814" s="205"/>
      <c r="M1814" s="205"/>
      <c r="N1814" s="204"/>
      <c r="O1814" s="204"/>
      <c r="P1814" s="206"/>
      <c r="Q1814" s="206"/>
      <c r="R1814" s="206"/>
      <c r="S1814" s="206"/>
      <c r="T1814" s="204"/>
      <c r="U1814" s="207"/>
      <c r="V1814" s="204"/>
      <c r="W1814" s="204"/>
      <c r="X1814" s="207"/>
      <c r="Y1814" s="207"/>
      <c r="Z1814" s="204"/>
      <c r="AA1814" s="204"/>
      <c r="AB1814" s="204"/>
      <c r="AC1814" s="204"/>
    </row>
    <row r="1815" spans="1:29">
      <c r="A1815" s="204"/>
      <c r="B1815" s="204"/>
      <c r="C1815" s="204"/>
      <c r="D1815" s="204"/>
      <c r="E1815" s="204"/>
      <c r="F1815" s="204"/>
      <c r="G1815" s="204"/>
      <c r="H1815" s="204"/>
      <c r="I1815" s="204"/>
      <c r="J1815" s="204"/>
      <c r="K1815" s="204"/>
      <c r="L1815" s="205"/>
      <c r="M1815" s="205"/>
      <c r="N1815" s="204"/>
      <c r="O1815" s="204"/>
      <c r="P1815" s="206"/>
      <c r="Q1815" s="206"/>
      <c r="R1815" s="206"/>
      <c r="S1815" s="206"/>
      <c r="T1815" s="204"/>
      <c r="U1815" s="207"/>
      <c r="V1815" s="204"/>
      <c r="W1815" s="204"/>
      <c r="X1815" s="207"/>
      <c r="Y1815" s="207"/>
      <c r="Z1815" s="204"/>
      <c r="AA1815" s="204"/>
      <c r="AB1815" s="204"/>
      <c r="AC1815" s="204"/>
    </row>
    <row r="1816" spans="1:29">
      <c r="A1816" s="204"/>
      <c r="B1816" s="204"/>
      <c r="C1816" s="204"/>
      <c r="D1816" s="204"/>
      <c r="E1816" s="204"/>
      <c r="F1816" s="204"/>
      <c r="G1816" s="204"/>
      <c r="H1816" s="204"/>
      <c r="I1816" s="204"/>
      <c r="J1816" s="204"/>
      <c r="K1816" s="204"/>
      <c r="L1816" s="205"/>
      <c r="M1816" s="205"/>
      <c r="N1816" s="204"/>
      <c r="O1816" s="204"/>
      <c r="P1816" s="206"/>
      <c r="Q1816" s="206"/>
      <c r="R1816" s="206"/>
      <c r="S1816" s="206"/>
      <c r="T1816" s="204"/>
      <c r="U1816" s="207"/>
      <c r="V1816" s="204"/>
      <c r="W1816" s="204"/>
      <c r="X1816" s="207"/>
      <c r="Y1816" s="207"/>
      <c r="Z1816" s="204"/>
      <c r="AA1816" s="204"/>
      <c r="AB1816" s="204"/>
      <c r="AC1816" s="204"/>
    </row>
    <row r="1817" spans="1:29">
      <c r="A1817" s="204"/>
      <c r="B1817" s="204"/>
      <c r="C1817" s="204"/>
      <c r="D1817" s="204"/>
      <c r="E1817" s="204"/>
      <c r="F1817" s="204"/>
      <c r="G1817" s="204"/>
      <c r="H1817" s="204"/>
      <c r="I1817" s="204"/>
      <c r="J1817" s="204"/>
      <c r="K1817" s="204"/>
      <c r="L1817" s="205"/>
      <c r="M1817" s="205"/>
      <c r="N1817" s="204"/>
      <c r="O1817" s="204"/>
      <c r="P1817" s="206"/>
      <c r="Q1817" s="206"/>
      <c r="R1817" s="206"/>
      <c r="S1817" s="206"/>
      <c r="T1817" s="204"/>
      <c r="U1817" s="207"/>
      <c r="V1817" s="204"/>
      <c r="W1817" s="204"/>
      <c r="X1817" s="207"/>
      <c r="Y1817" s="207"/>
      <c r="Z1817" s="204"/>
      <c r="AA1817" s="204"/>
      <c r="AB1817" s="204"/>
      <c r="AC1817" s="204"/>
    </row>
    <row r="1818" spans="1:29">
      <c r="A1818" s="204"/>
      <c r="B1818" s="204"/>
      <c r="C1818" s="204"/>
      <c r="D1818" s="204"/>
      <c r="E1818" s="204"/>
      <c r="F1818" s="204"/>
      <c r="G1818" s="204"/>
      <c r="H1818" s="204"/>
      <c r="I1818" s="204"/>
      <c r="J1818" s="204"/>
      <c r="K1818" s="204"/>
      <c r="L1818" s="205"/>
      <c r="M1818" s="205"/>
      <c r="N1818" s="204"/>
      <c r="O1818" s="204"/>
      <c r="P1818" s="206"/>
      <c r="Q1818" s="206"/>
      <c r="R1818" s="206"/>
      <c r="S1818" s="206"/>
      <c r="T1818" s="204"/>
      <c r="U1818" s="207"/>
      <c r="V1818" s="204"/>
      <c r="W1818" s="204"/>
      <c r="X1818" s="207"/>
      <c r="Y1818" s="207"/>
      <c r="Z1818" s="204"/>
      <c r="AA1818" s="204"/>
      <c r="AB1818" s="204"/>
      <c r="AC1818" s="204"/>
    </row>
    <row r="1819" spans="1:29">
      <c r="A1819" s="204"/>
      <c r="B1819" s="204"/>
      <c r="C1819" s="204"/>
      <c r="D1819" s="204"/>
      <c r="E1819" s="204"/>
      <c r="F1819" s="204"/>
      <c r="G1819" s="204"/>
      <c r="H1819" s="204"/>
      <c r="I1819" s="204"/>
      <c r="J1819" s="204"/>
      <c r="K1819" s="204"/>
      <c r="L1819" s="205"/>
      <c r="M1819" s="205"/>
      <c r="N1819" s="204"/>
      <c r="O1819" s="204"/>
      <c r="P1819" s="206"/>
      <c r="Q1819" s="206"/>
      <c r="R1819" s="206"/>
      <c r="S1819" s="206"/>
      <c r="T1819" s="204"/>
      <c r="U1819" s="207"/>
      <c r="V1819" s="204"/>
      <c r="W1819" s="204"/>
      <c r="X1819" s="207"/>
      <c r="Y1819" s="207"/>
      <c r="Z1819" s="204"/>
      <c r="AA1819" s="204"/>
      <c r="AB1819" s="204"/>
      <c r="AC1819" s="204"/>
    </row>
    <row r="1820" spans="1:29">
      <c r="A1820" s="204"/>
      <c r="B1820" s="204"/>
      <c r="C1820" s="204"/>
      <c r="D1820" s="204"/>
      <c r="E1820" s="204"/>
      <c r="F1820" s="204"/>
      <c r="G1820" s="204"/>
      <c r="H1820" s="204"/>
      <c r="I1820" s="204"/>
      <c r="J1820" s="204"/>
      <c r="K1820" s="204"/>
      <c r="L1820" s="205"/>
      <c r="M1820" s="205"/>
      <c r="N1820" s="204"/>
      <c r="O1820" s="204"/>
      <c r="P1820" s="206"/>
      <c r="Q1820" s="206"/>
      <c r="R1820" s="206"/>
      <c r="S1820" s="206"/>
      <c r="T1820" s="204"/>
      <c r="U1820" s="207"/>
      <c r="V1820" s="204"/>
      <c r="W1820" s="204"/>
      <c r="X1820" s="207"/>
      <c r="Y1820" s="207"/>
      <c r="Z1820" s="204"/>
      <c r="AA1820" s="204"/>
      <c r="AB1820" s="204"/>
      <c r="AC1820" s="204"/>
    </row>
    <row r="1821" spans="1:29">
      <c r="A1821" s="204"/>
      <c r="B1821" s="204"/>
      <c r="C1821" s="204"/>
      <c r="D1821" s="204"/>
      <c r="E1821" s="204"/>
      <c r="F1821" s="204"/>
      <c r="G1821" s="204"/>
      <c r="H1821" s="204"/>
      <c r="I1821" s="204"/>
      <c r="J1821" s="204"/>
      <c r="K1821" s="204"/>
      <c r="L1821" s="205"/>
      <c r="M1821" s="205"/>
      <c r="N1821" s="204"/>
      <c r="O1821" s="204"/>
      <c r="P1821" s="206"/>
      <c r="Q1821" s="206"/>
      <c r="R1821" s="206"/>
      <c r="S1821" s="206"/>
      <c r="T1821" s="204"/>
      <c r="U1821" s="207"/>
      <c r="V1821" s="204"/>
      <c r="W1821" s="204"/>
      <c r="X1821" s="207"/>
      <c r="Y1821" s="207"/>
      <c r="Z1821" s="204"/>
      <c r="AA1821" s="204"/>
      <c r="AB1821" s="204"/>
      <c r="AC1821" s="204"/>
    </row>
    <row r="1822" spans="1:29">
      <c r="A1822" s="204"/>
      <c r="B1822" s="204"/>
      <c r="C1822" s="204"/>
      <c r="D1822" s="204"/>
      <c r="E1822" s="204"/>
      <c r="F1822" s="204"/>
      <c r="G1822" s="204"/>
      <c r="H1822" s="204"/>
      <c r="I1822" s="204"/>
      <c r="J1822" s="204"/>
      <c r="K1822" s="204"/>
      <c r="L1822" s="205"/>
      <c r="M1822" s="205"/>
      <c r="N1822" s="204"/>
      <c r="O1822" s="204"/>
      <c r="P1822" s="206"/>
      <c r="Q1822" s="206"/>
      <c r="R1822" s="206"/>
      <c r="S1822" s="206"/>
      <c r="T1822" s="204"/>
      <c r="U1822" s="207"/>
      <c r="V1822" s="204"/>
      <c r="W1822" s="204"/>
      <c r="X1822" s="207"/>
      <c r="Y1822" s="207"/>
      <c r="Z1822" s="204"/>
      <c r="AA1822" s="204"/>
      <c r="AB1822" s="204"/>
      <c r="AC1822" s="204"/>
    </row>
    <row r="1823" spans="1:29">
      <c r="A1823" s="204"/>
      <c r="B1823" s="204"/>
      <c r="C1823" s="204"/>
      <c r="D1823" s="204"/>
      <c r="E1823" s="204"/>
      <c r="F1823" s="204"/>
      <c r="G1823" s="204"/>
      <c r="H1823" s="204"/>
      <c r="I1823" s="204"/>
      <c r="J1823" s="204"/>
      <c r="K1823" s="204"/>
      <c r="L1823" s="205"/>
      <c r="M1823" s="205"/>
      <c r="N1823" s="204"/>
      <c r="O1823" s="204"/>
      <c r="P1823" s="206"/>
      <c r="Q1823" s="206"/>
      <c r="R1823" s="206"/>
      <c r="S1823" s="206"/>
      <c r="T1823" s="204"/>
      <c r="U1823" s="207"/>
      <c r="V1823" s="204"/>
      <c r="W1823" s="204"/>
      <c r="X1823" s="207"/>
      <c r="Y1823" s="207"/>
      <c r="Z1823" s="204"/>
      <c r="AA1823" s="204"/>
      <c r="AB1823" s="204"/>
      <c r="AC1823" s="204"/>
    </row>
    <row r="1824" spans="1:29">
      <c r="A1824" s="204"/>
      <c r="B1824" s="204"/>
      <c r="C1824" s="204"/>
      <c r="D1824" s="204"/>
      <c r="E1824" s="204"/>
      <c r="F1824" s="204"/>
      <c r="G1824" s="204"/>
      <c r="H1824" s="204"/>
      <c r="I1824" s="204"/>
      <c r="J1824" s="204"/>
      <c r="K1824" s="204"/>
      <c r="L1824" s="205"/>
      <c r="M1824" s="205"/>
      <c r="N1824" s="204"/>
      <c r="O1824" s="204"/>
      <c r="P1824" s="206"/>
      <c r="Q1824" s="206"/>
      <c r="R1824" s="206"/>
      <c r="S1824" s="206"/>
      <c r="T1824" s="204"/>
      <c r="U1824" s="207"/>
      <c r="V1824" s="204"/>
      <c r="W1824" s="204"/>
      <c r="X1824" s="207"/>
      <c r="Y1824" s="207"/>
      <c r="Z1824" s="204"/>
      <c r="AA1824" s="204"/>
      <c r="AB1824" s="204"/>
      <c r="AC1824" s="204"/>
    </row>
    <row r="1825" spans="1:29">
      <c r="A1825" s="204"/>
      <c r="B1825" s="204"/>
      <c r="C1825" s="204"/>
      <c r="D1825" s="204"/>
      <c r="E1825" s="204"/>
      <c r="F1825" s="204"/>
      <c r="G1825" s="204"/>
      <c r="H1825" s="204"/>
      <c r="I1825" s="204"/>
      <c r="J1825" s="204"/>
      <c r="K1825" s="204"/>
      <c r="L1825" s="205"/>
      <c r="M1825" s="205"/>
      <c r="N1825" s="204"/>
      <c r="O1825" s="204"/>
      <c r="P1825" s="206"/>
      <c r="Q1825" s="206"/>
      <c r="R1825" s="206"/>
      <c r="S1825" s="206"/>
      <c r="T1825" s="204"/>
      <c r="U1825" s="207"/>
      <c r="V1825" s="204"/>
      <c r="W1825" s="204"/>
      <c r="X1825" s="207"/>
      <c r="Y1825" s="207"/>
      <c r="Z1825" s="204"/>
      <c r="AA1825" s="204"/>
      <c r="AB1825" s="204"/>
      <c r="AC1825" s="204"/>
    </row>
    <row r="1826" spans="1:29">
      <c r="A1826" s="204"/>
      <c r="B1826" s="204"/>
      <c r="C1826" s="204"/>
      <c r="D1826" s="204"/>
      <c r="E1826" s="204"/>
      <c r="F1826" s="204"/>
      <c r="G1826" s="204"/>
      <c r="H1826" s="204"/>
      <c r="I1826" s="204"/>
      <c r="J1826" s="204"/>
      <c r="K1826" s="204"/>
      <c r="L1826" s="205"/>
      <c r="M1826" s="205"/>
      <c r="N1826" s="204"/>
      <c r="O1826" s="204"/>
      <c r="P1826" s="206"/>
      <c r="Q1826" s="206"/>
      <c r="R1826" s="206"/>
      <c r="S1826" s="206"/>
      <c r="T1826" s="204"/>
      <c r="U1826" s="207"/>
      <c r="V1826" s="204"/>
      <c r="W1826" s="204"/>
      <c r="X1826" s="207"/>
      <c r="Y1826" s="207"/>
      <c r="Z1826" s="204"/>
      <c r="AA1826" s="204"/>
      <c r="AB1826" s="204"/>
      <c r="AC1826" s="204"/>
    </row>
    <row r="1827" spans="1:29">
      <c r="A1827" s="204"/>
      <c r="B1827" s="204"/>
      <c r="C1827" s="204"/>
      <c r="D1827" s="204"/>
      <c r="E1827" s="204"/>
      <c r="F1827" s="204"/>
      <c r="G1827" s="204"/>
      <c r="H1827" s="204"/>
      <c r="I1827" s="204"/>
      <c r="J1827" s="204"/>
      <c r="K1827" s="204"/>
      <c r="L1827" s="205"/>
      <c r="M1827" s="205"/>
      <c r="N1827" s="204"/>
      <c r="O1827" s="204"/>
      <c r="P1827" s="206"/>
      <c r="Q1827" s="206"/>
      <c r="R1827" s="206"/>
      <c r="S1827" s="206"/>
      <c r="T1827" s="204"/>
      <c r="U1827" s="207"/>
      <c r="V1827" s="204"/>
      <c r="W1827" s="204"/>
      <c r="X1827" s="207"/>
      <c r="Y1827" s="207"/>
      <c r="Z1827" s="204"/>
      <c r="AA1827" s="204"/>
      <c r="AB1827" s="204"/>
      <c r="AC1827" s="204"/>
    </row>
    <row r="1828" spans="1:29">
      <c r="A1828" s="204"/>
      <c r="B1828" s="204"/>
      <c r="C1828" s="204"/>
      <c r="D1828" s="204"/>
      <c r="E1828" s="204"/>
      <c r="F1828" s="204"/>
      <c r="G1828" s="204"/>
      <c r="H1828" s="204"/>
      <c r="I1828" s="204"/>
      <c r="J1828" s="204"/>
      <c r="K1828" s="204"/>
      <c r="L1828" s="205"/>
      <c r="M1828" s="205"/>
      <c r="N1828" s="204"/>
      <c r="O1828" s="204"/>
      <c r="P1828" s="206"/>
      <c r="Q1828" s="206"/>
      <c r="R1828" s="206"/>
      <c r="S1828" s="206"/>
      <c r="T1828" s="204"/>
      <c r="U1828" s="207"/>
      <c r="V1828" s="204"/>
      <c r="W1828" s="204"/>
      <c r="X1828" s="207"/>
      <c r="Y1828" s="207"/>
      <c r="Z1828" s="204"/>
      <c r="AA1828" s="204"/>
      <c r="AB1828" s="204"/>
      <c r="AC1828" s="204"/>
    </row>
    <row r="1829" spans="1:29">
      <c r="A1829" s="204"/>
      <c r="B1829" s="204"/>
      <c r="C1829" s="204"/>
      <c r="D1829" s="204"/>
      <c r="E1829" s="204"/>
      <c r="F1829" s="204"/>
      <c r="G1829" s="204"/>
      <c r="H1829" s="204"/>
      <c r="I1829" s="204"/>
      <c r="J1829" s="204"/>
      <c r="K1829" s="204"/>
      <c r="L1829" s="205"/>
      <c r="M1829" s="205"/>
      <c r="N1829" s="204"/>
      <c r="O1829" s="204"/>
      <c r="P1829" s="206"/>
      <c r="Q1829" s="206"/>
      <c r="R1829" s="206"/>
      <c r="S1829" s="206"/>
      <c r="T1829" s="204"/>
      <c r="U1829" s="207"/>
      <c r="V1829" s="204"/>
      <c r="W1829" s="204"/>
      <c r="X1829" s="207"/>
      <c r="Y1829" s="207"/>
      <c r="Z1829" s="204"/>
      <c r="AA1829" s="204"/>
      <c r="AB1829" s="204"/>
      <c r="AC1829" s="204"/>
    </row>
    <row r="1830" spans="1:29">
      <c r="A1830" s="204"/>
      <c r="B1830" s="204"/>
      <c r="C1830" s="204"/>
      <c r="D1830" s="204"/>
      <c r="E1830" s="204"/>
      <c r="F1830" s="204"/>
      <c r="G1830" s="204"/>
      <c r="H1830" s="204"/>
      <c r="I1830" s="204"/>
      <c r="J1830" s="204"/>
      <c r="K1830" s="204"/>
      <c r="L1830" s="205"/>
      <c r="M1830" s="205"/>
      <c r="N1830" s="204"/>
      <c r="O1830" s="204"/>
      <c r="P1830" s="206"/>
      <c r="Q1830" s="206"/>
      <c r="R1830" s="206"/>
      <c r="S1830" s="206"/>
      <c r="T1830" s="204"/>
      <c r="U1830" s="207"/>
      <c r="V1830" s="204"/>
      <c r="W1830" s="204"/>
      <c r="X1830" s="207"/>
      <c r="Y1830" s="207"/>
      <c r="Z1830" s="204"/>
      <c r="AA1830" s="204"/>
      <c r="AB1830" s="204"/>
      <c r="AC1830" s="204"/>
    </row>
    <row r="1831" spans="1:29">
      <c r="A1831" s="204"/>
      <c r="B1831" s="204"/>
      <c r="C1831" s="204"/>
      <c r="D1831" s="204"/>
      <c r="E1831" s="204"/>
      <c r="F1831" s="204"/>
      <c r="G1831" s="204"/>
      <c r="H1831" s="204"/>
      <c r="I1831" s="204"/>
      <c r="J1831" s="204"/>
      <c r="K1831" s="204"/>
      <c r="L1831" s="205"/>
      <c r="M1831" s="205"/>
      <c r="N1831" s="204"/>
      <c r="O1831" s="204"/>
      <c r="P1831" s="206"/>
      <c r="Q1831" s="206"/>
      <c r="R1831" s="206"/>
      <c r="S1831" s="206"/>
      <c r="T1831" s="204"/>
      <c r="U1831" s="207"/>
      <c r="V1831" s="204"/>
      <c r="W1831" s="204"/>
      <c r="X1831" s="207"/>
      <c r="Y1831" s="207"/>
      <c r="Z1831" s="204"/>
      <c r="AA1831" s="204"/>
      <c r="AB1831" s="204"/>
      <c r="AC1831" s="204"/>
    </row>
    <row r="1832" spans="1:29">
      <c r="A1832" s="204"/>
      <c r="B1832" s="204"/>
      <c r="C1832" s="204"/>
      <c r="D1832" s="204"/>
      <c r="E1832" s="204"/>
      <c r="F1832" s="204"/>
      <c r="G1832" s="204"/>
      <c r="H1832" s="204"/>
      <c r="I1832" s="204"/>
      <c r="J1832" s="204"/>
      <c r="K1832" s="204"/>
      <c r="L1832" s="205"/>
      <c r="M1832" s="205"/>
      <c r="N1832" s="204"/>
      <c r="O1832" s="204"/>
      <c r="P1832" s="206"/>
      <c r="Q1832" s="206"/>
      <c r="R1832" s="206"/>
      <c r="S1832" s="206"/>
      <c r="T1832" s="204"/>
      <c r="U1832" s="207"/>
      <c r="V1832" s="204"/>
      <c r="W1832" s="204"/>
      <c r="X1832" s="207"/>
      <c r="Y1832" s="207"/>
      <c r="Z1832" s="204"/>
      <c r="AA1832" s="204"/>
      <c r="AB1832" s="204"/>
      <c r="AC1832" s="204"/>
    </row>
    <row r="1833" spans="1:29">
      <c r="A1833" s="204"/>
      <c r="B1833" s="204"/>
      <c r="C1833" s="204"/>
      <c r="D1833" s="204"/>
      <c r="E1833" s="204"/>
      <c r="F1833" s="204"/>
      <c r="G1833" s="204"/>
      <c r="H1833" s="204"/>
      <c r="I1833" s="204"/>
      <c r="J1833" s="204"/>
      <c r="K1833" s="204"/>
      <c r="L1833" s="205"/>
      <c r="M1833" s="205"/>
      <c r="N1833" s="204"/>
      <c r="O1833" s="204"/>
      <c r="P1833" s="206"/>
      <c r="Q1833" s="206"/>
      <c r="R1833" s="206"/>
      <c r="S1833" s="206"/>
      <c r="T1833" s="204"/>
      <c r="U1833" s="207"/>
      <c r="V1833" s="204"/>
      <c r="W1833" s="204"/>
      <c r="X1833" s="207"/>
      <c r="Y1833" s="207"/>
      <c r="Z1833" s="204"/>
      <c r="AA1833" s="204"/>
      <c r="AB1833" s="204"/>
      <c r="AC1833" s="204"/>
    </row>
    <row r="1834" spans="1:29">
      <c r="A1834" s="204"/>
      <c r="B1834" s="204"/>
      <c r="C1834" s="204"/>
      <c r="D1834" s="204"/>
      <c r="E1834" s="204"/>
      <c r="F1834" s="204"/>
      <c r="G1834" s="204"/>
      <c r="H1834" s="204"/>
      <c r="I1834" s="204"/>
      <c r="J1834" s="204"/>
      <c r="K1834" s="204"/>
      <c r="L1834" s="205"/>
      <c r="M1834" s="205"/>
      <c r="N1834" s="204"/>
      <c r="O1834" s="204"/>
      <c r="P1834" s="206"/>
      <c r="Q1834" s="206"/>
      <c r="R1834" s="206"/>
      <c r="S1834" s="206"/>
      <c r="T1834" s="204"/>
      <c r="U1834" s="207"/>
      <c r="V1834" s="204"/>
      <c r="W1834" s="204"/>
      <c r="X1834" s="207"/>
      <c r="Y1834" s="207"/>
      <c r="Z1834" s="204"/>
      <c r="AA1834" s="204"/>
      <c r="AB1834" s="204"/>
      <c r="AC1834" s="204"/>
    </row>
    <row r="1835" spans="1:29">
      <c r="A1835" s="204"/>
      <c r="B1835" s="204"/>
      <c r="C1835" s="204"/>
      <c r="D1835" s="204"/>
      <c r="E1835" s="204"/>
      <c r="F1835" s="204"/>
      <c r="G1835" s="204"/>
      <c r="H1835" s="204"/>
      <c r="I1835" s="204"/>
      <c r="J1835" s="204"/>
      <c r="K1835" s="204"/>
      <c r="L1835" s="205"/>
      <c r="M1835" s="205"/>
      <c r="N1835" s="204"/>
      <c r="O1835" s="204"/>
      <c r="P1835" s="206"/>
      <c r="Q1835" s="206"/>
      <c r="R1835" s="206"/>
      <c r="S1835" s="206"/>
      <c r="T1835" s="204"/>
      <c r="U1835" s="207"/>
      <c r="V1835" s="204"/>
      <c r="W1835" s="204"/>
      <c r="X1835" s="207"/>
      <c r="Y1835" s="207"/>
      <c r="Z1835" s="204"/>
      <c r="AA1835" s="204"/>
      <c r="AB1835" s="204"/>
      <c r="AC1835" s="204"/>
    </row>
    <row r="1836" spans="1:29">
      <c r="A1836" s="204"/>
      <c r="B1836" s="204"/>
      <c r="C1836" s="204"/>
      <c r="D1836" s="204"/>
      <c r="E1836" s="204"/>
      <c r="F1836" s="204"/>
      <c r="G1836" s="204"/>
      <c r="H1836" s="204"/>
      <c r="I1836" s="204"/>
      <c r="J1836" s="204"/>
      <c r="K1836" s="204"/>
      <c r="L1836" s="205"/>
      <c r="M1836" s="205"/>
      <c r="N1836" s="204"/>
      <c r="O1836" s="204"/>
      <c r="P1836" s="206"/>
      <c r="Q1836" s="206"/>
      <c r="R1836" s="206"/>
      <c r="S1836" s="206"/>
      <c r="T1836" s="204"/>
      <c r="U1836" s="207"/>
      <c r="V1836" s="204"/>
      <c r="W1836" s="204"/>
      <c r="X1836" s="207"/>
      <c r="Y1836" s="207"/>
      <c r="Z1836" s="204"/>
      <c r="AA1836" s="204"/>
      <c r="AB1836" s="204"/>
      <c r="AC1836" s="204"/>
    </row>
    <row r="1837" spans="1:29">
      <c r="A1837" s="204"/>
      <c r="B1837" s="204"/>
      <c r="C1837" s="204"/>
      <c r="D1837" s="204"/>
      <c r="E1837" s="204"/>
      <c r="F1837" s="204"/>
      <c r="G1837" s="204"/>
      <c r="H1837" s="204"/>
      <c r="I1837" s="204"/>
      <c r="J1837" s="204"/>
      <c r="K1837" s="204"/>
      <c r="L1837" s="205"/>
      <c r="M1837" s="205"/>
      <c r="N1837" s="204"/>
      <c r="O1837" s="204"/>
      <c r="P1837" s="206"/>
      <c r="Q1837" s="206"/>
      <c r="R1837" s="206"/>
      <c r="S1837" s="206"/>
      <c r="T1837" s="204"/>
      <c r="U1837" s="207"/>
      <c r="V1837" s="204"/>
      <c r="W1837" s="204"/>
      <c r="X1837" s="207"/>
      <c r="Y1837" s="207"/>
      <c r="Z1837" s="204"/>
      <c r="AA1837" s="204"/>
      <c r="AB1837" s="204"/>
      <c r="AC1837" s="204"/>
    </row>
    <row r="1838" spans="1:29">
      <c r="A1838" s="204"/>
      <c r="B1838" s="204"/>
      <c r="C1838" s="204"/>
      <c r="D1838" s="204"/>
      <c r="E1838" s="204"/>
      <c r="F1838" s="204"/>
      <c r="G1838" s="204"/>
      <c r="H1838" s="204"/>
      <c r="I1838" s="204"/>
      <c r="J1838" s="204"/>
      <c r="K1838" s="204"/>
      <c r="L1838" s="205"/>
      <c r="M1838" s="205"/>
      <c r="N1838" s="204"/>
      <c r="O1838" s="204"/>
      <c r="P1838" s="206"/>
      <c r="Q1838" s="206"/>
      <c r="R1838" s="206"/>
      <c r="S1838" s="206"/>
      <c r="T1838" s="204"/>
      <c r="U1838" s="207"/>
      <c r="V1838" s="204"/>
      <c r="W1838" s="204"/>
      <c r="X1838" s="207"/>
      <c r="Y1838" s="207"/>
      <c r="Z1838" s="204"/>
      <c r="AA1838" s="204"/>
      <c r="AB1838" s="204"/>
      <c r="AC1838" s="204"/>
    </row>
    <row r="1839" spans="1:29">
      <c r="A1839" s="204"/>
      <c r="B1839" s="204"/>
      <c r="C1839" s="204"/>
      <c r="D1839" s="204"/>
      <c r="E1839" s="204"/>
      <c r="F1839" s="204"/>
      <c r="G1839" s="204"/>
      <c r="H1839" s="204"/>
      <c r="I1839" s="204"/>
      <c r="J1839" s="204"/>
      <c r="K1839" s="204"/>
      <c r="L1839" s="205"/>
      <c r="M1839" s="205"/>
      <c r="N1839" s="204"/>
      <c r="O1839" s="204"/>
      <c r="P1839" s="206"/>
      <c r="Q1839" s="206"/>
      <c r="R1839" s="206"/>
      <c r="S1839" s="206"/>
      <c r="T1839" s="204"/>
      <c r="U1839" s="207"/>
      <c r="V1839" s="204"/>
      <c r="W1839" s="204"/>
      <c r="X1839" s="207"/>
      <c r="Y1839" s="207"/>
      <c r="Z1839" s="204"/>
      <c r="AA1839" s="204"/>
      <c r="AB1839" s="204"/>
      <c r="AC1839" s="204"/>
    </row>
    <row r="1840" spans="1:29">
      <c r="A1840" s="204"/>
      <c r="B1840" s="204"/>
      <c r="C1840" s="204"/>
      <c r="D1840" s="204"/>
      <c r="E1840" s="204"/>
      <c r="F1840" s="204"/>
      <c r="G1840" s="204"/>
      <c r="H1840" s="204"/>
      <c r="I1840" s="204"/>
      <c r="J1840" s="204"/>
      <c r="K1840" s="204"/>
      <c r="L1840" s="205"/>
      <c r="M1840" s="205"/>
      <c r="N1840" s="204"/>
      <c r="O1840" s="204"/>
      <c r="P1840" s="206"/>
      <c r="Q1840" s="206"/>
      <c r="R1840" s="206"/>
      <c r="S1840" s="206"/>
      <c r="T1840" s="204"/>
      <c r="U1840" s="207"/>
      <c r="V1840" s="204"/>
      <c r="W1840" s="204"/>
      <c r="X1840" s="207"/>
      <c r="Y1840" s="207"/>
      <c r="Z1840" s="204"/>
      <c r="AA1840" s="204"/>
      <c r="AB1840" s="204"/>
      <c r="AC1840" s="204"/>
    </row>
    <row r="1841" spans="1:29">
      <c r="A1841" s="204"/>
      <c r="B1841" s="204"/>
      <c r="C1841" s="204"/>
      <c r="D1841" s="204"/>
      <c r="E1841" s="204"/>
      <c r="F1841" s="204"/>
      <c r="G1841" s="204"/>
      <c r="H1841" s="204"/>
      <c r="I1841" s="204"/>
      <c r="J1841" s="204"/>
      <c r="K1841" s="204"/>
      <c r="L1841" s="205"/>
      <c r="M1841" s="205"/>
      <c r="N1841" s="204"/>
      <c r="O1841" s="204"/>
      <c r="P1841" s="206"/>
      <c r="Q1841" s="206"/>
      <c r="R1841" s="206"/>
      <c r="S1841" s="206"/>
      <c r="T1841" s="204"/>
      <c r="U1841" s="207"/>
      <c r="V1841" s="204"/>
      <c r="W1841" s="204"/>
      <c r="X1841" s="207"/>
      <c r="Y1841" s="207"/>
      <c r="Z1841" s="204"/>
      <c r="AA1841" s="204"/>
      <c r="AB1841" s="204"/>
      <c r="AC1841" s="204"/>
    </row>
    <row r="1842" spans="1:29">
      <c r="A1842" s="204"/>
      <c r="B1842" s="204"/>
      <c r="C1842" s="204"/>
      <c r="D1842" s="204"/>
      <c r="E1842" s="204"/>
      <c r="F1842" s="204"/>
      <c r="G1842" s="204"/>
      <c r="H1842" s="204"/>
      <c r="I1842" s="204"/>
      <c r="J1842" s="204"/>
      <c r="K1842" s="204"/>
      <c r="L1842" s="205"/>
      <c r="M1842" s="205"/>
      <c r="N1842" s="204"/>
      <c r="O1842" s="204"/>
      <c r="P1842" s="206"/>
      <c r="Q1842" s="206"/>
      <c r="R1842" s="206"/>
      <c r="S1842" s="206"/>
      <c r="T1842" s="204"/>
      <c r="U1842" s="207"/>
      <c r="V1842" s="204"/>
      <c r="W1842" s="204"/>
      <c r="X1842" s="207"/>
      <c r="Y1842" s="207"/>
      <c r="Z1842" s="204"/>
      <c r="AA1842" s="204"/>
      <c r="AB1842" s="204"/>
      <c r="AC1842" s="204"/>
    </row>
    <row r="1843" spans="1:29">
      <c r="A1843" s="204"/>
      <c r="B1843" s="204"/>
      <c r="C1843" s="204"/>
      <c r="D1843" s="204"/>
      <c r="E1843" s="204"/>
      <c r="F1843" s="204"/>
      <c r="G1843" s="204"/>
      <c r="H1843" s="204"/>
      <c r="I1843" s="204"/>
      <c r="J1843" s="204"/>
      <c r="K1843" s="204"/>
      <c r="L1843" s="205"/>
      <c r="M1843" s="205"/>
      <c r="N1843" s="204"/>
      <c r="O1843" s="204"/>
      <c r="P1843" s="206"/>
      <c r="Q1843" s="206"/>
      <c r="R1843" s="206"/>
      <c r="S1843" s="206"/>
      <c r="T1843" s="204"/>
      <c r="U1843" s="207"/>
      <c r="V1843" s="204"/>
      <c r="W1843" s="204"/>
      <c r="X1843" s="207"/>
      <c r="Y1843" s="207"/>
      <c r="Z1843" s="204"/>
      <c r="AA1843" s="204"/>
      <c r="AB1843" s="204"/>
      <c r="AC1843" s="204"/>
    </row>
    <row r="1844" spans="1:29">
      <c r="A1844" s="204"/>
      <c r="B1844" s="204"/>
      <c r="C1844" s="204"/>
      <c r="D1844" s="204"/>
      <c r="E1844" s="204"/>
      <c r="F1844" s="204"/>
      <c r="G1844" s="204"/>
      <c r="H1844" s="204"/>
      <c r="I1844" s="204"/>
      <c r="J1844" s="204"/>
      <c r="K1844" s="204"/>
      <c r="L1844" s="205"/>
      <c r="M1844" s="205"/>
      <c r="N1844" s="204"/>
      <c r="O1844" s="204"/>
      <c r="P1844" s="206"/>
      <c r="Q1844" s="206"/>
      <c r="R1844" s="206"/>
      <c r="S1844" s="206"/>
      <c r="T1844" s="204"/>
      <c r="U1844" s="207"/>
      <c r="V1844" s="204"/>
      <c r="W1844" s="204"/>
      <c r="X1844" s="207"/>
      <c r="Y1844" s="207"/>
      <c r="Z1844" s="204"/>
      <c r="AA1844" s="204"/>
      <c r="AB1844" s="204"/>
      <c r="AC1844" s="204"/>
    </row>
    <row r="1845" spans="1:29">
      <c r="A1845" s="204"/>
      <c r="B1845" s="204"/>
      <c r="C1845" s="204"/>
      <c r="D1845" s="204"/>
      <c r="E1845" s="204"/>
      <c r="F1845" s="204"/>
      <c r="G1845" s="204"/>
      <c r="H1845" s="204"/>
      <c r="I1845" s="204"/>
      <c r="J1845" s="204"/>
      <c r="K1845" s="204"/>
      <c r="L1845" s="205"/>
      <c r="M1845" s="205"/>
      <c r="N1845" s="204"/>
      <c r="O1845" s="204"/>
      <c r="P1845" s="206"/>
      <c r="Q1845" s="206"/>
      <c r="R1845" s="206"/>
      <c r="S1845" s="206"/>
      <c r="T1845" s="204"/>
      <c r="U1845" s="207"/>
      <c r="V1845" s="204"/>
      <c r="W1845" s="204"/>
      <c r="X1845" s="207"/>
      <c r="Y1845" s="207"/>
      <c r="Z1845" s="204"/>
      <c r="AA1845" s="204"/>
      <c r="AB1845" s="204"/>
      <c r="AC1845" s="204"/>
    </row>
    <row r="1846" spans="1:29">
      <c r="A1846" s="204"/>
      <c r="B1846" s="204"/>
      <c r="C1846" s="204"/>
      <c r="D1846" s="204"/>
      <c r="E1846" s="204"/>
      <c r="F1846" s="204"/>
      <c r="G1846" s="204"/>
      <c r="H1846" s="204"/>
      <c r="I1846" s="204"/>
      <c r="J1846" s="204"/>
      <c r="K1846" s="204"/>
      <c r="L1846" s="205"/>
      <c r="M1846" s="205"/>
      <c r="N1846" s="204"/>
      <c r="O1846" s="204"/>
      <c r="P1846" s="206"/>
      <c r="Q1846" s="206"/>
      <c r="R1846" s="206"/>
      <c r="S1846" s="206"/>
      <c r="T1846" s="204"/>
      <c r="U1846" s="207"/>
      <c r="V1846" s="204"/>
      <c r="W1846" s="204"/>
      <c r="X1846" s="207"/>
      <c r="Y1846" s="207"/>
      <c r="Z1846" s="204"/>
      <c r="AA1846" s="204"/>
      <c r="AB1846" s="204"/>
      <c r="AC1846" s="204"/>
    </row>
    <row r="1847" spans="1:29">
      <c r="A1847" s="204"/>
      <c r="B1847" s="204"/>
      <c r="C1847" s="204"/>
      <c r="D1847" s="204"/>
      <c r="E1847" s="204"/>
      <c r="F1847" s="204"/>
      <c r="G1847" s="204"/>
      <c r="H1847" s="204"/>
      <c r="I1847" s="204"/>
      <c r="J1847" s="204"/>
      <c r="K1847" s="204"/>
      <c r="L1847" s="205"/>
      <c r="M1847" s="205"/>
      <c r="N1847" s="204"/>
      <c r="O1847" s="204"/>
      <c r="P1847" s="206"/>
      <c r="Q1847" s="206"/>
      <c r="R1847" s="206"/>
      <c r="S1847" s="206"/>
      <c r="T1847" s="204"/>
      <c r="U1847" s="207"/>
      <c r="V1847" s="204"/>
      <c r="W1847" s="204"/>
      <c r="X1847" s="207"/>
      <c r="Y1847" s="207"/>
      <c r="Z1847" s="204"/>
      <c r="AA1847" s="204"/>
      <c r="AB1847" s="204"/>
      <c r="AC1847" s="204"/>
    </row>
    <row r="1848" spans="1:29">
      <c r="A1848" s="204"/>
      <c r="B1848" s="204"/>
      <c r="C1848" s="204"/>
      <c r="D1848" s="204"/>
      <c r="E1848" s="204"/>
      <c r="F1848" s="204"/>
      <c r="G1848" s="204"/>
      <c r="H1848" s="204"/>
      <c r="I1848" s="204"/>
      <c r="J1848" s="204"/>
      <c r="K1848" s="204"/>
      <c r="L1848" s="205"/>
      <c r="M1848" s="205"/>
      <c r="N1848" s="204"/>
      <c r="O1848" s="204"/>
      <c r="P1848" s="206"/>
      <c r="Q1848" s="206"/>
      <c r="R1848" s="206"/>
      <c r="S1848" s="206"/>
      <c r="T1848" s="204"/>
      <c r="U1848" s="207"/>
      <c r="V1848" s="204"/>
      <c r="W1848" s="204"/>
      <c r="X1848" s="207"/>
      <c r="Y1848" s="207"/>
      <c r="Z1848" s="204"/>
      <c r="AA1848" s="204"/>
      <c r="AB1848" s="204"/>
      <c r="AC1848" s="204"/>
    </row>
    <row r="1849" spans="1:29">
      <c r="A1849" s="204"/>
      <c r="B1849" s="204"/>
      <c r="C1849" s="204"/>
      <c r="D1849" s="204"/>
      <c r="E1849" s="204"/>
      <c r="F1849" s="204"/>
      <c r="G1849" s="204"/>
      <c r="H1849" s="204"/>
      <c r="I1849" s="204"/>
      <c r="J1849" s="204"/>
      <c r="K1849" s="204"/>
      <c r="L1849" s="205"/>
      <c r="M1849" s="205"/>
      <c r="N1849" s="204"/>
      <c r="O1849" s="204"/>
      <c r="P1849" s="206"/>
      <c r="Q1849" s="206"/>
      <c r="R1849" s="206"/>
      <c r="S1849" s="206"/>
      <c r="T1849" s="204"/>
      <c r="U1849" s="207"/>
      <c r="V1849" s="204"/>
      <c r="W1849" s="204"/>
      <c r="X1849" s="207"/>
      <c r="Y1849" s="207"/>
      <c r="Z1849" s="204"/>
      <c r="AA1849" s="204"/>
      <c r="AB1849" s="204"/>
      <c r="AC1849" s="204"/>
    </row>
    <row r="1850" spans="1:29">
      <c r="A1850" s="204"/>
      <c r="B1850" s="204"/>
      <c r="C1850" s="204"/>
      <c r="D1850" s="204"/>
      <c r="E1850" s="204"/>
      <c r="F1850" s="204"/>
      <c r="G1850" s="204"/>
      <c r="H1850" s="204"/>
      <c r="I1850" s="204"/>
      <c r="J1850" s="204"/>
      <c r="K1850" s="204"/>
      <c r="L1850" s="205"/>
      <c r="M1850" s="205"/>
      <c r="N1850" s="204"/>
      <c r="O1850" s="204"/>
      <c r="P1850" s="206"/>
      <c r="Q1850" s="206"/>
      <c r="R1850" s="206"/>
      <c r="S1850" s="206"/>
      <c r="T1850" s="204"/>
      <c r="U1850" s="207"/>
      <c r="V1850" s="204"/>
      <c r="W1850" s="204"/>
      <c r="X1850" s="207"/>
      <c r="Y1850" s="207"/>
      <c r="Z1850" s="204"/>
      <c r="AA1850" s="204"/>
      <c r="AB1850" s="204"/>
      <c r="AC1850" s="204"/>
    </row>
    <row r="1851" spans="1:29">
      <c r="A1851" s="204"/>
      <c r="B1851" s="204"/>
      <c r="C1851" s="204"/>
      <c r="D1851" s="204"/>
      <c r="E1851" s="204"/>
      <c r="F1851" s="204"/>
      <c r="G1851" s="204"/>
      <c r="H1851" s="204"/>
      <c r="I1851" s="204"/>
      <c r="J1851" s="204"/>
      <c r="K1851" s="204"/>
      <c r="L1851" s="205"/>
      <c r="M1851" s="205"/>
      <c r="N1851" s="204"/>
      <c r="O1851" s="204"/>
      <c r="P1851" s="206"/>
      <c r="Q1851" s="206"/>
      <c r="R1851" s="206"/>
      <c r="S1851" s="206"/>
      <c r="T1851" s="204"/>
      <c r="U1851" s="207"/>
      <c r="V1851" s="204"/>
      <c r="W1851" s="204"/>
      <c r="X1851" s="207"/>
      <c r="Y1851" s="207"/>
      <c r="Z1851" s="204"/>
      <c r="AA1851" s="204"/>
      <c r="AB1851" s="204"/>
      <c r="AC1851" s="204"/>
    </row>
    <row r="1852" spans="1:29">
      <c r="A1852" s="204"/>
      <c r="B1852" s="204"/>
      <c r="C1852" s="204"/>
      <c r="D1852" s="204"/>
      <c r="E1852" s="204"/>
      <c r="F1852" s="204"/>
      <c r="G1852" s="204"/>
      <c r="H1852" s="204"/>
      <c r="I1852" s="204"/>
      <c r="J1852" s="204"/>
      <c r="K1852" s="204"/>
      <c r="L1852" s="205"/>
      <c r="M1852" s="205"/>
      <c r="N1852" s="204"/>
      <c r="O1852" s="204"/>
      <c r="P1852" s="206"/>
      <c r="Q1852" s="206"/>
      <c r="R1852" s="206"/>
      <c r="S1852" s="206"/>
      <c r="T1852" s="204"/>
      <c r="U1852" s="207"/>
      <c r="V1852" s="204"/>
      <c r="W1852" s="204"/>
      <c r="X1852" s="207"/>
      <c r="Y1852" s="207"/>
      <c r="Z1852" s="204"/>
      <c r="AA1852" s="204"/>
      <c r="AB1852" s="204"/>
      <c r="AC1852" s="204"/>
    </row>
    <row r="1853" spans="1:29">
      <c r="A1853" s="204"/>
      <c r="B1853" s="204"/>
      <c r="C1853" s="204"/>
      <c r="D1853" s="204"/>
      <c r="E1853" s="204"/>
      <c r="F1853" s="204"/>
      <c r="G1853" s="204"/>
      <c r="H1853" s="204"/>
      <c r="I1853" s="204"/>
      <c r="J1853" s="204"/>
      <c r="K1853" s="204"/>
      <c r="L1853" s="205"/>
      <c r="M1853" s="205"/>
      <c r="N1853" s="204"/>
      <c r="O1853" s="204"/>
      <c r="P1853" s="206"/>
      <c r="Q1853" s="206"/>
      <c r="R1853" s="206"/>
      <c r="S1853" s="206"/>
      <c r="T1853" s="204"/>
      <c r="U1853" s="207"/>
      <c r="V1853" s="204"/>
      <c r="W1853" s="204"/>
      <c r="X1853" s="207"/>
      <c r="Y1853" s="207"/>
      <c r="Z1853" s="204"/>
      <c r="AA1853" s="204"/>
      <c r="AB1853" s="204"/>
      <c r="AC1853" s="204"/>
    </row>
    <row r="1854" spans="1:29">
      <c r="A1854" s="204"/>
      <c r="B1854" s="204"/>
      <c r="C1854" s="204"/>
      <c r="D1854" s="204"/>
      <c r="E1854" s="204"/>
      <c r="F1854" s="204"/>
      <c r="G1854" s="204"/>
      <c r="H1854" s="204"/>
      <c r="I1854" s="204"/>
      <c r="J1854" s="204"/>
      <c r="K1854" s="204"/>
      <c r="L1854" s="205"/>
      <c r="M1854" s="205"/>
      <c r="N1854" s="204"/>
      <c r="O1854" s="204"/>
      <c r="P1854" s="206"/>
      <c r="Q1854" s="206"/>
      <c r="R1854" s="206"/>
      <c r="S1854" s="206"/>
      <c r="T1854" s="204"/>
      <c r="U1854" s="207"/>
      <c r="V1854" s="204"/>
      <c r="W1854" s="204"/>
      <c r="X1854" s="207"/>
      <c r="Y1854" s="207"/>
      <c r="Z1854" s="204"/>
      <c r="AA1854" s="204"/>
      <c r="AB1854" s="204"/>
      <c r="AC1854" s="204"/>
    </row>
    <row r="1855" spans="1:29">
      <c r="A1855" s="204"/>
      <c r="B1855" s="204"/>
      <c r="C1855" s="204"/>
      <c r="D1855" s="204"/>
      <c r="E1855" s="204"/>
      <c r="F1855" s="204"/>
      <c r="G1855" s="204"/>
      <c r="H1855" s="204"/>
      <c r="I1855" s="204"/>
      <c r="J1855" s="204"/>
      <c r="K1855" s="204"/>
      <c r="L1855" s="205"/>
      <c r="M1855" s="205"/>
      <c r="N1855" s="204"/>
      <c r="O1855" s="204"/>
      <c r="P1855" s="206"/>
      <c r="Q1855" s="206"/>
      <c r="R1855" s="206"/>
      <c r="S1855" s="206"/>
      <c r="T1855" s="204"/>
      <c r="U1855" s="207"/>
      <c r="V1855" s="204"/>
      <c r="W1855" s="204"/>
      <c r="X1855" s="207"/>
      <c r="Y1855" s="207"/>
      <c r="Z1855" s="204"/>
      <c r="AA1855" s="204"/>
      <c r="AB1855" s="204"/>
      <c r="AC1855" s="204"/>
    </row>
    <row r="1856" spans="1:29">
      <c r="A1856" s="204"/>
      <c r="B1856" s="204"/>
      <c r="C1856" s="204"/>
      <c r="D1856" s="204"/>
      <c r="E1856" s="204"/>
      <c r="F1856" s="204"/>
      <c r="G1856" s="204"/>
      <c r="H1856" s="204"/>
      <c r="I1856" s="204"/>
      <c r="J1856" s="204"/>
      <c r="K1856" s="204"/>
      <c r="L1856" s="205"/>
      <c r="M1856" s="205"/>
      <c r="N1856" s="204"/>
      <c r="O1856" s="204"/>
      <c r="P1856" s="206"/>
      <c r="Q1856" s="206"/>
      <c r="R1856" s="206"/>
      <c r="S1856" s="206"/>
      <c r="T1856" s="204"/>
      <c r="U1856" s="207"/>
      <c r="V1856" s="204"/>
      <c r="W1856" s="204"/>
      <c r="X1856" s="207"/>
      <c r="Y1856" s="207"/>
      <c r="Z1856" s="204"/>
      <c r="AA1856" s="204"/>
      <c r="AB1856" s="204"/>
      <c r="AC1856" s="204"/>
    </row>
    <row r="1857" spans="1:29">
      <c r="A1857" s="204"/>
      <c r="B1857" s="204"/>
      <c r="C1857" s="204"/>
      <c r="D1857" s="204"/>
      <c r="E1857" s="204"/>
      <c r="F1857" s="204"/>
      <c r="G1857" s="204"/>
      <c r="H1857" s="204"/>
      <c r="I1857" s="204"/>
      <c r="J1857" s="204"/>
      <c r="K1857" s="204"/>
      <c r="L1857" s="205"/>
      <c r="M1857" s="205"/>
      <c r="N1857" s="204"/>
      <c r="O1857" s="204"/>
      <c r="P1857" s="206"/>
      <c r="Q1857" s="206"/>
      <c r="R1857" s="206"/>
      <c r="S1857" s="206"/>
      <c r="T1857" s="204"/>
      <c r="U1857" s="207"/>
      <c r="V1857" s="204"/>
      <c r="W1857" s="204"/>
      <c r="X1857" s="207"/>
      <c r="Y1857" s="207"/>
      <c r="Z1857" s="204"/>
      <c r="AA1857" s="204"/>
      <c r="AB1857" s="204"/>
      <c r="AC1857" s="204"/>
    </row>
    <row r="1858" spans="1:29">
      <c r="A1858" s="204"/>
      <c r="B1858" s="204"/>
      <c r="C1858" s="204"/>
      <c r="D1858" s="204"/>
      <c r="E1858" s="204"/>
      <c r="F1858" s="204"/>
      <c r="G1858" s="204"/>
      <c r="H1858" s="204"/>
      <c r="I1858" s="204"/>
      <c r="J1858" s="204"/>
      <c r="K1858" s="204"/>
      <c r="L1858" s="205"/>
      <c r="M1858" s="205"/>
      <c r="N1858" s="204"/>
      <c r="O1858" s="204"/>
      <c r="P1858" s="206"/>
      <c r="Q1858" s="206"/>
      <c r="R1858" s="206"/>
      <c r="S1858" s="206"/>
      <c r="T1858" s="204"/>
      <c r="U1858" s="207"/>
      <c r="V1858" s="204"/>
      <c r="W1858" s="204"/>
      <c r="X1858" s="207"/>
      <c r="Y1858" s="207"/>
      <c r="Z1858" s="204"/>
      <c r="AA1858" s="204"/>
      <c r="AB1858" s="204"/>
      <c r="AC1858" s="204"/>
    </row>
    <row r="1859" spans="1:29">
      <c r="A1859" s="204"/>
      <c r="B1859" s="204"/>
      <c r="C1859" s="204"/>
      <c r="D1859" s="204"/>
      <c r="E1859" s="204"/>
      <c r="F1859" s="204"/>
      <c r="G1859" s="204"/>
      <c r="H1859" s="204"/>
      <c r="I1859" s="204"/>
      <c r="J1859" s="204"/>
      <c r="K1859" s="204"/>
      <c r="L1859" s="205"/>
      <c r="M1859" s="205"/>
      <c r="N1859" s="204"/>
      <c r="O1859" s="204"/>
      <c r="P1859" s="206"/>
      <c r="Q1859" s="206"/>
      <c r="R1859" s="206"/>
      <c r="S1859" s="206"/>
      <c r="T1859" s="204"/>
      <c r="U1859" s="207"/>
      <c r="V1859" s="204"/>
      <c r="W1859" s="204"/>
      <c r="X1859" s="207"/>
      <c r="Y1859" s="207"/>
      <c r="Z1859" s="204"/>
      <c r="AA1859" s="204"/>
      <c r="AB1859" s="204"/>
      <c r="AC1859" s="204"/>
    </row>
    <row r="1860" spans="1:29">
      <c r="A1860" s="204"/>
      <c r="B1860" s="204"/>
      <c r="C1860" s="204"/>
      <c r="D1860" s="204"/>
      <c r="E1860" s="204"/>
      <c r="F1860" s="204"/>
      <c r="G1860" s="204"/>
      <c r="H1860" s="204"/>
      <c r="I1860" s="204"/>
      <c r="J1860" s="204"/>
      <c r="K1860" s="204"/>
      <c r="L1860" s="205"/>
      <c r="M1860" s="205"/>
      <c r="N1860" s="204"/>
      <c r="O1860" s="204"/>
      <c r="P1860" s="206"/>
      <c r="Q1860" s="206"/>
      <c r="R1860" s="206"/>
      <c r="S1860" s="206"/>
      <c r="T1860" s="204"/>
      <c r="U1860" s="207"/>
      <c r="V1860" s="204"/>
      <c r="W1860" s="204"/>
      <c r="X1860" s="207"/>
      <c r="Y1860" s="207"/>
      <c r="Z1860" s="204"/>
      <c r="AA1860" s="204"/>
      <c r="AB1860" s="204"/>
      <c r="AC1860" s="204"/>
    </row>
    <row r="1861" spans="1:29">
      <c r="A1861" s="204"/>
      <c r="B1861" s="204"/>
      <c r="C1861" s="204"/>
      <c r="D1861" s="204"/>
      <c r="E1861" s="204"/>
      <c r="F1861" s="204"/>
      <c r="G1861" s="204"/>
      <c r="H1861" s="204"/>
      <c r="I1861" s="204"/>
      <c r="J1861" s="204"/>
      <c r="K1861" s="204"/>
      <c r="L1861" s="205"/>
      <c r="M1861" s="205"/>
      <c r="N1861" s="204"/>
      <c r="O1861" s="204"/>
      <c r="P1861" s="206"/>
      <c r="Q1861" s="206"/>
      <c r="R1861" s="206"/>
      <c r="S1861" s="206"/>
      <c r="T1861" s="204"/>
      <c r="U1861" s="207"/>
      <c r="V1861" s="204"/>
      <c r="W1861" s="204"/>
      <c r="X1861" s="207"/>
      <c r="Y1861" s="207"/>
      <c r="Z1861" s="204"/>
      <c r="AA1861" s="204"/>
      <c r="AB1861" s="204"/>
      <c r="AC1861" s="204"/>
    </row>
    <row r="1862" spans="1:29">
      <c r="A1862" s="204"/>
      <c r="B1862" s="204"/>
      <c r="C1862" s="204"/>
      <c r="D1862" s="204"/>
      <c r="E1862" s="204"/>
      <c r="F1862" s="204"/>
      <c r="G1862" s="204"/>
      <c r="H1862" s="204"/>
      <c r="I1862" s="204"/>
      <c r="J1862" s="204"/>
      <c r="K1862" s="204"/>
      <c r="L1862" s="205"/>
      <c r="M1862" s="205"/>
      <c r="N1862" s="204"/>
      <c r="O1862" s="204"/>
      <c r="P1862" s="206"/>
      <c r="Q1862" s="206"/>
      <c r="R1862" s="206"/>
      <c r="S1862" s="206"/>
      <c r="T1862" s="204"/>
      <c r="U1862" s="207"/>
      <c r="V1862" s="204"/>
      <c r="W1862" s="204"/>
      <c r="X1862" s="207"/>
      <c r="Y1862" s="207"/>
      <c r="Z1862" s="204"/>
      <c r="AA1862" s="204"/>
      <c r="AB1862" s="204"/>
      <c r="AC1862" s="204"/>
    </row>
    <row r="1863" spans="1:29">
      <c r="A1863" s="204"/>
      <c r="B1863" s="204"/>
      <c r="C1863" s="204"/>
      <c r="D1863" s="204"/>
      <c r="E1863" s="204"/>
      <c r="F1863" s="204"/>
      <c r="G1863" s="204"/>
      <c r="H1863" s="204"/>
      <c r="I1863" s="204"/>
      <c r="J1863" s="204"/>
      <c r="K1863" s="204"/>
      <c r="L1863" s="205"/>
      <c r="M1863" s="205"/>
      <c r="N1863" s="204"/>
      <c r="O1863" s="204"/>
      <c r="P1863" s="206"/>
      <c r="Q1863" s="206"/>
      <c r="R1863" s="206"/>
      <c r="S1863" s="206"/>
      <c r="T1863" s="204"/>
      <c r="U1863" s="207"/>
      <c r="V1863" s="204"/>
      <c r="W1863" s="204"/>
      <c r="X1863" s="207"/>
      <c r="Y1863" s="207"/>
      <c r="Z1863" s="204"/>
      <c r="AA1863" s="204"/>
      <c r="AB1863" s="204"/>
      <c r="AC1863" s="204"/>
    </row>
    <row r="1864" spans="1:29">
      <c r="A1864" s="204"/>
      <c r="B1864" s="204"/>
      <c r="C1864" s="204"/>
      <c r="D1864" s="204"/>
      <c r="E1864" s="204"/>
      <c r="F1864" s="204"/>
      <c r="G1864" s="204"/>
      <c r="H1864" s="204"/>
      <c r="I1864" s="204"/>
      <c r="J1864" s="204"/>
      <c r="K1864" s="204"/>
      <c r="L1864" s="205"/>
      <c r="M1864" s="205"/>
      <c r="N1864" s="204"/>
      <c r="O1864" s="204"/>
      <c r="P1864" s="206"/>
      <c r="Q1864" s="206"/>
      <c r="R1864" s="206"/>
      <c r="S1864" s="206"/>
      <c r="T1864" s="204"/>
      <c r="U1864" s="207"/>
      <c r="V1864" s="204"/>
      <c r="W1864" s="204"/>
      <c r="X1864" s="207"/>
      <c r="Y1864" s="207"/>
      <c r="Z1864" s="204"/>
      <c r="AA1864" s="204"/>
      <c r="AB1864" s="204"/>
      <c r="AC1864" s="204"/>
    </row>
    <row r="1865" spans="1:29">
      <c r="A1865" s="204"/>
      <c r="B1865" s="204"/>
      <c r="C1865" s="204"/>
      <c r="D1865" s="204"/>
      <c r="E1865" s="204"/>
      <c r="F1865" s="204"/>
      <c r="G1865" s="204"/>
      <c r="H1865" s="204"/>
      <c r="I1865" s="204"/>
      <c r="J1865" s="204"/>
      <c r="K1865" s="204"/>
      <c r="L1865" s="205"/>
      <c r="M1865" s="205"/>
      <c r="N1865" s="204"/>
      <c r="O1865" s="204"/>
      <c r="P1865" s="206"/>
      <c r="Q1865" s="206"/>
      <c r="R1865" s="206"/>
      <c r="S1865" s="206"/>
      <c r="T1865" s="204"/>
      <c r="U1865" s="207"/>
      <c r="V1865" s="204"/>
      <c r="W1865" s="204"/>
      <c r="X1865" s="207"/>
      <c r="Y1865" s="207"/>
      <c r="Z1865" s="204"/>
      <c r="AA1865" s="204"/>
      <c r="AB1865" s="204"/>
      <c r="AC1865" s="204"/>
    </row>
    <row r="1866" spans="1:29">
      <c r="A1866" s="204"/>
      <c r="B1866" s="204"/>
      <c r="C1866" s="204"/>
      <c r="D1866" s="204"/>
      <c r="E1866" s="204"/>
      <c r="F1866" s="204"/>
      <c r="G1866" s="204"/>
      <c r="H1866" s="204"/>
      <c r="I1866" s="204"/>
      <c r="J1866" s="204"/>
      <c r="K1866" s="204"/>
      <c r="L1866" s="205"/>
      <c r="M1866" s="205"/>
      <c r="N1866" s="204"/>
      <c r="O1866" s="204"/>
      <c r="P1866" s="206"/>
      <c r="Q1866" s="206"/>
      <c r="R1866" s="206"/>
      <c r="S1866" s="206"/>
      <c r="T1866" s="204"/>
      <c r="U1866" s="207"/>
      <c r="V1866" s="204"/>
      <c r="W1866" s="204"/>
      <c r="X1866" s="207"/>
      <c r="Y1866" s="207"/>
      <c r="Z1866" s="204"/>
      <c r="AA1866" s="204"/>
      <c r="AB1866" s="204"/>
      <c r="AC1866" s="204"/>
    </row>
    <row r="1867" spans="1:29">
      <c r="A1867" s="204"/>
      <c r="B1867" s="204"/>
      <c r="C1867" s="204"/>
      <c r="D1867" s="204"/>
      <c r="E1867" s="204"/>
      <c r="F1867" s="204"/>
      <c r="G1867" s="204"/>
      <c r="H1867" s="204"/>
      <c r="I1867" s="204"/>
      <c r="J1867" s="204"/>
      <c r="K1867" s="204"/>
      <c r="L1867" s="205"/>
      <c r="M1867" s="205"/>
      <c r="N1867" s="204"/>
      <c r="O1867" s="204"/>
      <c r="P1867" s="206"/>
      <c r="Q1867" s="206"/>
      <c r="R1867" s="206"/>
      <c r="S1867" s="206"/>
      <c r="T1867" s="204"/>
      <c r="U1867" s="207"/>
      <c r="V1867" s="204"/>
      <c r="W1867" s="204"/>
      <c r="X1867" s="207"/>
      <c r="Y1867" s="207"/>
      <c r="Z1867" s="204"/>
      <c r="AA1867" s="204"/>
      <c r="AB1867" s="204"/>
      <c r="AC1867" s="204"/>
    </row>
    <row r="1868" spans="1:29">
      <c r="A1868" s="204"/>
      <c r="B1868" s="204"/>
      <c r="C1868" s="204"/>
      <c r="D1868" s="204"/>
      <c r="E1868" s="204"/>
      <c r="F1868" s="204"/>
      <c r="G1868" s="204"/>
      <c r="H1868" s="204"/>
      <c r="I1868" s="204"/>
      <c r="J1868" s="204"/>
      <c r="K1868" s="204"/>
      <c r="L1868" s="205"/>
      <c r="M1868" s="205"/>
      <c r="N1868" s="204"/>
      <c r="O1868" s="204"/>
      <c r="P1868" s="206"/>
      <c r="Q1868" s="206"/>
      <c r="R1868" s="206"/>
      <c r="S1868" s="206"/>
      <c r="T1868" s="204"/>
      <c r="U1868" s="207"/>
      <c r="V1868" s="204"/>
      <c r="W1868" s="204"/>
      <c r="X1868" s="207"/>
      <c r="Y1868" s="207"/>
      <c r="Z1868" s="204"/>
      <c r="AA1868" s="204"/>
      <c r="AB1868" s="204"/>
      <c r="AC1868" s="204"/>
    </row>
    <row r="1869" spans="1:29">
      <c r="A1869" s="204"/>
      <c r="B1869" s="204"/>
      <c r="C1869" s="204"/>
      <c r="D1869" s="204"/>
      <c r="E1869" s="204"/>
      <c r="F1869" s="204"/>
      <c r="G1869" s="204"/>
      <c r="H1869" s="204"/>
      <c r="I1869" s="204"/>
      <c r="J1869" s="204"/>
      <c r="K1869" s="204"/>
      <c r="L1869" s="205"/>
      <c r="M1869" s="205"/>
      <c r="N1869" s="204"/>
      <c r="O1869" s="204"/>
      <c r="P1869" s="206"/>
      <c r="Q1869" s="206"/>
      <c r="R1869" s="206"/>
      <c r="S1869" s="206"/>
      <c r="T1869" s="204"/>
      <c r="U1869" s="207"/>
      <c r="V1869" s="204"/>
      <c r="W1869" s="204"/>
      <c r="X1869" s="207"/>
      <c r="Y1869" s="207"/>
      <c r="Z1869" s="204"/>
      <c r="AA1869" s="204"/>
      <c r="AB1869" s="204"/>
      <c r="AC1869" s="204"/>
    </row>
    <row r="1870" spans="1:29">
      <c r="A1870" s="204"/>
      <c r="B1870" s="204"/>
      <c r="C1870" s="204"/>
      <c r="D1870" s="204"/>
      <c r="E1870" s="204"/>
      <c r="F1870" s="204"/>
      <c r="G1870" s="204"/>
      <c r="H1870" s="204"/>
      <c r="I1870" s="204"/>
      <c r="J1870" s="204"/>
      <c r="K1870" s="204"/>
      <c r="L1870" s="205"/>
      <c r="M1870" s="205"/>
      <c r="N1870" s="204"/>
      <c r="O1870" s="204"/>
      <c r="P1870" s="206"/>
      <c r="Q1870" s="206"/>
      <c r="R1870" s="206"/>
      <c r="S1870" s="206"/>
      <c r="T1870" s="204"/>
      <c r="U1870" s="207"/>
      <c r="V1870" s="204"/>
      <c r="W1870" s="204"/>
      <c r="X1870" s="207"/>
      <c r="Y1870" s="207"/>
      <c r="Z1870" s="204"/>
      <c r="AA1870" s="204"/>
      <c r="AB1870" s="204"/>
      <c r="AC1870" s="204"/>
    </row>
    <row r="1871" spans="1:29">
      <c r="A1871" s="204"/>
      <c r="B1871" s="204"/>
      <c r="C1871" s="204"/>
      <c r="D1871" s="204"/>
      <c r="E1871" s="204"/>
      <c r="F1871" s="204"/>
      <c r="G1871" s="204"/>
      <c r="H1871" s="204"/>
      <c r="I1871" s="204"/>
      <c r="J1871" s="204"/>
      <c r="K1871" s="204"/>
      <c r="L1871" s="205"/>
      <c r="M1871" s="205"/>
      <c r="N1871" s="204"/>
      <c r="O1871" s="204"/>
      <c r="P1871" s="206"/>
      <c r="Q1871" s="206"/>
      <c r="R1871" s="206"/>
      <c r="S1871" s="206"/>
      <c r="T1871" s="204"/>
      <c r="U1871" s="207"/>
      <c r="V1871" s="204"/>
      <c r="W1871" s="204"/>
      <c r="X1871" s="207"/>
      <c r="Y1871" s="207"/>
      <c r="Z1871" s="204"/>
      <c r="AA1871" s="204"/>
      <c r="AB1871" s="204"/>
      <c r="AC1871" s="204"/>
    </row>
    <row r="1872" spans="1:29">
      <c r="A1872" s="204"/>
      <c r="B1872" s="204"/>
      <c r="C1872" s="204"/>
      <c r="D1872" s="204"/>
      <c r="E1872" s="204"/>
      <c r="F1872" s="204"/>
      <c r="G1872" s="204"/>
      <c r="H1872" s="204"/>
      <c r="I1872" s="204"/>
      <c r="J1872" s="204"/>
      <c r="K1872" s="204"/>
      <c r="L1872" s="205"/>
      <c r="M1872" s="205"/>
      <c r="N1872" s="204"/>
      <c r="O1872" s="204"/>
      <c r="P1872" s="206"/>
      <c r="Q1872" s="206"/>
      <c r="R1872" s="206"/>
      <c r="S1872" s="206"/>
      <c r="T1872" s="204"/>
      <c r="U1872" s="207"/>
      <c r="V1872" s="204"/>
      <c r="W1872" s="204"/>
      <c r="X1872" s="207"/>
      <c r="Y1872" s="207"/>
      <c r="Z1872" s="204"/>
      <c r="AA1872" s="204"/>
      <c r="AB1872" s="204"/>
      <c r="AC1872" s="204"/>
    </row>
    <row r="1873" spans="1:29">
      <c r="A1873" s="204"/>
      <c r="B1873" s="204"/>
      <c r="C1873" s="204"/>
      <c r="D1873" s="204"/>
      <c r="E1873" s="204"/>
      <c r="F1873" s="204"/>
      <c r="G1873" s="204"/>
      <c r="H1873" s="204"/>
      <c r="I1873" s="204"/>
      <c r="J1873" s="204"/>
      <c r="K1873" s="204"/>
      <c r="L1873" s="205"/>
      <c r="M1873" s="205"/>
      <c r="N1873" s="204"/>
      <c r="O1873" s="204"/>
      <c r="P1873" s="206"/>
      <c r="Q1873" s="206"/>
      <c r="R1873" s="206"/>
      <c r="S1873" s="206"/>
      <c r="T1873" s="204"/>
      <c r="U1873" s="207"/>
      <c r="V1873" s="204"/>
      <c r="W1873" s="204"/>
      <c r="X1873" s="207"/>
      <c r="Y1873" s="207"/>
      <c r="Z1873" s="204"/>
      <c r="AA1873" s="204"/>
      <c r="AB1873" s="204"/>
      <c r="AC1873" s="204"/>
    </row>
    <row r="1874" spans="1:29">
      <c r="A1874" s="204"/>
      <c r="B1874" s="204"/>
      <c r="C1874" s="204"/>
      <c r="D1874" s="204"/>
      <c r="E1874" s="204"/>
      <c r="F1874" s="204"/>
      <c r="G1874" s="204"/>
      <c r="H1874" s="204"/>
      <c r="I1874" s="204"/>
      <c r="J1874" s="204"/>
      <c r="K1874" s="204"/>
      <c r="L1874" s="205"/>
      <c r="M1874" s="205"/>
      <c r="N1874" s="204"/>
      <c r="O1874" s="204"/>
      <c r="P1874" s="206"/>
      <c r="Q1874" s="206"/>
      <c r="R1874" s="206"/>
      <c r="S1874" s="206"/>
      <c r="T1874" s="204"/>
      <c r="U1874" s="207"/>
      <c r="V1874" s="204"/>
      <c r="W1874" s="204"/>
      <c r="X1874" s="207"/>
      <c r="Y1874" s="207"/>
      <c r="Z1874" s="204"/>
      <c r="AA1874" s="204"/>
      <c r="AB1874" s="204"/>
      <c r="AC1874" s="204"/>
    </row>
    <row r="1875" spans="1:29">
      <c r="A1875" s="204"/>
      <c r="B1875" s="204"/>
      <c r="C1875" s="204"/>
      <c r="D1875" s="204"/>
      <c r="E1875" s="204"/>
      <c r="F1875" s="204"/>
      <c r="G1875" s="204"/>
      <c r="H1875" s="204"/>
      <c r="I1875" s="204"/>
      <c r="J1875" s="204"/>
      <c r="K1875" s="204"/>
      <c r="L1875" s="205"/>
      <c r="M1875" s="205"/>
      <c r="N1875" s="204"/>
      <c r="O1875" s="204"/>
      <c r="P1875" s="206"/>
      <c r="Q1875" s="206"/>
      <c r="R1875" s="206"/>
      <c r="S1875" s="206"/>
      <c r="T1875" s="204"/>
      <c r="U1875" s="207"/>
      <c r="V1875" s="204"/>
      <c r="W1875" s="204"/>
      <c r="X1875" s="207"/>
      <c r="Y1875" s="207"/>
      <c r="Z1875" s="204"/>
      <c r="AA1875" s="204"/>
      <c r="AB1875" s="204"/>
      <c r="AC1875" s="204"/>
    </row>
    <row r="1876" spans="1:29">
      <c r="A1876" s="204"/>
      <c r="B1876" s="204"/>
      <c r="C1876" s="204"/>
      <c r="D1876" s="204"/>
      <c r="E1876" s="204"/>
      <c r="F1876" s="204"/>
      <c r="G1876" s="204"/>
      <c r="H1876" s="204"/>
      <c r="I1876" s="204"/>
      <c r="J1876" s="204"/>
      <c r="K1876" s="204"/>
      <c r="L1876" s="205"/>
      <c r="M1876" s="205"/>
      <c r="N1876" s="204"/>
      <c r="O1876" s="204"/>
      <c r="P1876" s="206"/>
      <c r="Q1876" s="206"/>
      <c r="R1876" s="206"/>
      <c r="S1876" s="206"/>
      <c r="T1876" s="204"/>
      <c r="U1876" s="207"/>
      <c r="V1876" s="204"/>
      <c r="W1876" s="204"/>
      <c r="X1876" s="207"/>
      <c r="Y1876" s="207"/>
      <c r="Z1876" s="204"/>
      <c r="AA1876" s="204"/>
      <c r="AB1876" s="204"/>
      <c r="AC1876" s="204"/>
    </row>
    <row r="1877" spans="1:29">
      <c r="A1877" s="204"/>
      <c r="B1877" s="204"/>
      <c r="C1877" s="204"/>
      <c r="D1877" s="204"/>
      <c r="E1877" s="204"/>
      <c r="F1877" s="204"/>
      <c r="G1877" s="204"/>
      <c r="H1877" s="204"/>
      <c r="I1877" s="204"/>
      <c r="J1877" s="204"/>
      <c r="K1877" s="204"/>
      <c r="L1877" s="205"/>
      <c r="M1877" s="205"/>
      <c r="N1877" s="204"/>
      <c r="O1877" s="204"/>
      <c r="P1877" s="206"/>
      <c r="Q1877" s="206"/>
      <c r="R1877" s="206"/>
      <c r="S1877" s="206"/>
      <c r="T1877" s="204"/>
      <c r="U1877" s="207"/>
      <c r="V1877" s="204"/>
      <c r="W1877" s="204"/>
      <c r="X1877" s="207"/>
      <c r="Y1877" s="207"/>
      <c r="Z1877" s="204"/>
      <c r="AA1877" s="204"/>
      <c r="AB1877" s="204"/>
      <c r="AC1877" s="204"/>
    </row>
    <row r="1878" spans="1:29">
      <c r="A1878" s="204"/>
      <c r="B1878" s="204"/>
      <c r="C1878" s="204"/>
      <c r="D1878" s="204"/>
      <c r="E1878" s="204"/>
      <c r="F1878" s="204"/>
      <c r="G1878" s="204"/>
      <c r="H1878" s="204"/>
      <c r="I1878" s="204"/>
      <c r="J1878" s="204"/>
      <c r="K1878" s="204"/>
      <c r="L1878" s="205"/>
      <c r="M1878" s="205"/>
      <c r="N1878" s="204"/>
      <c r="O1878" s="204"/>
      <c r="P1878" s="206"/>
      <c r="Q1878" s="206"/>
      <c r="R1878" s="206"/>
      <c r="S1878" s="206"/>
      <c r="T1878" s="204"/>
      <c r="U1878" s="207"/>
      <c r="V1878" s="204"/>
      <c r="W1878" s="204"/>
      <c r="X1878" s="207"/>
      <c r="Y1878" s="207"/>
      <c r="Z1878" s="204"/>
      <c r="AA1878" s="204"/>
      <c r="AB1878" s="204"/>
      <c r="AC1878" s="204"/>
    </row>
    <row r="1879" spans="1:29">
      <c r="A1879" s="204"/>
      <c r="B1879" s="204"/>
      <c r="C1879" s="204"/>
      <c r="D1879" s="204"/>
      <c r="E1879" s="204"/>
      <c r="F1879" s="204"/>
      <c r="G1879" s="204"/>
      <c r="H1879" s="204"/>
      <c r="I1879" s="204"/>
      <c r="J1879" s="204"/>
      <c r="K1879" s="204"/>
      <c r="L1879" s="205"/>
      <c r="M1879" s="205"/>
      <c r="N1879" s="204"/>
      <c r="O1879" s="204"/>
      <c r="P1879" s="206"/>
      <c r="Q1879" s="206"/>
      <c r="R1879" s="206"/>
      <c r="S1879" s="206"/>
      <c r="T1879" s="204"/>
      <c r="U1879" s="207"/>
      <c r="V1879" s="204"/>
      <c r="W1879" s="204"/>
      <c r="X1879" s="207"/>
      <c r="Y1879" s="207"/>
      <c r="Z1879" s="204"/>
      <c r="AA1879" s="204"/>
      <c r="AB1879" s="204"/>
      <c r="AC1879" s="204"/>
    </row>
    <row r="1880" spans="1:29">
      <c r="A1880" s="204"/>
      <c r="B1880" s="204"/>
      <c r="C1880" s="204"/>
      <c r="D1880" s="204"/>
      <c r="E1880" s="204"/>
      <c r="F1880" s="204"/>
      <c r="G1880" s="204"/>
      <c r="H1880" s="204"/>
      <c r="I1880" s="204"/>
      <c r="J1880" s="204"/>
      <c r="K1880" s="204"/>
      <c r="L1880" s="205"/>
      <c r="M1880" s="205"/>
      <c r="N1880" s="204"/>
      <c r="O1880" s="204"/>
      <c r="P1880" s="206"/>
      <c r="Q1880" s="206"/>
      <c r="R1880" s="206"/>
      <c r="S1880" s="206"/>
      <c r="T1880" s="204"/>
      <c r="U1880" s="207"/>
      <c r="V1880" s="204"/>
      <c r="W1880" s="204"/>
      <c r="X1880" s="207"/>
      <c r="Y1880" s="207"/>
      <c r="Z1880" s="204"/>
      <c r="AA1880" s="204"/>
      <c r="AB1880" s="204"/>
      <c r="AC1880" s="204"/>
    </row>
    <row r="1881" spans="1:29">
      <c r="A1881" s="204"/>
      <c r="B1881" s="204"/>
      <c r="C1881" s="204"/>
      <c r="D1881" s="204"/>
      <c r="E1881" s="204"/>
      <c r="F1881" s="204"/>
      <c r="G1881" s="204"/>
      <c r="H1881" s="204"/>
      <c r="I1881" s="204"/>
      <c r="J1881" s="204"/>
      <c r="K1881" s="204"/>
      <c r="L1881" s="205"/>
      <c r="M1881" s="205"/>
      <c r="N1881" s="204"/>
      <c r="O1881" s="204"/>
      <c r="P1881" s="206"/>
      <c r="Q1881" s="206"/>
      <c r="R1881" s="206"/>
      <c r="S1881" s="206"/>
      <c r="T1881" s="204"/>
      <c r="U1881" s="207"/>
      <c r="V1881" s="204"/>
      <c r="W1881" s="204"/>
      <c r="X1881" s="207"/>
      <c r="Y1881" s="207"/>
      <c r="Z1881" s="204"/>
      <c r="AA1881" s="204"/>
      <c r="AB1881" s="204"/>
      <c r="AC1881" s="204"/>
    </row>
    <row r="1882" spans="1:29">
      <c r="A1882" s="204"/>
      <c r="B1882" s="204"/>
      <c r="C1882" s="204"/>
      <c r="D1882" s="204"/>
      <c r="E1882" s="204"/>
      <c r="F1882" s="204"/>
      <c r="G1882" s="204"/>
      <c r="H1882" s="204"/>
      <c r="I1882" s="204"/>
      <c r="J1882" s="204"/>
      <c r="K1882" s="204"/>
      <c r="L1882" s="205"/>
      <c r="M1882" s="205"/>
      <c r="N1882" s="204"/>
      <c r="O1882" s="204"/>
      <c r="P1882" s="206"/>
      <c r="Q1882" s="206"/>
      <c r="R1882" s="206"/>
      <c r="S1882" s="206"/>
      <c r="T1882" s="204"/>
      <c r="U1882" s="207"/>
      <c r="V1882" s="204"/>
      <c r="W1882" s="204"/>
      <c r="X1882" s="207"/>
      <c r="Y1882" s="207"/>
      <c r="Z1882" s="204"/>
      <c r="AA1882" s="204"/>
      <c r="AB1882" s="204"/>
      <c r="AC1882" s="204"/>
    </row>
    <row r="1883" spans="1:29">
      <c r="A1883" s="204"/>
      <c r="B1883" s="204"/>
      <c r="C1883" s="204"/>
      <c r="D1883" s="204"/>
      <c r="E1883" s="204"/>
      <c r="F1883" s="204"/>
      <c r="G1883" s="204"/>
      <c r="H1883" s="204"/>
      <c r="I1883" s="204"/>
      <c r="J1883" s="204"/>
      <c r="K1883" s="204"/>
      <c r="L1883" s="205"/>
      <c r="M1883" s="205"/>
      <c r="N1883" s="204"/>
      <c r="O1883" s="204"/>
      <c r="P1883" s="206"/>
      <c r="Q1883" s="206"/>
      <c r="R1883" s="206"/>
      <c r="S1883" s="206"/>
      <c r="T1883" s="204"/>
      <c r="U1883" s="207"/>
      <c r="V1883" s="204"/>
      <c r="W1883" s="204"/>
      <c r="X1883" s="207"/>
      <c r="Y1883" s="207"/>
      <c r="Z1883" s="204"/>
      <c r="AA1883" s="204"/>
      <c r="AB1883" s="204"/>
      <c r="AC1883" s="204"/>
    </row>
    <row r="1884" spans="1:29">
      <c r="A1884" s="204"/>
      <c r="B1884" s="204"/>
      <c r="C1884" s="204"/>
      <c r="D1884" s="204"/>
      <c r="E1884" s="204"/>
      <c r="F1884" s="204"/>
      <c r="G1884" s="204"/>
      <c r="H1884" s="204"/>
      <c r="I1884" s="204"/>
      <c r="J1884" s="204"/>
      <c r="K1884" s="204"/>
      <c r="L1884" s="205"/>
      <c r="M1884" s="205"/>
      <c r="N1884" s="204"/>
      <c r="O1884" s="204"/>
      <c r="P1884" s="206"/>
      <c r="Q1884" s="206"/>
      <c r="R1884" s="206"/>
      <c r="S1884" s="206"/>
      <c r="T1884" s="204"/>
      <c r="U1884" s="207"/>
      <c r="V1884" s="204"/>
      <c r="W1884" s="204"/>
      <c r="X1884" s="207"/>
      <c r="Y1884" s="207"/>
      <c r="Z1884" s="204"/>
      <c r="AA1884" s="204"/>
      <c r="AB1884" s="204"/>
      <c r="AC1884" s="204"/>
    </row>
    <row r="1885" spans="1:29">
      <c r="A1885" s="204"/>
      <c r="B1885" s="204"/>
      <c r="C1885" s="204"/>
      <c r="D1885" s="204"/>
      <c r="E1885" s="204"/>
      <c r="F1885" s="204"/>
      <c r="G1885" s="204"/>
      <c r="H1885" s="204"/>
      <c r="I1885" s="204"/>
      <c r="J1885" s="204"/>
      <c r="K1885" s="204"/>
      <c r="L1885" s="205"/>
      <c r="M1885" s="205"/>
      <c r="N1885" s="204"/>
      <c r="O1885" s="204"/>
      <c r="P1885" s="206"/>
      <c r="Q1885" s="206"/>
      <c r="R1885" s="206"/>
      <c r="S1885" s="206"/>
      <c r="T1885" s="204"/>
      <c r="U1885" s="207"/>
      <c r="V1885" s="204"/>
      <c r="W1885" s="204"/>
      <c r="X1885" s="207"/>
      <c r="Y1885" s="207"/>
      <c r="Z1885" s="204"/>
      <c r="AA1885" s="204"/>
      <c r="AB1885" s="204"/>
      <c r="AC1885" s="204"/>
    </row>
    <row r="1886" spans="1:29">
      <c r="A1886" s="204"/>
      <c r="B1886" s="204"/>
      <c r="C1886" s="204"/>
      <c r="D1886" s="204"/>
      <c r="E1886" s="204"/>
      <c r="F1886" s="204"/>
      <c r="G1886" s="204"/>
      <c r="H1886" s="204"/>
      <c r="I1886" s="204"/>
      <c r="J1886" s="204"/>
      <c r="K1886" s="204"/>
      <c r="L1886" s="205"/>
      <c r="M1886" s="205"/>
      <c r="N1886" s="204"/>
      <c r="O1886" s="204"/>
      <c r="P1886" s="206"/>
      <c r="Q1886" s="206"/>
      <c r="R1886" s="206"/>
      <c r="S1886" s="206"/>
      <c r="T1886" s="204"/>
      <c r="U1886" s="207"/>
      <c r="V1886" s="204"/>
      <c r="W1886" s="204"/>
      <c r="X1886" s="207"/>
      <c r="Y1886" s="207"/>
      <c r="Z1886" s="204"/>
      <c r="AA1886" s="204"/>
      <c r="AB1886" s="204"/>
      <c r="AC1886" s="204"/>
    </row>
    <row r="1887" spans="1:29">
      <c r="A1887" s="204"/>
      <c r="B1887" s="204"/>
      <c r="C1887" s="204"/>
      <c r="D1887" s="204"/>
      <c r="E1887" s="204"/>
      <c r="F1887" s="204"/>
      <c r="G1887" s="204"/>
      <c r="H1887" s="204"/>
      <c r="I1887" s="204"/>
      <c r="J1887" s="204"/>
      <c r="K1887" s="204"/>
      <c r="L1887" s="205"/>
      <c r="M1887" s="205"/>
      <c r="N1887" s="204"/>
      <c r="O1887" s="204"/>
      <c r="P1887" s="206"/>
      <c r="Q1887" s="206"/>
      <c r="R1887" s="206"/>
      <c r="S1887" s="206"/>
      <c r="T1887" s="204"/>
      <c r="U1887" s="207"/>
      <c r="V1887" s="204"/>
      <c r="W1887" s="204"/>
      <c r="X1887" s="207"/>
      <c r="Y1887" s="207"/>
      <c r="Z1887" s="204"/>
      <c r="AA1887" s="204"/>
      <c r="AB1887" s="204"/>
      <c r="AC1887" s="204"/>
    </row>
    <row r="1888" spans="1:29">
      <c r="A1888" s="204"/>
      <c r="B1888" s="204"/>
      <c r="C1888" s="204"/>
      <c r="D1888" s="204"/>
      <c r="E1888" s="204"/>
      <c r="F1888" s="204"/>
      <c r="G1888" s="204"/>
      <c r="H1888" s="204"/>
      <c r="I1888" s="204"/>
      <c r="J1888" s="204"/>
      <c r="K1888" s="204"/>
      <c r="L1888" s="205"/>
      <c r="M1888" s="205"/>
      <c r="N1888" s="204"/>
      <c r="O1888" s="204"/>
      <c r="P1888" s="206"/>
      <c r="Q1888" s="206"/>
      <c r="R1888" s="206"/>
      <c r="S1888" s="206"/>
      <c r="T1888" s="204"/>
      <c r="U1888" s="207"/>
      <c r="V1888" s="204"/>
      <c r="W1888" s="204"/>
      <c r="X1888" s="207"/>
      <c r="Y1888" s="207"/>
      <c r="Z1888" s="204"/>
      <c r="AA1888" s="204"/>
      <c r="AB1888" s="204"/>
      <c r="AC1888" s="204"/>
    </row>
    <row r="1889" spans="1:29">
      <c r="A1889" s="204"/>
      <c r="B1889" s="204"/>
      <c r="C1889" s="204"/>
      <c r="D1889" s="204"/>
      <c r="E1889" s="204"/>
      <c r="F1889" s="204"/>
      <c r="G1889" s="204"/>
      <c r="H1889" s="204"/>
      <c r="I1889" s="204"/>
      <c r="J1889" s="204"/>
      <c r="K1889" s="204"/>
      <c r="L1889" s="205"/>
      <c r="M1889" s="205"/>
      <c r="N1889" s="204"/>
      <c r="O1889" s="204"/>
      <c r="P1889" s="206"/>
      <c r="Q1889" s="206"/>
      <c r="R1889" s="206"/>
      <c r="S1889" s="206"/>
      <c r="T1889" s="204"/>
      <c r="U1889" s="207"/>
      <c r="V1889" s="204"/>
      <c r="W1889" s="204"/>
      <c r="X1889" s="207"/>
      <c r="Y1889" s="207"/>
      <c r="Z1889" s="204"/>
      <c r="AA1889" s="204"/>
      <c r="AB1889" s="204"/>
      <c r="AC1889" s="204"/>
    </row>
    <row r="1890" spans="1:29">
      <c r="A1890" s="204"/>
      <c r="B1890" s="204"/>
      <c r="C1890" s="204"/>
      <c r="D1890" s="204"/>
      <c r="E1890" s="204"/>
      <c r="F1890" s="204"/>
      <c r="G1890" s="204"/>
      <c r="H1890" s="204"/>
      <c r="I1890" s="204"/>
      <c r="J1890" s="204"/>
      <c r="K1890" s="204"/>
      <c r="L1890" s="205"/>
      <c r="M1890" s="205"/>
      <c r="N1890" s="204"/>
      <c r="O1890" s="204"/>
      <c r="P1890" s="206"/>
      <c r="Q1890" s="206"/>
      <c r="R1890" s="206"/>
      <c r="S1890" s="206"/>
      <c r="T1890" s="204"/>
      <c r="U1890" s="207"/>
      <c r="V1890" s="204"/>
      <c r="W1890" s="204"/>
      <c r="X1890" s="207"/>
      <c r="Y1890" s="207"/>
      <c r="Z1890" s="204"/>
      <c r="AA1890" s="204"/>
      <c r="AB1890" s="204"/>
      <c r="AC1890" s="204"/>
    </row>
    <row r="1891" spans="1:29">
      <c r="A1891" s="204"/>
      <c r="B1891" s="204"/>
      <c r="C1891" s="204"/>
      <c r="D1891" s="204"/>
      <c r="E1891" s="204"/>
      <c r="F1891" s="204"/>
      <c r="G1891" s="204"/>
      <c r="H1891" s="204"/>
      <c r="I1891" s="204"/>
      <c r="J1891" s="204"/>
      <c r="K1891" s="204"/>
      <c r="L1891" s="205"/>
      <c r="M1891" s="205"/>
      <c r="N1891" s="204"/>
      <c r="O1891" s="204"/>
      <c r="P1891" s="206"/>
      <c r="Q1891" s="206"/>
      <c r="R1891" s="206"/>
      <c r="S1891" s="206"/>
      <c r="T1891" s="204"/>
      <c r="U1891" s="207"/>
      <c r="V1891" s="204"/>
      <c r="W1891" s="204"/>
      <c r="X1891" s="207"/>
      <c r="Y1891" s="207"/>
      <c r="Z1891" s="204"/>
      <c r="AA1891" s="204"/>
      <c r="AB1891" s="204"/>
      <c r="AC1891" s="204"/>
    </row>
    <row r="1892" spans="1:29">
      <c r="A1892" s="204"/>
      <c r="B1892" s="204"/>
      <c r="C1892" s="204"/>
      <c r="D1892" s="204"/>
      <c r="E1892" s="204"/>
      <c r="F1892" s="204"/>
      <c r="G1892" s="204"/>
      <c r="H1892" s="204"/>
      <c r="I1892" s="204"/>
      <c r="J1892" s="204"/>
      <c r="K1892" s="204"/>
      <c r="L1892" s="205"/>
      <c r="M1892" s="205"/>
      <c r="N1892" s="204"/>
      <c r="O1892" s="204"/>
      <c r="P1892" s="206"/>
      <c r="Q1892" s="206"/>
      <c r="R1892" s="206"/>
      <c r="S1892" s="206"/>
      <c r="T1892" s="204"/>
      <c r="U1892" s="207"/>
      <c r="V1892" s="204"/>
      <c r="W1892" s="204"/>
      <c r="X1892" s="207"/>
      <c r="Y1892" s="207"/>
      <c r="Z1892" s="204"/>
      <c r="AA1892" s="204"/>
      <c r="AB1892" s="204"/>
      <c r="AC1892" s="204"/>
    </row>
    <row r="1893" spans="1:29">
      <c r="A1893" s="204"/>
      <c r="B1893" s="204"/>
      <c r="C1893" s="204"/>
      <c r="D1893" s="204"/>
      <c r="E1893" s="204"/>
      <c r="F1893" s="204"/>
      <c r="G1893" s="204"/>
      <c r="H1893" s="204"/>
      <c r="I1893" s="204"/>
      <c r="J1893" s="204"/>
      <c r="K1893" s="204"/>
      <c r="L1893" s="205"/>
      <c r="M1893" s="205"/>
      <c r="N1893" s="204"/>
      <c r="O1893" s="204"/>
      <c r="P1893" s="206"/>
      <c r="Q1893" s="206"/>
      <c r="R1893" s="206"/>
      <c r="S1893" s="206"/>
      <c r="T1893" s="204"/>
      <c r="U1893" s="207"/>
      <c r="V1893" s="204"/>
      <c r="W1893" s="204"/>
      <c r="X1893" s="207"/>
      <c r="Y1893" s="207"/>
      <c r="Z1893" s="204"/>
      <c r="AA1893" s="204"/>
      <c r="AB1893" s="204"/>
      <c r="AC1893" s="204"/>
    </row>
    <row r="1894" spans="1:29">
      <c r="A1894" s="204"/>
      <c r="B1894" s="204"/>
      <c r="C1894" s="204"/>
      <c r="D1894" s="204"/>
      <c r="E1894" s="204"/>
      <c r="F1894" s="204"/>
      <c r="G1894" s="204"/>
      <c r="H1894" s="204"/>
      <c r="I1894" s="204"/>
      <c r="J1894" s="204"/>
      <c r="K1894" s="204"/>
      <c r="L1894" s="205"/>
      <c r="M1894" s="205"/>
      <c r="N1894" s="204"/>
      <c r="O1894" s="204"/>
      <c r="P1894" s="206"/>
      <c r="Q1894" s="206"/>
      <c r="R1894" s="206"/>
      <c r="S1894" s="206"/>
      <c r="T1894" s="204"/>
      <c r="U1894" s="207"/>
      <c r="V1894" s="204"/>
      <c r="W1894" s="204"/>
      <c r="X1894" s="207"/>
      <c r="Y1894" s="207"/>
      <c r="Z1894" s="204"/>
      <c r="AA1894" s="204"/>
      <c r="AB1894" s="204"/>
      <c r="AC1894" s="204"/>
    </row>
    <row r="1895" spans="1:29">
      <c r="A1895" s="204"/>
      <c r="B1895" s="204"/>
      <c r="C1895" s="204"/>
      <c r="D1895" s="204"/>
      <c r="E1895" s="204"/>
      <c r="F1895" s="204"/>
      <c r="G1895" s="204"/>
      <c r="H1895" s="204"/>
      <c r="I1895" s="204"/>
      <c r="J1895" s="204"/>
      <c r="K1895" s="204"/>
      <c r="L1895" s="205"/>
      <c r="M1895" s="205"/>
      <c r="N1895" s="204"/>
      <c r="O1895" s="204"/>
      <c r="P1895" s="206"/>
      <c r="Q1895" s="206"/>
      <c r="R1895" s="206"/>
      <c r="S1895" s="206"/>
      <c r="T1895" s="204"/>
      <c r="U1895" s="207"/>
      <c r="V1895" s="204"/>
      <c r="W1895" s="204"/>
      <c r="X1895" s="207"/>
      <c r="Y1895" s="207"/>
      <c r="Z1895" s="204"/>
      <c r="AA1895" s="204"/>
      <c r="AB1895" s="204"/>
      <c r="AC1895" s="204"/>
    </row>
    <row r="1896" spans="1:29">
      <c r="A1896" s="204"/>
      <c r="B1896" s="204"/>
      <c r="C1896" s="204"/>
      <c r="D1896" s="204"/>
      <c r="E1896" s="204"/>
      <c r="F1896" s="204"/>
      <c r="G1896" s="204"/>
      <c r="H1896" s="204"/>
      <c r="I1896" s="204"/>
      <c r="J1896" s="204"/>
      <c r="K1896" s="204"/>
      <c r="L1896" s="205"/>
      <c r="M1896" s="205"/>
      <c r="N1896" s="204"/>
      <c r="O1896" s="204"/>
      <c r="P1896" s="206"/>
      <c r="Q1896" s="206"/>
      <c r="R1896" s="206"/>
      <c r="S1896" s="206"/>
      <c r="T1896" s="204"/>
      <c r="U1896" s="207"/>
      <c r="V1896" s="204"/>
      <c r="W1896" s="204"/>
      <c r="X1896" s="207"/>
      <c r="Y1896" s="207"/>
      <c r="Z1896" s="204"/>
      <c r="AA1896" s="204"/>
      <c r="AB1896" s="204"/>
      <c r="AC1896" s="204"/>
    </row>
    <row r="1897" spans="1:29">
      <c r="A1897" s="204"/>
      <c r="B1897" s="204"/>
      <c r="C1897" s="204"/>
      <c r="D1897" s="204"/>
      <c r="E1897" s="204"/>
      <c r="F1897" s="204"/>
      <c r="G1897" s="204"/>
      <c r="H1897" s="204"/>
      <c r="I1897" s="204"/>
      <c r="J1897" s="204"/>
      <c r="K1897" s="204"/>
      <c r="L1897" s="205"/>
      <c r="M1897" s="205"/>
      <c r="N1897" s="204"/>
      <c r="O1897" s="204"/>
      <c r="P1897" s="206"/>
      <c r="Q1897" s="206"/>
      <c r="R1897" s="206"/>
      <c r="S1897" s="206"/>
      <c r="T1897" s="204"/>
      <c r="U1897" s="207"/>
      <c r="V1897" s="204"/>
      <c r="W1897" s="204"/>
      <c r="X1897" s="207"/>
      <c r="Y1897" s="207"/>
      <c r="Z1897" s="204"/>
      <c r="AA1897" s="204"/>
      <c r="AB1897" s="204"/>
      <c r="AC1897" s="204"/>
    </row>
    <row r="1898" spans="1:29">
      <c r="A1898" s="204"/>
      <c r="B1898" s="204"/>
      <c r="C1898" s="204"/>
      <c r="D1898" s="204"/>
      <c r="E1898" s="204"/>
      <c r="F1898" s="204"/>
      <c r="G1898" s="204"/>
      <c r="H1898" s="204"/>
      <c r="I1898" s="204"/>
      <c r="J1898" s="204"/>
      <c r="K1898" s="204"/>
      <c r="L1898" s="205"/>
      <c r="M1898" s="205"/>
      <c r="N1898" s="204"/>
      <c r="O1898" s="204"/>
      <c r="P1898" s="206"/>
      <c r="Q1898" s="206"/>
      <c r="R1898" s="206"/>
      <c r="S1898" s="206"/>
      <c r="T1898" s="204"/>
      <c r="U1898" s="207"/>
      <c r="V1898" s="204"/>
      <c r="W1898" s="204"/>
      <c r="X1898" s="207"/>
      <c r="Y1898" s="207"/>
      <c r="Z1898" s="204"/>
      <c r="AA1898" s="204"/>
      <c r="AB1898" s="204"/>
      <c r="AC1898" s="204"/>
    </row>
    <row r="1899" spans="1:29">
      <c r="A1899" s="204"/>
      <c r="B1899" s="204"/>
      <c r="C1899" s="204"/>
      <c r="D1899" s="204"/>
      <c r="E1899" s="204"/>
      <c r="F1899" s="204"/>
      <c r="G1899" s="204"/>
      <c r="H1899" s="204"/>
      <c r="I1899" s="204"/>
      <c r="J1899" s="204"/>
      <c r="K1899" s="204"/>
      <c r="L1899" s="205"/>
      <c r="M1899" s="205"/>
      <c r="N1899" s="204"/>
      <c r="O1899" s="204"/>
      <c r="P1899" s="206"/>
      <c r="Q1899" s="206"/>
      <c r="R1899" s="206"/>
      <c r="S1899" s="206"/>
      <c r="T1899" s="204"/>
      <c r="U1899" s="207"/>
      <c r="V1899" s="204"/>
      <c r="W1899" s="204"/>
      <c r="X1899" s="207"/>
      <c r="Y1899" s="207"/>
      <c r="Z1899" s="204"/>
      <c r="AA1899" s="204"/>
      <c r="AB1899" s="204"/>
      <c r="AC1899" s="204"/>
    </row>
    <row r="1900" spans="1:29">
      <c r="A1900" s="204"/>
      <c r="B1900" s="204"/>
      <c r="C1900" s="204"/>
      <c r="D1900" s="204"/>
      <c r="E1900" s="204"/>
      <c r="F1900" s="204"/>
      <c r="G1900" s="204"/>
      <c r="H1900" s="204"/>
      <c r="I1900" s="204"/>
      <c r="J1900" s="204"/>
      <c r="K1900" s="204"/>
      <c r="L1900" s="205"/>
      <c r="M1900" s="205"/>
      <c r="N1900" s="204"/>
      <c r="O1900" s="204"/>
      <c r="P1900" s="206"/>
      <c r="Q1900" s="206"/>
      <c r="R1900" s="206"/>
      <c r="S1900" s="206"/>
      <c r="T1900" s="204"/>
      <c r="U1900" s="207"/>
      <c r="V1900" s="204"/>
      <c r="W1900" s="204"/>
      <c r="X1900" s="207"/>
      <c r="Y1900" s="207"/>
      <c r="Z1900" s="204"/>
      <c r="AA1900" s="204"/>
      <c r="AB1900" s="204"/>
      <c r="AC1900" s="204"/>
    </row>
    <row r="1901" spans="1:29">
      <c r="A1901" s="204"/>
      <c r="B1901" s="204"/>
      <c r="C1901" s="204"/>
      <c r="D1901" s="204"/>
      <c r="E1901" s="204"/>
      <c r="F1901" s="204"/>
      <c r="G1901" s="204"/>
      <c r="H1901" s="204"/>
      <c r="I1901" s="204"/>
      <c r="J1901" s="204"/>
      <c r="K1901" s="204"/>
      <c r="L1901" s="205"/>
      <c r="M1901" s="205"/>
      <c r="N1901" s="204"/>
      <c r="O1901" s="204"/>
      <c r="P1901" s="206"/>
      <c r="Q1901" s="206"/>
      <c r="R1901" s="206"/>
      <c r="S1901" s="206"/>
      <c r="T1901" s="204"/>
      <c r="U1901" s="207"/>
      <c r="V1901" s="204"/>
      <c r="W1901" s="204"/>
      <c r="X1901" s="207"/>
      <c r="Y1901" s="207"/>
      <c r="Z1901" s="204"/>
      <c r="AA1901" s="204"/>
      <c r="AB1901" s="204"/>
      <c r="AC1901" s="204"/>
    </row>
    <row r="1902" spans="1:29">
      <c r="A1902" s="204"/>
      <c r="B1902" s="204"/>
      <c r="C1902" s="204"/>
      <c r="D1902" s="204"/>
      <c r="E1902" s="204"/>
      <c r="F1902" s="204"/>
      <c r="G1902" s="204"/>
      <c r="H1902" s="204"/>
      <c r="I1902" s="204"/>
      <c r="J1902" s="204"/>
      <c r="K1902" s="204"/>
      <c r="L1902" s="205"/>
      <c r="M1902" s="205"/>
      <c r="N1902" s="204"/>
      <c r="O1902" s="204"/>
      <c r="P1902" s="206"/>
      <c r="Q1902" s="206"/>
      <c r="R1902" s="206"/>
      <c r="S1902" s="206"/>
      <c r="T1902" s="204"/>
      <c r="U1902" s="207"/>
      <c r="V1902" s="204"/>
      <c r="W1902" s="204"/>
      <c r="X1902" s="207"/>
      <c r="Y1902" s="207"/>
      <c r="Z1902" s="204"/>
      <c r="AA1902" s="204"/>
      <c r="AB1902" s="204"/>
      <c r="AC1902" s="204"/>
    </row>
    <row r="1903" spans="1:29">
      <c r="A1903" s="204"/>
      <c r="B1903" s="204"/>
      <c r="C1903" s="204"/>
      <c r="D1903" s="204"/>
      <c r="E1903" s="204"/>
      <c r="F1903" s="204"/>
      <c r="G1903" s="204"/>
      <c r="H1903" s="204"/>
      <c r="I1903" s="204"/>
      <c r="J1903" s="204"/>
      <c r="K1903" s="204"/>
      <c r="L1903" s="205"/>
      <c r="M1903" s="205"/>
      <c r="N1903" s="204"/>
      <c r="O1903" s="204"/>
      <c r="P1903" s="206"/>
      <c r="Q1903" s="206"/>
      <c r="R1903" s="206"/>
      <c r="S1903" s="206"/>
      <c r="T1903" s="204"/>
      <c r="U1903" s="207"/>
      <c r="V1903" s="204"/>
      <c r="W1903" s="204"/>
      <c r="X1903" s="207"/>
      <c r="Y1903" s="207"/>
      <c r="Z1903" s="204"/>
      <c r="AA1903" s="204"/>
      <c r="AB1903" s="204"/>
      <c r="AC1903" s="204"/>
    </row>
    <row r="1904" spans="1:29">
      <c r="A1904" s="204"/>
      <c r="B1904" s="204"/>
      <c r="C1904" s="204"/>
      <c r="D1904" s="204"/>
      <c r="E1904" s="204"/>
      <c r="F1904" s="204"/>
      <c r="G1904" s="204"/>
      <c r="H1904" s="204"/>
      <c r="I1904" s="204"/>
      <c r="J1904" s="204"/>
      <c r="K1904" s="204"/>
      <c r="L1904" s="205"/>
      <c r="M1904" s="205"/>
      <c r="N1904" s="204"/>
      <c r="O1904" s="204"/>
      <c r="P1904" s="206"/>
      <c r="Q1904" s="206"/>
      <c r="R1904" s="206"/>
      <c r="S1904" s="206"/>
      <c r="T1904" s="204"/>
      <c r="U1904" s="207"/>
      <c r="V1904" s="204"/>
      <c r="W1904" s="204"/>
      <c r="X1904" s="207"/>
      <c r="Y1904" s="207"/>
      <c r="Z1904" s="204"/>
      <c r="AA1904" s="204"/>
      <c r="AB1904" s="204"/>
      <c r="AC1904" s="204"/>
    </row>
    <row r="1905" spans="1:29">
      <c r="A1905" s="204"/>
      <c r="B1905" s="204"/>
      <c r="C1905" s="204"/>
      <c r="D1905" s="204"/>
      <c r="E1905" s="204"/>
      <c r="F1905" s="204"/>
      <c r="G1905" s="204"/>
      <c r="H1905" s="204"/>
      <c r="I1905" s="204"/>
      <c r="J1905" s="204"/>
      <c r="K1905" s="204"/>
      <c r="L1905" s="205"/>
      <c r="M1905" s="205"/>
      <c r="N1905" s="204"/>
      <c r="O1905" s="204"/>
      <c r="P1905" s="206"/>
      <c r="Q1905" s="206"/>
      <c r="R1905" s="206"/>
      <c r="S1905" s="206"/>
      <c r="T1905" s="204"/>
      <c r="U1905" s="207"/>
      <c r="V1905" s="204"/>
      <c r="W1905" s="204"/>
      <c r="X1905" s="207"/>
      <c r="Y1905" s="207"/>
      <c r="Z1905" s="204"/>
      <c r="AA1905" s="204"/>
      <c r="AB1905" s="204"/>
      <c r="AC1905" s="204"/>
    </row>
    <row r="1906" spans="1:29">
      <c r="A1906" s="204"/>
      <c r="B1906" s="204"/>
      <c r="C1906" s="204"/>
      <c r="D1906" s="204"/>
      <c r="E1906" s="204"/>
      <c r="F1906" s="204"/>
      <c r="G1906" s="204"/>
      <c r="H1906" s="204"/>
      <c r="I1906" s="204"/>
      <c r="J1906" s="204"/>
      <c r="K1906" s="204"/>
      <c r="L1906" s="205"/>
      <c r="M1906" s="205"/>
      <c r="N1906" s="204"/>
      <c r="O1906" s="204"/>
      <c r="P1906" s="206"/>
      <c r="Q1906" s="206"/>
      <c r="R1906" s="206"/>
      <c r="S1906" s="206"/>
      <c r="T1906" s="204"/>
      <c r="U1906" s="207"/>
      <c r="V1906" s="204"/>
      <c r="W1906" s="204"/>
      <c r="X1906" s="207"/>
      <c r="Y1906" s="207"/>
      <c r="Z1906" s="204"/>
      <c r="AA1906" s="204"/>
      <c r="AB1906" s="204"/>
      <c r="AC1906" s="204"/>
    </row>
    <row r="1907" spans="1:29">
      <c r="A1907" s="204"/>
      <c r="B1907" s="204"/>
      <c r="C1907" s="204"/>
      <c r="D1907" s="204"/>
      <c r="E1907" s="204"/>
      <c r="F1907" s="204"/>
      <c r="G1907" s="204"/>
      <c r="H1907" s="204"/>
      <c r="I1907" s="204"/>
      <c r="J1907" s="204"/>
      <c r="K1907" s="204"/>
      <c r="L1907" s="205"/>
      <c r="M1907" s="205"/>
      <c r="N1907" s="204"/>
      <c r="O1907" s="204"/>
      <c r="P1907" s="206"/>
      <c r="Q1907" s="206"/>
      <c r="R1907" s="206"/>
      <c r="S1907" s="206"/>
      <c r="T1907" s="204"/>
      <c r="U1907" s="207"/>
      <c r="V1907" s="204"/>
      <c r="W1907" s="204"/>
      <c r="X1907" s="207"/>
      <c r="Y1907" s="207"/>
      <c r="Z1907" s="204"/>
      <c r="AA1907" s="204"/>
      <c r="AB1907" s="204"/>
      <c r="AC1907" s="204"/>
    </row>
    <row r="1908" spans="1:29">
      <c r="A1908" s="204"/>
      <c r="B1908" s="204"/>
      <c r="C1908" s="204"/>
      <c r="D1908" s="204"/>
      <c r="E1908" s="204"/>
      <c r="F1908" s="204"/>
      <c r="G1908" s="204"/>
      <c r="H1908" s="204"/>
      <c r="I1908" s="204"/>
      <c r="J1908" s="204"/>
      <c r="K1908" s="204"/>
      <c r="L1908" s="205"/>
      <c r="M1908" s="205"/>
      <c r="N1908" s="204"/>
      <c r="O1908" s="204"/>
      <c r="P1908" s="206"/>
      <c r="Q1908" s="206"/>
      <c r="R1908" s="206"/>
      <c r="S1908" s="206"/>
      <c r="T1908" s="204"/>
      <c r="U1908" s="207"/>
      <c r="V1908" s="204"/>
      <c r="W1908" s="204"/>
      <c r="X1908" s="207"/>
      <c r="Y1908" s="207"/>
      <c r="Z1908" s="204"/>
      <c r="AA1908" s="204"/>
      <c r="AB1908" s="204"/>
      <c r="AC1908" s="204"/>
    </row>
    <row r="1909" spans="1:29">
      <c r="A1909" s="204"/>
      <c r="B1909" s="204"/>
      <c r="C1909" s="204"/>
      <c r="D1909" s="204"/>
      <c r="E1909" s="204"/>
      <c r="F1909" s="204"/>
      <c r="G1909" s="204"/>
      <c r="H1909" s="204"/>
      <c r="I1909" s="204"/>
      <c r="J1909" s="204"/>
      <c r="K1909" s="204"/>
      <c r="L1909" s="205"/>
      <c r="M1909" s="205"/>
      <c r="N1909" s="204"/>
      <c r="O1909" s="204"/>
      <c r="P1909" s="206"/>
      <c r="Q1909" s="206"/>
      <c r="R1909" s="206"/>
      <c r="S1909" s="206"/>
      <c r="T1909" s="204"/>
      <c r="U1909" s="207"/>
      <c r="V1909" s="204"/>
      <c r="W1909" s="204"/>
      <c r="X1909" s="207"/>
      <c r="Y1909" s="207"/>
      <c r="Z1909" s="204"/>
      <c r="AA1909" s="204"/>
      <c r="AB1909" s="204"/>
      <c r="AC1909" s="204"/>
    </row>
    <row r="1910" spans="1:29">
      <c r="A1910" s="204"/>
      <c r="B1910" s="204"/>
      <c r="C1910" s="204"/>
      <c r="D1910" s="204"/>
      <c r="E1910" s="204"/>
      <c r="F1910" s="204"/>
      <c r="G1910" s="204"/>
      <c r="H1910" s="204"/>
      <c r="I1910" s="204"/>
      <c r="J1910" s="204"/>
      <c r="K1910" s="204"/>
      <c r="L1910" s="205"/>
      <c r="M1910" s="205"/>
      <c r="N1910" s="204"/>
      <c r="O1910" s="204"/>
      <c r="P1910" s="206"/>
      <c r="Q1910" s="206"/>
      <c r="R1910" s="206"/>
      <c r="S1910" s="206"/>
      <c r="T1910" s="204"/>
      <c r="U1910" s="207"/>
      <c r="V1910" s="204"/>
      <c r="W1910" s="204"/>
      <c r="X1910" s="207"/>
      <c r="Y1910" s="207"/>
      <c r="Z1910" s="204"/>
      <c r="AA1910" s="204"/>
      <c r="AB1910" s="204"/>
      <c r="AC1910" s="204"/>
    </row>
    <row r="1911" spans="1:29">
      <c r="A1911" s="204"/>
      <c r="B1911" s="204"/>
      <c r="C1911" s="204"/>
      <c r="D1911" s="204"/>
      <c r="E1911" s="204"/>
      <c r="F1911" s="204"/>
      <c r="G1911" s="204"/>
      <c r="H1911" s="204"/>
      <c r="I1911" s="204"/>
      <c r="J1911" s="204"/>
      <c r="K1911" s="204"/>
      <c r="L1911" s="205"/>
      <c r="M1911" s="205"/>
      <c r="N1911" s="204"/>
      <c r="O1911" s="204"/>
      <c r="P1911" s="206"/>
      <c r="Q1911" s="206"/>
      <c r="R1911" s="206"/>
      <c r="S1911" s="206"/>
      <c r="T1911" s="204"/>
      <c r="U1911" s="207"/>
      <c r="V1911" s="204"/>
      <c r="W1911" s="204"/>
      <c r="X1911" s="207"/>
      <c r="Y1911" s="207"/>
      <c r="Z1911" s="204"/>
      <c r="AA1911" s="204"/>
      <c r="AB1911" s="204"/>
      <c r="AC1911" s="204"/>
    </row>
    <row r="1912" spans="1:29">
      <c r="A1912" s="204"/>
      <c r="B1912" s="204"/>
      <c r="C1912" s="204"/>
      <c r="D1912" s="204"/>
      <c r="E1912" s="204"/>
      <c r="F1912" s="204"/>
      <c r="G1912" s="204"/>
      <c r="H1912" s="204"/>
      <c r="I1912" s="204"/>
      <c r="J1912" s="204"/>
      <c r="K1912" s="204"/>
      <c r="L1912" s="205"/>
      <c r="M1912" s="205"/>
      <c r="N1912" s="204"/>
      <c r="O1912" s="204"/>
      <c r="P1912" s="206"/>
      <c r="Q1912" s="206"/>
      <c r="R1912" s="206"/>
      <c r="S1912" s="206"/>
      <c r="T1912" s="204"/>
      <c r="U1912" s="207"/>
      <c r="V1912" s="204"/>
      <c r="W1912" s="204"/>
      <c r="X1912" s="207"/>
      <c r="Y1912" s="207"/>
      <c r="Z1912" s="204"/>
      <c r="AA1912" s="204"/>
      <c r="AB1912" s="204"/>
      <c r="AC1912" s="204"/>
    </row>
    <row r="1913" spans="1:29">
      <c r="A1913" s="204"/>
      <c r="B1913" s="204"/>
      <c r="C1913" s="204"/>
      <c r="D1913" s="204"/>
      <c r="E1913" s="204"/>
      <c r="F1913" s="204"/>
      <c r="G1913" s="204"/>
      <c r="H1913" s="204"/>
      <c r="I1913" s="204"/>
      <c r="J1913" s="204"/>
      <c r="K1913" s="204"/>
      <c r="L1913" s="205"/>
      <c r="M1913" s="205"/>
      <c r="N1913" s="204"/>
      <c r="O1913" s="204"/>
      <c r="P1913" s="206"/>
      <c r="Q1913" s="206"/>
      <c r="R1913" s="206"/>
      <c r="S1913" s="206"/>
      <c r="T1913" s="204"/>
      <c r="U1913" s="207"/>
      <c r="V1913" s="204"/>
      <c r="W1913" s="204"/>
      <c r="X1913" s="207"/>
      <c r="Y1913" s="207"/>
      <c r="Z1913" s="204"/>
      <c r="AA1913" s="204"/>
      <c r="AB1913" s="204"/>
      <c r="AC1913" s="204"/>
    </row>
    <row r="1914" spans="1:29">
      <c r="A1914" s="204"/>
      <c r="B1914" s="204"/>
      <c r="C1914" s="204"/>
      <c r="D1914" s="204"/>
      <c r="E1914" s="204"/>
      <c r="F1914" s="204"/>
      <c r="G1914" s="204"/>
      <c r="H1914" s="204"/>
      <c r="I1914" s="204"/>
      <c r="J1914" s="204"/>
      <c r="K1914" s="204"/>
      <c r="L1914" s="205"/>
      <c r="M1914" s="205"/>
      <c r="N1914" s="204"/>
      <c r="O1914" s="204"/>
      <c r="P1914" s="206"/>
      <c r="Q1914" s="206"/>
      <c r="R1914" s="206"/>
      <c r="S1914" s="206"/>
      <c r="T1914" s="204"/>
      <c r="U1914" s="207"/>
      <c r="V1914" s="204"/>
      <c r="W1914" s="204"/>
      <c r="X1914" s="207"/>
      <c r="Y1914" s="207"/>
      <c r="Z1914" s="204"/>
      <c r="AA1914" s="204"/>
      <c r="AB1914" s="204"/>
      <c r="AC1914" s="204"/>
    </row>
    <row r="1915" spans="1:29">
      <c r="A1915" s="204"/>
      <c r="B1915" s="204"/>
      <c r="C1915" s="204"/>
      <c r="D1915" s="204"/>
      <c r="E1915" s="204"/>
      <c r="F1915" s="204"/>
      <c r="G1915" s="204"/>
      <c r="H1915" s="204"/>
      <c r="I1915" s="204"/>
      <c r="J1915" s="204"/>
      <c r="K1915" s="204"/>
      <c r="L1915" s="205"/>
      <c r="M1915" s="205"/>
      <c r="N1915" s="204"/>
      <c r="O1915" s="204"/>
      <c r="P1915" s="206"/>
      <c r="Q1915" s="206"/>
      <c r="R1915" s="206"/>
      <c r="S1915" s="206"/>
      <c r="T1915" s="204"/>
      <c r="U1915" s="207"/>
      <c r="V1915" s="204"/>
      <c r="W1915" s="204"/>
      <c r="X1915" s="207"/>
      <c r="Y1915" s="207"/>
      <c r="Z1915" s="204"/>
      <c r="AA1915" s="204"/>
      <c r="AB1915" s="204"/>
      <c r="AC1915" s="204"/>
    </row>
    <row r="1916" spans="1:29">
      <c r="A1916" s="204"/>
      <c r="B1916" s="204"/>
      <c r="C1916" s="204"/>
      <c r="D1916" s="204"/>
      <c r="E1916" s="204"/>
      <c r="F1916" s="204"/>
      <c r="G1916" s="204"/>
      <c r="H1916" s="204"/>
      <c r="I1916" s="204"/>
      <c r="J1916" s="204"/>
      <c r="K1916" s="204"/>
      <c r="L1916" s="205"/>
      <c r="M1916" s="205"/>
      <c r="N1916" s="204"/>
      <c r="O1916" s="204"/>
      <c r="P1916" s="206"/>
      <c r="Q1916" s="206"/>
      <c r="R1916" s="206"/>
      <c r="S1916" s="206"/>
      <c r="T1916" s="204"/>
      <c r="U1916" s="207"/>
      <c r="V1916" s="204"/>
      <c r="W1916" s="204"/>
      <c r="X1916" s="207"/>
      <c r="Y1916" s="207"/>
      <c r="Z1916" s="204"/>
      <c r="AA1916" s="204"/>
      <c r="AB1916" s="204"/>
      <c r="AC1916" s="204"/>
    </row>
    <row r="1917" spans="1:29">
      <c r="A1917" s="204"/>
      <c r="B1917" s="204"/>
      <c r="C1917" s="204"/>
      <c r="D1917" s="204"/>
      <c r="E1917" s="204"/>
      <c r="F1917" s="204"/>
      <c r="G1917" s="204"/>
      <c r="H1917" s="204"/>
      <c r="I1917" s="204"/>
      <c r="J1917" s="204"/>
      <c r="K1917" s="204"/>
      <c r="L1917" s="205"/>
      <c r="M1917" s="205"/>
      <c r="N1917" s="204"/>
      <c r="O1917" s="204"/>
      <c r="P1917" s="206"/>
      <c r="Q1917" s="206"/>
      <c r="R1917" s="206"/>
      <c r="S1917" s="206"/>
      <c r="T1917" s="204"/>
      <c r="U1917" s="207"/>
      <c r="V1917" s="204"/>
      <c r="W1917" s="204"/>
      <c r="X1917" s="207"/>
      <c r="Y1917" s="207"/>
      <c r="Z1917" s="204"/>
      <c r="AA1917" s="204"/>
      <c r="AB1917" s="204"/>
      <c r="AC1917" s="204"/>
    </row>
    <row r="1918" spans="1:29">
      <c r="A1918" s="204"/>
      <c r="B1918" s="204"/>
      <c r="C1918" s="204"/>
      <c r="D1918" s="204"/>
      <c r="E1918" s="204"/>
      <c r="F1918" s="204"/>
      <c r="G1918" s="204"/>
      <c r="H1918" s="204"/>
      <c r="I1918" s="204"/>
      <c r="J1918" s="204"/>
      <c r="K1918" s="204"/>
      <c r="L1918" s="205"/>
      <c r="M1918" s="205"/>
      <c r="N1918" s="204"/>
      <c r="O1918" s="204"/>
      <c r="P1918" s="206"/>
      <c r="Q1918" s="206"/>
      <c r="R1918" s="206"/>
      <c r="S1918" s="206"/>
      <c r="T1918" s="204"/>
      <c r="U1918" s="207"/>
      <c r="V1918" s="204"/>
      <c r="W1918" s="204"/>
      <c r="X1918" s="207"/>
      <c r="Y1918" s="207"/>
      <c r="Z1918" s="204"/>
      <c r="AA1918" s="204"/>
      <c r="AB1918" s="204"/>
      <c r="AC1918" s="204"/>
    </row>
    <row r="1919" spans="1:29">
      <c r="A1919" s="204"/>
      <c r="B1919" s="204"/>
      <c r="C1919" s="204"/>
      <c r="D1919" s="204"/>
      <c r="E1919" s="204"/>
      <c r="F1919" s="204"/>
      <c r="G1919" s="204"/>
      <c r="H1919" s="204"/>
      <c r="I1919" s="204"/>
      <c r="J1919" s="204"/>
      <c r="K1919" s="204"/>
      <c r="L1919" s="205"/>
      <c r="M1919" s="205"/>
      <c r="N1919" s="204"/>
      <c r="O1919" s="204"/>
      <c r="P1919" s="206"/>
      <c r="Q1919" s="206"/>
      <c r="R1919" s="206"/>
      <c r="S1919" s="206"/>
      <c r="T1919" s="204"/>
      <c r="U1919" s="207"/>
      <c r="V1919" s="204"/>
      <c r="W1919" s="204"/>
      <c r="X1919" s="207"/>
      <c r="Y1919" s="207"/>
      <c r="Z1919" s="204"/>
      <c r="AA1919" s="204"/>
      <c r="AB1919" s="204"/>
      <c r="AC1919" s="204"/>
    </row>
    <row r="1920" spans="1:29">
      <c r="A1920" s="204"/>
      <c r="B1920" s="204"/>
      <c r="C1920" s="204"/>
      <c r="D1920" s="204"/>
      <c r="E1920" s="204"/>
      <c r="F1920" s="204"/>
      <c r="G1920" s="204"/>
      <c r="H1920" s="204"/>
      <c r="I1920" s="204"/>
      <c r="J1920" s="204"/>
      <c r="K1920" s="204"/>
      <c r="L1920" s="205"/>
      <c r="M1920" s="205"/>
      <c r="N1920" s="204"/>
      <c r="O1920" s="204"/>
      <c r="P1920" s="206"/>
      <c r="Q1920" s="206"/>
      <c r="R1920" s="206"/>
      <c r="S1920" s="206"/>
      <c r="T1920" s="204"/>
      <c r="U1920" s="207"/>
      <c r="V1920" s="204"/>
      <c r="W1920" s="204"/>
      <c r="X1920" s="207"/>
      <c r="Y1920" s="207"/>
      <c r="Z1920" s="204"/>
      <c r="AA1920" s="204"/>
      <c r="AB1920" s="204"/>
      <c r="AC1920" s="204"/>
    </row>
    <row r="1921" spans="1:29">
      <c r="A1921" s="204"/>
      <c r="B1921" s="204"/>
      <c r="C1921" s="204"/>
      <c r="D1921" s="204"/>
      <c r="E1921" s="204"/>
      <c r="F1921" s="204"/>
      <c r="G1921" s="204"/>
      <c r="H1921" s="204"/>
      <c r="I1921" s="204"/>
      <c r="J1921" s="204"/>
      <c r="K1921" s="204"/>
      <c r="L1921" s="205"/>
      <c r="M1921" s="205"/>
      <c r="N1921" s="204"/>
      <c r="O1921" s="204"/>
      <c r="P1921" s="206"/>
      <c r="Q1921" s="206"/>
      <c r="R1921" s="206"/>
      <c r="S1921" s="206"/>
      <c r="T1921" s="204"/>
      <c r="U1921" s="207"/>
      <c r="V1921" s="204"/>
      <c r="W1921" s="204"/>
      <c r="X1921" s="207"/>
      <c r="Y1921" s="207"/>
      <c r="Z1921" s="204"/>
      <c r="AA1921" s="204"/>
      <c r="AB1921" s="204"/>
      <c r="AC1921" s="204"/>
    </row>
    <row r="1922" spans="1:29">
      <c r="A1922" s="204"/>
      <c r="B1922" s="204"/>
      <c r="C1922" s="204"/>
      <c r="D1922" s="204"/>
      <c r="E1922" s="204"/>
      <c r="F1922" s="204"/>
      <c r="G1922" s="204"/>
      <c r="H1922" s="204"/>
      <c r="I1922" s="204"/>
      <c r="J1922" s="204"/>
      <c r="K1922" s="204"/>
      <c r="L1922" s="205"/>
      <c r="M1922" s="205"/>
      <c r="N1922" s="204"/>
      <c r="O1922" s="204"/>
      <c r="P1922" s="206"/>
      <c r="Q1922" s="206"/>
      <c r="R1922" s="206"/>
      <c r="S1922" s="206"/>
      <c r="T1922" s="204"/>
      <c r="U1922" s="207"/>
      <c r="V1922" s="204"/>
      <c r="W1922" s="204"/>
      <c r="X1922" s="207"/>
      <c r="Y1922" s="207"/>
      <c r="Z1922" s="204"/>
      <c r="AA1922" s="204"/>
      <c r="AB1922" s="204"/>
      <c r="AC1922" s="204"/>
    </row>
    <row r="1923" spans="1:29">
      <c r="A1923" s="204"/>
      <c r="B1923" s="204"/>
      <c r="C1923" s="204"/>
      <c r="D1923" s="204"/>
      <c r="E1923" s="204"/>
      <c r="F1923" s="204"/>
      <c r="G1923" s="204"/>
      <c r="H1923" s="204"/>
      <c r="I1923" s="204"/>
      <c r="J1923" s="204"/>
      <c r="K1923" s="204"/>
      <c r="L1923" s="205"/>
      <c r="M1923" s="205"/>
      <c r="N1923" s="204"/>
      <c r="O1923" s="204"/>
      <c r="P1923" s="206"/>
      <c r="Q1923" s="206"/>
      <c r="R1923" s="206"/>
      <c r="S1923" s="206"/>
      <c r="T1923" s="204"/>
      <c r="U1923" s="207"/>
      <c r="V1923" s="204"/>
      <c r="W1923" s="204"/>
      <c r="X1923" s="207"/>
      <c r="Y1923" s="207"/>
      <c r="Z1923" s="204"/>
      <c r="AA1923" s="204"/>
      <c r="AB1923" s="204"/>
      <c r="AC1923" s="204"/>
    </row>
    <row r="1924" spans="1:29">
      <c r="A1924" s="204"/>
      <c r="B1924" s="204"/>
      <c r="C1924" s="204"/>
      <c r="D1924" s="204"/>
      <c r="E1924" s="204"/>
      <c r="F1924" s="204"/>
      <c r="G1924" s="204"/>
      <c r="H1924" s="204"/>
      <c r="I1924" s="204"/>
      <c r="J1924" s="204"/>
      <c r="K1924" s="204"/>
      <c r="L1924" s="205"/>
      <c r="M1924" s="205"/>
      <c r="N1924" s="204"/>
      <c r="O1924" s="204"/>
      <c r="P1924" s="206"/>
      <c r="Q1924" s="206"/>
      <c r="R1924" s="206"/>
      <c r="S1924" s="206"/>
      <c r="T1924" s="204"/>
      <c r="U1924" s="207"/>
      <c r="V1924" s="204"/>
      <c r="W1924" s="204"/>
      <c r="X1924" s="207"/>
      <c r="Y1924" s="207"/>
      <c r="Z1924" s="204"/>
      <c r="AA1924" s="204"/>
      <c r="AB1924" s="204"/>
      <c r="AC1924" s="204"/>
    </row>
    <row r="1925" spans="1:29">
      <c r="A1925" s="204"/>
      <c r="B1925" s="204"/>
      <c r="C1925" s="204"/>
      <c r="D1925" s="204"/>
      <c r="E1925" s="204"/>
      <c r="F1925" s="204"/>
      <c r="G1925" s="204"/>
      <c r="H1925" s="204"/>
      <c r="I1925" s="204"/>
      <c r="J1925" s="204"/>
      <c r="K1925" s="204"/>
      <c r="L1925" s="205"/>
      <c r="M1925" s="205"/>
      <c r="N1925" s="204"/>
      <c r="O1925" s="204"/>
      <c r="P1925" s="206"/>
      <c r="Q1925" s="206"/>
      <c r="R1925" s="206"/>
      <c r="S1925" s="206"/>
      <c r="T1925" s="204"/>
      <c r="U1925" s="207"/>
      <c r="V1925" s="204"/>
      <c r="W1925" s="204"/>
      <c r="X1925" s="207"/>
      <c r="Y1925" s="207"/>
      <c r="Z1925" s="204"/>
      <c r="AA1925" s="204"/>
      <c r="AB1925" s="204"/>
      <c r="AC1925" s="204"/>
    </row>
    <row r="1926" spans="1:29">
      <c r="A1926" s="204"/>
      <c r="B1926" s="204"/>
      <c r="C1926" s="204"/>
      <c r="D1926" s="204"/>
      <c r="E1926" s="204"/>
      <c r="F1926" s="204"/>
      <c r="G1926" s="204"/>
      <c r="H1926" s="204"/>
      <c r="I1926" s="204"/>
      <c r="J1926" s="204"/>
      <c r="K1926" s="204"/>
      <c r="L1926" s="205"/>
      <c r="M1926" s="205"/>
      <c r="N1926" s="204"/>
      <c r="O1926" s="204"/>
      <c r="P1926" s="206"/>
      <c r="Q1926" s="206"/>
      <c r="R1926" s="206"/>
      <c r="S1926" s="206"/>
      <c r="T1926" s="204"/>
      <c r="U1926" s="207"/>
      <c r="V1926" s="204"/>
      <c r="W1926" s="204"/>
      <c r="X1926" s="207"/>
      <c r="Y1926" s="207"/>
      <c r="Z1926" s="204"/>
      <c r="AA1926" s="204"/>
      <c r="AB1926" s="204"/>
      <c r="AC1926" s="204"/>
    </row>
    <row r="1927" spans="1:29">
      <c r="A1927" s="204"/>
      <c r="B1927" s="204"/>
      <c r="C1927" s="204"/>
      <c r="D1927" s="204"/>
      <c r="E1927" s="204"/>
      <c r="F1927" s="204"/>
      <c r="G1927" s="204"/>
      <c r="H1927" s="204"/>
      <c r="I1927" s="204"/>
      <c r="J1927" s="204"/>
      <c r="K1927" s="204"/>
      <c r="L1927" s="205"/>
      <c r="M1927" s="205"/>
      <c r="N1927" s="204"/>
      <c r="O1927" s="204"/>
      <c r="P1927" s="206"/>
      <c r="Q1927" s="206"/>
      <c r="R1927" s="206"/>
      <c r="S1927" s="206"/>
      <c r="T1927" s="204"/>
      <c r="U1927" s="207"/>
      <c r="V1927" s="204"/>
      <c r="W1927" s="204"/>
      <c r="X1927" s="207"/>
      <c r="Y1927" s="207"/>
      <c r="Z1927" s="204"/>
      <c r="AA1927" s="204"/>
      <c r="AB1927" s="204"/>
      <c r="AC1927" s="204"/>
    </row>
    <row r="1928" spans="1:29">
      <c r="A1928" s="204"/>
      <c r="B1928" s="204"/>
      <c r="C1928" s="204"/>
      <c r="D1928" s="204"/>
      <c r="E1928" s="204"/>
      <c r="F1928" s="204"/>
      <c r="G1928" s="204"/>
      <c r="H1928" s="204"/>
      <c r="I1928" s="204"/>
      <c r="J1928" s="204"/>
      <c r="K1928" s="204"/>
      <c r="L1928" s="205"/>
      <c r="M1928" s="205"/>
      <c r="N1928" s="204"/>
      <c r="O1928" s="204"/>
      <c r="P1928" s="206"/>
      <c r="Q1928" s="206"/>
      <c r="R1928" s="206"/>
      <c r="S1928" s="206"/>
      <c r="T1928" s="204"/>
      <c r="U1928" s="207"/>
      <c r="V1928" s="204"/>
      <c r="W1928" s="204"/>
      <c r="X1928" s="207"/>
      <c r="Y1928" s="207"/>
      <c r="Z1928" s="204"/>
      <c r="AA1928" s="204"/>
      <c r="AB1928" s="204"/>
      <c r="AC1928" s="204"/>
    </row>
    <row r="1929" spans="1:29">
      <c r="A1929" s="204"/>
      <c r="B1929" s="204"/>
      <c r="C1929" s="204"/>
      <c r="D1929" s="204"/>
      <c r="E1929" s="204"/>
      <c r="F1929" s="204"/>
      <c r="G1929" s="204"/>
      <c r="H1929" s="204"/>
      <c r="I1929" s="204"/>
      <c r="J1929" s="204"/>
      <c r="K1929" s="204"/>
      <c r="L1929" s="205"/>
      <c r="M1929" s="205"/>
      <c r="N1929" s="204"/>
      <c r="O1929" s="204"/>
      <c r="P1929" s="206"/>
      <c r="Q1929" s="206"/>
      <c r="R1929" s="206"/>
      <c r="S1929" s="206"/>
      <c r="T1929" s="204"/>
      <c r="U1929" s="207"/>
      <c r="V1929" s="204"/>
      <c r="W1929" s="204"/>
      <c r="X1929" s="207"/>
      <c r="Y1929" s="207"/>
      <c r="Z1929" s="204"/>
      <c r="AA1929" s="204"/>
      <c r="AB1929" s="204"/>
      <c r="AC1929" s="204"/>
    </row>
    <row r="1930" spans="1:29">
      <c r="A1930" s="204"/>
      <c r="B1930" s="204"/>
      <c r="C1930" s="204"/>
      <c r="D1930" s="204"/>
      <c r="E1930" s="204"/>
      <c r="F1930" s="204"/>
      <c r="G1930" s="204"/>
      <c r="H1930" s="204"/>
      <c r="I1930" s="204"/>
      <c r="J1930" s="204"/>
      <c r="K1930" s="204"/>
      <c r="L1930" s="205"/>
      <c r="M1930" s="205"/>
      <c r="N1930" s="204"/>
      <c r="O1930" s="204"/>
      <c r="P1930" s="206"/>
      <c r="Q1930" s="206"/>
      <c r="R1930" s="206"/>
      <c r="S1930" s="206"/>
      <c r="T1930" s="204"/>
      <c r="U1930" s="207"/>
      <c r="V1930" s="204"/>
      <c r="W1930" s="204"/>
      <c r="X1930" s="207"/>
      <c r="Y1930" s="207"/>
      <c r="Z1930" s="204"/>
      <c r="AA1930" s="204"/>
      <c r="AB1930" s="204"/>
      <c r="AC1930" s="204"/>
    </row>
    <row r="1931" spans="1:29">
      <c r="A1931" s="204"/>
      <c r="B1931" s="204"/>
      <c r="C1931" s="204"/>
      <c r="D1931" s="204"/>
      <c r="E1931" s="204"/>
      <c r="F1931" s="204"/>
      <c r="G1931" s="204"/>
      <c r="H1931" s="204"/>
      <c r="I1931" s="204"/>
      <c r="J1931" s="204"/>
      <c r="K1931" s="204"/>
      <c r="L1931" s="205"/>
      <c r="M1931" s="205"/>
      <c r="N1931" s="204"/>
      <c r="O1931" s="204"/>
      <c r="P1931" s="206"/>
      <c r="Q1931" s="206"/>
      <c r="R1931" s="206"/>
      <c r="S1931" s="206"/>
      <c r="T1931" s="204"/>
      <c r="U1931" s="207"/>
      <c r="V1931" s="204"/>
      <c r="W1931" s="204"/>
      <c r="X1931" s="207"/>
      <c r="Y1931" s="207"/>
      <c r="Z1931" s="204"/>
      <c r="AA1931" s="204"/>
      <c r="AB1931" s="204"/>
      <c r="AC1931" s="204"/>
    </row>
    <row r="1932" spans="1:29">
      <c r="A1932" s="204"/>
      <c r="B1932" s="204"/>
      <c r="C1932" s="204"/>
      <c r="D1932" s="204"/>
      <c r="E1932" s="204"/>
      <c r="F1932" s="204"/>
      <c r="G1932" s="204"/>
      <c r="H1932" s="204"/>
      <c r="I1932" s="204"/>
      <c r="J1932" s="204"/>
      <c r="K1932" s="204"/>
      <c r="L1932" s="205"/>
      <c r="M1932" s="205"/>
      <c r="N1932" s="204"/>
      <c r="O1932" s="204"/>
      <c r="P1932" s="206"/>
      <c r="Q1932" s="206"/>
      <c r="R1932" s="206"/>
      <c r="S1932" s="206"/>
      <c r="T1932" s="204"/>
      <c r="U1932" s="207"/>
      <c r="V1932" s="204"/>
      <c r="W1932" s="204"/>
      <c r="X1932" s="207"/>
      <c r="Y1932" s="207"/>
      <c r="Z1932" s="204"/>
      <c r="AA1932" s="204"/>
      <c r="AB1932" s="204"/>
      <c r="AC1932" s="204"/>
    </row>
    <row r="1933" spans="1:29">
      <c r="A1933" s="204"/>
      <c r="B1933" s="204"/>
      <c r="C1933" s="204"/>
      <c r="D1933" s="204"/>
      <c r="E1933" s="204"/>
      <c r="F1933" s="204"/>
      <c r="G1933" s="204"/>
      <c r="H1933" s="204"/>
      <c r="I1933" s="204"/>
      <c r="J1933" s="204"/>
      <c r="K1933" s="204"/>
      <c r="L1933" s="205"/>
      <c r="M1933" s="205"/>
      <c r="N1933" s="204"/>
      <c r="O1933" s="204"/>
      <c r="P1933" s="206"/>
      <c r="Q1933" s="206"/>
      <c r="R1933" s="206"/>
      <c r="S1933" s="206"/>
      <c r="T1933" s="204"/>
      <c r="U1933" s="207"/>
      <c r="V1933" s="204"/>
      <c r="W1933" s="204"/>
      <c r="X1933" s="207"/>
      <c r="Y1933" s="207"/>
      <c r="Z1933" s="204"/>
      <c r="AA1933" s="204"/>
      <c r="AB1933" s="204"/>
      <c r="AC1933" s="204"/>
    </row>
    <row r="1934" spans="1:29">
      <c r="A1934" s="204"/>
      <c r="B1934" s="204"/>
      <c r="C1934" s="204"/>
      <c r="D1934" s="204"/>
      <c r="E1934" s="204"/>
      <c r="F1934" s="204"/>
      <c r="G1934" s="204"/>
      <c r="H1934" s="204"/>
      <c r="I1934" s="204"/>
      <c r="J1934" s="204"/>
      <c r="K1934" s="204"/>
      <c r="L1934" s="205"/>
      <c r="M1934" s="205"/>
      <c r="N1934" s="204"/>
      <c r="O1934" s="204"/>
      <c r="P1934" s="206"/>
      <c r="Q1934" s="206"/>
      <c r="R1934" s="206"/>
      <c r="S1934" s="206"/>
      <c r="T1934" s="204"/>
      <c r="U1934" s="207"/>
      <c r="V1934" s="204"/>
      <c r="W1934" s="204"/>
      <c r="X1934" s="207"/>
      <c r="Y1934" s="207"/>
      <c r="Z1934" s="204"/>
      <c r="AA1934" s="204"/>
      <c r="AB1934" s="204"/>
      <c r="AC1934" s="204"/>
    </row>
    <row r="1935" spans="1:29">
      <c r="A1935" s="204"/>
      <c r="B1935" s="204"/>
      <c r="C1935" s="204"/>
      <c r="D1935" s="204"/>
      <c r="E1935" s="204"/>
      <c r="F1935" s="204"/>
      <c r="G1935" s="204"/>
      <c r="H1935" s="204"/>
      <c r="I1935" s="204"/>
      <c r="J1935" s="204"/>
      <c r="K1935" s="204"/>
      <c r="L1935" s="205"/>
      <c r="M1935" s="205"/>
      <c r="N1935" s="204"/>
      <c r="O1935" s="204"/>
      <c r="P1935" s="206"/>
      <c r="Q1935" s="206"/>
      <c r="R1935" s="206"/>
      <c r="S1935" s="206"/>
      <c r="T1935" s="204"/>
      <c r="U1935" s="207"/>
      <c r="V1935" s="204"/>
      <c r="W1935" s="204"/>
      <c r="X1935" s="207"/>
      <c r="Y1935" s="207"/>
      <c r="Z1935" s="204"/>
      <c r="AA1935" s="204"/>
      <c r="AB1935" s="204"/>
      <c r="AC1935" s="204"/>
    </row>
    <row r="1936" spans="1:29">
      <c r="A1936" s="204"/>
      <c r="B1936" s="204"/>
      <c r="C1936" s="204"/>
      <c r="D1936" s="204"/>
      <c r="E1936" s="204"/>
      <c r="F1936" s="204"/>
      <c r="G1936" s="204"/>
      <c r="H1936" s="204"/>
      <c r="I1936" s="204"/>
      <c r="J1936" s="204"/>
      <c r="K1936" s="204"/>
      <c r="L1936" s="205"/>
      <c r="M1936" s="205"/>
      <c r="N1936" s="204"/>
      <c r="O1936" s="204"/>
      <c r="P1936" s="206"/>
      <c r="Q1936" s="206"/>
      <c r="R1936" s="206"/>
      <c r="S1936" s="206"/>
      <c r="T1936" s="204"/>
      <c r="U1936" s="207"/>
      <c r="V1936" s="204"/>
      <c r="W1936" s="204"/>
      <c r="X1936" s="207"/>
      <c r="Y1936" s="207"/>
      <c r="Z1936" s="204"/>
      <c r="AA1936" s="204"/>
      <c r="AB1936" s="204"/>
      <c r="AC1936" s="204"/>
    </row>
    <row r="1937" spans="1:29">
      <c r="A1937" s="204"/>
      <c r="B1937" s="204"/>
      <c r="C1937" s="204"/>
      <c r="D1937" s="204"/>
      <c r="E1937" s="204"/>
      <c r="F1937" s="204"/>
      <c r="G1937" s="204"/>
      <c r="H1937" s="204"/>
      <c r="I1937" s="204"/>
      <c r="J1937" s="204"/>
      <c r="K1937" s="204"/>
      <c r="L1937" s="205"/>
      <c r="M1937" s="205"/>
      <c r="N1937" s="204"/>
      <c r="O1937" s="204"/>
      <c r="P1937" s="206"/>
      <c r="Q1937" s="206"/>
      <c r="R1937" s="206"/>
      <c r="S1937" s="206"/>
      <c r="T1937" s="204"/>
      <c r="U1937" s="207"/>
      <c r="V1937" s="204"/>
      <c r="W1937" s="204"/>
      <c r="X1937" s="207"/>
      <c r="Y1937" s="207"/>
      <c r="Z1937" s="204"/>
      <c r="AA1937" s="204"/>
      <c r="AB1937" s="204"/>
      <c r="AC1937" s="204"/>
    </row>
    <row r="1938" spans="1:29">
      <c r="A1938" s="204"/>
      <c r="B1938" s="204"/>
      <c r="C1938" s="204"/>
      <c r="D1938" s="204"/>
      <c r="E1938" s="204"/>
      <c r="F1938" s="204"/>
      <c r="G1938" s="204"/>
      <c r="H1938" s="204"/>
      <c r="I1938" s="204"/>
      <c r="J1938" s="204"/>
      <c r="K1938" s="204"/>
      <c r="L1938" s="205"/>
      <c r="M1938" s="205"/>
      <c r="N1938" s="204"/>
      <c r="O1938" s="204"/>
      <c r="P1938" s="206"/>
      <c r="Q1938" s="206"/>
      <c r="R1938" s="206"/>
      <c r="S1938" s="206"/>
      <c r="T1938" s="204"/>
      <c r="U1938" s="207"/>
      <c r="V1938" s="204"/>
      <c r="W1938" s="204"/>
      <c r="X1938" s="207"/>
      <c r="Y1938" s="207"/>
      <c r="Z1938" s="204"/>
      <c r="AA1938" s="204"/>
      <c r="AB1938" s="204"/>
      <c r="AC1938" s="204"/>
    </row>
    <row r="1939" spans="1:29">
      <c r="A1939" s="204"/>
      <c r="B1939" s="204"/>
      <c r="C1939" s="204"/>
      <c r="D1939" s="204"/>
      <c r="E1939" s="204"/>
      <c r="F1939" s="204"/>
      <c r="G1939" s="204"/>
      <c r="H1939" s="204"/>
      <c r="I1939" s="204"/>
      <c r="J1939" s="204"/>
      <c r="K1939" s="204"/>
      <c r="L1939" s="205"/>
      <c r="M1939" s="205"/>
      <c r="N1939" s="204"/>
      <c r="O1939" s="204"/>
      <c r="P1939" s="206"/>
      <c r="Q1939" s="206"/>
      <c r="R1939" s="206"/>
      <c r="S1939" s="206"/>
      <c r="T1939" s="204"/>
      <c r="U1939" s="207"/>
      <c r="V1939" s="204"/>
      <c r="W1939" s="204"/>
      <c r="X1939" s="207"/>
      <c r="Y1939" s="207"/>
      <c r="Z1939" s="204"/>
      <c r="AA1939" s="204"/>
      <c r="AB1939" s="204"/>
      <c r="AC1939" s="204"/>
    </row>
    <row r="1940" spans="1:29">
      <c r="A1940" s="204"/>
      <c r="B1940" s="204"/>
      <c r="C1940" s="204"/>
      <c r="D1940" s="204"/>
      <c r="E1940" s="204"/>
      <c r="F1940" s="204"/>
      <c r="G1940" s="204"/>
      <c r="H1940" s="204"/>
      <c r="I1940" s="204"/>
      <c r="J1940" s="204"/>
      <c r="K1940" s="204"/>
      <c r="L1940" s="205"/>
      <c r="M1940" s="205"/>
      <c r="N1940" s="204"/>
      <c r="O1940" s="204"/>
      <c r="P1940" s="206"/>
      <c r="Q1940" s="206"/>
      <c r="R1940" s="206"/>
      <c r="S1940" s="206"/>
      <c r="T1940" s="204"/>
      <c r="U1940" s="207"/>
      <c r="V1940" s="204"/>
      <c r="W1940" s="204"/>
      <c r="X1940" s="207"/>
      <c r="Y1940" s="207"/>
      <c r="Z1940" s="204"/>
      <c r="AA1940" s="204"/>
      <c r="AB1940" s="204"/>
      <c r="AC1940" s="204"/>
    </row>
    <row r="1941" spans="1:29">
      <c r="A1941" s="204"/>
      <c r="B1941" s="204"/>
      <c r="C1941" s="204"/>
      <c r="D1941" s="204"/>
      <c r="E1941" s="204"/>
      <c r="F1941" s="204"/>
      <c r="G1941" s="204"/>
      <c r="H1941" s="204"/>
      <c r="I1941" s="204"/>
      <c r="J1941" s="204"/>
      <c r="K1941" s="204"/>
      <c r="L1941" s="205"/>
      <c r="M1941" s="205"/>
      <c r="N1941" s="204"/>
      <c r="O1941" s="204"/>
      <c r="P1941" s="206"/>
      <c r="Q1941" s="206"/>
      <c r="R1941" s="206"/>
      <c r="S1941" s="206"/>
      <c r="T1941" s="204"/>
      <c r="U1941" s="207"/>
      <c r="V1941" s="204"/>
      <c r="W1941" s="204"/>
      <c r="X1941" s="207"/>
      <c r="Y1941" s="207"/>
      <c r="Z1941" s="204"/>
      <c r="AA1941" s="204"/>
      <c r="AB1941" s="204"/>
      <c r="AC1941" s="204"/>
    </row>
    <row r="1942" spans="1:29">
      <c r="A1942" s="204"/>
      <c r="B1942" s="204"/>
      <c r="C1942" s="204"/>
      <c r="D1942" s="204"/>
      <c r="E1942" s="204"/>
      <c r="F1942" s="204"/>
      <c r="G1942" s="204"/>
      <c r="H1942" s="204"/>
      <c r="I1942" s="204"/>
      <c r="J1942" s="204"/>
      <c r="K1942" s="204"/>
      <c r="L1942" s="205"/>
      <c r="M1942" s="205"/>
      <c r="N1942" s="204"/>
      <c r="O1942" s="204"/>
      <c r="P1942" s="206"/>
      <c r="Q1942" s="206"/>
      <c r="R1942" s="206"/>
      <c r="S1942" s="206"/>
      <c r="T1942" s="204"/>
      <c r="U1942" s="207"/>
      <c r="V1942" s="204"/>
      <c r="W1942" s="204"/>
      <c r="X1942" s="207"/>
      <c r="Y1942" s="207"/>
      <c r="Z1942" s="204"/>
      <c r="AA1942" s="204"/>
      <c r="AB1942" s="204"/>
      <c r="AC1942" s="204"/>
    </row>
    <row r="1943" spans="1:29">
      <c r="A1943" s="204"/>
      <c r="B1943" s="204"/>
      <c r="C1943" s="204"/>
      <c r="D1943" s="204"/>
      <c r="E1943" s="204"/>
      <c r="F1943" s="204"/>
      <c r="G1943" s="204"/>
      <c r="H1943" s="204"/>
      <c r="I1943" s="204"/>
      <c r="J1943" s="204"/>
      <c r="K1943" s="204"/>
      <c r="L1943" s="205"/>
      <c r="M1943" s="205"/>
      <c r="N1943" s="204"/>
      <c r="O1943" s="204"/>
      <c r="P1943" s="206"/>
      <c r="Q1943" s="206"/>
      <c r="R1943" s="206"/>
      <c r="S1943" s="206"/>
      <c r="T1943" s="204"/>
      <c r="U1943" s="207"/>
      <c r="V1943" s="204"/>
      <c r="W1943" s="204"/>
      <c r="X1943" s="207"/>
      <c r="Y1943" s="207"/>
      <c r="Z1943" s="204"/>
      <c r="AA1943" s="204"/>
      <c r="AB1943" s="204"/>
      <c r="AC1943" s="204"/>
    </row>
    <row r="1944" spans="1:29">
      <c r="A1944" s="204"/>
      <c r="B1944" s="204"/>
      <c r="C1944" s="204"/>
      <c r="D1944" s="204"/>
      <c r="E1944" s="204"/>
      <c r="F1944" s="204"/>
      <c r="G1944" s="204"/>
      <c r="H1944" s="204"/>
      <c r="I1944" s="204"/>
      <c r="J1944" s="204"/>
      <c r="K1944" s="204"/>
      <c r="L1944" s="205"/>
      <c r="M1944" s="205"/>
      <c r="N1944" s="204"/>
      <c r="O1944" s="204"/>
      <c r="P1944" s="206"/>
      <c r="Q1944" s="206"/>
      <c r="R1944" s="206"/>
      <c r="S1944" s="206"/>
      <c r="T1944" s="204"/>
      <c r="U1944" s="207"/>
      <c r="V1944" s="204"/>
      <c r="W1944" s="204"/>
      <c r="X1944" s="207"/>
      <c r="Y1944" s="207"/>
      <c r="Z1944" s="204"/>
      <c r="AA1944" s="204"/>
      <c r="AB1944" s="204"/>
      <c r="AC1944" s="204"/>
    </row>
    <row r="1945" spans="1:29">
      <c r="A1945" s="204"/>
      <c r="B1945" s="204"/>
      <c r="C1945" s="204"/>
      <c r="D1945" s="204"/>
      <c r="E1945" s="204"/>
      <c r="F1945" s="204"/>
      <c r="G1945" s="204"/>
      <c r="H1945" s="204"/>
      <c r="I1945" s="204"/>
      <c r="J1945" s="204"/>
      <c r="K1945" s="204"/>
      <c r="L1945" s="205"/>
      <c r="M1945" s="205"/>
      <c r="N1945" s="204"/>
      <c r="O1945" s="204"/>
      <c r="P1945" s="206"/>
      <c r="Q1945" s="206"/>
      <c r="R1945" s="206"/>
      <c r="S1945" s="206"/>
      <c r="T1945" s="204"/>
      <c r="U1945" s="207"/>
      <c r="V1945" s="204"/>
      <c r="W1945" s="204"/>
      <c r="X1945" s="207"/>
      <c r="Y1945" s="207"/>
      <c r="Z1945" s="204"/>
      <c r="AA1945" s="204"/>
      <c r="AB1945" s="204"/>
      <c r="AC1945" s="204"/>
    </row>
    <row r="1946" spans="1:29">
      <c r="A1946" s="204"/>
      <c r="B1946" s="204"/>
      <c r="C1946" s="204"/>
      <c r="D1946" s="204"/>
      <c r="E1946" s="204"/>
      <c r="F1946" s="204"/>
      <c r="G1946" s="204"/>
      <c r="H1946" s="204"/>
      <c r="I1946" s="204"/>
      <c r="J1946" s="204"/>
      <c r="K1946" s="204"/>
      <c r="L1946" s="205"/>
      <c r="M1946" s="205"/>
      <c r="N1946" s="204"/>
      <c r="O1946" s="204"/>
      <c r="P1946" s="206"/>
      <c r="Q1946" s="206"/>
      <c r="R1946" s="206"/>
      <c r="S1946" s="206"/>
      <c r="T1946" s="204"/>
      <c r="U1946" s="207"/>
      <c r="V1946" s="204"/>
      <c r="W1946" s="204"/>
      <c r="X1946" s="207"/>
      <c r="Y1946" s="207"/>
      <c r="Z1946" s="204"/>
      <c r="AA1946" s="204"/>
      <c r="AB1946" s="204"/>
      <c r="AC1946" s="204"/>
    </row>
    <row r="1947" spans="1:29">
      <c r="A1947" s="204"/>
      <c r="B1947" s="204"/>
      <c r="C1947" s="204"/>
      <c r="D1947" s="204"/>
      <c r="E1947" s="204"/>
      <c r="F1947" s="204"/>
      <c r="G1947" s="204"/>
      <c r="H1947" s="204"/>
      <c r="I1947" s="204"/>
      <c r="J1947" s="204"/>
      <c r="K1947" s="204"/>
      <c r="L1947" s="205"/>
      <c r="M1947" s="205"/>
      <c r="N1947" s="204"/>
      <c r="O1947" s="204"/>
      <c r="P1947" s="206"/>
      <c r="Q1947" s="206"/>
      <c r="R1947" s="206"/>
      <c r="S1947" s="206"/>
      <c r="T1947" s="204"/>
      <c r="U1947" s="207"/>
      <c r="V1947" s="204"/>
      <c r="W1947" s="204"/>
      <c r="X1947" s="207"/>
      <c r="Y1947" s="207"/>
      <c r="Z1947" s="204"/>
      <c r="AA1947" s="204"/>
      <c r="AB1947" s="204"/>
      <c r="AC1947" s="204"/>
    </row>
    <row r="1948" spans="1:29">
      <c r="A1948" s="204"/>
      <c r="B1948" s="204"/>
      <c r="C1948" s="204"/>
      <c r="D1948" s="204"/>
      <c r="E1948" s="204"/>
      <c r="F1948" s="204"/>
      <c r="G1948" s="204"/>
      <c r="H1948" s="204"/>
      <c r="I1948" s="204"/>
      <c r="J1948" s="204"/>
      <c r="K1948" s="204"/>
      <c r="L1948" s="205"/>
      <c r="M1948" s="205"/>
      <c r="N1948" s="204"/>
      <c r="O1948" s="204"/>
      <c r="P1948" s="206"/>
      <c r="Q1948" s="206"/>
      <c r="R1948" s="206"/>
      <c r="S1948" s="206"/>
      <c r="T1948" s="204"/>
      <c r="U1948" s="207"/>
      <c r="V1948" s="204"/>
      <c r="W1948" s="204"/>
      <c r="X1948" s="207"/>
      <c r="Y1948" s="207"/>
      <c r="Z1948" s="204"/>
      <c r="AA1948" s="204"/>
      <c r="AB1948" s="204"/>
      <c r="AC1948" s="204"/>
    </row>
    <row r="1949" spans="1:29">
      <c r="A1949" s="204"/>
      <c r="B1949" s="204"/>
      <c r="C1949" s="204"/>
      <c r="D1949" s="204"/>
      <c r="E1949" s="204"/>
      <c r="F1949" s="204"/>
      <c r="G1949" s="204"/>
      <c r="H1949" s="204"/>
      <c r="I1949" s="204"/>
      <c r="J1949" s="204"/>
      <c r="K1949" s="204"/>
      <c r="L1949" s="205"/>
      <c r="M1949" s="205"/>
      <c r="N1949" s="204"/>
      <c r="O1949" s="204"/>
      <c r="P1949" s="206"/>
      <c r="Q1949" s="206"/>
      <c r="R1949" s="206"/>
      <c r="S1949" s="206"/>
      <c r="T1949" s="204"/>
      <c r="U1949" s="207"/>
      <c r="V1949" s="204"/>
      <c r="W1949" s="204"/>
      <c r="X1949" s="207"/>
      <c r="Y1949" s="207"/>
      <c r="Z1949" s="204"/>
      <c r="AA1949" s="204"/>
      <c r="AB1949" s="204"/>
      <c r="AC1949" s="204"/>
    </row>
    <row r="1950" spans="1:29">
      <c r="A1950" s="204"/>
      <c r="B1950" s="204"/>
      <c r="C1950" s="204"/>
      <c r="D1950" s="204"/>
      <c r="E1950" s="204"/>
      <c r="F1950" s="204"/>
      <c r="G1950" s="204"/>
      <c r="H1950" s="204"/>
      <c r="I1950" s="204"/>
      <c r="J1950" s="204"/>
      <c r="K1950" s="204"/>
      <c r="L1950" s="205"/>
      <c r="M1950" s="205"/>
      <c r="N1950" s="204"/>
      <c r="O1950" s="204"/>
      <c r="P1950" s="206"/>
      <c r="Q1950" s="206"/>
      <c r="R1950" s="206"/>
      <c r="S1950" s="206"/>
      <c r="T1950" s="204"/>
      <c r="U1950" s="207"/>
      <c r="V1950" s="204"/>
      <c r="W1950" s="204"/>
      <c r="X1950" s="207"/>
      <c r="Y1950" s="207"/>
      <c r="Z1950" s="204"/>
      <c r="AA1950" s="204"/>
      <c r="AB1950" s="204"/>
      <c r="AC1950" s="204"/>
    </row>
    <row r="1951" spans="1:29">
      <c r="A1951" s="204"/>
      <c r="B1951" s="204"/>
      <c r="C1951" s="204"/>
      <c r="D1951" s="204"/>
      <c r="E1951" s="204"/>
      <c r="F1951" s="204"/>
      <c r="G1951" s="204"/>
      <c r="H1951" s="204"/>
      <c r="I1951" s="204"/>
      <c r="J1951" s="204"/>
      <c r="K1951" s="204"/>
      <c r="L1951" s="205"/>
      <c r="M1951" s="205"/>
      <c r="N1951" s="204"/>
      <c r="O1951" s="204"/>
      <c r="P1951" s="206"/>
      <c r="Q1951" s="206"/>
      <c r="R1951" s="206"/>
      <c r="S1951" s="206"/>
      <c r="T1951" s="204"/>
      <c r="U1951" s="207"/>
      <c r="V1951" s="204"/>
      <c r="W1951" s="204"/>
      <c r="X1951" s="207"/>
      <c r="Y1951" s="207"/>
      <c r="Z1951" s="204"/>
      <c r="AA1951" s="204"/>
      <c r="AB1951" s="204"/>
      <c r="AC1951" s="204"/>
    </row>
    <row r="1952" spans="1:29">
      <c r="A1952" s="204"/>
      <c r="B1952" s="204"/>
      <c r="C1952" s="204"/>
      <c r="D1952" s="204"/>
      <c r="E1952" s="204"/>
      <c r="F1952" s="204"/>
      <c r="G1952" s="204"/>
      <c r="H1952" s="204"/>
      <c r="I1952" s="204"/>
      <c r="J1952" s="204"/>
      <c r="K1952" s="204"/>
      <c r="L1952" s="205"/>
      <c r="M1952" s="205"/>
      <c r="N1952" s="204"/>
      <c r="O1952" s="204"/>
      <c r="P1952" s="206"/>
      <c r="Q1952" s="206"/>
      <c r="R1952" s="206"/>
      <c r="S1952" s="206"/>
      <c r="T1952" s="204"/>
      <c r="U1952" s="207"/>
      <c r="V1952" s="204"/>
      <c r="W1952" s="204"/>
      <c r="X1952" s="207"/>
      <c r="Y1952" s="207"/>
      <c r="Z1952" s="204"/>
      <c r="AA1952" s="204"/>
      <c r="AB1952" s="204"/>
      <c r="AC1952" s="204"/>
    </row>
    <row r="1953" spans="1:29">
      <c r="A1953" s="204"/>
      <c r="B1953" s="204"/>
      <c r="C1953" s="204"/>
      <c r="D1953" s="204"/>
      <c r="E1953" s="204"/>
      <c r="F1953" s="204"/>
      <c r="G1953" s="204"/>
      <c r="H1953" s="204"/>
      <c r="I1953" s="204"/>
      <c r="J1953" s="204"/>
      <c r="K1953" s="204"/>
      <c r="L1953" s="205"/>
      <c r="M1953" s="205"/>
      <c r="N1953" s="204"/>
      <c r="O1953" s="204"/>
      <c r="P1953" s="206"/>
      <c r="Q1953" s="206"/>
      <c r="R1953" s="206"/>
      <c r="S1953" s="206"/>
      <c r="T1953" s="204"/>
      <c r="U1953" s="207"/>
      <c r="V1953" s="204"/>
      <c r="W1953" s="204"/>
      <c r="X1953" s="207"/>
      <c r="Y1953" s="207"/>
      <c r="Z1953" s="204"/>
      <c r="AA1953" s="204"/>
      <c r="AB1953" s="204"/>
      <c r="AC1953" s="204"/>
    </row>
    <row r="1954" spans="1:29">
      <c r="A1954" s="204"/>
      <c r="B1954" s="204"/>
      <c r="C1954" s="204"/>
      <c r="D1954" s="204"/>
      <c r="E1954" s="204"/>
      <c r="F1954" s="204"/>
      <c r="G1954" s="204"/>
      <c r="H1954" s="204"/>
      <c r="I1954" s="204"/>
      <c r="J1954" s="204"/>
      <c r="K1954" s="204"/>
      <c r="L1954" s="205"/>
      <c r="M1954" s="205"/>
      <c r="N1954" s="204"/>
      <c r="O1954" s="204"/>
      <c r="P1954" s="206"/>
      <c r="Q1954" s="206"/>
      <c r="R1954" s="206"/>
      <c r="S1954" s="206"/>
      <c r="T1954" s="204"/>
      <c r="U1954" s="207"/>
      <c r="V1954" s="204"/>
      <c r="W1954" s="204"/>
      <c r="X1954" s="207"/>
      <c r="Y1954" s="207"/>
      <c r="Z1954" s="204"/>
      <c r="AA1954" s="204"/>
      <c r="AB1954" s="204"/>
      <c r="AC1954" s="204"/>
    </row>
    <row r="1955" spans="1:29">
      <c r="A1955" s="204"/>
      <c r="B1955" s="204"/>
      <c r="C1955" s="204"/>
      <c r="D1955" s="204"/>
      <c r="E1955" s="204"/>
      <c r="F1955" s="204"/>
      <c r="G1955" s="204"/>
      <c r="H1955" s="204"/>
      <c r="I1955" s="204"/>
      <c r="J1955" s="204"/>
      <c r="K1955" s="204"/>
      <c r="L1955" s="205"/>
      <c r="M1955" s="205"/>
      <c r="N1955" s="204"/>
      <c r="O1955" s="204"/>
      <c r="P1955" s="206"/>
      <c r="Q1955" s="206"/>
      <c r="R1955" s="206"/>
      <c r="S1955" s="206"/>
      <c r="T1955" s="204"/>
      <c r="U1955" s="207"/>
      <c r="V1955" s="204"/>
      <c r="W1955" s="204"/>
      <c r="X1955" s="207"/>
      <c r="Y1955" s="207"/>
      <c r="Z1955" s="204"/>
      <c r="AA1955" s="204"/>
      <c r="AB1955" s="204"/>
      <c r="AC1955" s="204"/>
    </row>
    <row r="1956" spans="1:29">
      <c r="A1956" s="204"/>
      <c r="B1956" s="204"/>
      <c r="C1956" s="204"/>
      <c r="D1956" s="204"/>
      <c r="E1956" s="204"/>
      <c r="F1956" s="204"/>
      <c r="G1956" s="204"/>
      <c r="H1956" s="204"/>
      <c r="I1956" s="204"/>
      <c r="J1956" s="204"/>
      <c r="K1956" s="204"/>
      <c r="L1956" s="205"/>
      <c r="M1956" s="205"/>
      <c r="N1956" s="204"/>
      <c r="O1956" s="204"/>
      <c r="P1956" s="206"/>
      <c r="Q1956" s="206"/>
      <c r="R1956" s="206"/>
      <c r="S1956" s="206"/>
      <c r="T1956" s="204"/>
      <c r="U1956" s="207"/>
      <c r="V1956" s="204"/>
      <c r="W1956" s="204"/>
      <c r="X1956" s="207"/>
      <c r="Y1956" s="207"/>
      <c r="Z1956" s="204"/>
      <c r="AA1956" s="204"/>
      <c r="AB1956" s="204"/>
      <c r="AC1956" s="204"/>
    </row>
    <row r="1957" spans="1:29">
      <c r="A1957" s="204"/>
      <c r="B1957" s="204"/>
      <c r="C1957" s="204"/>
      <c r="D1957" s="204"/>
      <c r="E1957" s="204"/>
      <c r="F1957" s="204"/>
      <c r="G1957" s="204"/>
      <c r="H1957" s="204"/>
      <c r="I1957" s="204"/>
      <c r="J1957" s="204"/>
      <c r="K1957" s="204"/>
      <c r="L1957" s="205"/>
      <c r="M1957" s="205"/>
      <c r="N1957" s="204"/>
      <c r="O1957" s="204"/>
      <c r="P1957" s="206"/>
      <c r="Q1957" s="206"/>
      <c r="R1957" s="206"/>
      <c r="S1957" s="206"/>
      <c r="T1957" s="204"/>
      <c r="U1957" s="207"/>
      <c r="V1957" s="204"/>
      <c r="W1957" s="204"/>
      <c r="X1957" s="207"/>
      <c r="Y1957" s="207"/>
      <c r="Z1957" s="204"/>
      <c r="AA1957" s="204"/>
      <c r="AB1957" s="204"/>
      <c r="AC1957" s="204"/>
    </row>
    <row r="1958" spans="1:29">
      <c r="A1958" s="204"/>
      <c r="B1958" s="204"/>
      <c r="C1958" s="204"/>
      <c r="D1958" s="204"/>
      <c r="E1958" s="204"/>
      <c r="F1958" s="204"/>
      <c r="G1958" s="204"/>
      <c r="H1958" s="204"/>
      <c r="I1958" s="204"/>
      <c r="J1958" s="204"/>
      <c r="K1958" s="204"/>
      <c r="L1958" s="205"/>
      <c r="M1958" s="205"/>
      <c r="N1958" s="204"/>
      <c r="O1958" s="204"/>
      <c r="P1958" s="206"/>
      <c r="Q1958" s="206"/>
      <c r="R1958" s="206"/>
      <c r="S1958" s="206"/>
      <c r="T1958" s="204"/>
      <c r="U1958" s="207"/>
      <c r="V1958" s="204"/>
      <c r="W1958" s="204"/>
      <c r="X1958" s="207"/>
      <c r="Y1958" s="207"/>
      <c r="Z1958" s="204"/>
      <c r="AA1958" s="204"/>
      <c r="AB1958" s="204"/>
      <c r="AC1958" s="204"/>
    </row>
    <row r="1959" spans="1:29">
      <c r="A1959" s="204"/>
      <c r="B1959" s="204"/>
      <c r="C1959" s="204"/>
      <c r="D1959" s="204"/>
      <c r="E1959" s="204"/>
      <c r="F1959" s="204"/>
      <c r="G1959" s="204"/>
      <c r="H1959" s="204"/>
      <c r="I1959" s="204"/>
      <c r="J1959" s="204"/>
      <c r="K1959" s="204"/>
      <c r="L1959" s="205"/>
      <c r="M1959" s="205"/>
      <c r="N1959" s="204"/>
      <c r="O1959" s="204"/>
      <c r="P1959" s="206"/>
      <c r="Q1959" s="206"/>
      <c r="R1959" s="206"/>
      <c r="S1959" s="206"/>
      <c r="T1959" s="204"/>
      <c r="U1959" s="207"/>
      <c r="V1959" s="204"/>
      <c r="W1959" s="204"/>
      <c r="X1959" s="207"/>
      <c r="Y1959" s="207"/>
      <c r="Z1959" s="204"/>
      <c r="AA1959" s="204"/>
      <c r="AB1959" s="204"/>
      <c r="AC1959" s="204"/>
    </row>
    <row r="1960" spans="1:29">
      <c r="A1960" s="204"/>
      <c r="B1960" s="204"/>
      <c r="C1960" s="204"/>
      <c r="D1960" s="204"/>
      <c r="E1960" s="204"/>
      <c r="F1960" s="204"/>
      <c r="G1960" s="204"/>
      <c r="H1960" s="204"/>
      <c r="I1960" s="204"/>
      <c r="J1960" s="204"/>
      <c r="K1960" s="204"/>
      <c r="L1960" s="205"/>
      <c r="M1960" s="205"/>
      <c r="N1960" s="204"/>
      <c r="O1960" s="204"/>
      <c r="P1960" s="206"/>
      <c r="Q1960" s="206"/>
      <c r="R1960" s="206"/>
      <c r="S1960" s="206"/>
      <c r="T1960" s="204"/>
      <c r="U1960" s="207"/>
      <c r="V1960" s="204"/>
      <c r="W1960" s="204"/>
      <c r="X1960" s="207"/>
      <c r="Y1960" s="207"/>
      <c r="Z1960" s="204"/>
      <c r="AA1960" s="204"/>
      <c r="AB1960" s="204"/>
      <c r="AC1960" s="204"/>
    </row>
    <row r="1961" spans="1:29">
      <c r="A1961" s="204"/>
      <c r="B1961" s="204"/>
      <c r="C1961" s="204"/>
      <c r="D1961" s="204"/>
      <c r="E1961" s="204"/>
      <c r="F1961" s="204"/>
      <c r="G1961" s="204"/>
      <c r="H1961" s="204"/>
      <c r="I1961" s="204"/>
      <c r="J1961" s="204"/>
      <c r="K1961" s="204"/>
      <c r="L1961" s="205"/>
      <c r="M1961" s="205"/>
      <c r="N1961" s="204"/>
      <c r="O1961" s="204"/>
      <c r="P1961" s="206"/>
      <c r="Q1961" s="206"/>
      <c r="R1961" s="206"/>
      <c r="S1961" s="206"/>
      <c r="T1961" s="204"/>
      <c r="U1961" s="207"/>
      <c r="V1961" s="204"/>
      <c r="W1961" s="204"/>
      <c r="X1961" s="207"/>
      <c r="Y1961" s="207"/>
      <c r="Z1961" s="204"/>
      <c r="AA1961" s="204"/>
      <c r="AB1961" s="204"/>
      <c r="AC1961" s="204"/>
    </row>
    <row r="1962" spans="1:29">
      <c r="A1962" s="204"/>
      <c r="B1962" s="204"/>
      <c r="C1962" s="204"/>
      <c r="D1962" s="204"/>
      <c r="E1962" s="204"/>
      <c r="F1962" s="204"/>
      <c r="G1962" s="204"/>
      <c r="H1962" s="204"/>
      <c r="I1962" s="204"/>
      <c r="J1962" s="204"/>
      <c r="K1962" s="204"/>
      <c r="L1962" s="205"/>
      <c r="M1962" s="205"/>
      <c r="N1962" s="204"/>
      <c r="O1962" s="204"/>
      <c r="P1962" s="206"/>
      <c r="Q1962" s="206"/>
      <c r="R1962" s="206"/>
      <c r="S1962" s="206"/>
      <c r="T1962" s="204"/>
      <c r="U1962" s="207"/>
      <c r="V1962" s="204"/>
      <c r="W1962" s="204"/>
      <c r="X1962" s="207"/>
      <c r="Y1962" s="207"/>
      <c r="Z1962" s="204"/>
      <c r="AA1962" s="204"/>
      <c r="AB1962" s="204"/>
      <c r="AC1962" s="204"/>
    </row>
    <row r="1963" spans="1:29">
      <c r="A1963" s="204"/>
      <c r="B1963" s="204"/>
      <c r="C1963" s="204"/>
      <c r="D1963" s="204"/>
      <c r="E1963" s="204"/>
      <c r="F1963" s="204"/>
      <c r="G1963" s="204"/>
      <c r="H1963" s="204"/>
      <c r="I1963" s="204"/>
      <c r="J1963" s="204"/>
      <c r="K1963" s="204"/>
      <c r="L1963" s="205"/>
      <c r="M1963" s="205"/>
      <c r="N1963" s="204"/>
      <c r="O1963" s="204"/>
      <c r="P1963" s="206"/>
      <c r="Q1963" s="206"/>
      <c r="R1963" s="206"/>
      <c r="S1963" s="206"/>
      <c r="T1963" s="204"/>
      <c r="U1963" s="207"/>
      <c r="V1963" s="204"/>
      <c r="W1963" s="204"/>
      <c r="X1963" s="207"/>
      <c r="Y1963" s="207"/>
      <c r="Z1963" s="204"/>
      <c r="AA1963" s="204"/>
      <c r="AB1963" s="204"/>
      <c r="AC1963" s="204"/>
    </row>
    <row r="1964" spans="1:29">
      <c r="A1964" s="204"/>
      <c r="B1964" s="204"/>
      <c r="C1964" s="204"/>
      <c r="D1964" s="204"/>
      <c r="E1964" s="204"/>
      <c r="F1964" s="204"/>
      <c r="G1964" s="204"/>
      <c r="H1964" s="204"/>
      <c r="I1964" s="204"/>
      <c r="J1964" s="204"/>
      <c r="K1964" s="204"/>
      <c r="L1964" s="205"/>
      <c r="M1964" s="205"/>
      <c r="N1964" s="204"/>
      <c r="O1964" s="204"/>
      <c r="P1964" s="206"/>
      <c r="Q1964" s="206"/>
      <c r="R1964" s="206"/>
      <c r="S1964" s="206"/>
      <c r="T1964" s="204"/>
      <c r="U1964" s="207"/>
      <c r="V1964" s="204"/>
      <c r="W1964" s="204"/>
      <c r="X1964" s="207"/>
      <c r="Y1964" s="207"/>
      <c r="Z1964" s="204"/>
      <c r="AA1964" s="204"/>
      <c r="AB1964" s="204"/>
      <c r="AC1964" s="204"/>
    </row>
    <row r="1965" spans="1:29">
      <c r="A1965" s="204"/>
      <c r="B1965" s="204"/>
      <c r="C1965" s="204"/>
      <c r="D1965" s="204"/>
      <c r="E1965" s="204"/>
      <c r="F1965" s="204"/>
      <c r="G1965" s="204"/>
      <c r="H1965" s="204"/>
      <c r="I1965" s="204"/>
      <c r="J1965" s="204"/>
      <c r="K1965" s="204"/>
      <c r="L1965" s="205"/>
      <c r="M1965" s="205"/>
      <c r="N1965" s="204"/>
      <c r="O1965" s="204"/>
      <c r="P1965" s="206"/>
      <c r="Q1965" s="206"/>
      <c r="R1965" s="206"/>
      <c r="S1965" s="206"/>
      <c r="T1965" s="204"/>
      <c r="U1965" s="207"/>
      <c r="V1965" s="204"/>
      <c r="W1965" s="204"/>
      <c r="X1965" s="207"/>
      <c r="Y1965" s="207"/>
      <c r="Z1965" s="204"/>
      <c r="AA1965" s="204"/>
      <c r="AB1965" s="204"/>
      <c r="AC1965" s="204"/>
    </row>
    <row r="1966" spans="1:29">
      <c r="A1966" s="204"/>
      <c r="B1966" s="204"/>
      <c r="C1966" s="204"/>
      <c r="D1966" s="204"/>
      <c r="E1966" s="204"/>
      <c r="F1966" s="204"/>
      <c r="G1966" s="204"/>
      <c r="H1966" s="204"/>
      <c r="I1966" s="204"/>
      <c r="J1966" s="204"/>
      <c r="K1966" s="204"/>
      <c r="L1966" s="205"/>
      <c r="M1966" s="205"/>
      <c r="N1966" s="204"/>
      <c r="O1966" s="204"/>
      <c r="P1966" s="206"/>
      <c r="Q1966" s="206"/>
      <c r="R1966" s="206"/>
      <c r="S1966" s="206"/>
      <c r="T1966" s="204"/>
      <c r="U1966" s="207"/>
      <c r="V1966" s="204"/>
      <c r="W1966" s="204"/>
      <c r="X1966" s="207"/>
      <c r="Y1966" s="207"/>
      <c r="Z1966" s="204"/>
      <c r="AA1966" s="204"/>
      <c r="AB1966" s="204"/>
      <c r="AC1966" s="204"/>
    </row>
    <row r="1967" spans="1:29">
      <c r="A1967" s="204"/>
      <c r="B1967" s="204"/>
      <c r="C1967" s="204"/>
      <c r="D1967" s="204"/>
      <c r="E1967" s="204"/>
      <c r="F1967" s="204"/>
      <c r="G1967" s="204"/>
      <c r="H1967" s="204"/>
      <c r="I1967" s="204"/>
      <c r="J1967" s="204"/>
      <c r="K1967" s="204"/>
      <c r="L1967" s="205"/>
      <c r="M1967" s="205"/>
      <c r="N1967" s="204"/>
      <c r="O1967" s="204"/>
      <c r="P1967" s="206"/>
      <c r="Q1967" s="206"/>
      <c r="R1967" s="206"/>
      <c r="S1967" s="206"/>
      <c r="T1967" s="204"/>
      <c r="U1967" s="207"/>
      <c r="V1967" s="204"/>
      <c r="W1967" s="204"/>
      <c r="X1967" s="207"/>
      <c r="Y1967" s="207"/>
      <c r="Z1967" s="204"/>
      <c r="AA1967" s="204"/>
      <c r="AB1967" s="204"/>
      <c r="AC1967" s="204"/>
    </row>
    <row r="1968" spans="1:29">
      <c r="A1968" s="204"/>
      <c r="B1968" s="204"/>
      <c r="C1968" s="204"/>
      <c r="D1968" s="204"/>
      <c r="E1968" s="204"/>
      <c r="F1968" s="204"/>
      <c r="G1968" s="204"/>
      <c r="H1968" s="204"/>
      <c r="I1968" s="204"/>
      <c r="J1968" s="204"/>
      <c r="K1968" s="204"/>
      <c r="L1968" s="205"/>
      <c r="M1968" s="205"/>
      <c r="N1968" s="204"/>
      <c r="O1968" s="204"/>
      <c r="P1968" s="206"/>
      <c r="Q1968" s="206"/>
      <c r="R1968" s="206"/>
      <c r="S1968" s="206"/>
      <c r="T1968" s="204"/>
      <c r="U1968" s="207"/>
      <c r="V1968" s="204"/>
      <c r="W1968" s="204"/>
      <c r="X1968" s="207"/>
      <c r="Y1968" s="207"/>
      <c r="Z1968" s="204"/>
      <c r="AA1968" s="204"/>
      <c r="AB1968" s="204"/>
      <c r="AC1968" s="204"/>
    </row>
    <row r="1969" spans="1:29">
      <c r="A1969" s="204"/>
      <c r="B1969" s="204"/>
      <c r="C1969" s="204"/>
      <c r="D1969" s="204"/>
      <c r="E1969" s="204"/>
      <c r="F1969" s="204"/>
      <c r="G1969" s="204"/>
      <c r="H1969" s="204"/>
      <c r="I1969" s="204"/>
      <c r="J1969" s="204"/>
      <c r="K1969" s="204"/>
      <c r="L1969" s="205"/>
      <c r="M1969" s="205"/>
      <c r="N1969" s="204"/>
      <c r="O1969" s="204"/>
      <c r="P1969" s="206"/>
      <c r="Q1969" s="206"/>
      <c r="R1969" s="206"/>
      <c r="S1969" s="206"/>
      <c r="T1969" s="204"/>
      <c r="U1969" s="207"/>
      <c r="V1969" s="204"/>
      <c r="W1969" s="204"/>
      <c r="X1969" s="207"/>
      <c r="Y1969" s="207"/>
      <c r="Z1969" s="204"/>
      <c r="AA1969" s="204"/>
      <c r="AB1969" s="204"/>
      <c r="AC1969" s="204"/>
    </row>
    <row r="1970" spans="1:29">
      <c r="A1970" s="204"/>
      <c r="B1970" s="204"/>
      <c r="C1970" s="204"/>
      <c r="D1970" s="204"/>
      <c r="E1970" s="204"/>
      <c r="F1970" s="204"/>
      <c r="G1970" s="204"/>
      <c r="H1970" s="204"/>
      <c r="I1970" s="204"/>
      <c r="J1970" s="204"/>
      <c r="K1970" s="204"/>
      <c r="L1970" s="205"/>
      <c r="M1970" s="205"/>
      <c r="N1970" s="204"/>
      <c r="O1970" s="204"/>
      <c r="P1970" s="206"/>
      <c r="Q1970" s="206"/>
      <c r="R1970" s="206"/>
      <c r="S1970" s="206"/>
      <c r="T1970" s="204"/>
      <c r="U1970" s="207"/>
      <c r="V1970" s="204"/>
      <c r="W1970" s="204"/>
      <c r="X1970" s="207"/>
      <c r="Y1970" s="207"/>
      <c r="Z1970" s="204"/>
      <c r="AA1970" s="204"/>
      <c r="AB1970" s="204"/>
      <c r="AC1970" s="204"/>
    </row>
    <row r="1971" spans="1:29">
      <c r="A1971" s="204"/>
      <c r="B1971" s="204"/>
      <c r="C1971" s="204"/>
      <c r="D1971" s="204"/>
      <c r="E1971" s="204"/>
      <c r="F1971" s="204"/>
      <c r="G1971" s="204"/>
      <c r="H1971" s="204"/>
      <c r="I1971" s="204"/>
      <c r="J1971" s="204"/>
      <c r="K1971" s="204"/>
      <c r="L1971" s="205"/>
      <c r="M1971" s="205"/>
      <c r="N1971" s="204"/>
      <c r="O1971" s="204"/>
      <c r="P1971" s="206"/>
      <c r="Q1971" s="206"/>
      <c r="R1971" s="206"/>
      <c r="S1971" s="206"/>
      <c r="T1971" s="204"/>
      <c r="U1971" s="207"/>
      <c r="V1971" s="204"/>
      <c r="W1971" s="204"/>
      <c r="X1971" s="207"/>
      <c r="Y1971" s="207"/>
      <c r="Z1971" s="204"/>
      <c r="AA1971" s="204"/>
      <c r="AB1971" s="204"/>
      <c r="AC1971" s="204"/>
    </row>
    <row r="1972" spans="1:29">
      <c r="A1972" s="204"/>
      <c r="B1972" s="204"/>
      <c r="C1972" s="204"/>
      <c r="D1972" s="204"/>
      <c r="E1972" s="204"/>
      <c r="F1972" s="204"/>
      <c r="G1972" s="204"/>
      <c r="H1972" s="204"/>
      <c r="I1972" s="204"/>
      <c r="J1972" s="204"/>
      <c r="K1972" s="204"/>
      <c r="L1972" s="205"/>
      <c r="M1972" s="205"/>
      <c r="N1972" s="204"/>
      <c r="O1972" s="204"/>
      <c r="P1972" s="206"/>
      <c r="Q1972" s="206"/>
      <c r="R1972" s="206"/>
      <c r="S1972" s="206"/>
      <c r="T1972" s="204"/>
      <c r="U1972" s="207"/>
      <c r="V1972" s="204"/>
      <c r="W1972" s="204"/>
      <c r="X1972" s="207"/>
      <c r="Y1972" s="207"/>
      <c r="Z1972" s="204"/>
      <c r="AA1972" s="204"/>
      <c r="AB1972" s="204"/>
      <c r="AC1972" s="204"/>
    </row>
    <row r="1973" spans="1:29">
      <c r="A1973" s="204"/>
      <c r="B1973" s="204"/>
      <c r="C1973" s="204"/>
      <c r="D1973" s="204"/>
      <c r="E1973" s="204"/>
      <c r="F1973" s="204"/>
      <c r="G1973" s="204"/>
      <c r="H1973" s="204"/>
      <c r="I1973" s="204"/>
      <c r="J1973" s="204"/>
      <c r="K1973" s="204"/>
      <c r="L1973" s="205"/>
      <c r="M1973" s="205"/>
      <c r="N1973" s="204"/>
      <c r="O1973" s="204"/>
      <c r="P1973" s="206"/>
      <c r="Q1973" s="206"/>
      <c r="R1973" s="206"/>
      <c r="S1973" s="206"/>
      <c r="T1973" s="204"/>
      <c r="U1973" s="207"/>
      <c r="V1973" s="204"/>
      <c r="W1973" s="204"/>
      <c r="X1973" s="207"/>
      <c r="Y1973" s="207"/>
      <c r="Z1973" s="204"/>
      <c r="AA1973" s="204"/>
      <c r="AB1973" s="204"/>
      <c r="AC1973" s="204"/>
    </row>
    <row r="1974" spans="1:29">
      <c r="A1974" s="204"/>
      <c r="B1974" s="204"/>
      <c r="C1974" s="204"/>
      <c r="D1974" s="204"/>
      <c r="E1974" s="204"/>
      <c r="F1974" s="204"/>
      <c r="G1974" s="204"/>
      <c r="H1974" s="204"/>
      <c r="I1974" s="204"/>
      <c r="J1974" s="204"/>
      <c r="K1974" s="204"/>
      <c r="L1974" s="205"/>
      <c r="M1974" s="205"/>
      <c r="N1974" s="204"/>
      <c r="O1974" s="204"/>
      <c r="P1974" s="206"/>
      <c r="Q1974" s="206"/>
      <c r="R1974" s="206"/>
      <c r="S1974" s="206"/>
      <c r="T1974" s="204"/>
      <c r="U1974" s="207"/>
      <c r="V1974" s="204"/>
      <c r="W1974" s="204"/>
      <c r="X1974" s="207"/>
      <c r="Y1974" s="207"/>
      <c r="Z1974" s="204"/>
      <c r="AA1974" s="204"/>
      <c r="AB1974" s="204"/>
      <c r="AC1974" s="204"/>
    </row>
    <row r="1975" spans="1:29">
      <c r="A1975" s="204"/>
      <c r="B1975" s="204"/>
      <c r="C1975" s="204"/>
      <c r="D1975" s="204"/>
      <c r="E1975" s="204"/>
      <c r="F1975" s="204"/>
      <c r="G1975" s="204"/>
      <c r="H1975" s="204"/>
      <c r="I1975" s="204"/>
      <c r="J1975" s="204"/>
      <c r="K1975" s="204"/>
      <c r="L1975" s="205"/>
      <c r="M1975" s="205"/>
      <c r="N1975" s="204"/>
      <c r="O1975" s="204"/>
      <c r="P1975" s="206"/>
      <c r="Q1975" s="206"/>
      <c r="R1975" s="206"/>
      <c r="S1975" s="206"/>
      <c r="T1975" s="204"/>
      <c r="U1975" s="207"/>
      <c r="V1975" s="204"/>
      <c r="W1975" s="204"/>
      <c r="X1975" s="207"/>
      <c r="Y1975" s="207"/>
      <c r="Z1975" s="204"/>
      <c r="AA1975" s="204"/>
      <c r="AB1975" s="204"/>
      <c r="AC1975" s="204"/>
    </row>
    <row r="1976" spans="1:29">
      <c r="A1976" s="204"/>
      <c r="B1976" s="204"/>
      <c r="C1976" s="204"/>
      <c r="D1976" s="204"/>
      <c r="E1976" s="204"/>
      <c r="F1976" s="204"/>
      <c r="G1976" s="204"/>
      <c r="H1976" s="204"/>
      <c r="I1976" s="204"/>
      <c r="J1976" s="204"/>
      <c r="K1976" s="204"/>
      <c r="L1976" s="205"/>
      <c r="M1976" s="205"/>
      <c r="N1976" s="204"/>
      <c r="O1976" s="204"/>
      <c r="P1976" s="206"/>
      <c r="Q1976" s="206"/>
      <c r="R1976" s="206"/>
      <c r="S1976" s="206"/>
      <c r="T1976" s="204"/>
      <c r="U1976" s="207"/>
      <c r="V1976" s="204"/>
      <c r="W1976" s="204"/>
      <c r="X1976" s="207"/>
      <c r="Y1976" s="207"/>
      <c r="Z1976" s="204"/>
      <c r="AA1976" s="204"/>
      <c r="AB1976" s="204"/>
      <c r="AC1976" s="204"/>
    </row>
    <row r="1977" spans="1:29">
      <c r="A1977" s="204"/>
      <c r="B1977" s="204"/>
      <c r="C1977" s="204"/>
      <c r="D1977" s="204"/>
      <c r="E1977" s="204"/>
      <c r="F1977" s="204"/>
      <c r="G1977" s="204"/>
      <c r="H1977" s="204"/>
      <c r="I1977" s="204"/>
      <c r="J1977" s="204"/>
      <c r="K1977" s="204"/>
      <c r="L1977" s="205"/>
      <c r="M1977" s="205"/>
      <c r="N1977" s="204"/>
      <c r="O1977" s="204"/>
      <c r="P1977" s="206"/>
      <c r="Q1977" s="206"/>
      <c r="R1977" s="206"/>
      <c r="S1977" s="206"/>
      <c r="T1977" s="204"/>
      <c r="U1977" s="207"/>
      <c r="V1977" s="204"/>
      <c r="W1977" s="204"/>
      <c r="X1977" s="207"/>
      <c r="Y1977" s="207"/>
      <c r="Z1977" s="204"/>
      <c r="AA1977" s="204"/>
      <c r="AB1977" s="204"/>
      <c r="AC1977" s="204"/>
    </row>
    <row r="1978" spans="1:29">
      <c r="A1978" s="204"/>
      <c r="B1978" s="204"/>
      <c r="C1978" s="204"/>
      <c r="D1978" s="204"/>
      <c r="E1978" s="204"/>
      <c r="F1978" s="204"/>
      <c r="G1978" s="204"/>
      <c r="H1978" s="204"/>
      <c r="I1978" s="204"/>
      <c r="J1978" s="204"/>
      <c r="K1978" s="204"/>
      <c r="L1978" s="205"/>
      <c r="M1978" s="205"/>
      <c r="N1978" s="204"/>
      <c r="O1978" s="204"/>
      <c r="P1978" s="206"/>
      <c r="Q1978" s="206"/>
      <c r="R1978" s="206"/>
      <c r="S1978" s="206"/>
      <c r="T1978" s="204"/>
      <c r="U1978" s="207"/>
      <c r="V1978" s="204"/>
      <c r="W1978" s="204"/>
      <c r="X1978" s="207"/>
      <c r="Y1978" s="207"/>
      <c r="Z1978" s="204"/>
      <c r="AA1978" s="204"/>
      <c r="AB1978" s="204"/>
      <c r="AC1978" s="204"/>
    </row>
    <row r="1979" spans="1:29">
      <c r="A1979" s="204"/>
      <c r="B1979" s="204"/>
      <c r="C1979" s="204"/>
      <c r="D1979" s="204"/>
      <c r="E1979" s="204"/>
      <c r="F1979" s="204"/>
      <c r="G1979" s="204"/>
      <c r="H1979" s="204"/>
      <c r="I1979" s="204"/>
      <c r="J1979" s="204"/>
      <c r="K1979" s="204"/>
      <c r="L1979" s="205"/>
      <c r="M1979" s="205"/>
      <c r="N1979" s="204"/>
      <c r="O1979" s="204"/>
      <c r="P1979" s="206"/>
      <c r="Q1979" s="206"/>
      <c r="R1979" s="206"/>
      <c r="S1979" s="206"/>
      <c r="T1979" s="204"/>
      <c r="U1979" s="207"/>
      <c r="V1979" s="204"/>
      <c r="W1979" s="204"/>
      <c r="X1979" s="207"/>
      <c r="Y1979" s="207"/>
      <c r="Z1979" s="204"/>
      <c r="AA1979" s="204"/>
      <c r="AB1979" s="204"/>
      <c r="AC1979" s="204"/>
    </row>
    <row r="1980" spans="1:29">
      <c r="A1980" s="204"/>
      <c r="B1980" s="204"/>
      <c r="C1980" s="204"/>
      <c r="D1980" s="204"/>
      <c r="E1980" s="204"/>
      <c r="F1980" s="204"/>
      <c r="G1980" s="204"/>
      <c r="H1980" s="204"/>
      <c r="I1980" s="204"/>
      <c r="J1980" s="204"/>
      <c r="K1980" s="204"/>
      <c r="L1980" s="205"/>
      <c r="M1980" s="205"/>
      <c r="N1980" s="204"/>
      <c r="O1980" s="204"/>
      <c r="P1980" s="206"/>
      <c r="Q1980" s="206"/>
      <c r="R1980" s="206"/>
      <c r="S1980" s="206"/>
      <c r="T1980" s="204"/>
      <c r="U1980" s="207"/>
      <c r="V1980" s="204"/>
      <c r="W1980" s="204"/>
      <c r="X1980" s="207"/>
      <c r="Y1980" s="207"/>
      <c r="Z1980" s="204"/>
      <c r="AA1980" s="204"/>
      <c r="AB1980" s="204"/>
      <c r="AC1980" s="204"/>
    </row>
    <row r="1981" spans="1:29">
      <c r="A1981" s="204"/>
      <c r="B1981" s="204"/>
      <c r="C1981" s="204"/>
      <c r="D1981" s="204"/>
      <c r="E1981" s="204"/>
      <c r="F1981" s="204"/>
      <c r="G1981" s="204"/>
      <c r="H1981" s="204"/>
      <c r="I1981" s="204"/>
      <c r="J1981" s="204"/>
      <c r="K1981" s="204"/>
      <c r="L1981" s="205"/>
      <c r="M1981" s="205"/>
      <c r="N1981" s="204"/>
      <c r="O1981" s="204"/>
      <c r="P1981" s="206"/>
      <c r="Q1981" s="206"/>
      <c r="R1981" s="206"/>
      <c r="S1981" s="206"/>
      <c r="T1981" s="204"/>
      <c r="U1981" s="207"/>
      <c r="V1981" s="204"/>
      <c r="W1981" s="204"/>
      <c r="X1981" s="207"/>
      <c r="Y1981" s="207"/>
      <c r="Z1981" s="204"/>
      <c r="AA1981" s="204"/>
      <c r="AB1981" s="204"/>
      <c r="AC1981" s="204"/>
    </row>
    <row r="1982" spans="1:29">
      <c r="A1982" s="204"/>
      <c r="B1982" s="204"/>
      <c r="C1982" s="204"/>
      <c r="D1982" s="204"/>
      <c r="E1982" s="204"/>
      <c r="F1982" s="204"/>
      <c r="G1982" s="204"/>
      <c r="H1982" s="204"/>
      <c r="I1982" s="204"/>
      <c r="J1982" s="204"/>
      <c r="K1982" s="204"/>
      <c r="L1982" s="205"/>
      <c r="M1982" s="205"/>
      <c r="N1982" s="204"/>
      <c r="O1982" s="204"/>
      <c r="P1982" s="206"/>
      <c r="Q1982" s="206"/>
      <c r="R1982" s="206"/>
      <c r="S1982" s="206"/>
      <c r="T1982" s="204"/>
      <c r="U1982" s="207"/>
      <c r="V1982" s="204"/>
      <c r="W1982" s="204"/>
      <c r="X1982" s="207"/>
      <c r="Y1982" s="207"/>
      <c r="Z1982" s="204"/>
      <c r="AA1982" s="204"/>
      <c r="AB1982" s="204"/>
      <c r="AC1982" s="204"/>
    </row>
    <row r="1983" spans="1:29">
      <c r="A1983" s="204"/>
      <c r="B1983" s="204"/>
      <c r="C1983" s="204"/>
      <c r="D1983" s="204"/>
      <c r="E1983" s="204"/>
      <c r="F1983" s="204"/>
      <c r="G1983" s="204"/>
      <c r="H1983" s="204"/>
      <c r="I1983" s="204"/>
      <c r="J1983" s="204"/>
      <c r="K1983" s="204"/>
      <c r="L1983" s="205"/>
      <c r="M1983" s="205"/>
      <c r="N1983" s="204"/>
      <c r="O1983" s="204"/>
      <c r="P1983" s="206"/>
      <c r="Q1983" s="206"/>
      <c r="R1983" s="206"/>
      <c r="S1983" s="206"/>
      <c r="T1983" s="204"/>
      <c r="U1983" s="207"/>
      <c r="V1983" s="204"/>
      <c r="W1983" s="204"/>
      <c r="X1983" s="207"/>
      <c r="Y1983" s="207"/>
      <c r="Z1983" s="204"/>
      <c r="AA1983" s="204"/>
      <c r="AB1983" s="204"/>
      <c r="AC1983" s="204"/>
    </row>
    <row r="1984" spans="1:29">
      <c r="A1984" s="204"/>
      <c r="B1984" s="204"/>
      <c r="C1984" s="204"/>
      <c r="D1984" s="204"/>
      <c r="E1984" s="204"/>
      <c r="F1984" s="204"/>
      <c r="G1984" s="204"/>
      <c r="H1984" s="204"/>
      <c r="I1984" s="204"/>
      <c r="J1984" s="204"/>
      <c r="K1984" s="204"/>
      <c r="L1984" s="205"/>
      <c r="M1984" s="205"/>
      <c r="N1984" s="204"/>
      <c r="O1984" s="204"/>
      <c r="P1984" s="206"/>
      <c r="Q1984" s="206"/>
      <c r="R1984" s="206"/>
      <c r="S1984" s="206"/>
      <c r="T1984" s="204"/>
      <c r="U1984" s="207"/>
      <c r="V1984" s="204"/>
      <c r="W1984" s="204"/>
      <c r="X1984" s="207"/>
      <c r="Y1984" s="207"/>
      <c r="Z1984" s="204"/>
      <c r="AA1984" s="204"/>
      <c r="AB1984" s="204"/>
      <c r="AC1984" s="204"/>
    </row>
    <row r="1985" spans="1:29">
      <c r="A1985" s="204"/>
      <c r="B1985" s="204"/>
      <c r="C1985" s="204"/>
      <c r="D1985" s="204"/>
      <c r="E1985" s="204"/>
      <c r="F1985" s="204"/>
      <c r="G1985" s="204"/>
      <c r="H1985" s="204"/>
      <c r="I1985" s="204"/>
      <c r="J1985" s="204"/>
      <c r="K1985" s="204"/>
      <c r="L1985" s="205"/>
      <c r="M1985" s="205"/>
      <c r="N1985" s="204"/>
      <c r="O1985" s="204"/>
      <c r="P1985" s="206"/>
      <c r="Q1985" s="206"/>
      <c r="R1985" s="206"/>
      <c r="S1985" s="206"/>
      <c r="T1985" s="204"/>
      <c r="U1985" s="207"/>
      <c r="V1985" s="204"/>
      <c r="W1985" s="204"/>
      <c r="X1985" s="207"/>
      <c r="Y1985" s="207"/>
      <c r="Z1985" s="204"/>
      <c r="AA1985" s="204"/>
      <c r="AB1985" s="204"/>
      <c r="AC1985" s="204"/>
    </row>
    <row r="1986" spans="1:29">
      <c r="A1986" s="204"/>
      <c r="B1986" s="204"/>
      <c r="C1986" s="204"/>
      <c r="D1986" s="204"/>
      <c r="E1986" s="204"/>
      <c r="F1986" s="204"/>
      <c r="G1986" s="204"/>
      <c r="H1986" s="204"/>
      <c r="I1986" s="204"/>
      <c r="J1986" s="204"/>
      <c r="K1986" s="204"/>
      <c r="L1986" s="205"/>
      <c r="M1986" s="205"/>
      <c r="N1986" s="204"/>
      <c r="O1986" s="204"/>
      <c r="P1986" s="206"/>
      <c r="Q1986" s="206"/>
      <c r="R1986" s="206"/>
      <c r="S1986" s="206"/>
      <c r="T1986" s="204"/>
      <c r="U1986" s="207"/>
      <c r="V1986" s="204"/>
      <c r="W1986" s="204"/>
      <c r="X1986" s="207"/>
      <c r="Y1986" s="207"/>
      <c r="Z1986" s="204"/>
      <c r="AA1986" s="204"/>
      <c r="AB1986" s="204"/>
      <c r="AC1986" s="204"/>
    </row>
    <row r="1987" spans="1:29">
      <c r="A1987" s="204"/>
      <c r="B1987" s="204"/>
      <c r="C1987" s="204"/>
      <c r="D1987" s="204"/>
      <c r="E1987" s="204"/>
      <c r="F1987" s="204"/>
      <c r="G1987" s="204"/>
      <c r="H1987" s="204"/>
      <c r="I1987" s="204"/>
      <c r="J1987" s="204"/>
      <c r="K1987" s="204"/>
      <c r="L1987" s="205"/>
      <c r="M1987" s="205"/>
      <c r="N1987" s="204"/>
      <c r="O1987" s="204"/>
      <c r="P1987" s="206"/>
      <c r="Q1987" s="206"/>
      <c r="R1987" s="206"/>
      <c r="S1987" s="206"/>
      <c r="T1987" s="204"/>
      <c r="U1987" s="207"/>
      <c r="V1987" s="204"/>
      <c r="W1987" s="204"/>
      <c r="X1987" s="207"/>
      <c r="Y1987" s="207"/>
      <c r="Z1987" s="204"/>
      <c r="AA1987" s="204"/>
      <c r="AB1987" s="204"/>
      <c r="AC1987" s="204"/>
    </row>
    <row r="1988" spans="1:29">
      <c r="A1988" s="204"/>
      <c r="B1988" s="204"/>
      <c r="C1988" s="204"/>
      <c r="D1988" s="204"/>
      <c r="E1988" s="204"/>
      <c r="F1988" s="204"/>
      <c r="G1988" s="204"/>
      <c r="H1988" s="204"/>
      <c r="I1988" s="204"/>
      <c r="J1988" s="204"/>
      <c r="K1988" s="204"/>
      <c r="L1988" s="205"/>
      <c r="M1988" s="205"/>
      <c r="N1988" s="204"/>
      <c r="O1988" s="204"/>
      <c r="P1988" s="206"/>
      <c r="Q1988" s="206"/>
      <c r="R1988" s="206"/>
      <c r="S1988" s="206"/>
      <c r="T1988" s="204"/>
      <c r="U1988" s="207"/>
      <c r="V1988" s="204"/>
      <c r="W1988" s="204"/>
      <c r="X1988" s="207"/>
      <c r="Y1988" s="207"/>
      <c r="Z1988" s="204"/>
      <c r="AA1988" s="204"/>
      <c r="AB1988" s="204"/>
      <c r="AC1988" s="204"/>
    </row>
    <row r="1989" spans="1:29">
      <c r="A1989" s="204"/>
      <c r="B1989" s="204"/>
      <c r="C1989" s="204"/>
      <c r="D1989" s="204"/>
      <c r="E1989" s="204"/>
      <c r="F1989" s="204"/>
      <c r="G1989" s="204"/>
      <c r="H1989" s="204"/>
      <c r="I1989" s="204"/>
      <c r="J1989" s="204"/>
      <c r="K1989" s="204"/>
      <c r="L1989" s="205"/>
      <c r="M1989" s="205"/>
      <c r="N1989" s="204"/>
      <c r="O1989" s="204"/>
      <c r="P1989" s="206"/>
      <c r="Q1989" s="206"/>
      <c r="R1989" s="206"/>
      <c r="S1989" s="206"/>
      <c r="T1989" s="204"/>
      <c r="U1989" s="207"/>
      <c r="V1989" s="204"/>
      <c r="W1989" s="204"/>
      <c r="X1989" s="207"/>
      <c r="Y1989" s="207"/>
      <c r="Z1989" s="204"/>
      <c r="AA1989" s="204"/>
      <c r="AB1989" s="204"/>
      <c r="AC1989" s="204"/>
    </row>
    <row r="1990" spans="1:29">
      <c r="A1990" s="204"/>
      <c r="B1990" s="204"/>
      <c r="C1990" s="204"/>
      <c r="D1990" s="204"/>
      <c r="E1990" s="204"/>
      <c r="F1990" s="204"/>
      <c r="G1990" s="204"/>
      <c r="H1990" s="204"/>
      <c r="I1990" s="204"/>
      <c r="J1990" s="204"/>
      <c r="K1990" s="204"/>
      <c r="L1990" s="205"/>
      <c r="M1990" s="205"/>
      <c r="N1990" s="204"/>
      <c r="O1990" s="204"/>
      <c r="P1990" s="206"/>
      <c r="Q1990" s="206"/>
      <c r="R1990" s="206"/>
      <c r="S1990" s="206"/>
      <c r="T1990" s="204"/>
      <c r="U1990" s="207"/>
      <c r="V1990" s="204"/>
      <c r="W1990" s="204"/>
      <c r="X1990" s="207"/>
      <c r="Y1990" s="207"/>
      <c r="Z1990" s="204"/>
      <c r="AA1990" s="204"/>
      <c r="AB1990" s="204"/>
      <c r="AC1990" s="204"/>
    </row>
    <row r="1991" spans="1:29">
      <c r="A1991" s="204"/>
      <c r="B1991" s="204"/>
      <c r="C1991" s="204"/>
      <c r="D1991" s="204"/>
      <c r="E1991" s="204"/>
      <c r="F1991" s="204"/>
      <c r="G1991" s="204"/>
      <c r="H1991" s="204"/>
      <c r="I1991" s="204"/>
      <c r="J1991" s="204"/>
      <c r="K1991" s="204"/>
      <c r="L1991" s="205"/>
      <c r="M1991" s="205"/>
      <c r="N1991" s="204"/>
      <c r="O1991" s="204"/>
      <c r="P1991" s="206"/>
      <c r="Q1991" s="206"/>
      <c r="R1991" s="206"/>
      <c r="S1991" s="206"/>
      <c r="T1991" s="204"/>
      <c r="U1991" s="207"/>
      <c r="V1991" s="204"/>
      <c r="W1991" s="204"/>
      <c r="X1991" s="207"/>
      <c r="Y1991" s="207"/>
      <c r="Z1991" s="204"/>
      <c r="AA1991" s="204"/>
      <c r="AB1991" s="204"/>
      <c r="AC1991" s="204"/>
    </row>
    <row r="1992" spans="1:29">
      <c r="A1992" s="204"/>
      <c r="B1992" s="204"/>
      <c r="C1992" s="204"/>
      <c r="D1992" s="204"/>
      <c r="E1992" s="204"/>
      <c r="F1992" s="204"/>
      <c r="G1992" s="204"/>
      <c r="H1992" s="204"/>
      <c r="I1992" s="204"/>
      <c r="J1992" s="204"/>
      <c r="K1992" s="204"/>
      <c r="L1992" s="205"/>
      <c r="M1992" s="205"/>
      <c r="N1992" s="204"/>
      <c r="O1992" s="204"/>
      <c r="P1992" s="206"/>
      <c r="Q1992" s="206"/>
      <c r="R1992" s="206"/>
      <c r="S1992" s="206"/>
      <c r="T1992" s="204"/>
      <c r="U1992" s="207"/>
      <c r="V1992" s="204"/>
      <c r="W1992" s="204"/>
      <c r="X1992" s="207"/>
      <c r="Y1992" s="207"/>
      <c r="Z1992" s="204"/>
      <c r="AA1992" s="204"/>
      <c r="AB1992" s="204"/>
      <c r="AC1992" s="204"/>
    </row>
    <row r="1993" spans="1:29">
      <c r="A1993" s="204"/>
      <c r="B1993" s="204"/>
      <c r="C1993" s="204"/>
      <c r="D1993" s="204"/>
      <c r="E1993" s="204"/>
      <c r="F1993" s="204"/>
      <c r="G1993" s="204"/>
      <c r="H1993" s="204"/>
      <c r="I1993" s="204"/>
      <c r="J1993" s="204"/>
      <c r="K1993" s="204"/>
      <c r="L1993" s="205"/>
      <c r="M1993" s="205"/>
      <c r="N1993" s="204"/>
      <c r="O1993" s="204"/>
      <c r="P1993" s="206"/>
      <c r="Q1993" s="206"/>
      <c r="R1993" s="206"/>
      <c r="S1993" s="206"/>
      <c r="T1993" s="204"/>
      <c r="U1993" s="207"/>
      <c r="V1993" s="204"/>
      <c r="W1993" s="204"/>
      <c r="X1993" s="207"/>
      <c r="Y1993" s="207"/>
      <c r="Z1993" s="204"/>
      <c r="AA1993" s="204"/>
      <c r="AB1993" s="204"/>
      <c r="AC1993" s="204"/>
    </row>
    <row r="1994" spans="1:29">
      <c r="A1994" s="204"/>
      <c r="B1994" s="204"/>
      <c r="C1994" s="204"/>
      <c r="D1994" s="204"/>
      <c r="E1994" s="204"/>
      <c r="F1994" s="204"/>
      <c r="G1994" s="204"/>
      <c r="H1994" s="204"/>
      <c r="I1994" s="204"/>
      <c r="J1994" s="204"/>
      <c r="K1994" s="204"/>
      <c r="L1994" s="205"/>
      <c r="M1994" s="205"/>
      <c r="N1994" s="204"/>
      <c r="O1994" s="204"/>
      <c r="P1994" s="206"/>
      <c r="Q1994" s="206"/>
      <c r="R1994" s="206"/>
      <c r="S1994" s="206"/>
      <c r="T1994" s="204"/>
      <c r="U1994" s="207"/>
      <c r="V1994" s="204"/>
      <c r="W1994" s="204"/>
      <c r="X1994" s="207"/>
      <c r="Y1994" s="207"/>
      <c r="Z1994" s="204"/>
      <c r="AA1994" s="204"/>
      <c r="AB1994" s="204"/>
      <c r="AC1994" s="204"/>
    </row>
    <row r="1995" spans="1:29">
      <c r="A1995" s="204"/>
      <c r="B1995" s="204"/>
      <c r="C1995" s="204"/>
      <c r="D1995" s="204"/>
      <c r="E1995" s="204"/>
      <c r="F1995" s="204"/>
      <c r="G1995" s="204"/>
      <c r="H1995" s="204"/>
      <c r="I1995" s="204"/>
      <c r="J1995" s="204"/>
      <c r="K1995" s="204"/>
      <c r="L1995" s="205"/>
      <c r="M1995" s="205"/>
      <c r="N1995" s="204"/>
      <c r="O1995" s="204"/>
      <c r="P1995" s="206"/>
      <c r="Q1995" s="206"/>
      <c r="R1995" s="206"/>
      <c r="S1995" s="206"/>
      <c r="T1995" s="204"/>
      <c r="U1995" s="207"/>
      <c r="V1995" s="204"/>
      <c r="W1995" s="204"/>
      <c r="X1995" s="207"/>
      <c r="Y1995" s="207"/>
      <c r="Z1995" s="204"/>
      <c r="AA1995" s="204"/>
      <c r="AB1995" s="204"/>
      <c r="AC1995" s="204"/>
    </row>
    <row r="1996" spans="1:29">
      <c r="A1996" s="204"/>
      <c r="B1996" s="204"/>
      <c r="C1996" s="204"/>
      <c r="D1996" s="204"/>
      <c r="E1996" s="204"/>
      <c r="F1996" s="204"/>
      <c r="G1996" s="204"/>
      <c r="H1996" s="204"/>
      <c r="I1996" s="204"/>
      <c r="J1996" s="204"/>
      <c r="K1996" s="204"/>
      <c r="L1996" s="205"/>
      <c r="M1996" s="205"/>
      <c r="N1996" s="204"/>
      <c r="O1996" s="204"/>
      <c r="P1996" s="206"/>
      <c r="Q1996" s="206"/>
      <c r="R1996" s="206"/>
      <c r="S1996" s="206"/>
      <c r="T1996" s="204"/>
      <c r="U1996" s="207"/>
      <c r="V1996" s="204"/>
      <c r="W1996" s="204"/>
      <c r="X1996" s="207"/>
      <c r="Y1996" s="207"/>
      <c r="Z1996" s="204"/>
      <c r="AA1996" s="204"/>
      <c r="AB1996" s="204"/>
      <c r="AC1996" s="204"/>
    </row>
    <row r="1997" spans="1:29">
      <c r="A1997" s="204"/>
      <c r="B1997" s="204"/>
      <c r="C1997" s="204"/>
      <c r="D1997" s="204"/>
      <c r="E1997" s="204"/>
      <c r="F1997" s="204"/>
      <c r="G1997" s="204"/>
      <c r="H1997" s="204"/>
      <c r="I1997" s="204"/>
      <c r="J1997" s="204"/>
      <c r="K1997" s="204"/>
      <c r="L1997" s="205"/>
      <c r="M1997" s="205"/>
      <c r="N1997" s="204"/>
      <c r="O1997" s="204"/>
      <c r="P1997" s="206"/>
      <c r="Q1997" s="206"/>
      <c r="R1997" s="206"/>
      <c r="S1997" s="206"/>
      <c r="T1997" s="204"/>
      <c r="U1997" s="207"/>
      <c r="V1997" s="204"/>
      <c r="W1997" s="204"/>
      <c r="X1997" s="207"/>
      <c r="Y1997" s="207"/>
      <c r="Z1997" s="204"/>
      <c r="AA1997" s="204"/>
      <c r="AB1997" s="204"/>
      <c r="AC1997" s="204"/>
    </row>
    <row r="1998" spans="1:29">
      <c r="A1998" s="204"/>
      <c r="B1998" s="204"/>
      <c r="C1998" s="204"/>
      <c r="D1998" s="204"/>
      <c r="E1998" s="204"/>
      <c r="F1998" s="204"/>
      <c r="G1998" s="204"/>
      <c r="H1998" s="204"/>
      <c r="I1998" s="204"/>
      <c r="J1998" s="204"/>
      <c r="K1998" s="204"/>
      <c r="L1998" s="205"/>
      <c r="M1998" s="205"/>
      <c r="N1998" s="204"/>
      <c r="O1998" s="204"/>
      <c r="P1998" s="206"/>
      <c r="Q1998" s="206"/>
      <c r="R1998" s="206"/>
      <c r="S1998" s="206"/>
      <c r="T1998" s="204"/>
      <c r="U1998" s="207"/>
      <c r="V1998" s="204"/>
      <c r="W1998" s="204"/>
      <c r="X1998" s="207"/>
      <c r="Y1998" s="207"/>
      <c r="Z1998" s="204"/>
      <c r="AA1998" s="204"/>
      <c r="AB1998" s="204"/>
      <c r="AC1998" s="204"/>
    </row>
    <row r="1999" spans="1:29">
      <c r="A1999" s="204"/>
      <c r="B1999" s="204"/>
      <c r="C1999" s="204"/>
      <c r="D1999" s="204"/>
      <c r="E1999" s="204"/>
      <c r="F1999" s="204"/>
      <c r="G1999" s="204"/>
      <c r="H1999" s="204"/>
      <c r="I1999" s="204"/>
      <c r="J1999" s="204"/>
      <c r="K1999" s="204"/>
      <c r="L1999" s="205"/>
      <c r="M1999" s="205"/>
      <c r="N1999" s="204"/>
      <c r="O1999" s="204"/>
      <c r="P1999" s="206"/>
      <c r="Q1999" s="206"/>
      <c r="R1999" s="206"/>
      <c r="S1999" s="206"/>
      <c r="T1999" s="204"/>
      <c r="U1999" s="207"/>
      <c r="V1999" s="204"/>
      <c r="W1999" s="204"/>
      <c r="X1999" s="207"/>
      <c r="Y1999" s="207"/>
      <c r="Z1999" s="204"/>
      <c r="AA1999" s="204"/>
      <c r="AB1999" s="204"/>
      <c r="AC1999" s="204"/>
    </row>
    <row r="2000" spans="1:29">
      <c r="A2000" s="204"/>
      <c r="B2000" s="204"/>
      <c r="C2000" s="204"/>
      <c r="D2000" s="204"/>
      <c r="E2000" s="204"/>
      <c r="F2000" s="204"/>
      <c r="G2000" s="204"/>
      <c r="H2000" s="204"/>
      <c r="I2000" s="204"/>
      <c r="J2000" s="204"/>
      <c r="K2000" s="204"/>
      <c r="L2000" s="205"/>
      <c r="M2000" s="205"/>
      <c r="N2000" s="204"/>
      <c r="O2000" s="204"/>
      <c r="P2000" s="206"/>
      <c r="Q2000" s="206"/>
      <c r="R2000" s="206"/>
      <c r="S2000" s="206"/>
      <c r="T2000" s="204"/>
      <c r="U2000" s="207"/>
      <c r="V2000" s="204"/>
      <c r="W2000" s="204"/>
      <c r="X2000" s="207"/>
      <c r="Y2000" s="207"/>
      <c r="Z2000" s="204"/>
      <c r="AA2000" s="204"/>
      <c r="AB2000" s="204"/>
      <c r="AC2000" s="204"/>
    </row>
    <row r="2001" spans="1:29">
      <c r="A2001" s="204"/>
      <c r="B2001" s="204"/>
      <c r="C2001" s="204"/>
      <c r="D2001" s="204"/>
      <c r="E2001" s="204"/>
      <c r="F2001" s="204"/>
      <c r="G2001" s="204"/>
      <c r="H2001" s="204"/>
      <c r="I2001" s="204"/>
      <c r="J2001" s="204"/>
      <c r="K2001" s="204"/>
      <c r="L2001" s="205"/>
      <c r="M2001" s="205"/>
      <c r="N2001" s="204"/>
      <c r="O2001" s="204"/>
      <c r="P2001" s="206"/>
      <c r="Q2001" s="206"/>
      <c r="R2001" s="206"/>
      <c r="S2001" s="206"/>
      <c r="T2001" s="204"/>
      <c r="U2001" s="207"/>
      <c r="V2001" s="204"/>
      <c r="W2001" s="204"/>
      <c r="X2001" s="207"/>
      <c r="Y2001" s="207"/>
      <c r="Z2001" s="204"/>
      <c r="AA2001" s="204"/>
      <c r="AB2001" s="204"/>
      <c r="AC2001" s="204"/>
    </row>
    <row r="2002" spans="1:29">
      <c r="A2002" s="204"/>
      <c r="B2002" s="204"/>
      <c r="C2002" s="204"/>
      <c r="D2002" s="204"/>
      <c r="E2002" s="204"/>
      <c r="F2002" s="204"/>
      <c r="G2002" s="204"/>
      <c r="H2002" s="204"/>
      <c r="I2002" s="204"/>
      <c r="J2002" s="204"/>
      <c r="K2002" s="204"/>
      <c r="L2002" s="205"/>
      <c r="M2002" s="205"/>
      <c r="N2002" s="204"/>
      <c r="O2002" s="204"/>
      <c r="P2002" s="206"/>
      <c r="Q2002" s="206"/>
      <c r="R2002" s="206"/>
      <c r="S2002" s="206"/>
      <c r="T2002" s="204"/>
      <c r="U2002" s="207"/>
      <c r="V2002" s="204"/>
      <c r="W2002" s="204"/>
      <c r="X2002" s="207"/>
      <c r="Y2002" s="207"/>
      <c r="Z2002" s="204"/>
      <c r="AA2002" s="204"/>
      <c r="AB2002" s="204"/>
      <c r="AC2002" s="204"/>
    </row>
    <row r="2003" spans="1:29">
      <c r="A2003" s="204"/>
      <c r="B2003" s="204"/>
      <c r="C2003" s="204"/>
      <c r="D2003" s="204"/>
      <c r="E2003" s="204"/>
      <c r="F2003" s="204"/>
      <c r="G2003" s="204"/>
      <c r="H2003" s="204"/>
      <c r="I2003" s="204"/>
      <c r="J2003" s="204"/>
      <c r="K2003" s="204"/>
      <c r="L2003" s="205"/>
      <c r="M2003" s="205"/>
      <c r="N2003" s="204"/>
      <c r="O2003" s="204"/>
      <c r="P2003" s="206"/>
      <c r="Q2003" s="206"/>
      <c r="R2003" s="206"/>
      <c r="S2003" s="206"/>
      <c r="T2003" s="204"/>
      <c r="U2003" s="207"/>
      <c r="V2003" s="204"/>
      <c r="W2003" s="204"/>
      <c r="X2003" s="207"/>
      <c r="Y2003" s="207"/>
      <c r="Z2003" s="204"/>
      <c r="AA2003" s="204"/>
      <c r="AB2003" s="204"/>
      <c r="AC2003" s="204"/>
    </row>
    <row r="2004" spans="1:29">
      <c r="A2004" s="204"/>
      <c r="B2004" s="204"/>
      <c r="C2004" s="204"/>
      <c r="D2004" s="204"/>
      <c r="E2004" s="204"/>
      <c r="F2004" s="204"/>
      <c r="G2004" s="204"/>
      <c r="H2004" s="204"/>
      <c r="I2004" s="204"/>
      <c r="J2004" s="204"/>
      <c r="K2004" s="204"/>
      <c r="L2004" s="205"/>
      <c r="M2004" s="205"/>
      <c r="N2004" s="204"/>
      <c r="O2004" s="204"/>
      <c r="P2004" s="206"/>
      <c r="Q2004" s="206"/>
      <c r="R2004" s="206"/>
      <c r="S2004" s="206"/>
      <c r="T2004" s="204"/>
      <c r="U2004" s="207"/>
      <c r="V2004" s="204"/>
      <c r="W2004" s="204"/>
      <c r="X2004" s="207"/>
      <c r="Y2004" s="207"/>
      <c r="Z2004" s="204"/>
      <c r="AA2004" s="204"/>
      <c r="AB2004" s="204"/>
      <c r="AC2004" s="204"/>
    </row>
    <row r="2005" spans="1:29">
      <c r="A2005" s="204"/>
      <c r="B2005" s="204"/>
      <c r="C2005" s="204"/>
      <c r="D2005" s="204"/>
      <c r="E2005" s="204"/>
      <c r="F2005" s="204"/>
      <c r="G2005" s="204"/>
      <c r="H2005" s="204"/>
      <c r="I2005" s="204"/>
      <c r="J2005" s="204"/>
      <c r="K2005" s="204"/>
      <c r="L2005" s="205"/>
      <c r="M2005" s="205"/>
      <c r="N2005" s="204"/>
      <c r="O2005" s="204"/>
      <c r="P2005" s="206"/>
      <c r="Q2005" s="206"/>
      <c r="R2005" s="206"/>
      <c r="S2005" s="206"/>
      <c r="T2005" s="204"/>
      <c r="U2005" s="207"/>
      <c r="V2005" s="204"/>
      <c r="W2005" s="204"/>
      <c r="X2005" s="207"/>
      <c r="Y2005" s="207"/>
      <c r="Z2005" s="204"/>
      <c r="AA2005" s="204"/>
      <c r="AB2005" s="204"/>
      <c r="AC2005" s="204"/>
    </row>
    <row r="2006" spans="1:29">
      <c r="A2006" s="204"/>
      <c r="B2006" s="204"/>
      <c r="C2006" s="204"/>
      <c r="D2006" s="204"/>
      <c r="E2006" s="204"/>
      <c r="F2006" s="204"/>
      <c r="G2006" s="204"/>
      <c r="H2006" s="204"/>
      <c r="I2006" s="204"/>
      <c r="J2006" s="204"/>
      <c r="K2006" s="204"/>
      <c r="L2006" s="205"/>
      <c r="M2006" s="205"/>
      <c r="N2006" s="204"/>
      <c r="O2006" s="204"/>
      <c r="P2006" s="206"/>
      <c r="Q2006" s="206"/>
      <c r="R2006" s="206"/>
      <c r="S2006" s="206"/>
      <c r="T2006" s="204"/>
      <c r="U2006" s="207"/>
      <c r="V2006" s="204"/>
      <c r="W2006" s="204"/>
      <c r="X2006" s="207"/>
      <c r="Y2006" s="207"/>
      <c r="Z2006" s="204"/>
      <c r="AA2006" s="204"/>
      <c r="AB2006" s="204"/>
      <c r="AC2006" s="204"/>
    </row>
    <row r="2007" spans="1:29">
      <c r="A2007" s="204"/>
      <c r="B2007" s="204"/>
      <c r="C2007" s="204"/>
      <c r="D2007" s="204"/>
      <c r="E2007" s="204"/>
      <c r="F2007" s="204"/>
      <c r="G2007" s="204"/>
      <c r="H2007" s="204"/>
      <c r="I2007" s="204"/>
      <c r="J2007" s="204"/>
      <c r="K2007" s="204"/>
      <c r="L2007" s="205"/>
      <c r="M2007" s="205"/>
      <c r="N2007" s="204"/>
      <c r="O2007" s="204"/>
      <c r="P2007" s="206"/>
      <c r="Q2007" s="206"/>
      <c r="R2007" s="206"/>
      <c r="S2007" s="206"/>
      <c r="T2007" s="204"/>
      <c r="U2007" s="207"/>
      <c r="V2007" s="204"/>
      <c r="W2007" s="204"/>
      <c r="X2007" s="207"/>
      <c r="Y2007" s="207"/>
      <c r="Z2007" s="204"/>
      <c r="AA2007" s="204"/>
      <c r="AB2007" s="204"/>
      <c r="AC2007" s="204"/>
    </row>
    <row r="2008" spans="1:29">
      <c r="A2008" s="204"/>
      <c r="B2008" s="204"/>
      <c r="C2008" s="204"/>
      <c r="D2008" s="204"/>
      <c r="E2008" s="204"/>
      <c r="F2008" s="204"/>
      <c r="G2008" s="204"/>
      <c r="H2008" s="204"/>
      <c r="I2008" s="204"/>
      <c r="J2008" s="204"/>
      <c r="K2008" s="204"/>
      <c r="L2008" s="205"/>
      <c r="M2008" s="205"/>
      <c r="N2008" s="204"/>
      <c r="O2008" s="204"/>
      <c r="P2008" s="206"/>
      <c r="Q2008" s="206"/>
      <c r="R2008" s="206"/>
      <c r="S2008" s="206"/>
      <c r="T2008" s="204"/>
      <c r="U2008" s="207"/>
      <c r="V2008" s="204"/>
      <c r="W2008" s="204"/>
      <c r="X2008" s="207"/>
      <c r="Y2008" s="207"/>
      <c r="Z2008" s="204"/>
      <c r="AA2008" s="204"/>
      <c r="AB2008" s="204"/>
      <c r="AC2008" s="204"/>
    </row>
    <row r="2009" spans="1:29">
      <c r="A2009" s="204"/>
      <c r="B2009" s="204"/>
      <c r="C2009" s="204"/>
      <c r="D2009" s="204"/>
      <c r="E2009" s="204"/>
      <c r="F2009" s="204"/>
      <c r="G2009" s="204"/>
      <c r="H2009" s="204"/>
      <c r="I2009" s="204"/>
      <c r="J2009" s="204"/>
      <c r="K2009" s="204"/>
      <c r="L2009" s="205"/>
      <c r="M2009" s="205"/>
      <c r="N2009" s="204"/>
      <c r="O2009" s="204"/>
      <c r="P2009" s="206"/>
      <c r="Q2009" s="206"/>
      <c r="R2009" s="206"/>
      <c r="S2009" s="206"/>
      <c r="T2009" s="204"/>
      <c r="U2009" s="207"/>
      <c r="V2009" s="204"/>
      <c r="W2009" s="204"/>
      <c r="X2009" s="207"/>
      <c r="Y2009" s="207"/>
      <c r="Z2009" s="204"/>
      <c r="AA2009" s="204"/>
      <c r="AB2009" s="204"/>
      <c r="AC2009" s="204"/>
    </row>
    <row r="2010" spans="1:29">
      <c r="A2010" s="204"/>
      <c r="B2010" s="204"/>
      <c r="C2010" s="204"/>
      <c r="D2010" s="204"/>
      <c r="E2010" s="204"/>
      <c r="F2010" s="204"/>
      <c r="G2010" s="204"/>
      <c r="H2010" s="204"/>
      <c r="I2010" s="204"/>
      <c r="J2010" s="204"/>
      <c r="K2010" s="204"/>
      <c r="L2010" s="205"/>
      <c r="M2010" s="205"/>
      <c r="N2010" s="204"/>
      <c r="O2010" s="204"/>
      <c r="P2010" s="206"/>
      <c r="Q2010" s="206"/>
      <c r="R2010" s="206"/>
      <c r="S2010" s="206"/>
      <c r="T2010" s="204"/>
      <c r="U2010" s="207"/>
      <c r="V2010" s="204"/>
      <c r="W2010" s="204"/>
      <c r="X2010" s="207"/>
      <c r="Y2010" s="207"/>
      <c r="Z2010" s="204"/>
      <c r="AA2010" s="204"/>
      <c r="AB2010" s="204"/>
      <c r="AC2010" s="204"/>
    </row>
    <row r="2011" spans="1:29">
      <c r="A2011" s="204"/>
      <c r="B2011" s="204"/>
      <c r="C2011" s="204"/>
      <c r="D2011" s="204"/>
      <c r="E2011" s="204"/>
      <c r="F2011" s="204"/>
      <c r="G2011" s="204"/>
      <c r="H2011" s="204"/>
      <c r="I2011" s="204"/>
      <c r="J2011" s="204"/>
      <c r="K2011" s="204"/>
      <c r="L2011" s="205"/>
      <c r="M2011" s="205"/>
      <c r="N2011" s="204"/>
      <c r="O2011" s="204"/>
      <c r="P2011" s="206"/>
      <c r="Q2011" s="206"/>
      <c r="R2011" s="206"/>
      <c r="S2011" s="206"/>
      <c r="T2011" s="204"/>
      <c r="U2011" s="207"/>
      <c r="V2011" s="204"/>
      <c r="W2011" s="204"/>
      <c r="X2011" s="207"/>
      <c r="Y2011" s="207"/>
      <c r="Z2011" s="204"/>
      <c r="AA2011" s="204"/>
      <c r="AB2011" s="204"/>
      <c r="AC2011" s="204"/>
    </row>
    <row r="2012" spans="1:29">
      <c r="A2012" s="204"/>
      <c r="B2012" s="204"/>
      <c r="C2012" s="204"/>
      <c r="D2012" s="204"/>
      <c r="E2012" s="204"/>
      <c r="F2012" s="204"/>
      <c r="G2012" s="204"/>
      <c r="H2012" s="204"/>
      <c r="I2012" s="204"/>
      <c r="J2012" s="204"/>
      <c r="K2012" s="204"/>
      <c r="L2012" s="205"/>
      <c r="M2012" s="205"/>
      <c r="N2012" s="204"/>
      <c r="O2012" s="204"/>
      <c r="P2012" s="206"/>
      <c r="Q2012" s="206"/>
      <c r="R2012" s="206"/>
      <c r="S2012" s="206"/>
      <c r="T2012" s="204"/>
      <c r="U2012" s="207"/>
      <c r="V2012" s="204"/>
      <c r="W2012" s="204"/>
      <c r="X2012" s="207"/>
      <c r="Y2012" s="207"/>
      <c r="Z2012" s="204"/>
      <c r="AA2012" s="204"/>
      <c r="AB2012" s="204"/>
      <c r="AC2012" s="204"/>
    </row>
    <row r="2013" spans="1:29">
      <c r="A2013" s="204"/>
      <c r="B2013" s="204"/>
      <c r="C2013" s="204"/>
      <c r="D2013" s="204"/>
      <c r="E2013" s="204"/>
      <c r="F2013" s="204"/>
      <c r="G2013" s="204"/>
      <c r="H2013" s="204"/>
      <c r="I2013" s="204"/>
      <c r="J2013" s="204"/>
      <c r="K2013" s="204"/>
      <c r="L2013" s="205"/>
      <c r="M2013" s="205"/>
      <c r="N2013" s="204"/>
      <c r="O2013" s="204"/>
      <c r="P2013" s="206"/>
      <c r="Q2013" s="206"/>
      <c r="R2013" s="206"/>
      <c r="S2013" s="206"/>
      <c r="T2013" s="204"/>
      <c r="U2013" s="207"/>
      <c r="V2013" s="204"/>
      <c r="W2013" s="204"/>
      <c r="X2013" s="207"/>
      <c r="Y2013" s="207"/>
      <c r="Z2013" s="204"/>
      <c r="AA2013" s="204"/>
      <c r="AB2013" s="204"/>
      <c r="AC2013" s="204"/>
    </row>
    <row r="2014" spans="1:29">
      <c r="A2014" s="204"/>
      <c r="B2014" s="204"/>
      <c r="C2014" s="204"/>
      <c r="D2014" s="204"/>
      <c r="E2014" s="204"/>
      <c r="F2014" s="204"/>
      <c r="G2014" s="204"/>
      <c r="H2014" s="204"/>
      <c r="I2014" s="204"/>
      <c r="J2014" s="204"/>
      <c r="K2014" s="204"/>
      <c r="L2014" s="205"/>
      <c r="M2014" s="205"/>
      <c r="N2014" s="204"/>
      <c r="O2014" s="204"/>
      <c r="P2014" s="206"/>
      <c r="Q2014" s="206"/>
      <c r="R2014" s="206"/>
      <c r="S2014" s="206"/>
      <c r="T2014" s="204"/>
      <c r="U2014" s="207"/>
      <c r="V2014" s="204"/>
      <c r="W2014" s="204"/>
      <c r="X2014" s="207"/>
      <c r="Y2014" s="207"/>
      <c r="Z2014" s="204"/>
      <c r="AA2014" s="204"/>
      <c r="AB2014" s="204"/>
      <c r="AC2014" s="204"/>
    </row>
    <row r="2015" spans="1:29">
      <c r="A2015" s="204"/>
      <c r="B2015" s="204"/>
      <c r="C2015" s="204"/>
      <c r="D2015" s="204"/>
      <c r="E2015" s="204"/>
      <c r="F2015" s="204"/>
      <c r="G2015" s="204"/>
      <c r="H2015" s="204"/>
      <c r="I2015" s="204"/>
      <c r="J2015" s="204"/>
      <c r="K2015" s="204"/>
      <c r="L2015" s="205"/>
      <c r="M2015" s="205"/>
      <c r="N2015" s="204"/>
      <c r="O2015" s="204"/>
      <c r="P2015" s="206"/>
      <c r="Q2015" s="206"/>
      <c r="R2015" s="206"/>
      <c r="S2015" s="206"/>
      <c r="T2015" s="204"/>
      <c r="U2015" s="207"/>
      <c r="V2015" s="204"/>
      <c r="W2015" s="204"/>
      <c r="X2015" s="207"/>
      <c r="Y2015" s="207"/>
      <c r="Z2015" s="204"/>
      <c r="AA2015" s="204"/>
      <c r="AB2015" s="204"/>
      <c r="AC2015" s="204"/>
    </row>
    <row r="2016" spans="1:29">
      <c r="A2016" s="204"/>
      <c r="B2016" s="204"/>
      <c r="C2016" s="204"/>
      <c r="D2016" s="204"/>
      <c r="E2016" s="204"/>
      <c r="F2016" s="204"/>
      <c r="G2016" s="204"/>
      <c r="H2016" s="204"/>
      <c r="I2016" s="204"/>
      <c r="J2016" s="204"/>
      <c r="K2016" s="204"/>
      <c r="L2016" s="205"/>
      <c r="M2016" s="205"/>
      <c r="N2016" s="204"/>
      <c r="O2016" s="204"/>
      <c r="P2016" s="206"/>
      <c r="Q2016" s="206"/>
      <c r="R2016" s="206"/>
      <c r="S2016" s="206"/>
      <c r="T2016" s="204"/>
      <c r="U2016" s="207"/>
      <c r="V2016" s="204"/>
      <c r="W2016" s="204"/>
      <c r="X2016" s="207"/>
      <c r="Y2016" s="207"/>
      <c r="Z2016" s="204"/>
      <c r="AA2016" s="204"/>
      <c r="AB2016" s="204"/>
      <c r="AC2016" s="204"/>
    </row>
    <row r="2017" spans="1:29">
      <c r="A2017" s="204"/>
      <c r="B2017" s="204"/>
      <c r="C2017" s="204"/>
      <c r="D2017" s="204"/>
      <c r="E2017" s="204"/>
      <c r="F2017" s="204"/>
      <c r="G2017" s="204"/>
      <c r="H2017" s="204"/>
      <c r="I2017" s="204"/>
      <c r="J2017" s="204"/>
      <c r="K2017" s="204"/>
      <c r="L2017" s="205"/>
      <c r="M2017" s="205"/>
      <c r="N2017" s="204"/>
      <c r="O2017" s="204"/>
      <c r="P2017" s="206"/>
      <c r="Q2017" s="206"/>
      <c r="R2017" s="206"/>
      <c r="S2017" s="206"/>
      <c r="T2017" s="204"/>
      <c r="U2017" s="207"/>
      <c r="V2017" s="204"/>
      <c r="W2017" s="204"/>
      <c r="X2017" s="207"/>
      <c r="Y2017" s="207"/>
      <c r="Z2017" s="204"/>
      <c r="AA2017" s="204"/>
      <c r="AB2017" s="204"/>
      <c r="AC2017" s="204"/>
    </row>
    <row r="2018" spans="1:29">
      <c r="A2018" s="204"/>
      <c r="B2018" s="204"/>
      <c r="C2018" s="204"/>
      <c r="D2018" s="204"/>
      <c r="E2018" s="204"/>
      <c r="F2018" s="204"/>
      <c r="G2018" s="204"/>
      <c r="H2018" s="204"/>
      <c r="I2018" s="204"/>
      <c r="J2018" s="204"/>
      <c r="K2018" s="204"/>
      <c r="L2018" s="205"/>
      <c r="M2018" s="205"/>
      <c r="N2018" s="204"/>
      <c r="O2018" s="204"/>
      <c r="P2018" s="206"/>
      <c r="Q2018" s="206"/>
      <c r="R2018" s="206"/>
      <c r="S2018" s="206"/>
      <c r="T2018" s="204"/>
      <c r="U2018" s="207"/>
      <c r="V2018" s="204"/>
      <c r="W2018" s="204"/>
      <c r="X2018" s="207"/>
      <c r="Y2018" s="207"/>
      <c r="Z2018" s="204"/>
      <c r="AA2018" s="204"/>
      <c r="AB2018" s="204"/>
      <c r="AC2018" s="204"/>
    </row>
    <row r="2019" spans="1:29">
      <c r="A2019" s="204"/>
      <c r="B2019" s="204"/>
      <c r="C2019" s="204"/>
      <c r="D2019" s="204"/>
      <c r="E2019" s="204"/>
      <c r="F2019" s="204"/>
      <c r="G2019" s="204"/>
      <c r="H2019" s="204"/>
      <c r="I2019" s="204"/>
      <c r="J2019" s="204"/>
      <c r="K2019" s="204"/>
      <c r="L2019" s="205"/>
      <c r="M2019" s="205"/>
      <c r="N2019" s="204"/>
      <c r="O2019" s="204"/>
      <c r="P2019" s="206"/>
      <c r="Q2019" s="206"/>
      <c r="R2019" s="206"/>
      <c r="S2019" s="206"/>
      <c r="T2019" s="204"/>
      <c r="U2019" s="207"/>
      <c r="V2019" s="204"/>
      <c r="W2019" s="204"/>
      <c r="X2019" s="207"/>
      <c r="Y2019" s="207"/>
      <c r="Z2019" s="204"/>
      <c r="AA2019" s="204"/>
      <c r="AB2019" s="204"/>
      <c r="AC2019" s="204"/>
    </row>
    <row r="2020" spans="1:29">
      <c r="A2020" s="204"/>
      <c r="B2020" s="204"/>
      <c r="C2020" s="204"/>
      <c r="D2020" s="204"/>
      <c r="E2020" s="204"/>
      <c r="F2020" s="204"/>
      <c r="G2020" s="204"/>
      <c r="H2020" s="204"/>
      <c r="I2020" s="204"/>
      <c r="J2020" s="204"/>
      <c r="K2020" s="204"/>
      <c r="L2020" s="205"/>
      <c r="M2020" s="205"/>
      <c r="N2020" s="204"/>
      <c r="O2020" s="204"/>
      <c r="P2020" s="206"/>
      <c r="Q2020" s="206"/>
      <c r="R2020" s="206"/>
      <c r="S2020" s="206"/>
      <c r="T2020" s="204"/>
      <c r="U2020" s="207"/>
      <c r="V2020" s="204"/>
      <c r="W2020" s="204"/>
      <c r="X2020" s="207"/>
      <c r="Y2020" s="207"/>
      <c r="Z2020" s="204"/>
      <c r="AA2020" s="204"/>
      <c r="AB2020" s="204"/>
      <c r="AC2020" s="204"/>
    </row>
    <row r="2021" spans="1:29">
      <c r="A2021" s="204"/>
      <c r="B2021" s="204"/>
      <c r="C2021" s="204"/>
      <c r="D2021" s="204"/>
      <c r="E2021" s="204"/>
      <c r="F2021" s="204"/>
      <c r="G2021" s="204"/>
      <c r="H2021" s="204"/>
      <c r="I2021" s="204"/>
      <c r="J2021" s="204"/>
      <c r="K2021" s="204"/>
      <c r="L2021" s="205"/>
      <c r="M2021" s="205"/>
      <c r="N2021" s="204"/>
      <c r="O2021" s="204"/>
      <c r="P2021" s="206"/>
      <c r="Q2021" s="206"/>
      <c r="R2021" s="206"/>
      <c r="S2021" s="206"/>
      <c r="T2021" s="204"/>
      <c r="U2021" s="207"/>
      <c r="V2021" s="204"/>
      <c r="W2021" s="204"/>
      <c r="X2021" s="207"/>
      <c r="Y2021" s="207"/>
      <c r="Z2021" s="204"/>
      <c r="AA2021" s="204"/>
      <c r="AB2021" s="204"/>
      <c r="AC2021" s="204"/>
    </row>
    <row r="2022" spans="1:29">
      <c r="A2022" s="204"/>
      <c r="B2022" s="204"/>
      <c r="C2022" s="204"/>
      <c r="D2022" s="204"/>
      <c r="E2022" s="204"/>
      <c r="F2022" s="204"/>
      <c r="G2022" s="204"/>
      <c r="H2022" s="204"/>
      <c r="I2022" s="204"/>
      <c r="J2022" s="204"/>
      <c r="K2022" s="204"/>
      <c r="L2022" s="205"/>
      <c r="M2022" s="205"/>
      <c r="N2022" s="204"/>
      <c r="O2022" s="204"/>
      <c r="P2022" s="206"/>
      <c r="Q2022" s="206"/>
      <c r="R2022" s="206"/>
      <c r="S2022" s="206"/>
      <c r="T2022" s="204"/>
      <c r="U2022" s="207"/>
      <c r="V2022" s="204"/>
      <c r="W2022" s="204"/>
      <c r="X2022" s="207"/>
      <c r="Y2022" s="207"/>
      <c r="Z2022" s="204"/>
      <c r="AA2022" s="204"/>
      <c r="AB2022" s="204"/>
      <c r="AC2022" s="204"/>
    </row>
    <row r="2023" spans="1:29">
      <c r="A2023" s="204"/>
      <c r="B2023" s="204"/>
      <c r="C2023" s="204"/>
      <c r="D2023" s="204"/>
      <c r="E2023" s="204"/>
      <c r="F2023" s="204"/>
      <c r="G2023" s="204"/>
      <c r="H2023" s="204"/>
      <c r="I2023" s="204"/>
      <c r="J2023" s="204"/>
      <c r="K2023" s="204"/>
      <c r="L2023" s="205"/>
      <c r="M2023" s="205"/>
      <c r="N2023" s="204"/>
      <c r="O2023" s="204"/>
      <c r="P2023" s="206"/>
      <c r="Q2023" s="206"/>
      <c r="R2023" s="206"/>
      <c r="S2023" s="206"/>
      <c r="T2023" s="204"/>
      <c r="U2023" s="207"/>
      <c r="V2023" s="204"/>
      <c r="W2023" s="204"/>
      <c r="X2023" s="207"/>
      <c r="Y2023" s="207"/>
      <c r="Z2023" s="204"/>
      <c r="AA2023" s="204"/>
      <c r="AB2023" s="204"/>
      <c r="AC2023" s="204"/>
    </row>
    <row r="2024" spans="1:29">
      <c r="A2024" s="204"/>
      <c r="B2024" s="204"/>
      <c r="C2024" s="204"/>
      <c r="D2024" s="204"/>
      <c r="E2024" s="204"/>
      <c r="F2024" s="204"/>
      <c r="G2024" s="204"/>
      <c r="H2024" s="204"/>
      <c r="I2024" s="204"/>
      <c r="J2024" s="204"/>
      <c r="K2024" s="204"/>
      <c r="L2024" s="205"/>
      <c r="M2024" s="205"/>
      <c r="N2024" s="204"/>
      <c r="O2024" s="204"/>
      <c r="P2024" s="206"/>
      <c r="Q2024" s="206"/>
      <c r="R2024" s="206"/>
      <c r="S2024" s="206"/>
      <c r="T2024" s="204"/>
      <c r="U2024" s="207"/>
      <c r="V2024" s="204"/>
      <c r="W2024" s="204"/>
      <c r="X2024" s="207"/>
      <c r="Y2024" s="207"/>
      <c r="Z2024" s="204"/>
      <c r="AA2024" s="204"/>
      <c r="AB2024" s="204"/>
      <c r="AC2024" s="204"/>
    </row>
    <row r="2025" spans="1:29">
      <c r="A2025" s="204"/>
      <c r="B2025" s="204"/>
      <c r="C2025" s="204"/>
      <c r="D2025" s="204"/>
      <c r="E2025" s="204"/>
      <c r="F2025" s="204"/>
      <c r="G2025" s="204"/>
      <c r="H2025" s="204"/>
      <c r="I2025" s="204"/>
      <c r="J2025" s="204"/>
      <c r="K2025" s="204"/>
      <c r="L2025" s="205"/>
      <c r="M2025" s="205"/>
      <c r="N2025" s="204"/>
      <c r="O2025" s="204"/>
      <c r="P2025" s="206"/>
      <c r="Q2025" s="206"/>
      <c r="R2025" s="206"/>
      <c r="S2025" s="206"/>
      <c r="T2025" s="204"/>
      <c r="U2025" s="207"/>
      <c r="V2025" s="204"/>
      <c r="W2025" s="204"/>
      <c r="X2025" s="207"/>
      <c r="Y2025" s="207"/>
      <c r="Z2025" s="204"/>
      <c r="AA2025" s="204"/>
      <c r="AB2025" s="204"/>
      <c r="AC2025" s="204"/>
    </row>
    <row r="2026" spans="1:29">
      <c r="A2026" s="204"/>
      <c r="B2026" s="204"/>
      <c r="C2026" s="204"/>
      <c r="D2026" s="204"/>
      <c r="E2026" s="204"/>
      <c r="F2026" s="204"/>
      <c r="G2026" s="204"/>
      <c r="H2026" s="204"/>
      <c r="I2026" s="204"/>
      <c r="J2026" s="204"/>
      <c r="K2026" s="204"/>
      <c r="L2026" s="205"/>
      <c r="M2026" s="205"/>
      <c r="N2026" s="204"/>
      <c r="O2026" s="204"/>
      <c r="P2026" s="206"/>
      <c r="Q2026" s="206"/>
      <c r="R2026" s="206"/>
      <c r="S2026" s="206"/>
      <c r="T2026" s="204"/>
      <c r="U2026" s="207"/>
      <c r="V2026" s="204"/>
      <c r="W2026" s="204"/>
      <c r="X2026" s="207"/>
      <c r="Y2026" s="207"/>
      <c r="Z2026" s="204"/>
      <c r="AA2026" s="204"/>
      <c r="AB2026" s="204"/>
      <c r="AC2026" s="204"/>
    </row>
    <row r="2027" spans="1:29">
      <c r="A2027" s="204"/>
      <c r="B2027" s="204"/>
      <c r="C2027" s="204"/>
      <c r="D2027" s="204"/>
      <c r="E2027" s="204"/>
      <c r="F2027" s="204"/>
      <c r="G2027" s="204"/>
      <c r="H2027" s="204"/>
      <c r="I2027" s="204"/>
      <c r="J2027" s="204"/>
      <c r="K2027" s="204"/>
      <c r="L2027" s="205"/>
      <c r="M2027" s="205"/>
      <c r="N2027" s="204"/>
      <c r="O2027" s="204"/>
      <c r="P2027" s="206"/>
      <c r="Q2027" s="206"/>
      <c r="R2027" s="206"/>
      <c r="S2027" s="206"/>
      <c r="T2027" s="204"/>
      <c r="U2027" s="207"/>
      <c r="V2027" s="204"/>
      <c r="W2027" s="204"/>
      <c r="X2027" s="207"/>
      <c r="Y2027" s="207"/>
      <c r="Z2027" s="204"/>
      <c r="AA2027" s="204"/>
      <c r="AB2027" s="204"/>
      <c r="AC2027" s="204"/>
    </row>
    <row r="2028" spans="1:29">
      <c r="A2028" s="204"/>
      <c r="B2028" s="204"/>
      <c r="C2028" s="204"/>
      <c r="D2028" s="204"/>
      <c r="E2028" s="204"/>
      <c r="F2028" s="204"/>
      <c r="G2028" s="204"/>
      <c r="H2028" s="204"/>
      <c r="I2028" s="204"/>
      <c r="J2028" s="204"/>
      <c r="K2028" s="204"/>
      <c r="L2028" s="205"/>
      <c r="M2028" s="205"/>
      <c r="N2028" s="204"/>
      <c r="O2028" s="204"/>
      <c r="P2028" s="206"/>
      <c r="Q2028" s="206"/>
      <c r="R2028" s="206"/>
      <c r="S2028" s="206"/>
      <c r="T2028" s="204"/>
      <c r="U2028" s="207"/>
      <c r="V2028" s="204"/>
      <c r="W2028" s="204"/>
      <c r="X2028" s="207"/>
      <c r="Y2028" s="207"/>
      <c r="Z2028" s="204"/>
      <c r="AA2028" s="204"/>
      <c r="AB2028" s="204"/>
      <c r="AC2028" s="204"/>
    </row>
    <row r="2029" spans="1:29">
      <c r="A2029" s="204"/>
      <c r="B2029" s="204"/>
      <c r="C2029" s="204"/>
      <c r="D2029" s="204"/>
      <c r="E2029" s="204"/>
      <c r="F2029" s="204"/>
      <c r="G2029" s="204"/>
      <c r="H2029" s="204"/>
      <c r="I2029" s="204"/>
      <c r="J2029" s="204"/>
      <c r="K2029" s="204"/>
      <c r="L2029" s="205"/>
      <c r="M2029" s="205"/>
      <c r="N2029" s="204"/>
      <c r="O2029" s="204"/>
      <c r="P2029" s="206"/>
      <c r="Q2029" s="206"/>
      <c r="R2029" s="206"/>
      <c r="S2029" s="206"/>
      <c r="T2029" s="204"/>
      <c r="U2029" s="207"/>
      <c r="V2029" s="204"/>
      <c r="W2029" s="204"/>
      <c r="X2029" s="207"/>
      <c r="Y2029" s="207"/>
      <c r="Z2029" s="204"/>
      <c r="AA2029" s="204"/>
      <c r="AB2029" s="204"/>
      <c r="AC2029" s="204"/>
    </row>
    <row r="2030" spans="1:29">
      <c r="A2030" s="204"/>
      <c r="B2030" s="204"/>
      <c r="C2030" s="204"/>
      <c r="D2030" s="204"/>
      <c r="E2030" s="204"/>
      <c r="F2030" s="204"/>
      <c r="G2030" s="204"/>
      <c r="H2030" s="204"/>
      <c r="I2030" s="204"/>
      <c r="J2030" s="204"/>
      <c r="K2030" s="204"/>
      <c r="L2030" s="205"/>
      <c r="M2030" s="205"/>
      <c r="N2030" s="204"/>
      <c r="O2030" s="204"/>
      <c r="P2030" s="206"/>
      <c r="Q2030" s="206"/>
      <c r="R2030" s="206"/>
      <c r="S2030" s="206"/>
      <c r="T2030" s="204"/>
      <c r="U2030" s="207"/>
      <c r="V2030" s="204"/>
      <c r="W2030" s="204"/>
      <c r="X2030" s="207"/>
      <c r="Y2030" s="207"/>
      <c r="Z2030" s="204"/>
      <c r="AA2030" s="204"/>
      <c r="AB2030" s="204"/>
      <c r="AC2030" s="204"/>
    </row>
    <row r="2031" spans="1:29">
      <c r="A2031" s="204"/>
      <c r="B2031" s="204"/>
      <c r="C2031" s="204"/>
      <c r="D2031" s="204"/>
      <c r="E2031" s="204"/>
      <c r="F2031" s="204"/>
      <c r="G2031" s="204"/>
      <c r="H2031" s="204"/>
      <c r="I2031" s="204"/>
      <c r="J2031" s="204"/>
      <c r="K2031" s="204"/>
      <c r="L2031" s="205"/>
      <c r="M2031" s="205"/>
      <c r="N2031" s="204"/>
      <c r="O2031" s="204"/>
      <c r="P2031" s="206"/>
      <c r="Q2031" s="206"/>
      <c r="R2031" s="206"/>
      <c r="S2031" s="206"/>
      <c r="T2031" s="204"/>
      <c r="U2031" s="207"/>
      <c r="V2031" s="204"/>
      <c r="W2031" s="204"/>
      <c r="X2031" s="207"/>
      <c r="Y2031" s="207"/>
      <c r="Z2031" s="204"/>
      <c r="AA2031" s="204"/>
      <c r="AB2031" s="204"/>
      <c r="AC2031" s="204"/>
    </row>
    <row r="2032" spans="1:29">
      <c r="A2032" s="204"/>
      <c r="B2032" s="204"/>
      <c r="C2032" s="204"/>
      <c r="D2032" s="204"/>
      <c r="E2032" s="204"/>
      <c r="F2032" s="204"/>
      <c r="G2032" s="204"/>
      <c r="H2032" s="204"/>
      <c r="I2032" s="204"/>
      <c r="J2032" s="204"/>
      <c r="K2032" s="204"/>
      <c r="L2032" s="205"/>
      <c r="M2032" s="205"/>
      <c r="N2032" s="204"/>
      <c r="O2032" s="204"/>
      <c r="P2032" s="206"/>
      <c r="Q2032" s="206"/>
      <c r="R2032" s="206"/>
      <c r="S2032" s="206"/>
      <c r="T2032" s="204"/>
      <c r="U2032" s="207"/>
      <c r="V2032" s="204"/>
      <c r="W2032" s="204"/>
      <c r="X2032" s="207"/>
      <c r="Y2032" s="207"/>
      <c r="Z2032" s="204"/>
      <c r="AA2032" s="204"/>
      <c r="AB2032" s="204"/>
      <c r="AC2032" s="204"/>
    </row>
    <row r="2033" spans="1:29">
      <c r="A2033" s="204"/>
      <c r="B2033" s="204"/>
      <c r="C2033" s="204"/>
      <c r="D2033" s="204"/>
      <c r="E2033" s="204"/>
      <c r="F2033" s="204"/>
      <c r="G2033" s="204"/>
      <c r="H2033" s="204"/>
      <c r="I2033" s="204"/>
      <c r="J2033" s="204"/>
      <c r="K2033" s="204"/>
      <c r="L2033" s="205"/>
      <c r="M2033" s="205"/>
      <c r="N2033" s="204"/>
      <c r="O2033" s="204"/>
      <c r="P2033" s="206"/>
      <c r="Q2033" s="206"/>
      <c r="R2033" s="206"/>
      <c r="S2033" s="206"/>
      <c r="T2033" s="204"/>
      <c r="U2033" s="207"/>
      <c r="V2033" s="204"/>
      <c r="W2033" s="204"/>
      <c r="X2033" s="207"/>
      <c r="Y2033" s="207"/>
      <c r="Z2033" s="204"/>
      <c r="AA2033" s="204"/>
      <c r="AB2033" s="204"/>
      <c r="AC2033" s="204"/>
    </row>
    <row r="2034" spans="1:29">
      <c r="A2034" s="204"/>
      <c r="B2034" s="204"/>
      <c r="C2034" s="204"/>
      <c r="D2034" s="204"/>
      <c r="E2034" s="204"/>
      <c r="F2034" s="204"/>
      <c r="G2034" s="204"/>
      <c r="H2034" s="204"/>
      <c r="I2034" s="204"/>
      <c r="J2034" s="204"/>
      <c r="K2034" s="204"/>
      <c r="L2034" s="205"/>
      <c r="M2034" s="205"/>
      <c r="N2034" s="204"/>
      <c r="O2034" s="204"/>
      <c r="P2034" s="206"/>
      <c r="Q2034" s="206"/>
      <c r="R2034" s="206"/>
      <c r="S2034" s="206"/>
      <c r="T2034" s="204"/>
      <c r="U2034" s="207"/>
      <c r="V2034" s="204"/>
      <c r="W2034" s="204"/>
      <c r="X2034" s="207"/>
      <c r="Y2034" s="207"/>
      <c r="Z2034" s="204"/>
      <c r="AA2034" s="204"/>
      <c r="AB2034" s="204"/>
      <c r="AC2034" s="204"/>
    </row>
    <row r="2035" spans="1:29">
      <c r="A2035" s="204"/>
      <c r="B2035" s="204"/>
      <c r="C2035" s="204"/>
      <c r="D2035" s="204"/>
      <c r="E2035" s="204"/>
      <c r="F2035" s="204"/>
      <c r="G2035" s="204"/>
      <c r="H2035" s="204"/>
      <c r="I2035" s="204"/>
      <c r="J2035" s="204"/>
      <c r="K2035" s="204"/>
      <c r="L2035" s="205"/>
      <c r="M2035" s="205"/>
      <c r="N2035" s="204"/>
      <c r="O2035" s="204"/>
      <c r="P2035" s="206"/>
      <c r="Q2035" s="206"/>
      <c r="R2035" s="206"/>
      <c r="S2035" s="206"/>
      <c r="T2035" s="204"/>
      <c r="U2035" s="207"/>
      <c r="V2035" s="204"/>
      <c r="W2035" s="204"/>
      <c r="X2035" s="207"/>
      <c r="Y2035" s="207"/>
      <c r="Z2035" s="204"/>
      <c r="AA2035" s="204"/>
      <c r="AB2035" s="204"/>
      <c r="AC2035" s="204"/>
    </row>
    <row r="2036" spans="1:29">
      <c r="A2036" s="204"/>
      <c r="B2036" s="204"/>
      <c r="C2036" s="204"/>
      <c r="D2036" s="204"/>
      <c r="E2036" s="204"/>
      <c r="F2036" s="204"/>
      <c r="G2036" s="204"/>
      <c r="H2036" s="204"/>
      <c r="I2036" s="204"/>
      <c r="J2036" s="204"/>
      <c r="K2036" s="204"/>
      <c r="L2036" s="205"/>
      <c r="M2036" s="205"/>
      <c r="N2036" s="204"/>
      <c r="O2036" s="204"/>
      <c r="P2036" s="206"/>
      <c r="Q2036" s="206"/>
      <c r="R2036" s="206"/>
      <c r="S2036" s="206"/>
      <c r="T2036" s="204"/>
      <c r="U2036" s="207"/>
      <c r="V2036" s="204"/>
      <c r="W2036" s="204"/>
      <c r="X2036" s="207"/>
      <c r="Y2036" s="207"/>
      <c r="Z2036" s="204"/>
      <c r="AA2036" s="204"/>
      <c r="AB2036" s="204"/>
      <c r="AC2036" s="204"/>
    </row>
    <row r="2037" spans="1:29">
      <c r="A2037" s="204"/>
      <c r="B2037" s="204"/>
      <c r="C2037" s="204"/>
      <c r="D2037" s="204"/>
      <c r="E2037" s="204"/>
      <c r="F2037" s="204"/>
      <c r="G2037" s="204"/>
      <c r="H2037" s="204"/>
      <c r="I2037" s="204"/>
      <c r="J2037" s="204"/>
      <c r="K2037" s="204"/>
      <c r="L2037" s="205"/>
      <c r="M2037" s="205"/>
      <c r="N2037" s="204"/>
      <c r="O2037" s="204"/>
      <c r="P2037" s="206"/>
      <c r="Q2037" s="206"/>
      <c r="R2037" s="206"/>
      <c r="S2037" s="206"/>
      <c r="T2037" s="204"/>
      <c r="U2037" s="207"/>
      <c r="V2037" s="204"/>
      <c r="W2037" s="204"/>
      <c r="X2037" s="207"/>
      <c r="Y2037" s="207"/>
      <c r="Z2037" s="204"/>
      <c r="AA2037" s="204"/>
      <c r="AB2037" s="204"/>
      <c r="AC2037" s="204"/>
    </row>
    <row r="2038" spans="1:29">
      <c r="A2038" s="204"/>
      <c r="B2038" s="204"/>
      <c r="C2038" s="204"/>
      <c r="D2038" s="204"/>
      <c r="E2038" s="204"/>
      <c r="F2038" s="204"/>
      <c r="G2038" s="204"/>
      <c r="H2038" s="204"/>
      <c r="I2038" s="204"/>
      <c r="J2038" s="204"/>
      <c r="K2038" s="204"/>
      <c r="L2038" s="205"/>
      <c r="M2038" s="205"/>
      <c r="N2038" s="204"/>
      <c r="O2038" s="204"/>
      <c r="P2038" s="206"/>
      <c r="Q2038" s="206"/>
      <c r="R2038" s="206"/>
      <c r="S2038" s="206"/>
      <c r="T2038" s="204"/>
      <c r="U2038" s="207"/>
      <c r="V2038" s="204"/>
      <c r="W2038" s="204"/>
      <c r="X2038" s="207"/>
      <c r="Y2038" s="207"/>
      <c r="Z2038" s="204"/>
      <c r="AA2038" s="204"/>
      <c r="AB2038" s="204"/>
      <c r="AC2038" s="204"/>
    </row>
    <row r="2039" spans="1:29">
      <c r="A2039" s="204"/>
      <c r="B2039" s="204"/>
      <c r="C2039" s="204"/>
      <c r="D2039" s="204"/>
      <c r="E2039" s="204"/>
      <c r="F2039" s="204"/>
      <c r="G2039" s="204"/>
      <c r="H2039" s="204"/>
      <c r="I2039" s="204"/>
      <c r="J2039" s="204"/>
      <c r="K2039" s="204"/>
      <c r="L2039" s="205"/>
      <c r="M2039" s="205"/>
      <c r="N2039" s="204"/>
      <c r="O2039" s="204"/>
      <c r="P2039" s="206"/>
      <c r="Q2039" s="206"/>
      <c r="R2039" s="206"/>
      <c r="S2039" s="206"/>
      <c r="T2039" s="204"/>
      <c r="U2039" s="207"/>
      <c r="V2039" s="204"/>
      <c r="W2039" s="204"/>
      <c r="X2039" s="207"/>
      <c r="Y2039" s="207"/>
      <c r="Z2039" s="204"/>
      <c r="AA2039" s="204"/>
      <c r="AB2039" s="204"/>
      <c r="AC2039" s="204"/>
    </row>
    <row r="2040" spans="1:29">
      <c r="A2040" s="204"/>
      <c r="B2040" s="204"/>
      <c r="C2040" s="204"/>
      <c r="D2040" s="204"/>
      <c r="E2040" s="204"/>
      <c r="F2040" s="204"/>
      <c r="G2040" s="204"/>
      <c r="H2040" s="204"/>
      <c r="I2040" s="204"/>
      <c r="J2040" s="204"/>
      <c r="K2040" s="204"/>
      <c r="L2040" s="205"/>
      <c r="M2040" s="205"/>
      <c r="N2040" s="204"/>
      <c r="O2040" s="204"/>
      <c r="P2040" s="206"/>
      <c r="Q2040" s="206"/>
      <c r="R2040" s="206"/>
      <c r="S2040" s="206"/>
      <c r="T2040" s="204"/>
      <c r="U2040" s="207"/>
      <c r="V2040" s="204"/>
      <c r="W2040" s="204"/>
      <c r="X2040" s="207"/>
      <c r="Y2040" s="207"/>
      <c r="Z2040" s="204"/>
      <c r="AA2040" s="204"/>
      <c r="AB2040" s="204"/>
      <c r="AC2040" s="204"/>
    </row>
    <row r="2041" spans="1:29">
      <c r="A2041" s="204"/>
      <c r="B2041" s="204"/>
      <c r="C2041" s="204"/>
      <c r="D2041" s="204"/>
      <c r="E2041" s="204"/>
      <c r="F2041" s="204"/>
      <c r="G2041" s="204"/>
      <c r="H2041" s="204"/>
      <c r="I2041" s="204"/>
      <c r="J2041" s="204"/>
      <c r="K2041" s="204"/>
      <c r="L2041" s="205"/>
      <c r="M2041" s="205"/>
      <c r="N2041" s="204"/>
      <c r="O2041" s="204"/>
      <c r="P2041" s="206"/>
      <c r="Q2041" s="206"/>
      <c r="R2041" s="206"/>
      <c r="S2041" s="206"/>
      <c r="T2041" s="204"/>
      <c r="U2041" s="207"/>
      <c r="V2041" s="204"/>
      <c r="W2041" s="204"/>
      <c r="X2041" s="207"/>
      <c r="Y2041" s="207"/>
      <c r="Z2041" s="204"/>
      <c r="AA2041" s="204"/>
      <c r="AB2041" s="204"/>
      <c r="AC2041" s="204"/>
    </row>
    <row r="2042" spans="1:29">
      <c r="A2042" s="204"/>
      <c r="B2042" s="204"/>
      <c r="C2042" s="204"/>
      <c r="D2042" s="204"/>
      <c r="E2042" s="204"/>
      <c r="F2042" s="204"/>
      <c r="G2042" s="204"/>
      <c r="H2042" s="204"/>
      <c r="I2042" s="204"/>
      <c r="J2042" s="204"/>
      <c r="K2042" s="204"/>
      <c r="L2042" s="205"/>
      <c r="M2042" s="205"/>
      <c r="N2042" s="204"/>
      <c r="O2042" s="204"/>
      <c r="P2042" s="206"/>
      <c r="Q2042" s="206"/>
      <c r="R2042" s="206"/>
      <c r="S2042" s="206"/>
      <c r="T2042" s="204"/>
      <c r="U2042" s="207"/>
      <c r="V2042" s="204"/>
      <c r="W2042" s="204"/>
      <c r="X2042" s="207"/>
      <c r="Y2042" s="207"/>
      <c r="Z2042" s="204"/>
      <c r="AA2042" s="204"/>
      <c r="AB2042" s="204"/>
      <c r="AC2042" s="204"/>
    </row>
    <row r="2043" spans="1:29">
      <c r="A2043" s="204"/>
      <c r="B2043" s="204"/>
      <c r="C2043" s="204"/>
      <c r="D2043" s="204"/>
      <c r="E2043" s="204"/>
      <c r="F2043" s="204"/>
      <c r="G2043" s="204"/>
      <c r="H2043" s="204"/>
      <c r="I2043" s="204"/>
      <c r="J2043" s="204"/>
      <c r="K2043" s="204"/>
      <c r="L2043" s="205"/>
      <c r="M2043" s="205"/>
      <c r="N2043" s="204"/>
      <c r="O2043" s="204"/>
      <c r="P2043" s="206"/>
      <c r="Q2043" s="206"/>
      <c r="R2043" s="206"/>
      <c r="S2043" s="206"/>
      <c r="T2043" s="204"/>
      <c r="U2043" s="207"/>
      <c r="V2043" s="204"/>
      <c r="W2043" s="204"/>
      <c r="X2043" s="207"/>
      <c r="Y2043" s="207"/>
      <c r="Z2043" s="204"/>
      <c r="AA2043" s="204"/>
      <c r="AB2043" s="204"/>
      <c r="AC2043" s="204"/>
    </row>
    <row r="2044" spans="1:29">
      <c r="A2044" s="204"/>
      <c r="B2044" s="204"/>
      <c r="C2044" s="204"/>
      <c r="D2044" s="204"/>
      <c r="E2044" s="204"/>
      <c r="F2044" s="204"/>
      <c r="G2044" s="204"/>
      <c r="H2044" s="204"/>
      <c r="I2044" s="204"/>
      <c r="J2044" s="204"/>
      <c r="K2044" s="204"/>
      <c r="L2044" s="205"/>
      <c r="M2044" s="205"/>
      <c r="N2044" s="204"/>
      <c r="O2044" s="204"/>
      <c r="P2044" s="206"/>
      <c r="Q2044" s="206"/>
      <c r="R2044" s="206"/>
      <c r="S2044" s="206"/>
      <c r="T2044" s="204"/>
      <c r="U2044" s="207"/>
      <c r="V2044" s="204"/>
      <c r="W2044" s="204"/>
      <c r="X2044" s="207"/>
      <c r="Y2044" s="207"/>
      <c r="Z2044" s="204"/>
      <c r="AA2044" s="204"/>
      <c r="AB2044" s="204"/>
      <c r="AC2044" s="204"/>
    </row>
    <row r="2045" spans="1:29">
      <c r="A2045" s="204"/>
      <c r="B2045" s="204"/>
      <c r="C2045" s="204"/>
      <c r="D2045" s="204"/>
      <c r="E2045" s="204"/>
      <c r="F2045" s="204"/>
      <c r="G2045" s="204"/>
      <c r="H2045" s="204"/>
      <c r="I2045" s="204"/>
      <c r="J2045" s="204"/>
      <c r="K2045" s="204"/>
      <c r="L2045" s="205"/>
      <c r="M2045" s="205"/>
      <c r="N2045" s="204"/>
      <c r="O2045" s="204"/>
      <c r="P2045" s="206"/>
      <c r="Q2045" s="206"/>
      <c r="R2045" s="206"/>
      <c r="S2045" s="206"/>
      <c r="T2045" s="204"/>
      <c r="U2045" s="207"/>
      <c r="V2045" s="204"/>
      <c r="W2045" s="204"/>
      <c r="X2045" s="207"/>
      <c r="Y2045" s="207"/>
      <c r="Z2045" s="204"/>
      <c r="AA2045" s="204"/>
      <c r="AB2045" s="204"/>
      <c r="AC2045" s="204"/>
    </row>
    <row r="2046" spans="1:29">
      <c r="A2046" s="204"/>
      <c r="B2046" s="204"/>
      <c r="C2046" s="204"/>
      <c r="D2046" s="204"/>
      <c r="E2046" s="204"/>
      <c r="F2046" s="204"/>
      <c r="G2046" s="204"/>
      <c r="H2046" s="204"/>
      <c r="I2046" s="204"/>
      <c r="J2046" s="204"/>
      <c r="K2046" s="204"/>
      <c r="L2046" s="205"/>
      <c r="M2046" s="205"/>
      <c r="N2046" s="204"/>
      <c r="O2046" s="204"/>
      <c r="P2046" s="206"/>
      <c r="Q2046" s="206"/>
      <c r="R2046" s="206"/>
      <c r="S2046" s="206"/>
      <c r="T2046" s="204"/>
      <c r="U2046" s="207"/>
      <c r="V2046" s="204"/>
      <c r="W2046" s="204"/>
      <c r="X2046" s="207"/>
      <c r="Y2046" s="207"/>
      <c r="Z2046" s="204"/>
      <c r="AA2046" s="204"/>
      <c r="AB2046" s="204"/>
      <c r="AC2046" s="204"/>
    </row>
    <row r="2047" spans="1:29">
      <c r="A2047" s="204"/>
      <c r="B2047" s="204"/>
      <c r="C2047" s="204"/>
      <c r="D2047" s="204"/>
      <c r="E2047" s="204"/>
      <c r="F2047" s="204"/>
      <c r="G2047" s="204"/>
      <c r="H2047" s="204"/>
      <c r="I2047" s="204"/>
      <c r="J2047" s="204"/>
      <c r="K2047" s="204"/>
      <c r="L2047" s="205"/>
      <c r="M2047" s="205"/>
      <c r="N2047" s="204"/>
      <c r="O2047" s="204"/>
      <c r="P2047" s="206"/>
      <c r="Q2047" s="206"/>
      <c r="R2047" s="206"/>
      <c r="S2047" s="206"/>
      <c r="T2047" s="204"/>
      <c r="U2047" s="207"/>
      <c r="V2047" s="204"/>
      <c r="W2047" s="204"/>
      <c r="X2047" s="207"/>
      <c r="Y2047" s="207"/>
      <c r="Z2047" s="204"/>
      <c r="AA2047" s="204"/>
      <c r="AB2047" s="204"/>
      <c r="AC2047" s="204"/>
    </row>
    <row r="2048" spans="1:29">
      <c r="A2048" s="204"/>
      <c r="B2048" s="204"/>
      <c r="C2048" s="204"/>
      <c r="D2048" s="204"/>
      <c r="E2048" s="204"/>
      <c r="F2048" s="204"/>
      <c r="G2048" s="204"/>
      <c r="H2048" s="204"/>
      <c r="I2048" s="204"/>
      <c r="J2048" s="204"/>
      <c r="K2048" s="204"/>
      <c r="L2048" s="205"/>
      <c r="M2048" s="205"/>
      <c r="N2048" s="204"/>
      <c r="O2048" s="204"/>
      <c r="P2048" s="206"/>
      <c r="Q2048" s="206"/>
      <c r="R2048" s="206"/>
      <c r="S2048" s="206"/>
      <c r="T2048" s="204"/>
      <c r="U2048" s="207"/>
      <c r="V2048" s="204"/>
      <c r="W2048" s="204"/>
      <c r="X2048" s="207"/>
      <c r="Y2048" s="207"/>
      <c r="Z2048" s="204"/>
      <c r="AA2048" s="204"/>
      <c r="AB2048" s="204"/>
      <c r="AC2048" s="204"/>
    </row>
    <row r="2049" spans="1:29">
      <c r="A2049" s="204"/>
      <c r="B2049" s="204"/>
      <c r="C2049" s="204"/>
      <c r="D2049" s="204"/>
      <c r="E2049" s="204"/>
      <c r="F2049" s="204"/>
      <c r="G2049" s="204"/>
      <c r="H2049" s="204"/>
      <c r="I2049" s="204"/>
      <c r="J2049" s="204"/>
      <c r="K2049" s="204"/>
      <c r="L2049" s="205"/>
      <c r="M2049" s="205"/>
      <c r="N2049" s="204"/>
      <c r="O2049" s="204"/>
      <c r="P2049" s="206"/>
      <c r="Q2049" s="206"/>
      <c r="R2049" s="206"/>
      <c r="S2049" s="206"/>
      <c r="T2049" s="204"/>
      <c r="U2049" s="207"/>
      <c r="V2049" s="204"/>
      <c r="W2049" s="204"/>
      <c r="X2049" s="207"/>
      <c r="Y2049" s="207"/>
      <c r="Z2049" s="204"/>
      <c r="AA2049" s="204"/>
      <c r="AB2049" s="204"/>
      <c r="AC2049" s="204"/>
    </row>
    <row r="2050" spans="1:29">
      <c r="A2050" s="204"/>
      <c r="B2050" s="204"/>
      <c r="C2050" s="204"/>
      <c r="D2050" s="204"/>
      <c r="E2050" s="204"/>
      <c r="F2050" s="204"/>
      <c r="G2050" s="204"/>
      <c r="H2050" s="204"/>
      <c r="I2050" s="204"/>
      <c r="J2050" s="204"/>
      <c r="K2050" s="204"/>
      <c r="L2050" s="205"/>
      <c r="M2050" s="205"/>
      <c r="N2050" s="204"/>
      <c r="O2050" s="204"/>
      <c r="P2050" s="206"/>
      <c r="Q2050" s="206"/>
      <c r="R2050" s="206"/>
      <c r="S2050" s="206"/>
      <c r="T2050" s="204"/>
      <c r="U2050" s="207"/>
      <c r="V2050" s="204"/>
      <c r="W2050" s="204"/>
      <c r="X2050" s="207"/>
      <c r="Y2050" s="207"/>
      <c r="Z2050" s="204"/>
      <c r="AA2050" s="204"/>
      <c r="AB2050" s="204"/>
      <c r="AC2050" s="204"/>
    </row>
    <row r="2051" spans="1:29">
      <c r="A2051" s="204"/>
      <c r="B2051" s="204"/>
      <c r="C2051" s="204"/>
      <c r="D2051" s="204"/>
      <c r="E2051" s="204"/>
      <c r="F2051" s="204"/>
      <c r="G2051" s="204"/>
      <c r="H2051" s="204"/>
      <c r="I2051" s="204"/>
      <c r="J2051" s="204"/>
      <c r="K2051" s="204"/>
      <c r="L2051" s="205"/>
      <c r="M2051" s="205"/>
      <c r="N2051" s="204"/>
      <c r="O2051" s="204"/>
      <c r="P2051" s="206"/>
      <c r="Q2051" s="206"/>
      <c r="R2051" s="206"/>
      <c r="S2051" s="206"/>
      <c r="T2051" s="204"/>
      <c r="U2051" s="207"/>
      <c r="V2051" s="204"/>
      <c r="W2051" s="204"/>
      <c r="X2051" s="207"/>
      <c r="Y2051" s="207"/>
      <c r="Z2051" s="204"/>
      <c r="AA2051" s="204"/>
      <c r="AB2051" s="204"/>
      <c r="AC2051" s="204"/>
    </row>
    <row r="2052" spans="1:29">
      <c r="A2052" s="204"/>
      <c r="B2052" s="204"/>
      <c r="C2052" s="204"/>
      <c r="D2052" s="204"/>
      <c r="E2052" s="204"/>
      <c r="F2052" s="204"/>
      <c r="G2052" s="204"/>
      <c r="H2052" s="204"/>
      <c r="I2052" s="204"/>
      <c r="J2052" s="204"/>
      <c r="K2052" s="204"/>
      <c r="L2052" s="205"/>
      <c r="M2052" s="205"/>
      <c r="N2052" s="204"/>
      <c r="O2052" s="204"/>
      <c r="P2052" s="206"/>
      <c r="Q2052" s="206"/>
      <c r="R2052" s="206"/>
      <c r="S2052" s="206"/>
      <c r="T2052" s="204"/>
      <c r="U2052" s="207"/>
      <c r="V2052" s="204"/>
      <c r="W2052" s="204"/>
      <c r="X2052" s="207"/>
      <c r="Y2052" s="207"/>
      <c r="Z2052" s="204"/>
      <c r="AA2052" s="204"/>
      <c r="AB2052" s="204"/>
      <c r="AC2052" s="204"/>
    </row>
    <row r="2053" spans="1:29">
      <c r="A2053" s="204"/>
      <c r="B2053" s="204"/>
      <c r="C2053" s="204"/>
      <c r="D2053" s="204"/>
      <c r="E2053" s="204"/>
      <c r="F2053" s="204"/>
      <c r="G2053" s="204"/>
      <c r="H2053" s="204"/>
      <c r="I2053" s="204"/>
      <c r="J2053" s="204"/>
      <c r="K2053" s="204"/>
      <c r="L2053" s="205"/>
      <c r="M2053" s="205"/>
      <c r="N2053" s="204"/>
      <c r="O2053" s="204"/>
      <c r="P2053" s="206"/>
      <c r="Q2053" s="206"/>
      <c r="R2053" s="206"/>
      <c r="S2053" s="206"/>
      <c r="T2053" s="204"/>
      <c r="U2053" s="207"/>
      <c r="V2053" s="204"/>
      <c r="W2053" s="204"/>
      <c r="X2053" s="207"/>
      <c r="Y2053" s="207"/>
      <c r="Z2053" s="204"/>
      <c r="AA2053" s="204"/>
      <c r="AB2053" s="204"/>
      <c r="AC2053" s="204"/>
    </row>
    <row r="2054" spans="1:29">
      <c r="A2054" s="204"/>
      <c r="B2054" s="204"/>
      <c r="C2054" s="204"/>
      <c r="D2054" s="204"/>
      <c r="E2054" s="204"/>
      <c r="F2054" s="204"/>
      <c r="G2054" s="204"/>
      <c r="H2054" s="204"/>
      <c r="I2054" s="204"/>
      <c r="J2054" s="204"/>
      <c r="K2054" s="204"/>
      <c r="L2054" s="205"/>
      <c r="M2054" s="205"/>
      <c r="N2054" s="204"/>
      <c r="O2054" s="204"/>
      <c r="P2054" s="206"/>
      <c r="Q2054" s="206"/>
      <c r="R2054" s="206"/>
      <c r="S2054" s="206"/>
      <c r="T2054" s="204"/>
      <c r="U2054" s="207"/>
      <c r="V2054" s="204"/>
      <c r="W2054" s="204"/>
      <c r="X2054" s="207"/>
      <c r="Y2054" s="207"/>
      <c r="Z2054" s="204"/>
      <c r="AA2054" s="204"/>
      <c r="AB2054" s="204"/>
      <c r="AC2054" s="204"/>
    </row>
    <row r="2055" spans="1:29">
      <c r="A2055" s="204"/>
      <c r="B2055" s="204"/>
      <c r="C2055" s="204"/>
      <c r="D2055" s="204"/>
      <c r="E2055" s="204"/>
      <c r="F2055" s="204"/>
      <c r="G2055" s="204"/>
      <c r="H2055" s="204"/>
      <c r="I2055" s="204"/>
      <c r="J2055" s="204"/>
      <c r="K2055" s="204"/>
      <c r="L2055" s="205"/>
      <c r="M2055" s="205"/>
      <c r="N2055" s="204"/>
      <c r="O2055" s="204"/>
      <c r="P2055" s="206"/>
      <c r="Q2055" s="206"/>
      <c r="R2055" s="206"/>
      <c r="S2055" s="206"/>
      <c r="T2055" s="204"/>
      <c r="U2055" s="207"/>
      <c r="V2055" s="204"/>
      <c r="W2055" s="204"/>
      <c r="X2055" s="207"/>
      <c r="Y2055" s="207"/>
      <c r="Z2055" s="204"/>
      <c r="AA2055" s="204"/>
      <c r="AB2055" s="204"/>
      <c r="AC2055" s="204"/>
    </row>
    <row r="2056" spans="1:29">
      <c r="A2056" s="204"/>
      <c r="B2056" s="204"/>
      <c r="C2056" s="204"/>
      <c r="D2056" s="204"/>
      <c r="E2056" s="204"/>
      <c r="F2056" s="204"/>
      <c r="G2056" s="204"/>
      <c r="H2056" s="204"/>
      <c r="I2056" s="204"/>
      <c r="J2056" s="204"/>
      <c r="K2056" s="204"/>
      <c r="L2056" s="205"/>
      <c r="M2056" s="205"/>
      <c r="N2056" s="204"/>
      <c r="O2056" s="204"/>
      <c r="P2056" s="206"/>
      <c r="Q2056" s="206"/>
      <c r="R2056" s="206"/>
      <c r="S2056" s="206"/>
      <c r="T2056" s="204"/>
      <c r="U2056" s="207"/>
      <c r="V2056" s="204"/>
      <c r="W2056" s="204"/>
      <c r="X2056" s="207"/>
      <c r="Y2056" s="207"/>
      <c r="Z2056" s="204"/>
      <c r="AA2056" s="204"/>
      <c r="AB2056" s="204"/>
      <c r="AC2056" s="204"/>
    </row>
    <row r="2057" spans="1:29">
      <c r="A2057" s="204"/>
      <c r="B2057" s="204"/>
      <c r="C2057" s="204"/>
      <c r="D2057" s="204"/>
      <c r="E2057" s="204"/>
      <c r="F2057" s="204"/>
      <c r="G2057" s="204"/>
      <c r="H2057" s="204"/>
      <c r="I2057" s="204"/>
      <c r="J2057" s="204"/>
      <c r="K2057" s="204"/>
      <c r="L2057" s="205"/>
      <c r="M2057" s="205"/>
      <c r="N2057" s="204"/>
      <c r="O2057" s="204"/>
      <c r="P2057" s="206"/>
      <c r="Q2057" s="206"/>
      <c r="R2057" s="206"/>
      <c r="S2057" s="206"/>
      <c r="T2057" s="204"/>
      <c r="U2057" s="207"/>
      <c r="V2057" s="204"/>
      <c r="W2057" s="204"/>
      <c r="X2057" s="207"/>
      <c r="Y2057" s="207"/>
      <c r="Z2057" s="204"/>
      <c r="AA2057" s="204"/>
      <c r="AB2057" s="204"/>
      <c r="AC2057" s="204"/>
    </row>
    <row r="2058" spans="1:29">
      <c r="A2058" s="204"/>
      <c r="B2058" s="204"/>
      <c r="C2058" s="204"/>
      <c r="D2058" s="204"/>
      <c r="E2058" s="204"/>
      <c r="F2058" s="204"/>
      <c r="G2058" s="204"/>
      <c r="H2058" s="204"/>
      <c r="I2058" s="204"/>
      <c r="J2058" s="204"/>
      <c r="K2058" s="204"/>
      <c r="L2058" s="205"/>
      <c r="M2058" s="205"/>
      <c r="N2058" s="204"/>
      <c r="O2058" s="204"/>
      <c r="P2058" s="206"/>
      <c r="Q2058" s="206"/>
      <c r="R2058" s="206"/>
      <c r="S2058" s="206"/>
      <c r="T2058" s="204"/>
      <c r="U2058" s="207"/>
      <c r="V2058" s="204"/>
      <c r="W2058" s="204"/>
      <c r="X2058" s="207"/>
      <c r="Y2058" s="207"/>
      <c r="Z2058" s="204"/>
      <c r="AA2058" s="204"/>
      <c r="AB2058" s="204"/>
      <c r="AC2058" s="204"/>
    </row>
    <row r="2059" spans="1:29">
      <c r="A2059" s="204"/>
      <c r="B2059" s="204"/>
      <c r="C2059" s="204"/>
      <c r="D2059" s="204"/>
      <c r="E2059" s="204"/>
      <c r="F2059" s="204"/>
      <c r="G2059" s="204"/>
      <c r="H2059" s="204"/>
      <c r="I2059" s="204"/>
      <c r="J2059" s="204"/>
      <c r="K2059" s="204"/>
      <c r="L2059" s="205"/>
      <c r="M2059" s="205"/>
      <c r="N2059" s="204"/>
      <c r="O2059" s="204"/>
      <c r="P2059" s="206"/>
      <c r="Q2059" s="206"/>
      <c r="R2059" s="206"/>
      <c r="S2059" s="206"/>
      <c r="T2059" s="204"/>
      <c r="U2059" s="207"/>
      <c r="V2059" s="204"/>
      <c r="W2059" s="204"/>
      <c r="X2059" s="207"/>
      <c r="Y2059" s="207"/>
      <c r="Z2059" s="204"/>
      <c r="AA2059" s="204"/>
      <c r="AB2059" s="204"/>
      <c r="AC2059" s="204"/>
    </row>
    <row r="2060" spans="1:29">
      <c r="A2060" s="204"/>
      <c r="B2060" s="204"/>
      <c r="C2060" s="204"/>
      <c r="D2060" s="204"/>
      <c r="E2060" s="204"/>
      <c r="F2060" s="204"/>
      <c r="G2060" s="204"/>
      <c r="H2060" s="204"/>
      <c r="I2060" s="204"/>
      <c r="J2060" s="204"/>
      <c r="K2060" s="204"/>
      <c r="L2060" s="205"/>
      <c r="M2060" s="205"/>
      <c r="N2060" s="204"/>
      <c r="O2060" s="204"/>
      <c r="P2060" s="206"/>
      <c r="Q2060" s="206"/>
      <c r="R2060" s="206"/>
      <c r="S2060" s="206"/>
      <c r="T2060" s="204"/>
      <c r="U2060" s="207"/>
      <c r="V2060" s="204"/>
      <c r="W2060" s="204"/>
      <c r="X2060" s="207"/>
      <c r="Y2060" s="207"/>
      <c r="Z2060" s="204"/>
      <c r="AA2060" s="204"/>
      <c r="AB2060" s="204"/>
      <c r="AC2060" s="204"/>
    </row>
    <row r="2061" spans="1:29">
      <c r="A2061" s="204"/>
      <c r="B2061" s="204"/>
      <c r="C2061" s="204"/>
      <c r="D2061" s="204"/>
      <c r="E2061" s="204"/>
      <c r="F2061" s="204"/>
      <c r="G2061" s="204"/>
      <c r="H2061" s="204"/>
      <c r="I2061" s="204"/>
      <c r="J2061" s="204"/>
      <c r="K2061" s="204"/>
      <c r="L2061" s="205"/>
      <c r="M2061" s="205"/>
      <c r="N2061" s="204"/>
      <c r="O2061" s="204"/>
      <c r="P2061" s="206"/>
      <c r="Q2061" s="206"/>
      <c r="R2061" s="206"/>
      <c r="S2061" s="206"/>
      <c r="T2061" s="204"/>
      <c r="U2061" s="207"/>
      <c r="V2061" s="204"/>
      <c r="W2061" s="204"/>
      <c r="X2061" s="207"/>
      <c r="Y2061" s="207"/>
      <c r="Z2061" s="204"/>
      <c r="AA2061" s="204"/>
      <c r="AB2061" s="204"/>
      <c r="AC2061" s="204"/>
    </row>
    <row r="2062" spans="1:29">
      <c r="A2062" s="204"/>
      <c r="B2062" s="204"/>
      <c r="C2062" s="204"/>
      <c r="D2062" s="204"/>
      <c r="E2062" s="204"/>
      <c r="F2062" s="204"/>
      <c r="G2062" s="204"/>
      <c r="H2062" s="204"/>
      <c r="I2062" s="204"/>
      <c r="J2062" s="204"/>
      <c r="K2062" s="204"/>
      <c r="L2062" s="205"/>
      <c r="M2062" s="205"/>
      <c r="N2062" s="204"/>
      <c r="O2062" s="204"/>
      <c r="P2062" s="206"/>
      <c r="Q2062" s="206"/>
      <c r="R2062" s="206"/>
      <c r="S2062" s="206"/>
      <c r="T2062" s="204"/>
      <c r="U2062" s="207"/>
      <c r="V2062" s="204"/>
      <c r="W2062" s="204"/>
      <c r="X2062" s="207"/>
      <c r="Y2062" s="207"/>
      <c r="Z2062" s="204"/>
      <c r="AA2062" s="204"/>
      <c r="AB2062" s="204"/>
      <c r="AC2062" s="204"/>
    </row>
    <row r="2063" spans="1:29">
      <c r="A2063" s="204"/>
      <c r="B2063" s="204"/>
      <c r="C2063" s="204"/>
      <c r="D2063" s="204"/>
      <c r="E2063" s="204"/>
      <c r="F2063" s="204"/>
      <c r="G2063" s="204"/>
      <c r="H2063" s="204"/>
      <c r="I2063" s="204"/>
      <c r="J2063" s="204"/>
      <c r="K2063" s="204"/>
      <c r="L2063" s="205"/>
      <c r="M2063" s="205"/>
      <c r="N2063" s="204"/>
      <c r="O2063" s="204"/>
      <c r="P2063" s="206"/>
      <c r="Q2063" s="206"/>
      <c r="R2063" s="206"/>
      <c r="S2063" s="206"/>
      <c r="T2063" s="204"/>
      <c r="U2063" s="207"/>
      <c r="V2063" s="204"/>
      <c r="W2063" s="204"/>
      <c r="X2063" s="207"/>
      <c r="Y2063" s="207"/>
      <c r="Z2063" s="204"/>
      <c r="AA2063" s="204"/>
      <c r="AB2063" s="204"/>
      <c r="AC2063" s="204"/>
    </row>
    <row r="2064" spans="1:29">
      <c r="A2064" s="204"/>
      <c r="B2064" s="204"/>
      <c r="C2064" s="204"/>
      <c r="D2064" s="204"/>
      <c r="E2064" s="204"/>
      <c r="F2064" s="204"/>
      <c r="G2064" s="204"/>
      <c r="H2064" s="204"/>
      <c r="I2064" s="204"/>
      <c r="J2064" s="204"/>
      <c r="K2064" s="204"/>
      <c r="L2064" s="205"/>
      <c r="M2064" s="205"/>
      <c r="N2064" s="204"/>
      <c r="O2064" s="204"/>
      <c r="P2064" s="206"/>
      <c r="Q2064" s="206"/>
      <c r="R2064" s="206"/>
      <c r="S2064" s="206"/>
      <c r="T2064" s="204"/>
      <c r="U2064" s="207"/>
      <c r="V2064" s="204"/>
      <c r="W2064" s="204"/>
      <c r="X2064" s="207"/>
      <c r="Y2064" s="207"/>
      <c r="Z2064" s="204"/>
      <c r="AA2064" s="204"/>
      <c r="AB2064" s="204"/>
      <c r="AC2064" s="204"/>
    </row>
    <row r="2065" spans="1:29">
      <c r="A2065" s="204"/>
      <c r="B2065" s="204"/>
      <c r="C2065" s="204"/>
      <c r="D2065" s="204"/>
      <c r="E2065" s="204"/>
      <c r="F2065" s="204"/>
      <c r="G2065" s="204"/>
      <c r="H2065" s="204"/>
      <c r="I2065" s="204"/>
      <c r="J2065" s="204"/>
      <c r="K2065" s="204"/>
      <c r="L2065" s="205"/>
      <c r="M2065" s="205"/>
      <c r="N2065" s="204"/>
      <c r="O2065" s="204"/>
      <c r="P2065" s="206"/>
      <c r="Q2065" s="206"/>
      <c r="R2065" s="206"/>
      <c r="S2065" s="206"/>
      <c r="T2065" s="204"/>
      <c r="U2065" s="207"/>
      <c r="V2065" s="204"/>
      <c r="W2065" s="204"/>
      <c r="X2065" s="207"/>
      <c r="Y2065" s="207"/>
      <c r="Z2065" s="204"/>
      <c r="AA2065" s="204"/>
      <c r="AB2065" s="204"/>
      <c r="AC2065" s="204"/>
    </row>
    <row r="2066" spans="1:29">
      <c r="A2066" s="204"/>
      <c r="B2066" s="204"/>
      <c r="C2066" s="204"/>
      <c r="D2066" s="204"/>
      <c r="E2066" s="204"/>
      <c r="F2066" s="204"/>
      <c r="G2066" s="204"/>
      <c r="H2066" s="204"/>
      <c r="I2066" s="204"/>
      <c r="J2066" s="204"/>
      <c r="K2066" s="204"/>
      <c r="L2066" s="205"/>
      <c r="M2066" s="205"/>
      <c r="N2066" s="204"/>
      <c r="O2066" s="204"/>
      <c r="P2066" s="206"/>
      <c r="Q2066" s="206"/>
      <c r="R2066" s="206"/>
      <c r="S2066" s="206"/>
      <c r="T2066" s="204"/>
      <c r="U2066" s="207"/>
      <c r="V2066" s="204"/>
      <c r="W2066" s="204"/>
      <c r="X2066" s="207"/>
      <c r="Y2066" s="207"/>
      <c r="Z2066" s="204"/>
      <c r="AA2066" s="204"/>
      <c r="AB2066" s="204"/>
      <c r="AC2066" s="204"/>
    </row>
    <row r="2067" spans="1:29">
      <c r="A2067" s="204"/>
      <c r="B2067" s="204"/>
      <c r="C2067" s="204"/>
      <c r="D2067" s="204"/>
      <c r="E2067" s="204"/>
      <c r="F2067" s="204"/>
      <c r="G2067" s="204"/>
      <c r="H2067" s="204"/>
      <c r="I2067" s="204"/>
      <c r="J2067" s="204"/>
      <c r="K2067" s="204"/>
      <c r="L2067" s="205"/>
      <c r="M2067" s="205"/>
      <c r="N2067" s="204"/>
      <c r="O2067" s="204"/>
      <c r="P2067" s="206"/>
      <c r="Q2067" s="206"/>
      <c r="R2067" s="206"/>
      <c r="S2067" s="206"/>
      <c r="T2067" s="204"/>
      <c r="U2067" s="207"/>
      <c r="V2067" s="204"/>
      <c r="W2067" s="204"/>
      <c r="X2067" s="207"/>
      <c r="Y2067" s="207"/>
      <c r="Z2067" s="204"/>
      <c r="AA2067" s="204"/>
      <c r="AB2067" s="204"/>
      <c r="AC2067" s="204"/>
    </row>
    <row r="2068" spans="1:29">
      <c r="A2068" s="204"/>
      <c r="B2068" s="204"/>
      <c r="C2068" s="204"/>
      <c r="D2068" s="204"/>
      <c r="E2068" s="204"/>
      <c r="F2068" s="204"/>
      <c r="G2068" s="204"/>
      <c r="H2068" s="204"/>
      <c r="I2068" s="204"/>
      <c r="J2068" s="204"/>
      <c r="K2068" s="204"/>
      <c r="L2068" s="205"/>
      <c r="M2068" s="205"/>
      <c r="N2068" s="204"/>
      <c r="O2068" s="204"/>
      <c r="P2068" s="206"/>
      <c r="Q2068" s="206"/>
      <c r="R2068" s="206"/>
      <c r="S2068" s="206"/>
      <c r="T2068" s="204"/>
      <c r="U2068" s="207"/>
      <c r="V2068" s="204"/>
      <c r="W2068" s="204"/>
      <c r="X2068" s="207"/>
      <c r="Y2068" s="207"/>
      <c r="Z2068" s="204"/>
      <c r="AA2068" s="204"/>
      <c r="AB2068" s="204"/>
      <c r="AC2068" s="204"/>
    </row>
    <row r="2069" spans="1:29">
      <c r="A2069" s="204"/>
      <c r="B2069" s="204"/>
      <c r="C2069" s="204"/>
      <c r="D2069" s="204"/>
      <c r="E2069" s="204"/>
      <c r="F2069" s="204"/>
      <c r="G2069" s="204"/>
      <c r="H2069" s="204"/>
      <c r="I2069" s="204"/>
      <c r="J2069" s="204"/>
      <c r="K2069" s="204"/>
      <c r="L2069" s="205"/>
      <c r="M2069" s="205"/>
      <c r="N2069" s="204"/>
      <c r="O2069" s="204"/>
      <c r="P2069" s="206"/>
      <c r="Q2069" s="206"/>
      <c r="R2069" s="206"/>
      <c r="S2069" s="206"/>
      <c r="T2069" s="204"/>
      <c r="U2069" s="207"/>
      <c r="V2069" s="204"/>
      <c r="W2069" s="204"/>
      <c r="X2069" s="207"/>
      <c r="Y2069" s="207"/>
      <c r="Z2069" s="204"/>
      <c r="AA2069" s="204"/>
      <c r="AB2069" s="204"/>
      <c r="AC2069" s="204"/>
    </row>
    <row r="2070" spans="1:29">
      <c r="A2070" s="204"/>
      <c r="B2070" s="204"/>
      <c r="C2070" s="204"/>
      <c r="D2070" s="204"/>
      <c r="E2070" s="204"/>
      <c r="F2070" s="204"/>
      <c r="G2070" s="204"/>
      <c r="H2070" s="204"/>
      <c r="I2070" s="204"/>
      <c r="J2070" s="204"/>
      <c r="K2070" s="204"/>
      <c r="L2070" s="205"/>
      <c r="M2070" s="205"/>
      <c r="N2070" s="204"/>
      <c r="O2070" s="204"/>
      <c r="P2070" s="206"/>
      <c r="Q2070" s="206"/>
      <c r="R2070" s="206"/>
      <c r="S2070" s="206"/>
      <c r="T2070" s="204"/>
      <c r="U2070" s="207"/>
      <c r="V2070" s="204"/>
      <c r="W2070" s="204"/>
      <c r="X2070" s="207"/>
      <c r="Y2070" s="207"/>
      <c r="Z2070" s="204"/>
      <c r="AA2070" s="204"/>
      <c r="AB2070" s="204"/>
      <c r="AC2070" s="204"/>
    </row>
    <row r="2071" spans="1:29">
      <c r="A2071" s="204"/>
      <c r="B2071" s="204"/>
      <c r="C2071" s="204"/>
      <c r="D2071" s="204"/>
      <c r="E2071" s="204"/>
      <c r="F2071" s="204"/>
      <c r="G2071" s="204"/>
      <c r="H2071" s="204"/>
      <c r="I2071" s="204"/>
      <c r="J2071" s="204"/>
      <c r="K2071" s="204"/>
      <c r="L2071" s="205"/>
      <c r="M2071" s="205"/>
      <c r="N2071" s="204"/>
      <c r="O2071" s="204"/>
      <c r="P2071" s="206"/>
      <c r="Q2071" s="206"/>
      <c r="R2071" s="206"/>
      <c r="S2071" s="206"/>
      <c r="T2071" s="204"/>
      <c r="U2071" s="207"/>
      <c r="V2071" s="204"/>
      <c r="W2071" s="204"/>
      <c r="X2071" s="207"/>
      <c r="Y2071" s="207"/>
      <c r="Z2071" s="204"/>
      <c r="AA2071" s="204"/>
      <c r="AB2071" s="204"/>
      <c r="AC2071" s="204"/>
    </row>
    <row r="2072" spans="1:29">
      <c r="A2072" s="204"/>
      <c r="B2072" s="204"/>
      <c r="C2072" s="204"/>
      <c r="D2072" s="204"/>
      <c r="E2072" s="204"/>
      <c r="F2072" s="204"/>
      <c r="G2072" s="204"/>
      <c r="H2072" s="204"/>
      <c r="I2072" s="204"/>
      <c r="J2072" s="204"/>
      <c r="K2072" s="204"/>
      <c r="L2072" s="205"/>
      <c r="M2072" s="205"/>
      <c r="N2072" s="204"/>
      <c r="O2072" s="204"/>
      <c r="P2072" s="206"/>
      <c r="Q2072" s="206"/>
      <c r="R2072" s="206"/>
      <c r="S2072" s="206"/>
      <c r="T2072" s="204"/>
      <c r="U2072" s="207"/>
      <c r="V2072" s="204"/>
      <c r="W2072" s="204"/>
      <c r="X2072" s="207"/>
      <c r="Y2072" s="207"/>
      <c r="Z2072" s="204"/>
      <c r="AA2072" s="204"/>
      <c r="AB2072" s="204"/>
      <c r="AC2072" s="204"/>
    </row>
    <row r="2073" spans="1:29">
      <c r="A2073" s="204"/>
      <c r="B2073" s="204"/>
      <c r="C2073" s="204"/>
      <c r="D2073" s="204"/>
      <c r="E2073" s="204"/>
      <c r="F2073" s="204"/>
      <c r="G2073" s="204"/>
      <c r="H2073" s="204"/>
      <c r="I2073" s="204"/>
      <c r="J2073" s="204"/>
      <c r="K2073" s="204"/>
      <c r="L2073" s="205"/>
      <c r="M2073" s="205"/>
      <c r="N2073" s="204"/>
      <c r="O2073" s="204"/>
      <c r="P2073" s="206"/>
      <c r="Q2073" s="206"/>
      <c r="R2073" s="206"/>
      <c r="S2073" s="206"/>
      <c r="T2073" s="204"/>
      <c r="U2073" s="207"/>
      <c r="V2073" s="204"/>
      <c r="W2073" s="204"/>
      <c r="X2073" s="207"/>
      <c r="Y2073" s="207"/>
      <c r="Z2073" s="204"/>
      <c r="AA2073" s="204"/>
      <c r="AB2073" s="204"/>
      <c r="AC2073" s="204"/>
    </row>
    <row r="2074" spans="1:29">
      <c r="A2074" s="204"/>
      <c r="B2074" s="204"/>
      <c r="C2074" s="204"/>
      <c r="D2074" s="204"/>
      <c r="E2074" s="204"/>
      <c r="F2074" s="204"/>
      <c r="G2074" s="204"/>
      <c r="H2074" s="204"/>
      <c r="I2074" s="204"/>
      <c r="J2074" s="204"/>
      <c r="K2074" s="204"/>
      <c r="L2074" s="205"/>
      <c r="M2074" s="205"/>
      <c r="N2074" s="204"/>
      <c r="O2074" s="204"/>
      <c r="P2074" s="206"/>
      <c r="Q2074" s="206"/>
      <c r="R2074" s="206"/>
      <c r="S2074" s="206"/>
      <c r="T2074" s="204"/>
      <c r="U2074" s="207"/>
      <c r="V2074" s="204"/>
      <c r="W2074" s="204"/>
      <c r="X2074" s="207"/>
      <c r="Y2074" s="207"/>
      <c r="Z2074" s="204"/>
      <c r="AA2074" s="204"/>
      <c r="AB2074" s="204"/>
      <c r="AC2074" s="204"/>
    </row>
    <row r="2075" spans="1:29">
      <c r="A2075" s="204"/>
      <c r="B2075" s="204"/>
      <c r="C2075" s="204"/>
      <c r="D2075" s="204"/>
      <c r="E2075" s="204"/>
      <c r="F2075" s="204"/>
      <c r="G2075" s="204"/>
      <c r="H2075" s="204"/>
      <c r="I2075" s="204"/>
      <c r="J2075" s="204"/>
      <c r="K2075" s="204"/>
      <c r="L2075" s="205"/>
      <c r="M2075" s="205"/>
      <c r="N2075" s="204"/>
      <c r="O2075" s="204"/>
      <c r="P2075" s="206"/>
      <c r="Q2075" s="206"/>
      <c r="R2075" s="206"/>
      <c r="S2075" s="206"/>
      <c r="T2075" s="204"/>
      <c r="U2075" s="207"/>
      <c r="V2075" s="204"/>
      <c r="W2075" s="204"/>
      <c r="X2075" s="207"/>
      <c r="Y2075" s="207"/>
      <c r="Z2075" s="204"/>
      <c r="AA2075" s="204"/>
      <c r="AB2075" s="204"/>
      <c r="AC2075" s="204"/>
    </row>
    <row r="2076" spans="1:29">
      <c r="A2076" s="204"/>
      <c r="B2076" s="204"/>
      <c r="C2076" s="204"/>
      <c r="D2076" s="204"/>
      <c r="E2076" s="204"/>
      <c r="F2076" s="204"/>
      <c r="G2076" s="204"/>
      <c r="H2076" s="204"/>
      <c r="I2076" s="204"/>
      <c r="J2076" s="204"/>
      <c r="K2076" s="204"/>
      <c r="L2076" s="205"/>
      <c r="M2076" s="205"/>
      <c r="N2076" s="204"/>
      <c r="O2076" s="204"/>
      <c r="P2076" s="206"/>
      <c r="Q2076" s="206"/>
      <c r="R2076" s="206"/>
      <c r="S2076" s="206"/>
      <c r="T2076" s="204"/>
      <c r="U2076" s="207"/>
      <c r="V2076" s="204"/>
      <c r="W2076" s="204"/>
      <c r="X2076" s="207"/>
      <c r="Y2076" s="207"/>
      <c r="Z2076" s="204"/>
      <c r="AA2076" s="204"/>
      <c r="AB2076" s="204"/>
      <c r="AC2076" s="204"/>
    </row>
    <row r="2077" spans="1:29">
      <c r="A2077" s="204"/>
      <c r="B2077" s="204"/>
      <c r="C2077" s="204"/>
      <c r="D2077" s="204"/>
      <c r="E2077" s="204"/>
      <c r="F2077" s="204"/>
      <c r="G2077" s="204"/>
      <c r="H2077" s="204"/>
      <c r="I2077" s="204"/>
      <c r="J2077" s="204"/>
      <c r="K2077" s="204"/>
      <c r="L2077" s="205"/>
      <c r="M2077" s="205"/>
      <c r="N2077" s="204"/>
      <c r="O2077" s="204"/>
      <c r="P2077" s="206"/>
      <c r="Q2077" s="206"/>
      <c r="R2077" s="206"/>
      <c r="S2077" s="206"/>
      <c r="T2077" s="204"/>
      <c r="U2077" s="207"/>
      <c r="V2077" s="204"/>
      <c r="W2077" s="204"/>
      <c r="X2077" s="207"/>
      <c r="Y2077" s="207"/>
      <c r="Z2077" s="204"/>
      <c r="AA2077" s="204"/>
      <c r="AB2077" s="204"/>
      <c r="AC2077" s="204"/>
    </row>
    <row r="2078" spans="1:29">
      <c r="A2078" s="204"/>
      <c r="B2078" s="204"/>
      <c r="C2078" s="204"/>
      <c r="D2078" s="204"/>
      <c r="E2078" s="204"/>
      <c r="F2078" s="204"/>
      <c r="G2078" s="204"/>
      <c r="H2078" s="204"/>
      <c r="I2078" s="204"/>
      <c r="J2078" s="204"/>
      <c r="K2078" s="204"/>
      <c r="L2078" s="205"/>
      <c r="M2078" s="205"/>
      <c r="N2078" s="204"/>
      <c r="O2078" s="204"/>
      <c r="P2078" s="206"/>
      <c r="Q2078" s="206"/>
      <c r="R2078" s="206"/>
      <c r="S2078" s="206"/>
      <c r="T2078" s="204"/>
      <c r="U2078" s="207"/>
      <c r="V2078" s="204"/>
      <c r="W2078" s="204"/>
      <c r="X2078" s="207"/>
      <c r="Y2078" s="207"/>
      <c r="Z2078" s="204"/>
      <c r="AA2078" s="204"/>
      <c r="AB2078" s="204"/>
      <c r="AC2078" s="204"/>
    </row>
    <row r="2079" spans="1:29">
      <c r="A2079" s="204"/>
      <c r="B2079" s="204"/>
      <c r="C2079" s="204"/>
      <c r="D2079" s="204"/>
      <c r="E2079" s="204"/>
      <c r="F2079" s="204"/>
      <c r="G2079" s="204"/>
      <c r="H2079" s="204"/>
      <c r="I2079" s="204"/>
      <c r="J2079" s="204"/>
      <c r="K2079" s="204"/>
      <c r="L2079" s="205"/>
      <c r="M2079" s="205"/>
      <c r="N2079" s="204"/>
      <c r="O2079" s="204"/>
      <c r="P2079" s="206"/>
      <c r="Q2079" s="206"/>
      <c r="R2079" s="206"/>
      <c r="S2079" s="206"/>
      <c r="T2079" s="204"/>
      <c r="U2079" s="207"/>
      <c r="V2079" s="204"/>
      <c r="W2079" s="204"/>
      <c r="X2079" s="207"/>
      <c r="Y2079" s="207"/>
      <c r="Z2079" s="204"/>
      <c r="AA2079" s="204"/>
      <c r="AB2079" s="204"/>
      <c r="AC2079" s="204"/>
    </row>
    <row r="2080" spans="1:29">
      <c r="A2080" s="204"/>
      <c r="B2080" s="204"/>
      <c r="C2080" s="204"/>
      <c r="D2080" s="204"/>
      <c r="E2080" s="204"/>
      <c r="F2080" s="204"/>
      <c r="G2080" s="204"/>
      <c r="H2080" s="204"/>
      <c r="I2080" s="204"/>
      <c r="J2080" s="204"/>
      <c r="K2080" s="204"/>
      <c r="L2080" s="205"/>
      <c r="M2080" s="205"/>
      <c r="N2080" s="204"/>
      <c r="O2080" s="204"/>
      <c r="P2080" s="206"/>
      <c r="Q2080" s="206"/>
      <c r="R2080" s="206"/>
      <c r="S2080" s="206"/>
      <c r="T2080" s="204"/>
      <c r="U2080" s="207"/>
      <c r="V2080" s="204"/>
      <c r="W2080" s="204"/>
      <c r="X2080" s="207"/>
      <c r="Y2080" s="207"/>
      <c r="Z2080" s="204"/>
      <c r="AA2080" s="204"/>
      <c r="AB2080" s="204"/>
      <c r="AC2080" s="204"/>
    </row>
    <row r="2081" spans="1:29">
      <c r="A2081" s="204"/>
      <c r="B2081" s="204"/>
      <c r="C2081" s="204"/>
      <c r="D2081" s="204"/>
      <c r="E2081" s="204"/>
      <c r="F2081" s="204"/>
      <c r="G2081" s="204"/>
      <c r="H2081" s="204"/>
      <c r="I2081" s="204"/>
      <c r="J2081" s="204"/>
      <c r="K2081" s="204"/>
      <c r="L2081" s="205"/>
      <c r="M2081" s="205"/>
      <c r="N2081" s="204"/>
      <c r="O2081" s="204"/>
      <c r="P2081" s="206"/>
      <c r="Q2081" s="206"/>
      <c r="R2081" s="206"/>
      <c r="S2081" s="206"/>
      <c r="T2081" s="204"/>
      <c r="U2081" s="207"/>
      <c r="V2081" s="204"/>
      <c r="W2081" s="204"/>
      <c r="X2081" s="207"/>
      <c r="Y2081" s="207"/>
      <c r="Z2081" s="204"/>
      <c r="AA2081" s="204"/>
      <c r="AB2081" s="204"/>
      <c r="AC2081" s="204"/>
    </row>
    <row r="2082" spans="1:29">
      <c r="A2082" s="204"/>
      <c r="B2082" s="204"/>
      <c r="C2082" s="204"/>
      <c r="D2082" s="204"/>
      <c r="E2082" s="204"/>
      <c r="F2082" s="204"/>
      <c r="G2082" s="204"/>
      <c r="H2082" s="204"/>
      <c r="I2082" s="204"/>
      <c r="J2082" s="204"/>
      <c r="K2082" s="204"/>
      <c r="L2082" s="205"/>
      <c r="M2082" s="205"/>
      <c r="N2082" s="204"/>
      <c r="O2082" s="204"/>
      <c r="P2082" s="206"/>
      <c r="Q2082" s="206"/>
      <c r="R2082" s="206"/>
      <c r="S2082" s="206"/>
      <c r="T2082" s="204"/>
      <c r="U2082" s="207"/>
      <c r="V2082" s="204"/>
      <c r="W2082" s="204"/>
      <c r="X2082" s="207"/>
      <c r="Y2082" s="207"/>
      <c r="Z2082" s="204"/>
      <c r="AA2082" s="204"/>
      <c r="AB2082" s="204"/>
      <c r="AC2082" s="204"/>
    </row>
    <row r="2083" spans="1:29">
      <c r="A2083" s="204"/>
      <c r="B2083" s="204"/>
      <c r="C2083" s="204"/>
      <c r="D2083" s="204"/>
      <c r="E2083" s="204"/>
      <c r="F2083" s="204"/>
      <c r="G2083" s="204"/>
      <c r="H2083" s="204"/>
      <c r="I2083" s="204"/>
      <c r="J2083" s="204"/>
      <c r="K2083" s="204"/>
      <c r="L2083" s="205"/>
      <c r="M2083" s="205"/>
      <c r="N2083" s="204"/>
      <c r="O2083" s="204"/>
      <c r="P2083" s="206"/>
      <c r="Q2083" s="206"/>
      <c r="R2083" s="206"/>
      <c r="S2083" s="206"/>
      <c r="T2083" s="204"/>
      <c r="U2083" s="207"/>
      <c r="V2083" s="204"/>
      <c r="W2083" s="204"/>
      <c r="X2083" s="207"/>
      <c r="Y2083" s="207"/>
      <c r="Z2083" s="204"/>
      <c r="AA2083" s="204"/>
      <c r="AB2083" s="204"/>
      <c r="AC2083" s="204"/>
    </row>
    <row r="2084" spans="1:29">
      <c r="A2084" s="204"/>
      <c r="B2084" s="204"/>
      <c r="C2084" s="204"/>
      <c r="D2084" s="204"/>
      <c r="E2084" s="204"/>
      <c r="F2084" s="204"/>
      <c r="G2084" s="204"/>
      <c r="H2084" s="204"/>
      <c r="I2084" s="204"/>
      <c r="J2084" s="204"/>
      <c r="K2084" s="204"/>
      <c r="L2084" s="205"/>
      <c r="M2084" s="205"/>
      <c r="N2084" s="204"/>
      <c r="O2084" s="204"/>
      <c r="P2084" s="206"/>
      <c r="Q2084" s="206"/>
      <c r="R2084" s="206"/>
      <c r="S2084" s="206"/>
      <c r="T2084" s="204"/>
      <c r="U2084" s="207"/>
      <c r="V2084" s="204"/>
      <c r="W2084" s="204"/>
      <c r="X2084" s="207"/>
      <c r="Y2084" s="207"/>
      <c r="Z2084" s="204"/>
      <c r="AA2084" s="204"/>
      <c r="AB2084" s="204"/>
      <c r="AC2084" s="204"/>
    </row>
    <row r="2085" spans="1:29">
      <c r="A2085" s="204"/>
      <c r="B2085" s="204"/>
      <c r="C2085" s="204"/>
      <c r="D2085" s="204"/>
      <c r="E2085" s="204"/>
      <c r="F2085" s="204"/>
      <c r="G2085" s="204"/>
      <c r="H2085" s="204"/>
      <c r="I2085" s="204"/>
      <c r="J2085" s="204"/>
      <c r="K2085" s="204"/>
      <c r="L2085" s="205"/>
      <c r="M2085" s="205"/>
      <c r="N2085" s="204"/>
      <c r="O2085" s="204"/>
      <c r="P2085" s="206"/>
      <c r="Q2085" s="206"/>
      <c r="R2085" s="206"/>
      <c r="S2085" s="206"/>
      <c r="T2085" s="204"/>
      <c r="U2085" s="207"/>
      <c r="V2085" s="204"/>
      <c r="W2085" s="204"/>
      <c r="X2085" s="207"/>
      <c r="Y2085" s="207"/>
      <c r="Z2085" s="204"/>
      <c r="AA2085" s="204"/>
      <c r="AB2085" s="204"/>
      <c r="AC2085" s="204"/>
    </row>
    <row r="2086" spans="1:29">
      <c r="A2086" s="204"/>
      <c r="B2086" s="204"/>
      <c r="C2086" s="204"/>
      <c r="D2086" s="204"/>
      <c r="E2086" s="204"/>
      <c r="F2086" s="204"/>
      <c r="G2086" s="204"/>
      <c r="H2086" s="204"/>
      <c r="I2086" s="204"/>
      <c r="J2086" s="204"/>
      <c r="K2086" s="204"/>
      <c r="L2086" s="205"/>
      <c r="M2086" s="205"/>
      <c r="N2086" s="204"/>
      <c r="O2086" s="204"/>
      <c r="P2086" s="206"/>
      <c r="Q2086" s="206"/>
      <c r="R2086" s="206"/>
      <c r="S2086" s="206"/>
      <c r="T2086" s="204"/>
      <c r="U2086" s="207"/>
      <c r="V2086" s="204"/>
      <c r="W2086" s="204"/>
      <c r="X2086" s="207"/>
      <c r="Y2086" s="207"/>
      <c r="Z2086" s="204"/>
      <c r="AA2086" s="204"/>
      <c r="AB2086" s="204"/>
      <c r="AC2086" s="204"/>
    </row>
    <row r="2087" spans="1:29">
      <c r="A2087" s="204"/>
      <c r="B2087" s="204"/>
      <c r="C2087" s="204"/>
      <c r="D2087" s="204"/>
      <c r="E2087" s="204"/>
      <c r="F2087" s="204"/>
      <c r="G2087" s="204"/>
      <c r="H2087" s="204"/>
      <c r="I2087" s="204"/>
      <c r="J2087" s="204"/>
      <c r="K2087" s="204"/>
      <c r="L2087" s="205"/>
      <c r="M2087" s="205"/>
      <c r="N2087" s="204"/>
      <c r="O2087" s="204"/>
      <c r="P2087" s="206"/>
      <c r="Q2087" s="206"/>
      <c r="R2087" s="206"/>
      <c r="S2087" s="206"/>
      <c r="T2087" s="204"/>
      <c r="U2087" s="207"/>
      <c r="V2087" s="204"/>
      <c r="W2087" s="204"/>
      <c r="X2087" s="207"/>
      <c r="Y2087" s="207"/>
      <c r="Z2087" s="204"/>
      <c r="AA2087" s="204"/>
      <c r="AB2087" s="204"/>
      <c r="AC2087" s="204"/>
    </row>
    <row r="2088" spans="1:29">
      <c r="A2088" s="204"/>
      <c r="B2088" s="204"/>
      <c r="C2088" s="204"/>
      <c r="D2088" s="204"/>
      <c r="E2088" s="204"/>
      <c r="F2088" s="204"/>
      <c r="G2088" s="204"/>
      <c r="H2088" s="204"/>
      <c r="I2088" s="204"/>
      <c r="J2088" s="204"/>
      <c r="K2088" s="204"/>
      <c r="L2088" s="205"/>
      <c r="M2088" s="205"/>
      <c r="N2088" s="204"/>
      <c r="O2088" s="204"/>
      <c r="P2088" s="206"/>
      <c r="Q2088" s="206"/>
      <c r="R2088" s="206"/>
      <c r="S2088" s="206"/>
      <c r="T2088" s="204"/>
      <c r="U2088" s="207"/>
      <c r="V2088" s="204"/>
      <c r="W2088" s="204"/>
      <c r="X2088" s="207"/>
      <c r="Y2088" s="207"/>
      <c r="Z2088" s="204"/>
      <c r="AA2088" s="204"/>
      <c r="AB2088" s="204"/>
      <c r="AC2088" s="204"/>
    </row>
    <row r="2089" spans="1:29">
      <c r="A2089" s="204"/>
      <c r="B2089" s="204"/>
      <c r="C2089" s="204"/>
      <c r="D2089" s="204"/>
      <c r="E2089" s="204"/>
      <c r="F2089" s="204"/>
      <c r="G2089" s="204"/>
      <c r="H2089" s="204"/>
      <c r="I2089" s="204"/>
      <c r="J2089" s="204"/>
      <c r="K2089" s="204"/>
      <c r="L2089" s="205"/>
      <c r="M2089" s="205"/>
      <c r="N2089" s="204"/>
      <c r="O2089" s="204"/>
      <c r="P2089" s="206"/>
      <c r="Q2089" s="206"/>
      <c r="R2089" s="206"/>
      <c r="S2089" s="206"/>
      <c r="T2089" s="204"/>
      <c r="U2089" s="207"/>
      <c r="V2089" s="204"/>
      <c r="W2089" s="204"/>
      <c r="X2089" s="207"/>
      <c r="Y2089" s="207"/>
      <c r="Z2089" s="204"/>
      <c r="AA2089" s="204"/>
      <c r="AB2089" s="204"/>
      <c r="AC2089" s="204"/>
    </row>
    <row r="2090" spans="1:29">
      <c r="A2090" s="204"/>
      <c r="B2090" s="204"/>
      <c r="C2090" s="204"/>
      <c r="D2090" s="204"/>
      <c r="E2090" s="204"/>
      <c r="F2090" s="204"/>
      <c r="G2090" s="204"/>
      <c r="H2090" s="204"/>
      <c r="I2090" s="204"/>
      <c r="J2090" s="204"/>
      <c r="K2090" s="204"/>
      <c r="L2090" s="205"/>
      <c r="M2090" s="205"/>
      <c r="N2090" s="204"/>
      <c r="O2090" s="204"/>
      <c r="P2090" s="206"/>
      <c r="Q2090" s="206"/>
      <c r="R2090" s="206"/>
      <c r="S2090" s="206"/>
      <c r="T2090" s="204"/>
      <c r="U2090" s="207"/>
      <c r="V2090" s="204"/>
      <c r="W2090" s="204"/>
      <c r="X2090" s="207"/>
      <c r="Y2090" s="207"/>
      <c r="Z2090" s="204"/>
      <c r="AA2090" s="204"/>
      <c r="AB2090" s="204"/>
      <c r="AC2090" s="204"/>
    </row>
    <row r="2091" spans="1:29">
      <c r="A2091" s="204"/>
      <c r="B2091" s="204"/>
      <c r="C2091" s="204"/>
      <c r="D2091" s="204"/>
      <c r="E2091" s="204"/>
      <c r="F2091" s="204"/>
      <c r="G2091" s="204"/>
      <c r="H2091" s="204"/>
      <c r="I2091" s="204"/>
      <c r="J2091" s="204"/>
      <c r="K2091" s="204"/>
      <c r="L2091" s="205"/>
      <c r="M2091" s="205"/>
      <c r="N2091" s="204"/>
      <c r="O2091" s="204"/>
      <c r="P2091" s="206"/>
      <c r="Q2091" s="206"/>
      <c r="R2091" s="206"/>
      <c r="S2091" s="206"/>
      <c r="T2091" s="204"/>
      <c r="U2091" s="207"/>
      <c r="V2091" s="204"/>
      <c r="W2091" s="204"/>
      <c r="X2091" s="207"/>
      <c r="Y2091" s="207"/>
      <c r="Z2091" s="204"/>
      <c r="AA2091" s="204"/>
      <c r="AB2091" s="204"/>
      <c r="AC2091" s="204"/>
    </row>
    <row r="2092" spans="1:29">
      <c r="A2092" s="204"/>
      <c r="B2092" s="204"/>
      <c r="C2092" s="204"/>
      <c r="D2092" s="204"/>
      <c r="E2092" s="204"/>
      <c r="F2092" s="204"/>
      <c r="G2092" s="204"/>
      <c r="H2092" s="204"/>
      <c r="I2092" s="204"/>
      <c r="J2092" s="204"/>
      <c r="K2092" s="204"/>
      <c r="L2092" s="205"/>
      <c r="M2092" s="205"/>
      <c r="N2092" s="204"/>
      <c r="O2092" s="204"/>
      <c r="P2092" s="206"/>
      <c r="Q2092" s="206"/>
      <c r="R2092" s="206"/>
      <c r="S2092" s="206"/>
      <c r="T2092" s="204"/>
      <c r="U2092" s="207"/>
      <c r="V2092" s="204"/>
      <c r="W2092" s="204"/>
      <c r="X2092" s="207"/>
      <c r="Y2092" s="207"/>
      <c r="Z2092" s="204"/>
      <c r="AA2092" s="204"/>
      <c r="AB2092" s="204"/>
      <c r="AC2092" s="204"/>
    </row>
    <row r="2093" spans="1:29">
      <c r="A2093" s="204"/>
      <c r="B2093" s="204"/>
      <c r="C2093" s="204"/>
      <c r="D2093" s="204"/>
      <c r="E2093" s="204"/>
      <c r="F2093" s="204"/>
      <c r="G2093" s="204"/>
      <c r="H2093" s="204"/>
      <c r="I2093" s="204"/>
      <c r="J2093" s="204"/>
      <c r="K2093" s="204"/>
      <c r="L2093" s="205"/>
      <c r="M2093" s="205"/>
      <c r="N2093" s="204"/>
      <c r="O2093" s="204"/>
      <c r="P2093" s="206"/>
      <c r="Q2093" s="206"/>
      <c r="R2093" s="206"/>
      <c r="S2093" s="206"/>
      <c r="T2093" s="204"/>
      <c r="U2093" s="207"/>
      <c r="V2093" s="204"/>
      <c r="W2093" s="204"/>
      <c r="X2093" s="207"/>
      <c r="Y2093" s="207"/>
      <c r="Z2093" s="204"/>
      <c r="AA2093" s="204"/>
      <c r="AB2093" s="204"/>
      <c r="AC2093" s="204"/>
    </row>
    <row r="2094" spans="1:29">
      <c r="A2094" s="204"/>
      <c r="B2094" s="204"/>
      <c r="C2094" s="204"/>
      <c r="D2094" s="204"/>
      <c r="E2094" s="204"/>
      <c r="F2094" s="204"/>
      <c r="G2094" s="204"/>
      <c r="H2094" s="204"/>
      <c r="I2094" s="204"/>
      <c r="J2094" s="204"/>
      <c r="K2094" s="204"/>
      <c r="L2094" s="205"/>
      <c r="M2094" s="205"/>
      <c r="N2094" s="204"/>
      <c r="O2094" s="204"/>
      <c r="P2094" s="206"/>
      <c r="Q2094" s="206"/>
      <c r="R2094" s="206"/>
      <c r="S2094" s="206"/>
      <c r="T2094" s="204"/>
      <c r="U2094" s="207"/>
      <c r="V2094" s="204"/>
      <c r="W2094" s="204"/>
      <c r="X2094" s="207"/>
      <c r="Y2094" s="207"/>
      <c r="Z2094" s="204"/>
      <c r="AA2094" s="204"/>
      <c r="AB2094" s="204"/>
      <c r="AC2094" s="204"/>
    </row>
    <row r="2095" spans="1:29">
      <c r="A2095" s="204"/>
      <c r="B2095" s="204"/>
      <c r="C2095" s="204"/>
      <c r="D2095" s="204"/>
      <c r="E2095" s="204"/>
      <c r="F2095" s="204"/>
      <c r="G2095" s="204"/>
      <c r="H2095" s="204"/>
      <c r="I2095" s="204"/>
      <c r="J2095" s="204"/>
      <c r="K2095" s="204"/>
      <c r="L2095" s="205"/>
      <c r="M2095" s="205"/>
      <c r="N2095" s="204"/>
      <c r="O2095" s="204"/>
      <c r="P2095" s="206"/>
      <c r="Q2095" s="206"/>
      <c r="R2095" s="206"/>
      <c r="S2095" s="206"/>
      <c r="T2095" s="204"/>
      <c r="U2095" s="207"/>
      <c r="V2095" s="204"/>
      <c r="W2095" s="204"/>
      <c r="X2095" s="207"/>
      <c r="Y2095" s="207"/>
      <c r="Z2095" s="204"/>
      <c r="AA2095" s="204"/>
      <c r="AB2095" s="204"/>
      <c r="AC2095" s="204"/>
    </row>
    <row r="2096" spans="1:29">
      <c r="A2096" s="204"/>
      <c r="B2096" s="204"/>
      <c r="C2096" s="204"/>
      <c r="D2096" s="204"/>
      <c r="E2096" s="204"/>
      <c r="F2096" s="204"/>
      <c r="G2096" s="204"/>
      <c r="H2096" s="204"/>
      <c r="I2096" s="204"/>
      <c r="J2096" s="204"/>
      <c r="K2096" s="204"/>
      <c r="L2096" s="205"/>
      <c r="M2096" s="205"/>
      <c r="N2096" s="204"/>
      <c r="O2096" s="204"/>
      <c r="P2096" s="206"/>
      <c r="Q2096" s="206"/>
      <c r="R2096" s="206"/>
      <c r="S2096" s="206"/>
      <c r="T2096" s="204"/>
      <c r="U2096" s="207"/>
      <c r="V2096" s="204"/>
      <c r="W2096" s="204"/>
      <c r="X2096" s="207"/>
      <c r="Y2096" s="207"/>
      <c r="Z2096" s="204"/>
      <c r="AA2096" s="204"/>
      <c r="AB2096" s="204"/>
      <c r="AC2096" s="204"/>
    </row>
    <row r="2097" spans="1:29">
      <c r="A2097" s="204"/>
      <c r="B2097" s="204"/>
      <c r="C2097" s="204"/>
      <c r="D2097" s="204"/>
      <c r="E2097" s="204"/>
      <c r="F2097" s="204"/>
      <c r="G2097" s="204"/>
      <c r="H2097" s="204"/>
      <c r="I2097" s="204"/>
      <c r="J2097" s="204"/>
      <c r="K2097" s="204"/>
      <c r="L2097" s="205"/>
      <c r="M2097" s="205"/>
      <c r="N2097" s="204"/>
      <c r="O2097" s="204"/>
      <c r="P2097" s="206"/>
      <c r="Q2097" s="206"/>
      <c r="R2097" s="206"/>
      <c r="S2097" s="206"/>
      <c r="T2097" s="204"/>
      <c r="U2097" s="207"/>
      <c r="V2097" s="204"/>
      <c r="W2097" s="204"/>
      <c r="X2097" s="207"/>
      <c r="Y2097" s="207"/>
      <c r="Z2097" s="204"/>
      <c r="AA2097" s="204"/>
      <c r="AB2097" s="204"/>
      <c r="AC2097" s="204"/>
    </row>
    <row r="2098" spans="1:29">
      <c r="A2098" s="204"/>
      <c r="B2098" s="204"/>
      <c r="C2098" s="204"/>
      <c r="D2098" s="204"/>
      <c r="E2098" s="204"/>
      <c r="F2098" s="204"/>
      <c r="G2098" s="204"/>
      <c r="H2098" s="204"/>
      <c r="I2098" s="204"/>
      <c r="J2098" s="204"/>
      <c r="K2098" s="204"/>
      <c r="L2098" s="205"/>
      <c r="M2098" s="205"/>
      <c r="N2098" s="204"/>
      <c r="O2098" s="204"/>
      <c r="P2098" s="206"/>
      <c r="Q2098" s="206"/>
      <c r="R2098" s="206"/>
      <c r="S2098" s="206"/>
      <c r="T2098" s="204"/>
      <c r="U2098" s="207"/>
      <c r="V2098" s="204"/>
      <c r="W2098" s="204"/>
      <c r="X2098" s="207"/>
      <c r="Y2098" s="207"/>
      <c r="Z2098" s="204"/>
      <c r="AA2098" s="204"/>
      <c r="AB2098" s="204"/>
      <c r="AC2098" s="204"/>
    </row>
    <row r="2099" spans="1:29">
      <c r="A2099" s="204"/>
      <c r="B2099" s="204"/>
      <c r="C2099" s="204"/>
      <c r="D2099" s="204"/>
      <c r="E2099" s="204"/>
      <c r="F2099" s="204"/>
      <c r="G2099" s="204"/>
      <c r="H2099" s="204"/>
      <c r="I2099" s="204"/>
      <c r="J2099" s="204"/>
      <c r="K2099" s="204"/>
      <c r="L2099" s="205"/>
      <c r="M2099" s="205"/>
      <c r="N2099" s="204"/>
      <c r="O2099" s="204"/>
      <c r="P2099" s="206"/>
      <c r="Q2099" s="206"/>
      <c r="R2099" s="206"/>
      <c r="S2099" s="206"/>
      <c r="T2099" s="204"/>
      <c r="U2099" s="207"/>
      <c r="V2099" s="204"/>
      <c r="W2099" s="204"/>
      <c r="X2099" s="207"/>
      <c r="Y2099" s="207"/>
      <c r="Z2099" s="204"/>
      <c r="AA2099" s="204"/>
      <c r="AB2099" s="204"/>
      <c r="AC2099" s="204"/>
    </row>
    <row r="2100" spans="1:29">
      <c r="A2100" s="204"/>
      <c r="B2100" s="204"/>
      <c r="C2100" s="204"/>
      <c r="D2100" s="204"/>
      <c r="E2100" s="204"/>
      <c r="F2100" s="204"/>
      <c r="G2100" s="204"/>
      <c r="H2100" s="204"/>
      <c r="I2100" s="204"/>
      <c r="J2100" s="204"/>
      <c r="K2100" s="204"/>
      <c r="L2100" s="205"/>
      <c r="M2100" s="205"/>
      <c r="N2100" s="204"/>
      <c r="O2100" s="204"/>
      <c r="P2100" s="206"/>
      <c r="Q2100" s="206"/>
      <c r="R2100" s="206"/>
      <c r="S2100" s="206"/>
      <c r="T2100" s="204"/>
      <c r="U2100" s="207"/>
      <c r="V2100" s="204"/>
      <c r="W2100" s="204"/>
      <c r="X2100" s="207"/>
      <c r="Y2100" s="207"/>
      <c r="Z2100" s="204"/>
      <c r="AA2100" s="204"/>
      <c r="AB2100" s="204"/>
      <c r="AC2100" s="204"/>
    </row>
    <row r="2101" spans="1:29">
      <c r="A2101" s="204"/>
      <c r="B2101" s="204"/>
      <c r="C2101" s="204"/>
      <c r="D2101" s="204"/>
      <c r="E2101" s="204"/>
      <c r="F2101" s="204"/>
      <c r="G2101" s="204"/>
      <c r="H2101" s="204"/>
      <c r="I2101" s="204"/>
      <c r="J2101" s="204"/>
      <c r="K2101" s="204"/>
      <c r="L2101" s="205"/>
      <c r="M2101" s="205"/>
      <c r="N2101" s="204"/>
      <c r="O2101" s="204"/>
      <c r="P2101" s="206"/>
      <c r="Q2101" s="206"/>
      <c r="R2101" s="206"/>
      <c r="S2101" s="206"/>
      <c r="T2101" s="204"/>
      <c r="U2101" s="207"/>
      <c r="V2101" s="204"/>
      <c r="W2101" s="204"/>
      <c r="X2101" s="207"/>
      <c r="Y2101" s="207"/>
      <c r="Z2101" s="204"/>
      <c r="AA2101" s="204"/>
      <c r="AB2101" s="204"/>
      <c r="AC2101" s="204"/>
    </row>
    <row r="2102" spans="1:29">
      <c r="A2102" s="204"/>
      <c r="B2102" s="204"/>
      <c r="C2102" s="204"/>
      <c r="D2102" s="204"/>
      <c r="E2102" s="204"/>
      <c r="F2102" s="204"/>
      <c r="G2102" s="204"/>
      <c r="H2102" s="204"/>
      <c r="I2102" s="204"/>
      <c r="J2102" s="204"/>
      <c r="K2102" s="204"/>
      <c r="L2102" s="205"/>
      <c r="M2102" s="205"/>
      <c r="N2102" s="204"/>
      <c r="O2102" s="204"/>
      <c r="P2102" s="206"/>
      <c r="Q2102" s="206"/>
      <c r="R2102" s="206"/>
      <c r="S2102" s="206"/>
      <c r="T2102" s="204"/>
      <c r="U2102" s="207"/>
      <c r="V2102" s="204"/>
      <c r="W2102" s="204"/>
      <c r="X2102" s="207"/>
      <c r="Y2102" s="207"/>
      <c r="Z2102" s="204"/>
      <c r="AA2102" s="204"/>
      <c r="AB2102" s="204"/>
      <c r="AC2102" s="204"/>
    </row>
    <row r="2103" spans="1:29">
      <c r="A2103" s="204"/>
      <c r="B2103" s="204"/>
      <c r="C2103" s="204"/>
      <c r="D2103" s="204"/>
      <c r="E2103" s="204"/>
      <c r="F2103" s="204"/>
      <c r="G2103" s="204"/>
      <c r="H2103" s="204"/>
      <c r="I2103" s="204"/>
      <c r="J2103" s="204"/>
      <c r="K2103" s="204"/>
      <c r="L2103" s="205"/>
      <c r="M2103" s="205"/>
      <c r="N2103" s="204"/>
      <c r="O2103" s="204"/>
      <c r="P2103" s="206"/>
      <c r="Q2103" s="206"/>
      <c r="R2103" s="206"/>
      <c r="S2103" s="206"/>
      <c r="T2103" s="204"/>
      <c r="U2103" s="207"/>
      <c r="V2103" s="204"/>
      <c r="W2103" s="204"/>
      <c r="X2103" s="207"/>
      <c r="Y2103" s="207"/>
      <c r="Z2103" s="204"/>
      <c r="AA2103" s="204"/>
      <c r="AB2103" s="204"/>
      <c r="AC2103" s="204"/>
    </row>
    <row r="2104" spans="1:29">
      <c r="A2104" s="204"/>
      <c r="B2104" s="204"/>
      <c r="C2104" s="204"/>
      <c r="D2104" s="204"/>
      <c r="E2104" s="204"/>
      <c r="F2104" s="204"/>
      <c r="G2104" s="204"/>
      <c r="H2104" s="204"/>
      <c r="I2104" s="204"/>
      <c r="J2104" s="204"/>
      <c r="K2104" s="204"/>
      <c r="L2104" s="205"/>
      <c r="M2104" s="205"/>
      <c r="N2104" s="204"/>
      <c r="O2104" s="204"/>
      <c r="P2104" s="206"/>
      <c r="Q2104" s="206"/>
      <c r="R2104" s="206"/>
      <c r="S2104" s="206"/>
      <c r="T2104" s="204"/>
      <c r="U2104" s="207"/>
      <c r="V2104" s="204"/>
      <c r="W2104" s="204"/>
      <c r="X2104" s="207"/>
      <c r="Y2104" s="207"/>
      <c r="Z2104" s="204"/>
      <c r="AA2104" s="204"/>
      <c r="AB2104" s="204"/>
      <c r="AC2104" s="204"/>
    </row>
    <row r="2105" spans="1:29">
      <c r="A2105" s="204"/>
      <c r="B2105" s="204"/>
      <c r="C2105" s="204"/>
      <c r="D2105" s="204"/>
      <c r="E2105" s="204"/>
      <c r="F2105" s="204"/>
      <c r="G2105" s="204"/>
      <c r="H2105" s="204"/>
      <c r="I2105" s="204"/>
      <c r="J2105" s="204"/>
      <c r="K2105" s="204"/>
      <c r="L2105" s="205"/>
      <c r="M2105" s="205"/>
      <c r="N2105" s="204"/>
      <c r="O2105" s="204"/>
      <c r="P2105" s="206"/>
      <c r="Q2105" s="206"/>
      <c r="R2105" s="206"/>
      <c r="S2105" s="206"/>
      <c r="T2105" s="204"/>
      <c r="U2105" s="207"/>
      <c r="V2105" s="204"/>
      <c r="W2105" s="204"/>
      <c r="X2105" s="207"/>
      <c r="Y2105" s="207"/>
      <c r="Z2105" s="204"/>
      <c r="AA2105" s="204"/>
      <c r="AB2105" s="204"/>
      <c r="AC2105" s="204"/>
    </row>
    <row r="2106" spans="1:29">
      <c r="A2106" s="204"/>
      <c r="B2106" s="204"/>
      <c r="C2106" s="204"/>
      <c r="D2106" s="204"/>
      <c r="E2106" s="204"/>
      <c r="F2106" s="204"/>
      <c r="G2106" s="204"/>
      <c r="H2106" s="204"/>
      <c r="I2106" s="204"/>
      <c r="J2106" s="204"/>
      <c r="K2106" s="204"/>
      <c r="L2106" s="205"/>
      <c r="M2106" s="205"/>
      <c r="N2106" s="204"/>
      <c r="O2106" s="204"/>
      <c r="P2106" s="206"/>
      <c r="Q2106" s="206"/>
      <c r="R2106" s="206"/>
      <c r="S2106" s="206"/>
      <c r="T2106" s="204"/>
      <c r="U2106" s="207"/>
      <c r="V2106" s="204"/>
      <c r="W2106" s="204"/>
      <c r="X2106" s="207"/>
      <c r="Y2106" s="207"/>
      <c r="Z2106" s="204"/>
      <c r="AA2106" s="204"/>
      <c r="AB2106" s="204"/>
      <c r="AC2106" s="204"/>
    </row>
    <row r="2107" spans="1:29">
      <c r="A2107" s="204"/>
      <c r="B2107" s="204"/>
      <c r="C2107" s="204"/>
      <c r="D2107" s="204"/>
      <c r="E2107" s="204"/>
      <c r="F2107" s="204"/>
      <c r="G2107" s="204"/>
      <c r="H2107" s="204"/>
      <c r="I2107" s="204"/>
      <c r="J2107" s="204"/>
      <c r="K2107" s="204"/>
      <c r="L2107" s="205"/>
      <c r="M2107" s="205"/>
      <c r="N2107" s="204"/>
      <c r="O2107" s="204"/>
      <c r="P2107" s="206"/>
      <c r="Q2107" s="206"/>
      <c r="R2107" s="206"/>
      <c r="S2107" s="206"/>
      <c r="T2107" s="204"/>
      <c r="U2107" s="207"/>
      <c r="V2107" s="204"/>
      <c r="W2107" s="204"/>
      <c r="X2107" s="207"/>
      <c r="Y2107" s="207"/>
      <c r="Z2107" s="204"/>
      <c r="AA2107" s="204"/>
      <c r="AB2107" s="204"/>
      <c r="AC2107" s="204"/>
    </row>
    <row r="2108" spans="1:29">
      <c r="A2108" s="204"/>
      <c r="B2108" s="204"/>
      <c r="C2108" s="204"/>
      <c r="D2108" s="204"/>
      <c r="E2108" s="204"/>
      <c r="F2108" s="204"/>
      <c r="G2108" s="204"/>
      <c r="H2108" s="204"/>
      <c r="I2108" s="204"/>
      <c r="J2108" s="204"/>
      <c r="K2108" s="204"/>
      <c r="L2108" s="205"/>
      <c r="M2108" s="205"/>
      <c r="N2108" s="204"/>
      <c r="O2108" s="204"/>
      <c r="P2108" s="206"/>
      <c r="Q2108" s="206"/>
      <c r="R2108" s="206"/>
      <c r="S2108" s="206"/>
      <c r="T2108" s="204"/>
      <c r="U2108" s="207"/>
      <c r="V2108" s="204"/>
      <c r="W2108" s="204"/>
      <c r="X2108" s="207"/>
      <c r="Y2108" s="207"/>
      <c r="Z2108" s="204"/>
      <c r="AA2108" s="204"/>
      <c r="AB2108" s="204"/>
      <c r="AC2108" s="204"/>
    </row>
    <row r="2109" spans="1:29">
      <c r="A2109" s="204"/>
      <c r="B2109" s="204"/>
      <c r="C2109" s="204"/>
      <c r="D2109" s="204"/>
      <c r="E2109" s="204"/>
      <c r="F2109" s="204"/>
      <c r="G2109" s="204"/>
      <c r="H2109" s="204"/>
      <c r="I2109" s="204"/>
      <c r="J2109" s="204"/>
      <c r="K2109" s="204"/>
      <c r="L2109" s="205"/>
      <c r="M2109" s="205"/>
      <c r="N2109" s="204"/>
      <c r="O2109" s="204"/>
      <c r="P2109" s="206"/>
      <c r="Q2109" s="206"/>
      <c r="R2109" s="206"/>
      <c r="S2109" s="206"/>
      <c r="T2109" s="204"/>
      <c r="U2109" s="207"/>
      <c r="V2109" s="204"/>
      <c r="W2109" s="204"/>
      <c r="X2109" s="207"/>
      <c r="Y2109" s="207"/>
      <c r="Z2109" s="204"/>
      <c r="AA2109" s="204"/>
      <c r="AB2109" s="204"/>
      <c r="AC2109" s="204"/>
    </row>
    <row r="2110" spans="1:29">
      <c r="A2110" s="204"/>
      <c r="B2110" s="204"/>
      <c r="C2110" s="204"/>
      <c r="D2110" s="204"/>
      <c r="E2110" s="204"/>
      <c r="F2110" s="204"/>
      <c r="G2110" s="204"/>
      <c r="H2110" s="204"/>
      <c r="I2110" s="204"/>
      <c r="J2110" s="204"/>
      <c r="K2110" s="204"/>
      <c r="L2110" s="205"/>
      <c r="M2110" s="205"/>
      <c r="N2110" s="204"/>
      <c r="O2110" s="204"/>
      <c r="P2110" s="206"/>
      <c r="Q2110" s="206"/>
      <c r="R2110" s="206"/>
      <c r="S2110" s="206"/>
      <c r="T2110" s="204"/>
      <c r="U2110" s="207"/>
      <c r="V2110" s="204"/>
      <c r="W2110" s="204"/>
      <c r="X2110" s="207"/>
      <c r="Y2110" s="207"/>
      <c r="Z2110" s="204"/>
      <c r="AA2110" s="204"/>
      <c r="AB2110" s="204"/>
      <c r="AC2110" s="204"/>
    </row>
    <row r="2111" spans="1:29">
      <c r="A2111" s="204"/>
      <c r="B2111" s="204"/>
      <c r="C2111" s="204"/>
      <c r="D2111" s="204"/>
      <c r="E2111" s="204"/>
      <c r="F2111" s="204"/>
      <c r="G2111" s="204"/>
      <c r="H2111" s="204"/>
      <c r="I2111" s="204"/>
      <c r="J2111" s="204"/>
      <c r="K2111" s="204"/>
      <c r="L2111" s="205"/>
      <c r="M2111" s="205"/>
      <c r="N2111" s="204"/>
      <c r="O2111" s="204"/>
      <c r="P2111" s="206"/>
      <c r="Q2111" s="206"/>
      <c r="R2111" s="206"/>
      <c r="S2111" s="206"/>
      <c r="T2111" s="204"/>
      <c r="U2111" s="207"/>
      <c r="V2111" s="204"/>
      <c r="W2111" s="204"/>
      <c r="X2111" s="207"/>
      <c r="Y2111" s="207"/>
      <c r="Z2111" s="204"/>
      <c r="AA2111" s="204"/>
      <c r="AB2111" s="204"/>
      <c r="AC2111" s="204"/>
    </row>
    <row r="2112" spans="1:29">
      <c r="A2112" s="204"/>
      <c r="B2112" s="204"/>
      <c r="C2112" s="204"/>
      <c r="D2112" s="204"/>
      <c r="E2112" s="204"/>
      <c r="F2112" s="204"/>
      <c r="G2112" s="204"/>
      <c r="H2112" s="204"/>
      <c r="I2112" s="204"/>
      <c r="J2112" s="204"/>
      <c r="K2112" s="204"/>
      <c r="L2112" s="205"/>
      <c r="M2112" s="205"/>
      <c r="N2112" s="204"/>
      <c r="O2112" s="204"/>
      <c r="P2112" s="206"/>
      <c r="Q2112" s="206"/>
      <c r="R2112" s="206"/>
      <c r="S2112" s="206"/>
      <c r="T2112" s="204"/>
      <c r="U2112" s="207"/>
      <c r="V2112" s="204"/>
      <c r="W2112" s="204"/>
      <c r="X2112" s="207"/>
      <c r="Y2112" s="207"/>
      <c r="Z2112" s="204"/>
      <c r="AA2112" s="204"/>
      <c r="AB2112" s="204"/>
      <c r="AC2112" s="204"/>
    </row>
    <row r="2113" spans="1:29">
      <c r="A2113" s="204"/>
      <c r="B2113" s="204"/>
      <c r="C2113" s="204"/>
      <c r="D2113" s="204"/>
      <c r="E2113" s="204"/>
      <c r="F2113" s="204"/>
      <c r="G2113" s="204"/>
      <c r="H2113" s="204"/>
      <c r="I2113" s="204"/>
      <c r="J2113" s="204"/>
      <c r="K2113" s="204"/>
      <c r="L2113" s="205"/>
      <c r="M2113" s="205"/>
      <c r="N2113" s="204"/>
      <c r="O2113" s="204"/>
      <c r="P2113" s="206"/>
      <c r="Q2113" s="206"/>
      <c r="R2113" s="206"/>
      <c r="S2113" s="206"/>
      <c r="T2113" s="204"/>
      <c r="U2113" s="207"/>
      <c r="V2113" s="204"/>
      <c r="W2113" s="204"/>
      <c r="X2113" s="207"/>
      <c r="Y2113" s="207"/>
      <c r="Z2113" s="204"/>
      <c r="AA2113" s="204"/>
      <c r="AB2113" s="204"/>
      <c r="AC2113" s="204"/>
    </row>
    <row r="2114" spans="1:29">
      <c r="A2114" s="204"/>
      <c r="B2114" s="204"/>
      <c r="C2114" s="204"/>
      <c r="D2114" s="204"/>
      <c r="E2114" s="204"/>
      <c r="F2114" s="204"/>
      <c r="G2114" s="204"/>
      <c r="H2114" s="204"/>
      <c r="I2114" s="204"/>
      <c r="J2114" s="204"/>
      <c r="K2114" s="204"/>
      <c r="L2114" s="205"/>
      <c r="M2114" s="205"/>
      <c r="N2114" s="204"/>
      <c r="O2114" s="204"/>
      <c r="P2114" s="206"/>
      <c r="Q2114" s="206"/>
      <c r="R2114" s="206"/>
      <c r="S2114" s="206"/>
      <c r="T2114" s="204"/>
      <c r="U2114" s="207"/>
      <c r="V2114" s="204"/>
      <c r="W2114" s="204"/>
      <c r="X2114" s="207"/>
      <c r="Y2114" s="207"/>
      <c r="Z2114" s="204"/>
      <c r="AA2114" s="204"/>
      <c r="AB2114" s="204"/>
      <c r="AC2114" s="204"/>
    </row>
    <row r="2115" spans="1:29">
      <c r="A2115" s="204"/>
      <c r="B2115" s="204"/>
      <c r="C2115" s="204"/>
      <c r="D2115" s="204"/>
      <c r="E2115" s="204"/>
      <c r="F2115" s="204"/>
      <c r="G2115" s="204"/>
      <c r="H2115" s="204"/>
      <c r="I2115" s="204"/>
      <c r="J2115" s="204"/>
      <c r="K2115" s="204"/>
      <c r="L2115" s="205"/>
      <c r="M2115" s="205"/>
      <c r="N2115" s="204"/>
      <c r="O2115" s="204"/>
      <c r="P2115" s="206"/>
      <c r="Q2115" s="206"/>
      <c r="R2115" s="206"/>
      <c r="S2115" s="206"/>
      <c r="T2115" s="204"/>
      <c r="U2115" s="207"/>
      <c r="V2115" s="204"/>
      <c r="W2115" s="204"/>
      <c r="X2115" s="207"/>
      <c r="Y2115" s="207"/>
      <c r="Z2115" s="204"/>
      <c r="AA2115" s="204"/>
      <c r="AB2115" s="204"/>
      <c r="AC2115" s="204"/>
    </row>
    <row r="2116" spans="1:29">
      <c r="A2116" s="204"/>
      <c r="B2116" s="204"/>
      <c r="C2116" s="204"/>
      <c r="D2116" s="204"/>
      <c r="E2116" s="204"/>
      <c r="F2116" s="204"/>
      <c r="G2116" s="204"/>
      <c r="H2116" s="204"/>
      <c r="I2116" s="204"/>
      <c r="J2116" s="204"/>
      <c r="K2116" s="204"/>
      <c r="L2116" s="205"/>
      <c r="M2116" s="205"/>
      <c r="N2116" s="204"/>
      <c r="O2116" s="204"/>
      <c r="P2116" s="206"/>
      <c r="Q2116" s="206"/>
      <c r="R2116" s="206"/>
      <c r="S2116" s="206"/>
      <c r="T2116" s="204"/>
      <c r="U2116" s="207"/>
      <c r="V2116" s="204"/>
      <c r="W2116" s="204"/>
      <c r="X2116" s="207"/>
      <c r="Y2116" s="207"/>
      <c r="Z2116" s="204"/>
      <c r="AA2116" s="204"/>
      <c r="AB2116" s="204"/>
      <c r="AC2116" s="204"/>
    </row>
    <row r="2117" spans="1:29">
      <c r="A2117" s="204"/>
      <c r="B2117" s="204"/>
      <c r="C2117" s="204"/>
      <c r="D2117" s="204"/>
      <c r="E2117" s="204"/>
      <c r="F2117" s="204"/>
      <c r="G2117" s="204"/>
      <c r="H2117" s="204"/>
      <c r="I2117" s="204"/>
      <c r="J2117" s="204"/>
      <c r="K2117" s="204"/>
      <c r="L2117" s="205"/>
      <c r="M2117" s="205"/>
      <c r="N2117" s="204"/>
      <c r="O2117" s="204"/>
      <c r="P2117" s="206"/>
      <c r="Q2117" s="206"/>
      <c r="R2117" s="206"/>
      <c r="S2117" s="206"/>
      <c r="T2117" s="204"/>
      <c r="U2117" s="207"/>
      <c r="V2117" s="204"/>
      <c r="W2117" s="204"/>
      <c r="X2117" s="207"/>
      <c r="Y2117" s="207"/>
      <c r="Z2117" s="204"/>
      <c r="AA2117" s="204"/>
      <c r="AB2117" s="204"/>
      <c r="AC2117" s="204"/>
    </row>
    <row r="2118" spans="1:29">
      <c r="A2118" s="204"/>
      <c r="B2118" s="204"/>
      <c r="C2118" s="204"/>
      <c r="D2118" s="204"/>
      <c r="E2118" s="204"/>
      <c r="F2118" s="204"/>
      <c r="G2118" s="204"/>
      <c r="H2118" s="204"/>
      <c r="I2118" s="204"/>
      <c r="J2118" s="204"/>
      <c r="K2118" s="204"/>
      <c r="L2118" s="205"/>
      <c r="M2118" s="205"/>
      <c r="N2118" s="204"/>
      <c r="O2118" s="204"/>
      <c r="P2118" s="206"/>
      <c r="Q2118" s="206"/>
      <c r="R2118" s="206"/>
      <c r="S2118" s="206"/>
      <c r="T2118" s="204"/>
      <c r="U2118" s="207"/>
      <c r="V2118" s="204"/>
      <c r="W2118" s="204"/>
      <c r="X2118" s="207"/>
      <c r="Y2118" s="207"/>
      <c r="Z2118" s="204"/>
      <c r="AA2118" s="204"/>
      <c r="AB2118" s="204"/>
      <c r="AC2118" s="204"/>
    </row>
    <row r="2119" spans="1:29">
      <c r="A2119" s="204"/>
      <c r="B2119" s="204"/>
      <c r="C2119" s="204"/>
      <c r="D2119" s="204"/>
      <c r="E2119" s="204"/>
      <c r="F2119" s="204"/>
      <c r="G2119" s="204"/>
      <c r="H2119" s="204"/>
      <c r="I2119" s="204"/>
      <c r="J2119" s="204"/>
      <c r="K2119" s="204"/>
      <c r="L2119" s="205"/>
      <c r="M2119" s="205"/>
      <c r="N2119" s="204"/>
      <c r="O2119" s="204"/>
      <c r="P2119" s="206"/>
      <c r="Q2119" s="206"/>
      <c r="R2119" s="206"/>
      <c r="S2119" s="206"/>
      <c r="T2119" s="204"/>
      <c r="U2119" s="207"/>
      <c r="V2119" s="204"/>
      <c r="W2119" s="204"/>
      <c r="X2119" s="207"/>
      <c r="Y2119" s="207"/>
      <c r="Z2119" s="204"/>
      <c r="AA2119" s="204"/>
      <c r="AB2119" s="204"/>
      <c r="AC2119" s="204"/>
    </row>
    <row r="2120" spans="1:29">
      <c r="A2120" s="204"/>
      <c r="B2120" s="204"/>
      <c r="C2120" s="204"/>
      <c r="D2120" s="204"/>
      <c r="E2120" s="204"/>
      <c r="F2120" s="204"/>
      <c r="G2120" s="204"/>
      <c r="H2120" s="204"/>
      <c r="I2120" s="204"/>
      <c r="J2120" s="204"/>
      <c r="K2120" s="204"/>
      <c r="L2120" s="205"/>
      <c r="M2120" s="205"/>
      <c r="N2120" s="204"/>
      <c r="O2120" s="204"/>
      <c r="P2120" s="206"/>
      <c r="Q2120" s="206"/>
      <c r="R2120" s="206"/>
      <c r="S2120" s="206"/>
      <c r="T2120" s="204"/>
      <c r="U2120" s="207"/>
      <c r="V2120" s="204"/>
      <c r="W2120" s="204"/>
      <c r="X2120" s="207"/>
      <c r="Y2120" s="207"/>
      <c r="Z2120" s="204"/>
      <c r="AA2120" s="204"/>
      <c r="AB2120" s="204"/>
      <c r="AC2120" s="204"/>
    </row>
    <row r="2121" spans="1:29">
      <c r="A2121" s="204"/>
      <c r="B2121" s="204"/>
      <c r="C2121" s="204"/>
      <c r="D2121" s="204"/>
      <c r="E2121" s="204"/>
      <c r="F2121" s="204"/>
      <c r="G2121" s="204"/>
      <c r="H2121" s="204"/>
      <c r="I2121" s="204"/>
      <c r="J2121" s="204"/>
      <c r="K2121" s="204"/>
      <c r="L2121" s="205"/>
      <c r="M2121" s="205"/>
      <c r="N2121" s="204"/>
      <c r="O2121" s="204"/>
      <c r="P2121" s="206"/>
      <c r="Q2121" s="206"/>
      <c r="R2121" s="206"/>
      <c r="S2121" s="206"/>
      <c r="T2121" s="204"/>
      <c r="U2121" s="207"/>
      <c r="V2121" s="204"/>
      <c r="W2121" s="204"/>
      <c r="X2121" s="207"/>
      <c r="Y2121" s="207"/>
      <c r="Z2121" s="204"/>
      <c r="AA2121" s="204"/>
      <c r="AB2121" s="204"/>
      <c r="AC2121" s="204"/>
    </row>
    <row r="2122" spans="1:29">
      <c r="A2122" s="204"/>
      <c r="B2122" s="204"/>
      <c r="C2122" s="204"/>
      <c r="D2122" s="204"/>
      <c r="E2122" s="204"/>
      <c r="F2122" s="204"/>
      <c r="G2122" s="204"/>
      <c r="H2122" s="204"/>
      <c r="I2122" s="204"/>
      <c r="J2122" s="204"/>
      <c r="K2122" s="204"/>
      <c r="L2122" s="205"/>
      <c r="M2122" s="205"/>
      <c r="N2122" s="204"/>
      <c r="O2122" s="204"/>
      <c r="P2122" s="206"/>
      <c r="Q2122" s="206"/>
      <c r="R2122" s="206"/>
      <c r="S2122" s="206"/>
      <c r="T2122" s="204"/>
      <c r="U2122" s="207"/>
      <c r="V2122" s="204"/>
      <c r="W2122" s="204"/>
      <c r="X2122" s="207"/>
      <c r="Y2122" s="207"/>
      <c r="Z2122" s="204"/>
      <c r="AA2122" s="204"/>
      <c r="AB2122" s="204"/>
      <c r="AC2122" s="204"/>
    </row>
    <row r="2123" spans="1:29">
      <c r="A2123" s="204"/>
      <c r="B2123" s="204"/>
      <c r="C2123" s="204"/>
      <c r="D2123" s="204"/>
      <c r="E2123" s="204"/>
      <c r="F2123" s="204"/>
      <c r="G2123" s="204"/>
      <c r="H2123" s="204"/>
      <c r="I2123" s="204"/>
      <c r="J2123" s="204"/>
      <c r="K2123" s="204"/>
      <c r="L2123" s="205"/>
      <c r="M2123" s="205"/>
      <c r="N2123" s="204"/>
      <c r="O2123" s="204"/>
      <c r="P2123" s="206"/>
      <c r="Q2123" s="206"/>
      <c r="R2123" s="206"/>
      <c r="S2123" s="206"/>
      <c r="T2123" s="204"/>
      <c r="U2123" s="207"/>
      <c r="V2123" s="204"/>
      <c r="W2123" s="204"/>
      <c r="X2123" s="207"/>
      <c r="Y2123" s="207"/>
      <c r="Z2123" s="204"/>
      <c r="AA2123" s="204"/>
      <c r="AB2123" s="204"/>
      <c r="AC2123" s="204"/>
    </row>
    <row r="2124" spans="1:29">
      <c r="A2124" s="204"/>
      <c r="B2124" s="204"/>
      <c r="C2124" s="204"/>
      <c r="D2124" s="204"/>
      <c r="E2124" s="204"/>
      <c r="F2124" s="204"/>
      <c r="G2124" s="204"/>
      <c r="H2124" s="204"/>
      <c r="I2124" s="204"/>
      <c r="J2124" s="204"/>
      <c r="K2124" s="204"/>
      <c r="L2124" s="205"/>
      <c r="M2124" s="205"/>
      <c r="N2124" s="204"/>
      <c r="O2124" s="204"/>
      <c r="P2124" s="206"/>
      <c r="Q2124" s="206"/>
      <c r="R2124" s="206"/>
      <c r="S2124" s="206"/>
      <c r="T2124" s="204"/>
      <c r="U2124" s="207"/>
      <c r="V2124" s="204"/>
      <c r="W2124" s="204"/>
      <c r="X2124" s="207"/>
      <c r="Y2124" s="207"/>
      <c r="Z2124" s="204"/>
      <c r="AA2124" s="204"/>
      <c r="AB2124" s="204"/>
      <c r="AC2124" s="204"/>
    </row>
    <row r="2125" spans="1:29">
      <c r="A2125" s="204"/>
      <c r="B2125" s="204"/>
      <c r="C2125" s="204"/>
      <c r="D2125" s="204"/>
      <c r="E2125" s="204"/>
      <c r="F2125" s="204"/>
      <c r="G2125" s="204"/>
      <c r="H2125" s="204"/>
      <c r="I2125" s="204"/>
      <c r="J2125" s="204"/>
      <c r="K2125" s="204"/>
      <c r="L2125" s="205"/>
      <c r="M2125" s="205"/>
      <c r="N2125" s="204"/>
      <c r="O2125" s="204"/>
      <c r="P2125" s="206"/>
      <c r="Q2125" s="206"/>
      <c r="R2125" s="206"/>
      <c r="S2125" s="206"/>
      <c r="T2125" s="204"/>
      <c r="U2125" s="207"/>
      <c r="V2125" s="204"/>
      <c r="W2125" s="204"/>
      <c r="X2125" s="207"/>
      <c r="Y2125" s="207"/>
      <c r="Z2125" s="204"/>
      <c r="AA2125" s="204"/>
      <c r="AB2125" s="204"/>
      <c r="AC2125" s="204"/>
    </row>
    <row r="2126" spans="1:29">
      <c r="A2126" s="204"/>
      <c r="B2126" s="204"/>
      <c r="C2126" s="204"/>
      <c r="D2126" s="204"/>
      <c r="E2126" s="204"/>
      <c r="F2126" s="204"/>
      <c r="G2126" s="204"/>
      <c r="H2126" s="204"/>
      <c r="I2126" s="204"/>
      <c r="J2126" s="204"/>
      <c r="K2126" s="204"/>
      <c r="L2126" s="205"/>
      <c r="M2126" s="205"/>
      <c r="N2126" s="204"/>
      <c r="O2126" s="204"/>
      <c r="P2126" s="206"/>
      <c r="Q2126" s="206"/>
      <c r="R2126" s="206"/>
      <c r="S2126" s="206"/>
      <c r="T2126" s="204"/>
      <c r="U2126" s="207"/>
      <c r="V2126" s="204"/>
      <c r="W2126" s="204"/>
      <c r="X2126" s="207"/>
      <c r="Y2126" s="207"/>
      <c r="Z2126" s="204"/>
      <c r="AA2126" s="204"/>
      <c r="AB2126" s="204"/>
      <c r="AC2126" s="204"/>
    </row>
    <row r="2127" spans="1:29">
      <c r="A2127" s="204"/>
      <c r="B2127" s="204"/>
      <c r="C2127" s="204"/>
      <c r="D2127" s="204"/>
      <c r="E2127" s="204"/>
      <c r="F2127" s="204"/>
      <c r="G2127" s="204"/>
      <c r="H2127" s="204"/>
      <c r="I2127" s="204"/>
      <c r="J2127" s="204"/>
      <c r="K2127" s="204"/>
      <c r="L2127" s="205"/>
      <c r="M2127" s="205"/>
      <c r="N2127" s="204"/>
      <c r="O2127" s="204"/>
      <c r="P2127" s="206"/>
      <c r="Q2127" s="206"/>
      <c r="R2127" s="206"/>
      <c r="S2127" s="206"/>
      <c r="T2127" s="204"/>
      <c r="U2127" s="207"/>
      <c r="V2127" s="204"/>
      <c r="W2127" s="204"/>
      <c r="X2127" s="207"/>
      <c r="Y2127" s="207"/>
      <c r="Z2127" s="204"/>
      <c r="AA2127" s="204"/>
      <c r="AB2127" s="204"/>
      <c r="AC2127" s="204"/>
    </row>
    <row r="2128" spans="1:29">
      <c r="A2128" s="204"/>
      <c r="B2128" s="204"/>
      <c r="C2128" s="204"/>
      <c r="D2128" s="204"/>
      <c r="E2128" s="204"/>
      <c r="F2128" s="204"/>
      <c r="G2128" s="204"/>
      <c r="H2128" s="204"/>
      <c r="I2128" s="204"/>
      <c r="J2128" s="204"/>
      <c r="K2128" s="204"/>
      <c r="L2128" s="205"/>
      <c r="M2128" s="205"/>
      <c r="N2128" s="204"/>
      <c r="O2128" s="204"/>
      <c r="P2128" s="206"/>
      <c r="Q2128" s="206"/>
      <c r="R2128" s="206"/>
      <c r="S2128" s="206"/>
      <c r="T2128" s="204"/>
      <c r="U2128" s="207"/>
      <c r="V2128" s="204"/>
      <c r="W2128" s="204"/>
      <c r="X2128" s="207"/>
      <c r="Y2128" s="207"/>
      <c r="Z2128" s="204"/>
      <c r="AA2128" s="204"/>
      <c r="AB2128" s="204"/>
      <c r="AC2128" s="204"/>
    </row>
    <row r="2129" spans="1:29">
      <c r="A2129" s="204"/>
      <c r="B2129" s="204"/>
      <c r="C2129" s="204"/>
      <c r="D2129" s="204"/>
      <c r="E2129" s="204"/>
      <c r="F2129" s="204"/>
      <c r="G2129" s="204"/>
      <c r="H2129" s="204"/>
      <c r="I2129" s="204"/>
      <c r="J2129" s="204"/>
      <c r="K2129" s="204"/>
      <c r="L2129" s="205"/>
      <c r="M2129" s="205"/>
      <c r="N2129" s="204"/>
      <c r="O2129" s="204"/>
      <c r="P2129" s="206"/>
      <c r="Q2129" s="206"/>
      <c r="R2129" s="206"/>
      <c r="S2129" s="206"/>
      <c r="T2129" s="204"/>
      <c r="U2129" s="207"/>
      <c r="V2129" s="204"/>
      <c r="W2129" s="204"/>
      <c r="X2129" s="207"/>
      <c r="Y2129" s="207"/>
      <c r="Z2129" s="204"/>
      <c r="AA2129" s="204"/>
      <c r="AB2129" s="204"/>
      <c r="AC2129" s="204"/>
    </row>
    <row r="2130" spans="1:29">
      <c r="A2130" s="204"/>
      <c r="B2130" s="204"/>
      <c r="C2130" s="204"/>
      <c r="D2130" s="204"/>
      <c r="E2130" s="204"/>
      <c r="F2130" s="204"/>
      <c r="G2130" s="204"/>
      <c r="H2130" s="204"/>
      <c r="I2130" s="204"/>
      <c r="J2130" s="204"/>
      <c r="K2130" s="204"/>
      <c r="L2130" s="205"/>
      <c r="M2130" s="205"/>
      <c r="N2130" s="204"/>
      <c r="O2130" s="204"/>
      <c r="P2130" s="206"/>
      <c r="Q2130" s="206"/>
      <c r="R2130" s="206"/>
      <c r="S2130" s="206"/>
      <c r="T2130" s="204"/>
      <c r="U2130" s="207"/>
      <c r="V2130" s="204"/>
      <c r="W2130" s="204"/>
      <c r="X2130" s="207"/>
      <c r="Y2130" s="207"/>
      <c r="Z2130" s="204"/>
      <c r="AA2130" s="204"/>
      <c r="AB2130" s="204"/>
      <c r="AC2130" s="204"/>
    </row>
    <row r="2131" spans="1:29">
      <c r="A2131" s="204"/>
      <c r="B2131" s="204"/>
      <c r="C2131" s="204"/>
      <c r="D2131" s="204"/>
      <c r="E2131" s="204"/>
      <c r="F2131" s="204"/>
      <c r="G2131" s="204"/>
      <c r="H2131" s="204"/>
      <c r="I2131" s="204"/>
      <c r="J2131" s="204"/>
      <c r="K2131" s="204"/>
      <c r="L2131" s="205"/>
      <c r="M2131" s="205"/>
      <c r="N2131" s="204"/>
      <c r="O2131" s="204"/>
      <c r="P2131" s="206"/>
      <c r="Q2131" s="206"/>
      <c r="R2131" s="206"/>
      <c r="S2131" s="206"/>
      <c r="T2131" s="204"/>
      <c r="U2131" s="207"/>
      <c r="V2131" s="204"/>
      <c r="W2131" s="204"/>
      <c r="X2131" s="207"/>
      <c r="Y2131" s="207"/>
      <c r="Z2131" s="204"/>
      <c r="AA2131" s="204"/>
      <c r="AB2131" s="204"/>
      <c r="AC2131" s="204"/>
    </row>
    <row r="2132" spans="1:29">
      <c r="A2132" s="204"/>
      <c r="B2132" s="204"/>
      <c r="C2132" s="204"/>
      <c r="D2132" s="204"/>
      <c r="E2132" s="204"/>
      <c r="F2132" s="204"/>
      <c r="G2132" s="204"/>
      <c r="H2132" s="204"/>
      <c r="I2132" s="204"/>
      <c r="J2132" s="204"/>
      <c r="K2132" s="204"/>
      <c r="L2132" s="205"/>
      <c r="M2132" s="205"/>
      <c r="N2132" s="204"/>
      <c r="O2132" s="204"/>
      <c r="P2132" s="206"/>
      <c r="Q2132" s="206"/>
      <c r="R2132" s="206"/>
      <c r="S2132" s="206"/>
      <c r="T2132" s="204"/>
      <c r="U2132" s="207"/>
      <c r="V2132" s="204"/>
      <c r="W2132" s="204"/>
      <c r="X2132" s="207"/>
      <c r="Y2132" s="207"/>
      <c r="Z2132" s="204"/>
      <c r="AA2132" s="204"/>
      <c r="AB2132" s="204"/>
      <c r="AC2132" s="204"/>
    </row>
    <row r="2133" spans="1:29">
      <c r="A2133" s="204"/>
      <c r="B2133" s="204"/>
      <c r="C2133" s="204"/>
      <c r="D2133" s="204"/>
      <c r="E2133" s="204"/>
      <c r="F2133" s="204"/>
      <c r="G2133" s="204"/>
      <c r="H2133" s="204"/>
      <c r="I2133" s="204"/>
      <c r="J2133" s="204"/>
      <c r="K2133" s="204"/>
      <c r="L2133" s="205"/>
      <c r="M2133" s="205"/>
      <c r="N2133" s="204"/>
      <c r="O2133" s="204"/>
      <c r="P2133" s="206"/>
      <c r="Q2133" s="206"/>
      <c r="R2133" s="206"/>
      <c r="S2133" s="206"/>
      <c r="T2133" s="204"/>
      <c r="U2133" s="207"/>
      <c r="V2133" s="204"/>
      <c r="W2133" s="204"/>
      <c r="X2133" s="207"/>
      <c r="Y2133" s="207"/>
      <c r="Z2133" s="204"/>
      <c r="AA2133" s="204"/>
      <c r="AB2133" s="204"/>
      <c r="AC2133" s="204"/>
    </row>
    <row r="2134" spans="1:29">
      <c r="A2134" s="204"/>
      <c r="B2134" s="204"/>
      <c r="C2134" s="204"/>
      <c r="D2134" s="204"/>
      <c r="E2134" s="204"/>
      <c r="F2134" s="204"/>
      <c r="G2134" s="204"/>
      <c r="H2134" s="204"/>
      <c r="I2134" s="204"/>
      <c r="J2134" s="204"/>
      <c r="K2134" s="204"/>
      <c r="L2134" s="205"/>
      <c r="M2134" s="205"/>
      <c r="N2134" s="204"/>
      <c r="O2134" s="204"/>
      <c r="P2134" s="206"/>
      <c r="Q2134" s="206"/>
      <c r="R2134" s="206"/>
      <c r="S2134" s="206"/>
      <c r="T2134" s="204"/>
      <c r="U2134" s="207"/>
      <c r="V2134" s="204"/>
      <c r="W2134" s="204"/>
      <c r="X2134" s="207"/>
      <c r="Y2134" s="207"/>
      <c r="Z2134" s="204"/>
      <c r="AA2134" s="204"/>
      <c r="AB2134" s="204"/>
      <c r="AC2134" s="204"/>
    </row>
    <row r="2135" spans="1:29">
      <c r="A2135" s="204"/>
      <c r="B2135" s="204"/>
      <c r="C2135" s="204"/>
      <c r="D2135" s="204"/>
      <c r="E2135" s="204"/>
      <c r="F2135" s="204"/>
      <c r="G2135" s="204"/>
      <c r="H2135" s="204"/>
      <c r="I2135" s="204"/>
      <c r="J2135" s="204"/>
      <c r="K2135" s="204"/>
      <c r="L2135" s="205"/>
      <c r="M2135" s="205"/>
      <c r="N2135" s="204"/>
      <c r="O2135" s="204"/>
      <c r="P2135" s="206"/>
      <c r="Q2135" s="206"/>
      <c r="R2135" s="206"/>
      <c r="S2135" s="206"/>
      <c r="T2135" s="204"/>
      <c r="U2135" s="207"/>
      <c r="V2135" s="204"/>
      <c r="W2135" s="204"/>
      <c r="X2135" s="207"/>
      <c r="Y2135" s="207"/>
      <c r="Z2135" s="204"/>
      <c r="AA2135" s="204"/>
      <c r="AB2135" s="204"/>
      <c r="AC2135" s="204"/>
    </row>
    <row r="2136" spans="1:29">
      <c r="A2136" s="204"/>
      <c r="B2136" s="204"/>
      <c r="C2136" s="204"/>
      <c r="D2136" s="204"/>
      <c r="E2136" s="204"/>
      <c r="F2136" s="204"/>
      <c r="G2136" s="204"/>
      <c r="H2136" s="204"/>
      <c r="I2136" s="204"/>
      <c r="J2136" s="204"/>
      <c r="K2136" s="204"/>
      <c r="L2136" s="205"/>
      <c r="M2136" s="205"/>
      <c r="N2136" s="204"/>
      <c r="O2136" s="204"/>
      <c r="P2136" s="206"/>
      <c r="Q2136" s="206"/>
      <c r="R2136" s="206"/>
      <c r="S2136" s="206"/>
      <c r="T2136" s="204"/>
      <c r="U2136" s="207"/>
      <c r="V2136" s="204"/>
      <c r="W2136" s="204"/>
      <c r="X2136" s="207"/>
      <c r="Y2136" s="207"/>
      <c r="Z2136" s="204"/>
      <c r="AA2136" s="204"/>
      <c r="AB2136" s="204"/>
      <c r="AC2136" s="204"/>
    </row>
    <row r="2137" spans="1:29">
      <c r="A2137" s="204"/>
      <c r="B2137" s="204"/>
      <c r="C2137" s="204"/>
      <c r="D2137" s="204"/>
      <c r="E2137" s="204"/>
      <c r="F2137" s="204"/>
      <c r="G2137" s="204"/>
      <c r="H2137" s="204"/>
      <c r="I2137" s="204"/>
      <c r="J2137" s="204"/>
      <c r="K2137" s="204"/>
      <c r="L2137" s="205"/>
      <c r="M2137" s="205"/>
      <c r="N2137" s="204"/>
      <c r="O2137" s="204"/>
      <c r="P2137" s="206"/>
      <c r="Q2137" s="206"/>
      <c r="R2137" s="206"/>
      <c r="S2137" s="206"/>
      <c r="T2137" s="204"/>
      <c r="U2137" s="207"/>
      <c r="V2137" s="204"/>
      <c r="W2137" s="204"/>
      <c r="X2137" s="207"/>
      <c r="Y2137" s="207"/>
      <c r="Z2137" s="204"/>
      <c r="AA2137" s="204"/>
      <c r="AB2137" s="204"/>
      <c r="AC2137" s="204"/>
    </row>
    <row r="2138" spans="1:29">
      <c r="A2138" s="204"/>
      <c r="B2138" s="204"/>
      <c r="C2138" s="204"/>
      <c r="D2138" s="204"/>
      <c r="E2138" s="204"/>
      <c r="F2138" s="204"/>
      <c r="G2138" s="204"/>
      <c r="H2138" s="204"/>
      <c r="I2138" s="204"/>
      <c r="J2138" s="204"/>
      <c r="K2138" s="204"/>
      <c r="L2138" s="205"/>
      <c r="M2138" s="205"/>
      <c r="N2138" s="204"/>
      <c r="O2138" s="204"/>
      <c r="P2138" s="206"/>
      <c r="Q2138" s="206"/>
      <c r="R2138" s="206"/>
      <c r="S2138" s="206"/>
      <c r="T2138" s="204"/>
      <c r="U2138" s="207"/>
      <c r="V2138" s="204"/>
      <c r="W2138" s="204"/>
      <c r="X2138" s="207"/>
      <c r="Y2138" s="207"/>
      <c r="Z2138" s="204"/>
      <c r="AA2138" s="204"/>
      <c r="AB2138" s="204"/>
      <c r="AC2138" s="204"/>
    </row>
    <row r="2139" spans="1:29">
      <c r="A2139" s="204"/>
      <c r="B2139" s="204"/>
      <c r="C2139" s="204"/>
      <c r="D2139" s="204"/>
      <c r="E2139" s="204"/>
      <c r="F2139" s="204"/>
      <c r="G2139" s="204"/>
      <c r="H2139" s="204"/>
      <c r="I2139" s="204"/>
      <c r="J2139" s="204"/>
      <c r="K2139" s="204"/>
      <c r="L2139" s="205"/>
      <c r="M2139" s="205"/>
      <c r="N2139" s="204"/>
      <c r="O2139" s="204"/>
      <c r="P2139" s="206"/>
      <c r="Q2139" s="206"/>
      <c r="R2139" s="206"/>
      <c r="S2139" s="206"/>
      <c r="T2139" s="204"/>
      <c r="U2139" s="207"/>
      <c r="V2139" s="204"/>
      <c r="W2139" s="204"/>
      <c r="X2139" s="207"/>
      <c r="Y2139" s="207"/>
      <c r="Z2139" s="204"/>
      <c r="AA2139" s="204"/>
      <c r="AB2139" s="204"/>
      <c r="AC2139" s="204"/>
    </row>
    <row r="2140" spans="1:29">
      <c r="A2140" s="204"/>
      <c r="B2140" s="204"/>
      <c r="C2140" s="204"/>
      <c r="D2140" s="204"/>
      <c r="E2140" s="204"/>
      <c r="F2140" s="204"/>
      <c r="G2140" s="204"/>
      <c r="H2140" s="204"/>
      <c r="I2140" s="204"/>
      <c r="J2140" s="204"/>
      <c r="K2140" s="204"/>
      <c r="L2140" s="205"/>
      <c r="M2140" s="205"/>
      <c r="N2140" s="204"/>
      <c r="O2140" s="204"/>
      <c r="P2140" s="206"/>
      <c r="Q2140" s="206"/>
      <c r="R2140" s="206"/>
      <c r="S2140" s="206"/>
      <c r="T2140" s="204"/>
      <c r="U2140" s="207"/>
      <c r="V2140" s="204"/>
      <c r="W2140" s="204"/>
      <c r="X2140" s="207"/>
      <c r="Y2140" s="207"/>
      <c r="Z2140" s="204"/>
      <c r="AA2140" s="204"/>
      <c r="AB2140" s="204"/>
      <c r="AC2140" s="204"/>
    </row>
    <row r="2141" spans="1:29">
      <c r="A2141" s="204"/>
      <c r="B2141" s="204"/>
      <c r="C2141" s="204"/>
      <c r="D2141" s="204"/>
      <c r="E2141" s="204"/>
      <c r="F2141" s="204"/>
      <c r="G2141" s="204"/>
      <c r="H2141" s="204"/>
      <c r="I2141" s="204"/>
      <c r="J2141" s="204"/>
      <c r="K2141" s="204"/>
      <c r="L2141" s="205"/>
      <c r="M2141" s="205"/>
      <c r="N2141" s="204"/>
      <c r="O2141" s="204"/>
      <c r="P2141" s="206"/>
      <c r="Q2141" s="206"/>
      <c r="R2141" s="206"/>
      <c r="S2141" s="206"/>
      <c r="T2141" s="204"/>
      <c r="U2141" s="207"/>
      <c r="V2141" s="204"/>
      <c r="W2141" s="204"/>
      <c r="X2141" s="207"/>
      <c r="Y2141" s="207"/>
      <c r="Z2141" s="204"/>
      <c r="AA2141" s="204"/>
      <c r="AB2141" s="204"/>
      <c r="AC2141" s="204"/>
    </row>
    <row r="2142" spans="1:29">
      <c r="A2142" s="204"/>
      <c r="B2142" s="204"/>
      <c r="C2142" s="204"/>
      <c r="D2142" s="204"/>
      <c r="E2142" s="204"/>
      <c r="F2142" s="204"/>
      <c r="G2142" s="204"/>
      <c r="H2142" s="204"/>
      <c r="I2142" s="204"/>
      <c r="J2142" s="204"/>
      <c r="K2142" s="204"/>
      <c r="L2142" s="205"/>
      <c r="M2142" s="205"/>
      <c r="N2142" s="204"/>
      <c r="O2142" s="204"/>
      <c r="P2142" s="206"/>
      <c r="Q2142" s="206"/>
      <c r="R2142" s="206"/>
      <c r="S2142" s="206"/>
      <c r="T2142" s="204"/>
      <c r="U2142" s="207"/>
      <c r="V2142" s="204"/>
      <c r="W2142" s="204"/>
      <c r="X2142" s="207"/>
      <c r="Y2142" s="207"/>
      <c r="Z2142" s="204"/>
      <c r="AA2142" s="204"/>
      <c r="AB2142" s="204"/>
      <c r="AC2142" s="204"/>
    </row>
    <row r="2143" spans="1:29">
      <c r="A2143" s="204"/>
      <c r="B2143" s="204"/>
      <c r="C2143" s="204"/>
      <c r="D2143" s="204"/>
      <c r="E2143" s="204"/>
      <c r="F2143" s="204"/>
      <c r="G2143" s="204"/>
      <c r="H2143" s="204"/>
      <c r="I2143" s="204"/>
      <c r="J2143" s="204"/>
      <c r="K2143" s="204"/>
      <c r="L2143" s="205"/>
      <c r="M2143" s="205"/>
      <c r="N2143" s="204"/>
      <c r="O2143" s="204"/>
      <c r="P2143" s="206"/>
      <c r="Q2143" s="206"/>
      <c r="R2143" s="206"/>
      <c r="S2143" s="206"/>
      <c r="T2143" s="204"/>
      <c r="U2143" s="207"/>
      <c r="V2143" s="204"/>
      <c r="W2143" s="204"/>
      <c r="X2143" s="207"/>
      <c r="Y2143" s="207"/>
      <c r="Z2143" s="204"/>
      <c r="AA2143" s="204"/>
      <c r="AB2143" s="204"/>
      <c r="AC2143" s="204"/>
    </row>
    <row r="2144" spans="1:29">
      <c r="A2144" s="204"/>
      <c r="B2144" s="204"/>
      <c r="C2144" s="204"/>
      <c r="D2144" s="204"/>
      <c r="E2144" s="204"/>
      <c r="F2144" s="204"/>
      <c r="G2144" s="204"/>
      <c r="H2144" s="204"/>
      <c r="I2144" s="204"/>
      <c r="J2144" s="204"/>
      <c r="K2144" s="204"/>
      <c r="L2144" s="205"/>
      <c r="M2144" s="205"/>
      <c r="N2144" s="204"/>
      <c r="O2144" s="204"/>
      <c r="P2144" s="206"/>
      <c r="Q2144" s="206"/>
      <c r="R2144" s="206"/>
      <c r="S2144" s="206"/>
      <c r="T2144" s="204"/>
      <c r="U2144" s="207"/>
      <c r="V2144" s="204"/>
      <c r="W2144" s="204"/>
      <c r="X2144" s="207"/>
      <c r="Y2144" s="207"/>
      <c r="Z2144" s="204"/>
      <c r="AA2144" s="204"/>
      <c r="AB2144" s="204"/>
      <c r="AC2144" s="204"/>
    </row>
    <row r="2145" spans="1:29">
      <c r="A2145" s="204"/>
      <c r="B2145" s="204"/>
      <c r="C2145" s="204"/>
      <c r="D2145" s="204"/>
      <c r="E2145" s="204"/>
      <c r="F2145" s="204"/>
      <c r="G2145" s="204"/>
      <c r="H2145" s="204"/>
      <c r="I2145" s="204"/>
      <c r="J2145" s="204"/>
      <c r="K2145" s="204"/>
      <c r="L2145" s="205"/>
      <c r="M2145" s="205"/>
      <c r="N2145" s="204"/>
      <c r="O2145" s="204"/>
      <c r="P2145" s="206"/>
      <c r="Q2145" s="206"/>
      <c r="R2145" s="206"/>
      <c r="S2145" s="206"/>
      <c r="T2145" s="204"/>
      <c r="U2145" s="207"/>
      <c r="V2145" s="204"/>
      <c r="W2145" s="204"/>
      <c r="X2145" s="207"/>
      <c r="Y2145" s="207"/>
      <c r="Z2145" s="204"/>
      <c r="AA2145" s="204"/>
      <c r="AB2145" s="204"/>
      <c r="AC2145" s="204"/>
    </row>
    <row r="2146" spans="1:29">
      <c r="A2146" s="204"/>
      <c r="B2146" s="204"/>
      <c r="C2146" s="204"/>
      <c r="D2146" s="204"/>
      <c r="E2146" s="204"/>
      <c r="F2146" s="204"/>
      <c r="G2146" s="204"/>
      <c r="H2146" s="204"/>
      <c r="I2146" s="204"/>
      <c r="J2146" s="204"/>
      <c r="K2146" s="204"/>
      <c r="L2146" s="205"/>
      <c r="M2146" s="205"/>
      <c r="N2146" s="204"/>
      <c r="O2146" s="204"/>
      <c r="P2146" s="206"/>
      <c r="Q2146" s="206"/>
      <c r="R2146" s="206"/>
      <c r="S2146" s="206"/>
      <c r="T2146" s="204"/>
      <c r="U2146" s="207"/>
      <c r="V2146" s="204"/>
      <c r="W2146" s="204"/>
      <c r="X2146" s="207"/>
      <c r="Y2146" s="207"/>
      <c r="Z2146" s="204"/>
      <c r="AA2146" s="204"/>
      <c r="AB2146" s="204"/>
      <c r="AC2146" s="204"/>
    </row>
    <row r="2147" spans="1:29">
      <c r="A2147" s="204"/>
      <c r="B2147" s="204"/>
      <c r="C2147" s="204"/>
      <c r="D2147" s="204"/>
      <c r="E2147" s="204"/>
      <c r="F2147" s="204"/>
      <c r="G2147" s="204"/>
      <c r="H2147" s="204"/>
      <c r="I2147" s="204"/>
      <c r="J2147" s="204"/>
      <c r="K2147" s="204"/>
      <c r="L2147" s="205"/>
      <c r="M2147" s="205"/>
      <c r="N2147" s="204"/>
      <c r="O2147" s="204"/>
      <c r="P2147" s="206"/>
      <c r="Q2147" s="206"/>
      <c r="R2147" s="206"/>
      <c r="S2147" s="206"/>
      <c r="T2147" s="204"/>
      <c r="U2147" s="207"/>
      <c r="V2147" s="204"/>
      <c r="W2147" s="204"/>
      <c r="X2147" s="207"/>
      <c r="Y2147" s="207"/>
      <c r="Z2147" s="204"/>
      <c r="AA2147" s="204"/>
      <c r="AB2147" s="204"/>
      <c r="AC2147" s="204"/>
    </row>
    <row r="2148" spans="1:29">
      <c r="A2148" s="204"/>
      <c r="B2148" s="204"/>
      <c r="C2148" s="204"/>
      <c r="D2148" s="204"/>
      <c r="E2148" s="204"/>
      <c r="F2148" s="204"/>
      <c r="G2148" s="204"/>
      <c r="H2148" s="204"/>
      <c r="I2148" s="204"/>
      <c r="J2148" s="204"/>
      <c r="K2148" s="204"/>
      <c r="L2148" s="205"/>
      <c r="M2148" s="205"/>
      <c r="N2148" s="204"/>
      <c r="O2148" s="204"/>
      <c r="P2148" s="206"/>
      <c r="Q2148" s="206"/>
      <c r="R2148" s="206"/>
      <c r="S2148" s="206"/>
      <c r="T2148" s="204"/>
      <c r="U2148" s="207"/>
      <c r="V2148" s="204"/>
      <c r="W2148" s="204"/>
      <c r="X2148" s="207"/>
      <c r="Y2148" s="207"/>
      <c r="Z2148" s="204"/>
      <c r="AA2148" s="204"/>
      <c r="AB2148" s="204"/>
      <c r="AC2148" s="204"/>
    </row>
    <row r="2149" spans="1:29">
      <c r="A2149" s="204"/>
      <c r="B2149" s="204"/>
      <c r="C2149" s="204"/>
      <c r="D2149" s="204"/>
      <c r="E2149" s="204"/>
      <c r="F2149" s="204"/>
      <c r="G2149" s="204"/>
      <c r="H2149" s="204"/>
      <c r="I2149" s="204"/>
      <c r="J2149" s="204"/>
      <c r="K2149" s="204"/>
      <c r="L2149" s="205"/>
      <c r="M2149" s="205"/>
      <c r="N2149" s="204"/>
      <c r="O2149" s="204"/>
      <c r="P2149" s="206"/>
      <c r="Q2149" s="206"/>
      <c r="R2149" s="206"/>
      <c r="S2149" s="206"/>
      <c r="T2149" s="204"/>
      <c r="U2149" s="207"/>
      <c r="V2149" s="204"/>
      <c r="W2149" s="204"/>
      <c r="X2149" s="207"/>
      <c r="Y2149" s="207"/>
      <c r="Z2149" s="204"/>
      <c r="AA2149" s="204"/>
      <c r="AB2149" s="204"/>
      <c r="AC2149" s="204"/>
    </row>
    <row r="2150" spans="1:29">
      <c r="A2150" s="204"/>
      <c r="B2150" s="204"/>
      <c r="C2150" s="204"/>
      <c r="D2150" s="204"/>
      <c r="E2150" s="204"/>
      <c r="F2150" s="204"/>
      <c r="G2150" s="204"/>
      <c r="H2150" s="204"/>
      <c r="I2150" s="204"/>
      <c r="J2150" s="204"/>
      <c r="K2150" s="204"/>
      <c r="L2150" s="205"/>
      <c r="M2150" s="205"/>
      <c r="N2150" s="204"/>
      <c r="O2150" s="204"/>
      <c r="P2150" s="206"/>
      <c r="Q2150" s="206"/>
      <c r="R2150" s="206"/>
      <c r="S2150" s="206"/>
      <c r="T2150" s="204"/>
      <c r="U2150" s="207"/>
      <c r="V2150" s="204"/>
      <c r="W2150" s="204"/>
      <c r="X2150" s="207"/>
      <c r="Y2150" s="207"/>
      <c r="Z2150" s="204"/>
      <c r="AA2150" s="204"/>
      <c r="AB2150" s="204"/>
      <c r="AC2150" s="204"/>
    </row>
    <row r="2151" spans="1:29">
      <c r="A2151" s="204"/>
      <c r="B2151" s="204"/>
      <c r="C2151" s="204"/>
      <c r="D2151" s="204"/>
      <c r="E2151" s="204"/>
      <c r="F2151" s="204"/>
      <c r="G2151" s="204"/>
      <c r="H2151" s="204"/>
      <c r="I2151" s="204"/>
      <c r="J2151" s="204"/>
      <c r="K2151" s="204"/>
      <c r="L2151" s="205"/>
      <c r="M2151" s="205"/>
      <c r="N2151" s="204"/>
      <c r="O2151" s="204"/>
      <c r="P2151" s="206"/>
      <c r="Q2151" s="206"/>
      <c r="R2151" s="206"/>
      <c r="S2151" s="206"/>
      <c r="T2151" s="204"/>
      <c r="U2151" s="207"/>
      <c r="V2151" s="204"/>
      <c r="W2151" s="204"/>
      <c r="X2151" s="207"/>
      <c r="Y2151" s="207"/>
      <c r="Z2151" s="204"/>
      <c r="AA2151" s="204"/>
      <c r="AB2151" s="204"/>
      <c r="AC2151" s="204"/>
    </row>
    <row r="2152" spans="1:29">
      <c r="A2152" s="204"/>
      <c r="B2152" s="204"/>
      <c r="C2152" s="204"/>
      <c r="D2152" s="204"/>
      <c r="E2152" s="204"/>
      <c r="F2152" s="204"/>
      <c r="G2152" s="204"/>
      <c r="H2152" s="204"/>
      <c r="I2152" s="204"/>
      <c r="J2152" s="204"/>
      <c r="K2152" s="204"/>
      <c r="L2152" s="205"/>
      <c r="M2152" s="205"/>
      <c r="N2152" s="204"/>
      <c r="O2152" s="204"/>
      <c r="P2152" s="206"/>
      <c r="Q2152" s="206"/>
      <c r="R2152" s="206"/>
      <c r="S2152" s="206"/>
      <c r="T2152" s="204"/>
      <c r="U2152" s="207"/>
      <c r="V2152" s="204"/>
      <c r="W2152" s="204"/>
      <c r="X2152" s="207"/>
      <c r="Y2152" s="207"/>
      <c r="Z2152" s="204"/>
      <c r="AA2152" s="204"/>
      <c r="AB2152" s="204"/>
      <c r="AC2152" s="204"/>
    </row>
    <row r="2153" spans="1:29">
      <c r="A2153" s="204"/>
      <c r="B2153" s="204"/>
      <c r="C2153" s="204"/>
      <c r="D2153" s="204"/>
      <c r="E2153" s="204"/>
      <c r="F2153" s="204"/>
      <c r="G2153" s="204"/>
      <c r="H2153" s="204"/>
      <c r="I2153" s="204"/>
      <c r="J2153" s="204"/>
      <c r="K2153" s="204"/>
      <c r="L2153" s="205"/>
      <c r="M2153" s="205"/>
      <c r="N2153" s="204"/>
      <c r="O2153" s="204"/>
      <c r="P2153" s="206"/>
      <c r="Q2153" s="206"/>
      <c r="R2153" s="206"/>
      <c r="S2153" s="206"/>
      <c r="T2153" s="204"/>
      <c r="U2153" s="207"/>
      <c r="V2153" s="204"/>
      <c r="W2153" s="204"/>
      <c r="X2153" s="207"/>
      <c r="Y2153" s="207"/>
      <c r="Z2153" s="204"/>
      <c r="AA2153" s="204"/>
      <c r="AB2153" s="204"/>
      <c r="AC2153" s="204"/>
    </row>
    <row r="2154" spans="1:29">
      <c r="A2154" s="204"/>
      <c r="B2154" s="204"/>
      <c r="C2154" s="204"/>
      <c r="D2154" s="204"/>
      <c r="E2154" s="204"/>
      <c r="F2154" s="204"/>
      <c r="G2154" s="204"/>
      <c r="H2154" s="204"/>
      <c r="I2154" s="204"/>
      <c r="J2154" s="204"/>
      <c r="K2154" s="204"/>
      <c r="L2154" s="205"/>
      <c r="M2154" s="205"/>
      <c r="N2154" s="204"/>
      <c r="O2154" s="204"/>
      <c r="P2154" s="206"/>
      <c r="Q2154" s="206"/>
      <c r="R2154" s="206"/>
      <c r="S2154" s="206"/>
      <c r="T2154" s="204"/>
      <c r="U2154" s="207"/>
      <c r="V2154" s="204"/>
      <c r="W2154" s="204"/>
      <c r="X2154" s="207"/>
      <c r="Y2154" s="207"/>
      <c r="Z2154" s="204"/>
      <c r="AA2154" s="204"/>
      <c r="AB2154" s="204"/>
      <c r="AC2154" s="204"/>
    </row>
    <row r="2155" spans="1:29">
      <c r="A2155" s="204"/>
      <c r="B2155" s="204"/>
      <c r="C2155" s="204"/>
      <c r="D2155" s="204"/>
      <c r="E2155" s="204"/>
      <c r="F2155" s="204"/>
      <c r="G2155" s="204"/>
      <c r="H2155" s="204"/>
      <c r="I2155" s="204"/>
      <c r="J2155" s="204"/>
      <c r="K2155" s="204"/>
      <c r="L2155" s="205"/>
      <c r="M2155" s="205"/>
      <c r="N2155" s="204"/>
      <c r="O2155" s="204"/>
      <c r="P2155" s="206"/>
      <c r="Q2155" s="206"/>
      <c r="R2155" s="206"/>
      <c r="S2155" s="206"/>
      <c r="T2155" s="204"/>
      <c r="U2155" s="207"/>
      <c r="V2155" s="204"/>
      <c r="W2155" s="204"/>
      <c r="X2155" s="207"/>
      <c r="Y2155" s="207"/>
      <c r="Z2155" s="204"/>
      <c r="AA2155" s="204"/>
      <c r="AB2155" s="204"/>
      <c r="AC2155" s="204"/>
    </row>
    <row r="2156" spans="1:29">
      <c r="A2156" s="204"/>
      <c r="B2156" s="204"/>
      <c r="C2156" s="204"/>
      <c r="D2156" s="204"/>
      <c r="E2156" s="204"/>
      <c r="F2156" s="204"/>
      <c r="G2156" s="204"/>
      <c r="H2156" s="204"/>
      <c r="I2156" s="204"/>
      <c r="J2156" s="204"/>
      <c r="K2156" s="204"/>
      <c r="L2156" s="205"/>
      <c r="M2156" s="205"/>
      <c r="N2156" s="204"/>
      <c r="O2156" s="204"/>
      <c r="P2156" s="206"/>
      <c r="Q2156" s="206"/>
      <c r="R2156" s="206"/>
      <c r="S2156" s="206"/>
      <c r="T2156" s="204"/>
      <c r="U2156" s="207"/>
      <c r="V2156" s="204"/>
      <c r="W2156" s="204"/>
      <c r="X2156" s="207"/>
      <c r="Y2156" s="207"/>
      <c r="Z2156" s="204"/>
      <c r="AA2156" s="204"/>
      <c r="AB2156" s="204"/>
      <c r="AC2156" s="204"/>
    </row>
    <row r="2157" spans="1:29">
      <c r="A2157" s="204"/>
      <c r="B2157" s="204"/>
      <c r="C2157" s="204"/>
      <c r="D2157" s="204"/>
      <c r="E2157" s="204"/>
      <c r="F2157" s="204"/>
      <c r="G2157" s="204"/>
      <c r="H2157" s="204"/>
      <c r="I2157" s="204"/>
      <c r="J2157" s="204"/>
      <c r="K2157" s="204"/>
      <c r="L2157" s="205"/>
      <c r="M2157" s="205"/>
      <c r="N2157" s="204"/>
      <c r="O2157" s="204"/>
      <c r="P2157" s="206"/>
      <c r="Q2157" s="206"/>
      <c r="R2157" s="206"/>
      <c r="S2157" s="206"/>
      <c r="T2157" s="204"/>
      <c r="U2157" s="207"/>
      <c r="V2157" s="204"/>
      <c r="W2157" s="204"/>
      <c r="X2157" s="207"/>
      <c r="Y2157" s="207"/>
      <c r="Z2157" s="204"/>
      <c r="AA2157" s="204"/>
      <c r="AB2157" s="204"/>
      <c r="AC2157" s="204"/>
    </row>
    <row r="2158" spans="1:29">
      <c r="A2158" s="204"/>
      <c r="B2158" s="204"/>
      <c r="C2158" s="204"/>
      <c r="D2158" s="204"/>
      <c r="E2158" s="204"/>
      <c r="F2158" s="204"/>
      <c r="G2158" s="204"/>
      <c r="H2158" s="204"/>
      <c r="I2158" s="204"/>
      <c r="J2158" s="204"/>
      <c r="K2158" s="204"/>
      <c r="L2158" s="205"/>
      <c r="M2158" s="205"/>
      <c r="N2158" s="204"/>
      <c r="O2158" s="204"/>
      <c r="P2158" s="206"/>
      <c r="Q2158" s="206"/>
      <c r="R2158" s="206"/>
      <c r="S2158" s="206"/>
      <c r="T2158" s="204"/>
      <c r="U2158" s="207"/>
      <c r="V2158" s="204"/>
      <c r="W2158" s="204"/>
      <c r="X2158" s="207"/>
      <c r="Y2158" s="207"/>
      <c r="Z2158" s="204"/>
      <c r="AA2158" s="204"/>
      <c r="AB2158" s="204"/>
      <c r="AC2158" s="204"/>
    </row>
    <row r="2159" spans="1:29">
      <c r="A2159" s="204"/>
      <c r="B2159" s="204"/>
      <c r="C2159" s="204"/>
      <c r="D2159" s="204"/>
      <c r="E2159" s="204"/>
      <c r="F2159" s="204"/>
      <c r="G2159" s="204"/>
      <c r="H2159" s="204"/>
      <c r="I2159" s="204"/>
      <c r="J2159" s="204"/>
      <c r="K2159" s="204"/>
      <c r="L2159" s="205"/>
      <c r="M2159" s="205"/>
      <c r="N2159" s="204"/>
      <c r="O2159" s="204"/>
      <c r="P2159" s="206"/>
      <c r="Q2159" s="206"/>
      <c r="R2159" s="206"/>
      <c r="S2159" s="206"/>
      <c r="T2159" s="204"/>
      <c r="U2159" s="207"/>
      <c r="V2159" s="204"/>
      <c r="W2159" s="204"/>
      <c r="X2159" s="207"/>
      <c r="Y2159" s="207"/>
      <c r="Z2159" s="204"/>
      <c r="AA2159" s="204"/>
      <c r="AB2159" s="204"/>
      <c r="AC2159" s="204"/>
    </row>
    <row r="2160" spans="1:29">
      <c r="A2160" s="204"/>
      <c r="B2160" s="204"/>
      <c r="C2160" s="204"/>
      <c r="D2160" s="204"/>
      <c r="E2160" s="204"/>
      <c r="F2160" s="204"/>
      <c r="G2160" s="204"/>
      <c r="H2160" s="204"/>
      <c r="I2160" s="204"/>
      <c r="J2160" s="204"/>
      <c r="K2160" s="204"/>
      <c r="L2160" s="205"/>
      <c r="M2160" s="205"/>
      <c r="N2160" s="204"/>
      <c r="O2160" s="204"/>
      <c r="P2160" s="206"/>
      <c r="Q2160" s="206"/>
      <c r="R2160" s="206"/>
      <c r="S2160" s="206"/>
      <c r="T2160" s="204"/>
      <c r="U2160" s="207"/>
      <c r="V2160" s="204"/>
      <c r="W2160" s="204"/>
      <c r="X2160" s="207"/>
      <c r="Y2160" s="207"/>
      <c r="Z2160" s="204"/>
      <c r="AA2160" s="204"/>
      <c r="AB2160" s="204"/>
      <c r="AC2160" s="204"/>
    </row>
    <row r="2161" spans="1:29">
      <c r="A2161" s="204"/>
      <c r="B2161" s="204"/>
      <c r="C2161" s="204"/>
      <c r="D2161" s="204"/>
      <c r="E2161" s="204"/>
      <c r="F2161" s="204"/>
      <c r="G2161" s="204"/>
      <c r="H2161" s="204"/>
      <c r="I2161" s="204"/>
      <c r="J2161" s="204"/>
      <c r="K2161" s="204"/>
      <c r="L2161" s="205"/>
      <c r="M2161" s="205"/>
      <c r="N2161" s="204"/>
      <c r="O2161" s="204"/>
      <c r="P2161" s="206"/>
      <c r="Q2161" s="206"/>
      <c r="R2161" s="206"/>
      <c r="S2161" s="206"/>
      <c r="T2161" s="204"/>
      <c r="U2161" s="207"/>
      <c r="V2161" s="204"/>
      <c r="W2161" s="204"/>
      <c r="X2161" s="207"/>
      <c r="Y2161" s="207"/>
      <c r="Z2161" s="204"/>
      <c r="AA2161" s="204"/>
      <c r="AB2161" s="204"/>
      <c r="AC2161" s="204"/>
    </row>
    <row r="2162" spans="1:29">
      <c r="A2162" s="204"/>
      <c r="B2162" s="204"/>
      <c r="C2162" s="204"/>
      <c r="D2162" s="204"/>
      <c r="E2162" s="204"/>
      <c r="F2162" s="204"/>
      <c r="G2162" s="204"/>
      <c r="H2162" s="204"/>
      <c r="I2162" s="204"/>
      <c r="J2162" s="204"/>
      <c r="K2162" s="204"/>
      <c r="L2162" s="205"/>
      <c r="M2162" s="205"/>
      <c r="N2162" s="204"/>
      <c r="O2162" s="204"/>
      <c r="P2162" s="206"/>
      <c r="Q2162" s="206"/>
      <c r="R2162" s="206"/>
      <c r="S2162" s="206"/>
      <c r="T2162" s="204"/>
      <c r="U2162" s="207"/>
      <c r="V2162" s="204"/>
      <c r="W2162" s="204"/>
      <c r="X2162" s="207"/>
      <c r="Y2162" s="207"/>
      <c r="Z2162" s="204"/>
      <c r="AA2162" s="204"/>
      <c r="AB2162" s="204"/>
      <c r="AC2162" s="204"/>
    </row>
    <row r="2163" spans="1:29">
      <c r="A2163" s="204"/>
      <c r="B2163" s="204"/>
      <c r="C2163" s="204"/>
      <c r="D2163" s="204"/>
      <c r="E2163" s="204"/>
      <c r="F2163" s="204"/>
      <c r="G2163" s="204"/>
      <c r="H2163" s="204"/>
      <c r="I2163" s="204"/>
      <c r="J2163" s="204"/>
      <c r="K2163" s="204"/>
      <c r="L2163" s="205"/>
      <c r="M2163" s="205"/>
      <c r="N2163" s="204"/>
      <c r="O2163" s="204"/>
      <c r="P2163" s="206"/>
      <c r="Q2163" s="206"/>
      <c r="R2163" s="206"/>
      <c r="S2163" s="206"/>
      <c r="T2163" s="204"/>
      <c r="U2163" s="207"/>
      <c r="V2163" s="204"/>
      <c r="W2163" s="204"/>
      <c r="X2163" s="207"/>
      <c r="Y2163" s="207"/>
      <c r="Z2163" s="204"/>
      <c r="AA2163" s="204"/>
      <c r="AB2163" s="204"/>
      <c r="AC2163" s="204"/>
    </row>
    <row r="2164" spans="1:29">
      <c r="A2164" s="204"/>
      <c r="B2164" s="204"/>
      <c r="C2164" s="204"/>
      <c r="D2164" s="204"/>
      <c r="E2164" s="204"/>
      <c r="F2164" s="204"/>
      <c r="G2164" s="204"/>
      <c r="H2164" s="204"/>
      <c r="I2164" s="204"/>
      <c r="J2164" s="204"/>
      <c r="K2164" s="204"/>
      <c r="L2164" s="205"/>
      <c r="M2164" s="205"/>
      <c r="N2164" s="204"/>
      <c r="O2164" s="204"/>
      <c r="P2164" s="206"/>
      <c r="Q2164" s="206"/>
      <c r="R2164" s="206"/>
      <c r="S2164" s="206"/>
      <c r="T2164" s="204"/>
      <c r="U2164" s="207"/>
      <c r="V2164" s="204"/>
      <c r="W2164" s="204"/>
      <c r="X2164" s="207"/>
      <c r="Y2164" s="207"/>
      <c r="Z2164" s="204"/>
      <c r="AA2164" s="204"/>
      <c r="AB2164" s="204"/>
      <c r="AC2164" s="204"/>
    </row>
    <row r="2165" spans="1:29">
      <c r="A2165" s="204"/>
      <c r="B2165" s="204"/>
      <c r="C2165" s="204"/>
      <c r="D2165" s="204"/>
      <c r="E2165" s="204"/>
      <c r="F2165" s="204"/>
      <c r="G2165" s="204"/>
      <c r="H2165" s="204"/>
      <c r="I2165" s="204"/>
      <c r="J2165" s="204"/>
      <c r="K2165" s="204"/>
      <c r="L2165" s="205"/>
      <c r="M2165" s="205"/>
      <c r="N2165" s="204"/>
      <c r="O2165" s="204"/>
      <c r="P2165" s="206"/>
      <c r="Q2165" s="206"/>
      <c r="R2165" s="206"/>
      <c r="S2165" s="206"/>
      <c r="T2165" s="204"/>
      <c r="U2165" s="207"/>
      <c r="V2165" s="204"/>
      <c r="W2165" s="204"/>
      <c r="X2165" s="207"/>
      <c r="Y2165" s="207"/>
      <c r="Z2165" s="204"/>
      <c r="AA2165" s="204"/>
      <c r="AB2165" s="204"/>
      <c r="AC2165" s="204"/>
    </row>
    <row r="2166" spans="1:29">
      <c r="A2166" s="204"/>
      <c r="B2166" s="204"/>
      <c r="C2166" s="204"/>
      <c r="D2166" s="204"/>
      <c r="E2166" s="204"/>
      <c r="F2166" s="204"/>
      <c r="G2166" s="204"/>
      <c r="H2166" s="204"/>
      <c r="I2166" s="204"/>
      <c r="J2166" s="204"/>
      <c r="K2166" s="204"/>
      <c r="L2166" s="205"/>
      <c r="M2166" s="205"/>
      <c r="N2166" s="204"/>
      <c r="O2166" s="204"/>
      <c r="P2166" s="206"/>
      <c r="Q2166" s="206"/>
      <c r="R2166" s="206"/>
      <c r="S2166" s="206"/>
      <c r="T2166" s="204"/>
      <c r="U2166" s="207"/>
      <c r="V2166" s="204"/>
      <c r="W2166" s="204"/>
      <c r="X2166" s="207"/>
      <c r="Y2166" s="207"/>
      <c r="Z2166" s="204"/>
      <c r="AA2166" s="204"/>
      <c r="AB2166" s="204"/>
      <c r="AC2166" s="204"/>
    </row>
    <row r="2167" spans="1:29">
      <c r="A2167" s="204"/>
      <c r="B2167" s="204"/>
      <c r="C2167" s="204"/>
      <c r="D2167" s="204"/>
      <c r="E2167" s="204"/>
      <c r="F2167" s="204"/>
      <c r="G2167" s="204"/>
      <c r="H2167" s="204"/>
      <c r="I2167" s="204"/>
      <c r="J2167" s="204"/>
      <c r="K2167" s="204"/>
      <c r="L2167" s="205"/>
      <c r="M2167" s="205"/>
      <c r="N2167" s="204"/>
      <c r="O2167" s="204"/>
      <c r="P2167" s="206"/>
      <c r="Q2167" s="206"/>
      <c r="R2167" s="206"/>
      <c r="S2167" s="206"/>
      <c r="T2167" s="204"/>
      <c r="U2167" s="207"/>
      <c r="V2167" s="204"/>
      <c r="W2167" s="204"/>
      <c r="X2167" s="207"/>
      <c r="Y2167" s="207"/>
      <c r="Z2167" s="204"/>
      <c r="AA2167" s="204"/>
      <c r="AB2167" s="204"/>
      <c r="AC2167" s="204"/>
    </row>
    <row r="2168" spans="1:29">
      <c r="A2168" s="204"/>
      <c r="B2168" s="204"/>
      <c r="C2168" s="204"/>
      <c r="D2168" s="204"/>
      <c r="E2168" s="204"/>
      <c r="F2168" s="204"/>
      <c r="G2168" s="204"/>
      <c r="H2168" s="204"/>
      <c r="I2168" s="204"/>
      <c r="J2168" s="204"/>
      <c r="K2168" s="204"/>
      <c r="L2168" s="205"/>
      <c r="M2168" s="205"/>
      <c r="N2168" s="204"/>
      <c r="O2168" s="204"/>
      <c r="P2168" s="206"/>
      <c r="Q2168" s="206"/>
      <c r="R2168" s="206"/>
      <c r="S2168" s="206"/>
      <c r="T2168" s="204"/>
      <c r="U2168" s="207"/>
      <c r="V2168" s="204"/>
      <c r="W2168" s="204"/>
      <c r="X2168" s="207"/>
      <c r="Y2168" s="207"/>
      <c r="Z2168" s="204"/>
      <c r="AA2168" s="204"/>
      <c r="AB2168" s="204"/>
      <c r="AC2168" s="204"/>
    </row>
    <row r="2169" spans="1:29">
      <c r="A2169" s="204"/>
      <c r="B2169" s="204"/>
      <c r="C2169" s="204"/>
      <c r="D2169" s="204"/>
      <c r="E2169" s="204"/>
      <c r="F2169" s="204"/>
      <c r="G2169" s="204"/>
      <c r="H2169" s="204"/>
      <c r="I2169" s="204"/>
      <c r="J2169" s="204"/>
      <c r="K2169" s="204"/>
      <c r="L2169" s="205"/>
      <c r="M2169" s="205"/>
      <c r="N2169" s="204"/>
      <c r="O2169" s="204"/>
      <c r="P2169" s="206"/>
      <c r="Q2169" s="206"/>
      <c r="R2169" s="206"/>
      <c r="S2169" s="206"/>
      <c r="T2169" s="204"/>
      <c r="U2169" s="207"/>
      <c r="V2169" s="204"/>
      <c r="W2169" s="204"/>
      <c r="X2169" s="207"/>
      <c r="Y2169" s="207"/>
      <c r="Z2169" s="204"/>
      <c r="AA2169" s="204"/>
      <c r="AB2169" s="204"/>
      <c r="AC2169" s="204"/>
    </row>
    <row r="2170" spans="1:29">
      <c r="A2170" s="204"/>
      <c r="B2170" s="204"/>
      <c r="C2170" s="204"/>
      <c r="D2170" s="204"/>
      <c r="E2170" s="204"/>
      <c r="F2170" s="204"/>
      <c r="G2170" s="204"/>
      <c r="H2170" s="204"/>
      <c r="I2170" s="204"/>
      <c r="J2170" s="204"/>
      <c r="K2170" s="204"/>
      <c r="L2170" s="205"/>
      <c r="M2170" s="205"/>
      <c r="N2170" s="204"/>
      <c r="O2170" s="204"/>
      <c r="P2170" s="206"/>
      <c r="Q2170" s="206"/>
      <c r="R2170" s="206"/>
      <c r="S2170" s="206"/>
      <c r="T2170" s="204"/>
      <c r="U2170" s="207"/>
      <c r="V2170" s="204"/>
      <c r="W2170" s="204"/>
      <c r="X2170" s="207"/>
      <c r="Y2170" s="207"/>
      <c r="Z2170" s="204"/>
      <c r="AA2170" s="204"/>
      <c r="AB2170" s="204"/>
      <c r="AC2170" s="204"/>
    </row>
    <row r="2171" spans="1:29">
      <c r="A2171" s="204"/>
      <c r="B2171" s="204"/>
      <c r="C2171" s="204"/>
      <c r="D2171" s="204"/>
      <c r="E2171" s="204"/>
      <c r="F2171" s="204"/>
      <c r="G2171" s="204"/>
      <c r="H2171" s="204"/>
      <c r="I2171" s="204"/>
      <c r="J2171" s="204"/>
      <c r="K2171" s="204"/>
      <c r="L2171" s="205"/>
      <c r="M2171" s="205"/>
      <c r="N2171" s="204"/>
      <c r="O2171" s="204"/>
      <c r="P2171" s="206"/>
      <c r="Q2171" s="206"/>
      <c r="R2171" s="206"/>
      <c r="S2171" s="206"/>
      <c r="T2171" s="204"/>
      <c r="U2171" s="207"/>
      <c r="V2171" s="204"/>
      <c r="W2171" s="204"/>
      <c r="X2171" s="207"/>
      <c r="Y2171" s="207"/>
      <c r="Z2171" s="204"/>
      <c r="AA2171" s="204"/>
      <c r="AB2171" s="204"/>
      <c r="AC2171" s="204"/>
    </row>
    <row r="2172" spans="1:29">
      <c r="A2172" s="204"/>
      <c r="B2172" s="204"/>
      <c r="C2172" s="204"/>
      <c r="D2172" s="204"/>
      <c r="E2172" s="204"/>
      <c r="F2172" s="204"/>
      <c r="G2172" s="204"/>
      <c r="H2172" s="204"/>
      <c r="I2172" s="204"/>
      <c r="J2172" s="204"/>
      <c r="K2172" s="204"/>
      <c r="L2172" s="205"/>
      <c r="M2172" s="205"/>
      <c r="N2172" s="204"/>
      <c r="O2172" s="204"/>
      <c r="P2172" s="206"/>
      <c r="Q2172" s="206"/>
      <c r="R2172" s="206"/>
      <c r="S2172" s="206"/>
      <c r="T2172" s="204"/>
      <c r="U2172" s="207"/>
      <c r="V2172" s="204"/>
      <c r="W2172" s="204"/>
      <c r="X2172" s="207"/>
      <c r="Y2172" s="207"/>
      <c r="Z2172" s="204"/>
      <c r="AA2172" s="204"/>
      <c r="AB2172" s="204"/>
      <c r="AC2172" s="204"/>
    </row>
    <row r="2173" spans="1:29">
      <c r="A2173" s="204"/>
      <c r="B2173" s="204"/>
      <c r="C2173" s="204"/>
      <c r="D2173" s="204"/>
      <c r="E2173" s="204"/>
      <c r="F2173" s="204"/>
      <c r="G2173" s="204"/>
      <c r="H2173" s="204"/>
      <c r="I2173" s="204"/>
      <c r="J2173" s="204"/>
      <c r="K2173" s="204"/>
      <c r="L2173" s="205"/>
      <c r="M2173" s="205"/>
      <c r="N2173" s="204"/>
      <c r="O2173" s="204"/>
      <c r="P2173" s="206"/>
      <c r="Q2173" s="206"/>
      <c r="R2173" s="206"/>
      <c r="S2173" s="206"/>
      <c r="T2173" s="204"/>
      <c r="U2173" s="207"/>
      <c r="V2173" s="204"/>
      <c r="W2173" s="204"/>
      <c r="X2173" s="207"/>
      <c r="Y2173" s="207"/>
      <c r="Z2173" s="204"/>
      <c r="AA2173" s="204"/>
      <c r="AB2173" s="204"/>
      <c r="AC2173" s="204"/>
    </row>
    <row r="2174" spans="1:29">
      <c r="A2174" s="204"/>
      <c r="B2174" s="204"/>
      <c r="C2174" s="204"/>
      <c r="D2174" s="204"/>
      <c r="E2174" s="204"/>
      <c r="F2174" s="204"/>
      <c r="G2174" s="204"/>
      <c r="H2174" s="204"/>
      <c r="I2174" s="204"/>
      <c r="J2174" s="204"/>
      <c r="K2174" s="204"/>
      <c r="L2174" s="205"/>
      <c r="M2174" s="205"/>
      <c r="N2174" s="204"/>
      <c r="O2174" s="204"/>
      <c r="P2174" s="206"/>
      <c r="Q2174" s="206"/>
      <c r="R2174" s="206"/>
      <c r="S2174" s="206"/>
      <c r="T2174" s="204"/>
      <c r="U2174" s="207"/>
      <c r="V2174" s="204"/>
      <c r="W2174" s="204"/>
      <c r="X2174" s="207"/>
      <c r="Y2174" s="207"/>
      <c r="Z2174" s="204"/>
      <c r="AA2174" s="204"/>
      <c r="AB2174" s="204"/>
      <c r="AC2174" s="204"/>
    </row>
    <row r="2175" spans="1:29">
      <c r="A2175" s="204"/>
      <c r="B2175" s="204"/>
      <c r="C2175" s="204"/>
      <c r="D2175" s="204"/>
      <c r="E2175" s="204"/>
      <c r="F2175" s="204"/>
      <c r="G2175" s="204"/>
      <c r="H2175" s="204"/>
      <c r="I2175" s="204"/>
      <c r="J2175" s="204"/>
      <c r="K2175" s="204"/>
      <c r="L2175" s="205"/>
      <c r="M2175" s="205"/>
      <c r="N2175" s="204"/>
      <c r="O2175" s="204"/>
      <c r="P2175" s="206"/>
      <c r="Q2175" s="206"/>
      <c r="R2175" s="206"/>
      <c r="S2175" s="206"/>
      <c r="T2175" s="204"/>
      <c r="U2175" s="207"/>
      <c r="V2175" s="204"/>
      <c r="W2175" s="204"/>
      <c r="X2175" s="207"/>
      <c r="Y2175" s="207"/>
      <c r="Z2175" s="204"/>
      <c r="AA2175" s="204"/>
      <c r="AB2175" s="204"/>
      <c r="AC2175" s="204"/>
    </row>
    <row r="2176" spans="1:29">
      <c r="A2176" s="204"/>
      <c r="B2176" s="204"/>
      <c r="C2176" s="204"/>
      <c r="D2176" s="204"/>
      <c r="E2176" s="204"/>
      <c r="F2176" s="204"/>
      <c r="G2176" s="204"/>
      <c r="H2176" s="204"/>
      <c r="I2176" s="204"/>
      <c r="J2176" s="204"/>
      <c r="K2176" s="204"/>
      <c r="L2176" s="205"/>
      <c r="M2176" s="205"/>
      <c r="N2176" s="204"/>
      <c r="O2176" s="204"/>
      <c r="P2176" s="206"/>
      <c r="Q2176" s="206"/>
      <c r="R2176" s="206"/>
      <c r="S2176" s="206"/>
      <c r="T2176" s="204"/>
      <c r="U2176" s="207"/>
      <c r="V2176" s="204"/>
      <c r="W2176" s="204"/>
      <c r="X2176" s="207"/>
      <c r="Y2176" s="207"/>
      <c r="Z2176" s="204"/>
      <c r="AA2176" s="204"/>
      <c r="AB2176" s="204"/>
      <c r="AC2176" s="204"/>
    </row>
    <row r="2177" spans="1:29">
      <c r="A2177" s="204"/>
      <c r="B2177" s="204"/>
      <c r="C2177" s="204"/>
      <c r="D2177" s="204"/>
      <c r="E2177" s="204"/>
      <c r="F2177" s="204"/>
      <c r="G2177" s="204"/>
      <c r="H2177" s="204"/>
      <c r="I2177" s="204"/>
      <c r="J2177" s="204"/>
      <c r="K2177" s="204"/>
      <c r="L2177" s="205"/>
      <c r="M2177" s="205"/>
      <c r="N2177" s="204"/>
      <c r="O2177" s="204"/>
      <c r="P2177" s="206"/>
      <c r="Q2177" s="206"/>
      <c r="R2177" s="206"/>
      <c r="S2177" s="206"/>
      <c r="T2177" s="204"/>
      <c r="U2177" s="207"/>
      <c r="V2177" s="204"/>
      <c r="W2177" s="204"/>
      <c r="X2177" s="207"/>
      <c r="Y2177" s="207"/>
      <c r="Z2177" s="204"/>
      <c r="AA2177" s="204"/>
      <c r="AB2177" s="204"/>
      <c r="AC2177" s="204"/>
    </row>
    <row r="2178" spans="1:29">
      <c r="A2178" s="204"/>
      <c r="B2178" s="204"/>
      <c r="C2178" s="204"/>
      <c r="D2178" s="204"/>
      <c r="E2178" s="204"/>
      <c r="F2178" s="204"/>
      <c r="G2178" s="204"/>
      <c r="H2178" s="204"/>
      <c r="I2178" s="204"/>
      <c r="J2178" s="204"/>
      <c r="K2178" s="204"/>
      <c r="L2178" s="205"/>
      <c r="M2178" s="205"/>
      <c r="N2178" s="204"/>
      <c r="O2178" s="204"/>
      <c r="P2178" s="206"/>
      <c r="Q2178" s="206"/>
      <c r="R2178" s="206"/>
      <c r="S2178" s="206"/>
      <c r="T2178" s="204"/>
      <c r="U2178" s="207"/>
      <c r="V2178" s="204"/>
      <c r="W2178" s="204"/>
      <c r="X2178" s="207"/>
      <c r="Y2178" s="207"/>
      <c r="Z2178" s="204"/>
      <c r="AA2178" s="204"/>
      <c r="AB2178" s="204"/>
      <c r="AC2178" s="204"/>
    </row>
    <row r="2179" spans="1:29">
      <c r="A2179" s="204"/>
      <c r="B2179" s="204"/>
      <c r="C2179" s="204"/>
      <c r="D2179" s="204"/>
      <c r="E2179" s="204"/>
      <c r="F2179" s="204"/>
      <c r="G2179" s="204"/>
      <c r="H2179" s="204"/>
      <c r="I2179" s="204"/>
      <c r="J2179" s="204"/>
      <c r="K2179" s="204"/>
      <c r="L2179" s="205"/>
      <c r="M2179" s="205"/>
      <c r="N2179" s="204"/>
      <c r="O2179" s="204"/>
      <c r="P2179" s="206"/>
      <c r="Q2179" s="206"/>
      <c r="R2179" s="206"/>
      <c r="S2179" s="206"/>
      <c r="T2179" s="204"/>
      <c r="U2179" s="207"/>
      <c r="V2179" s="204"/>
      <c r="W2179" s="204"/>
      <c r="X2179" s="207"/>
      <c r="Y2179" s="207"/>
      <c r="Z2179" s="204"/>
      <c r="AA2179" s="204"/>
      <c r="AB2179" s="204"/>
      <c r="AC2179" s="204"/>
    </row>
    <row r="2180" spans="1:29">
      <c r="A2180" s="204"/>
      <c r="B2180" s="204"/>
      <c r="C2180" s="204"/>
      <c r="D2180" s="204"/>
      <c r="E2180" s="204"/>
      <c r="F2180" s="204"/>
      <c r="G2180" s="204"/>
      <c r="H2180" s="204"/>
      <c r="I2180" s="204"/>
      <c r="J2180" s="204"/>
      <c r="K2180" s="204"/>
      <c r="L2180" s="205"/>
      <c r="M2180" s="205"/>
      <c r="N2180" s="204"/>
      <c r="O2180" s="204"/>
      <c r="P2180" s="206"/>
      <c r="Q2180" s="206"/>
      <c r="R2180" s="206"/>
      <c r="S2180" s="206"/>
      <c r="T2180" s="204"/>
      <c r="U2180" s="207"/>
      <c r="V2180" s="204"/>
      <c r="W2180" s="204"/>
      <c r="X2180" s="207"/>
      <c r="Y2180" s="207"/>
      <c r="Z2180" s="204"/>
      <c r="AA2180" s="204"/>
      <c r="AB2180" s="204"/>
      <c r="AC2180" s="204"/>
    </row>
    <row r="2181" spans="1:29">
      <c r="A2181" s="204"/>
      <c r="B2181" s="204"/>
      <c r="C2181" s="204"/>
      <c r="D2181" s="204"/>
      <c r="E2181" s="204"/>
      <c r="F2181" s="204"/>
      <c r="G2181" s="204"/>
      <c r="H2181" s="204"/>
      <c r="I2181" s="204"/>
      <c r="J2181" s="204"/>
      <c r="K2181" s="204"/>
      <c r="L2181" s="205"/>
      <c r="M2181" s="205"/>
      <c r="N2181" s="204"/>
      <c r="O2181" s="204"/>
      <c r="P2181" s="206"/>
      <c r="Q2181" s="206"/>
      <c r="R2181" s="206"/>
      <c r="S2181" s="206"/>
      <c r="T2181" s="204"/>
      <c r="U2181" s="207"/>
      <c r="V2181" s="204"/>
      <c r="W2181" s="204"/>
      <c r="X2181" s="207"/>
      <c r="Y2181" s="207"/>
      <c r="Z2181" s="204"/>
      <c r="AA2181" s="204"/>
      <c r="AB2181" s="204"/>
      <c r="AC2181" s="204"/>
    </row>
    <row r="2182" spans="1:29">
      <c r="A2182" s="204"/>
      <c r="B2182" s="204"/>
      <c r="C2182" s="204"/>
      <c r="D2182" s="204"/>
      <c r="E2182" s="204"/>
      <c r="F2182" s="204"/>
      <c r="G2182" s="204"/>
      <c r="H2182" s="204"/>
      <c r="I2182" s="204"/>
      <c r="J2182" s="204"/>
      <c r="K2182" s="204"/>
      <c r="L2182" s="205"/>
      <c r="M2182" s="205"/>
      <c r="N2182" s="204"/>
      <c r="O2182" s="204"/>
      <c r="P2182" s="206"/>
      <c r="Q2182" s="206"/>
      <c r="R2182" s="206"/>
      <c r="S2182" s="206"/>
      <c r="T2182" s="204"/>
      <c r="U2182" s="207"/>
      <c r="V2182" s="204"/>
      <c r="W2182" s="204"/>
      <c r="X2182" s="207"/>
      <c r="Y2182" s="207"/>
      <c r="Z2182" s="204"/>
      <c r="AA2182" s="204"/>
      <c r="AB2182" s="204"/>
      <c r="AC2182" s="204"/>
    </row>
    <row r="2183" spans="1:29">
      <c r="A2183" s="204"/>
      <c r="B2183" s="204"/>
      <c r="C2183" s="204"/>
      <c r="D2183" s="204"/>
      <c r="E2183" s="204"/>
      <c r="F2183" s="204"/>
      <c r="G2183" s="204"/>
      <c r="H2183" s="204"/>
      <c r="I2183" s="204"/>
      <c r="J2183" s="204"/>
      <c r="K2183" s="204"/>
      <c r="L2183" s="205"/>
      <c r="M2183" s="205"/>
      <c r="N2183" s="204"/>
      <c r="O2183" s="204"/>
      <c r="P2183" s="206"/>
      <c r="Q2183" s="206"/>
      <c r="R2183" s="206"/>
      <c r="S2183" s="206"/>
      <c r="T2183" s="204"/>
      <c r="U2183" s="207"/>
      <c r="V2183" s="204"/>
      <c r="W2183" s="204"/>
      <c r="X2183" s="207"/>
      <c r="Y2183" s="207"/>
      <c r="Z2183" s="204"/>
      <c r="AA2183" s="204"/>
      <c r="AB2183" s="204"/>
      <c r="AC2183" s="204"/>
    </row>
    <row r="2184" spans="1:29">
      <c r="A2184" s="204"/>
      <c r="B2184" s="204"/>
      <c r="C2184" s="204"/>
      <c r="D2184" s="204"/>
      <c r="E2184" s="204"/>
      <c r="F2184" s="204"/>
      <c r="G2184" s="204"/>
      <c r="H2184" s="204"/>
      <c r="I2184" s="204"/>
      <c r="J2184" s="204"/>
      <c r="K2184" s="204"/>
      <c r="L2184" s="205"/>
      <c r="M2184" s="205"/>
      <c r="N2184" s="204"/>
      <c r="O2184" s="204"/>
      <c r="P2184" s="206"/>
      <c r="Q2184" s="206"/>
      <c r="R2184" s="206"/>
      <c r="S2184" s="206"/>
      <c r="T2184" s="204"/>
      <c r="U2184" s="207"/>
      <c r="V2184" s="204"/>
      <c r="W2184" s="204"/>
      <c r="X2184" s="207"/>
      <c r="Y2184" s="207"/>
      <c r="Z2184" s="204"/>
      <c r="AA2184" s="204"/>
      <c r="AB2184" s="204"/>
      <c r="AC2184" s="204"/>
    </row>
    <row r="2185" spans="1:29">
      <c r="A2185" s="204"/>
      <c r="B2185" s="204"/>
      <c r="C2185" s="204"/>
      <c r="D2185" s="204"/>
      <c r="E2185" s="204"/>
      <c r="F2185" s="204"/>
      <c r="G2185" s="204"/>
      <c r="H2185" s="204"/>
      <c r="I2185" s="204"/>
      <c r="J2185" s="204"/>
      <c r="K2185" s="204"/>
      <c r="L2185" s="205"/>
      <c r="M2185" s="205"/>
      <c r="N2185" s="204"/>
      <c r="O2185" s="204"/>
      <c r="P2185" s="206"/>
      <c r="Q2185" s="206"/>
      <c r="R2185" s="206"/>
      <c r="S2185" s="206"/>
      <c r="T2185" s="204"/>
      <c r="U2185" s="207"/>
      <c r="V2185" s="204"/>
      <c r="W2185" s="204"/>
      <c r="X2185" s="207"/>
      <c r="Y2185" s="207"/>
      <c r="Z2185" s="204"/>
      <c r="AA2185" s="204"/>
      <c r="AB2185" s="204"/>
      <c r="AC2185" s="204"/>
    </row>
    <row r="2186" spans="1:29">
      <c r="A2186" s="204"/>
      <c r="B2186" s="204"/>
      <c r="C2186" s="204"/>
      <c r="D2186" s="204"/>
      <c r="E2186" s="204"/>
      <c r="F2186" s="204"/>
      <c r="G2186" s="204"/>
      <c r="H2186" s="204"/>
      <c r="I2186" s="204"/>
      <c r="J2186" s="204"/>
      <c r="K2186" s="204"/>
      <c r="L2186" s="205"/>
      <c r="M2186" s="205"/>
      <c r="N2186" s="204"/>
      <c r="O2186" s="204"/>
      <c r="P2186" s="206"/>
      <c r="Q2186" s="206"/>
      <c r="R2186" s="206"/>
      <c r="S2186" s="206"/>
      <c r="T2186" s="204"/>
      <c r="U2186" s="207"/>
      <c r="V2186" s="204"/>
      <c r="W2186" s="204"/>
      <c r="X2186" s="207"/>
      <c r="Y2186" s="207"/>
      <c r="Z2186" s="204"/>
      <c r="AA2186" s="204"/>
      <c r="AB2186" s="204"/>
      <c r="AC2186" s="204"/>
    </row>
    <row r="2187" spans="1:29">
      <c r="A2187" s="204"/>
      <c r="B2187" s="204"/>
      <c r="C2187" s="204"/>
      <c r="D2187" s="204"/>
      <c r="E2187" s="204"/>
      <c r="F2187" s="204"/>
      <c r="G2187" s="204"/>
      <c r="H2187" s="204"/>
      <c r="I2187" s="204"/>
      <c r="J2187" s="204"/>
      <c r="K2187" s="204"/>
      <c r="L2187" s="205"/>
      <c r="M2187" s="205"/>
      <c r="N2187" s="204"/>
      <c r="O2187" s="204"/>
      <c r="P2187" s="206"/>
      <c r="Q2187" s="206"/>
      <c r="R2187" s="206"/>
      <c r="S2187" s="206"/>
      <c r="T2187" s="204"/>
      <c r="U2187" s="207"/>
      <c r="V2187" s="204"/>
      <c r="W2187" s="204"/>
      <c r="X2187" s="207"/>
      <c r="Y2187" s="207"/>
      <c r="Z2187" s="204"/>
      <c r="AA2187" s="204"/>
      <c r="AB2187" s="204"/>
      <c r="AC2187" s="204"/>
    </row>
    <row r="2188" spans="1:29">
      <c r="A2188" s="204"/>
      <c r="B2188" s="204"/>
      <c r="C2188" s="204"/>
      <c r="D2188" s="204"/>
      <c r="E2188" s="204"/>
      <c r="F2188" s="204"/>
      <c r="G2188" s="204"/>
      <c r="H2188" s="204"/>
      <c r="I2188" s="204"/>
      <c r="J2188" s="204"/>
      <c r="K2188" s="204"/>
      <c r="L2188" s="205"/>
      <c r="M2188" s="205"/>
      <c r="N2188" s="204"/>
      <c r="O2188" s="204"/>
      <c r="P2188" s="206"/>
      <c r="Q2188" s="206"/>
      <c r="R2188" s="206"/>
      <c r="S2188" s="206"/>
      <c r="T2188" s="204"/>
      <c r="U2188" s="207"/>
      <c r="V2188" s="204"/>
      <c r="W2188" s="204"/>
      <c r="X2188" s="207"/>
      <c r="Y2188" s="207"/>
      <c r="Z2188" s="204"/>
      <c r="AA2188" s="204"/>
      <c r="AB2188" s="204"/>
      <c r="AC2188" s="204"/>
    </row>
    <row r="2189" spans="1:29">
      <c r="A2189" s="204"/>
      <c r="B2189" s="204"/>
      <c r="C2189" s="204"/>
      <c r="D2189" s="204"/>
      <c r="E2189" s="204"/>
      <c r="F2189" s="204"/>
      <c r="G2189" s="204"/>
      <c r="H2189" s="204"/>
      <c r="I2189" s="204"/>
      <c r="J2189" s="204"/>
      <c r="K2189" s="204"/>
      <c r="L2189" s="205"/>
      <c r="M2189" s="205"/>
      <c r="N2189" s="204"/>
      <c r="O2189" s="204"/>
      <c r="P2189" s="206"/>
      <c r="Q2189" s="206"/>
      <c r="R2189" s="206"/>
      <c r="S2189" s="206"/>
      <c r="T2189" s="204"/>
      <c r="U2189" s="207"/>
      <c r="V2189" s="204"/>
      <c r="W2189" s="204"/>
      <c r="X2189" s="207"/>
      <c r="Y2189" s="207"/>
      <c r="Z2189" s="204"/>
      <c r="AA2189" s="204"/>
      <c r="AB2189" s="204"/>
      <c r="AC2189" s="204"/>
    </row>
    <row r="2190" spans="1:29">
      <c r="A2190" s="204"/>
      <c r="B2190" s="204"/>
      <c r="C2190" s="204"/>
      <c r="D2190" s="204"/>
      <c r="E2190" s="204"/>
      <c r="F2190" s="204"/>
      <c r="G2190" s="204"/>
      <c r="H2190" s="204"/>
      <c r="I2190" s="204"/>
      <c r="J2190" s="204"/>
      <c r="K2190" s="204"/>
      <c r="L2190" s="205"/>
      <c r="M2190" s="205"/>
      <c r="N2190" s="204"/>
      <c r="O2190" s="204"/>
      <c r="P2190" s="206"/>
      <c r="Q2190" s="206"/>
      <c r="R2190" s="206"/>
      <c r="S2190" s="206"/>
      <c r="T2190" s="204"/>
      <c r="U2190" s="207"/>
      <c r="V2190" s="204"/>
      <c r="W2190" s="204"/>
      <c r="X2190" s="207"/>
      <c r="Y2190" s="207"/>
      <c r="Z2190" s="204"/>
      <c r="AA2190" s="204"/>
      <c r="AB2190" s="204"/>
      <c r="AC2190" s="204"/>
    </row>
    <row r="2191" spans="1:29">
      <c r="A2191" s="204"/>
      <c r="B2191" s="204"/>
      <c r="C2191" s="204"/>
      <c r="D2191" s="204"/>
      <c r="E2191" s="204"/>
      <c r="F2191" s="204"/>
      <c r="G2191" s="204"/>
      <c r="H2191" s="204"/>
      <c r="I2191" s="204"/>
      <c r="J2191" s="204"/>
      <c r="K2191" s="204"/>
      <c r="L2191" s="205"/>
      <c r="M2191" s="205"/>
      <c r="N2191" s="204"/>
      <c r="O2191" s="204"/>
      <c r="P2191" s="206"/>
      <c r="Q2191" s="206"/>
      <c r="R2191" s="206"/>
      <c r="S2191" s="206"/>
      <c r="T2191" s="204"/>
      <c r="U2191" s="207"/>
      <c r="V2191" s="204"/>
      <c r="W2191" s="204"/>
      <c r="X2191" s="207"/>
      <c r="Y2191" s="207"/>
      <c r="Z2191" s="204"/>
      <c r="AA2191" s="204"/>
      <c r="AB2191" s="204"/>
      <c r="AC2191" s="204"/>
    </row>
    <row r="2192" spans="1:29">
      <c r="A2192" s="204"/>
      <c r="B2192" s="204"/>
      <c r="C2192" s="204"/>
      <c r="D2192" s="204"/>
      <c r="E2192" s="204"/>
      <c r="F2192" s="204"/>
      <c r="G2192" s="204"/>
      <c r="H2192" s="204"/>
      <c r="I2192" s="204"/>
      <c r="J2192" s="204"/>
      <c r="K2192" s="204"/>
      <c r="L2192" s="205"/>
      <c r="M2192" s="205"/>
      <c r="N2192" s="204"/>
      <c r="O2192" s="204"/>
      <c r="P2192" s="206"/>
      <c r="Q2192" s="206"/>
      <c r="R2192" s="206"/>
      <c r="S2192" s="206"/>
      <c r="T2192" s="204"/>
      <c r="U2192" s="207"/>
      <c r="V2192" s="204"/>
      <c r="W2192" s="204"/>
      <c r="X2192" s="207"/>
      <c r="Y2192" s="207"/>
      <c r="Z2192" s="204"/>
      <c r="AA2192" s="204"/>
      <c r="AB2192" s="204"/>
      <c r="AC2192" s="204"/>
    </row>
    <row r="2193" spans="1:29">
      <c r="A2193" s="204"/>
      <c r="B2193" s="204"/>
      <c r="C2193" s="204"/>
      <c r="D2193" s="204"/>
      <c r="E2193" s="204"/>
      <c r="F2193" s="204"/>
      <c r="G2193" s="204"/>
      <c r="H2193" s="204"/>
      <c r="I2193" s="204"/>
      <c r="J2193" s="204"/>
      <c r="K2193" s="204"/>
      <c r="L2193" s="205"/>
      <c r="M2193" s="205"/>
      <c r="N2193" s="204"/>
      <c r="O2193" s="204"/>
      <c r="P2193" s="206"/>
      <c r="Q2193" s="206"/>
      <c r="R2193" s="206"/>
      <c r="S2193" s="206"/>
      <c r="T2193" s="204"/>
      <c r="U2193" s="207"/>
      <c r="V2193" s="204"/>
      <c r="W2193" s="204"/>
      <c r="X2193" s="207"/>
      <c r="Y2193" s="207"/>
      <c r="Z2193" s="204"/>
      <c r="AA2193" s="204"/>
      <c r="AB2193" s="204"/>
      <c r="AC2193" s="204"/>
    </row>
    <row r="2194" spans="1:29">
      <c r="A2194" s="204"/>
      <c r="B2194" s="204"/>
      <c r="C2194" s="204"/>
      <c r="D2194" s="204"/>
      <c r="E2194" s="204"/>
      <c r="F2194" s="204"/>
      <c r="G2194" s="204"/>
      <c r="H2194" s="204"/>
      <c r="I2194" s="204"/>
      <c r="J2194" s="204"/>
      <c r="K2194" s="204"/>
      <c r="L2194" s="205"/>
      <c r="M2194" s="205"/>
      <c r="N2194" s="204"/>
      <c r="O2194" s="204"/>
      <c r="P2194" s="206"/>
      <c r="Q2194" s="206"/>
      <c r="R2194" s="206"/>
      <c r="S2194" s="206"/>
      <c r="T2194" s="204"/>
      <c r="U2194" s="207"/>
      <c r="V2194" s="204"/>
      <c r="W2194" s="204"/>
      <c r="X2194" s="207"/>
      <c r="Y2194" s="207"/>
      <c r="Z2194" s="204"/>
      <c r="AA2194" s="204"/>
      <c r="AB2194" s="204"/>
      <c r="AC2194" s="204"/>
    </row>
    <row r="2195" spans="1:29">
      <c r="A2195" s="204"/>
      <c r="B2195" s="204"/>
      <c r="C2195" s="204"/>
      <c r="D2195" s="204"/>
      <c r="E2195" s="204"/>
      <c r="F2195" s="204"/>
      <c r="G2195" s="204"/>
      <c r="H2195" s="204"/>
      <c r="I2195" s="204"/>
      <c r="J2195" s="204"/>
      <c r="K2195" s="204"/>
      <c r="L2195" s="205"/>
      <c r="M2195" s="205"/>
      <c r="N2195" s="204"/>
      <c r="O2195" s="204"/>
      <c r="P2195" s="206"/>
      <c r="Q2195" s="206"/>
      <c r="R2195" s="206"/>
      <c r="S2195" s="206"/>
      <c r="T2195" s="204"/>
      <c r="U2195" s="207"/>
      <c r="V2195" s="204"/>
      <c r="W2195" s="204"/>
      <c r="X2195" s="207"/>
      <c r="Y2195" s="207"/>
      <c r="Z2195" s="204"/>
      <c r="AA2195" s="204"/>
      <c r="AB2195" s="204"/>
      <c r="AC2195" s="204"/>
    </row>
    <row r="2196" spans="1:29">
      <c r="A2196" s="204"/>
      <c r="B2196" s="204"/>
      <c r="C2196" s="204"/>
      <c r="D2196" s="204"/>
      <c r="E2196" s="204"/>
      <c r="F2196" s="204"/>
      <c r="G2196" s="204"/>
      <c r="H2196" s="204"/>
      <c r="I2196" s="204"/>
      <c r="J2196" s="204"/>
      <c r="K2196" s="204"/>
      <c r="L2196" s="205"/>
      <c r="M2196" s="205"/>
      <c r="N2196" s="204"/>
      <c r="O2196" s="204"/>
      <c r="P2196" s="206"/>
      <c r="Q2196" s="206"/>
      <c r="R2196" s="206"/>
      <c r="S2196" s="206"/>
      <c r="T2196" s="204"/>
      <c r="U2196" s="207"/>
      <c r="V2196" s="204"/>
      <c r="W2196" s="204"/>
      <c r="X2196" s="207"/>
      <c r="Y2196" s="207"/>
      <c r="Z2196" s="204"/>
      <c r="AA2196" s="204"/>
      <c r="AB2196" s="204"/>
      <c r="AC2196" s="204"/>
    </row>
    <row r="2197" spans="1:29">
      <c r="A2197" s="204"/>
      <c r="B2197" s="204"/>
      <c r="C2197" s="204"/>
      <c r="D2197" s="204"/>
      <c r="E2197" s="204"/>
      <c r="F2197" s="204"/>
      <c r="G2197" s="204"/>
      <c r="H2197" s="204"/>
      <c r="I2197" s="204"/>
      <c r="J2197" s="204"/>
      <c r="K2197" s="204"/>
      <c r="L2197" s="205"/>
      <c r="M2197" s="205"/>
      <c r="N2197" s="204"/>
      <c r="O2197" s="204"/>
      <c r="P2197" s="206"/>
      <c r="Q2197" s="206"/>
      <c r="R2197" s="206"/>
      <c r="S2197" s="206"/>
      <c r="T2197" s="204"/>
      <c r="U2197" s="207"/>
      <c r="V2197" s="204"/>
      <c r="W2197" s="204"/>
      <c r="X2197" s="207"/>
      <c r="Y2197" s="207"/>
      <c r="Z2197" s="204"/>
      <c r="AA2197" s="204"/>
      <c r="AB2197" s="204"/>
      <c r="AC2197" s="204"/>
    </row>
    <row r="2198" spans="1:29">
      <c r="A2198" s="204"/>
      <c r="B2198" s="204"/>
      <c r="C2198" s="204"/>
      <c r="D2198" s="204"/>
      <c r="E2198" s="204"/>
      <c r="F2198" s="204"/>
      <c r="G2198" s="204"/>
      <c r="H2198" s="204"/>
      <c r="I2198" s="204"/>
      <c r="J2198" s="204"/>
      <c r="K2198" s="204"/>
      <c r="L2198" s="205"/>
      <c r="M2198" s="205"/>
      <c r="N2198" s="204"/>
      <c r="O2198" s="204"/>
      <c r="P2198" s="206"/>
      <c r="Q2198" s="206"/>
      <c r="R2198" s="206"/>
      <c r="S2198" s="206"/>
      <c r="T2198" s="204"/>
      <c r="U2198" s="207"/>
      <c r="V2198" s="204"/>
      <c r="W2198" s="204"/>
      <c r="X2198" s="207"/>
      <c r="Y2198" s="207"/>
      <c r="Z2198" s="204"/>
      <c r="AA2198" s="204"/>
      <c r="AB2198" s="204"/>
      <c r="AC2198" s="204"/>
    </row>
    <row r="2199" spans="1:29">
      <c r="A2199" s="204"/>
      <c r="B2199" s="204"/>
      <c r="C2199" s="204"/>
      <c r="D2199" s="204"/>
      <c r="E2199" s="204"/>
      <c r="F2199" s="204"/>
      <c r="G2199" s="204"/>
      <c r="H2199" s="204"/>
      <c r="I2199" s="204"/>
      <c r="J2199" s="204"/>
      <c r="K2199" s="204"/>
      <c r="L2199" s="205"/>
      <c r="M2199" s="205"/>
      <c r="N2199" s="204"/>
      <c r="O2199" s="204"/>
      <c r="P2199" s="206"/>
      <c r="Q2199" s="206"/>
      <c r="R2199" s="206"/>
      <c r="S2199" s="206"/>
      <c r="T2199" s="204"/>
      <c r="U2199" s="207"/>
      <c r="V2199" s="204"/>
      <c r="W2199" s="204"/>
      <c r="X2199" s="207"/>
      <c r="Y2199" s="207"/>
      <c r="Z2199" s="204"/>
      <c r="AA2199" s="204"/>
      <c r="AB2199" s="204"/>
      <c r="AC2199" s="204"/>
    </row>
    <row r="2200" spans="1:29">
      <c r="A2200" s="204"/>
      <c r="B2200" s="204"/>
      <c r="C2200" s="204"/>
      <c r="D2200" s="204"/>
      <c r="E2200" s="204"/>
      <c r="F2200" s="204"/>
      <c r="G2200" s="204"/>
      <c r="H2200" s="204"/>
      <c r="I2200" s="204"/>
      <c r="J2200" s="204"/>
      <c r="K2200" s="204"/>
      <c r="L2200" s="205"/>
      <c r="M2200" s="205"/>
      <c r="N2200" s="204"/>
      <c r="O2200" s="204"/>
      <c r="P2200" s="206"/>
      <c r="Q2200" s="206"/>
      <c r="R2200" s="206"/>
      <c r="S2200" s="206"/>
      <c r="T2200" s="204"/>
      <c r="U2200" s="207"/>
      <c r="V2200" s="204"/>
      <c r="W2200" s="204"/>
      <c r="X2200" s="207"/>
      <c r="Y2200" s="207"/>
      <c r="Z2200" s="204"/>
      <c r="AA2200" s="204"/>
      <c r="AB2200" s="204"/>
      <c r="AC2200" s="204"/>
    </row>
    <row r="2201" spans="1:29">
      <c r="A2201" s="204"/>
      <c r="B2201" s="204"/>
      <c r="C2201" s="204"/>
      <c r="D2201" s="204"/>
      <c r="E2201" s="204"/>
      <c r="F2201" s="204"/>
      <c r="G2201" s="204"/>
      <c r="H2201" s="204"/>
      <c r="I2201" s="204"/>
      <c r="J2201" s="204"/>
      <c r="K2201" s="204"/>
      <c r="L2201" s="205"/>
      <c r="M2201" s="205"/>
      <c r="N2201" s="204"/>
      <c r="O2201" s="204"/>
      <c r="P2201" s="206"/>
      <c r="Q2201" s="206"/>
      <c r="R2201" s="206"/>
      <c r="S2201" s="206"/>
      <c r="T2201" s="204"/>
      <c r="U2201" s="207"/>
      <c r="V2201" s="204"/>
      <c r="W2201" s="204"/>
      <c r="X2201" s="207"/>
      <c r="Y2201" s="207"/>
      <c r="Z2201" s="204"/>
      <c r="AA2201" s="204"/>
      <c r="AB2201" s="204"/>
      <c r="AC2201" s="204"/>
    </row>
    <row r="2202" spans="1:29">
      <c r="A2202" s="204"/>
      <c r="B2202" s="204"/>
      <c r="C2202" s="204"/>
      <c r="D2202" s="204"/>
      <c r="E2202" s="204"/>
      <c r="F2202" s="204"/>
      <c r="G2202" s="204"/>
      <c r="H2202" s="204"/>
      <c r="I2202" s="204"/>
      <c r="J2202" s="204"/>
      <c r="K2202" s="204"/>
      <c r="L2202" s="205"/>
      <c r="M2202" s="205"/>
      <c r="N2202" s="204"/>
      <c r="O2202" s="204"/>
      <c r="P2202" s="206"/>
      <c r="Q2202" s="206"/>
      <c r="R2202" s="206"/>
      <c r="S2202" s="206"/>
      <c r="T2202" s="204"/>
      <c r="U2202" s="207"/>
      <c r="V2202" s="204"/>
      <c r="W2202" s="204"/>
      <c r="X2202" s="207"/>
      <c r="Y2202" s="207"/>
      <c r="Z2202" s="204"/>
      <c r="AA2202" s="204"/>
      <c r="AB2202" s="204"/>
      <c r="AC2202" s="204"/>
    </row>
    <row r="2203" spans="1:29">
      <c r="A2203" s="204"/>
      <c r="B2203" s="204"/>
      <c r="C2203" s="204"/>
      <c r="D2203" s="204"/>
      <c r="E2203" s="204"/>
      <c r="F2203" s="204"/>
      <c r="G2203" s="204"/>
      <c r="H2203" s="204"/>
      <c r="I2203" s="204"/>
      <c r="J2203" s="204"/>
      <c r="K2203" s="204"/>
      <c r="L2203" s="205"/>
      <c r="M2203" s="205"/>
      <c r="N2203" s="204"/>
      <c r="O2203" s="204"/>
      <c r="P2203" s="206"/>
      <c r="Q2203" s="206"/>
      <c r="R2203" s="206"/>
      <c r="S2203" s="206"/>
      <c r="T2203" s="204"/>
      <c r="U2203" s="207"/>
      <c r="V2203" s="204"/>
      <c r="W2203" s="204"/>
      <c r="X2203" s="207"/>
      <c r="Y2203" s="207"/>
      <c r="Z2203" s="204"/>
      <c r="AA2203" s="204"/>
      <c r="AB2203" s="204"/>
      <c r="AC2203" s="204"/>
    </row>
    <row r="2204" spans="1:29">
      <c r="A2204" s="204"/>
      <c r="B2204" s="204"/>
      <c r="C2204" s="204"/>
      <c r="D2204" s="204"/>
      <c r="E2204" s="204"/>
      <c r="F2204" s="204"/>
      <c r="G2204" s="204"/>
      <c r="H2204" s="204"/>
      <c r="I2204" s="204"/>
      <c r="J2204" s="204"/>
      <c r="K2204" s="204"/>
      <c r="L2204" s="205"/>
      <c r="M2204" s="205"/>
      <c r="N2204" s="204"/>
      <c r="O2204" s="204"/>
      <c r="P2204" s="206"/>
      <c r="Q2204" s="206"/>
      <c r="R2204" s="206"/>
      <c r="S2204" s="206"/>
      <c r="T2204" s="204"/>
      <c r="U2204" s="207"/>
      <c r="V2204" s="204"/>
      <c r="W2204" s="204"/>
      <c r="X2204" s="207"/>
      <c r="Y2204" s="207"/>
      <c r="Z2204" s="204"/>
      <c r="AA2204" s="204"/>
      <c r="AB2204" s="204"/>
      <c r="AC2204" s="204"/>
    </row>
    <row r="2205" spans="1:29">
      <c r="A2205" s="204"/>
      <c r="B2205" s="204"/>
      <c r="C2205" s="204"/>
      <c r="D2205" s="204"/>
      <c r="E2205" s="204"/>
      <c r="F2205" s="204"/>
      <c r="G2205" s="204"/>
      <c r="H2205" s="204"/>
      <c r="I2205" s="204"/>
      <c r="J2205" s="204"/>
      <c r="K2205" s="204"/>
      <c r="L2205" s="205"/>
      <c r="M2205" s="205"/>
      <c r="N2205" s="204"/>
      <c r="O2205" s="204"/>
      <c r="P2205" s="206"/>
      <c r="Q2205" s="206"/>
      <c r="R2205" s="206"/>
      <c r="S2205" s="206"/>
      <c r="T2205" s="204"/>
      <c r="U2205" s="207"/>
      <c r="V2205" s="204"/>
      <c r="W2205" s="204"/>
      <c r="X2205" s="207"/>
      <c r="Y2205" s="207"/>
      <c r="Z2205" s="204"/>
      <c r="AA2205" s="204"/>
      <c r="AB2205" s="204"/>
      <c r="AC2205" s="204"/>
    </row>
    <row r="2206" spans="1:29">
      <c r="A2206" s="204"/>
      <c r="B2206" s="204"/>
      <c r="C2206" s="204"/>
      <c r="D2206" s="204"/>
      <c r="E2206" s="204"/>
      <c r="F2206" s="204"/>
      <c r="G2206" s="204"/>
      <c r="H2206" s="204"/>
      <c r="I2206" s="204"/>
      <c r="J2206" s="204"/>
      <c r="K2206" s="204"/>
      <c r="L2206" s="205"/>
      <c r="M2206" s="205"/>
      <c r="N2206" s="204"/>
      <c r="O2206" s="204"/>
      <c r="P2206" s="206"/>
      <c r="Q2206" s="206"/>
      <c r="R2206" s="206"/>
      <c r="S2206" s="206"/>
      <c r="T2206" s="204"/>
      <c r="U2206" s="207"/>
      <c r="V2206" s="204"/>
      <c r="W2206" s="204"/>
      <c r="X2206" s="207"/>
      <c r="Y2206" s="207"/>
      <c r="Z2206" s="204"/>
      <c r="AA2206" s="204"/>
      <c r="AB2206" s="204"/>
      <c r="AC2206" s="204"/>
    </row>
    <row r="2207" spans="1:29">
      <c r="A2207" s="204"/>
      <c r="B2207" s="204"/>
      <c r="C2207" s="204"/>
      <c r="D2207" s="204"/>
      <c r="E2207" s="204"/>
      <c r="F2207" s="204"/>
      <c r="G2207" s="204"/>
      <c r="H2207" s="204"/>
      <c r="I2207" s="204"/>
      <c r="J2207" s="204"/>
      <c r="K2207" s="204"/>
      <c r="L2207" s="205"/>
      <c r="M2207" s="205"/>
      <c r="N2207" s="204"/>
      <c r="O2207" s="204"/>
      <c r="P2207" s="206"/>
      <c r="Q2207" s="206"/>
      <c r="R2207" s="206"/>
      <c r="S2207" s="206"/>
      <c r="T2207" s="204"/>
      <c r="U2207" s="207"/>
      <c r="V2207" s="204"/>
      <c r="W2207" s="204"/>
      <c r="X2207" s="207"/>
      <c r="Y2207" s="207"/>
      <c r="Z2207" s="204"/>
      <c r="AA2207" s="204"/>
      <c r="AB2207" s="204"/>
      <c r="AC2207" s="204"/>
    </row>
    <row r="2208" spans="1:29">
      <c r="A2208" s="204"/>
      <c r="B2208" s="204"/>
      <c r="C2208" s="204"/>
      <c r="D2208" s="204"/>
      <c r="E2208" s="204"/>
      <c r="F2208" s="204"/>
      <c r="G2208" s="204"/>
      <c r="H2208" s="204"/>
      <c r="I2208" s="204"/>
      <c r="J2208" s="204"/>
      <c r="K2208" s="204"/>
      <c r="L2208" s="205"/>
      <c r="M2208" s="205"/>
      <c r="N2208" s="204"/>
      <c r="O2208" s="204"/>
      <c r="P2208" s="206"/>
      <c r="Q2208" s="206"/>
      <c r="R2208" s="206"/>
      <c r="S2208" s="206"/>
      <c r="T2208" s="204"/>
      <c r="U2208" s="207"/>
      <c r="V2208" s="204"/>
      <c r="W2208" s="204"/>
      <c r="X2208" s="207"/>
      <c r="Y2208" s="207"/>
      <c r="Z2208" s="204"/>
      <c r="AA2208" s="204"/>
      <c r="AB2208" s="204"/>
      <c r="AC2208" s="204"/>
    </row>
    <row r="2209" spans="1:29">
      <c r="A2209" s="204"/>
      <c r="B2209" s="204"/>
      <c r="C2209" s="204"/>
      <c r="D2209" s="204"/>
      <c r="E2209" s="204"/>
      <c r="F2209" s="204"/>
      <c r="G2209" s="204"/>
      <c r="H2209" s="204"/>
      <c r="I2209" s="204"/>
      <c r="J2209" s="204"/>
      <c r="K2209" s="204"/>
      <c r="L2209" s="205"/>
      <c r="M2209" s="205"/>
      <c r="N2209" s="204"/>
      <c r="O2209" s="204"/>
      <c r="P2209" s="206"/>
      <c r="Q2209" s="206"/>
      <c r="R2209" s="206"/>
      <c r="S2209" s="206"/>
      <c r="T2209" s="204"/>
      <c r="U2209" s="207"/>
      <c r="V2209" s="204"/>
      <c r="W2209" s="204"/>
      <c r="X2209" s="207"/>
      <c r="Y2209" s="207"/>
      <c r="Z2209" s="204"/>
      <c r="AA2209" s="204"/>
      <c r="AB2209" s="204"/>
      <c r="AC2209" s="204"/>
    </row>
    <row r="2210" spans="1:29">
      <c r="A2210" s="204"/>
      <c r="B2210" s="204"/>
      <c r="C2210" s="204"/>
      <c r="D2210" s="204"/>
      <c r="E2210" s="204"/>
      <c r="F2210" s="204"/>
      <c r="G2210" s="204"/>
      <c r="H2210" s="204"/>
      <c r="I2210" s="204"/>
      <c r="J2210" s="204"/>
      <c r="K2210" s="204"/>
      <c r="L2210" s="205"/>
      <c r="M2210" s="205"/>
      <c r="N2210" s="204"/>
      <c r="O2210" s="204"/>
      <c r="P2210" s="206"/>
      <c r="Q2210" s="206"/>
      <c r="R2210" s="206"/>
      <c r="S2210" s="206"/>
      <c r="T2210" s="204"/>
      <c r="U2210" s="207"/>
      <c r="V2210" s="204"/>
      <c r="W2210" s="204"/>
      <c r="X2210" s="207"/>
      <c r="Y2210" s="207"/>
      <c r="Z2210" s="204"/>
      <c r="AA2210" s="204"/>
      <c r="AB2210" s="204"/>
      <c r="AC2210" s="204"/>
    </row>
    <row r="2211" spans="1:29">
      <c r="A2211" s="204"/>
      <c r="B2211" s="204"/>
      <c r="C2211" s="204"/>
      <c r="D2211" s="204"/>
      <c r="E2211" s="204"/>
      <c r="F2211" s="204"/>
      <c r="G2211" s="204"/>
      <c r="H2211" s="204"/>
      <c r="I2211" s="204"/>
      <c r="J2211" s="204"/>
      <c r="K2211" s="204"/>
      <c r="L2211" s="205"/>
      <c r="M2211" s="205"/>
      <c r="N2211" s="204"/>
      <c r="O2211" s="204"/>
      <c r="P2211" s="206"/>
      <c r="Q2211" s="206"/>
      <c r="R2211" s="206"/>
      <c r="S2211" s="206"/>
      <c r="T2211" s="204"/>
      <c r="U2211" s="207"/>
      <c r="V2211" s="204"/>
      <c r="W2211" s="204"/>
      <c r="X2211" s="207"/>
      <c r="Y2211" s="207"/>
      <c r="Z2211" s="204"/>
      <c r="AA2211" s="204"/>
      <c r="AB2211" s="204"/>
      <c r="AC2211" s="204"/>
    </row>
    <row r="2212" spans="1:29">
      <c r="A2212" s="204"/>
      <c r="B2212" s="204"/>
      <c r="C2212" s="204"/>
      <c r="D2212" s="204"/>
      <c r="E2212" s="204"/>
      <c r="F2212" s="204"/>
      <c r="G2212" s="204"/>
      <c r="H2212" s="204"/>
      <c r="I2212" s="204"/>
      <c r="J2212" s="204"/>
      <c r="K2212" s="204"/>
      <c r="L2212" s="205"/>
      <c r="M2212" s="205"/>
      <c r="N2212" s="204"/>
      <c r="O2212" s="204"/>
      <c r="P2212" s="206"/>
      <c r="Q2212" s="206"/>
      <c r="R2212" s="206"/>
      <c r="S2212" s="206"/>
      <c r="T2212" s="204"/>
      <c r="U2212" s="207"/>
      <c r="V2212" s="204"/>
      <c r="W2212" s="204"/>
      <c r="X2212" s="207"/>
      <c r="Y2212" s="207"/>
      <c r="Z2212" s="204"/>
      <c r="AA2212" s="204"/>
      <c r="AB2212" s="204"/>
      <c r="AC2212" s="204"/>
    </row>
    <row r="2213" spans="1:29">
      <c r="A2213" s="204"/>
      <c r="B2213" s="204"/>
      <c r="C2213" s="204"/>
      <c r="D2213" s="204"/>
      <c r="E2213" s="204"/>
      <c r="F2213" s="204"/>
      <c r="G2213" s="204"/>
      <c r="H2213" s="204"/>
      <c r="I2213" s="204"/>
      <c r="J2213" s="204"/>
      <c r="K2213" s="204"/>
      <c r="L2213" s="205"/>
      <c r="M2213" s="205"/>
      <c r="N2213" s="204"/>
      <c r="O2213" s="204"/>
      <c r="P2213" s="206"/>
      <c r="Q2213" s="206"/>
      <c r="R2213" s="206"/>
      <c r="S2213" s="206"/>
      <c r="T2213" s="204"/>
      <c r="U2213" s="207"/>
      <c r="V2213" s="204"/>
      <c r="W2213" s="204"/>
      <c r="X2213" s="207"/>
      <c r="Y2213" s="207"/>
      <c r="Z2213" s="204"/>
      <c r="AA2213" s="204"/>
      <c r="AB2213" s="204"/>
      <c r="AC2213" s="204"/>
    </row>
    <row r="2214" spans="1:29">
      <c r="A2214" s="204"/>
      <c r="B2214" s="204"/>
      <c r="C2214" s="204"/>
      <c r="D2214" s="204"/>
      <c r="E2214" s="204"/>
      <c r="F2214" s="204"/>
      <c r="G2214" s="204"/>
      <c r="H2214" s="204"/>
      <c r="I2214" s="204"/>
      <c r="J2214" s="204"/>
      <c r="K2214" s="204"/>
      <c r="L2214" s="205"/>
      <c r="M2214" s="205"/>
      <c r="N2214" s="204"/>
      <c r="O2214" s="204"/>
      <c r="P2214" s="206"/>
      <c r="Q2214" s="206"/>
      <c r="R2214" s="206"/>
      <c r="S2214" s="206"/>
      <c r="T2214" s="204"/>
      <c r="U2214" s="207"/>
      <c r="V2214" s="204"/>
      <c r="W2214" s="204"/>
      <c r="X2214" s="207"/>
      <c r="Y2214" s="207"/>
      <c r="Z2214" s="204"/>
      <c r="AA2214" s="204"/>
      <c r="AB2214" s="204"/>
      <c r="AC2214" s="204"/>
    </row>
    <row r="2215" spans="1:29">
      <c r="A2215" s="204"/>
      <c r="B2215" s="204"/>
      <c r="C2215" s="204"/>
      <c r="D2215" s="204"/>
      <c r="E2215" s="204"/>
      <c r="F2215" s="204"/>
      <c r="G2215" s="204"/>
      <c r="H2215" s="204"/>
      <c r="I2215" s="204"/>
      <c r="J2215" s="204"/>
      <c r="K2215" s="204"/>
      <c r="L2215" s="205"/>
      <c r="M2215" s="205"/>
      <c r="N2215" s="204"/>
      <c r="O2215" s="204"/>
      <c r="P2215" s="206"/>
      <c r="Q2215" s="206"/>
      <c r="R2215" s="206"/>
      <c r="S2215" s="206"/>
      <c r="T2215" s="204"/>
      <c r="U2215" s="207"/>
      <c r="V2215" s="204"/>
      <c r="W2215" s="204"/>
      <c r="X2215" s="207"/>
      <c r="Y2215" s="207"/>
      <c r="Z2215" s="204"/>
      <c r="AA2215" s="204"/>
      <c r="AB2215" s="204"/>
      <c r="AC2215" s="204"/>
    </row>
    <row r="2216" spans="1:29">
      <c r="A2216" s="204"/>
      <c r="B2216" s="204"/>
      <c r="C2216" s="204"/>
      <c r="D2216" s="204"/>
      <c r="E2216" s="204"/>
      <c r="F2216" s="204"/>
      <c r="G2216" s="204"/>
      <c r="H2216" s="204"/>
      <c r="I2216" s="204"/>
      <c r="J2216" s="204"/>
      <c r="K2216" s="204"/>
      <c r="L2216" s="205"/>
      <c r="M2216" s="205"/>
      <c r="N2216" s="204"/>
      <c r="O2216" s="204"/>
      <c r="P2216" s="206"/>
      <c r="Q2216" s="206"/>
      <c r="R2216" s="206"/>
      <c r="S2216" s="206"/>
      <c r="T2216" s="204"/>
      <c r="U2216" s="207"/>
      <c r="V2216" s="204"/>
      <c r="W2216" s="204"/>
      <c r="X2216" s="207"/>
      <c r="Y2216" s="207"/>
      <c r="Z2216" s="204"/>
      <c r="AA2216" s="204"/>
      <c r="AB2216" s="204"/>
      <c r="AC2216" s="204"/>
    </row>
    <row r="2217" spans="1:29">
      <c r="A2217" s="204"/>
      <c r="B2217" s="204"/>
      <c r="C2217" s="204"/>
      <c r="D2217" s="204"/>
      <c r="E2217" s="204"/>
      <c r="F2217" s="204"/>
      <c r="G2217" s="204"/>
      <c r="H2217" s="204"/>
      <c r="I2217" s="204"/>
      <c r="J2217" s="204"/>
      <c r="K2217" s="204"/>
      <c r="L2217" s="205"/>
      <c r="M2217" s="205"/>
      <c r="N2217" s="204"/>
      <c r="O2217" s="204"/>
      <c r="P2217" s="206"/>
      <c r="Q2217" s="206"/>
      <c r="R2217" s="206"/>
      <c r="S2217" s="206"/>
      <c r="T2217" s="204"/>
      <c r="U2217" s="207"/>
      <c r="V2217" s="204"/>
      <c r="W2217" s="204"/>
      <c r="X2217" s="207"/>
      <c r="Y2217" s="207"/>
      <c r="Z2217" s="204"/>
      <c r="AA2217" s="204"/>
      <c r="AB2217" s="204"/>
      <c r="AC2217" s="204"/>
    </row>
    <row r="2218" spans="1:29">
      <c r="A2218" s="204"/>
      <c r="B2218" s="204"/>
      <c r="C2218" s="204"/>
      <c r="D2218" s="204"/>
      <c r="E2218" s="204"/>
      <c r="F2218" s="204"/>
      <c r="G2218" s="204"/>
      <c r="H2218" s="204"/>
      <c r="I2218" s="204"/>
      <c r="J2218" s="204"/>
      <c r="K2218" s="204"/>
      <c r="L2218" s="205"/>
      <c r="M2218" s="205"/>
      <c r="N2218" s="204"/>
      <c r="O2218" s="204"/>
      <c r="P2218" s="206"/>
      <c r="Q2218" s="206"/>
      <c r="R2218" s="206"/>
      <c r="S2218" s="206"/>
      <c r="T2218" s="204"/>
      <c r="U2218" s="207"/>
      <c r="V2218" s="204"/>
      <c r="W2218" s="204"/>
      <c r="X2218" s="207"/>
      <c r="Y2218" s="207"/>
      <c r="Z2218" s="204"/>
      <c r="AA2218" s="204"/>
      <c r="AB2218" s="204"/>
      <c r="AC2218" s="204"/>
    </row>
    <row r="2219" spans="1:29">
      <c r="A2219" s="204"/>
      <c r="B2219" s="204"/>
      <c r="C2219" s="204"/>
      <c r="D2219" s="204"/>
      <c r="E2219" s="204"/>
      <c r="F2219" s="204"/>
      <c r="G2219" s="204"/>
      <c r="H2219" s="204"/>
      <c r="I2219" s="204"/>
      <c r="J2219" s="204"/>
      <c r="K2219" s="204"/>
      <c r="L2219" s="205"/>
      <c r="M2219" s="205"/>
      <c r="N2219" s="204"/>
      <c r="O2219" s="204"/>
      <c r="P2219" s="206"/>
      <c r="Q2219" s="206"/>
      <c r="R2219" s="206"/>
      <c r="S2219" s="206"/>
      <c r="T2219" s="204"/>
      <c r="U2219" s="207"/>
      <c r="V2219" s="204"/>
      <c r="W2219" s="204"/>
      <c r="X2219" s="207"/>
      <c r="Y2219" s="207"/>
      <c r="Z2219" s="204"/>
      <c r="AA2219" s="204"/>
      <c r="AB2219" s="204"/>
      <c r="AC2219" s="204"/>
    </row>
    <row r="2220" spans="1:29">
      <c r="A2220" s="204"/>
      <c r="B2220" s="204"/>
      <c r="C2220" s="204"/>
      <c r="D2220" s="204"/>
      <c r="E2220" s="204"/>
      <c r="F2220" s="204"/>
      <c r="G2220" s="204"/>
      <c r="H2220" s="204"/>
      <c r="I2220" s="204"/>
      <c r="J2220" s="204"/>
      <c r="K2220" s="204"/>
      <c r="L2220" s="205"/>
      <c r="M2220" s="205"/>
      <c r="N2220" s="204"/>
      <c r="O2220" s="204"/>
      <c r="P2220" s="206"/>
      <c r="Q2220" s="206"/>
      <c r="R2220" s="206"/>
      <c r="S2220" s="206"/>
      <c r="T2220" s="204"/>
      <c r="U2220" s="207"/>
      <c r="V2220" s="204"/>
      <c r="W2220" s="204"/>
      <c r="X2220" s="207"/>
      <c r="Y2220" s="207"/>
      <c r="Z2220" s="204"/>
      <c r="AA2220" s="204"/>
      <c r="AB2220" s="204"/>
      <c r="AC2220" s="204"/>
    </row>
    <row r="2221" spans="1:29">
      <c r="A2221" s="204"/>
      <c r="B2221" s="204"/>
      <c r="C2221" s="204"/>
      <c r="D2221" s="204"/>
      <c r="E2221" s="204"/>
      <c r="F2221" s="204"/>
      <c r="G2221" s="204"/>
      <c r="H2221" s="204"/>
      <c r="I2221" s="204"/>
      <c r="J2221" s="204"/>
      <c r="K2221" s="204"/>
      <c r="L2221" s="205"/>
      <c r="M2221" s="205"/>
      <c r="N2221" s="204"/>
      <c r="O2221" s="204"/>
      <c r="P2221" s="206"/>
      <c r="Q2221" s="206"/>
      <c r="R2221" s="206"/>
      <c r="S2221" s="206"/>
      <c r="T2221" s="204"/>
      <c r="U2221" s="207"/>
      <c r="V2221" s="204"/>
      <c r="W2221" s="204"/>
      <c r="X2221" s="207"/>
      <c r="Y2221" s="207"/>
      <c r="Z2221" s="204"/>
      <c r="AA2221" s="204"/>
      <c r="AB2221" s="204"/>
      <c r="AC2221" s="204"/>
    </row>
    <row r="2222" spans="1:29">
      <c r="A2222" s="204"/>
      <c r="B2222" s="204"/>
      <c r="C2222" s="204"/>
      <c r="D2222" s="204"/>
      <c r="E2222" s="204"/>
      <c r="F2222" s="204"/>
      <c r="G2222" s="204"/>
      <c r="H2222" s="204"/>
      <c r="I2222" s="204"/>
      <c r="J2222" s="204"/>
      <c r="K2222" s="204"/>
      <c r="L2222" s="205"/>
      <c r="M2222" s="205"/>
      <c r="N2222" s="204"/>
      <c r="O2222" s="204"/>
      <c r="P2222" s="206"/>
      <c r="Q2222" s="206"/>
      <c r="R2222" s="206"/>
      <c r="S2222" s="206"/>
      <c r="T2222" s="204"/>
      <c r="U2222" s="207"/>
      <c r="V2222" s="204"/>
      <c r="W2222" s="204"/>
      <c r="X2222" s="207"/>
      <c r="Y2222" s="207"/>
      <c r="Z2222" s="204"/>
      <c r="AA2222" s="204"/>
      <c r="AB2222" s="204"/>
      <c r="AC2222" s="204"/>
    </row>
    <row r="2223" spans="1:29">
      <c r="A2223" s="204"/>
      <c r="B2223" s="204"/>
      <c r="C2223" s="204"/>
      <c r="D2223" s="204"/>
      <c r="E2223" s="204"/>
      <c r="F2223" s="204"/>
      <c r="G2223" s="204"/>
      <c r="H2223" s="204"/>
      <c r="I2223" s="204"/>
      <c r="J2223" s="204"/>
      <c r="K2223" s="204"/>
      <c r="L2223" s="205"/>
      <c r="M2223" s="205"/>
      <c r="N2223" s="204"/>
      <c r="O2223" s="204"/>
      <c r="P2223" s="206"/>
      <c r="Q2223" s="206"/>
      <c r="R2223" s="206"/>
      <c r="S2223" s="206"/>
      <c r="T2223" s="204"/>
      <c r="U2223" s="207"/>
      <c r="V2223" s="204"/>
      <c r="W2223" s="204"/>
      <c r="X2223" s="207"/>
      <c r="Y2223" s="207"/>
      <c r="Z2223" s="204"/>
      <c r="AA2223" s="204"/>
      <c r="AB2223" s="204"/>
      <c r="AC2223" s="204"/>
    </row>
    <row r="2224" spans="1:29">
      <c r="A2224" s="204"/>
      <c r="B2224" s="204"/>
      <c r="C2224" s="204"/>
      <c r="D2224" s="204"/>
      <c r="E2224" s="204"/>
      <c r="F2224" s="204"/>
      <c r="G2224" s="204"/>
      <c r="H2224" s="204"/>
      <c r="I2224" s="204"/>
      <c r="J2224" s="204"/>
      <c r="K2224" s="204"/>
      <c r="L2224" s="205"/>
      <c r="M2224" s="205"/>
      <c r="N2224" s="204"/>
      <c r="O2224" s="204"/>
      <c r="P2224" s="206"/>
      <c r="Q2224" s="206"/>
      <c r="R2224" s="206"/>
      <c r="S2224" s="206"/>
      <c r="T2224" s="204"/>
      <c r="U2224" s="207"/>
      <c r="V2224" s="204"/>
      <c r="W2224" s="204"/>
      <c r="X2224" s="207"/>
      <c r="Y2224" s="207"/>
      <c r="Z2224" s="204"/>
      <c r="AA2224" s="204"/>
      <c r="AB2224" s="204"/>
      <c r="AC2224" s="204"/>
    </row>
    <row r="2225" spans="1:29">
      <c r="A2225" s="204"/>
      <c r="B2225" s="204"/>
      <c r="C2225" s="204"/>
      <c r="D2225" s="204"/>
      <c r="E2225" s="204"/>
      <c r="F2225" s="204"/>
      <c r="G2225" s="204"/>
      <c r="H2225" s="204"/>
      <c r="I2225" s="204"/>
      <c r="J2225" s="204"/>
      <c r="K2225" s="204"/>
      <c r="L2225" s="205"/>
      <c r="M2225" s="205"/>
      <c r="N2225" s="204"/>
      <c r="O2225" s="204"/>
      <c r="P2225" s="206"/>
      <c r="Q2225" s="206"/>
      <c r="R2225" s="206"/>
      <c r="S2225" s="206"/>
      <c r="T2225" s="204"/>
      <c r="U2225" s="207"/>
      <c r="V2225" s="204"/>
      <c r="W2225" s="204"/>
      <c r="X2225" s="207"/>
      <c r="Y2225" s="207"/>
      <c r="Z2225" s="204"/>
      <c r="AA2225" s="204"/>
      <c r="AB2225" s="204"/>
      <c r="AC2225" s="204"/>
    </row>
    <row r="2226" spans="1:29">
      <c r="A2226" s="204"/>
      <c r="B2226" s="204"/>
      <c r="C2226" s="204"/>
      <c r="D2226" s="204"/>
      <c r="E2226" s="204"/>
      <c r="F2226" s="204"/>
      <c r="G2226" s="204"/>
      <c r="H2226" s="204"/>
      <c r="I2226" s="204"/>
      <c r="J2226" s="204"/>
      <c r="K2226" s="204"/>
      <c r="L2226" s="205"/>
      <c r="M2226" s="205"/>
      <c r="N2226" s="204"/>
      <c r="O2226" s="204"/>
      <c r="P2226" s="206"/>
      <c r="Q2226" s="206"/>
      <c r="R2226" s="206"/>
      <c r="S2226" s="206"/>
      <c r="T2226" s="204"/>
      <c r="U2226" s="207"/>
      <c r="V2226" s="204"/>
      <c r="W2226" s="204"/>
      <c r="X2226" s="207"/>
      <c r="Y2226" s="207"/>
      <c r="Z2226" s="204"/>
      <c r="AA2226" s="204"/>
      <c r="AB2226" s="204"/>
      <c r="AC2226" s="204"/>
    </row>
    <row r="2227" spans="1:29">
      <c r="A2227" s="204"/>
      <c r="B2227" s="204"/>
      <c r="C2227" s="204"/>
      <c r="D2227" s="204"/>
      <c r="E2227" s="204"/>
      <c r="F2227" s="204"/>
      <c r="G2227" s="204"/>
      <c r="H2227" s="204"/>
      <c r="I2227" s="204"/>
      <c r="J2227" s="204"/>
      <c r="K2227" s="204"/>
      <c r="L2227" s="205"/>
      <c r="M2227" s="205"/>
      <c r="N2227" s="204"/>
      <c r="O2227" s="204"/>
      <c r="P2227" s="206"/>
      <c r="Q2227" s="206"/>
      <c r="R2227" s="206"/>
      <c r="S2227" s="206"/>
      <c r="T2227" s="204"/>
      <c r="U2227" s="207"/>
      <c r="V2227" s="204"/>
      <c r="W2227" s="204"/>
      <c r="X2227" s="207"/>
      <c r="Y2227" s="207"/>
      <c r="Z2227" s="204"/>
      <c r="AA2227" s="204"/>
      <c r="AB2227" s="204"/>
      <c r="AC2227" s="204"/>
    </row>
    <row r="2228" spans="1:29">
      <c r="A2228" s="204"/>
      <c r="B2228" s="204"/>
      <c r="C2228" s="204"/>
      <c r="D2228" s="204"/>
      <c r="E2228" s="204"/>
      <c r="F2228" s="204"/>
      <c r="G2228" s="204"/>
      <c r="H2228" s="204"/>
      <c r="I2228" s="204"/>
      <c r="J2228" s="204"/>
      <c r="K2228" s="204"/>
      <c r="L2228" s="205"/>
      <c r="M2228" s="205"/>
      <c r="N2228" s="204"/>
      <c r="O2228" s="204"/>
      <c r="P2228" s="206"/>
      <c r="Q2228" s="206"/>
      <c r="R2228" s="206"/>
      <c r="S2228" s="206"/>
      <c r="T2228" s="204"/>
      <c r="U2228" s="207"/>
      <c r="V2228" s="204"/>
      <c r="W2228" s="204"/>
      <c r="X2228" s="207"/>
      <c r="Y2228" s="207"/>
      <c r="Z2228" s="204"/>
      <c r="AA2228" s="204"/>
      <c r="AB2228" s="204"/>
      <c r="AC2228" s="204"/>
    </row>
    <row r="2229" spans="1:29">
      <c r="A2229" s="204"/>
      <c r="B2229" s="204"/>
      <c r="C2229" s="204"/>
      <c r="D2229" s="204"/>
      <c r="E2229" s="204"/>
      <c r="F2229" s="204"/>
      <c r="G2229" s="204"/>
      <c r="H2229" s="204"/>
      <c r="I2229" s="204"/>
      <c r="J2229" s="204"/>
      <c r="K2229" s="204"/>
      <c r="L2229" s="205"/>
      <c r="M2229" s="205"/>
      <c r="N2229" s="204"/>
      <c r="O2229" s="204"/>
      <c r="P2229" s="206"/>
      <c r="Q2229" s="206"/>
      <c r="R2229" s="206"/>
      <c r="S2229" s="206"/>
      <c r="T2229" s="204"/>
      <c r="U2229" s="207"/>
      <c r="V2229" s="204"/>
      <c r="W2229" s="204"/>
      <c r="X2229" s="207"/>
      <c r="Y2229" s="207"/>
      <c r="Z2229" s="204"/>
      <c r="AA2229" s="204"/>
      <c r="AB2229" s="204"/>
      <c r="AC2229" s="204"/>
    </row>
    <row r="2230" spans="1:29">
      <c r="A2230" s="204"/>
      <c r="B2230" s="204"/>
      <c r="C2230" s="204"/>
      <c r="D2230" s="204"/>
      <c r="E2230" s="204"/>
      <c r="F2230" s="204"/>
      <c r="G2230" s="204"/>
      <c r="H2230" s="204"/>
      <c r="I2230" s="204"/>
      <c r="J2230" s="204"/>
      <c r="K2230" s="204"/>
      <c r="L2230" s="205"/>
      <c r="M2230" s="205"/>
      <c r="N2230" s="204"/>
      <c r="O2230" s="204"/>
      <c r="P2230" s="206"/>
      <c r="Q2230" s="206"/>
      <c r="R2230" s="206"/>
      <c r="S2230" s="206"/>
      <c r="T2230" s="204"/>
      <c r="U2230" s="207"/>
      <c r="V2230" s="204"/>
      <c r="W2230" s="204"/>
      <c r="X2230" s="207"/>
      <c r="Y2230" s="207"/>
      <c r="Z2230" s="204"/>
      <c r="AA2230" s="204"/>
      <c r="AB2230" s="204"/>
      <c r="AC2230" s="204"/>
    </row>
    <row r="2231" spans="1:29">
      <c r="A2231" s="204"/>
      <c r="B2231" s="204"/>
      <c r="C2231" s="204"/>
      <c r="D2231" s="204"/>
      <c r="E2231" s="204"/>
      <c r="F2231" s="204"/>
      <c r="G2231" s="204"/>
      <c r="H2231" s="204"/>
      <c r="I2231" s="204"/>
      <c r="J2231" s="204"/>
      <c r="K2231" s="204"/>
      <c r="L2231" s="205"/>
      <c r="M2231" s="205"/>
      <c r="N2231" s="204"/>
      <c r="O2231" s="204"/>
      <c r="P2231" s="206"/>
      <c r="Q2231" s="206"/>
      <c r="R2231" s="206"/>
      <c r="S2231" s="206"/>
      <c r="T2231" s="204"/>
      <c r="U2231" s="207"/>
      <c r="V2231" s="204"/>
      <c r="W2231" s="204"/>
      <c r="X2231" s="207"/>
      <c r="Y2231" s="207"/>
      <c r="Z2231" s="204"/>
      <c r="AA2231" s="204"/>
      <c r="AB2231" s="204"/>
      <c r="AC2231" s="204"/>
    </row>
    <row r="2232" spans="1:29">
      <c r="A2232" s="204"/>
      <c r="B2232" s="204"/>
      <c r="C2232" s="204"/>
      <c r="D2232" s="204"/>
      <c r="E2232" s="204"/>
      <c r="F2232" s="204"/>
      <c r="G2232" s="204"/>
      <c r="H2232" s="204"/>
      <c r="I2232" s="204"/>
      <c r="J2232" s="204"/>
      <c r="K2232" s="204"/>
      <c r="L2232" s="205"/>
      <c r="M2232" s="205"/>
      <c r="N2232" s="204"/>
      <c r="O2232" s="204"/>
      <c r="P2232" s="206"/>
      <c r="Q2232" s="206"/>
      <c r="R2232" s="206"/>
      <c r="S2232" s="206"/>
      <c r="T2232" s="204"/>
      <c r="U2232" s="207"/>
      <c r="V2232" s="204"/>
      <c r="W2232" s="204"/>
      <c r="X2232" s="207"/>
      <c r="Y2232" s="207"/>
      <c r="Z2232" s="204"/>
      <c r="AA2232" s="204"/>
      <c r="AB2232" s="204"/>
      <c r="AC2232" s="204"/>
    </row>
    <row r="2233" spans="1:29">
      <c r="A2233" s="204"/>
      <c r="B2233" s="204"/>
      <c r="C2233" s="204"/>
      <c r="D2233" s="204"/>
      <c r="E2233" s="204"/>
      <c r="F2233" s="204"/>
      <c r="G2233" s="204"/>
      <c r="H2233" s="204"/>
      <c r="I2233" s="204"/>
      <c r="J2233" s="204"/>
      <c r="K2233" s="204"/>
      <c r="L2233" s="205"/>
      <c r="M2233" s="205"/>
      <c r="N2233" s="204"/>
      <c r="O2233" s="204"/>
      <c r="P2233" s="206"/>
      <c r="Q2233" s="206"/>
      <c r="R2233" s="206"/>
      <c r="S2233" s="206"/>
      <c r="T2233" s="204"/>
      <c r="U2233" s="207"/>
      <c r="V2233" s="204"/>
      <c r="W2233" s="204"/>
      <c r="X2233" s="207"/>
      <c r="Y2233" s="207"/>
      <c r="Z2233" s="204"/>
      <c r="AA2233" s="204"/>
      <c r="AB2233" s="204"/>
      <c r="AC2233" s="204"/>
    </row>
    <row r="2234" spans="1:29">
      <c r="A2234" s="204"/>
      <c r="B2234" s="204"/>
      <c r="C2234" s="204"/>
      <c r="D2234" s="204"/>
      <c r="E2234" s="204"/>
      <c r="F2234" s="204"/>
      <c r="G2234" s="204"/>
      <c r="H2234" s="204"/>
      <c r="I2234" s="204"/>
      <c r="J2234" s="204"/>
      <c r="K2234" s="204"/>
      <c r="L2234" s="205"/>
      <c r="M2234" s="205"/>
      <c r="N2234" s="204"/>
      <c r="O2234" s="204"/>
      <c r="P2234" s="206"/>
      <c r="Q2234" s="206"/>
      <c r="R2234" s="206"/>
      <c r="S2234" s="206"/>
      <c r="T2234" s="204"/>
      <c r="U2234" s="207"/>
      <c r="V2234" s="204"/>
      <c r="W2234" s="204"/>
      <c r="X2234" s="207"/>
      <c r="Y2234" s="207"/>
      <c r="Z2234" s="204"/>
      <c r="AA2234" s="204"/>
      <c r="AB2234" s="204"/>
      <c r="AC2234" s="204"/>
    </row>
    <row r="2235" spans="1:29">
      <c r="A2235" s="204"/>
      <c r="B2235" s="204"/>
      <c r="C2235" s="204"/>
      <c r="D2235" s="204"/>
      <c r="E2235" s="204"/>
      <c r="F2235" s="204"/>
      <c r="G2235" s="204"/>
      <c r="H2235" s="204"/>
      <c r="I2235" s="204"/>
      <c r="J2235" s="204"/>
      <c r="K2235" s="204"/>
      <c r="L2235" s="205"/>
      <c r="M2235" s="205"/>
      <c r="N2235" s="204"/>
      <c r="O2235" s="204"/>
      <c r="P2235" s="206"/>
      <c r="Q2235" s="206"/>
      <c r="R2235" s="206"/>
      <c r="S2235" s="206"/>
      <c r="T2235" s="204"/>
      <c r="U2235" s="207"/>
      <c r="V2235" s="204"/>
      <c r="W2235" s="204"/>
      <c r="X2235" s="207"/>
      <c r="Y2235" s="207"/>
      <c r="Z2235" s="204"/>
      <c r="AA2235" s="204"/>
      <c r="AB2235" s="204"/>
      <c r="AC2235" s="204"/>
    </row>
    <row r="2236" spans="1:29">
      <c r="A2236" s="204"/>
      <c r="B2236" s="204"/>
      <c r="C2236" s="204"/>
      <c r="D2236" s="204"/>
      <c r="E2236" s="204"/>
      <c r="F2236" s="204"/>
      <c r="G2236" s="204"/>
      <c r="H2236" s="204"/>
      <c r="I2236" s="204"/>
      <c r="J2236" s="204"/>
      <c r="K2236" s="204"/>
      <c r="L2236" s="205"/>
      <c r="M2236" s="205"/>
      <c r="N2236" s="204"/>
      <c r="O2236" s="204"/>
      <c r="P2236" s="206"/>
      <c r="Q2236" s="206"/>
      <c r="R2236" s="206"/>
      <c r="S2236" s="206"/>
      <c r="T2236" s="204"/>
      <c r="U2236" s="207"/>
      <c r="V2236" s="204"/>
      <c r="W2236" s="204"/>
      <c r="X2236" s="207"/>
      <c r="Y2236" s="207"/>
      <c r="Z2236" s="204"/>
      <c r="AA2236" s="204"/>
      <c r="AB2236" s="204"/>
      <c r="AC2236" s="204"/>
    </row>
    <row r="2237" spans="1:29">
      <c r="A2237" s="204"/>
      <c r="B2237" s="204"/>
      <c r="C2237" s="204"/>
      <c r="D2237" s="204"/>
      <c r="E2237" s="204"/>
      <c r="F2237" s="204"/>
      <c r="G2237" s="204"/>
      <c r="H2237" s="204"/>
      <c r="I2237" s="204"/>
      <c r="J2237" s="204"/>
      <c r="K2237" s="204"/>
      <c r="L2237" s="205"/>
      <c r="M2237" s="205"/>
      <c r="N2237" s="204"/>
      <c r="O2237" s="204"/>
      <c r="P2237" s="206"/>
      <c r="Q2237" s="206"/>
      <c r="R2237" s="206"/>
      <c r="S2237" s="206"/>
      <c r="T2237" s="204"/>
      <c r="U2237" s="207"/>
      <c r="V2237" s="204"/>
      <c r="W2237" s="204"/>
      <c r="X2237" s="207"/>
      <c r="Y2237" s="207"/>
      <c r="Z2237" s="204"/>
      <c r="AA2237" s="204"/>
      <c r="AB2237" s="204"/>
      <c r="AC2237" s="204"/>
    </row>
    <row r="2238" spans="1:29">
      <c r="A2238" s="204"/>
      <c r="B2238" s="204"/>
      <c r="C2238" s="204"/>
      <c r="D2238" s="204"/>
      <c r="E2238" s="204"/>
      <c r="F2238" s="204"/>
      <c r="G2238" s="204"/>
      <c r="H2238" s="204"/>
      <c r="I2238" s="204"/>
      <c r="J2238" s="204"/>
      <c r="K2238" s="204"/>
      <c r="L2238" s="205"/>
      <c r="M2238" s="205"/>
      <c r="N2238" s="204"/>
      <c r="O2238" s="204"/>
      <c r="P2238" s="206"/>
      <c r="Q2238" s="206"/>
      <c r="R2238" s="206"/>
      <c r="S2238" s="206"/>
      <c r="T2238" s="204"/>
      <c r="U2238" s="207"/>
      <c r="V2238" s="204"/>
      <c r="W2238" s="204"/>
      <c r="X2238" s="207"/>
      <c r="Y2238" s="207"/>
      <c r="Z2238" s="204"/>
      <c r="AA2238" s="204"/>
      <c r="AB2238" s="204"/>
      <c r="AC2238" s="204"/>
    </row>
    <row r="2239" spans="1:29">
      <c r="A2239" s="204"/>
      <c r="B2239" s="204"/>
      <c r="C2239" s="204"/>
      <c r="D2239" s="204"/>
      <c r="E2239" s="204"/>
      <c r="F2239" s="204"/>
      <c r="G2239" s="204"/>
      <c r="H2239" s="204"/>
      <c r="I2239" s="204"/>
      <c r="J2239" s="204"/>
      <c r="K2239" s="204"/>
      <c r="L2239" s="205"/>
      <c r="M2239" s="205"/>
      <c r="N2239" s="204"/>
      <c r="O2239" s="204"/>
      <c r="P2239" s="206"/>
      <c r="Q2239" s="206"/>
      <c r="R2239" s="206"/>
      <c r="S2239" s="206"/>
      <c r="T2239" s="204"/>
      <c r="U2239" s="207"/>
      <c r="V2239" s="204"/>
      <c r="W2239" s="204"/>
      <c r="X2239" s="207"/>
      <c r="Y2239" s="207"/>
      <c r="Z2239" s="204"/>
      <c r="AA2239" s="204"/>
      <c r="AB2239" s="204"/>
      <c r="AC2239" s="204"/>
    </row>
    <row r="2240" spans="1:29">
      <c r="A2240" s="204"/>
      <c r="B2240" s="204"/>
      <c r="C2240" s="204"/>
      <c r="D2240" s="204"/>
      <c r="E2240" s="204"/>
      <c r="F2240" s="204"/>
      <c r="G2240" s="204"/>
      <c r="H2240" s="204"/>
      <c r="I2240" s="204"/>
      <c r="J2240" s="204"/>
      <c r="K2240" s="204"/>
      <c r="L2240" s="205"/>
      <c r="M2240" s="205"/>
      <c r="N2240" s="204"/>
      <c r="O2240" s="204"/>
      <c r="P2240" s="206"/>
      <c r="Q2240" s="206"/>
      <c r="R2240" s="206"/>
      <c r="S2240" s="206"/>
      <c r="T2240" s="204"/>
      <c r="U2240" s="207"/>
      <c r="V2240" s="204"/>
      <c r="W2240" s="204"/>
      <c r="X2240" s="207"/>
      <c r="Y2240" s="207"/>
      <c r="Z2240" s="204"/>
      <c r="AA2240" s="204"/>
      <c r="AB2240" s="204"/>
      <c r="AC2240" s="204"/>
    </row>
    <row r="2241" spans="1:29">
      <c r="A2241" s="204"/>
      <c r="B2241" s="204"/>
      <c r="C2241" s="204"/>
      <c r="D2241" s="204"/>
      <c r="E2241" s="204"/>
      <c r="F2241" s="204"/>
      <c r="G2241" s="204"/>
      <c r="H2241" s="204"/>
      <c r="I2241" s="204"/>
      <c r="J2241" s="204"/>
      <c r="K2241" s="204"/>
      <c r="L2241" s="205"/>
      <c r="M2241" s="205"/>
      <c r="N2241" s="204"/>
      <c r="O2241" s="204"/>
      <c r="P2241" s="206"/>
      <c r="Q2241" s="206"/>
      <c r="R2241" s="206"/>
      <c r="S2241" s="206"/>
      <c r="T2241" s="204"/>
      <c r="U2241" s="207"/>
      <c r="V2241" s="204"/>
      <c r="W2241" s="204"/>
      <c r="X2241" s="207"/>
      <c r="Y2241" s="207"/>
      <c r="Z2241" s="204"/>
      <c r="AA2241" s="204"/>
      <c r="AB2241" s="204"/>
      <c r="AC2241" s="204"/>
    </row>
    <row r="2242" spans="1:29">
      <c r="A2242" s="204"/>
      <c r="B2242" s="204"/>
      <c r="C2242" s="204"/>
      <c r="D2242" s="204"/>
      <c r="E2242" s="204"/>
      <c r="F2242" s="204"/>
      <c r="G2242" s="204"/>
      <c r="H2242" s="204"/>
      <c r="I2242" s="204"/>
      <c r="J2242" s="204"/>
      <c r="K2242" s="204"/>
      <c r="L2242" s="205"/>
      <c r="M2242" s="205"/>
      <c r="N2242" s="204"/>
      <c r="O2242" s="204"/>
      <c r="P2242" s="206"/>
      <c r="Q2242" s="206"/>
      <c r="R2242" s="206"/>
      <c r="S2242" s="206"/>
      <c r="T2242" s="204"/>
      <c r="U2242" s="207"/>
      <c r="V2242" s="204"/>
      <c r="W2242" s="204"/>
      <c r="X2242" s="207"/>
      <c r="Y2242" s="207"/>
      <c r="Z2242" s="204"/>
      <c r="AA2242" s="204"/>
      <c r="AB2242" s="204"/>
      <c r="AC2242" s="204"/>
    </row>
    <row r="2243" spans="1:29">
      <c r="A2243" s="204"/>
      <c r="B2243" s="204"/>
      <c r="C2243" s="204"/>
      <c r="D2243" s="204"/>
      <c r="E2243" s="204"/>
      <c r="F2243" s="204"/>
      <c r="G2243" s="204"/>
      <c r="H2243" s="204"/>
      <c r="I2243" s="204"/>
      <c r="J2243" s="204"/>
      <c r="K2243" s="204"/>
      <c r="L2243" s="205"/>
      <c r="M2243" s="205"/>
      <c r="N2243" s="204"/>
      <c r="O2243" s="204"/>
      <c r="P2243" s="206"/>
      <c r="Q2243" s="206"/>
      <c r="R2243" s="206"/>
      <c r="S2243" s="206"/>
      <c r="T2243" s="204"/>
      <c r="U2243" s="207"/>
      <c r="V2243" s="204"/>
      <c r="W2243" s="204"/>
      <c r="X2243" s="207"/>
      <c r="Y2243" s="207"/>
      <c r="Z2243" s="204"/>
      <c r="AA2243" s="204"/>
      <c r="AB2243" s="204"/>
      <c r="AC2243" s="204"/>
    </row>
    <row r="2244" spans="1:29">
      <c r="A2244" s="204"/>
      <c r="B2244" s="204"/>
      <c r="C2244" s="204"/>
      <c r="D2244" s="204"/>
      <c r="E2244" s="204"/>
      <c r="F2244" s="204"/>
      <c r="G2244" s="204"/>
      <c r="H2244" s="204"/>
      <c r="I2244" s="204"/>
      <c r="J2244" s="204"/>
      <c r="K2244" s="204"/>
      <c r="L2244" s="205"/>
      <c r="M2244" s="205"/>
      <c r="N2244" s="204"/>
      <c r="O2244" s="204"/>
      <c r="P2244" s="206"/>
      <c r="Q2244" s="206"/>
      <c r="R2244" s="206"/>
      <c r="S2244" s="206"/>
      <c r="T2244" s="204"/>
      <c r="U2244" s="207"/>
      <c r="V2244" s="204"/>
      <c r="W2244" s="204"/>
      <c r="X2244" s="207"/>
      <c r="Y2244" s="207"/>
      <c r="Z2244" s="204"/>
      <c r="AA2244" s="204"/>
      <c r="AB2244" s="204"/>
      <c r="AC2244" s="204"/>
    </row>
    <row r="2245" spans="1:29">
      <c r="A2245" s="204"/>
      <c r="B2245" s="204"/>
      <c r="C2245" s="204"/>
      <c r="D2245" s="204"/>
      <c r="E2245" s="204"/>
      <c r="F2245" s="204"/>
      <c r="G2245" s="204"/>
      <c r="H2245" s="204"/>
      <c r="I2245" s="204"/>
      <c r="J2245" s="204"/>
      <c r="K2245" s="204"/>
      <c r="L2245" s="205"/>
      <c r="M2245" s="205"/>
      <c r="N2245" s="204"/>
      <c r="O2245" s="204"/>
      <c r="P2245" s="206"/>
      <c r="Q2245" s="206"/>
      <c r="R2245" s="206"/>
      <c r="S2245" s="206"/>
      <c r="T2245" s="204"/>
      <c r="U2245" s="207"/>
      <c r="V2245" s="204"/>
      <c r="W2245" s="204"/>
      <c r="X2245" s="207"/>
      <c r="Y2245" s="207"/>
      <c r="Z2245" s="204"/>
      <c r="AA2245" s="204"/>
      <c r="AB2245" s="204"/>
      <c r="AC2245" s="204"/>
    </row>
    <row r="2246" spans="1:29">
      <c r="A2246" s="204"/>
      <c r="B2246" s="204"/>
      <c r="C2246" s="204"/>
      <c r="D2246" s="204"/>
      <c r="E2246" s="204"/>
      <c r="F2246" s="204"/>
      <c r="G2246" s="204"/>
      <c r="H2246" s="204"/>
      <c r="I2246" s="204"/>
      <c r="J2246" s="204"/>
      <c r="K2246" s="204"/>
      <c r="L2246" s="205"/>
      <c r="M2246" s="205"/>
      <c r="N2246" s="204"/>
      <c r="O2246" s="204"/>
      <c r="P2246" s="206"/>
      <c r="Q2246" s="206"/>
      <c r="R2246" s="206"/>
      <c r="S2246" s="206"/>
      <c r="T2246" s="204"/>
      <c r="U2246" s="207"/>
      <c r="V2246" s="204"/>
      <c r="W2246" s="204"/>
      <c r="X2246" s="207"/>
      <c r="Y2246" s="207"/>
      <c r="Z2246" s="204"/>
      <c r="AA2246" s="204"/>
      <c r="AB2246" s="204"/>
      <c r="AC2246" s="204"/>
    </row>
    <row r="2247" spans="1:29">
      <c r="A2247" s="204"/>
      <c r="B2247" s="204"/>
      <c r="C2247" s="204"/>
      <c r="D2247" s="204"/>
      <c r="E2247" s="204"/>
      <c r="F2247" s="204"/>
      <c r="G2247" s="204"/>
      <c r="H2247" s="204"/>
      <c r="I2247" s="204"/>
      <c r="J2247" s="204"/>
      <c r="K2247" s="204"/>
      <c r="L2247" s="205"/>
      <c r="M2247" s="205"/>
      <c r="N2247" s="204"/>
      <c r="O2247" s="204"/>
      <c r="P2247" s="206"/>
      <c r="Q2247" s="206"/>
      <c r="R2247" s="206"/>
      <c r="S2247" s="206"/>
      <c r="T2247" s="204"/>
      <c r="U2247" s="207"/>
      <c r="V2247" s="204"/>
      <c r="W2247" s="204"/>
      <c r="X2247" s="207"/>
      <c r="Y2247" s="207"/>
      <c r="Z2247" s="204"/>
      <c r="AA2247" s="204"/>
      <c r="AB2247" s="204"/>
      <c r="AC2247" s="204"/>
    </row>
    <row r="2248" spans="1:29">
      <c r="A2248" s="204"/>
      <c r="B2248" s="204"/>
      <c r="C2248" s="204"/>
      <c r="D2248" s="204"/>
      <c r="E2248" s="204"/>
      <c r="F2248" s="204"/>
      <c r="G2248" s="204"/>
      <c r="H2248" s="204"/>
      <c r="I2248" s="204"/>
      <c r="J2248" s="204"/>
      <c r="K2248" s="204"/>
      <c r="L2248" s="205"/>
      <c r="M2248" s="205"/>
      <c r="N2248" s="204"/>
      <c r="O2248" s="204"/>
      <c r="P2248" s="206"/>
      <c r="Q2248" s="206"/>
      <c r="R2248" s="206"/>
      <c r="S2248" s="206"/>
      <c r="T2248" s="204"/>
      <c r="U2248" s="207"/>
      <c r="V2248" s="204"/>
      <c r="W2248" s="204"/>
      <c r="X2248" s="207"/>
      <c r="Y2248" s="207"/>
      <c r="Z2248" s="204"/>
      <c r="AA2248" s="204"/>
      <c r="AB2248" s="204"/>
      <c r="AC2248" s="204"/>
    </row>
    <row r="2249" spans="1:29">
      <c r="A2249" s="204"/>
      <c r="B2249" s="204"/>
      <c r="C2249" s="204"/>
      <c r="D2249" s="204"/>
      <c r="E2249" s="204"/>
      <c r="F2249" s="204"/>
      <c r="G2249" s="204"/>
      <c r="H2249" s="204"/>
      <c r="I2249" s="204"/>
      <c r="J2249" s="204"/>
      <c r="K2249" s="204"/>
      <c r="L2249" s="205"/>
      <c r="M2249" s="205"/>
      <c r="N2249" s="204"/>
      <c r="O2249" s="204"/>
      <c r="P2249" s="206"/>
      <c r="Q2249" s="206"/>
      <c r="R2249" s="206"/>
      <c r="S2249" s="206"/>
      <c r="T2249" s="204"/>
      <c r="U2249" s="207"/>
      <c r="V2249" s="204"/>
      <c r="W2249" s="204"/>
      <c r="X2249" s="207"/>
      <c r="Y2249" s="207"/>
      <c r="Z2249" s="204"/>
      <c r="AA2249" s="204"/>
      <c r="AB2249" s="204"/>
      <c r="AC2249" s="204"/>
    </row>
    <row r="2250" spans="1:29">
      <c r="A2250" s="204"/>
      <c r="B2250" s="204"/>
      <c r="C2250" s="204"/>
      <c r="D2250" s="204"/>
      <c r="E2250" s="204"/>
      <c r="F2250" s="204"/>
      <c r="G2250" s="204"/>
      <c r="H2250" s="204"/>
      <c r="I2250" s="204"/>
      <c r="J2250" s="204"/>
      <c r="K2250" s="204"/>
      <c r="L2250" s="205"/>
      <c r="M2250" s="205"/>
      <c r="N2250" s="204"/>
      <c r="O2250" s="204"/>
      <c r="P2250" s="206"/>
      <c r="Q2250" s="206"/>
      <c r="R2250" s="206"/>
      <c r="S2250" s="206"/>
      <c r="T2250" s="204"/>
      <c r="U2250" s="207"/>
      <c r="V2250" s="204"/>
      <c r="W2250" s="204"/>
      <c r="X2250" s="207"/>
      <c r="Y2250" s="207"/>
      <c r="Z2250" s="204"/>
      <c r="AA2250" s="204"/>
      <c r="AB2250" s="204"/>
      <c r="AC2250" s="204"/>
    </row>
    <row r="2251" spans="1:29">
      <c r="A2251" s="204"/>
      <c r="B2251" s="204"/>
      <c r="C2251" s="204"/>
      <c r="D2251" s="204"/>
      <c r="E2251" s="204"/>
      <c r="F2251" s="204"/>
      <c r="G2251" s="204"/>
      <c r="H2251" s="204"/>
      <c r="I2251" s="204"/>
      <c r="J2251" s="204"/>
      <c r="K2251" s="204"/>
      <c r="L2251" s="205"/>
      <c r="M2251" s="205"/>
      <c r="N2251" s="204"/>
      <c r="O2251" s="204"/>
      <c r="P2251" s="206"/>
      <c r="Q2251" s="206"/>
      <c r="R2251" s="206"/>
      <c r="S2251" s="206"/>
      <c r="T2251" s="204"/>
      <c r="U2251" s="207"/>
      <c r="V2251" s="204"/>
      <c r="W2251" s="204"/>
      <c r="X2251" s="207"/>
      <c r="Y2251" s="207"/>
      <c r="Z2251" s="204"/>
      <c r="AA2251" s="204"/>
      <c r="AB2251" s="204"/>
      <c r="AC2251" s="204"/>
    </row>
    <row r="2252" spans="1:29">
      <c r="A2252" s="204"/>
      <c r="B2252" s="204"/>
      <c r="C2252" s="204"/>
      <c r="D2252" s="204"/>
      <c r="E2252" s="204"/>
      <c r="F2252" s="204"/>
      <c r="G2252" s="204"/>
      <c r="H2252" s="204"/>
      <c r="I2252" s="204"/>
      <c r="J2252" s="204"/>
      <c r="K2252" s="204"/>
      <c r="L2252" s="205"/>
      <c r="M2252" s="205"/>
      <c r="N2252" s="204"/>
      <c r="O2252" s="204"/>
      <c r="P2252" s="206"/>
      <c r="Q2252" s="206"/>
      <c r="R2252" s="206"/>
      <c r="S2252" s="206"/>
      <c r="T2252" s="204"/>
      <c r="U2252" s="207"/>
      <c r="V2252" s="204"/>
      <c r="W2252" s="204"/>
      <c r="X2252" s="207"/>
      <c r="Y2252" s="207"/>
      <c r="Z2252" s="204"/>
      <c r="AA2252" s="204"/>
      <c r="AB2252" s="204"/>
      <c r="AC2252" s="204"/>
    </row>
    <row r="2253" spans="1:29">
      <c r="A2253" s="204"/>
      <c r="B2253" s="204"/>
      <c r="C2253" s="204"/>
      <c r="D2253" s="204"/>
      <c r="E2253" s="204"/>
      <c r="F2253" s="204"/>
      <c r="G2253" s="204"/>
      <c r="H2253" s="204"/>
      <c r="I2253" s="204"/>
      <c r="J2253" s="204"/>
      <c r="K2253" s="204"/>
      <c r="L2253" s="205"/>
      <c r="M2253" s="205"/>
      <c r="N2253" s="204"/>
      <c r="O2253" s="204"/>
      <c r="P2253" s="206"/>
      <c r="Q2253" s="206"/>
      <c r="R2253" s="206"/>
      <c r="S2253" s="206"/>
      <c r="T2253" s="204"/>
      <c r="U2253" s="207"/>
      <c r="V2253" s="204"/>
      <c r="W2253" s="204"/>
      <c r="X2253" s="207"/>
      <c r="Y2253" s="207"/>
      <c r="Z2253" s="204"/>
      <c r="AA2253" s="204"/>
      <c r="AB2253" s="204"/>
      <c r="AC2253" s="204"/>
    </row>
    <row r="2254" spans="1:29">
      <c r="A2254" s="204"/>
      <c r="B2254" s="204"/>
      <c r="C2254" s="204"/>
      <c r="D2254" s="204"/>
      <c r="E2254" s="204"/>
      <c r="F2254" s="204"/>
      <c r="G2254" s="204"/>
      <c r="H2254" s="204"/>
      <c r="I2254" s="204"/>
      <c r="J2254" s="204"/>
      <c r="K2254" s="204"/>
      <c r="L2254" s="205"/>
      <c r="M2254" s="205"/>
      <c r="N2254" s="204"/>
      <c r="O2254" s="204"/>
      <c r="P2254" s="206"/>
      <c r="Q2254" s="206"/>
      <c r="R2254" s="206"/>
      <c r="S2254" s="206"/>
      <c r="T2254" s="204"/>
      <c r="U2254" s="207"/>
      <c r="V2254" s="204"/>
      <c r="W2254" s="204"/>
      <c r="X2254" s="207"/>
      <c r="Y2254" s="207"/>
      <c r="Z2254" s="204"/>
      <c r="AA2254" s="204"/>
      <c r="AB2254" s="204"/>
      <c r="AC2254" s="204"/>
    </row>
    <row r="2255" spans="1:29">
      <c r="A2255" s="204"/>
      <c r="B2255" s="204"/>
      <c r="C2255" s="204"/>
      <c r="D2255" s="204"/>
      <c r="E2255" s="204"/>
      <c r="F2255" s="204"/>
      <c r="G2255" s="204"/>
      <c r="H2255" s="204"/>
      <c r="I2255" s="204"/>
      <c r="J2255" s="204"/>
      <c r="K2255" s="204"/>
      <c r="L2255" s="205"/>
      <c r="M2255" s="205"/>
      <c r="N2255" s="204"/>
      <c r="O2255" s="204"/>
      <c r="P2255" s="206"/>
      <c r="Q2255" s="206"/>
      <c r="R2255" s="206"/>
      <c r="S2255" s="206"/>
      <c r="T2255" s="204"/>
      <c r="U2255" s="207"/>
      <c r="V2255" s="204"/>
      <c r="W2255" s="204"/>
      <c r="X2255" s="207"/>
      <c r="Y2255" s="207"/>
      <c r="Z2255" s="204"/>
      <c r="AA2255" s="204"/>
      <c r="AB2255" s="204"/>
      <c r="AC2255" s="204"/>
    </row>
    <row r="2256" spans="1:29">
      <c r="A2256" s="204"/>
      <c r="B2256" s="204"/>
      <c r="C2256" s="204"/>
      <c r="D2256" s="204"/>
      <c r="E2256" s="204"/>
      <c r="F2256" s="204"/>
      <c r="G2256" s="204"/>
      <c r="H2256" s="204"/>
      <c r="I2256" s="204"/>
      <c r="J2256" s="204"/>
      <c r="K2256" s="204"/>
      <c r="L2256" s="205"/>
      <c r="M2256" s="205"/>
      <c r="N2256" s="204"/>
      <c r="O2256" s="204"/>
      <c r="P2256" s="206"/>
      <c r="Q2256" s="206"/>
      <c r="R2256" s="206"/>
      <c r="S2256" s="206"/>
      <c r="T2256" s="204"/>
      <c r="U2256" s="207"/>
      <c r="V2256" s="204"/>
      <c r="W2256" s="204"/>
      <c r="X2256" s="207"/>
      <c r="Y2256" s="207"/>
      <c r="Z2256" s="204"/>
      <c r="AA2256" s="204"/>
      <c r="AB2256" s="204"/>
      <c r="AC2256" s="204"/>
    </row>
    <row r="2257" spans="1:29">
      <c r="A2257" s="204"/>
      <c r="B2257" s="204"/>
      <c r="C2257" s="204"/>
      <c r="D2257" s="204"/>
      <c r="E2257" s="204"/>
      <c r="F2257" s="204"/>
      <c r="G2257" s="204"/>
      <c r="H2257" s="204"/>
      <c r="I2257" s="204"/>
      <c r="J2257" s="204"/>
      <c r="K2257" s="204"/>
      <c r="L2257" s="205"/>
      <c r="M2257" s="205"/>
      <c r="N2257" s="204"/>
      <c r="O2257" s="204"/>
      <c r="P2257" s="206"/>
      <c r="Q2257" s="206"/>
      <c r="R2257" s="206"/>
      <c r="S2257" s="206"/>
      <c r="T2257" s="204"/>
      <c r="U2257" s="207"/>
      <c r="V2257" s="204"/>
      <c r="W2257" s="204"/>
      <c r="X2257" s="207"/>
      <c r="Y2257" s="207"/>
      <c r="Z2257" s="204"/>
      <c r="AA2257" s="204"/>
      <c r="AB2257" s="204"/>
      <c r="AC2257" s="204"/>
    </row>
    <row r="2258" spans="1:29">
      <c r="A2258" s="204"/>
      <c r="B2258" s="204"/>
      <c r="C2258" s="204"/>
      <c r="D2258" s="204"/>
      <c r="E2258" s="204"/>
      <c r="F2258" s="204"/>
      <c r="G2258" s="204"/>
      <c r="H2258" s="204"/>
      <c r="I2258" s="204"/>
      <c r="J2258" s="204"/>
      <c r="K2258" s="204"/>
      <c r="L2258" s="205"/>
      <c r="M2258" s="205"/>
      <c r="N2258" s="204"/>
      <c r="O2258" s="204"/>
      <c r="P2258" s="206"/>
      <c r="Q2258" s="206"/>
      <c r="R2258" s="206"/>
      <c r="S2258" s="206"/>
      <c r="T2258" s="204"/>
      <c r="U2258" s="207"/>
      <c r="V2258" s="204"/>
      <c r="W2258" s="204"/>
      <c r="X2258" s="207"/>
      <c r="Y2258" s="207"/>
      <c r="Z2258" s="204"/>
      <c r="AA2258" s="204"/>
      <c r="AB2258" s="204"/>
      <c r="AC2258" s="204"/>
    </row>
    <row r="2259" spans="1:29">
      <c r="A2259" s="204"/>
      <c r="B2259" s="204"/>
      <c r="C2259" s="204"/>
      <c r="D2259" s="204"/>
      <c r="E2259" s="204"/>
      <c r="F2259" s="204"/>
      <c r="G2259" s="204"/>
      <c r="H2259" s="204"/>
      <c r="I2259" s="204"/>
      <c r="J2259" s="204"/>
      <c r="K2259" s="204"/>
      <c r="L2259" s="205"/>
      <c r="M2259" s="205"/>
      <c r="N2259" s="204"/>
      <c r="O2259" s="204"/>
      <c r="P2259" s="206"/>
      <c r="Q2259" s="206"/>
      <c r="R2259" s="206"/>
      <c r="S2259" s="206"/>
      <c r="T2259" s="204"/>
      <c r="U2259" s="207"/>
      <c r="V2259" s="204"/>
      <c r="W2259" s="204"/>
      <c r="X2259" s="207"/>
      <c r="Y2259" s="207"/>
      <c r="Z2259" s="204"/>
      <c r="AA2259" s="204"/>
      <c r="AB2259" s="204"/>
      <c r="AC2259" s="204"/>
    </row>
    <row r="2260" spans="1:29">
      <c r="A2260" s="204"/>
      <c r="B2260" s="204"/>
      <c r="C2260" s="204"/>
      <c r="D2260" s="204"/>
      <c r="E2260" s="204"/>
      <c r="F2260" s="204"/>
      <c r="G2260" s="204"/>
      <c r="H2260" s="204"/>
      <c r="I2260" s="204"/>
      <c r="J2260" s="204"/>
      <c r="K2260" s="204"/>
      <c r="L2260" s="205"/>
      <c r="M2260" s="205"/>
      <c r="N2260" s="204"/>
      <c r="O2260" s="204"/>
      <c r="P2260" s="206"/>
      <c r="Q2260" s="206"/>
      <c r="R2260" s="206"/>
      <c r="S2260" s="206"/>
      <c r="T2260" s="204"/>
      <c r="U2260" s="207"/>
      <c r="V2260" s="204"/>
      <c r="W2260" s="204"/>
      <c r="X2260" s="207"/>
      <c r="Y2260" s="207"/>
      <c r="Z2260" s="204"/>
      <c r="AA2260" s="204"/>
      <c r="AB2260" s="204"/>
      <c r="AC2260" s="204"/>
    </row>
    <row r="2261" spans="1:29">
      <c r="A2261" s="204"/>
      <c r="B2261" s="204"/>
      <c r="C2261" s="204"/>
      <c r="D2261" s="204"/>
      <c r="E2261" s="204"/>
      <c r="F2261" s="204"/>
      <c r="G2261" s="204"/>
      <c r="H2261" s="204"/>
      <c r="I2261" s="204"/>
      <c r="J2261" s="204"/>
      <c r="K2261" s="204"/>
      <c r="L2261" s="205"/>
      <c r="M2261" s="205"/>
      <c r="N2261" s="204"/>
      <c r="O2261" s="204"/>
      <c r="P2261" s="206"/>
      <c r="Q2261" s="206"/>
      <c r="R2261" s="206"/>
      <c r="S2261" s="206"/>
      <c r="T2261" s="204"/>
      <c r="U2261" s="207"/>
      <c r="V2261" s="204"/>
      <c r="W2261" s="204"/>
      <c r="X2261" s="207"/>
      <c r="Y2261" s="207"/>
      <c r="Z2261" s="204"/>
      <c r="AA2261" s="204"/>
      <c r="AB2261" s="204"/>
      <c r="AC2261" s="204"/>
    </row>
    <row r="2262" spans="1:29">
      <c r="A2262" s="204"/>
      <c r="B2262" s="204"/>
      <c r="C2262" s="204"/>
      <c r="D2262" s="204"/>
      <c r="E2262" s="204"/>
      <c r="F2262" s="204"/>
      <c r="G2262" s="204"/>
      <c r="H2262" s="204"/>
      <c r="I2262" s="204"/>
      <c r="J2262" s="204"/>
      <c r="K2262" s="204"/>
      <c r="L2262" s="205"/>
      <c r="M2262" s="205"/>
      <c r="N2262" s="204"/>
      <c r="O2262" s="204"/>
      <c r="P2262" s="206"/>
      <c r="Q2262" s="206"/>
      <c r="R2262" s="206"/>
      <c r="S2262" s="206"/>
      <c r="T2262" s="204"/>
      <c r="U2262" s="207"/>
      <c r="V2262" s="204"/>
      <c r="W2262" s="204"/>
      <c r="X2262" s="207"/>
      <c r="Y2262" s="207"/>
      <c r="Z2262" s="204"/>
      <c r="AA2262" s="204"/>
      <c r="AB2262" s="204"/>
      <c r="AC2262" s="204"/>
    </row>
    <row r="2263" spans="1:29">
      <c r="A2263" s="204"/>
      <c r="B2263" s="204"/>
      <c r="C2263" s="204"/>
      <c r="D2263" s="204"/>
      <c r="E2263" s="204"/>
      <c r="F2263" s="204"/>
      <c r="G2263" s="204"/>
      <c r="H2263" s="204"/>
      <c r="I2263" s="204"/>
      <c r="J2263" s="204"/>
      <c r="K2263" s="204"/>
      <c r="L2263" s="205"/>
      <c r="M2263" s="205"/>
      <c r="N2263" s="204"/>
      <c r="O2263" s="204"/>
      <c r="P2263" s="206"/>
      <c r="Q2263" s="206"/>
      <c r="R2263" s="206"/>
      <c r="S2263" s="206"/>
      <c r="T2263" s="204"/>
      <c r="U2263" s="207"/>
      <c r="V2263" s="204"/>
      <c r="W2263" s="204"/>
      <c r="X2263" s="207"/>
      <c r="Y2263" s="207"/>
      <c r="Z2263" s="204"/>
      <c r="AA2263" s="204"/>
      <c r="AB2263" s="204"/>
      <c r="AC2263" s="204"/>
    </row>
    <row r="2264" spans="1:29">
      <c r="A2264" s="204"/>
      <c r="B2264" s="204"/>
      <c r="C2264" s="204"/>
      <c r="D2264" s="204"/>
      <c r="E2264" s="204"/>
      <c r="F2264" s="204"/>
      <c r="G2264" s="204"/>
      <c r="H2264" s="204"/>
      <c r="I2264" s="204"/>
      <c r="J2264" s="204"/>
      <c r="K2264" s="204"/>
      <c r="L2264" s="205"/>
      <c r="M2264" s="205"/>
      <c r="N2264" s="204"/>
      <c r="O2264" s="204"/>
      <c r="P2264" s="206"/>
      <c r="Q2264" s="206"/>
      <c r="R2264" s="206"/>
      <c r="S2264" s="206"/>
      <c r="T2264" s="204"/>
      <c r="U2264" s="207"/>
      <c r="V2264" s="204"/>
      <c r="W2264" s="204"/>
      <c r="X2264" s="207"/>
      <c r="Y2264" s="207"/>
      <c r="Z2264" s="204"/>
      <c r="AA2264" s="204"/>
      <c r="AB2264" s="204"/>
      <c r="AC2264" s="204"/>
    </row>
    <row r="2265" spans="1:29">
      <c r="A2265" s="204"/>
      <c r="B2265" s="204"/>
      <c r="C2265" s="204"/>
      <c r="D2265" s="204"/>
      <c r="E2265" s="204"/>
      <c r="F2265" s="204"/>
      <c r="G2265" s="204"/>
      <c r="H2265" s="204"/>
      <c r="I2265" s="204"/>
      <c r="J2265" s="204"/>
      <c r="K2265" s="204"/>
      <c r="L2265" s="205"/>
      <c r="M2265" s="205"/>
      <c r="N2265" s="204"/>
      <c r="O2265" s="204"/>
      <c r="P2265" s="206"/>
      <c r="Q2265" s="206"/>
      <c r="R2265" s="206"/>
      <c r="S2265" s="206"/>
      <c r="T2265" s="204"/>
      <c r="U2265" s="207"/>
      <c r="V2265" s="204"/>
      <c r="W2265" s="204"/>
      <c r="X2265" s="207"/>
      <c r="Y2265" s="207"/>
      <c r="Z2265" s="204"/>
      <c r="AA2265" s="204"/>
      <c r="AB2265" s="204"/>
      <c r="AC2265" s="204"/>
    </row>
    <row r="2266" spans="1:29">
      <c r="A2266" s="204"/>
      <c r="B2266" s="204"/>
      <c r="C2266" s="204"/>
      <c r="D2266" s="204"/>
      <c r="E2266" s="204"/>
      <c r="F2266" s="204"/>
      <c r="G2266" s="204"/>
      <c r="H2266" s="204"/>
      <c r="I2266" s="204"/>
      <c r="J2266" s="204"/>
      <c r="K2266" s="204"/>
      <c r="L2266" s="205"/>
      <c r="M2266" s="205"/>
      <c r="N2266" s="204"/>
      <c r="O2266" s="204"/>
      <c r="P2266" s="206"/>
      <c r="Q2266" s="206"/>
      <c r="R2266" s="206"/>
      <c r="S2266" s="206"/>
      <c r="T2266" s="204"/>
      <c r="U2266" s="207"/>
      <c r="V2266" s="204"/>
      <c r="W2266" s="204"/>
      <c r="X2266" s="207"/>
      <c r="Y2266" s="207"/>
      <c r="Z2266" s="204"/>
      <c r="AA2266" s="204"/>
      <c r="AB2266" s="204"/>
      <c r="AC2266" s="204"/>
    </row>
    <row r="2267" spans="1:29">
      <c r="A2267" s="204"/>
      <c r="B2267" s="204"/>
      <c r="C2267" s="204"/>
      <c r="D2267" s="204"/>
      <c r="E2267" s="204"/>
      <c r="F2267" s="204"/>
      <c r="G2267" s="204"/>
      <c r="H2267" s="204"/>
      <c r="I2267" s="204"/>
      <c r="J2267" s="204"/>
      <c r="K2267" s="204"/>
      <c r="L2267" s="205"/>
      <c r="M2267" s="205"/>
      <c r="N2267" s="204"/>
      <c r="O2267" s="204"/>
      <c r="P2267" s="206"/>
      <c r="Q2267" s="206"/>
      <c r="R2267" s="206"/>
      <c r="S2267" s="206"/>
      <c r="T2267" s="204"/>
      <c r="U2267" s="207"/>
      <c r="V2267" s="204"/>
      <c r="W2267" s="204"/>
      <c r="X2267" s="207"/>
      <c r="Y2267" s="207"/>
      <c r="Z2267" s="204"/>
      <c r="AA2267" s="204"/>
      <c r="AB2267" s="204"/>
      <c r="AC2267" s="204"/>
    </row>
    <row r="2268" spans="1:29">
      <c r="A2268" s="204"/>
      <c r="B2268" s="204"/>
      <c r="C2268" s="204"/>
      <c r="D2268" s="204"/>
      <c r="E2268" s="204"/>
      <c r="F2268" s="204"/>
      <c r="G2268" s="204"/>
      <c r="H2268" s="204"/>
      <c r="I2268" s="204"/>
      <c r="J2268" s="204"/>
      <c r="K2268" s="204"/>
      <c r="L2268" s="205"/>
      <c r="M2268" s="205"/>
      <c r="N2268" s="204"/>
      <c r="O2268" s="204"/>
      <c r="P2268" s="206"/>
      <c r="Q2268" s="206"/>
      <c r="R2268" s="206"/>
      <c r="S2268" s="206"/>
      <c r="T2268" s="204"/>
      <c r="U2268" s="207"/>
      <c r="V2268" s="204"/>
      <c r="W2268" s="204"/>
      <c r="X2268" s="207"/>
      <c r="Y2268" s="207"/>
      <c r="Z2268" s="204"/>
      <c r="AA2268" s="204"/>
      <c r="AB2268" s="204"/>
      <c r="AC2268" s="204"/>
    </row>
    <row r="2269" spans="1:29">
      <c r="A2269" s="204"/>
      <c r="B2269" s="204"/>
      <c r="C2269" s="204"/>
      <c r="D2269" s="204"/>
      <c r="E2269" s="204"/>
      <c r="F2269" s="204"/>
      <c r="G2269" s="204"/>
      <c r="H2269" s="204"/>
      <c r="I2269" s="204"/>
      <c r="J2269" s="204"/>
      <c r="K2269" s="204"/>
      <c r="L2269" s="205"/>
      <c r="M2269" s="205"/>
      <c r="N2269" s="204"/>
      <c r="O2269" s="204"/>
      <c r="P2269" s="206"/>
      <c r="Q2269" s="206"/>
      <c r="R2269" s="206"/>
      <c r="S2269" s="206"/>
      <c r="T2269" s="204"/>
      <c r="U2269" s="207"/>
      <c r="V2269" s="204"/>
      <c r="W2269" s="204"/>
      <c r="X2269" s="207"/>
      <c r="Y2269" s="207"/>
      <c r="Z2269" s="204"/>
      <c r="AA2269" s="204"/>
      <c r="AB2269" s="204"/>
      <c r="AC2269" s="204"/>
    </row>
    <row r="2270" spans="1:29">
      <c r="A2270" s="204"/>
      <c r="B2270" s="204"/>
      <c r="C2270" s="204"/>
      <c r="D2270" s="204"/>
      <c r="E2270" s="204"/>
      <c r="F2270" s="204"/>
      <c r="G2270" s="204"/>
      <c r="H2270" s="204"/>
      <c r="I2270" s="204"/>
      <c r="J2270" s="204"/>
      <c r="K2270" s="204"/>
      <c r="L2270" s="205"/>
      <c r="M2270" s="205"/>
      <c r="N2270" s="204"/>
      <c r="O2270" s="204"/>
      <c r="P2270" s="206"/>
      <c r="Q2270" s="206"/>
      <c r="R2270" s="206"/>
      <c r="S2270" s="206"/>
      <c r="T2270" s="204"/>
      <c r="U2270" s="207"/>
      <c r="V2270" s="204"/>
      <c r="W2270" s="204"/>
      <c r="X2270" s="207"/>
      <c r="Y2270" s="207"/>
      <c r="Z2270" s="204"/>
      <c r="AA2270" s="204"/>
      <c r="AB2270" s="204"/>
      <c r="AC2270" s="204"/>
    </row>
    <row r="2271" spans="1:29">
      <c r="A2271" s="204"/>
      <c r="B2271" s="204"/>
      <c r="C2271" s="204"/>
      <c r="D2271" s="204"/>
      <c r="E2271" s="204"/>
      <c r="F2271" s="204"/>
      <c r="G2271" s="204"/>
      <c r="H2271" s="204"/>
      <c r="I2271" s="204"/>
      <c r="J2271" s="204"/>
      <c r="K2271" s="204"/>
      <c r="L2271" s="205"/>
      <c r="M2271" s="205"/>
      <c r="N2271" s="204"/>
      <c r="O2271" s="204"/>
      <c r="P2271" s="206"/>
      <c r="Q2271" s="206"/>
      <c r="R2271" s="206"/>
      <c r="S2271" s="206"/>
      <c r="T2271" s="204"/>
      <c r="U2271" s="207"/>
      <c r="V2271" s="204"/>
      <c r="W2271" s="204"/>
      <c r="X2271" s="207"/>
      <c r="Y2271" s="207"/>
      <c r="Z2271" s="204"/>
      <c r="AA2271" s="204"/>
      <c r="AB2271" s="204"/>
      <c r="AC2271" s="204"/>
    </row>
    <row r="2272" spans="1:29">
      <c r="A2272" s="204"/>
      <c r="B2272" s="204"/>
      <c r="C2272" s="204"/>
      <c r="D2272" s="204"/>
      <c r="E2272" s="204"/>
      <c r="F2272" s="204"/>
      <c r="G2272" s="204"/>
      <c r="H2272" s="204"/>
      <c r="I2272" s="204"/>
      <c r="J2272" s="204"/>
      <c r="K2272" s="204"/>
      <c r="L2272" s="205"/>
      <c r="M2272" s="205"/>
      <c r="N2272" s="204"/>
      <c r="O2272" s="204"/>
      <c r="P2272" s="206"/>
      <c r="Q2272" s="206"/>
      <c r="R2272" s="206"/>
      <c r="S2272" s="206"/>
      <c r="T2272" s="204"/>
      <c r="U2272" s="207"/>
      <c r="V2272" s="204"/>
      <c r="W2272" s="204"/>
      <c r="X2272" s="207"/>
      <c r="Y2272" s="207"/>
      <c r="Z2272" s="204"/>
      <c r="AA2272" s="204"/>
      <c r="AB2272" s="204"/>
      <c r="AC2272" s="204"/>
    </row>
    <row r="2273" spans="1:29">
      <c r="A2273" s="204"/>
      <c r="B2273" s="204"/>
      <c r="C2273" s="204"/>
      <c r="D2273" s="204"/>
      <c r="E2273" s="204"/>
      <c r="F2273" s="204"/>
      <c r="G2273" s="204"/>
      <c r="H2273" s="204"/>
      <c r="I2273" s="204"/>
      <c r="J2273" s="204"/>
      <c r="K2273" s="204"/>
      <c r="L2273" s="205"/>
      <c r="M2273" s="205"/>
      <c r="N2273" s="204"/>
      <c r="O2273" s="204"/>
      <c r="P2273" s="206"/>
      <c r="Q2273" s="206"/>
      <c r="R2273" s="206"/>
      <c r="S2273" s="206"/>
      <c r="T2273" s="204"/>
      <c r="U2273" s="207"/>
      <c r="V2273" s="204"/>
      <c r="W2273" s="204"/>
      <c r="X2273" s="207"/>
      <c r="Y2273" s="207"/>
      <c r="Z2273" s="204"/>
      <c r="AA2273" s="204"/>
      <c r="AB2273" s="204"/>
      <c r="AC2273" s="204"/>
    </row>
    <row r="2274" spans="1:29">
      <c r="A2274" s="204"/>
      <c r="B2274" s="204"/>
      <c r="C2274" s="204"/>
      <c r="D2274" s="204"/>
      <c r="E2274" s="204"/>
      <c r="F2274" s="204"/>
      <c r="G2274" s="204"/>
      <c r="H2274" s="204"/>
      <c r="I2274" s="204"/>
      <c r="J2274" s="204"/>
      <c r="K2274" s="204"/>
      <c r="L2274" s="205"/>
      <c r="M2274" s="205"/>
      <c r="N2274" s="204"/>
      <c r="O2274" s="204"/>
      <c r="P2274" s="206"/>
      <c r="Q2274" s="206"/>
      <c r="R2274" s="206"/>
      <c r="S2274" s="206"/>
      <c r="T2274" s="204"/>
      <c r="U2274" s="207"/>
      <c r="V2274" s="204"/>
      <c r="W2274" s="204"/>
      <c r="X2274" s="207"/>
      <c r="Y2274" s="207"/>
      <c r="Z2274" s="204"/>
      <c r="AA2274" s="204"/>
      <c r="AB2274" s="204"/>
      <c r="AC2274" s="204"/>
    </row>
    <row r="2275" spans="1:29">
      <c r="A2275" s="204"/>
      <c r="B2275" s="204"/>
      <c r="C2275" s="204"/>
      <c r="D2275" s="204"/>
      <c r="E2275" s="204"/>
      <c r="F2275" s="204"/>
      <c r="G2275" s="204"/>
      <c r="H2275" s="204"/>
      <c r="I2275" s="204"/>
      <c r="J2275" s="204"/>
      <c r="K2275" s="204"/>
      <c r="L2275" s="205"/>
      <c r="M2275" s="205"/>
      <c r="N2275" s="204"/>
      <c r="O2275" s="204"/>
      <c r="P2275" s="206"/>
      <c r="Q2275" s="206"/>
      <c r="R2275" s="206"/>
      <c r="S2275" s="206"/>
      <c r="T2275" s="204"/>
      <c r="U2275" s="207"/>
      <c r="V2275" s="204"/>
      <c r="W2275" s="204"/>
      <c r="X2275" s="207"/>
      <c r="Y2275" s="207"/>
      <c r="Z2275" s="204"/>
      <c r="AA2275" s="204"/>
      <c r="AB2275" s="204"/>
      <c r="AC2275" s="204"/>
    </row>
    <row r="2276" spans="1:29">
      <c r="A2276" s="204"/>
      <c r="B2276" s="204"/>
      <c r="C2276" s="204"/>
      <c r="D2276" s="204"/>
      <c r="E2276" s="204"/>
      <c r="F2276" s="204"/>
      <c r="G2276" s="204"/>
      <c r="H2276" s="204"/>
      <c r="I2276" s="204"/>
      <c r="J2276" s="204"/>
      <c r="K2276" s="204"/>
      <c r="L2276" s="205"/>
      <c r="M2276" s="205"/>
      <c r="N2276" s="204"/>
      <c r="O2276" s="204"/>
      <c r="P2276" s="206"/>
      <c r="Q2276" s="206"/>
      <c r="R2276" s="206"/>
      <c r="S2276" s="206"/>
      <c r="T2276" s="204"/>
      <c r="U2276" s="207"/>
      <c r="V2276" s="204"/>
      <c r="W2276" s="204"/>
      <c r="X2276" s="207"/>
      <c r="Y2276" s="207"/>
      <c r="Z2276" s="204"/>
      <c r="AA2276" s="204"/>
      <c r="AB2276" s="204"/>
      <c r="AC2276" s="204"/>
    </row>
    <row r="2277" spans="1:29">
      <c r="A2277" s="204"/>
      <c r="B2277" s="204"/>
      <c r="C2277" s="204"/>
      <c r="D2277" s="204"/>
      <c r="E2277" s="204"/>
      <c r="F2277" s="204"/>
      <c r="G2277" s="204"/>
      <c r="H2277" s="204"/>
      <c r="I2277" s="204"/>
      <c r="J2277" s="204"/>
      <c r="K2277" s="204"/>
      <c r="L2277" s="205"/>
      <c r="M2277" s="205"/>
      <c r="N2277" s="204"/>
      <c r="O2277" s="204"/>
      <c r="P2277" s="206"/>
      <c r="Q2277" s="206"/>
      <c r="R2277" s="206"/>
      <c r="S2277" s="206"/>
      <c r="T2277" s="204"/>
      <c r="U2277" s="207"/>
      <c r="V2277" s="204"/>
      <c r="W2277" s="204"/>
      <c r="X2277" s="207"/>
      <c r="Y2277" s="207"/>
      <c r="Z2277" s="204"/>
      <c r="AA2277" s="204"/>
      <c r="AB2277" s="204"/>
      <c r="AC2277" s="204"/>
    </row>
    <row r="2278" spans="1:29">
      <c r="A2278" s="204"/>
      <c r="B2278" s="204"/>
      <c r="C2278" s="204"/>
      <c r="D2278" s="204"/>
      <c r="E2278" s="204"/>
      <c r="F2278" s="204"/>
      <c r="G2278" s="204"/>
      <c r="H2278" s="204"/>
      <c r="I2278" s="204"/>
      <c r="J2278" s="204"/>
      <c r="K2278" s="204"/>
      <c r="L2278" s="205"/>
      <c r="M2278" s="205"/>
      <c r="N2278" s="204"/>
      <c r="O2278" s="204"/>
      <c r="P2278" s="206"/>
      <c r="Q2278" s="206"/>
      <c r="R2278" s="206"/>
      <c r="S2278" s="206"/>
      <c r="T2278" s="204"/>
      <c r="U2278" s="207"/>
      <c r="V2278" s="204"/>
      <c r="W2278" s="204"/>
      <c r="X2278" s="207"/>
      <c r="Y2278" s="207"/>
      <c r="Z2278" s="204"/>
      <c r="AA2278" s="204"/>
      <c r="AB2278" s="204"/>
      <c r="AC2278" s="204"/>
    </row>
    <row r="2279" spans="1:29">
      <c r="A2279" s="204"/>
      <c r="B2279" s="204"/>
      <c r="C2279" s="204"/>
      <c r="D2279" s="204"/>
      <c r="E2279" s="204"/>
      <c r="F2279" s="204"/>
      <c r="G2279" s="204"/>
      <c r="H2279" s="204"/>
      <c r="I2279" s="204"/>
      <c r="J2279" s="204"/>
      <c r="K2279" s="204"/>
      <c r="L2279" s="205"/>
      <c r="M2279" s="205"/>
      <c r="N2279" s="204"/>
      <c r="O2279" s="204"/>
      <c r="P2279" s="206"/>
      <c r="Q2279" s="206"/>
      <c r="R2279" s="206"/>
      <c r="S2279" s="206"/>
      <c r="T2279" s="204"/>
      <c r="U2279" s="207"/>
      <c r="V2279" s="204"/>
      <c r="W2279" s="204"/>
      <c r="X2279" s="207"/>
      <c r="Y2279" s="207"/>
      <c r="Z2279" s="204"/>
      <c r="AA2279" s="204"/>
      <c r="AB2279" s="204"/>
      <c r="AC2279" s="204"/>
    </row>
    <row r="2280" spans="1:29">
      <c r="A2280" s="204"/>
      <c r="B2280" s="204"/>
      <c r="C2280" s="204"/>
      <c r="D2280" s="204"/>
      <c r="E2280" s="204"/>
      <c r="F2280" s="204"/>
      <c r="G2280" s="204"/>
      <c r="H2280" s="204"/>
      <c r="I2280" s="204"/>
      <c r="J2280" s="204"/>
      <c r="K2280" s="204"/>
      <c r="L2280" s="205"/>
      <c r="M2280" s="205"/>
      <c r="N2280" s="204"/>
      <c r="O2280" s="204"/>
      <c r="P2280" s="206"/>
      <c r="Q2280" s="206"/>
      <c r="R2280" s="206"/>
      <c r="S2280" s="206"/>
      <c r="T2280" s="204"/>
      <c r="U2280" s="207"/>
      <c r="V2280" s="204"/>
      <c r="W2280" s="204"/>
      <c r="X2280" s="207"/>
      <c r="Y2280" s="207"/>
      <c r="Z2280" s="204"/>
      <c r="AA2280" s="204"/>
      <c r="AB2280" s="204"/>
      <c r="AC2280" s="204"/>
    </row>
    <row r="2281" spans="1:29">
      <c r="A2281" s="204"/>
      <c r="B2281" s="204"/>
      <c r="C2281" s="204"/>
      <c r="D2281" s="204"/>
      <c r="E2281" s="204"/>
      <c r="F2281" s="204"/>
      <c r="G2281" s="204"/>
      <c r="H2281" s="204"/>
      <c r="I2281" s="204"/>
      <c r="J2281" s="204"/>
      <c r="K2281" s="204"/>
      <c r="L2281" s="205"/>
      <c r="M2281" s="205"/>
      <c r="N2281" s="204"/>
      <c r="O2281" s="204"/>
      <c r="P2281" s="206"/>
      <c r="Q2281" s="206"/>
      <c r="R2281" s="206"/>
      <c r="S2281" s="206"/>
      <c r="T2281" s="204"/>
      <c r="U2281" s="207"/>
      <c r="V2281" s="204"/>
      <c r="W2281" s="204"/>
      <c r="X2281" s="207"/>
      <c r="Y2281" s="207"/>
      <c r="Z2281" s="204"/>
      <c r="AA2281" s="204"/>
      <c r="AB2281" s="204"/>
      <c r="AC2281" s="204"/>
    </row>
    <row r="2282" spans="1:29">
      <c r="A2282" s="204"/>
      <c r="B2282" s="204"/>
      <c r="C2282" s="204"/>
      <c r="D2282" s="204"/>
      <c r="E2282" s="204"/>
      <c r="F2282" s="204"/>
      <c r="G2282" s="204"/>
      <c r="H2282" s="204"/>
      <c r="I2282" s="204"/>
      <c r="J2282" s="204"/>
      <c r="K2282" s="204"/>
      <c r="L2282" s="205"/>
      <c r="M2282" s="205"/>
      <c r="N2282" s="204"/>
      <c r="O2282" s="204"/>
      <c r="P2282" s="206"/>
      <c r="Q2282" s="206"/>
      <c r="R2282" s="206"/>
      <c r="S2282" s="206"/>
      <c r="T2282" s="204"/>
      <c r="U2282" s="207"/>
      <c r="V2282" s="204"/>
      <c r="W2282" s="204"/>
      <c r="X2282" s="207"/>
      <c r="Y2282" s="207"/>
      <c r="Z2282" s="204"/>
      <c r="AA2282" s="204"/>
      <c r="AB2282" s="204"/>
      <c r="AC2282" s="204"/>
    </row>
    <row r="2283" spans="1:29">
      <c r="A2283" s="204"/>
      <c r="B2283" s="204"/>
      <c r="C2283" s="204"/>
      <c r="D2283" s="204"/>
      <c r="E2283" s="204"/>
      <c r="F2283" s="204"/>
      <c r="G2283" s="204"/>
      <c r="H2283" s="204"/>
      <c r="I2283" s="204"/>
      <c r="J2283" s="204"/>
      <c r="K2283" s="204"/>
      <c r="L2283" s="205"/>
      <c r="M2283" s="205"/>
      <c r="N2283" s="204"/>
      <c r="O2283" s="204"/>
      <c r="P2283" s="206"/>
      <c r="Q2283" s="206"/>
      <c r="R2283" s="206"/>
      <c r="S2283" s="206"/>
      <c r="T2283" s="204"/>
      <c r="U2283" s="207"/>
      <c r="V2283" s="204"/>
      <c r="W2283" s="204"/>
      <c r="X2283" s="207"/>
      <c r="Y2283" s="207"/>
      <c r="Z2283" s="204"/>
      <c r="AA2283" s="204"/>
      <c r="AB2283" s="204"/>
      <c r="AC2283" s="204"/>
    </row>
    <row r="2284" spans="1:29">
      <c r="A2284" s="204"/>
      <c r="B2284" s="204"/>
      <c r="C2284" s="204"/>
      <c r="D2284" s="204"/>
      <c r="E2284" s="204"/>
      <c r="F2284" s="204"/>
      <c r="G2284" s="204"/>
      <c r="H2284" s="204"/>
      <c r="I2284" s="204"/>
      <c r="J2284" s="204"/>
      <c r="K2284" s="204"/>
      <c r="L2284" s="205"/>
      <c r="M2284" s="205"/>
      <c r="N2284" s="204"/>
      <c r="O2284" s="204"/>
      <c r="P2284" s="206"/>
      <c r="Q2284" s="206"/>
      <c r="R2284" s="206"/>
      <c r="S2284" s="206"/>
      <c r="T2284" s="204"/>
      <c r="U2284" s="207"/>
      <c r="V2284" s="204"/>
      <c r="W2284" s="204"/>
      <c r="X2284" s="207"/>
      <c r="Y2284" s="207"/>
      <c r="Z2284" s="204"/>
      <c r="AA2284" s="204"/>
      <c r="AB2284" s="204"/>
      <c r="AC2284" s="204"/>
    </row>
    <row r="2285" spans="1:29">
      <c r="A2285" s="204"/>
      <c r="B2285" s="204"/>
      <c r="C2285" s="204"/>
      <c r="D2285" s="204"/>
      <c r="E2285" s="204"/>
      <c r="F2285" s="204"/>
      <c r="G2285" s="204"/>
      <c r="H2285" s="204"/>
      <c r="I2285" s="204"/>
      <c r="J2285" s="204"/>
      <c r="K2285" s="204"/>
      <c r="L2285" s="205"/>
      <c r="M2285" s="205"/>
      <c r="N2285" s="204"/>
      <c r="O2285" s="204"/>
      <c r="P2285" s="206"/>
      <c r="Q2285" s="206"/>
      <c r="R2285" s="206"/>
      <c r="S2285" s="206"/>
      <c r="T2285" s="204"/>
      <c r="U2285" s="207"/>
      <c r="V2285" s="204"/>
      <c r="W2285" s="204"/>
      <c r="X2285" s="207"/>
      <c r="Y2285" s="207"/>
      <c r="Z2285" s="204"/>
      <c r="AA2285" s="204"/>
      <c r="AB2285" s="204"/>
      <c r="AC2285" s="204"/>
    </row>
    <row r="2286" spans="1:29">
      <c r="A2286" s="204"/>
      <c r="B2286" s="204"/>
      <c r="C2286" s="204"/>
      <c r="D2286" s="204"/>
      <c r="E2286" s="204"/>
      <c r="F2286" s="204"/>
      <c r="G2286" s="204"/>
      <c r="H2286" s="204"/>
      <c r="I2286" s="204"/>
      <c r="J2286" s="204"/>
      <c r="K2286" s="204"/>
      <c r="L2286" s="205"/>
      <c r="M2286" s="205"/>
      <c r="N2286" s="204"/>
      <c r="O2286" s="204"/>
      <c r="P2286" s="206"/>
      <c r="Q2286" s="206"/>
      <c r="R2286" s="206"/>
      <c r="S2286" s="206"/>
      <c r="T2286" s="204"/>
      <c r="U2286" s="207"/>
      <c r="V2286" s="204"/>
      <c r="W2286" s="204"/>
      <c r="X2286" s="207"/>
      <c r="Y2286" s="207"/>
      <c r="Z2286" s="204"/>
      <c r="AA2286" s="204"/>
      <c r="AB2286" s="204"/>
      <c r="AC2286" s="204"/>
    </row>
    <row r="2287" spans="1:29">
      <c r="A2287" s="204"/>
      <c r="B2287" s="204"/>
      <c r="C2287" s="204"/>
      <c r="D2287" s="204"/>
      <c r="E2287" s="204"/>
      <c r="F2287" s="204"/>
      <c r="G2287" s="204"/>
      <c r="H2287" s="204"/>
      <c r="I2287" s="204"/>
      <c r="J2287" s="204"/>
      <c r="K2287" s="204"/>
      <c r="L2287" s="205"/>
      <c r="M2287" s="205"/>
      <c r="N2287" s="204"/>
      <c r="O2287" s="204"/>
      <c r="P2287" s="206"/>
      <c r="Q2287" s="206"/>
      <c r="R2287" s="206"/>
      <c r="S2287" s="206"/>
      <c r="T2287" s="204"/>
      <c r="U2287" s="207"/>
      <c r="V2287" s="204"/>
      <c r="W2287" s="204"/>
      <c r="X2287" s="207"/>
      <c r="Y2287" s="207"/>
      <c r="Z2287" s="204"/>
      <c r="AA2287" s="204"/>
      <c r="AB2287" s="204"/>
      <c r="AC2287" s="204"/>
    </row>
    <row r="2288" spans="1:29">
      <c r="A2288" s="204"/>
      <c r="B2288" s="204"/>
      <c r="C2288" s="204"/>
      <c r="D2288" s="204"/>
      <c r="E2288" s="204"/>
      <c r="F2288" s="204"/>
      <c r="G2288" s="204"/>
      <c r="H2288" s="204"/>
      <c r="I2288" s="204"/>
      <c r="J2288" s="204"/>
      <c r="K2288" s="204"/>
      <c r="L2288" s="205"/>
      <c r="M2288" s="205"/>
      <c r="N2288" s="204"/>
      <c r="O2288" s="204"/>
      <c r="P2288" s="206"/>
      <c r="Q2288" s="206"/>
      <c r="R2288" s="206"/>
      <c r="S2288" s="206"/>
      <c r="T2288" s="204"/>
      <c r="U2288" s="207"/>
      <c r="V2288" s="204"/>
      <c r="W2288" s="204"/>
      <c r="X2288" s="207"/>
      <c r="Y2288" s="207"/>
      <c r="Z2288" s="204"/>
      <c r="AA2288" s="204"/>
      <c r="AB2288" s="204"/>
      <c r="AC2288" s="204"/>
    </row>
    <row r="2289" spans="1:29">
      <c r="A2289" s="204"/>
      <c r="B2289" s="204"/>
      <c r="C2289" s="204"/>
      <c r="D2289" s="204"/>
      <c r="E2289" s="204"/>
      <c r="F2289" s="204"/>
      <c r="G2289" s="204"/>
      <c r="H2289" s="204"/>
      <c r="I2289" s="204"/>
      <c r="J2289" s="204"/>
      <c r="K2289" s="204"/>
      <c r="L2289" s="205"/>
      <c r="M2289" s="205"/>
      <c r="N2289" s="204"/>
      <c r="O2289" s="204"/>
      <c r="P2289" s="206"/>
      <c r="Q2289" s="206"/>
      <c r="R2289" s="206"/>
      <c r="S2289" s="206"/>
      <c r="T2289" s="204"/>
      <c r="U2289" s="207"/>
      <c r="V2289" s="204"/>
      <c r="W2289" s="204"/>
      <c r="X2289" s="207"/>
      <c r="Y2289" s="207"/>
      <c r="Z2289" s="204"/>
      <c r="AA2289" s="204"/>
      <c r="AB2289" s="204"/>
      <c r="AC2289" s="204"/>
    </row>
    <row r="2290" spans="1:29">
      <c r="A2290" s="204"/>
      <c r="B2290" s="204"/>
      <c r="C2290" s="204"/>
      <c r="D2290" s="204"/>
      <c r="E2290" s="204"/>
      <c r="F2290" s="204"/>
      <c r="G2290" s="204"/>
      <c r="H2290" s="204"/>
      <c r="I2290" s="204"/>
      <c r="J2290" s="204"/>
      <c r="K2290" s="204"/>
      <c r="L2290" s="205"/>
      <c r="M2290" s="205"/>
      <c r="N2290" s="204"/>
      <c r="O2290" s="204"/>
      <c r="P2290" s="206"/>
      <c r="Q2290" s="206"/>
      <c r="R2290" s="206"/>
      <c r="S2290" s="206"/>
      <c r="T2290" s="204"/>
      <c r="U2290" s="207"/>
      <c r="V2290" s="204"/>
      <c r="W2290" s="204"/>
      <c r="X2290" s="207"/>
      <c r="Y2290" s="207"/>
      <c r="Z2290" s="204"/>
      <c r="AA2290" s="204"/>
      <c r="AB2290" s="204"/>
      <c r="AC2290" s="204"/>
    </row>
    <row r="2291" spans="1:29">
      <c r="A2291" s="204"/>
      <c r="B2291" s="204"/>
      <c r="C2291" s="204"/>
      <c r="D2291" s="204"/>
      <c r="E2291" s="204"/>
      <c r="F2291" s="204"/>
      <c r="G2291" s="204"/>
      <c r="H2291" s="204"/>
      <c r="I2291" s="204"/>
      <c r="J2291" s="204"/>
      <c r="K2291" s="204"/>
      <c r="L2291" s="205"/>
      <c r="M2291" s="205"/>
      <c r="N2291" s="204"/>
      <c r="O2291" s="204"/>
      <c r="P2291" s="206"/>
      <c r="Q2291" s="206"/>
      <c r="R2291" s="206"/>
      <c r="S2291" s="206"/>
      <c r="T2291" s="204"/>
      <c r="U2291" s="207"/>
      <c r="V2291" s="204"/>
      <c r="W2291" s="204"/>
      <c r="X2291" s="207"/>
      <c r="Y2291" s="207"/>
      <c r="Z2291" s="204"/>
      <c r="AA2291" s="204"/>
      <c r="AB2291" s="204"/>
      <c r="AC2291" s="204"/>
    </row>
    <row r="2292" spans="1:29">
      <c r="A2292" s="204"/>
      <c r="B2292" s="204"/>
      <c r="C2292" s="204"/>
      <c r="D2292" s="204"/>
      <c r="E2292" s="204"/>
      <c r="F2292" s="204"/>
      <c r="G2292" s="204"/>
      <c r="H2292" s="204"/>
      <c r="I2292" s="204"/>
      <c r="J2292" s="204"/>
      <c r="K2292" s="204"/>
      <c r="L2292" s="205"/>
      <c r="M2292" s="205"/>
      <c r="N2292" s="204"/>
      <c r="O2292" s="204"/>
      <c r="P2292" s="206"/>
      <c r="Q2292" s="206"/>
      <c r="R2292" s="206"/>
      <c r="S2292" s="206"/>
      <c r="T2292" s="204"/>
      <c r="U2292" s="207"/>
      <c r="V2292" s="204"/>
      <c r="W2292" s="204"/>
      <c r="X2292" s="207"/>
      <c r="Y2292" s="207"/>
      <c r="Z2292" s="204"/>
      <c r="AA2292" s="204"/>
      <c r="AB2292" s="204"/>
      <c r="AC2292" s="204"/>
    </row>
    <row r="2293" spans="1:29">
      <c r="A2293" s="204"/>
      <c r="B2293" s="204"/>
      <c r="C2293" s="204"/>
      <c r="D2293" s="204"/>
      <c r="E2293" s="204"/>
      <c r="F2293" s="204"/>
      <c r="G2293" s="204"/>
      <c r="H2293" s="204"/>
      <c r="I2293" s="204"/>
      <c r="J2293" s="204"/>
      <c r="K2293" s="204"/>
      <c r="L2293" s="205"/>
      <c r="M2293" s="205"/>
      <c r="N2293" s="204"/>
      <c r="O2293" s="204"/>
      <c r="P2293" s="206"/>
      <c r="Q2293" s="206"/>
      <c r="R2293" s="206"/>
      <c r="S2293" s="206"/>
      <c r="T2293" s="204"/>
      <c r="U2293" s="207"/>
      <c r="V2293" s="204"/>
      <c r="W2293" s="204"/>
      <c r="X2293" s="207"/>
      <c r="Y2293" s="207"/>
      <c r="Z2293" s="204"/>
      <c r="AA2293" s="204"/>
      <c r="AB2293" s="204"/>
      <c r="AC2293" s="204"/>
    </row>
    <row r="2294" spans="1:29">
      <c r="A2294" s="204"/>
      <c r="B2294" s="204"/>
      <c r="C2294" s="204"/>
      <c r="D2294" s="204"/>
      <c r="E2294" s="204"/>
      <c r="F2294" s="204"/>
      <c r="G2294" s="204"/>
      <c r="H2294" s="204"/>
      <c r="I2294" s="204"/>
      <c r="J2294" s="204"/>
      <c r="K2294" s="204"/>
      <c r="L2294" s="205"/>
      <c r="M2294" s="205"/>
      <c r="N2294" s="204"/>
      <c r="O2294" s="204"/>
      <c r="P2294" s="206"/>
      <c r="Q2294" s="206"/>
      <c r="R2294" s="206"/>
      <c r="S2294" s="206"/>
      <c r="T2294" s="204"/>
      <c r="U2294" s="207"/>
      <c r="V2294" s="204"/>
      <c r="W2294" s="204"/>
      <c r="X2294" s="207"/>
      <c r="Y2294" s="207"/>
      <c r="Z2294" s="204"/>
      <c r="AA2294" s="204"/>
      <c r="AB2294" s="204"/>
      <c r="AC2294" s="204"/>
    </row>
    <row r="2295" spans="1:29">
      <c r="A2295" s="204"/>
      <c r="B2295" s="204"/>
      <c r="C2295" s="204"/>
      <c r="D2295" s="204"/>
      <c r="E2295" s="204"/>
      <c r="F2295" s="204"/>
      <c r="G2295" s="204"/>
      <c r="H2295" s="204"/>
      <c r="I2295" s="204"/>
      <c r="J2295" s="204"/>
      <c r="K2295" s="204"/>
      <c r="L2295" s="205"/>
      <c r="M2295" s="205"/>
      <c r="N2295" s="204"/>
      <c r="O2295" s="204"/>
      <c r="P2295" s="206"/>
      <c r="Q2295" s="206"/>
      <c r="R2295" s="206"/>
      <c r="S2295" s="206"/>
      <c r="T2295" s="204"/>
      <c r="U2295" s="207"/>
      <c r="V2295" s="204"/>
      <c r="W2295" s="204"/>
      <c r="X2295" s="207"/>
      <c r="Y2295" s="207"/>
      <c r="Z2295" s="204"/>
      <c r="AA2295" s="204"/>
      <c r="AB2295" s="204"/>
      <c r="AC2295" s="204"/>
    </row>
    <row r="2296" spans="1:29">
      <c r="A2296" s="204"/>
      <c r="B2296" s="204"/>
      <c r="C2296" s="204"/>
      <c r="D2296" s="204"/>
      <c r="E2296" s="204"/>
      <c r="F2296" s="204"/>
      <c r="G2296" s="204"/>
      <c r="H2296" s="204"/>
      <c r="I2296" s="204"/>
      <c r="J2296" s="204"/>
      <c r="K2296" s="204"/>
      <c r="L2296" s="205"/>
      <c r="M2296" s="205"/>
      <c r="N2296" s="204"/>
      <c r="O2296" s="204"/>
      <c r="P2296" s="206"/>
      <c r="Q2296" s="206"/>
      <c r="R2296" s="206"/>
      <c r="S2296" s="206"/>
      <c r="T2296" s="204"/>
      <c r="U2296" s="207"/>
      <c r="V2296" s="204"/>
      <c r="W2296" s="204"/>
      <c r="X2296" s="207"/>
      <c r="Y2296" s="207"/>
      <c r="Z2296" s="204"/>
      <c r="AA2296" s="204"/>
      <c r="AB2296" s="204"/>
      <c r="AC2296" s="204"/>
    </row>
    <row r="2297" spans="1:29">
      <c r="A2297" s="204"/>
      <c r="B2297" s="204"/>
      <c r="C2297" s="204"/>
      <c r="D2297" s="204"/>
      <c r="E2297" s="204"/>
      <c r="F2297" s="204"/>
      <c r="G2297" s="204"/>
      <c r="H2297" s="204"/>
      <c r="I2297" s="204"/>
      <c r="J2297" s="204"/>
      <c r="K2297" s="204"/>
      <c r="L2297" s="205"/>
      <c r="M2297" s="205"/>
      <c r="N2297" s="204"/>
      <c r="O2297" s="204"/>
      <c r="P2297" s="206"/>
      <c r="Q2297" s="206"/>
      <c r="R2297" s="206"/>
      <c r="S2297" s="206"/>
      <c r="T2297" s="204"/>
      <c r="U2297" s="207"/>
      <c r="V2297" s="204"/>
      <c r="W2297" s="204"/>
      <c r="X2297" s="207"/>
      <c r="Y2297" s="207"/>
      <c r="Z2297" s="204"/>
      <c r="AA2297" s="204"/>
      <c r="AB2297" s="204"/>
      <c r="AC2297" s="204"/>
    </row>
    <row r="2298" spans="1:29">
      <c r="A2298" s="204"/>
      <c r="B2298" s="204"/>
      <c r="C2298" s="204"/>
      <c r="D2298" s="204"/>
      <c r="E2298" s="204"/>
      <c r="F2298" s="204"/>
      <c r="G2298" s="204"/>
      <c r="H2298" s="204"/>
      <c r="I2298" s="204"/>
      <c r="J2298" s="204"/>
      <c r="K2298" s="204"/>
      <c r="L2298" s="205"/>
      <c r="M2298" s="205"/>
      <c r="N2298" s="204"/>
      <c r="O2298" s="204"/>
      <c r="P2298" s="206"/>
      <c r="Q2298" s="206"/>
      <c r="R2298" s="206"/>
      <c r="S2298" s="206"/>
      <c r="T2298" s="204"/>
      <c r="U2298" s="207"/>
      <c r="V2298" s="204"/>
      <c r="W2298" s="204"/>
      <c r="X2298" s="207"/>
      <c r="Y2298" s="207"/>
      <c r="Z2298" s="204"/>
      <c r="AA2298" s="204"/>
      <c r="AB2298" s="204"/>
      <c r="AC2298" s="204"/>
    </row>
    <row r="2299" spans="1:29">
      <c r="A2299" s="204"/>
      <c r="B2299" s="204"/>
      <c r="C2299" s="204"/>
      <c r="D2299" s="204"/>
      <c r="E2299" s="204"/>
      <c r="F2299" s="204"/>
      <c r="G2299" s="204"/>
      <c r="H2299" s="204"/>
      <c r="I2299" s="204"/>
      <c r="J2299" s="204"/>
      <c r="K2299" s="204"/>
      <c r="L2299" s="205"/>
      <c r="M2299" s="205"/>
      <c r="N2299" s="204"/>
      <c r="O2299" s="204"/>
      <c r="P2299" s="206"/>
      <c r="Q2299" s="206"/>
      <c r="R2299" s="206"/>
      <c r="S2299" s="206"/>
      <c r="T2299" s="204"/>
      <c r="U2299" s="207"/>
      <c r="V2299" s="204"/>
      <c r="W2299" s="204"/>
      <c r="X2299" s="207"/>
      <c r="Y2299" s="207"/>
      <c r="Z2299" s="204"/>
      <c r="AA2299" s="204"/>
      <c r="AB2299" s="204"/>
      <c r="AC2299" s="204"/>
    </row>
    <row r="2300" spans="1:29">
      <c r="A2300" s="204"/>
      <c r="B2300" s="204"/>
      <c r="C2300" s="204"/>
      <c r="D2300" s="204"/>
      <c r="E2300" s="204"/>
      <c r="F2300" s="204"/>
      <c r="G2300" s="204"/>
      <c r="H2300" s="204"/>
      <c r="I2300" s="204"/>
      <c r="J2300" s="204"/>
      <c r="K2300" s="204"/>
      <c r="L2300" s="205"/>
      <c r="M2300" s="205"/>
      <c r="N2300" s="204"/>
      <c r="O2300" s="204"/>
      <c r="P2300" s="206"/>
      <c r="Q2300" s="206"/>
      <c r="R2300" s="206"/>
      <c r="S2300" s="206"/>
      <c r="T2300" s="204"/>
      <c r="U2300" s="207"/>
      <c r="V2300" s="204"/>
      <c r="W2300" s="204"/>
      <c r="X2300" s="207"/>
      <c r="Y2300" s="207"/>
      <c r="Z2300" s="204"/>
      <c r="AA2300" s="204"/>
      <c r="AB2300" s="204"/>
      <c r="AC2300" s="204"/>
    </row>
    <row r="2301" spans="1:29">
      <c r="A2301" s="204"/>
      <c r="B2301" s="204"/>
      <c r="C2301" s="204"/>
      <c r="D2301" s="204"/>
      <c r="E2301" s="204"/>
      <c r="F2301" s="204"/>
      <c r="G2301" s="204"/>
      <c r="H2301" s="204"/>
      <c r="I2301" s="204"/>
      <c r="J2301" s="204"/>
      <c r="K2301" s="204"/>
      <c r="L2301" s="205"/>
      <c r="M2301" s="205"/>
      <c r="N2301" s="204"/>
      <c r="O2301" s="204"/>
      <c r="P2301" s="206"/>
      <c r="Q2301" s="206"/>
      <c r="R2301" s="206"/>
      <c r="S2301" s="206"/>
      <c r="T2301" s="204"/>
      <c r="U2301" s="207"/>
      <c r="V2301" s="204"/>
      <c r="W2301" s="204"/>
      <c r="X2301" s="207"/>
      <c r="Y2301" s="207"/>
      <c r="Z2301" s="204"/>
      <c r="AA2301" s="204"/>
      <c r="AB2301" s="204"/>
      <c r="AC2301" s="204"/>
    </row>
    <row r="2302" spans="1:29">
      <c r="A2302" s="204"/>
      <c r="B2302" s="204"/>
      <c r="C2302" s="204"/>
      <c r="D2302" s="204"/>
      <c r="E2302" s="204"/>
      <c r="F2302" s="204"/>
      <c r="G2302" s="204"/>
      <c r="H2302" s="204"/>
      <c r="I2302" s="204"/>
      <c r="J2302" s="204"/>
      <c r="K2302" s="204"/>
      <c r="L2302" s="205"/>
      <c r="M2302" s="205"/>
      <c r="N2302" s="204"/>
      <c r="O2302" s="204"/>
      <c r="P2302" s="206"/>
      <c r="Q2302" s="206"/>
      <c r="R2302" s="206"/>
      <c r="S2302" s="206"/>
      <c r="T2302" s="204"/>
      <c r="U2302" s="207"/>
      <c r="V2302" s="204"/>
      <c r="W2302" s="204"/>
      <c r="X2302" s="207"/>
      <c r="Y2302" s="207"/>
      <c r="Z2302" s="204"/>
      <c r="AA2302" s="204"/>
      <c r="AB2302" s="204"/>
      <c r="AC2302" s="204"/>
    </row>
    <row r="2303" spans="1:29">
      <c r="A2303" s="204"/>
      <c r="B2303" s="204"/>
      <c r="C2303" s="204"/>
      <c r="D2303" s="204"/>
      <c r="E2303" s="204"/>
      <c r="F2303" s="204"/>
      <c r="G2303" s="204"/>
      <c r="H2303" s="204"/>
      <c r="I2303" s="204"/>
      <c r="J2303" s="204"/>
      <c r="K2303" s="204"/>
      <c r="L2303" s="205"/>
      <c r="M2303" s="205"/>
      <c r="N2303" s="204"/>
      <c r="O2303" s="204"/>
      <c r="P2303" s="206"/>
      <c r="Q2303" s="206"/>
      <c r="R2303" s="206"/>
      <c r="S2303" s="206"/>
      <c r="T2303" s="204"/>
      <c r="U2303" s="207"/>
      <c r="V2303" s="204"/>
      <c r="W2303" s="204"/>
      <c r="X2303" s="207"/>
      <c r="Y2303" s="207"/>
      <c r="Z2303" s="204"/>
      <c r="AA2303" s="204"/>
      <c r="AB2303" s="204"/>
      <c r="AC2303" s="204"/>
    </row>
    <row r="2304" spans="1:29">
      <c r="A2304" s="204"/>
      <c r="B2304" s="204"/>
      <c r="C2304" s="204"/>
      <c r="D2304" s="204"/>
      <c r="E2304" s="204"/>
      <c r="F2304" s="204"/>
      <c r="G2304" s="204"/>
      <c r="H2304" s="204"/>
      <c r="I2304" s="204"/>
      <c r="J2304" s="204"/>
      <c r="K2304" s="204"/>
      <c r="L2304" s="205"/>
      <c r="M2304" s="205"/>
      <c r="N2304" s="204"/>
      <c r="O2304" s="204"/>
      <c r="P2304" s="206"/>
      <c r="Q2304" s="206"/>
      <c r="R2304" s="206"/>
      <c r="S2304" s="206"/>
      <c r="T2304" s="204"/>
      <c r="U2304" s="207"/>
      <c r="V2304" s="204"/>
      <c r="W2304" s="204"/>
      <c r="X2304" s="207"/>
      <c r="Y2304" s="207"/>
      <c r="Z2304" s="204"/>
      <c r="AA2304" s="204"/>
      <c r="AB2304" s="204"/>
      <c r="AC2304" s="204"/>
    </row>
    <row r="2305" spans="1:29">
      <c r="A2305" s="204"/>
      <c r="B2305" s="204"/>
      <c r="C2305" s="204"/>
      <c r="D2305" s="204"/>
      <c r="E2305" s="204"/>
      <c r="F2305" s="204"/>
      <c r="G2305" s="204"/>
      <c r="H2305" s="204"/>
      <c r="I2305" s="204"/>
      <c r="J2305" s="204"/>
      <c r="K2305" s="204"/>
      <c r="L2305" s="205"/>
      <c r="M2305" s="205"/>
      <c r="N2305" s="204"/>
      <c r="O2305" s="204"/>
      <c r="P2305" s="206"/>
      <c r="Q2305" s="206"/>
      <c r="R2305" s="206"/>
      <c r="S2305" s="206"/>
      <c r="T2305" s="204"/>
      <c r="U2305" s="207"/>
      <c r="V2305" s="204"/>
      <c r="W2305" s="204"/>
      <c r="X2305" s="207"/>
      <c r="Y2305" s="207"/>
      <c r="Z2305" s="204"/>
      <c r="AA2305" s="204"/>
      <c r="AB2305" s="204"/>
      <c r="AC2305" s="204"/>
    </row>
    <row r="2306" spans="1:29">
      <c r="A2306" s="204"/>
      <c r="B2306" s="204"/>
      <c r="C2306" s="204"/>
      <c r="D2306" s="204"/>
      <c r="E2306" s="204"/>
      <c r="F2306" s="204"/>
      <c r="G2306" s="204"/>
      <c r="H2306" s="204"/>
      <c r="I2306" s="204"/>
      <c r="J2306" s="204"/>
      <c r="K2306" s="204"/>
      <c r="L2306" s="205"/>
      <c r="M2306" s="205"/>
      <c r="N2306" s="204"/>
      <c r="O2306" s="204"/>
      <c r="P2306" s="206"/>
      <c r="Q2306" s="206"/>
      <c r="R2306" s="206"/>
      <c r="S2306" s="206"/>
      <c r="T2306" s="204"/>
      <c r="U2306" s="207"/>
      <c r="V2306" s="204"/>
      <c r="W2306" s="204"/>
      <c r="X2306" s="207"/>
      <c r="Y2306" s="207"/>
      <c r="Z2306" s="204"/>
      <c r="AA2306" s="204"/>
      <c r="AB2306" s="204"/>
      <c r="AC2306" s="204"/>
    </row>
    <row r="2307" spans="1:29">
      <c r="A2307" s="204"/>
      <c r="B2307" s="204"/>
      <c r="C2307" s="204"/>
      <c r="D2307" s="204"/>
      <c r="E2307" s="204"/>
      <c r="F2307" s="204"/>
      <c r="G2307" s="204"/>
      <c r="H2307" s="204"/>
      <c r="I2307" s="204"/>
      <c r="J2307" s="204"/>
      <c r="K2307" s="204"/>
      <c r="L2307" s="205"/>
      <c r="M2307" s="205"/>
      <c r="N2307" s="204"/>
      <c r="O2307" s="204"/>
      <c r="P2307" s="206"/>
      <c r="Q2307" s="206"/>
      <c r="R2307" s="206"/>
      <c r="S2307" s="206"/>
      <c r="T2307" s="204"/>
      <c r="U2307" s="207"/>
      <c r="V2307" s="204"/>
      <c r="W2307" s="204"/>
      <c r="X2307" s="207"/>
      <c r="Y2307" s="207"/>
      <c r="Z2307" s="204"/>
      <c r="AA2307" s="204"/>
      <c r="AB2307" s="204"/>
      <c r="AC2307" s="204"/>
    </row>
    <row r="2308" spans="1:29">
      <c r="A2308" s="204"/>
      <c r="B2308" s="204"/>
      <c r="C2308" s="204"/>
      <c r="D2308" s="204"/>
      <c r="E2308" s="204"/>
      <c r="F2308" s="204"/>
      <c r="G2308" s="204"/>
      <c r="H2308" s="204"/>
      <c r="I2308" s="204"/>
      <c r="J2308" s="204"/>
      <c r="K2308" s="204"/>
      <c r="L2308" s="205"/>
      <c r="M2308" s="205"/>
      <c r="N2308" s="204"/>
      <c r="O2308" s="204"/>
      <c r="P2308" s="206"/>
      <c r="Q2308" s="206"/>
      <c r="R2308" s="206"/>
      <c r="S2308" s="206"/>
      <c r="T2308" s="204"/>
      <c r="U2308" s="207"/>
      <c r="V2308" s="204"/>
      <c r="W2308" s="204"/>
      <c r="X2308" s="207"/>
      <c r="Y2308" s="207"/>
      <c r="Z2308" s="204"/>
      <c r="AA2308" s="204"/>
      <c r="AB2308" s="204"/>
      <c r="AC2308" s="204"/>
    </row>
    <row r="2309" spans="1:29">
      <c r="A2309" s="204"/>
      <c r="B2309" s="204"/>
      <c r="C2309" s="204"/>
      <c r="D2309" s="204"/>
      <c r="E2309" s="204"/>
      <c r="F2309" s="204"/>
      <c r="G2309" s="204"/>
      <c r="H2309" s="204"/>
      <c r="I2309" s="204"/>
      <c r="J2309" s="204"/>
      <c r="K2309" s="204"/>
      <c r="L2309" s="205"/>
      <c r="M2309" s="205"/>
      <c r="N2309" s="204"/>
      <c r="O2309" s="204"/>
      <c r="P2309" s="206"/>
      <c r="Q2309" s="206"/>
      <c r="R2309" s="206"/>
      <c r="S2309" s="206"/>
      <c r="T2309" s="204"/>
      <c r="U2309" s="207"/>
      <c r="V2309" s="204"/>
      <c r="W2309" s="204"/>
      <c r="X2309" s="207"/>
      <c r="Y2309" s="207"/>
      <c r="Z2309" s="204"/>
      <c r="AA2309" s="204"/>
      <c r="AB2309" s="204"/>
      <c r="AC2309" s="204"/>
    </row>
    <row r="2310" spans="1:29">
      <c r="A2310" s="204"/>
      <c r="B2310" s="204"/>
      <c r="C2310" s="204"/>
      <c r="D2310" s="204"/>
      <c r="E2310" s="204"/>
      <c r="F2310" s="204"/>
      <c r="G2310" s="204"/>
      <c r="H2310" s="204"/>
      <c r="I2310" s="204"/>
      <c r="J2310" s="204"/>
      <c r="K2310" s="204"/>
      <c r="L2310" s="205"/>
      <c r="M2310" s="205"/>
      <c r="N2310" s="204"/>
      <c r="O2310" s="204"/>
      <c r="P2310" s="206"/>
      <c r="Q2310" s="206"/>
      <c r="R2310" s="206"/>
      <c r="S2310" s="206"/>
      <c r="T2310" s="204"/>
      <c r="U2310" s="207"/>
      <c r="V2310" s="204"/>
      <c r="W2310" s="204"/>
      <c r="X2310" s="207"/>
      <c r="Y2310" s="207"/>
      <c r="Z2310" s="204"/>
      <c r="AA2310" s="204"/>
      <c r="AB2310" s="204"/>
      <c r="AC2310" s="204"/>
    </row>
    <row r="2311" spans="1:29">
      <c r="A2311" s="204"/>
      <c r="B2311" s="204"/>
      <c r="C2311" s="204"/>
      <c r="D2311" s="204"/>
      <c r="E2311" s="204"/>
      <c r="F2311" s="204"/>
      <c r="G2311" s="204"/>
      <c r="H2311" s="204"/>
      <c r="I2311" s="204"/>
      <c r="J2311" s="204"/>
      <c r="K2311" s="204"/>
      <c r="L2311" s="205"/>
      <c r="M2311" s="205"/>
      <c r="N2311" s="204"/>
      <c r="O2311" s="204"/>
      <c r="P2311" s="206"/>
      <c r="Q2311" s="206"/>
      <c r="R2311" s="206"/>
      <c r="S2311" s="206"/>
      <c r="T2311" s="204"/>
      <c r="U2311" s="207"/>
      <c r="V2311" s="204"/>
      <c r="W2311" s="204"/>
      <c r="X2311" s="207"/>
      <c r="Y2311" s="207"/>
      <c r="Z2311" s="204"/>
      <c r="AA2311" s="204"/>
      <c r="AB2311" s="204"/>
      <c r="AC2311" s="204"/>
    </row>
    <row r="2312" spans="1:29">
      <c r="A2312" s="204"/>
      <c r="B2312" s="204"/>
      <c r="C2312" s="204"/>
      <c r="D2312" s="204"/>
      <c r="E2312" s="204"/>
      <c r="F2312" s="204"/>
      <c r="G2312" s="204"/>
      <c r="H2312" s="204"/>
      <c r="I2312" s="204"/>
      <c r="J2312" s="204"/>
      <c r="K2312" s="204"/>
      <c r="L2312" s="205"/>
      <c r="M2312" s="205"/>
      <c r="N2312" s="204"/>
      <c r="O2312" s="204"/>
      <c r="P2312" s="206"/>
      <c r="Q2312" s="206"/>
      <c r="R2312" s="206"/>
      <c r="S2312" s="206"/>
      <c r="T2312" s="204"/>
      <c r="U2312" s="207"/>
      <c r="V2312" s="204"/>
      <c r="W2312" s="204"/>
      <c r="X2312" s="207"/>
      <c r="Y2312" s="207"/>
      <c r="Z2312" s="204"/>
      <c r="AA2312" s="204"/>
      <c r="AB2312" s="204"/>
      <c r="AC2312" s="204"/>
    </row>
    <row r="2313" spans="1:29">
      <c r="A2313" s="204"/>
      <c r="B2313" s="204"/>
      <c r="C2313" s="204"/>
      <c r="D2313" s="204"/>
      <c r="E2313" s="204"/>
      <c r="F2313" s="204"/>
      <c r="G2313" s="204"/>
      <c r="H2313" s="204"/>
      <c r="I2313" s="204"/>
      <c r="J2313" s="204"/>
      <c r="K2313" s="204"/>
      <c r="L2313" s="205"/>
      <c r="M2313" s="205"/>
      <c r="N2313" s="204"/>
      <c r="O2313" s="204"/>
      <c r="P2313" s="206"/>
      <c r="Q2313" s="206"/>
      <c r="R2313" s="206"/>
      <c r="S2313" s="206"/>
      <c r="T2313" s="204"/>
      <c r="U2313" s="207"/>
      <c r="V2313" s="204"/>
      <c r="W2313" s="204"/>
      <c r="X2313" s="207"/>
      <c r="Y2313" s="207"/>
      <c r="Z2313" s="204"/>
      <c r="AA2313" s="204"/>
      <c r="AB2313" s="204"/>
      <c r="AC2313" s="204"/>
    </row>
    <row r="2314" spans="1:29">
      <c r="A2314" s="204"/>
      <c r="B2314" s="204"/>
      <c r="C2314" s="204"/>
      <c r="D2314" s="204"/>
      <c r="E2314" s="204"/>
      <c r="F2314" s="204"/>
      <c r="G2314" s="204"/>
      <c r="H2314" s="204"/>
      <c r="I2314" s="204"/>
      <c r="J2314" s="204"/>
      <c r="K2314" s="204"/>
      <c r="L2314" s="205"/>
      <c r="M2314" s="205"/>
      <c r="N2314" s="204"/>
      <c r="O2314" s="204"/>
      <c r="P2314" s="206"/>
      <c r="Q2314" s="206"/>
      <c r="R2314" s="206"/>
      <c r="S2314" s="206"/>
      <c r="T2314" s="204"/>
      <c r="U2314" s="207"/>
      <c r="V2314" s="204"/>
      <c r="W2314" s="204"/>
      <c r="X2314" s="207"/>
      <c r="Y2314" s="207"/>
      <c r="Z2314" s="204"/>
      <c r="AA2314" s="204"/>
      <c r="AB2314" s="204"/>
      <c r="AC2314" s="204"/>
    </row>
    <row r="2315" spans="1:29">
      <c r="A2315" s="204"/>
      <c r="B2315" s="204"/>
      <c r="C2315" s="204"/>
      <c r="D2315" s="204"/>
      <c r="E2315" s="204"/>
      <c r="F2315" s="204"/>
      <c r="G2315" s="204"/>
      <c r="H2315" s="204"/>
      <c r="I2315" s="204"/>
      <c r="J2315" s="204"/>
      <c r="K2315" s="204"/>
      <c r="L2315" s="205"/>
      <c r="M2315" s="205"/>
      <c r="N2315" s="204"/>
      <c r="O2315" s="204"/>
      <c r="P2315" s="206"/>
      <c r="Q2315" s="206"/>
      <c r="R2315" s="206"/>
      <c r="S2315" s="206"/>
      <c r="T2315" s="204"/>
      <c r="U2315" s="207"/>
      <c r="V2315" s="204"/>
      <c r="W2315" s="204"/>
      <c r="X2315" s="207"/>
      <c r="Y2315" s="207"/>
      <c r="Z2315" s="204"/>
      <c r="AA2315" s="204"/>
      <c r="AB2315" s="204"/>
      <c r="AC2315" s="204"/>
    </row>
    <row r="2316" spans="1:29">
      <c r="A2316" s="204"/>
      <c r="B2316" s="204"/>
      <c r="C2316" s="204"/>
      <c r="D2316" s="204"/>
      <c r="E2316" s="204"/>
      <c r="F2316" s="204"/>
      <c r="G2316" s="204"/>
      <c r="H2316" s="204"/>
      <c r="I2316" s="204"/>
      <c r="J2316" s="204"/>
      <c r="K2316" s="204"/>
      <c r="L2316" s="205"/>
      <c r="M2316" s="205"/>
      <c r="N2316" s="204"/>
      <c r="O2316" s="204"/>
      <c r="P2316" s="206"/>
      <c r="Q2316" s="206"/>
      <c r="R2316" s="206"/>
      <c r="S2316" s="206"/>
      <c r="T2316" s="204"/>
      <c r="U2316" s="207"/>
      <c r="V2316" s="204"/>
      <c r="W2316" s="204"/>
      <c r="X2316" s="207"/>
      <c r="Y2316" s="207"/>
      <c r="Z2316" s="204"/>
      <c r="AA2316" s="204"/>
      <c r="AB2316" s="204"/>
      <c r="AC2316" s="204"/>
    </row>
    <row r="2317" spans="1:29">
      <c r="A2317" s="204"/>
      <c r="B2317" s="204"/>
      <c r="C2317" s="204"/>
      <c r="D2317" s="204"/>
      <c r="E2317" s="204"/>
      <c r="F2317" s="204"/>
      <c r="G2317" s="204"/>
      <c r="H2317" s="204"/>
      <c r="I2317" s="204"/>
      <c r="J2317" s="204"/>
      <c r="K2317" s="204"/>
      <c r="L2317" s="205"/>
      <c r="M2317" s="205"/>
      <c r="N2317" s="204"/>
      <c r="O2317" s="204"/>
      <c r="P2317" s="206"/>
      <c r="Q2317" s="206"/>
      <c r="R2317" s="206"/>
      <c r="S2317" s="206"/>
      <c r="T2317" s="204"/>
      <c r="U2317" s="207"/>
      <c r="V2317" s="204"/>
      <c r="W2317" s="204"/>
      <c r="X2317" s="207"/>
      <c r="Y2317" s="207"/>
      <c r="Z2317" s="204"/>
      <c r="AA2317" s="204"/>
      <c r="AB2317" s="204"/>
      <c r="AC2317" s="204"/>
    </row>
    <row r="2318" spans="1:29">
      <c r="A2318" s="204"/>
      <c r="B2318" s="204"/>
      <c r="C2318" s="204"/>
      <c r="D2318" s="204"/>
      <c r="E2318" s="204"/>
      <c r="F2318" s="204"/>
      <c r="G2318" s="204"/>
      <c r="H2318" s="204"/>
      <c r="I2318" s="204"/>
      <c r="J2318" s="204"/>
      <c r="K2318" s="204"/>
      <c r="L2318" s="205"/>
      <c r="M2318" s="205"/>
      <c r="N2318" s="204"/>
      <c r="O2318" s="204"/>
      <c r="P2318" s="206"/>
      <c r="Q2318" s="206"/>
      <c r="R2318" s="206"/>
      <c r="S2318" s="206"/>
      <c r="T2318" s="204"/>
      <c r="U2318" s="207"/>
      <c r="V2318" s="204"/>
      <c r="W2318" s="204"/>
      <c r="X2318" s="207"/>
      <c r="Y2318" s="207"/>
      <c r="Z2318" s="204"/>
      <c r="AA2318" s="204"/>
      <c r="AB2318" s="204"/>
      <c r="AC2318" s="204"/>
    </row>
    <row r="2319" spans="1:29">
      <c r="A2319" s="204"/>
      <c r="B2319" s="204"/>
      <c r="C2319" s="204"/>
      <c r="D2319" s="204"/>
      <c r="E2319" s="204"/>
      <c r="F2319" s="204"/>
      <c r="G2319" s="204"/>
      <c r="H2319" s="204"/>
      <c r="I2319" s="204"/>
      <c r="J2319" s="204"/>
      <c r="K2319" s="204"/>
      <c r="L2319" s="205"/>
      <c r="M2319" s="205"/>
      <c r="N2319" s="204"/>
      <c r="O2319" s="204"/>
      <c r="P2319" s="206"/>
      <c r="Q2319" s="206"/>
      <c r="R2319" s="206"/>
      <c r="S2319" s="206"/>
      <c r="T2319" s="204"/>
      <c r="U2319" s="207"/>
      <c r="V2319" s="204"/>
      <c r="W2319" s="204"/>
      <c r="X2319" s="207"/>
      <c r="Y2319" s="207"/>
      <c r="Z2319" s="204"/>
      <c r="AA2319" s="204"/>
      <c r="AB2319" s="204"/>
      <c r="AC2319" s="204"/>
    </row>
    <row r="2320" spans="1:29">
      <c r="A2320" s="204"/>
      <c r="B2320" s="204"/>
      <c r="C2320" s="204"/>
      <c r="D2320" s="204"/>
      <c r="E2320" s="204"/>
      <c r="F2320" s="204"/>
      <c r="G2320" s="204"/>
      <c r="H2320" s="204"/>
      <c r="I2320" s="204"/>
      <c r="J2320" s="204"/>
      <c r="K2320" s="204"/>
      <c r="L2320" s="205"/>
      <c r="M2320" s="205"/>
      <c r="N2320" s="204"/>
      <c r="O2320" s="204"/>
      <c r="P2320" s="206"/>
      <c r="Q2320" s="206"/>
      <c r="R2320" s="206"/>
      <c r="S2320" s="206"/>
      <c r="T2320" s="204"/>
      <c r="U2320" s="207"/>
      <c r="V2320" s="204"/>
      <c r="W2320" s="204"/>
      <c r="X2320" s="207"/>
      <c r="Y2320" s="207"/>
      <c r="Z2320" s="204"/>
      <c r="AA2320" s="204"/>
      <c r="AB2320" s="204"/>
      <c r="AC2320" s="204"/>
    </row>
    <row r="2321" spans="1:29">
      <c r="A2321" s="204"/>
      <c r="B2321" s="204"/>
      <c r="C2321" s="204"/>
      <c r="D2321" s="204"/>
      <c r="E2321" s="204"/>
      <c r="F2321" s="204"/>
      <c r="G2321" s="204"/>
      <c r="H2321" s="204"/>
      <c r="I2321" s="204"/>
      <c r="J2321" s="204"/>
      <c r="K2321" s="204"/>
      <c r="L2321" s="205"/>
      <c r="M2321" s="205"/>
      <c r="N2321" s="204"/>
      <c r="O2321" s="204"/>
      <c r="P2321" s="206"/>
      <c r="Q2321" s="206"/>
      <c r="R2321" s="206"/>
      <c r="S2321" s="206"/>
      <c r="T2321" s="204"/>
      <c r="U2321" s="207"/>
      <c r="V2321" s="204"/>
      <c r="W2321" s="204"/>
      <c r="X2321" s="207"/>
      <c r="Y2321" s="207"/>
      <c r="Z2321" s="204"/>
      <c r="AA2321" s="204"/>
      <c r="AB2321" s="204"/>
      <c r="AC2321" s="204"/>
    </row>
    <row r="2322" spans="1:29">
      <c r="A2322" s="204"/>
      <c r="B2322" s="204"/>
      <c r="C2322" s="204"/>
      <c r="D2322" s="204"/>
      <c r="E2322" s="204"/>
      <c r="F2322" s="204"/>
      <c r="G2322" s="204"/>
      <c r="H2322" s="204"/>
      <c r="I2322" s="204"/>
      <c r="J2322" s="204"/>
      <c r="K2322" s="204"/>
      <c r="L2322" s="205"/>
      <c r="M2322" s="205"/>
      <c r="N2322" s="204"/>
      <c r="O2322" s="204"/>
      <c r="P2322" s="206"/>
      <c r="Q2322" s="206"/>
      <c r="R2322" s="206"/>
      <c r="S2322" s="206"/>
      <c r="T2322" s="204"/>
      <c r="U2322" s="207"/>
      <c r="V2322" s="204"/>
      <c r="W2322" s="204"/>
      <c r="X2322" s="207"/>
      <c r="Y2322" s="207"/>
      <c r="Z2322" s="204"/>
      <c r="AA2322" s="204"/>
      <c r="AB2322" s="204"/>
      <c r="AC2322" s="204"/>
    </row>
    <row r="2323" spans="1:29">
      <c r="A2323" s="204"/>
      <c r="B2323" s="204"/>
      <c r="C2323" s="204"/>
      <c r="D2323" s="204"/>
      <c r="E2323" s="204"/>
      <c r="F2323" s="204"/>
      <c r="G2323" s="204"/>
      <c r="H2323" s="204"/>
      <c r="I2323" s="204"/>
      <c r="J2323" s="204"/>
      <c r="K2323" s="204"/>
      <c r="L2323" s="205"/>
      <c r="M2323" s="205"/>
      <c r="N2323" s="204"/>
      <c r="O2323" s="204"/>
      <c r="P2323" s="206"/>
      <c r="Q2323" s="206"/>
      <c r="R2323" s="206"/>
      <c r="S2323" s="206"/>
      <c r="T2323" s="204"/>
      <c r="U2323" s="207"/>
      <c r="V2323" s="204"/>
      <c r="W2323" s="204"/>
      <c r="X2323" s="207"/>
      <c r="Y2323" s="207"/>
      <c r="Z2323" s="204"/>
      <c r="AA2323" s="204"/>
      <c r="AB2323" s="204"/>
      <c r="AC2323" s="204"/>
    </row>
    <row r="2324" spans="1:29">
      <c r="A2324" s="204"/>
      <c r="B2324" s="204"/>
      <c r="C2324" s="204"/>
      <c r="D2324" s="204"/>
      <c r="E2324" s="204"/>
      <c r="F2324" s="204"/>
      <c r="G2324" s="204"/>
      <c r="H2324" s="204"/>
      <c r="I2324" s="204"/>
      <c r="J2324" s="204"/>
      <c r="K2324" s="204"/>
      <c r="L2324" s="205"/>
      <c r="M2324" s="205"/>
      <c r="N2324" s="204"/>
      <c r="O2324" s="204"/>
      <c r="P2324" s="206"/>
      <c r="Q2324" s="206"/>
      <c r="R2324" s="206"/>
      <c r="S2324" s="206"/>
      <c r="T2324" s="204"/>
      <c r="U2324" s="207"/>
      <c r="V2324" s="204"/>
      <c r="W2324" s="204"/>
      <c r="X2324" s="207"/>
      <c r="Y2324" s="207"/>
      <c r="Z2324" s="204"/>
      <c r="AA2324" s="204"/>
      <c r="AB2324" s="204"/>
      <c r="AC2324" s="204"/>
    </row>
    <row r="2325" spans="1:29">
      <c r="A2325" s="204"/>
      <c r="B2325" s="204"/>
      <c r="C2325" s="204"/>
      <c r="D2325" s="204"/>
      <c r="E2325" s="204"/>
      <c r="F2325" s="204"/>
      <c r="G2325" s="204"/>
      <c r="H2325" s="204"/>
      <c r="I2325" s="204"/>
      <c r="J2325" s="204"/>
      <c r="K2325" s="204"/>
      <c r="L2325" s="205"/>
      <c r="M2325" s="205"/>
      <c r="N2325" s="204"/>
      <c r="O2325" s="204"/>
      <c r="P2325" s="206"/>
      <c r="Q2325" s="206"/>
      <c r="R2325" s="206"/>
      <c r="S2325" s="206"/>
      <c r="T2325" s="204"/>
      <c r="U2325" s="207"/>
      <c r="V2325" s="204"/>
      <c r="W2325" s="204"/>
      <c r="X2325" s="207"/>
      <c r="Y2325" s="207"/>
      <c r="Z2325" s="204"/>
      <c r="AA2325" s="204"/>
      <c r="AB2325" s="204"/>
      <c r="AC2325" s="204"/>
    </row>
    <row r="2326" spans="1:29">
      <c r="A2326" s="204"/>
      <c r="B2326" s="204"/>
      <c r="C2326" s="204"/>
      <c r="D2326" s="204"/>
      <c r="E2326" s="204"/>
      <c r="F2326" s="204"/>
      <c r="G2326" s="204"/>
      <c r="H2326" s="204"/>
      <c r="I2326" s="204"/>
      <c r="J2326" s="204"/>
      <c r="K2326" s="204"/>
      <c r="L2326" s="205"/>
      <c r="M2326" s="205"/>
      <c r="N2326" s="204"/>
      <c r="O2326" s="204"/>
      <c r="P2326" s="206"/>
      <c r="Q2326" s="206"/>
      <c r="R2326" s="206"/>
      <c r="S2326" s="206"/>
      <c r="T2326" s="204"/>
      <c r="U2326" s="207"/>
      <c r="V2326" s="204"/>
      <c r="W2326" s="204"/>
      <c r="X2326" s="207"/>
      <c r="Y2326" s="207"/>
      <c r="Z2326" s="204"/>
      <c r="AA2326" s="204"/>
      <c r="AB2326" s="204"/>
      <c r="AC2326" s="204"/>
    </row>
    <row r="2327" spans="1:29">
      <c r="A2327" s="204"/>
      <c r="B2327" s="204"/>
      <c r="C2327" s="204"/>
      <c r="D2327" s="204"/>
      <c r="E2327" s="204"/>
      <c r="F2327" s="204"/>
      <c r="G2327" s="204"/>
      <c r="H2327" s="204"/>
      <c r="I2327" s="204"/>
      <c r="J2327" s="204"/>
      <c r="K2327" s="204"/>
      <c r="L2327" s="205"/>
      <c r="M2327" s="205"/>
      <c r="N2327" s="204"/>
      <c r="O2327" s="204"/>
      <c r="P2327" s="206"/>
      <c r="Q2327" s="206"/>
      <c r="R2327" s="206"/>
      <c r="S2327" s="206"/>
      <c r="T2327" s="204"/>
      <c r="U2327" s="207"/>
      <c r="V2327" s="204"/>
      <c r="W2327" s="204"/>
      <c r="X2327" s="207"/>
      <c r="Y2327" s="207"/>
      <c r="Z2327" s="204"/>
      <c r="AA2327" s="204"/>
      <c r="AB2327" s="204"/>
      <c r="AC2327" s="204"/>
    </row>
    <row r="2328" spans="1:29">
      <c r="A2328" s="204"/>
      <c r="B2328" s="204"/>
      <c r="C2328" s="204"/>
      <c r="D2328" s="204"/>
      <c r="E2328" s="204"/>
      <c r="F2328" s="204"/>
      <c r="G2328" s="204"/>
      <c r="H2328" s="204"/>
      <c r="I2328" s="204"/>
      <c r="J2328" s="204"/>
      <c r="K2328" s="204"/>
      <c r="L2328" s="205"/>
      <c r="M2328" s="205"/>
      <c r="N2328" s="204"/>
      <c r="O2328" s="204"/>
      <c r="P2328" s="206"/>
      <c r="Q2328" s="206"/>
      <c r="R2328" s="206"/>
      <c r="S2328" s="206"/>
      <c r="T2328" s="204"/>
      <c r="U2328" s="207"/>
      <c r="V2328" s="204"/>
      <c r="W2328" s="204"/>
      <c r="X2328" s="207"/>
      <c r="Y2328" s="207"/>
      <c r="Z2328" s="204"/>
      <c r="AA2328" s="204"/>
      <c r="AB2328" s="204"/>
      <c r="AC2328" s="204"/>
    </row>
    <row r="2329" spans="1:29">
      <c r="A2329" s="204"/>
      <c r="B2329" s="204"/>
      <c r="C2329" s="204"/>
      <c r="D2329" s="204"/>
      <c r="E2329" s="204"/>
      <c r="F2329" s="204"/>
      <c r="G2329" s="204"/>
      <c r="H2329" s="204"/>
      <c r="I2329" s="204"/>
      <c r="J2329" s="204"/>
      <c r="K2329" s="204"/>
      <c r="L2329" s="205"/>
      <c r="M2329" s="205"/>
      <c r="N2329" s="204"/>
      <c r="O2329" s="204"/>
      <c r="P2329" s="206"/>
      <c r="Q2329" s="206"/>
      <c r="R2329" s="206"/>
      <c r="S2329" s="206"/>
      <c r="T2329" s="204"/>
      <c r="U2329" s="207"/>
      <c r="V2329" s="204"/>
      <c r="W2329" s="204"/>
      <c r="X2329" s="207"/>
      <c r="Y2329" s="207"/>
      <c r="Z2329" s="204"/>
      <c r="AA2329" s="204"/>
      <c r="AB2329" s="204"/>
      <c r="AC2329" s="204"/>
    </row>
    <row r="2330" spans="1:29">
      <c r="A2330" s="204"/>
      <c r="B2330" s="204"/>
      <c r="C2330" s="204"/>
      <c r="D2330" s="204"/>
      <c r="E2330" s="204"/>
      <c r="F2330" s="204"/>
      <c r="G2330" s="204"/>
      <c r="H2330" s="204"/>
      <c r="I2330" s="204"/>
      <c r="J2330" s="204"/>
      <c r="K2330" s="204"/>
      <c r="L2330" s="205"/>
      <c r="M2330" s="205"/>
      <c r="N2330" s="204"/>
      <c r="O2330" s="204"/>
      <c r="P2330" s="206"/>
      <c r="Q2330" s="206"/>
      <c r="R2330" s="206"/>
      <c r="S2330" s="206"/>
      <c r="T2330" s="204"/>
      <c r="U2330" s="207"/>
      <c r="V2330" s="204"/>
      <c r="W2330" s="204"/>
      <c r="X2330" s="207"/>
      <c r="Y2330" s="207"/>
      <c r="Z2330" s="204"/>
      <c r="AA2330" s="204"/>
      <c r="AB2330" s="204"/>
      <c r="AC2330" s="204"/>
    </row>
    <row r="2331" spans="1:29">
      <c r="A2331" s="204"/>
      <c r="B2331" s="204"/>
      <c r="C2331" s="204"/>
      <c r="D2331" s="204"/>
      <c r="E2331" s="204"/>
      <c r="F2331" s="204"/>
      <c r="G2331" s="204"/>
      <c r="H2331" s="204"/>
      <c r="I2331" s="204"/>
      <c r="J2331" s="204"/>
      <c r="K2331" s="204"/>
      <c r="L2331" s="205"/>
      <c r="M2331" s="205"/>
      <c r="N2331" s="204"/>
      <c r="O2331" s="204"/>
      <c r="P2331" s="206"/>
      <c r="Q2331" s="206"/>
      <c r="R2331" s="206"/>
      <c r="S2331" s="206"/>
      <c r="T2331" s="204"/>
      <c r="U2331" s="207"/>
      <c r="V2331" s="204"/>
      <c r="W2331" s="204"/>
      <c r="X2331" s="207"/>
      <c r="Y2331" s="207"/>
      <c r="Z2331" s="204"/>
      <c r="AA2331" s="204"/>
      <c r="AB2331" s="204"/>
      <c r="AC2331" s="204"/>
    </row>
    <row r="2332" spans="1:29">
      <c r="A2332" s="204"/>
      <c r="B2332" s="204"/>
      <c r="C2332" s="204"/>
      <c r="D2332" s="204"/>
      <c r="E2332" s="204"/>
      <c r="F2332" s="204"/>
      <c r="G2332" s="204"/>
      <c r="H2332" s="204"/>
      <c r="I2332" s="204"/>
      <c r="J2332" s="204"/>
      <c r="K2332" s="204"/>
      <c r="L2332" s="205"/>
      <c r="M2332" s="205"/>
      <c r="N2332" s="204"/>
      <c r="O2332" s="204"/>
      <c r="P2332" s="206"/>
      <c r="Q2332" s="206"/>
      <c r="R2332" s="206"/>
      <c r="S2332" s="206"/>
      <c r="T2332" s="204"/>
      <c r="U2332" s="207"/>
      <c r="V2332" s="204"/>
      <c r="W2332" s="204"/>
      <c r="X2332" s="207"/>
      <c r="Y2332" s="207"/>
      <c r="Z2332" s="204"/>
      <c r="AA2332" s="204"/>
      <c r="AB2332" s="204"/>
      <c r="AC2332" s="204"/>
    </row>
    <row r="2333" spans="1:29">
      <c r="A2333" s="204"/>
      <c r="B2333" s="204"/>
      <c r="C2333" s="204"/>
      <c r="D2333" s="204"/>
      <c r="E2333" s="204"/>
      <c r="F2333" s="204"/>
      <c r="G2333" s="204"/>
      <c r="H2333" s="204"/>
      <c r="I2333" s="204"/>
      <c r="J2333" s="204"/>
      <c r="K2333" s="204"/>
      <c r="L2333" s="205"/>
      <c r="M2333" s="205"/>
      <c r="N2333" s="204"/>
      <c r="O2333" s="204"/>
      <c r="P2333" s="206"/>
      <c r="Q2333" s="206"/>
      <c r="R2333" s="206"/>
      <c r="S2333" s="206"/>
      <c r="T2333" s="204"/>
      <c r="U2333" s="207"/>
      <c r="V2333" s="204"/>
      <c r="W2333" s="204"/>
      <c r="X2333" s="207"/>
      <c r="Y2333" s="207"/>
      <c r="Z2333" s="204"/>
      <c r="AA2333" s="204"/>
      <c r="AB2333" s="204"/>
      <c r="AC2333" s="204"/>
    </row>
    <row r="2334" spans="1:29">
      <c r="A2334" s="204"/>
      <c r="B2334" s="204"/>
      <c r="C2334" s="204"/>
      <c r="D2334" s="204"/>
      <c r="E2334" s="204"/>
      <c r="F2334" s="204"/>
      <c r="G2334" s="204"/>
      <c r="H2334" s="204"/>
      <c r="I2334" s="204"/>
      <c r="J2334" s="204"/>
      <c r="K2334" s="204"/>
      <c r="L2334" s="205"/>
      <c r="M2334" s="205"/>
      <c r="N2334" s="204"/>
      <c r="O2334" s="204"/>
      <c r="P2334" s="206"/>
      <c r="Q2334" s="206"/>
      <c r="R2334" s="206"/>
      <c r="S2334" s="206"/>
      <c r="T2334" s="204"/>
      <c r="U2334" s="207"/>
      <c r="V2334" s="204"/>
      <c r="W2334" s="204"/>
      <c r="X2334" s="207"/>
      <c r="Y2334" s="207"/>
      <c r="Z2334" s="204"/>
      <c r="AA2334" s="204"/>
      <c r="AB2334" s="204"/>
      <c r="AC2334" s="204"/>
    </row>
    <row r="2335" spans="1:29">
      <c r="A2335" s="204"/>
      <c r="B2335" s="204"/>
      <c r="C2335" s="204"/>
      <c r="D2335" s="204"/>
      <c r="E2335" s="204"/>
      <c r="F2335" s="204"/>
      <c r="G2335" s="204"/>
      <c r="H2335" s="204"/>
      <c r="I2335" s="204"/>
      <c r="J2335" s="204"/>
      <c r="K2335" s="204"/>
      <c r="L2335" s="205"/>
      <c r="M2335" s="205"/>
      <c r="N2335" s="204"/>
      <c r="O2335" s="204"/>
      <c r="P2335" s="206"/>
      <c r="Q2335" s="206"/>
      <c r="R2335" s="206"/>
      <c r="S2335" s="206"/>
      <c r="T2335" s="204"/>
      <c r="U2335" s="207"/>
      <c r="V2335" s="204"/>
      <c r="W2335" s="204"/>
      <c r="X2335" s="207"/>
      <c r="Y2335" s="207"/>
      <c r="Z2335" s="204"/>
      <c r="AA2335" s="204"/>
      <c r="AB2335" s="204"/>
      <c r="AC2335" s="204"/>
    </row>
    <row r="2336" spans="1:29">
      <c r="A2336" s="204"/>
      <c r="B2336" s="204"/>
      <c r="C2336" s="204"/>
      <c r="D2336" s="204"/>
      <c r="E2336" s="204"/>
      <c r="F2336" s="204"/>
      <c r="G2336" s="204"/>
      <c r="H2336" s="204"/>
      <c r="I2336" s="204"/>
      <c r="J2336" s="204"/>
      <c r="K2336" s="204"/>
      <c r="L2336" s="205"/>
      <c r="M2336" s="205"/>
      <c r="N2336" s="204"/>
      <c r="O2336" s="204"/>
      <c r="P2336" s="206"/>
      <c r="Q2336" s="206"/>
      <c r="R2336" s="206"/>
      <c r="S2336" s="206"/>
      <c r="T2336" s="204"/>
      <c r="U2336" s="207"/>
      <c r="V2336" s="204"/>
      <c r="W2336" s="204"/>
      <c r="X2336" s="207"/>
      <c r="Y2336" s="207"/>
      <c r="Z2336" s="204"/>
      <c r="AA2336" s="204"/>
      <c r="AB2336" s="204"/>
      <c r="AC2336" s="204"/>
    </row>
    <row r="2337" spans="1:29">
      <c r="A2337" s="204"/>
      <c r="B2337" s="204"/>
      <c r="C2337" s="204"/>
      <c r="D2337" s="204"/>
      <c r="E2337" s="204"/>
      <c r="F2337" s="204"/>
      <c r="G2337" s="204"/>
      <c r="H2337" s="204"/>
      <c r="I2337" s="204"/>
      <c r="J2337" s="204"/>
      <c r="K2337" s="204"/>
      <c r="L2337" s="205"/>
      <c r="M2337" s="205"/>
      <c r="N2337" s="204"/>
      <c r="O2337" s="204"/>
      <c r="P2337" s="206"/>
      <c r="Q2337" s="206"/>
      <c r="R2337" s="206"/>
      <c r="S2337" s="206"/>
      <c r="T2337" s="204"/>
      <c r="U2337" s="207"/>
      <c r="V2337" s="204"/>
      <c r="W2337" s="204"/>
      <c r="X2337" s="207"/>
      <c r="Y2337" s="207"/>
      <c r="Z2337" s="204"/>
      <c r="AA2337" s="204"/>
      <c r="AB2337" s="204"/>
      <c r="AC2337" s="204"/>
    </row>
    <row r="2338" spans="1:29">
      <c r="A2338" s="204"/>
      <c r="B2338" s="204"/>
      <c r="C2338" s="204"/>
      <c r="D2338" s="204"/>
      <c r="E2338" s="204"/>
      <c r="F2338" s="204"/>
      <c r="G2338" s="204"/>
      <c r="H2338" s="204"/>
      <c r="I2338" s="204"/>
      <c r="J2338" s="204"/>
      <c r="K2338" s="204"/>
      <c r="L2338" s="205"/>
      <c r="M2338" s="205"/>
      <c r="N2338" s="204"/>
      <c r="O2338" s="204"/>
      <c r="P2338" s="206"/>
      <c r="Q2338" s="206"/>
      <c r="R2338" s="206"/>
      <c r="S2338" s="206"/>
      <c r="T2338" s="204"/>
      <c r="U2338" s="207"/>
      <c r="V2338" s="204"/>
      <c r="W2338" s="204"/>
      <c r="X2338" s="207"/>
      <c r="Y2338" s="207"/>
      <c r="Z2338" s="204"/>
      <c r="AA2338" s="204"/>
      <c r="AB2338" s="204"/>
      <c r="AC2338" s="204"/>
    </row>
    <row r="2339" spans="1:29">
      <c r="A2339" s="204"/>
      <c r="B2339" s="204"/>
      <c r="C2339" s="204"/>
      <c r="D2339" s="204"/>
      <c r="E2339" s="204"/>
      <c r="F2339" s="204"/>
      <c r="G2339" s="204"/>
      <c r="H2339" s="204"/>
      <c r="I2339" s="204"/>
      <c r="J2339" s="204"/>
      <c r="K2339" s="204"/>
      <c r="L2339" s="205"/>
      <c r="M2339" s="205"/>
      <c r="N2339" s="204"/>
      <c r="O2339" s="204"/>
      <c r="P2339" s="206"/>
      <c r="Q2339" s="206"/>
      <c r="R2339" s="206"/>
      <c r="S2339" s="206"/>
      <c r="T2339" s="204"/>
      <c r="U2339" s="207"/>
      <c r="V2339" s="204"/>
      <c r="W2339" s="204"/>
      <c r="X2339" s="207"/>
      <c r="Y2339" s="207"/>
      <c r="Z2339" s="204"/>
      <c r="AA2339" s="204"/>
      <c r="AB2339" s="204"/>
      <c r="AC2339" s="204"/>
    </row>
    <row r="2340" spans="1:29">
      <c r="A2340" s="204"/>
      <c r="B2340" s="204"/>
      <c r="C2340" s="204"/>
      <c r="D2340" s="204"/>
      <c r="E2340" s="204"/>
      <c r="F2340" s="204"/>
      <c r="G2340" s="204"/>
      <c r="H2340" s="204"/>
      <c r="I2340" s="204"/>
      <c r="J2340" s="204"/>
      <c r="K2340" s="204"/>
      <c r="L2340" s="205"/>
      <c r="M2340" s="205"/>
      <c r="N2340" s="204"/>
      <c r="O2340" s="204"/>
      <c r="P2340" s="206"/>
      <c r="Q2340" s="206"/>
      <c r="R2340" s="206"/>
      <c r="S2340" s="206"/>
      <c r="T2340" s="204"/>
      <c r="U2340" s="207"/>
      <c r="V2340" s="204"/>
      <c r="W2340" s="204"/>
      <c r="X2340" s="207"/>
      <c r="Y2340" s="207"/>
      <c r="Z2340" s="204"/>
      <c r="AA2340" s="204"/>
      <c r="AB2340" s="204"/>
      <c r="AC2340" s="204"/>
    </row>
    <row r="2341" spans="1:29">
      <c r="A2341" s="204"/>
      <c r="B2341" s="204"/>
      <c r="C2341" s="204"/>
      <c r="D2341" s="204"/>
      <c r="E2341" s="204"/>
      <c r="F2341" s="204"/>
      <c r="G2341" s="204"/>
      <c r="H2341" s="204"/>
      <c r="I2341" s="204"/>
      <c r="J2341" s="204"/>
      <c r="K2341" s="204"/>
      <c r="L2341" s="205"/>
      <c r="M2341" s="205"/>
      <c r="N2341" s="204"/>
      <c r="O2341" s="204"/>
      <c r="P2341" s="206"/>
      <c r="Q2341" s="206"/>
      <c r="R2341" s="206"/>
      <c r="S2341" s="206"/>
      <c r="T2341" s="204"/>
      <c r="U2341" s="207"/>
      <c r="V2341" s="204"/>
      <c r="W2341" s="204"/>
      <c r="X2341" s="207"/>
      <c r="Y2341" s="207"/>
      <c r="Z2341" s="204"/>
      <c r="AA2341" s="204"/>
      <c r="AB2341" s="204"/>
      <c r="AC2341" s="204"/>
    </row>
    <row r="2342" spans="1:29">
      <c r="A2342" s="204"/>
      <c r="B2342" s="204"/>
      <c r="C2342" s="204"/>
      <c r="D2342" s="204"/>
      <c r="E2342" s="204"/>
      <c r="F2342" s="204"/>
      <c r="G2342" s="204"/>
      <c r="H2342" s="204"/>
      <c r="I2342" s="204"/>
      <c r="J2342" s="204"/>
      <c r="K2342" s="204"/>
      <c r="L2342" s="205"/>
      <c r="M2342" s="205"/>
      <c r="N2342" s="204"/>
      <c r="O2342" s="204"/>
      <c r="P2342" s="206"/>
      <c r="Q2342" s="206"/>
      <c r="R2342" s="206"/>
      <c r="S2342" s="206"/>
      <c r="T2342" s="204"/>
      <c r="U2342" s="207"/>
      <c r="V2342" s="204"/>
      <c r="W2342" s="204"/>
      <c r="X2342" s="207"/>
      <c r="Y2342" s="207"/>
      <c r="Z2342" s="204"/>
      <c r="AA2342" s="204"/>
      <c r="AB2342" s="204"/>
      <c r="AC2342" s="204"/>
    </row>
    <row r="2343" spans="1:29">
      <c r="A2343" s="204"/>
      <c r="B2343" s="204"/>
      <c r="C2343" s="204"/>
      <c r="D2343" s="204"/>
      <c r="E2343" s="204"/>
      <c r="F2343" s="204"/>
      <c r="G2343" s="204"/>
      <c r="H2343" s="204"/>
      <c r="I2343" s="204"/>
      <c r="J2343" s="204"/>
      <c r="K2343" s="204"/>
      <c r="L2343" s="205"/>
      <c r="M2343" s="205"/>
      <c r="N2343" s="204"/>
      <c r="O2343" s="204"/>
      <c r="P2343" s="206"/>
      <c r="Q2343" s="206"/>
      <c r="R2343" s="206"/>
      <c r="S2343" s="206"/>
      <c r="T2343" s="204"/>
      <c r="U2343" s="207"/>
      <c r="V2343" s="204"/>
      <c r="W2343" s="204"/>
      <c r="X2343" s="207"/>
      <c r="Y2343" s="207"/>
      <c r="Z2343" s="204"/>
      <c r="AA2343" s="204"/>
      <c r="AB2343" s="204"/>
      <c r="AC2343" s="204"/>
    </row>
    <row r="2344" spans="1:29">
      <c r="A2344" s="204"/>
      <c r="B2344" s="204"/>
      <c r="C2344" s="204"/>
      <c r="D2344" s="204"/>
      <c r="E2344" s="204"/>
      <c r="F2344" s="204"/>
      <c r="G2344" s="204"/>
      <c r="H2344" s="204"/>
      <c r="I2344" s="204"/>
      <c r="J2344" s="204"/>
      <c r="K2344" s="204"/>
      <c r="L2344" s="205"/>
      <c r="M2344" s="205"/>
      <c r="N2344" s="204"/>
      <c r="O2344" s="204"/>
      <c r="P2344" s="206"/>
      <c r="Q2344" s="206"/>
      <c r="R2344" s="206"/>
      <c r="S2344" s="206"/>
      <c r="T2344" s="204"/>
      <c r="U2344" s="207"/>
      <c r="V2344" s="204"/>
      <c r="W2344" s="204"/>
      <c r="X2344" s="207"/>
      <c r="Y2344" s="207"/>
      <c r="Z2344" s="204"/>
      <c r="AA2344" s="204"/>
      <c r="AB2344" s="204"/>
      <c r="AC2344" s="204"/>
    </row>
    <row r="2345" spans="1:29">
      <c r="A2345" s="204"/>
      <c r="B2345" s="204"/>
      <c r="C2345" s="204"/>
      <c r="D2345" s="204"/>
      <c r="E2345" s="204"/>
      <c r="F2345" s="204"/>
      <c r="G2345" s="204"/>
      <c r="H2345" s="204"/>
      <c r="I2345" s="204"/>
      <c r="J2345" s="204"/>
      <c r="K2345" s="204"/>
      <c r="L2345" s="205"/>
      <c r="M2345" s="205"/>
      <c r="N2345" s="204"/>
      <c r="O2345" s="204"/>
      <c r="P2345" s="206"/>
      <c r="Q2345" s="206"/>
      <c r="R2345" s="206"/>
      <c r="S2345" s="206"/>
      <c r="T2345" s="204"/>
      <c r="U2345" s="207"/>
      <c r="V2345" s="204"/>
      <c r="W2345" s="204"/>
      <c r="X2345" s="207"/>
      <c r="Y2345" s="207"/>
      <c r="Z2345" s="204"/>
      <c r="AA2345" s="204"/>
      <c r="AB2345" s="204"/>
      <c r="AC2345" s="204"/>
    </row>
    <row r="2346" spans="1:29">
      <c r="A2346" s="204"/>
      <c r="B2346" s="204"/>
      <c r="C2346" s="204"/>
      <c r="D2346" s="204"/>
      <c r="E2346" s="204"/>
      <c r="F2346" s="204"/>
      <c r="G2346" s="204"/>
      <c r="H2346" s="204"/>
      <c r="I2346" s="204"/>
      <c r="J2346" s="204"/>
      <c r="K2346" s="204"/>
      <c r="L2346" s="205"/>
      <c r="M2346" s="205"/>
      <c r="N2346" s="204"/>
      <c r="O2346" s="204"/>
      <c r="P2346" s="206"/>
      <c r="Q2346" s="206"/>
      <c r="R2346" s="206"/>
      <c r="S2346" s="206"/>
      <c r="T2346" s="204"/>
      <c r="U2346" s="207"/>
      <c r="V2346" s="204"/>
      <c r="W2346" s="204"/>
      <c r="X2346" s="207"/>
      <c r="Y2346" s="207"/>
      <c r="Z2346" s="204"/>
      <c r="AA2346" s="204"/>
      <c r="AB2346" s="204"/>
      <c r="AC2346" s="204"/>
    </row>
    <row r="2347" spans="1:29">
      <c r="A2347" s="204"/>
      <c r="B2347" s="204"/>
      <c r="C2347" s="204"/>
      <c r="D2347" s="204"/>
      <c r="E2347" s="204"/>
      <c r="F2347" s="204"/>
      <c r="G2347" s="204"/>
      <c r="H2347" s="204"/>
      <c r="I2347" s="204"/>
      <c r="J2347" s="204"/>
      <c r="K2347" s="204"/>
      <c r="L2347" s="205"/>
      <c r="M2347" s="205"/>
      <c r="N2347" s="204"/>
      <c r="O2347" s="204"/>
      <c r="P2347" s="206"/>
      <c r="Q2347" s="206"/>
      <c r="R2347" s="206"/>
      <c r="S2347" s="206"/>
      <c r="T2347" s="204"/>
      <c r="U2347" s="207"/>
      <c r="V2347" s="204"/>
      <c r="W2347" s="204"/>
      <c r="X2347" s="207"/>
      <c r="Y2347" s="207"/>
      <c r="Z2347" s="204"/>
      <c r="AA2347" s="204"/>
      <c r="AB2347" s="204"/>
      <c r="AC2347" s="204"/>
    </row>
    <row r="2348" spans="1:29">
      <c r="A2348" s="204"/>
      <c r="B2348" s="204"/>
      <c r="C2348" s="204"/>
      <c r="D2348" s="204"/>
      <c r="E2348" s="204"/>
      <c r="F2348" s="204"/>
      <c r="G2348" s="204"/>
      <c r="H2348" s="204"/>
      <c r="I2348" s="204"/>
      <c r="J2348" s="204"/>
      <c r="K2348" s="204"/>
      <c r="L2348" s="205"/>
      <c r="M2348" s="205"/>
      <c r="N2348" s="204"/>
      <c r="O2348" s="204"/>
      <c r="P2348" s="206"/>
      <c r="Q2348" s="206"/>
      <c r="R2348" s="206"/>
      <c r="S2348" s="206"/>
      <c r="T2348" s="204"/>
      <c r="U2348" s="207"/>
      <c r="V2348" s="204"/>
      <c r="W2348" s="204"/>
      <c r="X2348" s="207"/>
      <c r="Y2348" s="207"/>
      <c r="Z2348" s="204"/>
      <c r="AA2348" s="204"/>
      <c r="AB2348" s="204"/>
      <c r="AC2348" s="204"/>
    </row>
    <row r="2349" spans="1:29">
      <c r="A2349" s="204"/>
      <c r="B2349" s="204"/>
      <c r="C2349" s="204"/>
      <c r="D2349" s="204"/>
      <c r="E2349" s="204"/>
      <c r="F2349" s="204"/>
      <c r="G2349" s="204"/>
      <c r="H2349" s="204"/>
      <c r="I2349" s="204"/>
      <c r="J2349" s="204"/>
      <c r="K2349" s="204"/>
      <c r="L2349" s="205"/>
      <c r="M2349" s="205"/>
      <c r="N2349" s="204"/>
      <c r="O2349" s="204"/>
      <c r="P2349" s="206"/>
      <c r="Q2349" s="206"/>
      <c r="R2349" s="206"/>
      <c r="S2349" s="206"/>
      <c r="T2349" s="204"/>
      <c r="U2349" s="207"/>
      <c r="V2349" s="204"/>
      <c r="W2349" s="204"/>
      <c r="X2349" s="207"/>
      <c r="Y2349" s="207"/>
      <c r="Z2349" s="204"/>
      <c r="AA2349" s="204"/>
      <c r="AB2349" s="204"/>
      <c r="AC2349" s="204"/>
    </row>
    <row r="2350" spans="1:29">
      <c r="A2350" s="204"/>
      <c r="B2350" s="204"/>
      <c r="C2350" s="204"/>
      <c r="D2350" s="204"/>
      <c r="E2350" s="204"/>
      <c r="F2350" s="204"/>
      <c r="G2350" s="204"/>
      <c r="H2350" s="204"/>
      <c r="I2350" s="204"/>
      <c r="J2350" s="204"/>
      <c r="K2350" s="204"/>
      <c r="L2350" s="205"/>
      <c r="M2350" s="205"/>
      <c r="N2350" s="204"/>
      <c r="O2350" s="204"/>
      <c r="P2350" s="206"/>
      <c r="Q2350" s="206"/>
      <c r="R2350" s="206"/>
      <c r="S2350" s="206"/>
      <c r="T2350" s="204"/>
      <c r="U2350" s="207"/>
      <c r="V2350" s="204"/>
      <c r="W2350" s="204"/>
      <c r="X2350" s="207"/>
      <c r="Y2350" s="207"/>
      <c r="Z2350" s="204"/>
      <c r="AA2350" s="204"/>
      <c r="AB2350" s="204"/>
      <c r="AC2350" s="204"/>
    </row>
    <row r="2351" spans="1:29">
      <c r="A2351" s="204"/>
      <c r="B2351" s="204"/>
      <c r="C2351" s="204"/>
      <c r="D2351" s="204"/>
      <c r="E2351" s="204"/>
      <c r="F2351" s="204"/>
      <c r="G2351" s="204"/>
      <c r="H2351" s="204"/>
      <c r="I2351" s="204"/>
      <c r="J2351" s="204"/>
      <c r="K2351" s="204"/>
      <c r="L2351" s="205"/>
      <c r="M2351" s="205"/>
      <c r="N2351" s="204"/>
      <c r="O2351" s="204"/>
      <c r="P2351" s="206"/>
      <c r="Q2351" s="206"/>
      <c r="R2351" s="206"/>
      <c r="S2351" s="206"/>
      <c r="T2351" s="204"/>
      <c r="U2351" s="207"/>
      <c r="V2351" s="204"/>
      <c r="W2351" s="204"/>
      <c r="X2351" s="207"/>
      <c r="Y2351" s="207"/>
      <c r="Z2351" s="204"/>
      <c r="AA2351" s="204"/>
      <c r="AB2351" s="204"/>
      <c r="AC2351" s="204"/>
    </row>
    <row r="2352" spans="1:29">
      <c r="A2352" s="204"/>
      <c r="B2352" s="204"/>
      <c r="C2352" s="204"/>
      <c r="D2352" s="204"/>
      <c r="E2352" s="204"/>
      <c r="F2352" s="204"/>
      <c r="G2352" s="204"/>
      <c r="H2352" s="204"/>
      <c r="I2352" s="204"/>
      <c r="J2352" s="204"/>
      <c r="K2352" s="204"/>
      <c r="L2352" s="205"/>
      <c r="M2352" s="205"/>
      <c r="N2352" s="204"/>
      <c r="O2352" s="204"/>
      <c r="P2352" s="206"/>
      <c r="Q2352" s="206"/>
      <c r="R2352" s="206"/>
      <c r="S2352" s="206"/>
      <c r="T2352" s="204"/>
      <c r="U2352" s="207"/>
      <c r="V2352" s="204"/>
      <c r="W2352" s="204"/>
      <c r="X2352" s="207"/>
      <c r="Y2352" s="207"/>
      <c r="Z2352" s="204"/>
      <c r="AA2352" s="204"/>
      <c r="AB2352" s="204"/>
      <c r="AC2352" s="204"/>
    </row>
    <row r="2353" spans="1:29">
      <c r="A2353" s="204"/>
      <c r="B2353" s="204"/>
      <c r="C2353" s="204"/>
      <c r="D2353" s="204"/>
      <c r="E2353" s="204"/>
      <c r="F2353" s="204"/>
      <c r="G2353" s="204"/>
      <c r="H2353" s="204"/>
      <c r="I2353" s="204"/>
      <c r="J2353" s="204"/>
      <c r="K2353" s="204"/>
      <c r="L2353" s="205"/>
      <c r="M2353" s="205"/>
      <c r="N2353" s="204"/>
      <c r="O2353" s="204"/>
      <c r="P2353" s="206"/>
      <c r="Q2353" s="206"/>
      <c r="R2353" s="206"/>
      <c r="S2353" s="206"/>
      <c r="T2353" s="204"/>
      <c r="U2353" s="207"/>
      <c r="V2353" s="204"/>
      <c r="W2353" s="204"/>
      <c r="X2353" s="207"/>
      <c r="Y2353" s="207"/>
      <c r="Z2353" s="204"/>
      <c r="AA2353" s="204"/>
      <c r="AB2353" s="204"/>
      <c r="AC2353" s="204"/>
    </row>
    <row r="2354" spans="1:29">
      <c r="A2354" s="204"/>
      <c r="B2354" s="204"/>
      <c r="C2354" s="204"/>
      <c r="D2354" s="204"/>
      <c r="E2354" s="204"/>
      <c r="F2354" s="204"/>
      <c r="G2354" s="204"/>
      <c r="H2354" s="204"/>
      <c r="I2354" s="204"/>
      <c r="J2354" s="204"/>
      <c r="K2354" s="204"/>
      <c r="L2354" s="205"/>
      <c r="M2354" s="205"/>
      <c r="N2354" s="204"/>
      <c r="O2354" s="204"/>
      <c r="P2354" s="206"/>
      <c r="Q2354" s="206"/>
      <c r="R2354" s="206"/>
      <c r="S2354" s="206"/>
      <c r="T2354" s="204"/>
      <c r="U2354" s="207"/>
      <c r="V2354" s="204"/>
      <c r="W2354" s="204"/>
      <c r="X2354" s="207"/>
      <c r="Y2354" s="207"/>
      <c r="Z2354" s="204"/>
      <c r="AA2354" s="204"/>
      <c r="AB2354" s="204"/>
      <c r="AC2354" s="204"/>
    </row>
    <row r="2355" spans="1:29">
      <c r="A2355" s="204"/>
      <c r="B2355" s="204"/>
      <c r="C2355" s="204"/>
      <c r="D2355" s="204"/>
      <c r="E2355" s="204"/>
      <c r="F2355" s="204"/>
      <c r="G2355" s="204"/>
      <c r="H2355" s="204"/>
      <c r="I2355" s="204"/>
      <c r="J2355" s="204"/>
      <c r="K2355" s="204"/>
      <c r="L2355" s="205"/>
      <c r="M2355" s="205"/>
      <c r="N2355" s="204"/>
      <c r="O2355" s="204"/>
      <c r="P2355" s="206"/>
      <c r="Q2355" s="206"/>
      <c r="R2355" s="206"/>
      <c r="S2355" s="206"/>
      <c r="T2355" s="204"/>
      <c r="U2355" s="207"/>
      <c r="V2355" s="204"/>
      <c r="W2355" s="204"/>
      <c r="X2355" s="207"/>
      <c r="Y2355" s="207"/>
      <c r="Z2355" s="204"/>
      <c r="AA2355" s="204"/>
      <c r="AB2355" s="204"/>
      <c r="AC2355" s="204"/>
    </row>
    <row r="2356" spans="1:29">
      <c r="A2356" s="204"/>
      <c r="B2356" s="204"/>
      <c r="C2356" s="204"/>
      <c r="D2356" s="204"/>
      <c r="E2356" s="204"/>
      <c r="F2356" s="204"/>
      <c r="G2356" s="204"/>
      <c r="H2356" s="204"/>
      <c r="I2356" s="204"/>
      <c r="J2356" s="204"/>
      <c r="K2356" s="204"/>
      <c r="L2356" s="205"/>
      <c r="M2356" s="205"/>
      <c r="N2356" s="204"/>
      <c r="O2356" s="204"/>
      <c r="P2356" s="206"/>
      <c r="Q2356" s="206"/>
      <c r="R2356" s="206"/>
      <c r="S2356" s="206"/>
      <c r="T2356" s="204"/>
      <c r="U2356" s="207"/>
      <c r="V2356" s="204"/>
      <c r="W2356" s="204"/>
      <c r="X2356" s="207"/>
      <c r="Y2356" s="207"/>
      <c r="Z2356" s="204"/>
      <c r="AA2356" s="204"/>
      <c r="AB2356" s="204"/>
      <c r="AC2356" s="204"/>
    </row>
    <row r="2357" spans="1:29">
      <c r="A2357" s="204"/>
      <c r="B2357" s="204"/>
      <c r="C2357" s="204"/>
      <c r="D2357" s="204"/>
      <c r="E2357" s="204"/>
      <c r="F2357" s="204"/>
      <c r="G2357" s="204"/>
      <c r="H2357" s="204"/>
      <c r="I2357" s="204"/>
      <c r="J2357" s="204"/>
      <c r="K2357" s="204"/>
      <c r="L2357" s="205"/>
      <c r="M2357" s="205"/>
      <c r="N2357" s="204"/>
      <c r="O2357" s="204"/>
      <c r="P2357" s="206"/>
      <c r="Q2357" s="206"/>
      <c r="R2357" s="206"/>
      <c r="S2357" s="206"/>
      <c r="T2357" s="204"/>
      <c r="U2357" s="207"/>
      <c r="V2357" s="204"/>
      <c r="W2357" s="204"/>
      <c r="X2357" s="207"/>
      <c r="Y2357" s="207"/>
      <c r="Z2357" s="204"/>
      <c r="AA2357" s="204"/>
      <c r="AB2357" s="204"/>
      <c r="AC2357" s="204"/>
    </row>
    <row r="2358" spans="1:29">
      <c r="A2358" s="204"/>
      <c r="B2358" s="204"/>
      <c r="C2358" s="204"/>
      <c r="D2358" s="204"/>
      <c r="E2358" s="204"/>
      <c r="F2358" s="204"/>
      <c r="G2358" s="204"/>
      <c r="H2358" s="204"/>
      <c r="I2358" s="204"/>
      <c r="J2358" s="204"/>
      <c r="K2358" s="204"/>
      <c r="L2358" s="205"/>
      <c r="M2358" s="205"/>
      <c r="N2358" s="204"/>
      <c r="O2358" s="204"/>
      <c r="P2358" s="206"/>
      <c r="Q2358" s="206"/>
      <c r="R2358" s="206"/>
      <c r="S2358" s="206"/>
      <c r="T2358" s="204"/>
      <c r="U2358" s="207"/>
      <c r="V2358" s="204"/>
      <c r="W2358" s="204"/>
      <c r="X2358" s="207"/>
      <c r="Y2358" s="207"/>
      <c r="Z2358" s="204"/>
      <c r="AA2358" s="204"/>
      <c r="AB2358" s="204"/>
      <c r="AC2358" s="204"/>
    </row>
    <row r="2359" spans="1:29">
      <c r="A2359" s="204"/>
      <c r="B2359" s="204"/>
      <c r="C2359" s="204"/>
      <c r="D2359" s="204"/>
      <c r="E2359" s="204"/>
      <c r="F2359" s="204"/>
      <c r="G2359" s="204"/>
      <c r="H2359" s="204"/>
      <c r="I2359" s="204"/>
      <c r="J2359" s="204"/>
      <c r="K2359" s="204"/>
      <c r="L2359" s="205"/>
      <c r="M2359" s="205"/>
      <c r="N2359" s="204"/>
      <c r="O2359" s="204"/>
      <c r="P2359" s="206"/>
      <c r="Q2359" s="206"/>
      <c r="R2359" s="206"/>
      <c r="S2359" s="206"/>
      <c r="T2359" s="204"/>
      <c r="U2359" s="207"/>
      <c r="V2359" s="204"/>
      <c r="W2359" s="204"/>
      <c r="X2359" s="207"/>
      <c r="Y2359" s="207"/>
      <c r="Z2359" s="204"/>
      <c r="AA2359" s="204"/>
      <c r="AB2359" s="204"/>
      <c r="AC2359" s="204"/>
    </row>
    <row r="2360" spans="1:29">
      <c r="A2360" s="204"/>
      <c r="B2360" s="204"/>
      <c r="C2360" s="204"/>
      <c r="D2360" s="204"/>
      <c r="E2360" s="204"/>
      <c r="F2360" s="204"/>
      <c r="G2360" s="204"/>
      <c r="H2360" s="204"/>
      <c r="I2360" s="204"/>
      <c r="J2360" s="204"/>
      <c r="K2360" s="204"/>
      <c r="L2360" s="205"/>
      <c r="M2360" s="205"/>
      <c r="N2360" s="204"/>
      <c r="O2360" s="204"/>
      <c r="P2360" s="206"/>
      <c r="Q2360" s="206"/>
      <c r="R2360" s="206"/>
      <c r="S2360" s="206"/>
      <c r="T2360" s="204"/>
      <c r="U2360" s="207"/>
      <c r="V2360" s="204"/>
      <c r="W2360" s="204"/>
      <c r="X2360" s="207"/>
      <c r="Y2360" s="207"/>
      <c r="Z2360" s="204"/>
      <c r="AA2360" s="204"/>
      <c r="AB2360" s="204"/>
      <c r="AC2360" s="204"/>
    </row>
    <row r="2361" spans="1:29">
      <c r="A2361" s="204"/>
      <c r="B2361" s="204"/>
      <c r="C2361" s="204"/>
      <c r="D2361" s="204"/>
      <c r="E2361" s="204"/>
      <c r="F2361" s="204"/>
      <c r="G2361" s="204"/>
      <c r="H2361" s="204"/>
      <c r="I2361" s="204"/>
      <c r="J2361" s="204"/>
      <c r="K2361" s="204"/>
      <c r="L2361" s="205"/>
      <c r="M2361" s="205"/>
      <c r="N2361" s="204"/>
      <c r="O2361" s="204"/>
      <c r="P2361" s="206"/>
      <c r="Q2361" s="206"/>
      <c r="R2361" s="206"/>
      <c r="S2361" s="206"/>
      <c r="T2361" s="204"/>
      <c r="U2361" s="207"/>
      <c r="V2361" s="204"/>
      <c r="W2361" s="204"/>
      <c r="X2361" s="207"/>
      <c r="Y2361" s="207"/>
      <c r="Z2361" s="204"/>
      <c r="AA2361" s="204"/>
      <c r="AB2361" s="204"/>
      <c r="AC2361" s="204"/>
    </row>
    <row r="2362" spans="1:29">
      <c r="A2362" s="204"/>
      <c r="B2362" s="204"/>
      <c r="C2362" s="204"/>
      <c r="D2362" s="204"/>
      <c r="E2362" s="204"/>
      <c r="F2362" s="204"/>
      <c r="G2362" s="204"/>
      <c r="H2362" s="204"/>
      <c r="I2362" s="204"/>
      <c r="J2362" s="204"/>
      <c r="K2362" s="204"/>
      <c r="L2362" s="205"/>
      <c r="M2362" s="205"/>
      <c r="N2362" s="204"/>
      <c r="O2362" s="204"/>
      <c r="P2362" s="206"/>
      <c r="Q2362" s="206"/>
      <c r="R2362" s="206"/>
      <c r="S2362" s="206"/>
      <c r="T2362" s="204"/>
      <c r="U2362" s="207"/>
      <c r="V2362" s="204"/>
      <c r="W2362" s="204"/>
      <c r="X2362" s="207"/>
      <c r="Y2362" s="207"/>
      <c r="Z2362" s="204"/>
      <c r="AA2362" s="204"/>
      <c r="AB2362" s="204"/>
      <c r="AC2362" s="204"/>
    </row>
    <row r="2363" spans="1:29">
      <c r="A2363" s="204"/>
      <c r="B2363" s="204"/>
      <c r="C2363" s="204"/>
      <c r="D2363" s="204"/>
      <c r="E2363" s="204"/>
      <c r="F2363" s="204"/>
      <c r="G2363" s="204"/>
      <c r="H2363" s="204"/>
      <c r="I2363" s="204"/>
      <c r="J2363" s="204"/>
      <c r="K2363" s="204"/>
      <c r="L2363" s="205"/>
      <c r="M2363" s="205"/>
      <c r="N2363" s="204"/>
      <c r="O2363" s="204"/>
      <c r="P2363" s="206"/>
      <c r="Q2363" s="206"/>
      <c r="R2363" s="206"/>
      <c r="S2363" s="206"/>
      <c r="T2363" s="204"/>
      <c r="U2363" s="207"/>
      <c r="V2363" s="204"/>
      <c r="W2363" s="204"/>
      <c r="X2363" s="207"/>
      <c r="Y2363" s="207"/>
      <c r="Z2363" s="204"/>
      <c r="AA2363" s="204"/>
      <c r="AB2363" s="204"/>
      <c r="AC2363" s="204"/>
    </row>
    <row r="2364" spans="1:29">
      <c r="A2364" s="204"/>
      <c r="B2364" s="204"/>
      <c r="C2364" s="204"/>
      <c r="D2364" s="204"/>
      <c r="E2364" s="204"/>
      <c r="F2364" s="204"/>
      <c r="G2364" s="204"/>
      <c r="H2364" s="204"/>
      <c r="I2364" s="204"/>
      <c r="J2364" s="204"/>
      <c r="K2364" s="204"/>
      <c r="L2364" s="205"/>
      <c r="M2364" s="205"/>
      <c r="N2364" s="204"/>
      <c r="O2364" s="204"/>
      <c r="P2364" s="206"/>
      <c r="Q2364" s="206"/>
      <c r="R2364" s="206"/>
      <c r="S2364" s="206"/>
      <c r="T2364" s="204"/>
      <c r="U2364" s="207"/>
      <c r="V2364" s="204"/>
      <c r="W2364" s="204"/>
      <c r="X2364" s="207"/>
      <c r="Y2364" s="207"/>
      <c r="Z2364" s="204"/>
      <c r="AA2364" s="204"/>
      <c r="AB2364" s="204"/>
      <c r="AC2364" s="204"/>
    </row>
    <row r="2365" spans="1:29">
      <c r="A2365" s="204"/>
      <c r="B2365" s="204"/>
      <c r="C2365" s="204"/>
      <c r="D2365" s="204"/>
      <c r="E2365" s="204"/>
      <c r="F2365" s="204"/>
      <c r="G2365" s="204"/>
      <c r="H2365" s="204"/>
      <c r="I2365" s="204"/>
      <c r="J2365" s="204"/>
      <c r="K2365" s="204"/>
      <c r="L2365" s="205"/>
      <c r="M2365" s="205"/>
      <c r="N2365" s="204"/>
      <c r="O2365" s="204"/>
      <c r="P2365" s="206"/>
      <c r="Q2365" s="206"/>
      <c r="R2365" s="206"/>
      <c r="S2365" s="206"/>
      <c r="T2365" s="204"/>
      <c r="U2365" s="207"/>
      <c r="V2365" s="204"/>
      <c r="W2365" s="204"/>
      <c r="X2365" s="207"/>
      <c r="Y2365" s="207"/>
      <c r="Z2365" s="204"/>
      <c r="AA2365" s="204"/>
      <c r="AB2365" s="204"/>
      <c r="AC2365" s="204"/>
    </row>
    <row r="2366" spans="1:29">
      <c r="A2366" s="204"/>
      <c r="B2366" s="204"/>
      <c r="C2366" s="204"/>
      <c r="D2366" s="204"/>
      <c r="E2366" s="204"/>
      <c r="F2366" s="204"/>
      <c r="G2366" s="204"/>
      <c r="H2366" s="204"/>
      <c r="I2366" s="204"/>
      <c r="J2366" s="204"/>
      <c r="K2366" s="204"/>
      <c r="L2366" s="205"/>
      <c r="M2366" s="205"/>
      <c r="N2366" s="204"/>
      <c r="O2366" s="204"/>
      <c r="P2366" s="206"/>
      <c r="Q2366" s="206"/>
      <c r="R2366" s="206"/>
      <c r="S2366" s="206"/>
      <c r="T2366" s="204"/>
      <c r="U2366" s="207"/>
      <c r="V2366" s="204"/>
      <c r="W2366" s="204"/>
      <c r="X2366" s="207"/>
      <c r="Y2366" s="207"/>
      <c r="Z2366" s="204"/>
      <c r="AA2366" s="204"/>
      <c r="AB2366" s="204"/>
      <c r="AC2366" s="204"/>
    </row>
    <row r="2367" spans="1:29">
      <c r="A2367" s="204"/>
      <c r="B2367" s="204"/>
      <c r="C2367" s="204"/>
      <c r="D2367" s="204"/>
      <c r="E2367" s="204"/>
      <c r="F2367" s="204"/>
      <c r="G2367" s="204"/>
      <c r="H2367" s="204"/>
      <c r="I2367" s="204"/>
      <c r="J2367" s="204"/>
      <c r="K2367" s="204"/>
      <c r="L2367" s="205"/>
      <c r="M2367" s="205"/>
      <c r="N2367" s="204"/>
      <c r="O2367" s="204"/>
      <c r="P2367" s="206"/>
      <c r="Q2367" s="206"/>
      <c r="R2367" s="206"/>
      <c r="S2367" s="206"/>
      <c r="T2367" s="204"/>
      <c r="U2367" s="207"/>
      <c r="V2367" s="204"/>
      <c r="W2367" s="204"/>
      <c r="X2367" s="207"/>
      <c r="Y2367" s="207"/>
      <c r="Z2367" s="204"/>
      <c r="AA2367" s="204"/>
      <c r="AB2367" s="204"/>
      <c r="AC2367" s="204"/>
    </row>
    <row r="2368" spans="1:29">
      <c r="A2368" s="204"/>
      <c r="B2368" s="204"/>
      <c r="C2368" s="204"/>
      <c r="D2368" s="204"/>
      <c r="E2368" s="204"/>
      <c r="F2368" s="204"/>
      <c r="G2368" s="204"/>
      <c r="H2368" s="204"/>
      <c r="I2368" s="204"/>
      <c r="J2368" s="204"/>
      <c r="K2368" s="204"/>
      <c r="L2368" s="205"/>
      <c r="M2368" s="205"/>
      <c r="N2368" s="204"/>
      <c r="O2368" s="204"/>
      <c r="P2368" s="206"/>
      <c r="Q2368" s="206"/>
      <c r="R2368" s="206"/>
      <c r="S2368" s="206"/>
      <c r="T2368" s="204"/>
      <c r="U2368" s="207"/>
      <c r="V2368" s="204"/>
      <c r="W2368" s="204"/>
      <c r="X2368" s="207"/>
      <c r="Y2368" s="207"/>
      <c r="Z2368" s="204"/>
      <c r="AA2368" s="204"/>
      <c r="AB2368" s="204"/>
      <c r="AC2368" s="204"/>
    </row>
    <row r="2369" spans="1:29">
      <c r="A2369" s="204"/>
      <c r="B2369" s="204"/>
      <c r="C2369" s="204"/>
      <c r="D2369" s="204"/>
      <c r="E2369" s="204"/>
      <c r="F2369" s="204"/>
      <c r="G2369" s="204"/>
      <c r="H2369" s="204"/>
      <c r="I2369" s="204"/>
      <c r="J2369" s="204"/>
      <c r="K2369" s="204"/>
      <c r="L2369" s="205"/>
      <c r="M2369" s="205"/>
      <c r="N2369" s="204"/>
      <c r="O2369" s="204"/>
      <c r="P2369" s="206"/>
      <c r="Q2369" s="206"/>
      <c r="R2369" s="206"/>
      <c r="S2369" s="206"/>
      <c r="T2369" s="204"/>
      <c r="U2369" s="207"/>
      <c r="V2369" s="204"/>
      <c r="W2369" s="204"/>
      <c r="X2369" s="207"/>
      <c r="Y2369" s="207"/>
      <c r="Z2369" s="204"/>
      <c r="AA2369" s="204"/>
      <c r="AB2369" s="204"/>
      <c r="AC2369" s="204"/>
    </row>
    <row r="2370" spans="1:29">
      <c r="A2370" s="204"/>
      <c r="B2370" s="204"/>
      <c r="C2370" s="204"/>
      <c r="D2370" s="204"/>
      <c r="E2370" s="204"/>
      <c r="F2370" s="204"/>
      <c r="G2370" s="204"/>
      <c r="H2370" s="204"/>
      <c r="I2370" s="204"/>
      <c r="J2370" s="204"/>
      <c r="K2370" s="204"/>
      <c r="L2370" s="205"/>
      <c r="M2370" s="205"/>
      <c r="N2370" s="204"/>
      <c r="O2370" s="204"/>
      <c r="P2370" s="206"/>
      <c r="Q2370" s="206"/>
      <c r="R2370" s="206"/>
      <c r="S2370" s="206"/>
      <c r="T2370" s="204"/>
      <c r="U2370" s="207"/>
      <c r="V2370" s="204"/>
      <c r="W2370" s="204"/>
      <c r="X2370" s="207"/>
      <c r="Y2370" s="207"/>
      <c r="Z2370" s="204"/>
      <c r="AA2370" s="204"/>
      <c r="AB2370" s="204"/>
      <c r="AC2370" s="204"/>
    </row>
    <row r="2371" spans="1:29">
      <c r="A2371" s="204"/>
      <c r="B2371" s="204"/>
      <c r="C2371" s="204"/>
      <c r="D2371" s="204"/>
      <c r="E2371" s="204"/>
      <c r="F2371" s="204"/>
      <c r="G2371" s="204"/>
      <c r="H2371" s="204"/>
      <c r="I2371" s="204"/>
      <c r="J2371" s="204"/>
      <c r="K2371" s="204"/>
      <c r="L2371" s="205"/>
      <c r="M2371" s="205"/>
      <c r="N2371" s="204"/>
      <c r="O2371" s="204"/>
      <c r="P2371" s="206"/>
      <c r="Q2371" s="206"/>
      <c r="R2371" s="206"/>
      <c r="S2371" s="206"/>
      <c r="T2371" s="204"/>
      <c r="U2371" s="207"/>
      <c r="V2371" s="204"/>
      <c r="W2371" s="204"/>
      <c r="X2371" s="207"/>
      <c r="Y2371" s="207"/>
      <c r="Z2371" s="204"/>
      <c r="AA2371" s="204"/>
      <c r="AB2371" s="204"/>
      <c r="AC2371" s="204"/>
    </row>
    <row r="2372" spans="1:29">
      <c r="A2372" s="204"/>
      <c r="B2372" s="204"/>
      <c r="C2372" s="204"/>
      <c r="D2372" s="204"/>
      <c r="E2372" s="204"/>
      <c r="F2372" s="204"/>
      <c r="G2372" s="204"/>
      <c r="H2372" s="204"/>
      <c r="I2372" s="204"/>
      <c r="J2372" s="204"/>
      <c r="K2372" s="204"/>
      <c r="L2372" s="205"/>
      <c r="M2372" s="205"/>
      <c r="N2372" s="204"/>
      <c r="O2372" s="204"/>
      <c r="P2372" s="206"/>
      <c r="Q2372" s="206"/>
      <c r="R2372" s="206"/>
      <c r="S2372" s="206"/>
      <c r="T2372" s="204"/>
      <c r="U2372" s="207"/>
      <c r="V2372" s="204"/>
      <c r="W2372" s="204"/>
      <c r="X2372" s="207"/>
      <c r="Y2372" s="207"/>
      <c r="Z2372" s="204"/>
      <c r="AA2372" s="204"/>
      <c r="AB2372" s="204"/>
      <c r="AC2372" s="204"/>
    </row>
    <row r="2373" spans="1:29">
      <c r="A2373" s="204"/>
      <c r="B2373" s="204"/>
      <c r="C2373" s="204"/>
      <c r="D2373" s="204"/>
      <c r="E2373" s="204"/>
      <c r="F2373" s="204"/>
      <c r="G2373" s="204"/>
      <c r="H2373" s="204"/>
      <c r="I2373" s="204"/>
      <c r="J2373" s="204"/>
      <c r="K2373" s="204"/>
      <c r="L2373" s="205"/>
      <c r="M2373" s="205"/>
      <c r="N2373" s="204"/>
      <c r="O2373" s="204"/>
      <c r="P2373" s="206"/>
      <c r="Q2373" s="206"/>
      <c r="R2373" s="206"/>
      <c r="S2373" s="206"/>
      <c r="T2373" s="204"/>
      <c r="U2373" s="207"/>
      <c r="V2373" s="204"/>
      <c r="W2373" s="204"/>
      <c r="X2373" s="207"/>
      <c r="Y2373" s="207"/>
      <c r="Z2373" s="204"/>
      <c r="AA2373" s="204"/>
      <c r="AB2373" s="204"/>
      <c r="AC2373" s="204"/>
    </row>
    <row r="2374" spans="1:29">
      <c r="A2374" s="204"/>
      <c r="B2374" s="204"/>
      <c r="C2374" s="204"/>
      <c r="D2374" s="204"/>
      <c r="E2374" s="204"/>
      <c r="F2374" s="204"/>
      <c r="G2374" s="204"/>
      <c r="H2374" s="204"/>
      <c r="I2374" s="204"/>
      <c r="J2374" s="204"/>
      <c r="K2374" s="204"/>
      <c r="L2374" s="205"/>
      <c r="M2374" s="205"/>
      <c r="N2374" s="204"/>
      <c r="O2374" s="204"/>
      <c r="P2374" s="206"/>
      <c r="Q2374" s="206"/>
      <c r="R2374" s="206"/>
      <c r="S2374" s="206"/>
      <c r="T2374" s="204"/>
      <c r="U2374" s="207"/>
      <c r="V2374" s="204"/>
      <c r="W2374" s="204"/>
      <c r="X2374" s="207"/>
      <c r="Y2374" s="207"/>
      <c r="Z2374" s="204"/>
      <c r="AA2374" s="204"/>
      <c r="AB2374" s="204"/>
      <c r="AC2374" s="204"/>
    </row>
    <row r="2375" spans="1:29">
      <c r="A2375" s="204"/>
      <c r="B2375" s="204"/>
      <c r="C2375" s="204"/>
      <c r="D2375" s="204"/>
      <c r="E2375" s="204"/>
      <c r="F2375" s="204"/>
      <c r="G2375" s="204"/>
      <c r="H2375" s="204"/>
      <c r="I2375" s="204"/>
      <c r="J2375" s="204"/>
      <c r="K2375" s="204"/>
      <c r="L2375" s="205"/>
      <c r="M2375" s="205"/>
      <c r="N2375" s="204"/>
      <c r="O2375" s="204"/>
      <c r="P2375" s="206"/>
      <c r="Q2375" s="206"/>
      <c r="R2375" s="206"/>
      <c r="S2375" s="206"/>
      <c r="T2375" s="204"/>
      <c r="U2375" s="207"/>
      <c r="V2375" s="204"/>
      <c r="W2375" s="204"/>
      <c r="X2375" s="207"/>
      <c r="Y2375" s="207"/>
      <c r="Z2375" s="204"/>
      <c r="AA2375" s="204"/>
      <c r="AB2375" s="204"/>
      <c r="AC2375" s="204"/>
    </row>
    <row r="2376" spans="1:29">
      <c r="A2376" s="204"/>
      <c r="B2376" s="204"/>
      <c r="C2376" s="204"/>
      <c r="D2376" s="204"/>
      <c r="E2376" s="204"/>
      <c r="F2376" s="204"/>
      <c r="G2376" s="204"/>
      <c r="H2376" s="204"/>
      <c r="I2376" s="204"/>
      <c r="J2376" s="204"/>
      <c r="K2376" s="204"/>
      <c r="L2376" s="205"/>
      <c r="M2376" s="205"/>
      <c r="N2376" s="204"/>
      <c r="O2376" s="204"/>
      <c r="P2376" s="206"/>
      <c r="Q2376" s="206"/>
      <c r="R2376" s="206"/>
      <c r="S2376" s="206"/>
      <c r="T2376" s="204"/>
      <c r="U2376" s="207"/>
      <c r="V2376" s="204"/>
      <c r="W2376" s="204"/>
      <c r="X2376" s="207"/>
      <c r="Y2376" s="207"/>
      <c r="Z2376" s="204"/>
      <c r="AA2376" s="204"/>
      <c r="AB2376" s="204"/>
      <c r="AC2376" s="204"/>
    </row>
    <row r="2377" spans="1:29">
      <c r="A2377" s="204"/>
      <c r="B2377" s="204"/>
      <c r="C2377" s="204"/>
      <c r="D2377" s="204"/>
      <c r="E2377" s="204"/>
      <c r="F2377" s="204"/>
      <c r="G2377" s="204"/>
      <c r="H2377" s="204"/>
      <c r="I2377" s="204"/>
      <c r="J2377" s="204"/>
      <c r="K2377" s="204"/>
      <c r="L2377" s="205"/>
      <c r="M2377" s="205"/>
      <c r="N2377" s="204"/>
      <c r="O2377" s="204"/>
      <c r="P2377" s="206"/>
      <c r="Q2377" s="206"/>
      <c r="R2377" s="206"/>
      <c r="S2377" s="206"/>
      <c r="T2377" s="204"/>
      <c r="U2377" s="207"/>
      <c r="V2377" s="204"/>
      <c r="W2377" s="204"/>
      <c r="X2377" s="207"/>
      <c r="Y2377" s="207"/>
      <c r="Z2377" s="204"/>
      <c r="AA2377" s="204"/>
      <c r="AB2377" s="204"/>
      <c r="AC2377" s="204"/>
    </row>
    <row r="2378" spans="1:29">
      <c r="A2378" s="204"/>
      <c r="B2378" s="204"/>
      <c r="C2378" s="204"/>
      <c r="D2378" s="204"/>
      <c r="E2378" s="204"/>
      <c r="F2378" s="204"/>
      <c r="G2378" s="204"/>
      <c r="H2378" s="204"/>
      <c r="I2378" s="204"/>
      <c r="J2378" s="204"/>
      <c r="K2378" s="204"/>
      <c r="L2378" s="205"/>
      <c r="M2378" s="205"/>
      <c r="N2378" s="204"/>
      <c r="O2378" s="204"/>
      <c r="P2378" s="206"/>
      <c r="Q2378" s="206"/>
      <c r="R2378" s="206"/>
      <c r="S2378" s="206"/>
      <c r="T2378" s="204"/>
      <c r="U2378" s="207"/>
      <c r="V2378" s="204"/>
      <c r="W2378" s="204"/>
      <c r="X2378" s="207"/>
      <c r="Y2378" s="207"/>
      <c r="Z2378" s="204"/>
      <c r="AA2378" s="204"/>
      <c r="AB2378" s="204"/>
      <c r="AC2378" s="204"/>
    </row>
    <row r="2379" spans="1:29">
      <c r="A2379" s="204"/>
      <c r="B2379" s="204"/>
      <c r="C2379" s="204"/>
      <c r="D2379" s="204"/>
      <c r="E2379" s="204"/>
      <c r="F2379" s="204"/>
      <c r="G2379" s="204"/>
      <c r="H2379" s="204"/>
      <c r="I2379" s="204"/>
      <c r="J2379" s="204"/>
      <c r="K2379" s="204"/>
      <c r="L2379" s="205"/>
      <c r="M2379" s="205"/>
      <c r="N2379" s="204"/>
      <c r="O2379" s="204"/>
      <c r="P2379" s="206"/>
      <c r="Q2379" s="206"/>
      <c r="R2379" s="206"/>
      <c r="S2379" s="206"/>
      <c r="T2379" s="204"/>
      <c r="U2379" s="207"/>
      <c r="V2379" s="204"/>
      <c r="W2379" s="204"/>
      <c r="X2379" s="207"/>
      <c r="Y2379" s="207"/>
      <c r="Z2379" s="204"/>
      <c r="AA2379" s="204"/>
      <c r="AB2379" s="204"/>
      <c r="AC2379" s="204"/>
    </row>
    <row r="2380" spans="1:29">
      <c r="A2380" s="204"/>
      <c r="B2380" s="204"/>
      <c r="C2380" s="204"/>
      <c r="D2380" s="204"/>
      <c r="E2380" s="204"/>
      <c r="F2380" s="204"/>
      <c r="G2380" s="204"/>
      <c r="H2380" s="204"/>
      <c r="I2380" s="204"/>
      <c r="J2380" s="204"/>
      <c r="K2380" s="204"/>
      <c r="L2380" s="205"/>
      <c r="M2380" s="205"/>
      <c r="N2380" s="204"/>
      <c r="O2380" s="204"/>
      <c r="P2380" s="206"/>
      <c r="Q2380" s="206"/>
      <c r="R2380" s="206"/>
      <c r="S2380" s="206"/>
      <c r="T2380" s="204"/>
      <c r="U2380" s="207"/>
      <c r="V2380" s="204"/>
      <c r="W2380" s="204"/>
      <c r="X2380" s="207"/>
      <c r="Y2380" s="207"/>
      <c r="Z2380" s="204"/>
      <c r="AA2380" s="204"/>
      <c r="AB2380" s="204"/>
      <c r="AC2380" s="204"/>
    </row>
    <row r="2381" spans="1:29">
      <c r="A2381" s="204"/>
      <c r="B2381" s="204"/>
      <c r="C2381" s="204"/>
      <c r="D2381" s="204"/>
      <c r="E2381" s="204"/>
      <c r="F2381" s="204"/>
      <c r="G2381" s="204"/>
      <c r="H2381" s="204"/>
      <c r="I2381" s="204"/>
      <c r="J2381" s="204"/>
      <c r="K2381" s="204"/>
      <c r="L2381" s="205"/>
      <c r="M2381" s="205"/>
      <c r="N2381" s="204"/>
      <c r="O2381" s="204"/>
      <c r="P2381" s="206"/>
      <c r="Q2381" s="206"/>
      <c r="R2381" s="206"/>
      <c r="S2381" s="206"/>
      <c r="T2381" s="204"/>
      <c r="U2381" s="207"/>
      <c r="V2381" s="204"/>
      <c r="W2381" s="204"/>
      <c r="X2381" s="207"/>
      <c r="Y2381" s="207"/>
      <c r="Z2381" s="204"/>
      <c r="AA2381" s="204"/>
      <c r="AB2381" s="204"/>
      <c r="AC2381" s="204"/>
    </row>
    <row r="2382" spans="1:29">
      <c r="A2382" s="204"/>
      <c r="B2382" s="204"/>
      <c r="C2382" s="204"/>
      <c r="D2382" s="204"/>
      <c r="E2382" s="204"/>
      <c r="F2382" s="204"/>
      <c r="G2382" s="204"/>
      <c r="H2382" s="204"/>
      <c r="I2382" s="204"/>
      <c r="J2382" s="204"/>
      <c r="K2382" s="204"/>
      <c r="L2382" s="205"/>
      <c r="M2382" s="205"/>
      <c r="N2382" s="204"/>
      <c r="O2382" s="204"/>
      <c r="P2382" s="206"/>
      <c r="Q2382" s="206"/>
      <c r="R2382" s="206"/>
      <c r="S2382" s="206"/>
      <c r="T2382" s="204"/>
      <c r="U2382" s="207"/>
      <c r="V2382" s="204"/>
      <c r="W2382" s="204"/>
      <c r="X2382" s="207"/>
      <c r="Y2382" s="207"/>
      <c r="Z2382" s="204"/>
      <c r="AA2382" s="204"/>
      <c r="AB2382" s="204"/>
      <c r="AC2382" s="204"/>
    </row>
    <row r="2383" spans="1:29">
      <c r="A2383" s="204"/>
      <c r="B2383" s="204"/>
      <c r="C2383" s="204"/>
      <c r="D2383" s="204"/>
      <c r="E2383" s="204"/>
      <c r="F2383" s="204"/>
      <c r="G2383" s="204"/>
      <c r="H2383" s="204"/>
      <c r="I2383" s="204"/>
      <c r="J2383" s="204"/>
      <c r="K2383" s="204"/>
      <c r="L2383" s="205"/>
      <c r="M2383" s="205"/>
      <c r="N2383" s="204"/>
      <c r="O2383" s="204"/>
      <c r="P2383" s="206"/>
      <c r="Q2383" s="206"/>
      <c r="R2383" s="206"/>
      <c r="S2383" s="206"/>
      <c r="T2383" s="204"/>
      <c r="U2383" s="207"/>
      <c r="V2383" s="204"/>
      <c r="W2383" s="204"/>
      <c r="X2383" s="207"/>
      <c r="Y2383" s="207"/>
      <c r="Z2383" s="204"/>
      <c r="AA2383" s="204"/>
      <c r="AB2383" s="204"/>
      <c r="AC2383" s="204"/>
    </row>
    <row r="2384" spans="1:29">
      <c r="A2384" s="204"/>
      <c r="B2384" s="204"/>
      <c r="C2384" s="204"/>
      <c r="D2384" s="204"/>
      <c r="E2384" s="204"/>
      <c r="F2384" s="204"/>
      <c r="G2384" s="204"/>
      <c r="H2384" s="204"/>
      <c r="I2384" s="204"/>
      <c r="J2384" s="204"/>
      <c r="K2384" s="204"/>
      <c r="L2384" s="205"/>
      <c r="M2384" s="205"/>
      <c r="N2384" s="204"/>
      <c r="O2384" s="204"/>
      <c r="P2384" s="206"/>
      <c r="Q2384" s="206"/>
      <c r="R2384" s="206"/>
      <c r="S2384" s="206"/>
      <c r="T2384" s="204"/>
      <c r="U2384" s="207"/>
      <c r="V2384" s="204"/>
      <c r="W2384" s="204"/>
      <c r="X2384" s="207"/>
      <c r="Y2384" s="207"/>
      <c r="Z2384" s="204"/>
      <c r="AA2384" s="204"/>
      <c r="AB2384" s="204"/>
      <c r="AC2384" s="204"/>
    </row>
    <row r="2385" spans="1:29">
      <c r="A2385" s="204"/>
      <c r="B2385" s="204"/>
      <c r="C2385" s="204"/>
      <c r="D2385" s="204"/>
      <c r="E2385" s="204"/>
      <c r="F2385" s="204"/>
      <c r="G2385" s="204"/>
      <c r="H2385" s="204"/>
      <c r="I2385" s="204"/>
      <c r="J2385" s="204"/>
      <c r="K2385" s="204"/>
      <c r="L2385" s="205"/>
      <c r="M2385" s="205"/>
      <c r="N2385" s="204"/>
      <c r="O2385" s="204"/>
      <c r="P2385" s="206"/>
      <c r="Q2385" s="206"/>
      <c r="R2385" s="206"/>
      <c r="S2385" s="206"/>
      <c r="T2385" s="204"/>
      <c r="U2385" s="207"/>
      <c r="V2385" s="204"/>
      <c r="W2385" s="204"/>
      <c r="X2385" s="207"/>
      <c r="Y2385" s="207"/>
      <c r="Z2385" s="204"/>
      <c r="AA2385" s="204"/>
      <c r="AB2385" s="204"/>
      <c r="AC2385" s="204"/>
    </row>
    <row r="2386" spans="1:29">
      <c r="A2386" s="204"/>
      <c r="B2386" s="204"/>
      <c r="C2386" s="204"/>
      <c r="D2386" s="204"/>
      <c r="E2386" s="204"/>
      <c r="F2386" s="204"/>
      <c r="G2386" s="204"/>
      <c r="H2386" s="204"/>
      <c r="I2386" s="204"/>
      <c r="J2386" s="204"/>
      <c r="K2386" s="204"/>
      <c r="L2386" s="205"/>
      <c r="M2386" s="205"/>
      <c r="N2386" s="204"/>
      <c r="O2386" s="204"/>
      <c r="P2386" s="206"/>
      <c r="Q2386" s="206"/>
      <c r="R2386" s="206"/>
      <c r="S2386" s="206"/>
      <c r="T2386" s="204"/>
      <c r="U2386" s="207"/>
      <c r="V2386" s="204"/>
      <c r="W2386" s="204"/>
      <c r="X2386" s="207"/>
      <c r="Y2386" s="207"/>
      <c r="Z2386" s="204"/>
      <c r="AA2386" s="204"/>
      <c r="AB2386" s="204"/>
      <c r="AC2386" s="204"/>
    </row>
    <row r="2387" spans="1:29">
      <c r="A2387" s="204"/>
      <c r="B2387" s="204"/>
      <c r="C2387" s="204"/>
      <c r="D2387" s="204"/>
      <c r="E2387" s="204"/>
      <c r="F2387" s="204"/>
      <c r="G2387" s="204"/>
      <c r="H2387" s="204"/>
      <c r="I2387" s="204"/>
      <c r="J2387" s="204"/>
      <c r="K2387" s="204"/>
      <c r="L2387" s="205"/>
      <c r="M2387" s="205"/>
      <c r="N2387" s="204"/>
      <c r="O2387" s="204"/>
      <c r="P2387" s="206"/>
      <c r="Q2387" s="206"/>
      <c r="R2387" s="206"/>
      <c r="S2387" s="206"/>
      <c r="T2387" s="204"/>
      <c r="U2387" s="207"/>
      <c r="V2387" s="204"/>
      <c r="W2387" s="204"/>
      <c r="X2387" s="207"/>
      <c r="Y2387" s="207"/>
      <c r="Z2387" s="204"/>
      <c r="AA2387" s="204"/>
      <c r="AB2387" s="204"/>
      <c r="AC2387" s="204"/>
    </row>
    <row r="2388" spans="1:29">
      <c r="A2388" s="204"/>
      <c r="B2388" s="204"/>
      <c r="C2388" s="204"/>
      <c r="D2388" s="204"/>
      <c r="E2388" s="204"/>
      <c r="F2388" s="204"/>
      <c r="G2388" s="204"/>
      <c r="H2388" s="204"/>
      <c r="I2388" s="204"/>
      <c r="J2388" s="204"/>
      <c r="K2388" s="204"/>
      <c r="L2388" s="205"/>
      <c r="M2388" s="205"/>
      <c r="N2388" s="204"/>
      <c r="O2388" s="204"/>
      <c r="P2388" s="206"/>
      <c r="Q2388" s="206"/>
      <c r="R2388" s="206"/>
      <c r="S2388" s="206"/>
      <c r="T2388" s="204"/>
      <c r="U2388" s="207"/>
      <c r="V2388" s="204"/>
      <c r="W2388" s="204"/>
      <c r="X2388" s="207"/>
      <c r="Y2388" s="207"/>
      <c r="Z2388" s="204"/>
      <c r="AA2388" s="204"/>
      <c r="AB2388" s="204"/>
      <c r="AC2388" s="204"/>
    </row>
    <row r="2389" spans="1:29">
      <c r="A2389" s="204"/>
      <c r="B2389" s="204"/>
      <c r="C2389" s="204"/>
      <c r="D2389" s="204"/>
      <c r="E2389" s="204"/>
      <c r="F2389" s="204"/>
      <c r="G2389" s="204"/>
      <c r="H2389" s="204"/>
      <c r="I2389" s="204"/>
      <c r="J2389" s="204"/>
      <c r="K2389" s="204"/>
      <c r="L2389" s="205"/>
      <c r="M2389" s="205"/>
      <c r="N2389" s="204"/>
      <c r="O2389" s="204"/>
      <c r="P2389" s="206"/>
      <c r="Q2389" s="206"/>
      <c r="R2389" s="206"/>
      <c r="S2389" s="206"/>
      <c r="T2389" s="204"/>
      <c r="U2389" s="207"/>
      <c r="V2389" s="204"/>
      <c r="W2389" s="204"/>
      <c r="X2389" s="207"/>
      <c r="Y2389" s="207"/>
      <c r="Z2389" s="204"/>
      <c r="AA2389" s="204"/>
      <c r="AB2389" s="204"/>
      <c r="AC2389" s="204"/>
    </row>
    <row r="2390" spans="1:29">
      <c r="A2390" s="204"/>
      <c r="B2390" s="204"/>
      <c r="C2390" s="204"/>
      <c r="D2390" s="204"/>
      <c r="E2390" s="204"/>
      <c r="F2390" s="204"/>
      <c r="G2390" s="204"/>
      <c r="H2390" s="204"/>
      <c r="I2390" s="204"/>
      <c r="J2390" s="204"/>
      <c r="K2390" s="204"/>
      <c r="L2390" s="205"/>
      <c r="M2390" s="205"/>
      <c r="N2390" s="204"/>
      <c r="O2390" s="204"/>
      <c r="P2390" s="206"/>
      <c r="Q2390" s="206"/>
      <c r="R2390" s="206"/>
      <c r="S2390" s="206"/>
      <c r="T2390" s="204"/>
      <c r="U2390" s="207"/>
      <c r="V2390" s="204"/>
      <c r="W2390" s="204"/>
      <c r="X2390" s="207"/>
      <c r="Y2390" s="207"/>
      <c r="Z2390" s="204"/>
      <c r="AA2390" s="204"/>
      <c r="AB2390" s="204"/>
      <c r="AC2390" s="204"/>
    </row>
    <row r="2391" spans="1:29">
      <c r="A2391" s="204"/>
      <c r="B2391" s="204"/>
      <c r="C2391" s="204"/>
      <c r="D2391" s="204"/>
      <c r="E2391" s="204"/>
      <c r="F2391" s="204"/>
      <c r="G2391" s="204"/>
      <c r="H2391" s="204"/>
      <c r="I2391" s="204"/>
      <c r="J2391" s="204"/>
      <c r="K2391" s="204"/>
      <c r="L2391" s="205"/>
      <c r="M2391" s="205"/>
      <c r="N2391" s="204"/>
      <c r="O2391" s="204"/>
      <c r="P2391" s="206"/>
      <c r="Q2391" s="206"/>
      <c r="R2391" s="206"/>
      <c r="S2391" s="206"/>
      <c r="T2391" s="204"/>
      <c r="U2391" s="207"/>
      <c r="V2391" s="204"/>
      <c r="W2391" s="204"/>
      <c r="X2391" s="207"/>
      <c r="Y2391" s="207"/>
      <c r="Z2391" s="204"/>
      <c r="AA2391" s="204"/>
      <c r="AB2391" s="204"/>
      <c r="AC2391" s="204"/>
    </row>
    <row r="2392" spans="1:29">
      <c r="A2392" s="204"/>
      <c r="B2392" s="204"/>
      <c r="C2392" s="204"/>
      <c r="D2392" s="204"/>
      <c r="E2392" s="204"/>
      <c r="F2392" s="204"/>
      <c r="G2392" s="204"/>
      <c r="H2392" s="204"/>
      <c r="I2392" s="204"/>
      <c r="J2392" s="204"/>
      <c r="K2392" s="204"/>
      <c r="L2392" s="205"/>
      <c r="M2392" s="205"/>
      <c r="N2392" s="204"/>
      <c r="O2392" s="204"/>
      <c r="P2392" s="206"/>
      <c r="Q2392" s="206"/>
      <c r="R2392" s="206"/>
      <c r="S2392" s="206"/>
      <c r="T2392" s="204"/>
      <c r="U2392" s="207"/>
      <c r="V2392" s="204"/>
      <c r="W2392" s="204"/>
      <c r="X2392" s="207"/>
      <c r="Y2392" s="207"/>
      <c r="Z2392" s="204"/>
      <c r="AA2392" s="204"/>
      <c r="AB2392" s="204"/>
      <c r="AC2392" s="204"/>
    </row>
    <row r="2393" spans="1:29">
      <c r="A2393" s="204"/>
      <c r="B2393" s="204"/>
      <c r="C2393" s="204"/>
      <c r="D2393" s="204"/>
      <c r="E2393" s="204"/>
      <c r="F2393" s="204"/>
      <c r="G2393" s="204"/>
      <c r="H2393" s="204"/>
      <c r="I2393" s="204"/>
      <c r="J2393" s="204"/>
      <c r="K2393" s="204"/>
      <c r="L2393" s="205"/>
      <c r="M2393" s="205"/>
      <c r="N2393" s="204"/>
      <c r="O2393" s="204"/>
      <c r="P2393" s="206"/>
      <c r="Q2393" s="206"/>
      <c r="R2393" s="206"/>
      <c r="S2393" s="206"/>
      <c r="T2393" s="204"/>
      <c r="U2393" s="207"/>
      <c r="V2393" s="204"/>
      <c r="W2393" s="204"/>
      <c r="X2393" s="207"/>
      <c r="Y2393" s="207"/>
      <c r="Z2393" s="204"/>
      <c r="AA2393" s="204"/>
      <c r="AB2393" s="204"/>
      <c r="AC2393" s="204"/>
    </row>
    <row r="2394" spans="1:29">
      <c r="A2394" s="204"/>
      <c r="B2394" s="204"/>
      <c r="C2394" s="204"/>
      <c r="D2394" s="204"/>
      <c r="E2394" s="204"/>
      <c r="F2394" s="204"/>
      <c r="G2394" s="204"/>
      <c r="H2394" s="204"/>
      <c r="I2394" s="204"/>
      <c r="J2394" s="204"/>
      <c r="K2394" s="204"/>
      <c r="L2394" s="205"/>
      <c r="M2394" s="205"/>
      <c r="N2394" s="204"/>
      <c r="O2394" s="204"/>
      <c r="P2394" s="206"/>
      <c r="Q2394" s="206"/>
      <c r="R2394" s="206"/>
      <c r="S2394" s="206"/>
      <c r="T2394" s="204"/>
      <c r="U2394" s="207"/>
      <c r="V2394" s="204"/>
      <c r="W2394" s="204"/>
      <c r="X2394" s="207"/>
      <c r="Y2394" s="207"/>
      <c r="Z2394" s="204"/>
      <c r="AA2394" s="204"/>
      <c r="AB2394" s="204"/>
      <c r="AC2394" s="204"/>
    </row>
    <row r="2395" spans="1:29">
      <c r="A2395" s="204"/>
      <c r="B2395" s="204"/>
      <c r="C2395" s="204"/>
      <c r="D2395" s="204"/>
      <c r="E2395" s="204"/>
      <c r="F2395" s="204"/>
      <c r="G2395" s="204"/>
      <c r="H2395" s="204"/>
      <c r="I2395" s="204"/>
      <c r="J2395" s="204"/>
      <c r="K2395" s="204"/>
      <c r="L2395" s="205"/>
      <c r="M2395" s="205"/>
      <c r="N2395" s="204"/>
      <c r="O2395" s="204"/>
      <c r="P2395" s="206"/>
      <c r="Q2395" s="206"/>
      <c r="R2395" s="206"/>
      <c r="S2395" s="206"/>
      <c r="T2395" s="204"/>
      <c r="U2395" s="207"/>
      <c r="V2395" s="204"/>
      <c r="W2395" s="204"/>
      <c r="X2395" s="207"/>
      <c r="Y2395" s="207"/>
      <c r="Z2395" s="204"/>
      <c r="AA2395" s="204"/>
      <c r="AB2395" s="204"/>
      <c r="AC2395" s="204"/>
    </row>
    <row r="2396" spans="1:29">
      <c r="A2396" s="204"/>
      <c r="B2396" s="204"/>
      <c r="C2396" s="204"/>
      <c r="D2396" s="204"/>
      <c r="E2396" s="204"/>
      <c r="F2396" s="204"/>
      <c r="G2396" s="204"/>
      <c r="H2396" s="204"/>
      <c r="I2396" s="204"/>
      <c r="J2396" s="204"/>
      <c r="K2396" s="204"/>
      <c r="L2396" s="205"/>
      <c r="M2396" s="205"/>
      <c r="N2396" s="204"/>
      <c r="O2396" s="204"/>
      <c r="P2396" s="206"/>
      <c r="Q2396" s="206"/>
      <c r="R2396" s="206"/>
      <c r="S2396" s="206"/>
      <c r="T2396" s="204"/>
      <c r="U2396" s="207"/>
      <c r="V2396" s="204"/>
      <c r="W2396" s="204"/>
      <c r="X2396" s="207"/>
      <c r="Y2396" s="207"/>
      <c r="Z2396" s="204"/>
      <c r="AA2396" s="204"/>
      <c r="AB2396" s="204"/>
      <c r="AC2396" s="204"/>
    </row>
    <row r="2397" spans="1:29">
      <c r="A2397" s="204"/>
      <c r="B2397" s="204"/>
      <c r="C2397" s="204"/>
      <c r="D2397" s="204"/>
      <c r="E2397" s="204"/>
      <c r="F2397" s="204"/>
      <c r="G2397" s="204"/>
      <c r="H2397" s="204"/>
      <c r="I2397" s="204"/>
      <c r="J2397" s="204"/>
      <c r="K2397" s="204"/>
      <c r="L2397" s="205"/>
      <c r="M2397" s="205"/>
      <c r="N2397" s="204"/>
      <c r="O2397" s="204"/>
      <c r="P2397" s="206"/>
      <c r="Q2397" s="206"/>
      <c r="R2397" s="206"/>
      <c r="S2397" s="206"/>
      <c r="T2397" s="204"/>
      <c r="U2397" s="207"/>
      <c r="V2397" s="204"/>
      <c r="W2397" s="204"/>
      <c r="X2397" s="207"/>
      <c r="Y2397" s="207"/>
      <c r="Z2397" s="204"/>
      <c r="AA2397" s="204"/>
      <c r="AB2397" s="204"/>
      <c r="AC2397" s="204"/>
    </row>
    <row r="2398" spans="1:29">
      <c r="A2398" s="204"/>
      <c r="B2398" s="204"/>
      <c r="C2398" s="204"/>
      <c r="D2398" s="204"/>
      <c r="E2398" s="204"/>
      <c r="F2398" s="204"/>
      <c r="G2398" s="204"/>
      <c r="H2398" s="204"/>
      <c r="I2398" s="204"/>
      <c r="J2398" s="204"/>
      <c r="K2398" s="204"/>
      <c r="L2398" s="205"/>
      <c r="M2398" s="205"/>
      <c r="N2398" s="204"/>
      <c r="O2398" s="204"/>
      <c r="P2398" s="206"/>
      <c r="Q2398" s="206"/>
      <c r="R2398" s="206"/>
      <c r="S2398" s="206"/>
      <c r="T2398" s="204"/>
      <c r="U2398" s="207"/>
      <c r="V2398" s="204"/>
      <c r="W2398" s="204"/>
      <c r="X2398" s="207"/>
      <c r="Y2398" s="207"/>
      <c r="Z2398" s="204"/>
      <c r="AA2398" s="204"/>
      <c r="AB2398" s="204"/>
      <c r="AC2398" s="204"/>
    </row>
    <row r="2399" spans="1:29">
      <c r="A2399" s="204"/>
      <c r="B2399" s="204"/>
      <c r="C2399" s="204"/>
      <c r="D2399" s="204"/>
      <c r="E2399" s="204"/>
      <c r="F2399" s="204"/>
      <c r="G2399" s="204"/>
      <c r="H2399" s="204"/>
      <c r="I2399" s="204"/>
      <c r="J2399" s="204"/>
      <c r="K2399" s="204"/>
      <c r="L2399" s="205"/>
      <c r="M2399" s="205"/>
      <c r="N2399" s="204"/>
      <c r="O2399" s="204"/>
      <c r="P2399" s="206"/>
      <c r="Q2399" s="206"/>
      <c r="R2399" s="206"/>
      <c r="S2399" s="206"/>
      <c r="T2399" s="204"/>
      <c r="U2399" s="207"/>
      <c r="V2399" s="204"/>
      <c r="W2399" s="204"/>
      <c r="X2399" s="207"/>
      <c r="Y2399" s="207"/>
      <c r="Z2399" s="204"/>
      <c r="AA2399" s="204"/>
      <c r="AB2399" s="204"/>
      <c r="AC2399" s="204"/>
    </row>
    <row r="2400" spans="1:29">
      <c r="A2400" s="204"/>
      <c r="B2400" s="204"/>
      <c r="C2400" s="204"/>
      <c r="D2400" s="204"/>
      <c r="E2400" s="204"/>
      <c r="F2400" s="204"/>
      <c r="G2400" s="204"/>
      <c r="H2400" s="204"/>
      <c r="I2400" s="204"/>
      <c r="J2400" s="204"/>
      <c r="K2400" s="204"/>
      <c r="L2400" s="205"/>
      <c r="M2400" s="205"/>
      <c r="N2400" s="204"/>
      <c r="O2400" s="204"/>
      <c r="P2400" s="206"/>
      <c r="Q2400" s="206"/>
      <c r="R2400" s="206"/>
      <c r="S2400" s="206"/>
      <c r="T2400" s="204"/>
      <c r="U2400" s="207"/>
      <c r="V2400" s="204"/>
      <c r="W2400" s="204"/>
      <c r="X2400" s="207"/>
      <c r="Y2400" s="207"/>
      <c r="Z2400" s="204"/>
      <c r="AA2400" s="204"/>
      <c r="AB2400" s="204"/>
      <c r="AC2400" s="204"/>
    </row>
    <row r="2401" spans="1:29">
      <c r="A2401" s="204"/>
      <c r="B2401" s="204"/>
      <c r="C2401" s="204"/>
      <c r="D2401" s="204"/>
      <c r="E2401" s="204"/>
      <c r="F2401" s="204"/>
      <c r="G2401" s="204"/>
      <c r="H2401" s="204"/>
      <c r="I2401" s="204"/>
      <c r="J2401" s="204"/>
      <c r="K2401" s="204"/>
      <c r="L2401" s="205"/>
      <c r="M2401" s="205"/>
      <c r="N2401" s="204"/>
      <c r="O2401" s="204"/>
      <c r="P2401" s="206"/>
      <c r="Q2401" s="206"/>
      <c r="R2401" s="206"/>
      <c r="S2401" s="206"/>
      <c r="T2401" s="204"/>
      <c r="U2401" s="207"/>
      <c r="V2401" s="204"/>
      <c r="W2401" s="204"/>
      <c r="X2401" s="207"/>
      <c r="Y2401" s="207"/>
      <c r="Z2401" s="204"/>
      <c r="AA2401" s="204"/>
      <c r="AB2401" s="204"/>
      <c r="AC2401" s="204"/>
    </row>
    <row r="2402" spans="1:29">
      <c r="A2402" s="204"/>
      <c r="B2402" s="204"/>
      <c r="C2402" s="204"/>
      <c r="D2402" s="204"/>
      <c r="E2402" s="204"/>
      <c r="F2402" s="204"/>
      <c r="G2402" s="204"/>
      <c r="H2402" s="204"/>
      <c r="I2402" s="204"/>
      <c r="J2402" s="204"/>
      <c r="K2402" s="204"/>
      <c r="L2402" s="205"/>
      <c r="M2402" s="205"/>
      <c r="N2402" s="204"/>
      <c r="O2402" s="204"/>
      <c r="P2402" s="206"/>
      <c r="Q2402" s="206"/>
      <c r="R2402" s="206"/>
      <c r="S2402" s="206"/>
      <c r="T2402" s="204"/>
      <c r="U2402" s="207"/>
      <c r="V2402" s="204"/>
      <c r="W2402" s="204"/>
      <c r="X2402" s="207"/>
      <c r="Y2402" s="207"/>
      <c r="Z2402" s="204"/>
      <c r="AA2402" s="204"/>
      <c r="AB2402" s="204"/>
      <c r="AC2402" s="204"/>
    </row>
    <row r="2403" spans="1:29">
      <c r="A2403" s="204"/>
      <c r="B2403" s="204"/>
      <c r="C2403" s="204"/>
      <c r="D2403" s="204"/>
      <c r="E2403" s="204"/>
      <c r="F2403" s="204"/>
      <c r="G2403" s="204"/>
      <c r="H2403" s="204"/>
      <c r="I2403" s="204"/>
      <c r="J2403" s="204"/>
      <c r="K2403" s="204"/>
      <c r="L2403" s="205"/>
      <c r="M2403" s="205"/>
      <c r="N2403" s="204"/>
      <c r="O2403" s="204"/>
      <c r="P2403" s="206"/>
      <c r="Q2403" s="206"/>
      <c r="R2403" s="206"/>
      <c r="S2403" s="206"/>
      <c r="T2403" s="204"/>
      <c r="U2403" s="207"/>
      <c r="V2403" s="204"/>
      <c r="W2403" s="204"/>
      <c r="X2403" s="207"/>
      <c r="Y2403" s="207"/>
      <c r="Z2403" s="204"/>
      <c r="AA2403" s="204"/>
      <c r="AB2403" s="204"/>
      <c r="AC2403" s="204"/>
    </row>
    <row r="2404" spans="1:29">
      <c r="A2404" s="204"/>
      <c r="B2404" s="204"/>
      <c r="C2404" s="204"/>
      <c r="D2404" s="204"/>
      <c r="E2404" s="204"/>
      <c r="F2404" s="204"/>
      <c r="G2404" s="204"/>
      <c r="H2404" s="204"/>
      <c r="I2404" s="204"/>
      <c r="J2404" s="204"/>
      <c r="K2404" s="204"/>
      <c r="L2404" s="205"/>
      <c r="M2404" s="205"/>
      <c r="N2404" s="204"/>
      <c r="O2404" s="204"/>
      <c r="P2404" s="206"/>
      <c r="Q2404" s="206"/>
      <c r="R2404" s="206"/>
      <c r="S2404" s="206"/>
      <c r="T2404" s="204"/>
      <c r="U2404" s="207"/>
      <c r="V2404" s="204"/>
      <c r="W2404" s="204"/>
      <c r="X2404" s="207"/>
      <c r="Y2404" s="207"/>
      <c r="Z2404" s="204"/>
      <c r="AA2404" s="204"/>
      <c r="AB2404" s="204"/>
      <c r="AC2404" s="204"/>
    </row>
    <row r="2405" spans="1:29">
      <c r="A2405" s="204"/>
      <c r="B2405" s="204"/>
      <c r="C2405" s="204"/>
      <c r="D2405" s="204"/>
      <c r="E2405" s="204"/>
      <c r="F2405" s="204"/>
      <c r="G2405" s="204"/>
      <c r="H2405" s="204"/>
      <c r="I2405" s="204"/>
      <c r="J2405" s="204"/>
      <c r="K2405" s="204"/>
      <c r="L2405" s="205"/>
      <c r="M2405" s="205"/>
      <c r="N2405" s="204"/>
      <c r="O2405" s="204"/>
      <c r="P2405" s="206"/>
      <c r="Q2405" s="206"/>
      <c r="R2405" s="206"/>
      <c r="S2405" s="206"/>
      <c r="T2405" s="204"/>
      <c r="U2405" s="207"/>
      <c r="V2405" s="204"/>
      <c r="W2405" s="204"/>
      <c r="X2405" s="207"/>
      <c r="Y2405" s="207"/>
      <c r="Z2405" s="204"/>
      <c r="AA2405" s="204"/>
      <c r="AB2405" s="204"/>
      <c r="AC2405" s="204"/>
    </row>
    <row r="2406" spans="1:29">
      <c r="A2406" s="204"/>
      <c r="B2406" s="204"/>
      <c r="C2406" s="204"/>
      <c r="D2406" s="204"/>
      <c r="E2406" s="204"/>
      <c r="F2406" s="204"/>
      <c r="G2406" s="204"/>
      <c r="H2406" s="204"/>
      <c r="I2406" s="204"/>
      <c r="J2406" s="204"/>
      <c r="K2406" s="204"/>
      <c r="L2406" s="205"/>
      <c r="M2406" s="205"/>
      <c r="N2406" s="204"/>
      <c r="O2406" s="204"/>
      <c r="P2406" s="206"/>
      <c r="Q2406" s="206"/>
      <c r="R2406" s="206"/>
      <c r="S2406" s="206"/>
      <c r="T2406" s="204"/>
      <c r="U2406" s="207"/>
      <c r="V2406" s="204"/>
      <c r="W2406" s="204"/>
      <c r="X2406" s="207"/>
      <c r="Y2406" s="207"/>
      <c r="Z2406" s="204"/>
      <c r="AA2406" s="204"/>
      <c r="AB2406" s="204"/>
      <c r="AC2406" s="204"/>
    </row>
    <row r="2407" spans="1:29">
      <c r="A2407" s="204"/>
      <c r="B2407" s="204"/>
      <c r="C2407" s="204"/>
      <c r="D2407" s="204"/>
      <c r="E2407" s="204"/>
      <c r="F2407" s="204"/>
      <c r="G2407" s="204"/>
      <c r="H2407" s="204"/>
      <c r="I2407" s="204"/>
      <c r="J2407" s="204"/>
      <c r="K2407" s="204"/>
      <c r="L2407" s="205"/>
      <c r="M2407" s="205"/>
      <c r="N2407" s="204"/>
      <c r="O2407" s="204"/>
      <c r="P2407" s="206"/>
      <c r="Q2407" s="206"/>
      <c r="R2407" s="206"/>
      <c r="S2407" s="206"/>
      <c r="T2407" s="204"/>
      <c r="U2407" s="207"/>
      <c r="V2407" s="204"/>
      <c r="W2407" s="204"/>
      <c r="X2407" s="207"/>
      <c r="Y2407" s="207"/>
      <c r="Z2407" s="204"/>
      <c r="AA2407" s="204"/>
      <c r="AB2407" s="204"/>
      <c r="AC2407" s="204"/>
    </row>
    <row r="2408" spans="1:29">
      <c r="A2408" s="204"/>
      <c r="B2408" s="204"/>
      <c r="C2408" s="204"/>
      <c r="D2408" s="204"/>
      <c r="E2408" s="204"/>
      <c r="F2408" s="204"/>
      <c r="G2408" s="204"/>
      <c r="H2408" s="204"/>
      <c r="I2408" s="204"/>
      <c r="J2408" s="204"/>
      <c r="K2408" s="204"/>
      <c r="L2408" s="205"/>
      <c r="M2408" s="205"/>
      <c r="N2408" s="204"/>
      <c r="O2408" s="204"/>
      <c r="P2408" s="206"/>
      <c r="Q2408" s="206"/>
      <c r="R2408" s="206"/>
      <c r="S2408" s="206"/>
      <c r="T2408" s="204"/>
      <c r="U2408" s="207"/>
      <c r="V2408" s="204"/>
      <c r="W2408" s="204"/>
      <c r="X2408" s="207"/>
      <c r="Y2408" s="207"/>
      <c r="Z2408" s="204"/>
      <c r="AA2408" s="204"/>
      <c r="AB2408" s="204"/>
      <c r="AC2408" s="204"/>
    </row>
    <row r="2409" spans="1:29">
      <c r="A2409" s="204"/>
      <c r="B2409" s="204"/>
      <c r="C2409" s="204"/>
      <c r="D2409" s="204"/>
      <c r="E2409" s="204"/>
      <c r="F2409" s="204"/>
      <c r="G2409" s="204"/>
      <c r="H2409" s="204"/>
      <c r="I2409" s="204"/>
      <c r="J2409" s="204"/>
      <c r="K2409" s="204"/>
      <c r="L2409" s="205"/>
      <c r="M2409" s="205"/>
      <c r="N2409" s="204"/>
      <c r="O2409" s="204"/>
      <c r="P2409" s="206"/>
      <c r="Q2409" s="206"/>
      <c r="R2409" s="206"/>
      <c r="S2409" s="206"/>
      <c r="T2409" s="204"/>
      <c r="U2409" s="207"/>
      <c r="V2409" s="204"/>
      <c r="W2409" s="204"/>
      <c r="X2409" s="207"/>
      <c r="Y2409" s="207"/>
      <c r="Z2409" s="204"/>
      <c r="AA2409" s="204"/>
      <c r="AB2409" s="204"/>
      <c r="AC2409" s="204"/>
    </row>
    <row r="2410" spans="1:29">
      <c r="A2410" s="204"/>
      <c r="B2410" s="204"/>
      <c r="C2410" s="204"/>
      <c r="D2410" s="204"/>
      <c r="E2410" s="204"/>
      <c r="F2410" s="204"/>
      <c r="G2410" s="204"/>
      <c r="H2410" s="204"/>
      <c r="I2410" s="204"/>
      <c r="J2410" s="204"/>
      <c r="K2410" s="204"/>
      <c r="L2410" s="205"/>
      <c r="M2410" s="205"/>
      <c r="N2410" s="204"/>
      <c r="O2410" s="204"/>
      <c r="P2410" s="206"/>
      <c r="Q2410" s="206"/>
      <c r="R2410" s="206"/>
      <c r="S2410" s="206"/>
      <c r="T2410" s="204"/>
      <c r="U2410" s="207"/>
      <c r="V2410" s="204"/>
      <c r="W2410" s="204"/>
      <c r="X2410" s="207"/>
      <c r="Y2410" s="207"/>
      <c r="Z2410" s="204"/>
      <c r="AA2410" s="204"/>
      <c r="AB2410" s="204"/>
      <c r="AC2410" s="204"/>
    </row>
    <row r="2411" spans="1:29">
      <c r="A2411" s="204"/>
      <c r="B2411" s="204"/>
      <c r="C2411" s="204"/>
      <c r="D2411" s="204"/>
      <c r="E2411" s="204"/>
      <c r="F2411" s="204"/>
      <c r="G2411" s="204"/>
      <c r="H2411" s="204"/>
      <c r="I2411" s="204"/>
      <c r="J2411" s="204"/>
      <c r="K2411" s="204"/>
      <c r="L2411" s="205"/>
      <c r="M2411" s="205"/>
      <c r="N2411" s="204"/>
      <c r="O2411" s="204"/>
      <c r="P2411" s="206"/>
      <c r="Q2411" s="206"/>
      <c r="R2411" s="206"/>
      <c r="S2411" s="206"/>
      <c r="T2411" s="204"/>
      <c r="U2411" s="207"/>
      <c r="V2411" s="204"/>
      <c r="W2411" s="204"/>
      <c r="X2411" s="207"/>
      <c r="Y2411" s="207"/>
      <c r="Z2411" s="204"/>
      <c r="AA2411" s="204"/>
      <c r="AB2411" s="204"/>
      <c r="AC2411" s="204"/>
    </row>
    <row r="2412" spans="1:29">
      <c r="A2412" s="204"/>
      <c r="B2412" s="204"/>
      <c r="C2412" s="204"/>
      <c r="D2412" s="204"/>
      <c r="E2412" s="204"/>
      <c r="F2412" s="204"/>
      <c r="G2412" s="204"/>
      <c r="H2412" s="204"/>
      <c r="I2412" s="204"/>
      <c r="J2412" s="204"/>
      <c r="K2412" s="204"/>
      <c r="L2412" s="205"/>
      <c r="M2412" s="205"/>
      <c r="N2412" s="204"/>
      <c r="O2412" s="204"/>
      <c r="P2412" s="206"/>
      <c r="Q2412" s="206"/>
      <c r="R2412" s="206"/>
      <c r="S2412" s="206"/>
      <c r="T2412" s="204"/>
      <c r="U2412" s="207"/>
      <c r="V2412" s="204"/>
      <c r="W2412" s="204"/>
      <c r="X2412" s="207"/>
      <c r="Y2412" s="207"/>
      <c r="Z2412" s="204"/>
      <c r="AA2412" s="204"/>
      <c r="AB2412" s="204"/>
      <c r="AC2412" s="204"/>
    </row>
    <row r="2413" spans="1:29">
      <c r="A2413" s="204"/>
      <c r="B2413" s="204"/>
      <c r="C2413" s="204"/>
      <c r="D2413" s="204"/>
      <c r="E2413" s="204"/>
      <c r="F2413" s="204"/>
      <c r="G2413" s="204"/>
      <c r="H2413" s="204"/>
      <c r="I2413" s="204"/>
      <c r="J2413" s="204"/>
      <c r="K2413" s="204"/>
      <c r="L2413" s="205"/>
      <c r="M2413" s="205"/>
      <c r="N2413" s="204"/>
      <c r="O2413" s="204"/>
      <c r="P2413" s="206"/>
      <c r="Q2413" s="206"/>
      <c r="R2413" s="206"/>
      <c r="S2413" s="206"/>
      <c r="T2413" s="204"/>
      <c r="U2413" s="207"/>
      <c r="V2413" s="204"/>
      <c r="W2413" s="204"/>
      <c r="X2413" s="207"/>
      <c r="Y2413" s="207"/>
      <c r="Z2413" s="204"/>
      <c r="AA2413" s="204"/>
      <c r="AB2413" s="204"/>
      <c r="AC2413" s="204"/>
    </row>
    <row r="2414" spans="1:29">
      <c r="A2414" s="204"/>
      <c r="B2414" s="204"/>
      <c r="C2414" s="204"/>
      <c r="D2414" s="204"/>
      <c r="E2414" s="204"/>
      <c r="F2414" s="204"/>
      <c r="G2414" s="204"/>
      <c r="H2414" s="204"/>
      <c r="I2414" s="204"/>
      <c r="J2414" s="204"/>
      <c r="K2414" s="204"/>
      <c r="L2414" s="205"/>
      <c r="M2414" s="205"/>
      <c r="N2414" s="204"/>
      <c r="O2414" s="204"/>
      <c r="P2414" s="206"/>
      <c r="Q2414" s="206"/>
      <c r="R2414" s="206"/>
      <c r="S2414" s="206"/>
      <c r="T2414" s="204"/>
      <c r="U2414" s="207"/>
      <c r="V2414" s="204"/>
      <c r="W2414" s="204"/>
      <c r="X2414" s="207"/>
      <c r="Y2414" s="207"/>
      <c r="Z2414" s="204"/>
      <c r="AA2414" s="204"/>
      <c r="AB2414" s="204"/>
      <c r="AC2414" s="204"/>
    </row>
    <row r="2415" spans="1:29">
      <c r="A2415" s="204"/>
      <c r="B2415" s="204"/>
      <c r="C2415" s="204"/>
      <c r="D2415" s="204"/>
      <c r="E2415" s="204"/>
      <c r="F2415" s="204"/>
      <c r="G2415" s="204"/>
      <c r="H2415" s="204"/>
      <c r="I2415" s="204"/>
      <c r="J2415" s="204"/>
      <c r="K2415" s="204"/>
      <c r="L2415" s="205"/>
      <c r="M2415" s="205"/>
      <c r="N2415" s="204"/>
      <c r="O2415" s="204"/>
      <c r="P2415" s="206"/>
      <c r="Q2415" s="206"/>
      <c r="R2415" s="206"/>
      <c r="S2415" s="206"/>
      <c r="T2415" s="204"/>
      <c r="U2415" s="207"/>
      <c r="V2415" s="204"/>
      <c r="W2415" s="204"/>
      <c r="X2415" s="207"/>
      <c r="Y2415" s="207"/>
      <c r="Z2415" s="204"/>
      <c r="AA2415" s="204"/>
      <c r="AB2415" s="204"/>
      <c r="AC2415" s="204"/>
    </row>
    <row r="2416" spans="1:29">
      <c r="A2416" s="204"/>
      <c r="B2416" s="204"/>
      <c r="C2416" s="204"/>
      <c r="D2416" s="204"/>
      <c r="E2416" s="204"/>
      <c r="F2416" s="204"/>
      <c r="G2416" s="204"/>
      <c r="H2416" s="204"/>
      <c r="I2416" s="204"/>
      <c r="J2416" s="204"/>
      <c r="K2416" s="204"/>
      <c r="L2416" s="205"/>
      <c r="M2416" s="205"/>
      <c r="N2416" s="204"/>
      <c r="O2416" s="204"/>
      <c r="P2416" s="206"/>
      <c r="Q2416" s="206"/>
      <c r="R2416" s="206"/>
      <c r="S2416" s="206"/>
      <c r="T2416" s="204"/>
      <c r="U2416" s="207"/>
      <c r="V2416" s="204"/>
      <c r="W2416" s="204"/>
      <c r="X2416" s="207"/>
      <c r="Y2416" s="207"/>
      <c r="Z2416" s="204"/>
      <c r="AA2416" s="204"/>
      <c r="AB2416" s="204"/>
      <c r="AC2416" s="204"/>
    </row>
    <row r="2417" spans="1:29">
      <c r="A2417" s="204"/>
      <c r="B2417" s="204"/>
      <c r="C2417" s="204"/>
      <c r="D2417" s="204"/>
      <c r="E2417" s="204"/>
      <c r="F2417" s="204"/>
      <c r="G2417" s="204"/>
      <c r="H2417" s="204"/>
      <c r="I2417" s="204"/>
      <c r="J2417" s="204"/>
      <c r="K2417" s="204"/>
      <c r="L2417" s="205"/>
      <c r="M2417" s="205"/>
      <c r="N2417" s="204"/>
      <c r="O2417" s="204"/>
      <c r="P2417" s="206"/>
      <c r="Q2417" s="206"/>
      <c r="R2417" s="206"/>
      <c r="S2417" s="206"/>
      <c r="T2417" s="204"/>
      <c r="U2417" s="207"/>
      <c r="V2417" s="204"/>
      <c r="W2417" s="204"/>
      <c r="X2417" s="207"/>
      <c r="Y2417" s="207"/>
      <c r="Z2417" s="204"/>
      <c r="AA2417" s="204"/>
      <c r="AB2417" s="204"/>
      <c r="AC2417" s="204"/>
    </row>
    <row r="2418" spans="1:29">
      <c r="A2418" s="204"/>
      <c r="B2418" s="204"/>
      <c r="C2418" s="204"/>
      <c r="D2418" s="204"/>
      <c r="E2418" s="204"/>
      <c r="F2418" s="204"/>
      <c r="G2418" s="204"/>
      <c r="H2418" s="204"/>
      <c r="I2418" s="204"/>
      <c r="J2418" s="204"/>
      <c r="K2418" s="204"/>
      <c r="L2418" s="205"/>
      <c r="M2418" s="205"/>
      <c r="N2418" s="204"/>
      <c r="O2418" s="204"/>
      <c r="P2418" s="206"/>
      <c r="Q2418" s="206"/>
      <c r="R2418" s="206"/>
      <c r="S2418" s="206"/>
      <c r="T2418" s="204"/>
      <c r="U2418" s="207"/>
      <c r="V2418" s="204"/>
      <c r="W2418" s="204"/>
      <c r="X2418" s="207"/>
      <c r="Y2418" s="207"/>
      <c r="Z2418" s="204"/>
      <c r="AA2418" s="204"/>
      <c r="AB2418" s="204"/>
      <c r="AC2418" s="204"/>
    </row>
    <row r="2419" spans="1:29">
      <c r="A2419" s="204"/>
      <c r="B2419" s="204"/>
      <c r="C2419" s="204"/>
      <c r="D2419" s="204"/>
      <c r="E2419" s="204"/>
      <c r="F2419" s="204"/>
      <c r="G2419" s="204"/>
      <c r="H2419" s="204"/>
      <c r="I2419" s="204"/>
      <c r="J2419" s="204"/>
      <c r="K2419" s="204"/>
      <c r="L2419" s="205"/>
      <c r="M2419" s="205"/>
      <c r="N2419" s="204"/>
      <c r="O2419" s="204"/>
      <c r="P2419" s="206"/>
      <c r="Q2419" s="206"/>
      <c r="R2419" s="206"/>
      <c r="S2419" s="206"/>
      <c r="T2419" s="204"/>
      <c r="U2419" s="207"/>
      <c r="V2419" s="204"/>
      <c r="W2419" s="204"/>
      <c r="X2419" s="207"/>
      <c r="Y2419" s="207"/>
      <c r="Z2419" s="204"/>
      <c r="AA2419" s="204"/>
      <c r="AB2419" s="204"/>
      <c r="AC2419" s="204"/>
    </row>
    <row r="2420" spans="1:29">
      <c r="A2420" s="204"/>
      <c r="B2420" s="204"/>
      <c r="C2420" s="204"/>
      <c r="D2420" s="204"/>
      <c r="E2420" s="204"/>
      <c r="F2420" s="204"/>
      <c r="G2420" s="204"/>
      <c r="H2420" s="204"/>
      <c r="I2420" s="204"/>
      <c r="J2420" s="204"/>
      <c r="K2420" s="204"/>
      <c r="L2420" s="205"/>
      <c r="M2420" s="205"/>
      <c r="N2420" s="204"/>
      <c r="O2420" s="204"/>
      <c r="P2420" s="206"/>
      <c r="Q2420" s="206"/>
      <c r="R2420" s="206"/>
      <c r="S2420" s="206"/>
      <c r="T2420" s="204"/>
      <c r="U2420" s="207"/>
      <c r="V2420" s="204"/>
      <c r="W2420" s="204"/>
      <c r="X2420" s="207"/>
      <c r="Y2420" s="207"/>
      <c r="Z2420" s="204"/>
      <c r="AA2420" s="204"/>
      <c r="AB2420" s="204"/>
      <c r="AC2420" s="204"/>
    </row>
    <row r="2421" spans="1:29">
      <c r="A2421" s="204"/>
      <c r="B2421" s="204"/>
      <c r="C2421" s="204"/>
      <c r="D2421" s="204"/>
      <c r="E2421" s="204"/>
      <c r="F2421" s="204"/>
      <c r="G2421" s="204"/>
      <c r="H2421" s="204"/>
      <c r="I2421" s="204"/>
      <c r="J2421" s="204"/>
      <c r="K2421" s="204"/>
      <c r="L2421" s="205"/>
      <c r="M2421" s="205"/>
      <c r="N2421" s="204"/>
      <c r="O2421" s="204"/>
      <c r="P2421" s="206"/>
      <c r="Q2421" s="206"/>
      <c r="R2421" s="206"/>
      <c r="S2421" s="206"/>
      <c r="T2421" s="204"/>
      <c r="U2421" s="207"/>
      <c r="V2421" s="204"/>
      <c r="W2421" s="204"/>
      <c r="X2421" s="207"/>
      <c r="Y2421" s="207"/>
      <c r="Z2421" s="204"/>
      <c r="AA2421" s="204"/>
      <c r="AB2421" s="204"/>
      <c r="AC2421" s="204"/>
    </row>
    <row r="2422" spans="1:29">
      <c r="A2422" s="204"/>
      <c r="B2422" s="204"/>
      <c r="C2422" s="204"/>
      <c r="D2422" s="204"/>
      <c r="E2422" s="204"/>
      <c r="F2422" s="204"/>
      <c r="G2422" s="204"/>
      <c r="H2422" s="204"/>
      <c r="I2422" s="204"/>
      <c r="J2422" s="204"/>
      <c r="K2422" s="204"/>
      <c r="L2422" s="205"/>
      <c r="M2422" s="205"/>
      <c r="N2422" s="204"/>
      <c r="O2422" s="204"/>
      <c r="P2422" s="206"/>
      <c r="Q2422" s="206"/>
      <c r="R2422" s="206"/>
      <c r="S2422" s="206"/>
      <c r="T2422" s="204"/>
      <c r="U2422" s="207"/>
      <c r="V2422" s="204"/>
      <c r="W2422" s="204"/>
      <c r="X2422" s="207"/>
      <c r="Y2422" s="207"/>
      <c r="Z2422" s="204"/>
      <c r="AA2422" s="204"/>
      <c r="AB2422" s="204"/>
      <c r="AC2422" s="204"/>
    </row>
    <row r="2423" spans="1:29">
      <c r="A2423" s="204"/>
      <c r="B2423" s="204"/>
      <c r="C2423" s="204"/>
      <c r="D2423" s="204"/>
      <c r="E2423" s="204"/>
      <c r="F2423" s="204"/>
      <c r="G2423" s="204"/>
      <c r="H2423" s="204"/>
      <c r="I2423" s="204"/>
      <c r="J2423" s="204"/>
      <c r="K2423" s="204"/>
      <c r="L2423" s="205"/>
      <c r="M2423" s="205"/>
      <c r="N2423" s="204"/>
      <c r="O2423" s="204"/>
      <c r="P2423" s="206"/>
      <c r="Q2423" s="206"/>
      <c r="R2423" s="206"/>
      <c r="S2423" s="206"/>
      <c r="T2423" s="204"/>
      <c r="U2423" s="207"/>
      <c r="V2423" s="204"/>
      <c r="W2423" s="204"/>
      <c r="X2423" s="207"/>
      <c r="Y2423" s="207"/>
      <c r="Z2423" s="204"/>
      <c r="AA2423" s="204"/>
      <c r="AB2423" s="204"/>
      <c r="AC2423" s="204"/>
    </row>
    <row r="2424" spans="1:29">
      <c r="A2424" s="204"/>
      <c r="B2424" s="204"/>
      <c r="C2424" s="204"/>
      <c r="D2424" s="204"/>
      <c r="E2424" s="204"/>
      <c r="F2424" s="204"/>
      <c r="G2424" s="204"/>
      <c r="H2424" s="204"/>
      <c r="I2424" s="204"/>
      <c r="J2424" s="204"/>
      <c r="K2424" s="204"/>
      <c r="L2424" s="205"/>
      <c r="M2424" s="205"/>
      <c r="N2424" s="204"/>
      <c r="O2424" s="204"/>
      <c r="P2424" s="206"/>
      <c r="Q2424" s="206"/>
      <c r="R2424" s="206"/>
      <c r="S2424" s="206"/>
      <c r="T2424" s="204"/>
      <c r="U2424" s="207"/>
      <c r="V2424" s="204"/>
      <c r="W2424" s="204"/>
      <c r="X2424" s="207"/>
      <c r="Y2424" s="207"/>
      <c r="Z2424" s="204"/>
      <c r="AA2424" s="204"/>
      <c r="AB2424" s="204"/>
      <c r="AC2424" s="204"/>
    </row>
    <row r="2425" spans="1:29">
      <c r="A2425" s="204"/>
      <c r="B2425" s="204"/>
      <c r="C2425" s="204"/>
      <c r="D2425" s="204"/>
      <c r="E2425" s="204"/>
      <c r="F2425" s="204"/>
      <c r="G2425" s="204"/>
      <c r="H2425" s="204"/>
      <c r="I2425" s="204"/>
      <c r="J2425" s="204"/>
      <c r="K2425" s="204"/>
      <c r="L2425" s="205"/>
      <c r="M2425" s="205"/>
      <c r="N2425" s="204"/>
      <c r="O2425" s="204"/>
      <c r="P2425" s="206"/>
      <c r="Q2425" s="206"/>
      <c r="R2425" s="206"/>
      <c r="S2425" s="206"/>
      <c r="T2425" s="204"/>
      <c r="U2425" s="207"/>
      <c r="V2425" s="204"/>
      <c r="W2425" s="204"/>
      <c r="X2425" s="207"/>
      <c r="Y2425" s="207"/>
      <c r="Z2425" s="204"/>
      <c r="AA2425" s="204"/>
      <c r="AB2425" s="204"/>
      <c r="AC2425" s="204"/>
    </row>
    <row r="2426" spans="1:29">
      <c r="A2426" s="204"/>
      <c r="B2426" s="204"/>
      <c r="C2426" s="204"/>
      <c r="D2426" s="204"/>
      <c r="E2426" s="204"/>
      <c r="F2426" s="204"/>
      <c r="G2426" s="204"/>
      <c r="H2426" s="204"/>
      <c r="I2426" s="204"/>
      <c r="J2426" s="204"/>
      <c r="K2426" s="204"/>
      <c r="L2426" s="205"/>
      <c r="M2426" s="205"/>
      <c r="N2426" s="204"/>
      <c r="O2426" s="204"/>
      <c r="P2426" s="206"/>
      <c r="Q2426" s="206"/>
      <c r="R2426" s="206"/>
      <c r="S2426" s="206"/>
      <c r="T2426" s="204"/>
      <c r="U2426" s="207"/>
      <c r="V2426" s="204"/>
      <c r="W2426" s="204"/>
      <c r="X2426" s="207"/>
      <c r="Y2426" s="207"/>
      <c r="Z2426" s="204"/>
      <c r="AA2426" s="204"/>
      <c r="AB2426" s="204"/>
      <c r="AC2426" s="204"/>
    </row>
    <row r="2427" spans="1:29">
      <c r="A2427" s="204"/>
      <c r="B2427" s="204"/>
      <c r="C2427" s="204"/>
      <c r="D2427" s="204"/>
      <c r="E2427" s="204"/>
      <c r="F2427" s="204"/>
      <c r="G2427" s="204"/>
      <c r="H2427" s="204"/>
      <c r="I2427" s="204"/>
      <c r="J2427" s="204"/>
      <c r="K2427" s="204"/>
      <c r="L2427" s="205"/>
      <c r="M2427" s="205"/>
      <c r="N2427" s="204"/>
      <c r="O2427" s="204"/>
      <c r="P2427" s="206"/>
      <c r="Q2427" s="206"/>
      <c r="R2427" s="206"/>
      <c r="S2427" s="206"/>
      <c r="T2427" s="204"/>
      <c r="U2427" s="207"/>
      <c r="V2427" s="204"/>
      <c r="W2427" s="204"/>
      <c r="X2427" s="207"/>
      <c r="Y2427" s="207"/>
      <c r="Z2427" s="204"/>
      <c r="AA2427" s="204"/>
      <c r="AB2427" s="204"/>
      <c r="AC2427" s="204"/>
    </row>
    <row r="2428" spans="1:29">
      <c r="A2428" s="204"/>
      <c r="B2428" s="204"/>
      <c r="C2428" s="204"/>
      <c r="D2428" s="204"/>
      <c r="E2428" s="204"/>
      <c r="F2428" s="204"/>
      <c r="G2428" s="204"/>
      <c r="H2428" s="204"/>
      <c r="I2428" s="204"/>
      <c r="J2428" s="204"/>
      <c r="K2428" s="204"/>
      <c r="L2428" s="205"/>
      <c r="M2428" s="205"/>
      <c r="N2428" s="204"/>
      <c r="O2428" s="204"/>
      <c r="P2428" s="206"/>
      <c r="Q2428" s="206"/>
      <c r="R2428" s="206"/>
      <c r="S2428" s="206"/>
      <c r="T2428" s="204"/>
      <c r="U2428" s="207"/>
      <c r="V2428" s="204"/>
      <c r="W2428" s="204"/>
      <c r="X2428" s="207"/>
      <c r="Y2428" s="207"/>
      <c r="Z2428" s="204"/>
      <c r="AA2428" s="204"/>
      <c r="AB2428" s="204"/>
      <c r="AC2428" s="204"/>
    </row>
    <row r="2429" spans="1:29">
      <c r="A2429" s="204"/>
      <c r="B2429" s="204"/>
      <c r="C2429" s="204"/>
      <c r="D2429" s="204"/>
      <c r="E2429" s="204"/>
      <c r="F2429" s="204"/>
      <c r="G2429" s="204"/>
      <c r="H2429" s="204"/>
      <c r="I2429" s="204"/>
      <c r="J2429" s="204"/>
      <c r="K2429" s="204"/>
      <c r="L2429" s="205"/>
      <c r="M2429" s="205"/>
      <c r="N2429" s="204"/>
      <c r="O2429" s="204"/>
      <c r="P2429" s="206"/>
      <c r="Q2429" s="206"/>
      <c r="R2429" s="206"/>
      <c r="S2429" s="206"/>
      <c r="T2429" s="204"/>
      <c r="U2429" s="207"/>
      <c r="V2429" s="204"/>
      <c r="W2429" s="204"/>
      <c r="X2429" s="207"/>
      <c r="Y2429" s="207"/>
      <c r="Z2429" s="204"/>
      <c r="AA2429" s="204"/>
      <c r="AB2429" s="204"/>
      <c r="AC2429" s="204"/>
    </row>
    <row r="2430" spans="1:29">
      <c r="A2430" s="204"/>
      <c r="B2430" s="204"/>
      <c r="C2430" s="204"/>
      <c r="D2430" s="204"/>
      <c r="E2430" s="204"/>
      <c r="F2430" s="204"/>
      <c r="G2430" s="204"/>
      <c r="H2430" s="204"/>
      <c r="I2430" s="204"/>
      <c r="J2430" s="204"/>
      <c r="K2430" s="204"/>
      <c r="L2430" s="205"/>
      <c r="M2430" s="205"/>
      <c r="N2430" s="204"/>
      <c r="O2430" s="204"/>
      <c r="P2430" s="206"/>
      <c r="Q2430" s="206"/>
      <c r="R2430" s="206"/>
      <c r="S2430" s="206"/>
      <c r="T2430" s="204"/>
      <c r="U2430" s="207"/>
      <c r="V2430" s="204"/>
      <c r="W2430" s="204"/>
      <c r="X2430" s="207"/>
      <c r="Y2430" s="207"/>
      <c r="Z2430" s="204"/>
      <c r="AA2430" s="204"/>
      <c r="AB2430" s="204"/>
      <c r="AC2430" s="204"/>
    </row>
    <row r="2431" spans="1:29">
      <c r="A2431" s="204"/>
      <c r="B2431" s="204"/>
      <c r="C2431" s="204"/>
      <c r="D2431" s="204"/>
      <c r="E2431" s="204"/>
      <c r="F2431" s="204"/>
      <c r="G2431" s="204"/>
      <c r="H2431" s="204"/>
      <c r="I2431" s="204"/>
      <c r="J2431" s="204"/>
      <c r="K2431" s="204"/>
      <c r="L2431" s="205"/>
      <c r="M2431" s="205"/>
      <c r="N2431" s="204"/>
      <c r="O2431" s="204"/>
      <c r="P2431" s="206"/>
      <c r="Q2431" s="206"/>
      <c r="R2431" s="206"/>
      <c r="S2431" s="206"/>
      <c r="T2431" s="204"/>
      <c r="U2431" s="207"/>
      <c r="V2431" s="204"/>
      <c r="W2431" s="204"/>
      <c r="X2431" s="207"/>
      <c r="Y2431" s="207"/>
      <c r="Z2431" s="204"/>
      <c r="AA2431" s="204"/>
      <c r="AB2431" s="204"/>
      <c r="AC2431" s="204"/>
    </row>
    <row r="2432" spans="1:29">
      <c r="A2432" s="204"/>
      <c r="B2432" s="204"/>
      <c r="C2432" s="204"/>
      <c r="D2432" s="204"/>
      <c r="E2432" s="204"/>
      <c r="F2432" s="204"/>
      <c r="G2432" s="204"/>
      <c r="H2432" s="204"/>
      <c r="I2432" s="204"/>
      <c r="J2432" s="204"/>
      <c r="K2432" s="204"/>
      <c r="L2432" s="205"/>
      <c r="M2432" s="205"/>
      <c r="N2432" s="204"/>
      <c r="O2432" s="204"/>
      <c r="P2432" s="206"/>
      <c r="Q2432" s="206"/>
      <c r="R2432" s="206"/>
      <c r="S2432" s="206"/>
      <c r="T2432" s="204"/>
      <c r="U2432" s="207"/>
      <c r="V2432" s="204"/>
      <c r="W2432" s="204"/>
      <c r="X2432" s="207"/>
      <c r="Y2432" s="207"/>
      <c r="Z2432" s="204"/>
      <c r="AA2432" s="204"/>
      <c r="AB2432" s="204"/>
      <c r="AC2432" s="204"/>
    </row>
    <row r="2433" spans="1:29">
      <c r="A2433" s="204"/>
      <c r="B2433" s="204"/>
      <c r="C2433" s="204"/>
      <c r="D2433" s="204"/>
      <c r="E2433" s="204"/>
      <c r="F2433" s="204"/>
      <c r="G2433" s="204"/>
      <c r="H2433" s="204"/>
      <c r="I2433" s="204"/>
      <c r="J2433" s="204"/>
      <c r="K2433" s="204"/>
      <c r="L2433" s="205"/>
      <c r="M2433" s="205"/>
      <c r="N2433" s="204"/>
      <c r="O2433" s="204"/>
      <c r="P2433" s="206"/>
      <c r="Q2433" s="206"/>
      <c r="R2433" s="206"/>
      <c r="S2433" s="206"/>
      <c r="T2433" s="204"/>
      <c r="U2433" s="207"/>
      <c r="V2433" s="204"/>
      <c r="W2433" s="204"/>
      <c r="X2433" s="207"/>
      <c r="Y2433" s="207"/>
      <c r="Z2433" s="204"/>
      <c r="AA2433" s="204"/>
      <c r="AB2433" s="204"/>
      <c r="AC2433" s="204"/>
    </row>
    <row r="2434" spans="1:29">
      <c r="A2434" s="204"/>
      <c r="B2434" s="204"/>
      <c r="C2434" s="204"/>
      <c r="D2434" s="204"/>
      <c r="E2434" s="204"/>
      <c r="F2434" s="204"/>
      <c r="G2434" s="204"/>
      <c r="H2434" s="204"/>
      <c r="I2434" s="204"/>
      <c r="J2434" s="204"/>
      <c r="K2434" s="204"/>
      <c r="L2434" s="205"/>
      <c r="M2434" s="205"/>
      <c r="N2434" s="204"/>
      <c r="O2434" s="204"/>
      <c r="P2434" s="206"/>
      <c r="Q2434" s="206"/>
      <c r="R2434" s="206"/>
      <c r="S2434" s="206"/>
      <c r="T2434" s="204"/>
      <c r="U2434" s="207"/>
      <c r="V2434" s="204"/>
      <c r="W2434" s="204"/>
      <c r="X2434" s="207"/>
      <c r="Y2434" s="207"/>
      <c r="Z2434" s="204"/>
      <c r="AA2434" s="204"/>
      <c r="AB2434" s="204"/>
      <c r="AC2434" s="204"/>
    </row>
    <row r="2435" spans="1:29">
      <c r="A2435" s="204"/>
      <c r="B2435" s="204"/>
      <c r="C2435" s="204"/>
      <c r="D2435" s="204"/>
      <c r="E2435" s="204"/>
      <c r="F2435" s="204"/>
      <c r="G2435" s="204"/>
      <c r="H2435" s="204"/>
      <c r="I2435" s="204"/>
      <c r="J2435" s="204"/>
      <c r="K2435" s="204"/>
      <c r="L2435" s="205"/>
      <c r="M2435" s="205"/>
      <c r="N2435" s="204"/>
      <c r="O2435" s="204"/>
      <c r="P2435" s="206"/>
      <c r="Q2435" s="206"/>
      <c r="R2435" s="206"/>
      <c r="S2435" s="206"/>
      <c r="T2435" s="204"/>
      <c r="U2435" s="207"/>
      <c r="V2435" s="204"/>
      <c r="W2435" s="204"/>
      <c r="X2435" s="207"/>
      <c r="Y2435" s="207"/>
      <c r="Z2435" s="204"/>
      <c r="AA2435" s="204"/>
      <c r="AB2435" s="204"/>
      <c r="AC2435" s="204"/>
    </row>
    <row r="2436" spans="1:29">
      <c r="A2436" s="204"/>
      <c r="B2436" s="204"/>
      <c r="C2436" s="204"/>
      <c r="D2436" s="204"/>
      <c r="E2436" s="204"/>
      <c r="F2436" s="204"/>
      <c r="G2436" s="204"/>
      <c r="H2436" s="204"/>
      <c r="I2436" s="204"/>
      <c r="J2436" s="204"/>
      <c r="K2436" s="204"/>
      <c r="L2436" s="205"/>
      <c r="M2436" s="205"/>
      <c r="N2436" s="204"/>
      <c r="O2436" s="204"/>
      <c r="P2436" s="206"/>
      <c r="Q2436" s="206"/>
      <c r="R2436" s="206"/>
      <c r="S2436" s="206"/>
      <c r="T2436" s="204"/>
      <c r="U2436" s="207"/>
      <c r="V2436" s="204"/>
      <c r="W2436" s="204"/>
      <c r="X2436" s="207"/>
      <c r="Y2436" s="207"/>
      <c r="Z2436" s="204"/>
      <c r="AA2436" s="204"/>
      <c r="AB2436" s="204"/>
      <c r="AC2436" s="204"/>
    </row>
    <row r="2437" spans="1:29">
      <c r="A2437" s="204"/>
      <c r="B2437" s="204"/>
      <c r="C2437" s="204"/>
      <c r="D2437" s="204"/>
      <c r="E2437" s="204"/>
      <c r="F2437" s="204"/>
      <c r="G2437" s="204"/>
      <c r="H2437" s="204"/>
      <c r="I2437" s="204"/>
      <c r="J2437" s="204"/>
      <c r="K2437" s="204"/>
      <c r="L2437" s="205"/>
      <c r="M2437" s="205"/>
      <c r="N2437" s="204"/>
      <c r="O2437" s="204"/>
      <c r="P2437" s="206"/>
      <c r="Q2437" s="206"/>
      <c r="R2437" s="206"/>
      <c r="S2437" s="206"/>
      <c r="T2437" s="204"/>
      <c r="U2437" s="207"/>
      <c r="V2437" s="204"/>
      <c r="W2437" s="204"/>
      <c r="X2437" s="207"/>
      <c r="Y2437" s="207"/>
      <c r="Z2437" s="204"/>
      <c r="AA2437" s="204"/>
      <c r="AB2437" s="204"/>
      <c r="AC2437" s="204"/>
    </row>
    <row r="2438" spans="1:29">
      <c r="A2438" s="204"/>
      <c r="B2438" s="204"/>
      <c r="C2438" s="204"/>
      <c r="D2438" s="204"/>
      <c r="E2438" s="204"/>
      <c r="F2438" s="204"/>
      <c r="G2438" s="204"/>
      <c r="H2438" s="204"/>
      <c r="I2438" s="204"/>
      <c r="J2438" s="204"/>
      <c r="K2438" s="204"/>
      <c r="L2438" s="205"/>
      <c r="M2438" s="205"/>
      <c r="N2438" s="204"/>
      <c r="O2438" s="204"/>
      <c r="P2438" s="206"/>
      <c r="Q2438" s="206"/>
      <c r="R2438" s="206"/>
      <c r="S2438" s="206"/>
      <c r="T2438" s="204"/>
      <c r="U2438" s="207"/>
      <c r="V2438" s="204"/>
      <c r="W2438" s="204"/>
      <c r="X2438" s="207"/>
      <c r="Y2438" s="207"/>
      <c r="Z2438" s="204"/>
      <c r="AA2438" s="204"/>
      <c r="AB2438" s="204"/>
      <c r="AC2438" s="204"/>
    </row>
    <row r="2439" spans="1:29">
      <c r="A2439" s="204"/>
      <c r="B2439" s="204"/>
      <c r="C2439" s="204"/>
      <c r="D2439" s="204"/>
      <c r="E2439" s="204"/>
      <c r="F2439" s="204"/>
      <c r="G2439" s="204"/>
      <c r="H2439" s="204"/>
      <c r="I2439" s="204"/>
      <c r="J2439" s="204"/>
      <c r="K2439" s="204"/>
      <c r="L2439" s="205"/>
      <c r="M2439" s="205"/>
      <c r="N2439" s="204"/>
      <c r="O2439" s="204"/>
      <c r="P2439" s="206"/>
      <c r="Q2439" s="206"/>
      <c r="R2439" s="206"/>
      <c r="S2439" s="206"/>
      <c r="T2439" s="204"/>
      <c r="U2439" s="207"/>
      <c r="V2439" s="204"/>
      <c r="W2439" s="204"/>
      <c r="X2439" s="207"/>
      <c r="Y2439" s="207"/>
      <c r="Z2439" s="204"/>
      <c r="AA2439" s="204"/>
      <c r="AB2439" s="204"/>
      <c r="AC2439" s="204"/>
    </row>
    <row r="2440" spans="1:29">
      <c r="A2440" s="204"/>
      <c r="B2440" s="204"/>
      <c r="C2440" s="204"/>
      <c r="D2440" s="204"/>
      <c r="E2440" s="204"/>
      <c r="F2440" s="204"/>
      <c r="G2440" s="204"/>
      <c r="H2440" s="204"/>
      <c r="I2440" s="204"/>
      <c r="J2440" s="204"/>
      <c r="K2440" s="204"/>
      <c r="L2440" s="205"/>
      <c r="M2440" s="205"/>
      <c r="N2440" s="204"/>
      <c r="O2440" s="204"/>
      <c r="P2440" s="206"/>
      <c r="Q2440" s="206"/>
      <c r="R2440" s="206"/>
      <c r="S2440" s="206"/>
      <c r="T2440" s="204"/>
      <c r="U2440" s="207"/>
      <c r="V2440" s="204"/>
      <c r="W2440" s="204"/>
      <c r="X2440" s="207"/>
      <c r="Y2440" s="207"/>
      <c r="Z2440" s="204"/>
      <c r="AA2440" s="204"/>
      <c r="AB2440" s="204"/>
      <c r="AC2440" s="204"/>
    </row>
    <row r="2441" spans="1:29">
      <c r="A2441" s="204"/>
      <c r="B2441" s="204"/>
      <c r="C2441" s="204"/>
      <c r="D2441" s="204"/>
      <c r="E2441" s="204"/>
      <c r="F2441" s="204"/>
      <c r="G2441" s="204"/>
      <c r="H2441" s="204"/>
      <c r="I2441" s="204"/>
      <c r="J2441" s="204"/>
      <c r="K2441" s="204"/>
      <c r="L2441" s="205"/>
      <c r="M2441" s="205"/>
      <c r="N2441" s="204"/>
      <c r="O2441" s="204"/>
      <c r="P2441" s="206"/>
      <c r="Q2441" s="206"/>
      <c r="R2441" s="206"/>
      <c r="S2441" s="206"/>
      <c r="T2441" s="204"/>
      <c r="U2441" s="207"/>
      <c r="V2441" s="204"/>
      <c r="W2441" s="204"/>
      <c r="X2441" s="207"/>
      <c r="Y2441" s="207"/>
      <c r="Z2441" s="204"/>
      <c r="AA2441" s="204"/>
      <c r="AB2441" s="204"/>
      <c r="AC2441" s="204"/>
    </row>
    <row r="2442" spans="1:29">
      <c r="A2442" s="204"/>
      <c r="B2442" s="204"/>
      <c r="C2442" s="204"/>
      <c r="D2442" s="204"/>
      <c r="E2442" s="204"/>
      <c r="F2442" s="204"/>
      <c r="G2442" s="204"/>
      <c r="H2442" s="204"/>
      <c r="I2442" s="204"/>
      <c r="J2442" s="204"/>
      <c r="K2442" s="204"/>
      <c r="L2442" s="205"/>
      <c r="M2442" s="205"/>
      <c r="N2442" s="204"/>
      <c r="O2442" s="204"/>
      <c r="P2442" s="206"/>
      <c r="Q2442" s="206"/>
      <c r="R2442" s="206"/>
      <c r="S2442" s="206"/>
      <c r="T2442" s="204"/>
      <c r="U2442" s="207"/>
      <c r="V2442" s="204"/>
      <c r="W2442" s="204"/>
      <c r="X2442" s="207"/>
      <c r="Y2442" s="207"/>
      <c r="Z2442" s="204"/>
      <c r="AA2442" s="204"/>
      <c r="AB2442" s="204"/>
      <c r="AC2442" s="204"/>
    </row>
    <row r="2443" spans="1:29">
      <c r="A2443" s="204"/>
      <c r="B2443" s="204"/>
      <c r="C2443" s="204"/>
      <c r="D2443" s="204"/>
      <c r="E2443" s="204"/>
      <c r="F2443" s="204"/>
      <c r="G2443" s="204"/>
      <c r="H2443" s="204"/>
      <c r="I2443" s="204"/>
      <c r="J2443" s="204"/>
      <c r="K2443" s="204"/>
      <c r="L2443" s="205"/>
      <c r="M2443" s="205"/>
      <c r="N2443" s="204"/>
      <c r="O2443" s="204"/>
      <c r="P2443" s="206"/>
      <c r="Q2443" s="206"/>
      <c r="R2443" s="206"/>
      <c r="S2443" s="206"/>
      <c r="T2443" s="204"/>
      <c r="U2443" s="207"/>
      <c r="V2443" s="204"/>
      <c r="W2443" s="204"/>
      <c r="X2443" s="207"/>
      <c r="Y2443" s="207"/>
      <c r="Z2443" s="204"/>
      <c r="AA2443" s="204"/>
      <c r="AB2443" s="204"/>
      <c r="AC2443" s="204"/>
    </row>
    <row r="2444" spans="1:29">
      <c r="A2444" s="204"/>
      <c r="B2444" s="204"/>
      <c r="C2444" s="204"/>
      <c r="D2444" s="204"/>
      <c r="E2444" s="204"/>
      <c r="F2444" s="204"/>
      <c r="G2444" s="204"/>
      <c r="H2444" s="204"/>
      <c r="I2444" s="204"/>
      <c r="J2444" s="204"/>
      <c r="K2444" s="204"/>
      <c r="L2444" s="205"/>
      <c r="M2444" s="205"/>
      <c r="N2444" s="204"/>
      <c r="O2444" s="204"/>
      <c r="P2444" s="206"/>
      <c r="Q2444" s="206"/>
      <c r="R2444" s="206"/>
      <c r="S2444" s="206"/>
      <c r="T2444" s="204"/>
      <c r="U2444" s="207"/>
      <c r="V2444" s="204"/>
      <c r="W2444" s="204"/>
      <c r="X2444" s="207"/>
      <c r="Y2444" s="207"/>
      <c r="Z2444" s="204"/>
      <c r="AA2444" s="204"/>
      <c r="AB2444" s="204"/>
      <c r="AC2444" s="204"/>
    </row>
    <row r="2445" spans="1:29">
      <c r="A2445" s="204"/>
      <c r="B2445" s="204"/>
      <c r="C2445" s="204"/>
      <c r="D2445" s="204"/>
      <c r="E2445" s="204"/>
      <c r="F2445" s="204"/>
      <c r="G2445" s="204"/>
      <c r="H2445" s="204"/>
      <c r="I2445" s="204"/>
      <c r="J2445" s="204"/>
      <c r="K2445" s="204"/>
      <c r="L2445" s="205"/>
      <c r="M2445" s="205"/>
      <c r="N2445" s="204"/>
      <c r="O2445" s="204"/>
      <c r="P2445" s="206"/>
      <c r="Q2445" s="206"/>
      <c r="R2445" s="206"/>
      <c r="S2445" s="206"/>
      <c r="T2445" s="204"/>
      <c r="U2445" s="207"/>
      <c r="V2445" s="204"/>
      <c r="W2445" s="204"/>
      <c r="X2445" s="207"/>
      <c r="Y2445" s="207"/>
      <c r="Z2445" s="204"/>
      <c r="AA2445" s="204"/>
      <c r="AB2445" s="204"/>
      <c r="AC2445" s="204"/>
    </row>
    <row r="2446" spans="1:29">
      <c r="A2446" s="204"/>
      <c r="B2446" s="204"/>
      <c r="C2446" s="204"/>
      <c r="D2446" s="204"/>
      <c r="E2446" s="204"/>
      <c r="F2446" s="204"/>
      <c r="G2446" s="204"/>
      <c r="H2446" s="204"/>
      <c r="I2446" s="204"/>
      <c r="J2446" s="204"/>
      <c r="K2446" s="204"/>
      <c r="L2446" s="205"/>
      <c r="M2446" s="205"/>
      <c r="N2446" s="204"/>
      <c r="O2446" s="204"/>
      <c r="P2446" s="206"/>
      <c r="Q2446" s="206"/>
      <c r="R2446" s="206"/>
      <c r="S2446" s="206"/>
      <c r="T2446" s="204"/>
      <c r="U2446" s="207"/>
      <c r="V2446" s="204"/>
      <c r="W2446" s="204"/>
      <c r="X2446" s="207"/>
      <c r="Y2446" s="207"/>
      <c r="Z2446" s="204"/>
      <c r="AA2446" s="204"/>
      <c r="AB2446" s="204"/>
      <c r="AC2446" s="204"/>
    </row>
    <row r="2447" spans="1:29">
      <c r="A2447" s="204"/>
      <c r="B2447" s="204"/>
      <c r="C2447" s="204"/>
      <c r="D2447" s="204"/>
      <c r="E2447" s="204"/>
      <c r="F2447" s="204"/>
      <c r="G2447" s="204"/>
      <c r="H2447" s="204"/>
      <c r="I2447" s="204"/>
      <c r="J2447" s="204"/>
      <c r="K2447" s="204"/>
      <c r="L2447" s="205"/>
      <c r="M2447" s="205"/>
      <c r="N2447" s="204"/>
      <c r="O2447" s="204"/>
      <c r="P2447" s="206"/>
      <c r="Q2447" s="206"/>
      <c r="R2447" s="206"/>
      <c r="S2447" s="206"/>
      <c r="T2447" s="204"/>
      <c r="U2447" s="207"/>
      <c r="V2447" s="204"/>
      <c r="W2447" s="204"/>
      <c r="X2447" s="207"/>
      <c r="Y2447" s="207"/>
      <c r="Z2447" s="204"/>
      <c r="AA2447" s="204"/>
      <c r="AB2447" s="204"/>
      <c r="AC2447" s="204"/>
    </row>
    <row r="2448" spans="1:29">
      <c r="A2448" s="204"/>
      <c r="B2448" s="204"/>
      <c r="C2448" s="204"/>
      <c r="D2448" s="204"/>
      <c r="E2448" s="204"/>
      <c r="F2448" s="204"/>
      <c r="G2448" s="204"/>
      <c r="H2448" s="204"/>
      <c r="I2448" s="204"/>
      <c r="J2448" s="204"/>
      <c r="K2448" s="204"/>
      <c r="L2448" s="205"/>
      <c r="M2448" s="205"/>
      <c r="N2448" s="204"/>
      <c r="O2448" s="204"/>
      <c r="P2448" s="206"/>
      <c r="Q2448" s="206"/>
      <c r="R2448" s="206"/>
      <c r="S2448" s="206"/>
      <c r="T2448" s="204"/>
      <c r="U2448" s="207"/>
      <c r="V2448" s="204"/>
      <c r="W2448" s="204"/>
      <c r="X2448" s="207"/>
      <c r="Y2448" s="207"/>
      <c r="Z2448" s="204"/>
      <c r="AA2448" s="204"/>
      <c r="AB2448" s="204"/>
      <c r="AC2448" s="204"/>
    </row>
    <row r="2449" spans="1:29">
      <c r="A2449" s="204"/>
      <c r="B2449" s="204"/>
      <c r="C2449" s="204"/>
      <c r="D2449" s="204"/>
      <c r="E2449" s="204"/>
      <c r="F2449" s="204"/>
      <c r="G2449" s="204"/>
      <c r="H2449" s="204"/>
      <c r="I2449" s="204"/>
      <c r="J2449" s="204"/>
      <c r="K2449" s="204"/>
      <c r="L2449" s="205"/>
      <c r="M2449" s="205"/>
      <c r="N2449" s="204"/>
      <c r="O2449" s="204"/>
      <c r="P2449" s="206"/>
      <c r="Q2449" s="206"/>
      <c r="R2449" s="206"/>
      <c r="S2449" s="206"/>
      <c r="T2449" s="204"/>
      <c r="U2449" s="207"/>
      <c r="V2449" s="204"/>
      <c r="W2449" s="204"/>
      <c r="X2449" s="207"/>
      <c r="Y2449" s="207"/>
      <c r="Z2449" s="204"/>
      <c r="AA2449" s="204"/>
      <c r="AB2449" s="204"/>
      <c r="AC2449" s="204"/>
    </row>
    <row r="2450" spans="1:29">
      <c r="A2450" s="204"/>
      <c r="B2450" s="204"/>
      <c r="C2450" s="204"/>
      <c r="D2450" s="204"/>
      <c r="E2450" s="204"/>
      <c r="F2450" s="204"/>
      <c r="G2450" s="204"/>
      <c r="H2450" s="204"/>
      <c r="I2450" s="204"/>
      <c r="J2450" s="204"/>
      <c r="K2450" s="204"/>
      <c r="L2450" s="205"/>
      <c r="M2450" s="205"/>
      <c r="N2450" s="204"/>
      <c r="O2450" s="204"/>
      <c r="P2450" s="206"/>
      <c r="Q2450" s="206"/>
      <c r="R2450" s="206"/>
      <c r="S2450" s="206"/>
      <c r="T2450" s="204"/>
      <c r="U2450" s="207"/>
      <c r="V2450" s="204"/>
      <c r="W2450" s="204"/>
      <c r="X2450" s="207"/>
      <c r="Y2450" s="207"/>
      <c r="Z2450" s="204"/>
      <c r="AA2450" s="204"/>
      <c r="AB2450" s="204"/>
      <c r="AC2450" s="204"/>
    </row>
    <row r="2451" spans="1:29">
      <c r="A2451" s="204"/>
      <c r="B2451" s="204"/>
      <c r="C2451" s="204"/>
      <c r="D2451" s="204"/>
      <c r="E2451" s="204"/>
      <c r="F2451" s="204"/>
      <c r="G2451" s="204"/>
      <c r="H2451" s="204"/>
      <c r="I2451" s="204"/>
      <c r="J2451" s="204"/>
      <c r="K2451" s="204"/>
      <c r="L2451" s="205"/>
      <c r="M2451" s="205"/>
      <c r="N2451" s="204"/>
      <c r="O2451" s="204"/>
      <c r="P2451" s="206"/>
      <c r="Q2451" s="206"/>
      <c r="R2451" s="206"/>
      <c r="S2451" s="206"/>
      <c r="T2451" s="204"/>
      <c r="U2451" s="207"/>
      <c r="V2451" s="204"/>
      <c r="W2451" s="204"/>
      <c r="X2451" s="207"/>
      <c r="Y2451" s="207"/>
      <c r="Z2451" s="204"/>
      <c r="AA2451" s="204"/>
      <c r="AB2451" s="204"/>
      <c r="AC2451" s="204"/>
    </row>
    <row r="2452" spans="1:29">
      <c r="A2452" s="204"/>
      <c r="B2452" s="204"/>
      <c r="C2452" s="204"/>
      <c r="D2452" s="204"/>
      <c r="E2452" s="204"/>
      <c r="F2452" s="204"/>
      <c r="G2452" s="204"/>
      <c r="H2452" s="204"/>
      <c r="I2452" s="204"/>
      <c r="J2452" s="204"/>
      <c r="K2452" s="204"/>
      <c r="L2452" s="205"/>
      <c r="M2452" s="205"/>
      <c r="N2452" s="204"/>
      <c r="O2452" s="204"/>
      <c r="P2452" s="206"/>
      <c r="Q2452" s="206"/>
      <c r="R2452" s="206"/>
      <c r="S2452" s="206"/>
      <c r="T2452" s="204"/>
      <c r="U2452" s="207"/>
      <c r="V2452" s="204"/>
      <c r="W2452" s="204"/>
      <c r="X2452" s="207"/>
      <c r="Y2452" s="207"/>
      <c r="Z2452" s="204"/>
      <c r="AA2452" s="204"/>
      <c r="AB2452" s="204"/>
      <c r="AC2452" s="204"/>
    </row>
    <row r="2453" spans="1:29">
      <c r="A2453" s="204"/>
      <c r="B2453" s="204"/>
      <c r="C2453" s="204"/>
      <c r="D2453" s="204"/>
      <c r="E2453" s="204"/>
      <c r="F2453" s="204"/>
      <c r="G2453" s="204"/>
      <c r="H2453" s="204"/>
      <c r="I2453" s="204"/>
      <c r="J2453" s="204"/>
      <c r="K2453" s="204"/>
      <c r="L2453" s="205"/>
      <c r="M2453" s="205"/>
      <c r="N2453" s="204"/>
      <c r="O2453" s="204"/>
      <c r="P2453" s="206"/>
      <c r="Q2453" s="206"/>
      <c r="R2453" s="206"/>
      <c r="S2453" s="206"/>
      <c r="T2453" s="204"/>
      <c r="U2453" s="207"/>
      <c r="V2453" s="204"/>
      <c r="W2453" s="204"/>
      <c r="X2453" s="207"/>
      <c r="Y2453" s="207"/>
      <c r="Z2453" s="204"/>
      <c r="AA2453" s="204"/>
      <c r="AB2453" s="204"/>
      <c r="AC2453" s="204"/>
    </row>
    <row r="2454" spans="1:29">
      <c r="A2454" s="204"/>
      <c r="B2454" s="204"/>
      <c r="C2454" s="204"/>
      <c r="D2454" s="204"/>
      <c r="E2454" s="204"/>
      <c r="F2454" s="204"/>
      <c r="G2454" s="204"/>
      <c r="H2454" s="204"/>
      <c r="I2454" s="204"/>
      <c r="J2454" s="204"/>
      <c r="K2454" s="204"/>
      <c r="L2454" s="205"/>
      <c r="M2454" s="205"/>
      <c r="N2454" s="204"/>
      <c r="O2454" s="204"/>
      <c r="P2454" s="206"/>
      <c r="Q2454" s="206"/>
      <c r="R2454" s="206"/>
      <c r="S2454" s="206"/>
      <c r="T2454" s="204"/>
      <c r="U2454" s="207"/>
      <c r="V2454" s="204"/>
      <c r="W2454" s="204"/>
      <c r="X2454" s="207"/>
      <c r="Y2454" s="207"/>
      <c r="Z2454" s="204"/>
      <c r="AA2454" s="204"/>
      <c r="AB2454" s="204"/>
      <c r="AC2454" s="204"/>
    </row>
    <row r="2455" spans="1:29">
      <c r="A2455" s="204"/>
      <c r="B2455" s="204"/>
      <c r="C2455" s="204"/>
      <c r="D2455" s="204"/>
      <c r="E2455" s="204"/>
      <c r="F2455" s="204"/>
      <c r="G2455" s="204"/>
      <c r="H2455" s="204"/>
      <c r="I2455" s="204"/>
      <c r="J2455" s="204"/>
      <c r="K2455" s="204"/>
      <c r="L2455" s="205"/>
      <c r="M2455" s="205"/>
      <c r="N2455" s="204"/>
      <c r="O2455" s="204"/>
      <c r="P2455" s="206"/>
      <c r="Q2455" s="206"/>
      <c r="R2455" s="206"/>
      <c r="S2455" s="206"/>
      <c r="T2455" s="204"/>
      <c r="U2455" s="207"/>
      <c r="V2455" s="204"/>
      <c r="W2455" s="204"/>
      <c r="X2455" s="207"/>
      <c r="Y2455" s="207"/>
      <c r="Z2455" s="204"/>
      <c r="AA2455" s="204"/>
      <c r="AB2455" s="204"/>
      <c r="AC2455" s="204"/>
    </row>
    <row r="2456" spans="1:29">
      <c r="A2456" s="204"/>
      <c r="B2456" s="204"/>
      <c r="C2456" s="204"/>
      <c r="D2456" s="204"/>
      <c r="E2456" s="204"/>
      <c r="F2456" s="204"/>
      <c r="G2456" s="204"/>
      <c r="H2456" s="204"/>
      <c r="I2456" s="204"/>
      <c r="J2456" s="204"/>
      <c r="K2456" s="204"/>
      <c r="L2456" s="205"/>
      <c r="M2456" s="205"/>
      <c r="N2456" s="204"/>
      <c r="O2456" s="204"/>
      <c r="P2456" s="206"/>
      <c r="Q2456" s="206"/>
      <c r="R2456" s="206"/>
      <c r="S2456" s="206"/>
      <c r="T2456" s="204"/>
      <c r="U2456" s="207"/>
      <c r="V2456" s="204"/>
      <c r="W2456" s="204"/>
      <c r="X2456" s="207"/>
      <c r="Y2456" s="207"/>
      <c r="Z2456" s="204"/>
      <c r="AA2456" s="204"/>
      <c r="AB2456" s="204"/>
      <c r="AC2456" s="204"/>
    </row>
    <row r="2457" spans="1:29">
      <c r="A2457" s="204"/>
      <c r="B2457" s="204"/>
      <c r="C2457" s="204"/>
      <c r="D2457" s="204"/>
      <c r="E2457" s="204"/>
      <c r="F2457" s="204"/>
      <c r="G2457" s="204"/>
      <c r="H2457" s="204"/>
      <c r="I2457" s="204"/>
      <c r="J2457" s="204"/>
      <c r="K2457" s="204"/>
      <c r="L2457" s="205"/>
      <c r="M2457" s="205"/>
      <c r="N2457" s="204"/>
      <c r="O2457" s="204"/>
      <c r="P2457" s="206"/>
      <c r="Q2457" s="206"/>
      <c r="R2457" s="206"/>
      <c r="S2457" s="206"/>
      <c r="T2457" s="204"/>
      <c r="U2457" s="207"/>
      <c r="V2457" s="204"/>
      <c r="W2457" s="204"/>
      <c r="X2457" s="207"/>
      <c r="Y2457" s="207"/>
      <c r="Z2457" s="204"/>
      <c r="AA2457" s="204"/>
      <c r="AB2457" s="204"/>
      <c r="AC2457" s="204"/>
    </row>
    <row r="2458" spans="1:29">
      <c r="A2458" s="204"/>
      <c r="B2458" s="204"/>
      <c r="C2458" s="204"/>
      <c r="D2458" s="204"/>
      <c r="E2458" s="204"/>
      <c r="F2458" s="204"/>
      <c r="G2458" s="204"/>
      <c r="H2458" s="204"/>
      <c r="I2458" s="204"/>
      <c r="J2458" s="204"/>
      <c r="K2458" s="204"/>
      <c r="L2458" s="205"/>
      <c r="M2458" s="205"/>
      <c r="N2458" s="204"/>
      <c r="O2458" s="204"/>
      <c r="P2458" s="206"/>
      <c r="Q2458" s="206"/>
      <c r="R2458" s="206"/>
      <c r="S2458" s="206"/>
      <c r="T2458" s="204"/>
      <c r="U2458" s="207"/>
      <c r="V2458" s="204"/>
      <c r="W2458" s="204"/>
      <c r="X2458" s="207"/>
      <c r="Y2458" s="207"/>
      <c r="Z2458" s="204"/>
      <c r="AA2458" s="204"/>
      <c r="AB2458" s="204"/>
      <c r="AC2458" s="204"/>
    </row>
    <row r="2459" spans="1:29">
      <c r="A2459" s="204"/>
      <c r="B2459" s="204"/>
      <c r="C2459" s="204"/>
      <c r="D2459" s="204"/>
      <c r="E2459" s="204"/>
      <c r="F2459" s="204"/>
      <c r="G2459" s="204"/>
      <c r="H2459" s="204"/>
      <c r="I2459" s="204"/>
      <c r="J2459" s="204"/>
      <c r="K2459" s="204"/>
      <c r="L2459" s="205"/>
      <c r="M2459" s="205"/>
      <c r="N2459" s="204"/>
      <c r="O2459" s="204"/>
      <c r="P2459" s="206"/>
      <c r="Q2459" s="206"/>
      <c r="R2459" s="206"/>
      <c r="S2459" s="206"/>
      <c r="T2459" s="204"/>
      <c r="U2459" s="207"/>
      <c r="V2459" s="204"/>
      <c r="W2459" s="204"/>
      <c r="X2459" s="207"/>
      <c r="Y2459" s="207"/>
      <c r="Z2459" s="204"/>
      <c r="AA2459" s="204"/>
      <c r="AB2459" s="204"/>
      <c r="AC2459" s="204"/>
    </row>
    <row r="2460" spans="1:29">
      <c r="A2460" s="204"/>
      <c r="B2460" s="204"/>
      <c r="C2460" s="204"/>
      <c r="D2460" s="204"/>
      <c r="E2460" s="204"/>
      <c r="F2460" s="204"/>
      <c r="G2460" s="204"/>
      <c r="H2460" s="204"/>
      <c r="I2460" s="204"/>
      <c r="J2460" s="204"/>
      <c r="K2460" s="204"/>
      <c r="L2460" s="205"/>
      <c r="M2460" s="205"/>
      <c r="N2460" s="204"/>
      <c r="O2460" s="204"/>
      <c r="P2460" s="206"/>
      <c r="Q2460" s="206"/>
      <c r="R2460" s="206"/>
      <c r="S2460" s="206"/>
      <c r="T2460" s="204"/>
      <c r="U2460" s="207"/>
      <c r="V2460" s="204"/>
      <c r="W2460" s="204"/>
      <c r="X2460" s="207"/>
      <c r="Y2460" s="207"/>
      <c r="Z2460" s="204"/>
      <c r="AA2460" s="204"/>
      <c r="AB2460" s="204"/>
      <c r="AC2460" s="204"/>
    </row>
    <row r="2461" spans="1:29">
      <c r="A2461" s="204"/>
      <c r="B2461" s="204"/>
      <c r="C2461" s="204"/>
      <c r="D2461" s="204"/>
      <c r="E2461" s="204"/>
      <c r="F2461" s="204"/>
      <c r="G2461" s="204"/>
      <c r="H2461" s="204"/>
      <c r="I2461" s="204"/>
      <c r="J2461" s="204"/>
      <c r="K2461" s="204"/>
      <c r="L2461" s="205"/>
      <c r="M2461" s="205"/>
      <c r="N2461" s="204"/>
      <c r="O2461" s="204"/>
      <c r="P2461" s="206"/>
      <c r="Q2461" s="206"/>
      <c r="R2461" s="206"/>
      <c r="S2461" s="206"/>
      <c r="T2461" s="204"/>
      <c r="U2461" s="207"/>
      <c r="V2461" s="204"/>
      <c r="W2461" s="204"/>
      <c r="X2461" s="207"/>
      <c r="Y2461" s="207"/>
      <c r="Z2461" s="204"/>
      <c r="AA2461" s="204"/>
      <c r="AB2461" s="204"/>
      <c r="AC2461" s="204"/>
    </row>
    <row r="2462" spans="1:29">
      <c r="A2462" s="204"/>
      <c r="B2462" s="204"/>
      <c r="C2462" s="204"/>
      <c r="D2462" s="204"/>
      <c r="E2462" s="204"/>
      <c r="F2462" s="204"/>
      <c r="G2462" s="204"/>
      <c r="H2462" s="204"/>
      <c r="I2462" s="204"/>
      <c r="J2462" s="204"/>
      <c r="K2462" s="204"/>
      <c r="L2462" s="205"/>
      <c r="M2462" s="205"/>
      <c r="N2462" s="204"/>
      <c r="O2462" s="204"/>
      <c r="P2462" s="206"/>
      <c r="Q2462" s="206"/>
      <c r="R2462" s="206"/>
      <c r="S2462" s="206"/>
      <c r="T2462" s="204"/>
      <c r="U2462" s="207"/>
      <c r="V2462" s="204"/>
      <c r="W2462" s="204"/>
      <c r="X2462" s="207"/>
      <c r="Y2462" s="207"/>
      <c r="Z2462" s="204"/>
      <c r="AA2462" s="204"/>
      <c r="AB2462" s="204"/>
      <c r="AC2462" s="204"/>
    </row>
    <row r="2463" spans="1:29">
      <c r="A2463" s="204"/>
      <c r="B2463" s="204"/>
      <c r="C2463" s="204"/>
      <c r="D2463" s="204"/>
      <c r="E2463" s="204"/>
      <c r="F2463" s="204"/>
      <c r="G2463" s="204"/>
      <c r="H2463" s="204"/>
      <c r="I2463" s="204"/>
      <c r="J2463" s="204"/>
      <c r="K2463" s="204"/>
      <c r="L2463" s="205"/>
      <c r="M2463" s="205"/>
      <c r="N2463" s="204"/>
      <c r="O2463" s="204"/>
      <c r="P2463" s="206"/>
      <c r="Q2463" s="206"/>
      <c r="R2463" s="206"/>
      <c r="S2463" s="206"/>
      <c r="T2463" s="204"/>
      <c r="U2463" s="207"/>
      <c r="V2463" s="204"/>
      <c r="W2463" s="204"/>
      <c r="X2463" s="207"/>
      <c r="Y2463" s="207"/>
      <c r="Z2463" s="204"/>
      <c r="AA2463" s="204"/>
      <c r="AB2463" s="204"/>
      <c r="AC2463" s="204"/>
    </row>
    <row r="2464" spans="1:29">
      <c r="A2464" s="204"/>
      <c r="B2464" s="204"/>
      <c r="C2464" s="204"/>
      <c r="D2464" s="204"/>
      <c r="E2464" s="204"/>
      <c r="F2464" s="204"/>
      <c r="G2464" s="204"/>
      <c r="H2464" s="204"/>
      <c r="I2464" s="204"/>
      <c r="J2464" s="204"/>
      <c r="K2464" s="204"/>
      <c r="L2464" s="205"/>
      <c r="M2464" s="205"/>
      <c r="N2464" s="204"/>
      <c r="O2464" s="204"/>
      <c r="P2464" s="206"/>
      <c r="Q2464" s="206"/>
      <c r="R2464" s="206"/>
      <c r="S2464" s="206"/>
      <c r="T2464" s="204"/>
      <c r="U2464" s="207"/>
      <c r="V2464" s="204"/>
      <c r="W2464" s="204"/>
      <c r="X2464" s="207"/>
      <c r="Y2464" s="207"/>
      <c r="Z2464" s="204"/>
      <c r="AA2464" s="204"/>
      <c r="AB2464" s="204"/>
      <c r="AC2464" s="204"/>
    </row>
    <row r="2465" spans="1:29">
      <c r="A2465" s="204"/>
      <c r="B2465" s="204"/>
      <c r="C2465" s="204"/>
      <c r="D2465" s="204"/>
      <c r="E2465" s="204"/>
      <c r="F2465" s="204"/>
      <c r="G2465" s="204"/>
      <c r="H2465" s="204"/>
      <c r="I2465" s="204"/>
      <c r="J2465" s="204"/>
      <c r="K2465" s="204"/>
      <c r="L2465" s="205"/>
      <c r="M2465" s="205"/>
      <c r="N2465" s="204"/>
      <c r="O2465" s="204"/>
      <c r="P2465" s="206"/>
      <c r="Q2465" s="206"/>
      <c r="R2465" s="206"/>
      <c r="S2465" s="206"/>
      <c r="T2465" s="204"/>
      <c r="U2465" s="207"/>
      <c r="V2465" s="204"/>
      <c r="W2465" s="204"/>
      <c r="X2465" s="207"/>
      <c r="Y2465" s="207"/>
      <c r="Z2465" s="204"/>
      <c r="AA2465" s="204"/>
      <c r="AB2465" s="204"/>
      <c r="AC2465" s="204"/>
    </row>
    <row r="2466" spans="1:29">
      <c r="A2466" s="204"/>
      <c r="B2466" s="204"/>
      <c r="C2466" s="204"/>
      <c r="D2466" s="204"/>
      <c r="E2466" s="204"/>
      <c r="F2466" s="204"/>
      <c r="G2466" s="204"/>
      <c r="H2466" s="204"/>
      <c r="I2466" s="204"/>
      <c r="J2466" s="204"/>
      <c r="K2466" s="204"/>
      <c r="L2466" s="205"/>
      <c r="M2466" s="205"/>
      <c r="N2466" s="204"/>
      <c r="O2466" s="204"/>
      <c r="P2466" s="206"/>
      <c r="Q2466" s="206"/>
      <c r="R2466" s="206"/>
      <c r="S2466" s="206"/>
      <c r="T2466" s="204"/>
      <c r="U2466" s="207"/>
      <c r="V2466" s="204"/>
      <c r="W2466" s="204"/>
      <c r="X2466" s="207"/>
      <c r="Y2466" s="207"/>
      <c r="Z2466" s="204"/>
      <c r="AA2466" s="204"/>
      <c r="AB2466" s="204"/>
      <c r="AC2466" s="204"/>
    </row>
    <row r="2467" spans="1:29">
      <c r="A2467" s="204"/>
      <c r="B2467" s="204"/>
      <c r="C2467" s="204"/>
      <c r="D2467" s="204"/>
      <c r="E2467" s="204"/>
      <c r="F2467" s="204"/>
      <c r="G2467" s="204"/>
      <c r="H2467" s="204"/>
      <c r="I2467" s="204"/>
      <c r="J2467" s="204"/>
      <c r="K2467" s="204"/>
      <c r="L2467" s="205"/>
      <c r="M2467" s="205"/>
      <c r="N2467" s="204"/>
      <c r="O2467" s="204"/>
      <c r="P2467" s="206"/>
      <c r="Q2467" s="206"/>
      <c r="R2467" s="206"/>
      <c r="S2467" s="206"/>
      <c r="T2467" s="204"/>
      <c r="U2467" s="207"/>
      <c r="V2467" s="204"/>
      <c r="W2467" s="204"/>
      <c r="X2467" s="207"/>
      <c r="Y2467" s="207"/>
      <c r="Z2467" s="204"/>
      <c r="AA2467" s="204"/>
      <c r="AB2467" s="204"/>
      <c r="AC2467" s="204"/>
    </row>
    <row r="2468" spans="1:29">
      <c r="A2468" s="204"/>
      <c r="B2468" s="204"/>
      <c r="C2468" s="204"/>
      <c r="D2468" s="204"/>
      <c r="E2468" s="204"/>
      <c r="F2468" s="204"/>
      <c r="G2468" s="204"/>
      <c r="H2468" s="204"/>
      <c r="I2468" s="204"/>
      <c r="J2468" s="204"/>
      <c r="K2468" s="204"/>
      <c r="L2468" s="205"/>
      <c r="M2468" s="205"/>
      <c r="N2468" s="204"/>
      <c r="O2468" s="204"/>
      <c r="P2468" s="206"/>
      <c r="Q2468" s="206"/>
      <c r="R2468" s="206"/>
      <c r="S2468" s="206"/>
      <c r="T2468" s="204"/>
      <c r="U2468" s="207"/>
      <c r="V2468" s="204"/>
      <c r="W2468" s="204"/>
      <c r="X2468" s="207"/>
      <c r="Y2468" s="207"/>
      <c r="Z2468" s="204"/>
      <c r="AA2468" s="204"/>
      <c r="AB2468" s="204"/>
      <c r="AC2468" s="204"/>
    </row>
    <row r="2469" spans="1:29">
      <c r="A2469" s="204"/>
      <c r="B2469" s="204"/>
      <c r="C2469" s="204"/>
      <c r="D2469" s="204"/>
      <c r="E2469" s="204"/>
      <c r="F2469" s="204"/>
      <c r="G2469" s="204"/>
      <c r="H2469" s="204"/>
      <c r="I2469" s="204"/>
      <c r="J2469" s="204"/>
      <c r="K2469" s="204"/>
      <c r="L2469" s="205"/>
      <c r="M2469" s="205"/>
      <c r="N2469" s="204"/>
      <c r="O2469" s="204"/>
      <c r="P2469" s="206"/>
      <c r="Q2469" s="206"/>
      <c r="R2469" s="206"/>
      <c r="S2469" s="206"/>
      <c r="T2469" s="204"/>
      <c r="U2469" s="207"/>
      <c r="V2469" s="204"/>
      <c r="W2469" s="204"/>
      <c r="X2469" s="207"/>
      <c r="Y2469" s="207"/>
      <c r="Z2469" s="204"/>
      <c r="AA2469" s="204"/>
      <c r="AB2469" s="204"/>
      <c r="AC2469" s="204"/>
    </row>
    <row r="2470" spans="1:29">
      <c r="A2470" s="204"/>
      <c r="B2470" s="204"/>
      <c r="C2470" s="204"/>
      <c r="D2470" s="204"/>
      <c r="E2470" s="204"/>
      <c r="F2470" s="204"/>
      <c r="G2470" s="204"/>
      <c r="H2470" s="204"/>
      <c r="I2470" s="204"/>
      <c r="J2470" s="204"/>
      <c r="K2470" s="204"/>
      <c r="L2470" s="205"/>
      <c r="M2470" s="205"/>
      <c r="N2470" s="204"/>
      <c r="O2470" s="204"/>
      <c r="P2470" s="206"/>
      <c r="Q2470" s="206"/>
      <c r="R2470" s="206"/>
      <c r="S2470" s="206"/>
      <c r="T2470" s="204"/>
      <c r="U2470" s="207"/>
      <c r="V2470" s="204"/>
      <c r="W2470" s="204"/>
      <c r="X2470" s="207"/>
      <c r="Y2470" s="207"/>
      <c r="Z2470" s="204"/>
      <c r="AA2470" s="204"/>
      <c r="AB2470" s="204"/>
      <c r="AC2470" s="204"/>
    </row>
    <row r="2471" spans="1:29">
      <c r="A2471" s="204"/>
      <c r="B2471" s="204"/>
      <c r="C2471" s="204"/>
      <c r="D2471" s="204"/>
      <c r="E2471" s="204"/>
      <c r="F2471" s="204"/>
      <c r="G2471" s="204"/>
      <c r="H2471" s="204"/>
      <c r="I2471" s="204"/>
      <c r="J2471" s="204"/>
      <c r="K2471" s="204"/>
      <c r="L2471" s="205"/>
      <c r="M2471" s="205"/>
      <c r="N2471" s="204"/>
      <c r="O2471" s="204"/>
      <c r="P2471" s="206"/>
      <c r="Q2471" s="206"/>
      <c r="R2471" s="206"/>
      <c r="S2471" s="206"/>
      <c r="T2471" s="204"/>
      <c r="U2471" s="207"/>
      <c r="V2471" s="204"/>
      <c r="W2471" s="204"/>
      <c r="X2471" s="207"/>
      <c r="Y2471" s="207"/>
      <c r="Z2471" s="204"/>
      <c r="AA2471" s="204"/>
      <c r="AB2471" s="204"/>
      <c r="AC2471" s="204"/>
    </row>
    <row r="2472" spans="1:29">
      <c r="A2472" s="204"/>
      <c r="B2472" s="204"/>
      <c r="C2472" s="204"/>
      <c r="D2472" s="204"/>
      <c r="E2472" s="204"/>
      <c r="F2472" s="204"/>
      <c r="G2472" s="204"/>
      <c r="H2472" s="204"/>
      <c r="I2472" s="204"/>
      <c r="J2472" s="204"/>
      <c r="K2472" s="204"/>
      <c r="L2472" s="205"/>
      <c r="M2472" s="205"/>
      <c r="N2472" s="204"/>
      <c r="O2472" s="204"/>
      <c r="P2472" s="206"/>
      <c r="Q2472" s="206"/>
      <c r="R2472" s="206"/>
      <c r="S2472" s="206"/>
      <c r="T2472" s="204"/>
      <c r="U2472" s="207"/>
      <c r="V2472" s="204"/>
      <c r="W2472" s="204"/>
      <c r="X2472" s="207"/>
      <c r="Y2472" s="207"/>
      <c r="Z2472" s="204"/>
      <c r="AA2472" s="204"/>
      <c r="AB2472" s="204"/>
      <c r="AC2472" s="204"/>
    </row>
    <row r="2473" spans="1:29">
      <c r="A2473" s="204"/>
      <c r="B2473" s="204"/>
      <c r="C2473" s="204"/>
      <c r="D2473" s="204"/>
      <c r="E2473" s="204"/>
      <c r="F2473" s="204"/>
      <c r="G2473" s="204"/>
      <c r="H2473" s="204"/>
      <c r="I2473" s="204"/>
      <c r="J2473" s="204"/>
      <c r="K2473" s="204"/>
      <c r="L2473" s="205"/>
      <c r="M2473" s="205"/>
      <c r="N2473" s="204"/>
      <c r="O2473" s="204"/>
      <c r="P2473" s="206"/>
      <c r="Q2473" s="206"/>
      <c r="R2473" s="206"/>
      <c r="S2473" s="206"/>
      <c r="T2473" s="204"/>
      <c r="U2473" s="207"/>
      <c r="V2473" s="204"/>
      <c r="W2473" s="204"/>
      <c r="X2473" s="207"/>
      <c r="Y2473" s="207"/>
      <c r="Z2473" s="204"/>
      <c r="AA2473" s="204"/>
      <c r="AB2473" s="204"/>
      <c r="AC2473" s="204"/>
    </row>
    <row r="2474" spans="1:29">
      <c r="A2474" s="204"/>
      <c r="B2474" s="204"/>
      <c r="C2474" s="204"/>
      <c r="D2474" s="204"/>
      <c r="E2474" s="204"/>
      <c r="F2474" s="204"/>
      <c r="G2474" s="204"/>
      <c r="H2474" s="204"/>
      <c r="I2474" s="204"/>
      <c r="J2474" s="204"/>
      <c r="K2474" s="204"/>
      <c r="L2474" s="205"/>
      <c r="M2474" s="205"/>
      <c r="N2474" s="204"/>
      <c r="O2474" s="204"/>
      <c r="P2474" s="206"/>
      <c r="Q2474" s="206"/>
      <c r="R2474" s="206"/>
      <c r="S2474" s="206"/>
      <c r="T2474" s="204"/>
      <c r="U2474" s="207"/>
      <c r="V2474" s="204"/>
      <c r="W2474" s="204"/>
      <c r="X2474" s="207"/>
      <c r="Y2474" s="207"/>
      <c r="Z2474" s="204"/>
      <c r="AA2474" s="204"/>
      <c r="AB2474" s="204"/>
      <c r="AC2474" s="204"/>
    </row>
    <row r="2475" spans="1:29">
      <c r="A2475" s="204"/>
      <c r="B2475" s="204"/>
      <c r="C2475" s="204"/>
      <c r="D2475" s="204"/>
      <c r="E2475" s="204"/>
      <c r="F2475" s="204"/>
      <c r="G2475" s="204"/>
      <c r="H2475" s="204"/>
      <c r="I2475" s="204"/>
      <c r="J2475" s="204"/>
      <c r="K2475" s="204"/>
      <c r="L2475" s="205"/>
      <c r="M2475" s="205"/>
      <c r="N2475" s="204"/>
      <c r="O2475" s="204"/>
      <c r="P2475" s="206"/>
      <c r="Q2475" s="206"/>
      <c r="R2475" s="206"/>
      <c r="S2475" s="206"/>
      <c r="T2475" s="204"/>
      <c r="U2475" s="207"/>
      <c r="V2475" s="204"/>
      <c r="W2475" s="204"/>
      <c r="X2475" s="207"/>
      <c r="Y2475" s="207"/>
      <c r="Z2475" s="204"/>
      <c r="AA2475" s="204"/>
      <c r="AB2475" s="204"/>
      <c r="AC2475" s="204"/>
    </row>
    <row r="2476" spans="1:29">
      <c r="A2476" s="204"/>
      <c r="B2476" s="204"/>
      <c r="C2476" s="204"/>
      <c r="D2476" s="204"/>
      <c r="E2476" s="204"/>
      <c r="F2476" s="204"/>
      <c r="G2476" s="204"/>
      <c r="H2476" s="204"/>
      <c r="I2476" s="204"/>
      <c r="J2476" s="204"/>
      <c r="K2476" s="204"/>
      <c r="L2476" s="205"/>
      <c r="M2476" s="205"/>
      <c r="N2476" s="204"/>
      <c r="O2476" s="204"/>
      <c r="P2476" s="206"/>
      <c r="Q2476" s="206"/>
      <c r="R2476" s="206"/>
      <c r="S2476" s="206"/>
      <c r="T2476" s="204"/>
      <c r="U2476" s="207"/>
      <c r="V2476" s="204"/>
      <c r="W2476" s="204"/>
      <c r="X2476" s="207"/>
      <c r="Y2476" s="207"/>
      <c r="Z2476" s="204"/>
      <c r="AA2476" s="204"/>
      <c r="AB2476" s="204"/>
      <c r="AC2476" s="204"/>
    </row>
    <row r="2477" spans="1:29">
      <c r="A2477" s="204"/>
      <c r="B2477" s="204"/>
      <c r="C2477" s="204"/>
      <c r="D2477" s="204"/>
      <c r="E2477" s="204"/>
      <c r="F2477" s="204"/>
      <c r="G2477" s="204"/>
      <c r="H2477" s="204"/>
      <c r="I2477" s="204"/>
      <c r="J2477" s="204"/>
      <c r="K2477" s="204"/>
      <c r="L2477" s="205"/>
      <c r="M2477" s="205"/>
      <c r="N2477" s="204"/>
      <c r="O2477" s="204"/>
      <c r="P2477" s="206"/>
      <c r="Q2477" s="206"/>
      <c r="R2477" s="206"/>
      <c r="S2477" s="206"/>
      <c r="T2477" s="204"/>
      <c r="U2477" s="207"/>
      <c r="V2477" s="204"/>
      <c r="W2477" s="204"/>
      <c r="X2477" s="207"/>
      <c r="Y2477" s="207"/>
      <c r="Z2477" s="204"/>
      <c r="AA2477" s="204"/>
      <c r="AB2477" s="204"/>
      <c r="AC2477" s="204"/>
    </row>
    <row r="2478" spans="1:29">
      <c r="A2478" s="204"/>
      <c r="B2478" s="204"/>
      <c r="C2478" s="204"/>
      <c r="D2478" s="204"/>
      <c r="E2478" s="204"/>
      <c r="F2478" s="204"/>
      <c r="G2478" s="204"/>
      <c r="H2478" s="204"/>
      <c r="I2478" s="204"/>
      <c r="J2478" s="204"/>
      <c r="K2478" s="204"/>
      <c r="L2478" s="205"/>
      <c r="M2478" s="205"/>
      <c r="N2478" s="204"/>
      <c r="O2478" s="204"/>
      <c r="P2478" s="206"/>
      <c r="Q2478" s="206"/>
      <c r="R2478" s="206"/>
      <c r="S2478" s="206"/>
      <c r="T2478" s="204"/>
      <c r="U2478" s="207"/>
      <c r="V2478" s="204"/>
      <c r="W2478" s="204"/>
      <c r="X2478" s="207"/>
      <c r="Y2478" s="207"/>
      <c r="Z2478" s="204"/>
      <c r="AA2478" s="204"/>
      <c r="AB2478" s="204"/>
      <c r="AC2478" s="204"/>
    </row>
    <row r="2479" spans="1:29">
      <c r="A2479" s="204"/>
      <c r="B2479" s="204"/>
      <c r="C2479" s="204"/>
      <c r="D2479" s="204"/>
      <c r="E2479" s="204"/>
      <c r="F2479" s="204"/>
      <c r="G2479" s="204"/>
      <c r="H2479" s="204"/>
      <c r="I2479" s="204"/>
      <c r="J2479" s="204"/>
      <c r="K2479" s="204"/>
      <c r="L2479" s="205"/>
      <c r="M2479" s="205"/>
      <c r="N2479" s="204"/>
      <c r="O2479" s="204"/>
      <c r="P2479" s="206"/>
      <c r="Q2479" s="206"/>
      <c r="R2479" s="206"/>
      <c r="S2479" s="206"/>
      <c r="T2479" s="204"/>
      <c r="U2479" s="207"/>
      <c r="V2479" s="204"/>
      <c r="W2479" s="204"/>
      <c r="X2479" s="207"/>
      <c r="Y2479" s="207"/>
      <c r="Z2479" s="204"/>
      <c r="AA2479" s="204"/>
      <c r="AB2479" s="204"/>
      <c r="AC2479" s="204"/>
    </row>
    <row r="2480" spans="1:29">
      <c r="A2480" s="204"/>
      <c r="B2480" s="204"/>
      <c r="C2480" s="204"/>
      <c r="D2480" s="204"/>
      <c r="E2480" s="204"/>
      <c r="F2480" s="204"/>
      <c r="G2480" s="204"/>
      <c r="H2480" s="204"/>
      <c r="I2480" s="204"/>
      <c r="J2480" s="204"/>
      <c r="K2480" s="204"/>
      <c r="L2480" s="205"/>
      <c r="M2480" s="205"/>
      <c r="N2480" s="204"/>
      <c r="O2480" s="204"/>
      <c r="P2480" s="206"/>
      <c r="Q2480" s="206"/>
      <c r="R2480" s="206"/>
      <c r="S2480" s="206"/>
      <c r="T2480" s="204"/>
      <c r="U2480" s="207"/>
      <c r="V2480" s="204"/>
      <c r="W2480" s="204"/>
      <c r="X2480" s="207"/>
      <c r="Y2480" s="207"/>
      <c r="Z2480" s="204"/>
      <c r="AA2480" s="204"/>
      <c r="AB2480" s="204"/>
      <c r="AC2480" s="204"/>
    </row>
    <row r="2481" spans="1:29">
      <c r="A2481" s="204"/>
      <c r="B2481" s="204"/>
      <c r="C2481" s="204"/>
      <c r="D2481" s="204"/>
      <c r="E2481" s="204"/>
      <c r="F2481" s="204"/>
      <c r="G2481" s="204"/>
      <c r="H2481" s="204"/>
      <c r="I2481" s="204"/>
      <c r="J2481" s="204"/>
      <c r="K2481" s="204"/>
      <c r="L2481" s="205"/>
      <c r="M2481" s="205"/>
      <c r="N2481" s="204"/>
      <c r="O2481" s="204"/>
      <c r="P2481" s="206"/>
      <c r="Q2481" s="206"/>
      <c r="R2481" s="206"/>
      <c r="S2481" s="206"/>
      <c r="T2481" s="204"/>
      <c r="U2481" s="207"/>
      <c r="V2481" s="204"/>
      <c r="W2481" s="204"/>
      <c r="X2481" s="207"/>
      <c r="Y2481" s="207"/>
      <c r="Z2481" s="204"/>
      <c r="AA2481" s="204"/>
      <c r="AB2481" s="204"/>
      <c r="AC2481" s="204"/>
    </row>
    <row r="2482" spans="1:29">
      <c r="A2482" s="204"/>
      <c r="B2482" s="204"/>
      <c r="C2482" s="204"/>
      <c r="D2482" s="204"/>
      <c r="E2482" s="204"/>
      <c r="F2482" s="204"/>
      <c r="G2482" s="204"/>
      <c r="H2482" s="204"/>
      <c r="I2482" s="204"/>
      <c r="J2482" s="204"/>
      <c r="K2482" s="204"/>
      <c r="L2482" s="205"/>
      <c r="M2482" s="205"/>
      <c r="N2482" s="204"/>
      <c r="O2482" s="204"/>
      <c r="P2482" s="206"/>
      <c r="Q2482" s="206"/>
      <c r="R2482" s="206"/>
      <c r="S2482" s="206"/>
      <c r="T2482" s="204"/>
      <c r="U2482" s="207"/>
      <c r="V2482" s="204"/>
      <c r="W2482" s="204"/>
      <c r="X2482" s="207"/>
      <c r="Y2482" s="207"/>
      <c r="Z2482" s="204"/>
      <c r="AA2482" s="204"/>
      <c r="AB2482" s="204"/>
      <c r="AC2482" s="204"/>
    </row>
    <row r="2483" spans="1:29">
      <c r="A2483" s="204"/>
      <c r="B2483" s="204"/>
      <c r="C2483" s="204"/>
      <c r="D2483" s="204"/>
      <c r="E2483" s="204"/>
      <c r="F2483" s="204"/>
      <c r="G2483" s="204"/>
      <c r="H2483" s="204"/>
      <c r="I2483" s="204"/>
      <c r="J2483" s="204"/>
      <c r="K2483" s="204"/>
      <c r="L2483" s="205"/>
      <c r="M2483" s="205"/>
      <c r="N2483" s="204"/>
      <c r="O2483" s="204"/>
      <c r="P2483" s="206"/>
      <c r="Q2483" s="206"/>
      <c r="R2483" s="206"/>
      <c r="S2483" s="206"/>
      <c r="T2483" s="204"/>
      <c r="U2483" s="207"/>
      <c r="V2483" s="204"/>
      <c r="W2483" s="204"/>
      <c r="X2483" s="207"/>
      <c r="Y2483" s="207"/>
      <c r="Z2483" s="204"/>
      <c r="AA2483" s="204"/>
      <c r="AB2483" s="204"/>
      <c r="AC2483" s="204"/>
    </row>
    <row r="2484" spans="1:29">
      <c r="A2484" s="204"/>
      <c r="B2484" s="204"/>
      <c r="C2484" s="204"/>
      <c r="D2484" s="204"/>
      <c r="E2484" s="204"/>
      <c r="F2484" s="204"/>
      <c r="G2484" s="204"/>
      <c r="H2484" s="204"/>
      <c r="I2484" s="204"/>
      <c r="J2484" s="204"/>
      <c r="K2484" s="204"/>
      <c r="L2484" s="205"/>
      <c r="M2484" s="205"/>
      <c r="N2484" s="204"/>
      <c r="O2484" s="204"/>
      <c r="P2484" s="206"/>
      <c r="Q2484" s="206"/>
      <c r="R2484" s="206"/>
      <c r="S2484" s="206"/>
      <c r="T2484" s="204"/>
      <c r="U2484" s="207"/>
      <c r="V2484" s="204"/>
      <c r="W2484" s="204"/>
      <c r="X2484" s="207"/>
      <c r="Y2484" s="207"/>
      <c r="Z2484" s="204"/>
      <c r="AA2484" s="204"/>
      <c r="AB2484" s="204"/>
      <c r="AC2484" s="204"/>
    </row>
    <row r="2485" spans="1:29">
      <c r="A2485" s="204"/>
      <c r="B2485" s="204"/>
      <c r="C2485" s="204"/>
      <c r="D2485" s="204"/>
      <c r="E2485" s="204"/>
      <c r="F2485" s="204"/>
      <c r="G2485" s="204"/>
      <c r="H2485" s="204"/>
      <c r="I2485" s="204"/>
      <c r="J2485" s="204"/>
      <c r="K2485" s="204"/>
      <c r="L2485" s="205"/>
      <c r="M2485" s="205"/>
      <c r="N2485" s="204"/>
      <c r="O2485" s="204"/>
      <c r="P2485" s="206"/>
      <c r="Q2485" s="206"/>
      <c r="R2485" s="206"/>
      <c r="S2485" s="206"/>
      <c r="T2485" s="204"/>
      <c r="U2485" s="207"/>
      <c r="V2485" s="204"/>
      <c r="W2485" s="204"/>
      <c r="X2485" s="207"/>
      <c r="Y2485" s="207"/>
      <c r="Z2485" s="204"/>
      <c r="AA2485" s="204"/>
      <c r="AB2485" s="204"/>
      <c r="AC2485" s="204"/>
    </row>
    <row r="2486" spans="1:29">
      <c r="A2486" s="204"/>
      <c r="B2486" s="204"/>
      <c r="C2486" s="204"/>
      <c r="D2486" s="204"/>
      <c r="E2486" s="204"/>
      <c r="F2486" s="204"/>
      <c r="G2486" s="204"/>
      <c r="H2486" s="204"/>
      <c r="I2486" s="204"/>
      <c r="J2486" s="204"/>
      <c r="K2486" s="204"/>
      <c r="L2486" s="205"/>
      <c r="M2486" s="205"/>
      <c r="N2486" s="204"/>
      <c r="O2486" s="204"/>
      <c r="P2486" s="206"/>
      <c r="Q2486" s="206"/>
      <c r="R2486" s="206"/>
      <c r="S2486" s="206"/>
      <c r="T2486" s="204"/>
      <c r="U2486" s="207"/>
      <c r="V2486" s="204"/>
      <c r="W2486" s="204"/>
      <c r="X2486" s="207"/>
      <c r="Y2486" s="207"/>
      <c r="Z2486" s="204"/>
      <c r="AA2486" s="204"/>
      <c r="AB2486" s="204"/>
      <c r="AC2486" s="204"/>
    </row>
    <row r="2487" spans="1:29">
      <c r="A2487" s="204"/>
      <c r="B2487" s="204"/>
      <c r="C2487" s="204"/>
      <c r="D2487" s="204"/>
      <c r="E2487" s="204"/>
      <c r="F2487" s="204"/>
      <c r="G2487" s="204"/>
      <c r="H2487" s="204"/>
      <c r="I2487" s="204"/>
      <c r="J2487" s="204"/>
      <c r="K2487" s="204"/>
      <c r="L2487" s="205"/>
      <c r="M2487" s="205"/>
      <c r="N2487" s="204"/>
      <c r="O2487" s="204"/>
      <c r="P2487" s="206"/>
      <c r="Q2487" s="206"/>
      <c r="R2487" s="206"/>
      <c r="S2487" s="206"/>
      <c r="T2487" s="204"/>
      <c r="U2487" s="207"/>
      <c r="V2487" s="204"/>
      <c r="W2487" s="204"/>
      <c r="X2487" s="207"/>
      <c r="Y2487" s="207"/>
      <c r="Z2487" s="204"/>
      <c r="AA2487" s="204"/>
      <c r="AB2487" s="204"/>
      <c r="AC2487" s="204"/>
    </row>
    <row r="2488" spans="1:29">
      <c r="A2488" s="204"/>
      <c r="B2488" s="204"/>
      <c r="C2488" s="204"/>
      <c r="D2488" s="204"/>
      <c r="E2488" s="204"/>
      <c r="F2488" s="204"/>
      <c r="G2488" s="204"/>
      <c r="H2488" s="204"/>
      <c r="I2488" s="204"/>
      <c r="J2488" s="204"/>
      <c r="K2488" s="204"/>
      <c r="L2488" s="205"/>
      <c r="M2488" s="205"/>
      <c r="N2488" s="204"/>
      <c r="O2488" s="204"/>
      <c r="P2488" s="206"/>
      <c r="Q2488" s="206"/>
      <c r="R2488" s="206"/>
      <c r="S2488" s="206"/>
      <c r="T2488" s="204"/>
      <c r="U2488" s="207"/>
      <c r="V2488" s="204"/>
      <c r="W2488" s="204"/>
      <c r="X2488" s="207"/>
      <c r="Y2488" s="207"/>
      <c r="Z2488" s="204"/>
      <c r="AA2488" s="204"/>
      <c r="AB2488" s="204"/>
      <c r="AC2488" s="204"/>
    </row>
    <row r="2489" spans="1:29">
      <c r="A2489" s="204"/>
      <c r="B2489" s="204"/>
      <c r="C2489" s="204"/>
      <c r="D2489" s="204"/>
      <c r="E2489" s="204"/>
      <c r="F2489" s="204"/>
      <c r="G2489" s="204"/>
      <c r="H2489" s="204"/>
      <c r="I2489" s="204"/>
      <c r="J2489" s="204"/>
      <c r="K2489" s="204"/>
      <c r="L2489" s="205"/>
      <c r="M2489" s="205"/>
      <c r="N2489" s="204"/>
      <c r="O2489" s="204"/>
      <c r="P2489" s="206"/>
      <c r="Q2489" s="206"/>
      <c r="R2489" s="206"/>
      <c r="S2489" s="206"/>
      <c r="T2489" s="204"/>
      <c r="U2489" s="207"/>
      <c r="V2489" s="204"/>
      <c r="W2489" s="204"/>
      <c r="X2489" s="207"/>
      <c r="Y2489" s="207"/>
      <c r="Z2489" s="204"/>
      <c r="AA2489" s="204"/>
      <c r="AB2489" s="204"/>
      <c r="AC2489" s="204"/>
    </row>
    <row r="2490" spans="1:29">
      <c r="A2490" s="204"/>
      <c r="B2490" s="204"/>
      <c r="C2490" s="204"/>
      <c r="D2490" s="204"/>
      <c r="E2490" s="204"/>
      <c r="F2490" s="204"/>
      <c r="G2490" s="204"/>
      <c r="H2490" s="204"/>
      <c r="I2490" s="204"/>
      <c r="J2490" s="204"/>
      <c r="K2490" s="204"/>
      <c r="L2490" s="205"/>
      <c r="M2490" s="205"/>
      <c r="N2490" s="204"/>
      <c r="O2490" s="204"/>
      <c r="P2490" s="206"/>
      <c r="Q2490" s="206"/>
      <c r="R2490" s="206"/>
      <c r="S2490" s="206"/>
      <c r="T2490" s="204"/>
      <c r="U2490" s="207"/>
      <c r="V2490" s="204"/>
      <c r="W2490" s="204"/>
      <c r="X2490" s="207"/>
      <c r="Y2490" s="207"/>
      <c r="Z2490" s="204"/>
      <c r="AA2490" s="204"/>
      <c r="AB2490" s="204"/>
      <c r="AC2490" s="204"/>
    </row>
    <row r="2491" spans="1:29">
      <c r="A2491" s="204"/>
      <c r="B2491" s="204"/>
      <c r="C2491" s="204"/>
      <c r="D2491" s="204"/>
      <c r="E2491" s="204"/>
      <c r="F2491" s="204"/>
      <c r="G2491" s="204"/>
      <c r="H2491" s="204"/>
      <c r="I2491" s="204"/>
      <c r="J2491" s="204"/>
      <c r="K2491" s="204"/>
      <c r="L2491" s="205"/>
      <c r="M2491" s="205"/>
      <c r="N2491" s="204"/>
      <c r="O2491" s="204"/>
      <c r="P2491" s="206"/>
      <c r="Q2491" s="206"/>
      <c r="R2491" s="206"/>
      <c r="S2491" s="206"/>
      <c r="T2491" s="204"/>
      <c r="U2491" s="207"/>
      <c r="V2491" s="204"/>
      <c r="W2491" s="204"/>
      <c r="X2491" s="207"/>
      <c r="Y2491" s="207"/>
      <c r="Z2491" s="204"/>
      <c r="AA2491" s="204"/>
      <c r="AB2491" s="204"/>
      <c r="AC2491" s="204"/>
    </row>
    <row r="2492" spans="1:29">
      <c r="A2492" s="204"/>
      <c r="B2492" s="204"/>
      <c r="C2492" s="204"/>
      <c r="D2492" s="204"/>
      <c r="E2492" s="204"/>
      <c r="F2492" s="204"/>
      <c r="G2492" s="204"/>
      <c r="H2492" s="204"/>
      <c r="I2492" s="204"/>
      <c r="J2492" s="204"/>
      <c r="K2492" s="204"/>
      <c r="L2492" s="205"/>
      <c r="M2492" s="205"/>
      <c r="N2492" s="204"/>
      <c r="O2492" s="204"/>
      <c r="P2492" s="206"/>
      <c r="Q2492" s="206"/>
      <c r="R2492" s="206"/>
      <c r="S2492" s="206"/>
      <c r="T2492" s="204"/>
      <c r="U2492" s="207"/>
      <c r="V2492" s="204"/>
      <c r="W2492" s="204"/>
      <c r="X2492" s="207"/>
      <c r="Y2492" s="207"/>
      <c r="Z2492" s="204"/>
      <c r="AA2492" s="204"/>
      <c r="AB2492" s="204"/>
      <c r="AC2492" s="204"/>
    </row>
    <row r="2493" spans="1:29">
      <c r="A2493" s="204"/>
      <c r="B2493" s="204"/>
      <c r="C2493" s="204"/>
      <c r="D2493" s="204"/>
      <c r="E2493" s="204"/>
      <c r="F2493" s="204"/>
      <c r="G2493" s="204"/>
      <c r="H2493" s="204"/>
      <c r="I2493" s="204"/>
      <c r="J2493" s="204"/>
      <c r="K2493" s="204"/>
      <c r="L2493" s="205"/>
      <c r="M2493" s="205"/>
      <c r="N2493" s="204"/>
      <c r="O2493" s="204"/>
      <c r="P2493" s="206"/>
      <c r="Q2493" s="206"/>
      <c r="R2493" s="206"/>
      <c r="S2493" s="206"/>
      <c r="T2493" s="204"/>
      <c r="U2493" s="207"/>
      <c r="V2493" s="204"/>
      <c r="W2493" s="204"/>
      <c r="X2493" s="207"/>
      <c r="Y2493" s="207"/>
      <c r="Z2493" s="204"/>
      <c r="AA2493" s="204"/>
      <c r="AB2493" s="204"/>
      <c r="AC2493" s="204"/>
    </row>
    <row r="2494" spans="1:29">
      <c r="A2494" s="204"/>
      <c r="B2494" s="204"/>
      <c r="C2494" s="204"/>
      <c r="D2494" s="204"/>
      <c r="E2494" s="204"/>
      <c r="F2494" s="204"/>
      <c r="G2494" s="204"/>
      <c r="H2494" s="204"/>
      <c r="I2494" s="204"/>
      <c r="J2494" s="204"/>
      <c r="K2494" s="204"/>
      <c r="L2494" s="205"/>
      <c r="M2494" s="205"/>
      <c r="N2494" s="204"/>
      <c r="O2494" s="204"/>
      <c r="P2494" s="206"/>
      <c r="Q2494" s="206"/>
      <c r="R2494" s="206"/>
      <c r="S2494" s="206"/>
      <c r="T2494" s="204"/>
      <c r="U2494" s="207"/>
      <c r="V2494" s="204"/>
      <c r="W2494" s="204"/>
      <c r="X2494" s="207"/>
      <c r="Y2494" s="207"/>
      <c r="Z2494" s="204"/>
      <c r="AA2494" s="204"/>
      <c r="AB2494" s="204"/>
      <c r="AC2494" s="204"/>
    </row>
    <row r="2495" spans="1:29">
      <c r="A2495" s="204"/>
      <c r="B2495" s="204"/>
      <c r="C2495" s="204"/>
      <c r="D2495" s="204"/>
      <c r="E2495" s="204"/>
      <c r="F2495" s="204"/>
      <c r="G2495" s="204"/>
      <c r="H2495" s="204"/>
      <c r="I2495" s="204"/>
      <c r="J2495" s="204"/>
      <c r="K2495" s="204"/>
      <c r="L2495" s="205"/>
      <c r="M2495" s="205"/>
      <c r="N2495" s="204"/>
      <c r="O2495" s="204"/>
      <c r="P2495" s="206"/>
      <c r="Q2495" s="206"/>
      <c r="R2495" s="206"/>
      <c r="S2495" s="206"/>
      <c r="T2495" s="204"/>
      <c r="U2495" s="207"/>
      <c r="V2495" s="204"/>
      <c r="W2495" s="204"/>
      <c r="X2495" s="207"/>
      <c r="Y2495" s="207"/>
      <c r="Z2495" s="204"/>
      <c r="AA2495" s="204"/>
      <c r="AB2495" s="204"/>
      <c r="AC2495" s="204"/>
    </row>
    <row r="2496" spans="1:29">
      <c r="A2496" s="204"/>
      <c r="B2496" s="204"/>
      <c r="C2496" s="204"/>
      <c r="D2496" s="204"/>
      <c r="E2496" s="204"/>
      <c r="F2496" s="204"/>
      <c r="G2496" s="204"/>
      <c r="H2496" s="204"/>
      <c r="I2496" s="204"/>
      <c r="J2496" s="204"/>
      <c r="K2496" s="204"/>
      <c r="L2496" s="205"/>
      <c r="M2496" s="205"/>
      <c r="N2496" s="204"/>
      <c r="O2496" s="204"/>
      <c r="P2496" s="206"/>
      <c r="Q2496" s="206"/>
      <c r="R2496" s="206"/>
      <c r="S2496" s="206"/>
      <c r="T2496" s="204"/>
      <c r="U2496" s="207"/>
      <c r="V2496" s="204"/>
      <c r="W2496" s="204"/>
      <c r="X2496" s="207"/>
      <c r="Y2496" s="207"/>
      <c r="Z2496" s="204"/>
      <c r="AA2496" s="204"/>
      <c r="AB2496" s="204"/>
      <c r="AC2496" s="204"/>
    </row>
    <row r="2497" spans="1:29">
      <c r="A2497" s="204"/>
      <c r="B2497" s="204"/>
      <c r="C2497" s="204"/>
      <c r="D2497" s="204"/>
      <c r="E2497" s="204"/>
      <c r="F2497" s="204"/>
      <c r="G2497" s="204"/>
      <c r="H2497" s="204"/>
      <c r="I2497" s="204"/>
      <c r="J2497" s="204"/>
      <c r="K2497" s="204"/>
      <c r="L2497" s="205"/>
      <c r="M2497" s="205"/>
      <c r="N2497" s="204"/>
      <c r="O2497" s="204"/>
      <c r="P2497" s="206"/>
      <c r="Q2497" s="206"/>
      <c r="R2497" s="206"/>
      <c r="S2497" s="206"/>
      <c r="T2497" s="204"/>
      <c r="U2497" s="207"/>
      <c r="V2497" s="204"/>
      <c r="W2497" s="204"/>
      <c r="X2497" s="207"/>
      <c r="Y2497" s="207"/>
      <c r="Z2497" s="204"/>
      <c r="AA2497" s="204"/>
      <c r="AB2497" s="204"/>
      <c r="AC2497" s="204"/>
    </row>
    <row r="2498" spans="1:29">
      <c r="A2498" s="204"/>
      <c r="B2498" s="204"/>
      <c r="C2498" s="204"/>
      <c r="D2498" s="204"/>
      <c r="E2498" s="204"/>
      <c r="F2498" s="204"/>
      <c r="G2498" s="204"/>
      <c r="H2498" s="204"/>
      <c r="I2498" s="204"/>
      <c r="J2498" s="204"/>
      <c r="K2498" s="204"/>
      <c r="L2498" s="205"/>
      <c r="M2498" s="205"/>
      <c r="N2498" s="204"/>
      <c r="O2498" s="204"/>
      <c r="P2498" s="206"/>
      <c r="Q2498" s="206"/>
      <c r="R2498" s="206"/>
      <c r="S2498" s="206"/>
      <c r="T2498" s="204"/>
      <c r="U2498" s="207"/>
      <c r="V2498" s="204"/>
      <c r="W2498" s="204"/>
      <c r="X2498" s="207"/>
      <c r="Y2498" s="207"/>
      <c r="Z2498" s="204"/>
      <c r="AA2498" s="204"/>
      <c r="AB2498" s="204"/>
      <c r="AC2498" s="204"/>
    </row>
    <row r="2499" spans="1:29">
      <c r="A2499" s="204"/>
      <c r="B2499" s="204"/>
      <c r="C2499" s="204"/>
      <c r="D2499" s="204"/>
      <c r="E2499" s="204"/>
      <c r="F2499" s="204"/>
      <c r="G2499" s="204"/>
      <c r="H2499" s="204"/>
      <c r="I2499" s="204"/>
      <c r="J2499" s="204"/>
      <c r="K2499" s="204"/>
      <c r="L2499" s="205"/>
      <c r="M2499" s="205"/>
      <c r="N2499" s="204"/>
      <c r="O2499" s="204"/>
      <c r="P2499" s="206"/>
      <c r="Q2499" s="206"/>
      <c r="R2499" s="206"/>
      <c r="S2499" s="206"/>
      <c r="T2499" s="204"/>
      <c r="U2499" s="207"/>
      <c r="V2499" s="204"/>
      <c r="W2499" s="204"/>
      <c r="X2499" s="207"/>
      <c r="Y2499" s="207"/>
      <c r="Z2499" s="204"/>
      <c r="AA2499" s="204"/>
      <c r="AB2499" s="204"/>
      <c r="AC2499" s="204"/>
    </row>
    <row r="2500" spans="1:29">
      <c r="A2500" s="204"/>
      <c r="B2500" s="204"/>
      <c r="C2500" s="204"/>
      <c r="D2500" s="204"/>
      <c r="E2500" s="204"/>
      <c r="F2500" s="204"/>
      <c r="G2500" s="204"/>
      <c r="H2500" s="204"/>
      <c r="I2500" s="204"/>
      <c r="J2500" s="204"/>
      <c r="K2500" s="204"/>
      <c r="L2500" s="205"/>
      <c r="M2500" s="205"/>
      <c r="N2500" s="204"/>
      <c r="O2500" s="204"/>
      <c r="P2500" s="206"/>
      <c r="Q2500" s="206"/>
      <c r="R2500" s="206"/>
      <c r="S2500" s="206"/>
      <c r="T2500" s="204"/>
      <c r="U2500" s="207"/>
      <c r="V2500" s="204"/>
      <c r="W2500" s="204"/>
      <c r="X2500" s="207"/>
      <c r="Y2500" s="207"/>
      <c r="Z2500" s="204"/>
      <c r="AA2500" s="204"/>
      <c r="AB2500" s="204"/>
      <c r="AC2500" s="204"/>
    </row>
    <row r="2501" spans="1:29">
      <c r="A2501" s="204"/>
      <c r="B2501" s="204"/>
      <c r="C2501" s="204"/>
      <c r="D2501" s="204"/>
      <c r="E2501" s="204"/>
      <c r="F2501" s="204"/>
      <c r="G2501" s="204"/>
      <c r="H2501" s="204"/>
      <c r="I2501" s="204"/>
      <c r="J2501" s="204"/>
      <c r="K2501" s="204"/>
      <c r="L2501" s="205"/>
      <c r="M2501" s="205"/>
      <c r="N2501" s="204"/>
      <c r="O2501" s="204"/>
      <c r="P2501" s="206"/>
      <c r="Q2501" s="206"/>
      <c r="R2501" s="206"/>
      <c r="S2501" s="206"/>
      <c r="T2501" s="204"/>
      <c r="U2501" s="207"/>
      <c r="V2501" s="204"/>
      <c r="W2501" s="204"/>
      <c r="X2501" s="207"/>
      <c r="Y2501" s="207"/>
      <c r="Z2501" s="204"/>
      <c r="AA2501" s="204"/>
      <c r="AB2501" s="204"/>
      <c r="AC2501" s="204"/>
    </row>
    <row r="2502" spans="1:29">
      <c r="A2502" s="204"/>
      <c r="B2502" s="204"/>
      <c r="C2502" s="204"/>
      <c r="D2502" s="204"/>
      <c r="E2502" s="204"/>
      <c r="F2502" s="204"/>
      <c r="G2502" s="204"/>
      <c r="H2502" s="204"/>
      <c r="I2502" s="204"/>
      <c r="J2502" s="204"/>
      <c r="K2502" s="204"/>
      <c r="L2502" s="205"/>
      <c r="M2502" s="205"/>
      <c r="N2502" s="204"/>
      <c r="O2502" s="204"/>
      <c r="P2502" s="206"/>
      <c r="Q2502" s="206"/>
      <c r="R2502" s="206"/>
      <c r="S2502" s="206"/>
      <c r="T2502" s="204"/>
      <c r="U2502" s="207"/>
      <c r="V2502" s="204"/>
      <c r="W2502" s="204"/>
      <c r="X2502" s="207"/>
      <c r="Y2502" s="207"/>
      <c r="Z2502" s="204"/>
      <c r="AA2502" s="204"/>
      <c r="AB2502" s="204"/>
      <c r="AC2502" s="204"/>
    </row>
    <row r="2503" spans="1:29">
      <c r="A2503" s="204"/>
      <c r="B2503" s="204"/>
      <c r="C2503" s="204"/>
      <c r="D2503" s="204"/>
      <c r="E2503" s="204"/>
      <c r="F2503" s="204"/>
      <c r="G2503" s="204"/>
      <c r="H2503" s="204"/>
      <c r="I2503" s="204"/>
      <c r="J2503" s="204"/>
      <c r="K2503" s="204"/>
      <c r="L2503" s="205"/>
      <c r="M2503" s="205"/>
      <c r="N2503" s="204"/>
      <c r="O2503" s="204"/>
      <c r="P2503" s="206"/>
      <c r="Q2503" s="206"/>
      <c r="R2503" s="206"/>
      <c r="S2503" s="206"/>
      <c r="T2503" s="204"/>
      <c r="U2503" s="207"/>
      <c r="V2503" s="204"/>
      <c r="W2503" s="204"/>
      <c r="X2503" s="207"/>
      <c r="Y2503" s="207"/>
      <c r="Z2503" s="204"/>
      <c r="AA2503" s="204"/>
      <c r="AB2503" s="204"/>
      <c r="AC2503" s="204"/>
    </row>
    <row r="2504" spans="1:29">
      <c r="A2504" s="204"/>
      <c r="B2504" s="204"/>
      <c r="C2504" s="204"/>
      <c r="D2504" s="204"/>
      <c r="E2504" s="204"/>
      <c r="F2504" s="204"/>
      <c r="G2504" s="204"/>
      <c r="H2504" s="204"/>
      <c r="I2504" s="204"/>
      <c r="J2504" s="204"/>
      <c r="K2504" s="204"/>
      <c r="L2504" s="205"/>
      <c r="M2504" s="205"/>
      <c r="N2504" s="204"/>
      <c r="O2504" s="204"/>
      <c r="P2504" s="206"/>
      <c r="Q2504" s="206"/>
      <c r="R2504" s="206"/>
      <c r="S2504" s="206"/>
      <c r="T2504" s="204"/>
      <c r="U2504" s="207"/>
      <c r="V2504" s="204"/>
      <c r="W2504" s="204"/>
      <c r="X2504" s="207"/>
      <c r="Y2504" s="207"/>
      <c r="Z2504" s="204"/>
      <c r="AA2504" s="204"/>
      <c r="AB2504" s="204"/>
      <c r="AC2504" s="204"/>
    </row>
    <row r="2505" spans="1:29">
      <c r="A2505" s="204"/>
      <c r="B2505" s="204"/>
      <c r="C2505" s="204"/>
      <c r="D2505" s="204"/>
      <c r="E2505" s="204"/>
      <c r="F2505" s="204"/>
      <c r="G2505" s="204"/>
      <c r="H2505" s="204"/>
      <c r="I2505" s="204"/>
      <c r="J2505" s="204"/>
      <c r="K2505" s="204"/>
      <c r="L2505" s="205"/>
      <c r="M2505" s="205"/>
      <c r="N2505" s="204"/>
      <c r="O2505" s="204"/>
      <c r="P2505" s="206"/>
      <c r="Q2505" s="206"/>
      <c r="R2505" s="206"/>
      <c r="S2505" s="206"/>
      <c r="T2505" s="204"/>
      <c r="U2505" s="207"/>
      <c r="V2505" s="204"/>
      <c r="W2505" s="204"/>
      <c r="X2505" s="207"/>
      <c r="Y2505" s="207"/>
      <c r="Z2505" s="204"/>
      <c r="AA2505" s="204"/>
      <c r="AB2505" s="204"/>
      <c r="AC2505" s="204"/>
    </row>
    <row r="2506" spans="1:29">
      <c r="A2506" s="204"/>
      <c r="B2506" s="204"/>
      <c r="C2506" s="204"/>
      <c r="D2506" s="204"/>
      <c r="E2506" s="204"/>
      <c r="F2506" s="204"/>
      <c r="G2506" s="204"/>
      <c r="H2506" s="204"/>
      <c r="I2506" s="204"/>
      <c r="J2506" s="204"/>
      <c r="K2506" s="204"/>
      <c r="L2506" s="205"/>
      <c r="M2506" s="205"/>
      <c r="N2506" s="204"/>
      <c r="O2506" s="204"/>
      <c r="P2506" s="206"/>
      <c r="Q2506" s="206"/>
      <c r="R2506" s="206"/>
      <c r="S2506" s="206"/>
      <c r="T2506" s="204"/>
      <c r="U2506" s="207"/>
      <c r="V2506" s="204"/>
      <c r="W2506" s="204"/>
      <c r="X2506" s="207"/>
      <c r="Y2506" s="207"/>
      <c r="Z2506" s="204"/>
      <c r="AA2506" s="204"/>
      <c r="AB2506" s="204"/>
      <c r="AC2506" s="204"/>
    </row>
    <row r="2507" spans="1:29">
      <c r="A2507" s="204"/>
      <c r="B2507" s="204"/>
      <c r="C2507" s="204"/>
      <c r="D2507" s="204"/>
      <c r="E2507" s="204"/>
      <c r="F2507" s="204"/>
      <c r="G2507" s="204"/>
      <c r="H2507" s="204"/>
      <c r="I2507" s="204"/>
      <c r="J2507" s="204"/>
      <c r="K2507" s="204"/>
      <c r="L2507" s="205"/>
      <c r="M2507" s="205"/>
      <c r="N2507" s="204"/>
      <c r="O2507" s="204"/>
      <c r="P2507" s="206"/>
      <c r="Q2507" s="206"/>
      <c r="R2507" s="206"/>
      <c r="S2507" s="206"/>
      <c r="T2507" s="204"/>
      <c r="U2507" s="207"/>
      <c r="V2507" s="204"/>
      <c r="W2507" s="204"/>
      <c r="X2507" s="207"/>
      <c r="Y2507" s="207"/>
      <c r="Z2507" s="204"/>
      <c r="AA2507" s="204"/>
      <c r="AB2507" s="204"/>
      <c r="AC2507" s="204"/>
    </row>
    <row r="2508" spans="1:29">
      <c r="A2508" s="204"/>
      <c r="B2508" s="204"/>
      <c r="C2508" s="204"/>
      <c r="D2508" s="204"/>
      <c r="E2508" s="204"/>
      <c r="F2508" s="204"/>
      <c r="G2508" s="204"/>
      <c r="H2508" s="204"/>
      <c r="I2508" s="204"/>
      <c r="J2508" s="204"/>
      <c r="K2508" s="204"/>
      <c r="L2508" s="205"/>
      <c r="M2508" s="205"/>
      <c r="N2508" s="204"/>
      <c r="O2508" s="204"/>
      <c r="P2508" s="206"/>
      <c r="Q2508" s="206"/>
      <c r="R2508" s="206"/>
      <c r="S2508" s="206"/>
      <c r="T2508" s="204"/>
      <c r="U2508" s="207"/>
      <c r="V2508" s="204"/>
      <c r="W2508" s="204"/>
      <c r="X2508" s="207"/>
      <c r="Y2508" s="207"/>
      <c r="Z2508" s="204"/>
      <c r="AA2508" s="204"/>
      <c r="AB2508" s="204"/>
      <c r="AC2508" s="204"/>
    </row>
    <row r="2509" spans="1:29">
      <c r="A2509" s="204"/>
      <c r="B2509" s="204"/>
      <c r="C2509" s="204"/>
      <c r="D2509" s="204"/>
      <c r="E2509" s="204"/>
      <c r="F2509" s="204"/>
      <c r="G2509" s="204"/>
      <c r="H2509" s="204"/>
      <c r="I2509" s="204"/>
      <c r="J2509" s="204"/>
      <c r="K2509" s="204"/>
      <c r="L2509" s="205"/>
      <c r="M2509" s="205"/>
      <c r="N2509" s="204"/>
      <c r="O2509" s="204"/>
      <c r="P2509" s="206"/>
      <c r="Q2509" s="206"/>
      <c r="R2509" s="206"/>
      <c r="S2509" s="206"/>
      <c r="T2509" s="204"/>
      <c r="U2509" s="207"/>
      <c r="V2509" s="204"/>
      <c r="W2509" s="204"/>
      <c r="X2509" s="207"/>
      <c r="Y2509" s="207"/>
      <c r="Z2509" s="204"/>
      <c r="AA2509" s="204"/>
      <c r="AB2509" s="204"/>
      <c r="AC2509" s="204"/>
    </row>
    <row r="2510" spans="1:29">
      <c r="A2510" s="204"/>
      <c r="B2510" s="204"/>
      <c r="C2510" s="204"/>
      <c r="D2510" s="204"/>
      <c r="E2510" s="204"/>
      <c r="F2510" s="204"/>
      <c r="G2510" s="204"/>
      <c r="H2510" s="204"/>
      <c r="I2510" s="204"/>
      <c r="J2510" s="204"/>
      <c r="K2510" s="204"/>
      <c r="L2510" s="205"/>
      <c r="M2510" s="205"/>
      <c r="N2510" s="204"/>
      <c r="O2510" s="204"/>
      <c r="P2510" s="206"/>
      <c r="Q2510" s="206"/>
      <c r="R2510" s="206"/>
      <c r="S2510" s="206"/>
      <c r="T2510" s="204"/>
      <c r="U2510" s="207"/>
      <c r="V2510" s="204"/>
      <c r="W2510" s="204"/>
      <c r="X2510" s="207"/>
      <c r="Y2510" s="207"/>
      <c r="Z2510" s="204"/>
      <c r="AA2510" s="204"/>
      <c r="AB2510" s="204"/>
      <c r="AC2510" s="204"/>
    </row>
    <row r="2511" spans="1:29">
      <c r="A2511" s="204"/>
      <c r="B2511" s="204"/>
      <c r="C2511" s="204"/>
      <c r="D2511" s="204"/>
      <c r="E2511" s="204"/>
      <c r="F2511" s="204"/>
      <c r="G2511" s="204"/>
      <c r="H2511" s="204"/>
      <c r="I2511" s="204"/>
      <c r="J2511" s="204"/>
      <c r="K2511" s="204"/>
      <c r="L2511" s="205"/>
      <c r="M2511" s="205"/>
      <c r="N2511" s="204"/>
      <c r="O2511" s="204"/>
      <c r="P2511" s="206"/>
      <c r="Q2511" s="206"/>
      <c r="R2511" s="206"/>
      <c r="S2511" s="206"/>
      <c r="T2511" s="204"/>
      <c r="U2511" s="207"/>
      <c r="V2511" s="204"/>
      <c r="W2511" s="204"/>
      <c r="X2511" s="207"/>
      <c r="Y2511" s="207"/>
      <c r="Z2511" s="204"/>
      <c r="AA2511" s="204"/>
      <c r="AB2511" s="204"/>
      <c r="AC2511" s="204"/>
    </row>
    <row r="2512" spans="1:29">
      <c r="A2512" s="204"/>
      <c r="B2512" s="204"/>
      <c r="C2512" s="204"/>
      <c r="D2512" s="204"/>
      <c r="E2512" s="204"/>
      <c r="F2512" s="204"/>
      <c r="G2512" s="204"/>
      <c r="H2512" s="204"/>
      <c r="I2512" s="204"/>
      <c r="J2512" s="204"/>
      <c r="K2512" s="204"/>
      <c r="L2512" s="205"/>
      <c r="M2512" s="205"/>
      <c r="N2512" s="204"/>
      <c r="O2512" s="204"/>
      <c r="P2512" s="206"/>
      <c r="Q2512" s="206"/>
      <c r="R2512" s="206"/>
      <c r="S2512" s="206"/>
      <c r="T2512" s="204"/>
      <c r="U2512" s="207"/>
      <c r="V2512" s="204"/>
      <c r="W2512" s="204"/>
      <c r="X2512" s="207"/>
      <c r="Y2512" s="207"/>
      <c r="Z2512" s="204"/>
      <c r="AA2512" s="204"/>
      <c r="AB2512" s="204"/>
      <c r="AC2512" s="204"/>
    </row>
    <row r="2513" spans="1:29">
      <c r="A2513" s="204"/>
      <c r="B2513" s="204"/>
      <c r="C2513" s="204"/>
      <c r="D2513" s="204"/>
      <c r="E2513" s="204"/>
      <c r="F2513" s="204"/>
      <c r="G2513" s="204"/>
      <c r="H2513" s="204"/>
      <c r="I2513" s="204"/>
      <c r="J2513" s="204"/>
      <c r="K2513" s="204"/>
      <c r="L2513" s="205"/>
      <c r="M2513" s="205"/>
      <c r="N2513" s="204"/>
      <c r="O2513" s="204"/>
      <c r="P2513" s="206"/>
      <c r="Q2513" s="206"/>
      <c r="R2513" s="206"/>
      <c r="S2513" s="206"/>
      <c r="T2513" s="204"/>
      <c r="U2513" s="207"/>
      <c r="V2513" s="204"/>
      <c r="W2513" s="204"/>
      <c r="X2513" s="207"/>
      <c r="Y2513" s="207"/>
      <c r="Z2513" s="204"/>
      <c r="AA2513" s="204"/>
      <c r="AB2513" s="204"/>
      <c r="AC2513" s="204"/>
    </row>
    <row r="2514" spans="1:29">
      <c r="A2514" s="204"/>
      <c r="B2514" s="204"/>
      <c r="C2514" s="204"/>
      <c r="D2514" s="204"/>
      <c r="E2514" s="204"/>
      <c r="F2514" s="204"/>
      <c r="G2514" s="204"/>
      <c r="H2514" s="204"/>
      <c r="I2514" s="204"/>
      <c r="J2514" s="204"/>
      <c r="K2514" s="204"/>
      <c r="L2514" s="205"/>
      <c r="M2514" s="205"/>
      <c r="N2514" s="204"/>
      <c r="O2514" s="204"/>
      <c r="P2514" s="206"/>
      <c r="Q2514" s="206"/>
      <c r="R2514" s="206"/>
      <c r="S2514" s="206"/>
      <c r="T2514" s="204"/>
      <c r="U2514" s="207"/>
      <c r="V2514" s="204"/>
      <c r="W2514" s="204"/>
      <c r="X2514" s="207"/>
      <c r="Y2514" s="207"/>
      <c r="Z2514" s="204"/>
      <c r="AA2514" s="204"/>
      <c r="AB2514" s="204"/>
      <c r="AC2514" s="204"/>
    </row>
    <row r="2515" spans="1:29">
      <c r="A2515" s="204"/>
      <c r="B2515" s="204"/>
      <c r="C2515" s="204"/>
      <c r="D2515" s="204"/>
      <c r="E2515" s="204"/>
      <c r="F2515" s="204"/>
      <c r="G2515" s="204"/>
      <c r="H2515" s="204"/>
      <c r="I2515" s="204"/>
      <c r="J2515" s="204"/>
      <c r="K2515" s="204"/>
      <c r="L2515" s="205"/>
      <c r="M2515" s="205"/>
      <c r="N2515" s="204"/>
      <c r="O2515" s="204"/>
      <c r="P2515" s="206"/>
      <c r="Q2515" s="206"/>
      <c r="R2515" s="206"/>
      <c r="S2515" s="206"/>
      <c r="T2515" s="204"/>
      <c r="U2515" s="207"/>
      <c r="V2515" s="204"/>
      <c r="W2515" s="204"/>
      <c r="X2515" s="207"/>
      <c r="Y2515" s="207"/>
      <c r="Z2515" s="204"/>
      <c r="AA2515" s="204"/>
      <c r="AB2515" s="204"/>
      <c r="AC2515" s="204"/>
    </row>
    <row r="2516" spans="1:29">
      <c r="A2516" s="204"/>
      <c r="B2516" s="204"/>
      <c r="C2516" s="204"/>
      <c r="D2516" s="204"/>
      <c r="E2516" s="204"/>
      <c r="F2516" s="204"/>
      <c r="G2516" s="204"/>
      <c r="H2516" s="204"/>
      <c r="I2516" s="204"/>
      <c r="J2516" s="204"/>
      <c r="K2516" s="204"/>
      <c r="L2516" s="205"/>
      <c r="M2516" s="205"/>
      <c r="N2516" s="204"/>
      <c r="O2516" s="204"/>
      <c r="P2516" s="206"/>
      <c r="Q2516" s="206"/>
      <c r="R2516" s="206"/>
      <c r="S2516" s="206"/>
      <c r="T2516" s="204"/>
      <c r="U2516" s="207"/>
      <c r="V2516" s="204"/>
      <c r="W2516" s="204"/>
      <c r="X2516" s="207"/>
      <c r="Y2516" s="207"/>
      <c r="Z2516" s="204"/>
      <c r="AA2516" s="204"/>
      <c r="AB2516" s="204"/>
      <c r="AC2516" s="204"/>
    </row>
    <row r="2517" spans="1:29">
      <c r="A2517" s="204"/>
      <c r="B2517" s="204"/>
      <c r="C2517" s="204"/>
      <c r="D2517" s="204"/>
      <c r="E2517" s="204"/>
      <c r="F2517" s="204"/>
      <c r="G2517" s="204"/>
      <c r="H2517" s="204"/>
      <c r="I2517" s="204"/>
      <c r="J2517" s="204"/>
      <c r="K2517" s="204"/>
      <c r="L2517" s="205"/>
      <c r="M2517" s="205"/>
      <c r="N2517" s="204"/>
      <c r="O2517" s="204"/>
      <c r="P2517" s="206"/>
      <c r="Q2517" s="206"/>
      <c r="R2517" s="206"/>
      <c r="S2517" s="206"/>
      <c r="T2517" s="204"/>
      <c r="U2517" s="207"/>
      <c r="V2517" s="204"/>
      <c r="W2517" s="204"/>
      <c r="X2517" s="207"/>
      <c r="Y2517" s="207"/>
      <c r="Z2517" s="204"/>
      <c r="AA2517" s="204"/>
      <c r="AB2517" s="204"/>
      <c r="AC2517" s="204"/>
    </row>
    <row r="2518" spans="1:29">
      <c r="A2518" s="204"/>
      <c r="B2518" s="204"/>
      <c r="C2518" s="204"/>
      <c r="D2518" s="204"/>
      <c r="E2518" s="204"/>
      <c r="F2518" s="204"/>
      <c r="G2518" s="204"/>
      <c r="H2518" s="204"/>
      <c r="I2518" s="204"/>
      <c r="J2518" s="204"/>
      <c r="K2518" s="204"/>
      <c r="L2518" s="205"/>
      <c r="M2518" s="205"/>
      <c r="N2518" s="204"/>
      <c r="O2518" s="204"/>
      <c r="P2518" s="206"/>
      <c r="Q2518" s="206"/>
      <c r="R2518" s="206"/>
      <c r="S2518" s="206"/>
      <c r="T2518" s="204"/>
      <c r="U2518" s="207"/>
      <c r="V2518" s="204"/>
      <c r="W2518" s="204"/>
      <c r="X2518" s="207"/>
      <c r="Y2518" s="207"/>
      <c r="Z2518" s="204"/>
      <c r="AA2518" s="204"/>
      <c r="AB2518" s="204"/>
      <c r="AC2518" s="204"/>
    </row>
    <row r="2519" spans="1:29">
      <c r="A2519" s="204"/>
      <c r="B2519" s="204"/>
      <c r="C2519" s="204"/>
      <c r="D2519" s="204"/>
      <c r="E2519" s="204"/>
      <c r="F2519" s="204"/>
      <c r="G2519" s="204"/>
      <c r="H2519" s="204"/>
      <c r="I2519" s="204"/>
      <c r="J2519" s="204"/>
      <c r="K2519" s="204"/>
      <c r="L2519" s="205"/>
      <c r="M2519" s="205"/>
      <c r="N2519" s="204"/>
      <c r="O2519" s="204"/>
      <c r="P2519" s="206"/>
      <c r="Q2519" s="206"/>
      <c r="R2519" s="206"/>
      <c r="S2519" s="206"/>
      <c r="T2519" s="204"/>
      <c r="U2519" s="207"/>
      <c r="V2519" s="204"/>
      <c r="W2519" s="204"/>
      <c r="X2519" s="207"/>
      <c r="Y2519" s="207"/>
      <c r="Z2519" s="204"/>
      <c r="AA2519" s="204"/>
      <c r="AB2519" s="204"/>
      <c r="AC2519" s="204"/>
    </row>
    <row r="2520" spans="1:29">
      <c r="A2520" s="204"/>
      <c r="B2520" s="204"/>
      <c r="C2520" s="204"/>
      <c r="D2520" s="204"/>
      <c r="E2520" s="204"/>
      <c r="F2520" s="204"/>
      <c r="G2520" s="204"/>
      <c r="H2520" s="204"/>
      <c r="I2520" s="204"/>
      <c r="J2520" s="204"/>
      <c r="K2520" s="204"/>
      <c r="L2520" s="205"/>
      <c r="M2520" s="205"/>
      <c r="N2520" s="204"/>
      <c r="O2520" s="204"/>
      <c r="P2520" s="206"/>
      <c r="Q2520" s="206"/>
      <c r="R2520" s="206"/>
      <c r="S2520" s="206"/>
      <c r="T2520" s="204"/>
      <c r="U2520" s="207"/>
      <c r="V2520" s="204"/>
      <c r="W2520" s="204"/>
      <c r="X2520" s="207"/>
      <c r="Y2520" s="207"/>
      <c r="Z2520" s="204"/>
      <c r="AA2520" s="204"/>
      <c r="AB2520" s="204"/>
      <c r="AC2520" s="204"/>
    </row>
    <row r="2521" spans="1:29">
      <c r="A2521" s="204"/>
      <c r="B2521" s="204"/>
      <c r="C2521" s="204"/>
      <c r="D2521" s="204"/>
      <c r="E2521" s="204"/>
      <c r="F2521" s="204"/>
      <c r="G2521" s="204"/>
      <c r="H2521" s="204"/>
      <c r="I2521" s="204"/>
      <c r="J2521" s="204"/>
      <c r="K2521" s="204"/>
      <c r="L2521" s="205"/>
      <c r="M2521" s="205"/>
      <c r="N2521" s="204"/>
      <c r="O2521" s="204"/>
      <c r="P2521" s="206"/>
      <c r="Q2521" s="206"/>
      <c r="R2521" s="206"/>
      <c r="S2521" s="206"/>
      <c r="T2521" s="204"/>
      <c r="U2521" s="207"/>
      <c r="V2521" s="204"/>
      <c r="W2521" s="204"/>
      <c r="X2521" s="207"/>
      <c r="Y2521" s="207"/>
      <c r="Z2521" s="204"/>
      <c r="AA2521" s="204"/>
      <c r="AB2521" s="204"/>
      <c r="AC2521" s="204"/>
    </row>
    <row r="2522" spans="1:29">
      <c r="A2522" s="204"/>
      <c r="B2522" s="204"/>
      <c r="C2522" s="204"/>
      <c r="D2522" s="204"/>
      <c r="E2522" s="204"/>
      <c r="F2522" s="204"/>
      <c r="G2522" s="204"/>
      <c r="H2522" s="204"/>
      <c r="I2522" s="204"/>
      <c r="J2522" s="204"/>
      <c r="K2522" s="204"/>
      <c r="L2522" s="205"/>
      <c r="M2522" s="205"/>
      <c r="N2522" s="204"/>
      <c r="O2522" s="204"/>
      <c r="P2522" s="206"/>
      <c r="Q2522" s="206"/>
      <c r="R2522" s="206"/>
      <c r="S2522" s="206"/>
      <c r="T2522" s="204"/>
      <c r="U2522" s="207"/>
      <c r="V2522" s="204"/>
      <c r="W2522" s="204"/>
      <c r="X2522" s="207"/>
      <c r="Y2522" s="207"/>
      <c r="Z2522" s="204"/>
      <c r="AA2522" s="204"/>
      <c r="AB2522" s="204"/>
      <c r="AC2522" s="204"/>
    </row>
    <row r="2523" spans="1:29">
      <c r="A2523" s="204"/>
      <c r="B2523" s="204"/>
      <c r="C2523" s="204"/>
      <c r="D2523" s="204"/>
      <c r="E2523" s="204"/>
      <c r="F2523" s="204"/>
      <c r="G2523" s="204"/>
      <c r="H2523" s="204"/>
      <c r="I2523" s="204"/>
      <c r="J2523" s="204"/>
      <c r="K2523" s="204"/>
      <c r="L2523" s="205"/>
      <c r="M2523" s="205"/>
      <c r="N2523" s="204"/>
      <c r="O2523" s="204"/>
      <c r="P2523" s="206"/>
      <c r="Q2523" s="206"/>
      <c r="R2523" s="206"/>
      <c r="S2523" s="206"/>
      <c r="T2523" s="204"/>
      <c r="U2523" s="207"/>
      <c r="V2523" s="204"/>
      <c r="W2523" s="204"/>
      <c r="X2523" s="207"/>
      <c r="Y2523" s="207"/>
      <c r="Z2523" s="204"/>
      <c r="AA2523" s="204"/>
      <c r="AB2523" s="204"/>
      <c r="AC2523" s="204"/>
    </row>
    <row r="2524" spans="1:29">
      <c r="A2524" s="204"/>
      <c r="B2524" s="204"/>
      <c r="C2524" s="204"/>
      <c r="D2524" s="204"/>
      <c r="E2524" s="204"/>
      <c r="F2524" s="204"/>
      <c r="G2524" s="204"/>
      <c r="H2524" s="204"/>
      <c r="I2524" s="204"/>
      <c r="J2524" s="204"/>
      <c r="K2524" s="204"/>
      <c r="L2524" s="205"/>
      <c r="M2524" s="205"/>
      <c r="N2524" s="204"/>
      <c r="O2524" s="204"/>
      <c r="P2524" s="206"/>
      <c r="Q2524" s="206"/>
      <c r="R2524" s="206"/>
      <c r="S2524" s="206"/>
      <c r="T2524" s="204"/>
      <c r="U2524" s="207"/>
      <c r="V2524" s="204"/>
      <c r="W2524" s="204"/>
      <c r="X2524" s="207"/>
      <c r="Y2524" s="207"/>
      <c r="Z2524" s="204"/>
      <c r="AA2524" s="204"/>
      <c r="AB2524" s="204"/>
      <c r="AC2524" s="204"/>
    </row>
    <row r="2525" spans="1:29">
      <c r="A2525" s="204"/>
      <c r="B2525" s="204"/>
      <c r="C2525" s="204"/>
      <c r="D2525" s="204"/>
      <c r="E2525" s="204"/>
      <c r="F2525" s="204"/>
      <c r="G2525" s="204"/>
      <c r="H2525" s="204"/>
      <c r="I2525" s="204"/>
      <c r="J2525" s="204"/>
      <c r="K2525" s="204"/>
      <c r="L2525" s="205"/>
      <c r="M2525" s="205"/>
      <c r="N2525" s="204"/>
      <c r="O2525" s="204"/>
      <c r="P2525" s="206"/>
      <c r="Q2525" s="206"/>
      <c r="R2525" s="206"/>
      <c r="S2525" s="206"/>
      <c r="T2525" s="204"/>
      <c r="U2525" s="207"/>
      <c r="V2525" s="204"/>
      <c r="W2525" s="204"/>
      <c r="X2525" s="207"/>
      <c r="Y2525" s="207"/>
      <c r="Z2525" s="204"/>
      <c r="AA2525" s="204"/>
      <c r="AB2525" s="204"/>
      <c r="AC2525" s="204"/>
    </row>
    <row r="2526" spans="1:29">
      <c r="A2526" s="204"/>
      <c r="B2526" s="204"/>
      <c r="C2526" s="204"/>
      <c r="D2526" s="204"/>
      <c r="E2526" s="204"/>
      <c r="F2526" s="204"/>
      <c r="G2526" s="204"/>
      <c r="H2526" s="204"/>
      <c r="I2526" s="204"/>
      <c r="J2526" s="204"/>
      <c r="K2526" s="204"/>
      <c r="L2526" s="205"/>
      <c r="M2526" s="205"/>
      <c r="N2526" s="204"/>
      <c r="O2526" s="204"/>
      <c r="P2526" s="206"/>
      <c r="Q2526" s="206"/>
      <c r="R2526" s="206"/>
      <c r="S2526" s="206"/>
      <c r="T2526" s="204"/>
      <c r="U2526" s="207"/>
      <c r="V2526" s="204"/>
      <c r="W2526" s="204"/>
      <c r="X2526" s="207"/>
      <c r="Y2526" s="207"/>
      <c r="Z2526" s="204"/>
      <c r="AA2526" s="204"/>
      <c r="AB2526" s="204"/>
      <c r="AC2526" s="204"/>
    </row>
    <row r="2527" spans="1:29">
      <c r="A2527" s="204"/>
      <c r="B2527" s="204"/>
      <c r="C2527" s="204"/>
      <c r="D2527" s="204"/>
      <c r="E2527" s="204"/>
      <c r="F2527" s="204"/>
      <c r="G2527" s="204"/>
      <c r="H2527" s="204"/>
      <c r="I2527" s="204"/>
      <c r="J2527" s="204"/>
      <c r="K2527" s="204"/>
      <c r="L2527" s="205"/>
      <c r="M2527" s="205"/>
      <c r="N2527" s="204"/>
      <c r="O2527" s="204"/>
      <c r="P2527" s="206"/>
      <c r="Q2527" s="206"/>
      <c r="R2527" s="206"/>
      <c r="S2527" s="206"/>
      <c r="T2527" s="204"/>
      <c r="U2527" s="207"/>
      <c r="V2527" s="204"/>
      <c r="W2527" s="204"/>
      <c r="X2527" s="207"/>
      <c r="Y2527" s="207"/>
      <c r="Z2527" s="204"/>
      <c r="AA2527" s="204"/>
      <c r="AB2527" s="204"/>
      <c r="AC2527" s="204"/>
    </row>
    <row r="2528" spans="1:29">
      <c r="A2528" s="204"/>
      <c r="B2528" s="204"/>
      <c r="C2528" s="204"/>
      <c r="D2528" s="204"/>
      <c r="E2528" s="204"/>
      <c r="F2528" s="204"/>
      <c r="G2528" s="204"/>
      <c r="H2528" s="204"/>
      <c r="I2528" s="204"/>
      <c r="J2528" s="204"/>
      <c r="K2528" s="204"/>
      <c r="L2528" s="205"/>
      <c r="M2528" s="205"/>
      <c r="N2528" s="204"/>
      <c r="O2528" s="204"/>
      <c r="P2528" s="206"/>
      <c r="Q2528" s="206"/>
      <c r="R2528" s="206"/>
      <c r="S2528" s="206"/>
      <c r="T2528" s="204"/>
      <c r="U2528" s="207"/>
      <c r="V2528" s="204"/>
      <c r="W2528" s="204"/>
      <c r="X2528" s="207"/>
      <c r="Y2528" s="207"/>
      <c r="Z2528" s="204"/>
      <c r="AA2528" s="204"/>
      <c r="AB2528" s="204"/>
      <c r="AC2528" s="204"/>
    </row>
    <row r="2529" spans="1:29">
      <c r="A2529" s="204"/>
      <c r="B2529" s="204"/>
      <c r="C2529" s="204"/>
      <c r="D2529" s="204"/>
      <c r="E2529" s="204"/>
      <c r="F2529" s="204"/>
      <c r="G2529" s="204"/>
      <c r="H2529" s="204"/>
      <c r="I2529" s="204"/>
      <c r="J2529" s="204"/>
      <c r="K2529" s="204"/>
      <c r="L2529" s="205"/>
      <c r="M2529" s="205"/>
      <c r="N2529" s="204"/>
      <c r="O2529" s="204"/>
      <c r="P2529" s="206"/>
      <c r="Q2529" s="206"/>
      <c r="R2529" s="206"/>
      <c r="S2529" s="206"/>
      <c r="T2529" s="204"/>
      <c r="U2529" s="207"/>
      <c r="V2529" s="204"/>
      <c r="W2529" s="204"/>
      <c r="X2529" s="207"/>
      <c r="Y2529" s="207"/>
      <c r="Z2529" s="204"/>
      <c r="AA2529" s="204"/>
      <c r="AB2529" s="204"/>
      <c r="AC2529" s="204"/>
    </row>
    <row r="2530" spans="1:29">
      <c r="A2530" s="204"/>
      <c r="B2530" s="204"/>
      <c r="C2530" s="204"/>
      <c r="D2530" s="204"/>
      <c r="E2530" s="204"/>
      <c r="F2530" s="204"/>
      <c r="G2530" s="204"/>
      <c r="H2530" s="204"/>
      <c r="I2530" s="204"/>
      <c r="J2530" s="204"/>
      <c r="K2530" s="204"/>
      <c r="L2530" s="205"/>
      <c r="M2530" s="205"/>
      <c r="N2530" s="204"/>
      <c r="O2530" s="204"/>
      <c r="P2530" s="206"/>
      <c r="Q2530" s="206"/>
      <c r="R2530" s="206"/>
      <c r="S2530" s="206"/>
      <c r="T2530" s="204"/>
      <c r="U2530" s="207"/>
      <c r="V2530" s="204"/>
      <c r="W2530" s="204"/>
      <c r="X2530" s="207"/>
      <c r="Y2530" s="207"/>
      <c r="Z2530" s="204"/>
      <c r="AA2530" s="204"/>
      <c r="AB2530" s="204"/>
      <c r="AC2530" s="204"/>
    </row>
    <row r="2531" spans="1:29">
      <c r="A2531" s="204"/>
      <c r="B2531" s="204"/>
      <c r="C2531" s="204"/>
      <c r="D2531" s="204"/>
      <c r="E2531" s="204"/>
      <c r="F2531" s="204"/>
      <c r="G2531" s="204"/>
      <c r="H2531" s="204"/>
      <c r="I2531" s="204"/>
      <c r="J2531" s="204"/>
      <c r="K2531" s="204"/>
      <c r="L2531" s="205"/>
      <c r="M2531" s="205"/>
      <c r="N2531" s="204"/>
      <c r="O2531" s="204"/>
      <c r="P2531" s="206"/>
      <c r="Q2531" s="206"/>
      <c r="R2531" s="206"/>
      <c r="S2531" s="206"/>
      <c r="T2531" s="204"/>
      <c r="U2531" s="207"/>
      <c r="V2531" s="204"/>
      <c r="W2531" s="204"/>
      <c r="X2531" s="207"/>
      <c r="Y2531" s="207"/>
      <c r="Z2531" s="204"/>
      <c r="AA2531" s="204"/>
      <c r="AB2531" s="204"/>
      <c r="AC2531" s="204"/>
    </row>
    <row r="2532" spans="1:29">
      <c r="A2532" s="204"/>
      <c r="B2532" s="204"/>
      <c r="C2532" s="204"/>
      <c r="D2532" s="204"/>
      <c r="E2532" s="204"/>
      <c r="F2532" s="204"/>
      <c r="G2532" s="204"/>
      <c r="H2532" s="204"/>
      <c r="I2532" s="204"/>
      <c r="J2532" s="204"/>
      <c r="K2532" s="204"/>
      <c r="L2532" s="205"/>
      <c r="M2532" s="205"/>
      <c r="N2532" s="204"/>
      <c r="O2532" s="204"/>
      <c r="P2532" s="206"/>
      <c r="Q2532" s="206"/>
      <c r="R2532" s="206"/>
      <c r="S2532" s="206"/>
      <c r="T2532" s="204"/>
      <c r="U2532" s="207"/>
      <c r="V2532" s="204"/>
      <c r="W2532" s="204"/>
      <c r="X2532" s="207"/>
      <c r="Y2532" s="207"/>
      <c r="Z2532" s="204"/>
      <c r="AA2532" s="204"/>
      <c r="AB2532" s="204"/>
      <c r="AC2532" s="204"/>
    </row>
    <row r="2533" spans="1:29">
      <c r="A2533" s="204"/>
      <c r="B2533" s="204"/>
      <c r="C2533" s="204"/>
      <c r="D2533" s="204"/>
      <c r="E2533" s="204"/>
      <c r="F2533" s="204"/>
      <c r="G2533" s="204"/>
      <c r="H2533" s="204"/>
      <c r="I2533" s="204"/>
      <c r="J2533" s="204"/>
      <c r="K2533" s="204"/>
      <c r="L2533" s="205"/>
      <c r="M2533" s="205"/>
      <c r="N2533" s="204"/>
      <c r="O2533" s="204"/>
      <c r="P2533" s="206"/>
      <c r="Q2533" s="206"/>
      <c r="R2533" s="206"/>
      <c r="S2533" s="206"/>
      <c r="T2533" s="204"/>
      <c r="U2533" s="207"/>
      <c r="V2533" s="204"/>
      <c r="W2533" s="204"/>
      <c r="X2533" s="207"/>
      <c r="Y2533" s="207"/>
      <c r="Z2533" s="204"/>
      <c r="AA2533" s="204"/>
      <c r="AB2533" s="204"/>
      <c r="AC2533" s="204"/>
    </row>
    <row r="2534" spans="1:29">
      <c r="A2534" s="204"/>
      <c r="B2534" s="204"/>
      <c r="C2534" s="204"/>
      <c r="D2534" s="204"/>
      <c r="E2534" s="204"/>
      <c r="F2534" s="204"/>
      <c r="G2534" s="204"/>
      <c r="H2534" s="204"/>
      <c r="I2534" s="204"/>
      <c r="J2534" s="204"/>
      <c r="K2534" s="204"/>
      <c r="L2534" s="205"/>
      <c r="M2534" s="205"/>
      <c r="N2534" s="204"/>
      <c r="O2534" s="204"/>
      <c r="P2534" s="206"/>
      <c r="Q2534" s="206"/>
      <c r="R2534" s="206"/>
      <c r="S2534" s="206"/>
      <c r="T2534" s="204"/>
      <c r="U2534" s="207"/>
      <c r="V2534" s="204"/>
      <c r="W2534" s="204"/>
      <c r="X2534" s="207"/>
      <c r="Y2534" s="207"/>
      <c r="Z2534" s="204"/>
      <c r="AA2534" s="204"/>
      <c r="AB2534" s="204"/>
      <c r="AC2534" s="204"/>
    </row>
    <row r="2535" spans="1:29">
      <c r="A2535" s="204"/>
      <c r="B2535" s="204"/>
      <c r="C2535" s="204"/>
      <c r="D2535" s="204"/>
      <c r="E2535" s="204"/>
      <c r="F2535" s="204"/>
      <c r="G2535" s="204"/>
      <c r="H2535" s="204"/>
      <c r="I2535" s="204"/>
      <c r="J2535" s="204"/>
      <c r="K2535" s="204"/>
      <c r="L2535" s="205"/>
      <c r="M2535" s="205"/>
      <c r="N2535" s="204"/>
      <c r="O2535" s="204"/>
      <c r="P2535" s="206"/>
      <c r="Q2535" s="206"/>
      <c r="R2535" s="206"/>
      <c r="S2535" s="206"/>
      <c r="T2535" s="204"/>
      <c r="U2535" s="207"/>
      <c r="V2535" s="204"/>
      <c r="W2535" s="204"/>
      <c r="X2535" s="207"/>
      <c r="Y2535" s="207"/>
      <c r="Z2535" s="204"/>
      <c r="AA2535" s="204"/>
      <c r="AB2535" s="204"/>
      <c r="AC2535" s="204"/>
    </row>
    <row r="2536" spans="1:29">
      <c r="A2536" s="204"/>
      <c r="B2536" s="204"/>
      <c r="C2536" s="204"/>
      <c r="D2536" s="204"/>
      <c r="E2536" s="204"/>
      <c r="F2536" s="204"/>
      <c r="G2536" s="204"/>
      <c r="H2536" s="204"/>
      <c r="I2536" s="204"/>
      <c r="J2536" s="204"/>
      <c r="K2536" s="204"/>
      <c r="L2536" s="205"/>
      <c r="M2536" s="205"/>
      <c r="N2536" s="204"/>
      <c r="O2536" s="204"/>
      <c r="P2536" s="206"/>
      <c r="Q2536" s="206"/>
      <c r="R2536" s="206"/>
      <c r="S2536" s="206"/>
      <c r="T2536" s="204"/>
      <c r="U2536" s="207"/>
      <c r="V2536" s="204"/>
      <c r="W2536" s="204"/>
      <c r="X2536" s="207"/>
      <c r="Y2536" s="207"/>
      <c r="Z2536" s="204"/>
      <c r="AA2536" s="204"/>
      <c r="AB2536" s="204"/>
      <c r="AC2536" s="204"/>
    </row>
    <row r="2537" spans="1:29">
      <c r="A2537" s="204"/>
      <c r="B2537" s="204"/>
      <c r="C2537" s="204"/>
      <c r="D2537" s="204"/>
      <c r="E2537" s="204"/>
      <c r="F2537" s="204"/>
      <c r="G2537" s="204"/>
      <c r="H2537" s="204"/>
      <c r="I2537" s="204"/>
      <c r="J2537" s="204"/>
      <c r="K2537" s="204"/>
      <c r="L2537" s="205"/>
      <c r="M2537" s="205"/>
      <c r="N2537" s="204"/>
      <c r="O2537" s="204"/>
      <c r="P2537" s="206"/>
      <c r="Q2537" s="206"/>
      <c r="R2537" s="206"/>
      <c r="S2537" s="206"/>
      <c r="T2537" s="204"/>
      <c r="U2537" s="207"/>
      <c r="V2537" s="204"/>
      <c r="W2537" s="204"/>
      <c r="X2537" s="207"/>
      <c r="Y2537" s="207"/>
      <c r="Z2537" s="204"/>
      <c r="AA2537" s="204"/>
      <c r="AB2537" s="204"/>
      <c r="AC2537" s="204"/>
    </row>
    <row r="2538" spans="1:29">
      <c r="A2538" s="204"/>
      <c r="B2538" s="204"/>
      <c r="C2538" s="204"/>
      <c r="D2538" s="204"/>
      <c r="E2538" s="204"/>
      <c r="F2538" s="204"/>
      <c r="G2538" s="204"/>
      <c r="H2538" s="204"/>
      <c r="I2538" s="204"/>
      <c r="J2538" s="204"/>
      <c r="K2538" s="204"/>
      <c r="L2538" s="205"/>
      <c r="M2538" s="205"/>
      <c r="N2538" s="204"/>
      <c r="O2538" s="204"/>
      <c r="P2538" s="206"/>
      <c r="Q2538" s="206"/>
      <c r="R2538" s="206"/>
      <c r="S2538" s="206"/>
      <c r="T2538" s="204"/>
      <c r="U2538" s="207"/>
      <c r="V2538" s="204"/>
      <c r="W2538" s="204"/>
      <c r="X2538" s="207"/>
      <c r="Y2538" s="207"/>
      <c r="Z2538" s="204"/>
      <c r="AA2538" s="204"/>
      <c r="AB2538" s="204"/>
      <c r="AC2538" s="204"/>
    </row>
    <row r="2539" spans="1:29">
      <c r="A2539" s="204"/>
      <c r="B2539" s="204"/>
      <c r="C2539" s="204"/>
      <c r="D2539" s="204"/>
      <c r="E2539" s="204"/>
      <c r="F2539" s="204"/>
      <c r="G2539" s="204"/>
      <c r="H2539" s="204"/>
      <c r="I2539" s="204"/>
      <c r="J2539" s="204"/>
      <c r="K2539" s="204"/>
      <c r="L2539" s="205"/>
      <c r="M2539" s="205"/>
      <c r="N2539" s="204"/>
      <c r="O2539" s="204"/>
      <c r="P2539" s="206"/>
      <c r="Q2539" s="206"/>
      <c r="R2539" s="206"/>
      <c r="S2539" s="206"/>
      <c r="T2539" s="204"/>
      <c r="U2539" s="207"/>
      <c r="V2539" s="204"/>
      <c r="W2539" s="204"/>
      <c r="X2539" s="207"/>
      <c r="Y2539" s="207"/>
      <c r="Z2539" s="204"/>
      <c r="AA2539" s="204"/>
      <c r="AB2539" s="204"/>
      <c r="AC2539" s="204"/>
    </row>
    <row r="2540" spans="1:29">
      <c r="A2540" s="204"/>
      <c r="B2540" s="204"/>
      <c r="C2540" s="204"/>
      <c r="D2540" s="204"/>
      <c r="E2540" s="204"/>
      <c r="F2540" s="204"/>
      <c r="G2540" s="204"/>
      <c r="H2540" s="204"/>
      <c r="I2540" s="204"/>
      <c r="J2540" s="204"/>
      <c r="K2540" s="204"/>
      <c r="L2540" s="205"/>
      <c r="M2540" s="205"/>
      <c r="N2540" s="204"/>
      <c r="O2540" s="204"/>
      <c r="P2540" s="206"/>
      <c r="Q2540" s="206"/>
      <c r="R2540" s="206"/>
      <c r="S2540" s="206"/>
      <c r="T2540" s="204"/>
      <c r="U2540" s="207"/>
      <c r="V2540" s="204"/>
      <c r="W2540" s="204"/>
      <c r="X2540" s="207"/>
      <c r="Y2540" s="207"/>
      <c r="Z2540" s="204"/>
      <c r="AA2540" s="204"/>
      <c r="AB2540" s="204"/>
      <c r="AC2540" s="204"/>
    </row>
    <row r="2541" spans="1:29">
      <c r="A2541" s="204"/>
      <c r="B2541" s="204"/>
      <c r="C2541" s="204"/>
      <c r="D2541" s="204"/>
      <c r="E2541" s="204"/>
      <c r="F2541" s="204"/>
      <c r="G2541" s="204"/>
      <c r="H2541" s="204"/>
      <c r="I2541" s="204"/>
      <c r="J2541" s="204"/>
      <c r="K2541" s="204"/>
      <c r="L2541" s="205"/>
      <c r="M2541" s="205"/>
      <c r="N2541" s="204"/>
      <c r="O2541" s="204"/>
      <c r="P2541" s="206"/>
      <c r="Q2541" s="206"/>
      <c r="R2541" s="206"/>
      <c r="S2541" s="206"/>
      <c r="T2541" s="204"/>
      <c r="U2541" s="207"/>
      <c r="V2541" s="204"/>
      <c r="W2541" s="204"/>
      <c r="X2541" s="207"/>
      <c r="Y2541" s="207"/>
      <c r="Z2541" s="204"/>
      <c r="AA2541" s="204"/>
      <c r="AB2541" s="204"/>
      <c r="AC2541" s="204"/>
    </row>
    <row r="2542" spans="1:29">
      <c r="A2542" s="204"/>
      <c r="B2542" s="204"/>
      <c r="C2542" s="204"/>
      <c r="D2542" s="204"/>
      <c r="E2542" s="204"/>
      <c r="F2542" s="204"/>
      <c r="G2542" s="204"/>
      <c r="H2542" s="204"/>
      <c r="I2542" s="204"/>
      <c r="J2542" s="204"/>
      <c r="K2542" s="204"/>
      <c r="L2542" s="205"/>
      <c r="M2542" s="205"/>
      <c r="N2542" s="204"/>
      <c r="O2542" s="204"/>
      <c r="P2542" s="206"/>
      <c r="Q2542" s="206"/>
      <c r="R2542" s="206"/>
      <c r="S2542" s="206"/>
      <c r="T2542" s="204"/>
      <c r="U2542" s="207"/>
      <c r="V2542" s="204"/>
      <c r="W2542" s="204"/>
      <c r="X2542" s="207"/>
      <c r="Y2542" s="207"/>
      <c r="Z2542" s="204"/>
      <c r="AA2542" s="204"/>
      <c r="AB2542" s="204"/>
      <c r="AC2542" s="204"/>
    </row>
    <row r="2543" spans="1:29">
      <c r="A2543" s="204"/>
      <c r="B2543" s="204"/>
      <c r="C2543" s="204"/>
      <c r="D2543" s="204"/>
      <c r="E2543" s="204"/>
      <c r="F2543" s="204"/>
      <c r="G2543" s="204"/>
      <c r="H2543" s="204"/>
      <c r="I2543" s="204"/>
      <c r="J2543" s="204"/>
      <c r="K2543" s="204"/>
      <c r="L2543" s="205"/>
      <c r="M2543" s="205"/>
      <c r="N2543" s="204"/>
      <c r="O2543" s="204"/>
      <c r="P2543" s="206"/>
      <c r="Q2543" s="206"/>
      <c r="R2543" s="206"/>
      <c r="S2543" s="206"/>
      <c r="T2543" s="204"/>
      <c r="U2543" s="207"/>
      <c r="V2543" s="204"/>
      <c r="W2543" s="204"/>
      <c r="X2543" s="207"/>
      <c r="Y2543" s="207"/>
      <c r="Z2543" s="204"/>
      <c r="AA2543" s="204"/>
      <c r="AB2543" s="204"/>
      <c r="AC2543" s="204"/>
    </row>
    <row r="2544" spans="1:29">
      <c r="A2544" s="204"/>
      <c r="B2544" s="204"/>
      <c r="C2544" s="204"/>
      <c r="D2544" s="204"/>
      <c r="E2544" s="204"/>
      <c r="F2544" s="204"/>
      <c r="G2544" s="204"/>
      <c r="H2544" s="204"/>
      <c r="I2544" s="204"/>
      <c r="J2544" s="204"/>
      <c r="K2544" s="204"/>
      <c r="L2544" s="205"/>
      <c r="M2544" s="205"/>
      <c r="N2544" s="204"/>
      <c r="O2544" s="204"/>
      <c r="P2544" s="206"/>
      <c r="Q2544" s="206"/>
      <c r="R2544" s="206"/>
      <c r="S2544" s="206"/>
      <c r="T2544" s="204"/>
      <c r="U2544" s="207"/>
      <c r="V2544" s="204"/>
      <c r="W2544" s="204"/>
      <c r="X2544" s="207"/>
      <c r="Y2544" s="207"/>
      <c r="Z2544" s="204"/>
      <c r="AA2544" s="204"/>
      <c r="AB2544" s="204"/>
      <c r="AC2544" s="204"/>
    </row>
    <row r="2545" spans="1:29">
      <c r="A2545" s="204"/>
      <c r="B2545" s="204"/>
      <c r="C2545" s="204"/>
      <c r="D2545" s="204"/>
      <c r="E2545" s="204"/>
      <c r="F2545" s="204"/>
      <c r="G2545" s="204"/>
      <c r="H2545" s="204"/>
      <c r="I2545" s="204"/>
      <c r="J2545" s="204"/>
      <c r="K2545" s="204"/>
      <c r="L2545" s="205"/>
      <c r="M2545" s="205"/>
      <c r="N2545" s="204"/>
      <c r="O2545" s="204"/>
      <c r="P2545" s="206"/>
      <c r="Q2545" s="206"/>
      <c r="R2545" s="206"/>
      <c r="S2545" s="206"/>
      <c r="T2545" s="204"/>
      <c r="U2545" s="207"/>
      <c r="V2545" s="204"/>
      <c r="W2545" s="204"/>
      <c r="X2545" s="207"/>
      <c r="Y2545" s="207"/>
      <c r="Z2545" s="204"/>
      <c r="AA2545" s="204"/>
      <c r="AB2545" s="204"/>
      <c r="AC2545" s="204"/>
    </row>
    <row r="2546" spans="1:29">
      <c r="A2546" s="204"/>
      <c r="B2546" s="204"/>
      <c r="C2546" s="204"/>
      <c r="D2546" s="204"/>
      <c r="E2546" s="204"/>
      <c r="F2546" s="204"/>
      <c r="G2546" s="204"/>
      <c r="H2546" s="204"/>
      <c r="I2546" s="204"/>
      <c r="J2546" s="204"/>
      <c r="K2546" s="204"/>
      <c r="L2546" s="205"/>
      <c r="M2546" s="205"/>
      <c r="N2546" s="204"/>
      <c r="O2546" s="204"/>
      <c r="P2546" s="206"/>
      <c r="Q2546" s="206"/>
      <c r="R2546" s="206"/>
      <c r="S2546" s="206"/>
      <c r="T2546" s="204"/>
      <c r="U2546" s="207"/>
      <c r="V2546" s="204"/>
      <c r="W2546" s="204"/>
      <c r="X2546" s="207"/>
      <c r="Y2546" s="207"/>
      <c r="Z2546" s="204"/>
      <c r="AA2546" s="204"/>
      <c r="AB2546" s="204"/>
      <c r="AC2546" s="204"/>
    </row>
    <row r="2547" spans="1:29">
      <c r="A2547" s="204"/>
      <c r="B2547" s="204"/>
      <c r="C2547" s="204"/>
      <c r="D2547" s="204"/>
      <c r="E2547" s="204"/>
      <c r="F2547" s="204"/>
      <c r="G2547" s="204"/>
      <c r="H2547" s="204"/>
      <c r="I2547" s="204"/>
      <c r="J2547" s="204"/>
      <c r="K2547" s="204"/>
      <c r="L2547" s="205"/>
      <c r="M2547" s="205"/>
      <c r="N2547" s="204"/>
      <c r="O2547" s="204"/>
      <c r="P2547" s="206"/>
      <c r="Q2547" s="206"/>
      <c r="R2547" s="206"/>
      <c r="S2547" s="206"/>
      <c r="T2547" s="204"/>
      <c r="U2547" s="207"/>
      <c r="V2547" s="204"/>
      <c r="W2547" s="204"/>
      <c r="X2547" s="207"/>
      <c r="Y2547" s="207"/>
      <c r="Z2547" s="204"/>
      <c r="AA2547" s="204"/>
      <c r="AB2547" s="204"/>
      <c r="AC2547" s="204"/>
    </row>
    <row r="2548" spans="1:29">
      <c r="A2548" s="204"/>
      <c r="B2548" s="204"/>
      <c r="C2548" s="204"/>
      <c r="D2548" s="204"/>
      <c r="E2548" s="204"/>
      <c r="F2548" s="204"/>
      <c r="G2548" s="204"/>
      <c r="H2548" s="204"/>
      <c r="I2548" s="204"/>
      <c r="J2548" s="204"/>
      <c r="K2548" s="204"/>
      <c r="L2548" s="205"/>
      <c r="M2548" s="205"/>
      <c r="N2548" s="204"/>
      <c r="O2548" s="204"/>
      <c r="P2548" s="206"/>
      <c r="Q2548" s="206"/>
      <c r="R2548" s="206"/>
      <c r="S2548" s="206"/>
      <c r="T2548" s="204"/>
      <c r="U2548" s="207"/>
      <c r="V2548" s="204"/>
      <c r="W2548" s="204"/>
      <c r="X2548" s="207"/>
      <c r="Y2548" s="207"/>
      <c r="Z2548" s="204"/>
      <c r="AA2548" s="204"/>
      <c r="AB2548" s="204"/>
      <c r="AC2548" s="204"/>
    </row>
    <row r="2549" spans="1:29">
      <c r="A2549" s="204"/>
      <c r="B2549" s="204"/>
      <c r="C2549" s="204"/>
      <c r="D2549" s="204"/>
      <c r="E2549" s="204"/>
      <c r="F2549" s="204"/>
      <c r="G2549" s="204"/>
      <c r="H2549" s="204"/>
      <c r="I2549" s="204"/>
      <c r="J2549" s="204"/>
      <c r="K2549" s="204"/>
      <c r="L2549" s="205"/>
      <c r="M2549" s="205"/>
      <c r="N2549" s="204"/>
      <c r="O2549" s="204"/>
      <c r="P2549" s="206"/>
      <c r="Q2549" s="206"/>
      <c r="R2549" s="206"/>
      <c r="S2549" s="206"/>
      <c r="T2549" s="204"/>
      <c r="U2549" s="207"/>
      <c r="V2549" s="204"/>
      <c r="W2549" s="204"/>
      <c r="X2549" s="207"/>
      <c r="Y2549" s="207"/>
      <c r="Z2549" s="204"/>
      <c r="AA2549" s="204"/>
      <c r="AB2549" s="204"/>
      <c r="AC2549" s="204"/>
    </row>
    <row r="2550" spans="1:29">
      <c r="A2550" s="204"/>
      <c r="B2550" s="204"/>
      <c r="C2550" s="204"/>
      <c r="D2550" s="204"/>
      <c r="E2550" s="204"/>
      <c r="F2550" s="204"/>
      <c r="G2550" s="204"/>
      <c r="H2550" s="204"/>
      <c r="I2550" s="204"/>
      <c r="J2550" s="204"/>
      <c r="K2550" s="204"/>
      <c r="L2550" s="205"/>
      <c r="M2550" s="205"/>
      <c r="N2550" s="204"/>
      <c r="O2550" s="204"/>
      <c r="P2550" s="206"/>
      <c r="Q2550" s="206"/>
      <c r="R2550" s="206"/>
      <c r="S2550" s="206"/>
      <c r="T2550" s="204"/>
      <c r="U2550" s="207"/>
      <c r="V2550" s="204"/>
      <c r="W2550" s="204"/>
      <c r="X2550" s="207"/>
      <c r="Y2550" s="207"/>
      <c r="Z2550" s="204"/>
      <c r="AA2550" s="204"/>
      <c r="AB2550" s="204"/>
      <c r="AC2550" s="204"/>
    </row>
    <row r="2551" spans="1:29">
      <c r="A2551" s="204"/>
      <c r="B2551" s="204"/>
      <c r="C2551" s="204"/>
      <c r="D2551" s="204"/>
      <c r="E2551" s="204"/>
      <c r="F2551" s="204"/>
      <c r="G2551" s="204"/>
      <c r="H2551" s="204"/>
      <c r="I2551" s="204"/>
      <c r="J2551" s="204"/>
      <c r="K2551" s="204"/>
      <c r="L2551" s="205"/>
      <c r="M2551" s="205"/>
      <c r="N2551" s="204"/>
      <c r="O2551" s="204"/>
      <c r="P2551" s="206"/>
      <c r="Q2551" s="206"/>
      <c r="R2551" s="206"/>
      <c r="S2551" s="206"/>
      <c r="T2551" s="204"/>
      <c r="U2551" s="207"/>
      <c r="V2551" s="204"/>
      <c r="W2551" s="204"/>
      <c r="X2551" s="207"/>
      <c r="Y2551" s="207"/>
      <c r="Z2551" s="204"/>
      <c r="AA2551" s="204"/>
      <c r="AB2551" s="204"/>
      <c r="AC2551" s="204"/>
    </row>
    <row r="2552" spans="1:29">
      <c r="A2552" s="204"/>
      <c r="B2552" s="204"/>
      <c r="C2552" s="204"/>
      <c r="D2552" s="204"/>
      <c r="E2552" s="204"/>
      <c r="F2552" s="204"/>
      <c r="G2552" s="204"/>
      <c r="H2552" s="204"/>
      <c r="I2552" s="204"/>
      <c r="J2552" s="204"/>
      <c r="K2552" s="204"/>
      <c r="L2552" s="205"/>
      <c r="M2552" s="205"/>
      <c r="N2552" s="204"/>
      <c r="O2552" s="204"/>
      <c r="P2552" s="206"/>
      <c r="Q2552" s="206"/>
      <c r="R2552" s="206"/>
      <c r="S2552" s="206"/>
      <c r="T2552" s="204"/>
      <c r="U2552" s="207"/>
      <c r="V2552" s="204"/>
      <c r="W2552" s="204"/>
      <c r="X2552" s="207"/>
      <c r="Y2552" s="207"/>
      <c r="Z2552" s="204"/>
      <c r="AA2552" s="204"/>
      <c r="AB2552" s="204"/>
      <c r="AC2552" s="204"/>
    </row>
    <row r="2553" spans="1:29">
      <c r="A2553" s="204"/>
      <c r="B2553" s="204"/>
      <c r="C2553" s="204"/>
      <c r="D2553" s="204"/>
      <c r="E2553" s="204"/>
      <c r="F2553" s="204"/>
      <c r="G2553" s="204"/>
      <c r="H2553" s="204"/>
      <c r="I2553" s="204"/>
      <c r="J2553" s="204"/>
      <c r="K2553" s="204"/>
      <c r="L2553" s="205"/>
      <c r="M2553" s="205"/>
      <c r="N2553" s="204"/>
      <c r="O2553" s="204"/>
      <c r="P2553" s="206"/>
      <c r="Q2553" s="206"/>
      <c r="R2553" s="206"/>
      <c r="S2553" s="206"/>
      <c r="T2553" s="204"/>
      <c r="U2553" s="207"/>
      <c r="V2553" s="204"/>
      <c r="W2553" s="204"/>
      <c r="X2553" s="207"/>
      <c r="Y2553" s="207"/>
      <c r="Z2553" s="204"/>
      <c r="AA2553" s="204"/>
      <c r="AB2553" s="204"/>
      <c r="AC2553" s="204"/>
    </row>
    <row r="2554" spans="1:29">
      <c r="A2554" s="204"/>
      <c r="B2554" s="204"/>
      <c r="C2554" s="204"/>
      <c r="D2554" s="204"/>
      <c r="E2554" s="204"/>
      <c r="F2554" s="204"/>
      <c r="G2554" s="204"/>
      <c r="H2554" s="204"/>
      <c r="I2554" s="204"/>
      <c r="J2554" s="204"/>
      <c r="K2554" s="204"/>
      <c r="L2554" s="205"/>
      <c r="M2554" s="205"/>
      <c r="N2554" s="204"/>
      <c r="O2554" s="204"/>
      <c r="P2554" s="206"/>
      <c r="Q2554" s="206"/>
      <c r="R2554" s="206"/>
      <c r="S2554" s="206"/>
      <c r="T2554" s="204"/>
      <c r="U2554" s="207"/>
      <c r="V2554" s="204"/>
      <c r="W2554" s="204"/>
      <c r="X2554" s="207"/>
      <c r="Y2554" s="207"/>
      <c r="Z2554" s="204"/>
      <c r="AA2554" s="204"/>
      <c r="AB2554" s="204"/>
      <c r="AC2554" s="204"/>
    </row>
    <row r="2555" spans="1:29">
      <c r="A2555" s="204"/>
      <c r="B2555" s="204"/>
      <c r="C2555" s="204"/>
      <c r="D2555" s="204"/>
      <c r="E2555" s="204"/>
      <c r="F2555" s="204"/>
      <c r="G2555" s="204"/>
      <c r="H2555" s="204"/>
      <c r="I2555" s="204"/>
      <c r="J2555" s="204"/>
      <c r="K2555" s="204"/>
      <c r="L2555" s="205"/>
      <c r="M2555" s="205"/>
      <c r="N2555" s="204"/>
      <c r="O2555" s="204"/>
      <c r="P2555" s="206"/>
      <c r="Q2555" s="206"/>
      <c r="R2555" s="206"/>
      <c r="S2555" s="206"/>
      <c r="T2555" s="204"/>
      <c r="U2555" s="207"/>
      <c r="V2555" s="204"/>
      <c r="W2555" s="204"/>
      <c r="X2555" s="207"/>
      <c r="Y2555" s="207"/>
      <c r="Z2555" s="204"/>
      <c r="AA2555" s="204"/>
      <c r="AB2555" s="204"/>
      <c r="AC2555" s="204"/>
    </row>
    <row r="2556" spans="1:29">
      <c r="A2556" s="204"/>
      <c r="B2556" s="204"/>
      <c r="C2556" s="204"/>
      <c r="D2556" s="204"/>
      <c r="E2556" s="204"/>
      <c r="F2556" s="204"/>
      <c r="G2556" s="204"/>
      <c r="H2556" s="204"/>
      <c r="I2556" s="204"/>
      <c r="J2556" s="204"/>
      <c r="K2556" s="204"/>
      <c r="L2556" s="205"/>
      <c r="M2556" s="205"/>
      <c r="N2556" s="204"/>
      <c r="O2556" s="204"/>
      <c r="P2556" s="206"/>
      <c r="Q2556" s="206"/>
      <c r="R2556" s="206"/>
      <c r="S2556" s="206"/>
      <c r="T2556" s="204"/>
      <c r="U2556" s="207"/>
      <c r="V2556" s="204"/>
      <c r="W2556" s="204"/>
      <c r="X2556" s="207"/>
      <c r="Y2556" s="207"/>
      <c r="Z2556" s="204"/>
      <c r="AA2556" s="204"/>
      <c r="AB2556" s="204"/>
      <c r="AC2556" s="204"/>
    </row>
    <row r="2557" spans="1:29">
      <c r="A2557" s="204"/>
      <c r="B2557" s="204"/>
      <c r="C2557" s="204"/>
      <c r="D2557" s="204"/>
      <c r="E2557" s="204"/>
      <c r="F2557" s="204"/>
      <c r="G2557" s="204"/>
      <c r="H2557" s="204"/>
      <c r="I2557" s="204"/>
      <c r="J2557" s="204"/>
      <c r="K2557" s="204"/>
      <c r="L2557" s="205"/>
      <c r="M2557" s="205"/>
      <c r="N2557" s="204"/>
      <c r="O2557" s="204"/>
      <c r="P2557" s="206"/>
      <c r="Q2557" s="206"/>
      <c r="R2557" s="206"/>
      <c r="S2557" s="206"/>
      <c r="T2557" s="204"/>
      <c r="U2557" s="207"/>
      <c r="V2557" s="204"/>
      <c r="W2557" s="204"/>
      <c r="X2557" s="207"/>
      <c r="Y2557" s="207"/>
      <c r="Z2557" s="204"/>
      <c r="AA2557" s="204"/>
      <c r="AB2557" s="204"/>
      <c r="AC2557" s="204"/>
    </row>
    <row r="2558" spans="1:29">
      <c r="A2558" s="204"/>
      <c r="B2558" s="204"/>
      <c r="C2558" s="204"/>
      <c r="D2558" s="204"/>
      <c r="E2558" s="204"/>
      <c r="F2558" s="204"/>
      <c r="G2558" s="204"/>
      <c r="H2558" s="204"/>
      <c r="I2558" s="204"/>
      <c r="J2558" s="204"/>
      <c r="K2558" s="204"/>
      <c r="L2558" s="205"/>
      <c r="M2558" s="205"/>
      <c r="N2558" s="204"/>
      <c r="O2558" s="204"/>
      <c r="P2558" s="206"/>
      <c r="Q2558" s="206"/>
      <c r="R2558" s="206"/>
      <c r="S2558" s="206"/>
      <c r="T2558" s="204"/>
      <c r="U2558" s="207"/>
      <c r="V2558" s="204"/>
      <c r="W2558" s="204"/>
      <c r="X2558" s="207"/>
      <c r="Y2558" s="207"/>
      <c r="Z2558" s="204"/>
      <c r="AA2558" s="204"/>
      <c r="AB2558" s="204"/>
      <c r="AC2558" s="204"/>
    </row>
    <row r="2559" spans="1:29">
      <c r="A2559" s="204"/>
      <c r="B2559" s="204"/>
      <c r="C2559" s="204"/>
      <c r="D2559" s="204"/>
      <c r="E2559" s="204"/>
      <c r="F2559" s="204"/>
      <c r="G2559" s="204"/>
      <c r="H2559" s="204"/>
      <c r="I2559" s="204"/>
      <c r="J2559" s="204"/>
      <c r="K2559" s="204"/>
      <c r="L2559" s="205"/>
      <c r="M2559" s="205"/>
      <c r="N2559" s="204"/>
      <c r="O2559" s="204"/>
      <c r="P2559" s="206"/>
      <c r="Q2559" s="206"/>
      <c r="R2559" s="206"/>
      <c r="S2559" s="206"/>
      <c r="T2559" s="204"/>
      <c r="U2559" s="207"/>
      <c r="V2559" s="204"/>
      <c r="W2559" s="204"/>
      <c r="X2559" s="207"/>
      <c r="Y2559" s="207"/>
      <c r="Z2559" s="204"/>
      <c r="AA2559" s="204"/>
      <c r="AB2559" s="204"/>
      <c r="AC2559" s="204"/>
    </row>
    <row r="2560" spans="1:29">
      <c r="A2560" s="204"/>
      <c r="B2560" s="204"/>
      <c r="C2560" s="204"/>
      <c r="D2560" s="204"/>
      <c r="E2560" s="204"/>
      <c r="F2560" s="204"/>
      <c r="G2560" s="204"/>
      <c r="H2560" s="204"/>
      <c r="I2560" s="204"/>
      <c r="J2560" s="204"/>
      <c r="K2560" s="204"/>
      <c r="L2560" s="205"/>
      <c r="M2560" s="205"/>
      <c r="N2560" s="204"/>
      <c r="O2560" s="204"/>
      <c r="P2560" s="206"/>
      <c r="Q2560" s="206"/>
      <c r="R2560" s="206"/>
      <c r="S2560" s="206"/>
      <c r="T2560" s="204"/>
      <c r="U2560" s="207"/>
      <c r="V2560" s="204"/>
      <c r="W2560" s="204"/>
      <c r="X2560" s="207"/>
      <c r="Y2560" s="207"/>
      <c r="Z2560" s="204"/>
      <c r="AA2560" s="204"/>
      <c r="AB2560" s="204"/>
      <c r="AC2560" s="204"/>
    </row>
    <row r="2561" spans="1:29">
      <c r="A2561" s="204"/>
      <c r="B2561" s="204"/>
      <c r="C2561" s="204"/>
      <c r="D2561" s="204"/>
      <c r="E2561" s="204"/>
      <c r="F2561" s="204"/>
      <c r="G2561" s="204"/>
      <c r="H2561" s="204"/>
      <c r="I2561" s="204"/>
      <c r="J2561" s="204"/>
      <c r="K2561" s="204"/>
      <c r="L2561" s="205"/>
      <c r="M2561" s="205"/>
      <c r="N2561" s="204"/>
      <c r="O2561" s="204"/>
      <c r="P2561" s="206"/>
      <c r="Q2561" s="206"/>
      <c r="R2561" s="206"/>
      <c r="S2561" s="206"/>
      <c r="T2561" s="204"/>
      <c r="U2561" s="207"/>
      <c r="V2561" s="204"/>
      <c r="W2561" s="204"/>
      <c r="X2561" s="207"/>
      <c r="Y2561" s="207"/>
      <c r="Z2561" s="204"/>
      <c r="AA2561" s="204"/>
      <c r="AB2561" s="204"/>
      <c r="AC2561" s="204"/>
    </row>
    <row r="2562" spans="1:29">
      <c r="A2562" s="204"/>
      <c r="B2562" s="204"/>
      <c r="C2562" s="204"/>
      <c r="D2562" s="204"/>
      <c r="E2562" s="204"/>
      <c r="F2562" s="204"/>
      <c r="G2562" s="204"/>
      <c r="H2562" s="204"/>
      <c r="I2562" s="204"/>
      <c r="J2562" s="204"/>
      <c r="K2562" s="204"/>
      <c r="L2562" s="205"/>
      <c r="M2562" s="205"/>
      <c r="N2562" s="204"/>
      <c r="O2562" s="204"/>
      <c r="P2562" s="206"/>
      <c r="Q2562" s="206"/>
      <c r="R2562" s="206"/>
      <c r="S2562" s="206"/>
      <c r="T2562" s="204"/>
      <c r="U2562" s="207"/>
      <c r="V2562" s="204"/>
      <c r="W2562" s="204"/>
      <c r="X2562" s="207"/>
      <c r="Y2562" s="207"/>
      <c r="Z2562" s="204"/>
      <c r="AA2562" s="204"/>
      <c r="AB2562" s="204"/>
      <c r="AC2562" s="204"/>
    </row>
    <row r="2563" spans="1:29">
      <c r="A2563" s="204"/>
      <c r="B2563" s="204"/>
      <c r="C2563" s="204"/>
      <c r="D2563" s="204"/>
      <c r="E2563" s="204"/>
      <c r="F2563" s="204"/>
      <c r="G2563" s="204"/>
      <c r="H2563" s="204"/>
      <c r="I2563" s="204"/>
      <c r="J2563" s="204"/>
      <c r="K2563" s="204"/>
      <c r="L2563" s="205"/>
      <c r="M2563" s="205"/>
      <c r="N2563" s="204"/>
      <c r="O2563" s="204"/>
      <c r="P2563" s="206"/>
      <c r="Q2563" s="206"/>
      <c r="R2563" s="206"/>
      <c r="S2563" s="206"/>
      <c r="T2563" s="204"/>
      <c r="U2563" s="207"/>
      <c r="V2563" s="204"/>
      <c r="W2563" s="204"/>
      <c r="X2563" s="207"/>
      <c r="Y2563" s="207"/>
      <c r="Z2563" s="204"/>
      <c r="AA2563" s="204"/>
      <c r="AB2563" s="204"/>
      <c r="AC2563" s="204"/>
    </row>
    <row r="2564" spans="1:29">
      <c r="A2564" s="204"/>
      <c r="B2564" s="204"/>
      <c r="C2564" s="204"/>
      <c r="D2564" s="204"/>
      <c r="E2564" s="204"/>
      <c r="F2564" s="204"/>
      <c r="G2564" s="204"/>
      <c r="H2564" s="204"/>
      <c r="I2564" s="204"/>
      <c r="J2564" s="204"/>
      <c r="K2564" s="204"/>
      <c r="L2564" s="205"/>
      <c r="M2564" s="205"/>
      <c r="N2564" s="204"/>
      <c r="O2564" s="204"/>
      <c r="P2564" s="206"/>
      <c r="Q2564" s="206"/>
      <c r="R2564" s="206"/>
      <c r="S2564" s="206"/>
      <c r="T2564" s="204"/>
      <c r="U2564" s="207"/>
      <c r="V2564" s="204"/>
      <c r="W2564" s="204"/>
      <c r="X2564" s="207"/>
      <c r="Y2564" s="207"/>
      <c r="Z2564" s="204"/>
      <c r="AA2564" s="204"/>
      <c r="AB2564" s="204"/>
      <c r="AC2564" s="204"/>
    </row>
    <row r="2565" spans="1:29">
      <c r="A2565" s="204"/>
      <c r="B2565" s="204"/>
      <c r="C2565" s="204"/>
      <c r="D2565" s="204"/>
      <c r="E2565" s="204"/>
      <c r="F2565" s="204"/>
      <c r="G2565" s="204"/>
      <c r="H2565" s="204"/>
      <c r="I2565" s="204"/>
      <c r="J2565" s="204"/>
      <c r="K2565" s="204"/>
      <c r="L2565" s="205"/>
      <c r="M2565" s="205"/>
      <c r="N2565" s="204"/>
      <c r="O2565" s="204"/>
      <c r="P2565" s="206"/>
      <c r="Q2565" s="206"/>
      <c r="R2565" s="206"/>
      <c r="S2565" s="206"/>
      <c r="T2565" s="204"/>
      <c r="U2565" s="207"/>
      <c r="V2565" s="204"/>
      <c r="W2565" s="204"/>
      <c r="X2565" s="207"/>
      <c r="Y2565" s="207"/>
      <c r="Z2565" s="204"/>
      <c r="AA2565" s="204"/>
      <c r="AB2565" s="204"/>
      <c r="AC2565" s="204"/>
    </row>
    <row r="2566" spans="1:29">
      <c r="A2566" s="204"/>
      <c r="B2566" s="204"/>
      <c r="C2566" s="204"/>
      <c r="D2566" s="204"/>
      <c r="E2566" s="204"/>
      <c r="F2566" s="204"/>
      <c r="G2566" s="204"/>
      <c r="H2566" s="204"/>
      <c r="I2566" s="204"/>
      <c r="J2566" s="204"/>
      <c r="K2566" s="204"/>
      <c r="L2566" s="205"/>
      <c r="M2566" s="205"/>
      <c r="N2566" s="204"/>
      <c r="O2566" s="204"/>
      <c r="P2566" s="206"/>
      <c r="Q2566" s="206"/>
      <c r="R2566" s="206"/>
      <c r="S2566" s="206"/>
      <c r="T2566" s="204"/>
      <c r="U2566" s="207"/>
      <c r="V2566" s="204"/>
      <c r="W2566" s="204"/>
      <c r="X2566" s="207"/>
      <c r="Y2566" s="207"/>
      <c r="Z2566" s="204"/>
      <c r="AA2566" s="204"/>
      <c r="AB2566" s="204"/>
      <c r="AC2566" s="204"/>
    </row>
    <row r="2567" spans="1:29">
      <c r="A2567" s="204"/>
      <c r="B2567" s="204"/>
      <c r="C2567" s="204"/>
      <c r="D2567" s="204"/>
      <c r="E2567" s="204"/>
      <c r="F2567" s="204"/>
      <c r="G2567" s="204"/>
      <c r="H2567" s="204"/>
      <c r="I2567" s="204"/>
      <c r="J2567" s="204"/>
      <c r="K2567" s="204"/>
      <c r="L2567" s="205"/>
      <c r="M2567" s="205"/>
      <c r="N2567" s="204"/>
      <c r="O2567" s="204"/>
      <c r="P2567" s="206"/>
      <c r="Q2567" s="206"/>
      <c r="R2567" s="206"/>
      <c r="S2567" s="206"/>
      <c r="T2567" s="204"/>
      <c r="U2567" s="207"/>
      <c r="V2567" s="204"/>
      <c r="W2567" s="204"/>
      <c r="X2567" s="207"/>
      <c r="Y2567" s="207"/>
      <c r="Z2567" s="204"/>
      <c r="AA2567" s="204"/>
      <c r="AB2567" s="204"/>
      <c r="AC2567" s="204"/>
    </row>
    <row r="2568" spans="1:29">
      <c r="A2568" s="204"/>
      <c r="B2568" s="204"/>
      <c r="C2568" s="204"/>
      <c r="D2568" s="204"/>
      <c r="E2568" s="204"/>
      <c r="F2568" s="204"/>
      <c r="G2568" s="204"/>
      <c r="H2568" s="204"/>
      <c r="I2568" s="204"/>
      <c r="J2568" s="204"/>
      <c r="K2568" s="204"/>
      <c r="L2568" s="205"/>
      <c r="M2568" s="205"/>
      <c r="N2568" s="204"/>
      <c r="O2568" s="204"/>
      <c r="P2568" s="206"/>
      <c r="Q2568" s="206"/>
      <c r="R2568" s="206"/>
      <c r="S2568" s="206"/>
      <c r="T2568" s="204"/>
      <c r="U2568" s="207"/>
      <c r="V2568" s="204"/>
      <c r="W2568" s="204"/>
      <c r="X2568" s="207"/>
      <c r="Y2568" s="207"/>
      <c r="Z2568" s="204"/>
      <c r="AA2568" s="204"/>
      <c r="AB2568" s="204"/>
      <c r="AC2568" s="204"/>
    </row>
    <row r="2569" spans="1:29">
      <c r="A2569" s="204"/>
      <c r="B2569" s="204"/>
      <c r="C2569" s="204"/>
      <c r="D2569" s="204"/>
      <c r="E2569" s="204"/>
      <c r="F2569" s="204"/>
      <c r="G2569" s="204"/>
      <c r="H2569" s="204"/>
      <c r="I2569" s="204"/>
      <c r="J2569" s="204"/>
      <c r="K2569" s="204"/>
      <c r="L2569" s="205"/>
      <c r="M2569" s="205"/>
      <c r="N2569" s="204"/>
      <c r="O2569" s="204"/>
      <c r="P2569" s="206"/>
      <c r="Q2569" s="206"/>
      <c r="R2569" s="206"/>
      <c r="S2569" s="206"/>
      <c r="T2569" s="204"/>
      <c r="U2569" s="207"/>
      <c r="V2569" s="204"/>
      <c r="W2569" s="204"/>
      <c r="X2569" s="207"/>
      <c r="Y2569" s="207"/>
      <c r="Z2569" s="204"/>
      <c r="AA2569" s="204"/>
      <c r="AB2569" s="204"/>
      <c r="AC2569" s="204"/>
    </row>
    <row r="2570" spans="1:29">
      <c r="A2570" s="204"/>
      <c r="B2570" s="204"/>
      <c r="C2570" s="204"/>
      <c r="D2570" s="204"/>
      <c r="E2570" s="204"/>
      <c r="F2570" s="204"/>
      <c r="G2570" s="204"/>
      <c r="H2570" s="204"/>
      <c r="I2570" s="204"/>
      <c r="J2570" s="204"/>
      <c r="K2570" s="204"/>
      <c r="L2570" s="205"/>
      <c r="M2570" s="205"/>
      <c r="N2570" s="204"/>
      <c r="O2570" s="204"/>
      <c r="P2570" s="206"/>
      <c r="Q2570" s="206"/>
      <c r="R2570" s="206"/>
      <c r="S2570" s="206"/>
      <c r="T2570" s="204"/>
      <c r="U2570" s="207"/>
      <c r="V2570" s="204"/>
      <c r="W2570" s="204"/>
      <c r="X2570" s="207"/>
      <c r="Y2570" s="207"/>
      <c r="Z2570" s="204"/>
      <c r="AA2570" s="204"/>
      <c r="AB2570" s="204"/>
      <c r="AC2570" s="204"/>
    </row>
    <row r="2571" spans="1:29">
      <c r="A2571" s="204"/>
      <c r="B2571" s="204"/>
      <c r="C2571" s="204"/>
      <c r="D2571" s="204"/>
      <c r="E2571" s="204"/>
      <c r="F2571" s="204"/>
      <c r="G2571" s="204"/>
      <c r="H2571" s="204"/>
      <c r="I2571" s="204"/>
      <c r="J2571" s="204"/>
      <c r="K2571" s="204"/>
      <c r="L2571" s="205"/>
      <c r="M2571" s="205"/>
      <c r="N2571" s="204"/>
      <c r="O2571" s="204"/>
      <c r="P2571" s="206"/>
      <c r="Q2571" s="206"/>
      <c r="R2571" s="206"/>
      <c r="S2571" s="206"/>
      <c r="T2571" s="204"/>
      <c r="U2571" s="207"/>
      <c r="V2571" s="204"/>
      <c r="W2571" s="204"/>
      <c r="X2571" s="207"/>
      <c r="Y2571" s="207"/>
      <c r="Z2571" s="204"/>
      <c r="AA2571" s="204"/>
      <c r="AB2571" s="204"/>
      <c r="AC2571" s="204"/>
    </row>
    <row r="2572" spans="1:29">
      <c r="A2572" s="204"/>
      <c r="B2572" s="204"/>
      <c r="C2572" s="204"/>
      <c r="D2572" s="204"/>
      <c r="E2572" s="204"/>
      <c r="F2572" s="204"/>
      <c r="G2572" s="204"/>
      <c r="H2572" s="204"/>
      <c r="I2572" s="204"/>
      <c r="J2572" s="204"/>
      <c r="K2572" s="204"/>
      <c r="L2572" s="205"/>
      <c r="M2572" s="205"/>
      <c r="N2572" s="204"/>
      <c r="O2572" s="204"/>
      <c r="P2572" s="206"/>
      <c r="Q2572" s="206"/>
      <c r="R2572" s="206"/>
      <c r="S2572" s="206"/>
      <c r="T2572" s="204"/>
      <c r="U2572" s="207"/>
      <c r="V2572" s="204"/>
      <c r="W2572" s="204"/>
      <c r="X2572" s="207"/>
      <c r="Y2572" s="207"/>
      <c r="Z2572" s="204"/>
      <c r="AA2572" s="204"/>
      <c r="AB2572" s="204"/>
      <c r="AC2572" s="204"/>
    </row>
    <row r="2573" spans="1:29">
      <c r="A2573" s="204"/>
      <c r="B2573" s="204"/>
      <c r="C2573" s="204"/>
      <c r="D2573" s="204"/>
      <c r="E2573" s="204"/>
      <c r="F2573" s="204"/>
      <c r="G2573" s="204"/>
      <c r="H2573" s="204"/>
      <c r="I2573" s="204"/>
      <c r="J2573" s="204"/>
      <c r="K2573" s="204"/>
      <c r="L2573" s="205"/>
      <c r="M2573" s="205"/>
      <c r="N2573" s="204"/>
      <c r="O2573" s="204"/>
      <c r="P2573" s="206"/>
      <c r="Q2573" s="206"/>
      <c r="R2573" s="206"/>
      <c r="S2573" s="206"/>
      <c r="T2573" s="204"/>
      <c r="U2573" s="207"/>
      <c r="V2573" s="204"/>
      <c r="W2573" s="204"/>
      <c r="X2573" s="207"/>
      <c r="Y2573" s="207"/>
      <c r="Z2573" s="204"/>
      <c r="AA2573" s="204"/>
      <c r="AB2573" s="204"/>
      <c r="AC2573" s="204"/>
    </row>
    <row r="2574" spans="1:29">
      <c r="A2574" s="204"/>
      <c r="B2574" s="204"/>
      <c r="C2574" s="204"/>
      <c r="D2574" s="204"/>
      <c r="E2574" s="204"/>
      <c r="F2574" s="204"/>
      <c r="G2574" s="204"/>
      <c r="H2574" s="204"/>
      <c r="I2574" s="204"/>
      <c r="J2574" s="204"/>
      <c r="K2574" s="204"/>
      <c r="L2574" s="205"/>
      <c r="M2574" s="205"/>
      <c r="N2574" s="204"/>
      <c r="O2574" s="204"/>
      <c r="P2574" s="206"/>
      <c r="Q2574" s="206"/>
      <c r="R2574" s="206"/>
      <c r="S2574" s="206"/>
      <c r="T2574" s="204"/>
      <c r="U2574" s="207"/>
      <c r="V2574" s="204"/>
      <c r="W2574" s="204"/>
      <c r="X2574" s="207"/>
      <c r="Y2574" s="207"/>
      <c r="Z2574" s="204"/>
      <c r="AA2574" s="204"/>
      <c r="AB2574" s="204"/>
      <c r="AC2574" s="204"/>
    </row>
    <row r="2575" spans="1:29">
      <c r="A2575" s="204"/>
      <c r="B2575" s="204"/>
      <c r="C2575" s="204"/>
      <c r="D2575" s="204"/>
      <c r="E2575" s="204"/>
      <c r="F2575" s="204"/>
      <c r="G2575" s="204"/>
      <c r="H2575" s="204"/>
      <c r="I2575" s="204"/>
      <c r="J2575" s="204"/>
      <c r="K2575" s="204"/>
      <c r="L2575" s="205"/>
      <c r="M2575" s="205"/>
      <c r="N2575" s="204"/>
      <c r="O2575" s="204"/>
      <c r="P2575" s="206"/>
      <c r="Q2575" s="206"/>
      <c r="R2575" s="206"/>
      <c r="S2575" s="206"/>
      <c r="T2575" s="204"/>
      <c r="U2575" s="207"/>
      <c r="V2575" s="204"/>
      <c r="W2575" s="204"/>
      <c r="X2575" s="207"/>
      <c r="Y2575" s="207"/>
      <c r="Z2575" s="204"/>
      <c r="AA2575" s="204"/>
      <c r="AB2575" s="204"/>
      <c r="AC2575" s="204"/>
    </row>
    <row r="2576" spans="1:29">
      <c r="A2576" s="204"/>
      <c r="B2576" s="204"/>
      <c r="C2576" s="204"/>
      <c r="D2576" s="204"/>
      <c r="E2576" s="204"/>
      <c r="F2576" s="204"/>
      <c r="G2576" s="204"/>
      <c r="H2576" s="204"/>
      <c r="I2576" s="204"/>
      <c r="J2576" s="204"/>
      <c r="K2576" s="204"/>
      <c r="L2576" s="205"/>
      <c r="M2576" s="205"/>
      <c r="N2576" s="204"/>
      <c r="O2576" s="204"/>
      <c r="P2576" s="206"/>
      <c r="Q2576" s="206"/>
      <c r="R2576" s="206"/>
      <c r="S2576" s="206"/>
      <c r="T2576" s="204"/>
      <c r="U2576" s="207"/>
      <c r="V2576" s="204"/>
      <c r="W2576" s="204"/>
      <c r="X2576" s="207"/>
      <c r="Y2576" s="207"/>
      <c r="Z2576" s="204"/>
      <c r="AA2576" s="204"/>
      <c r="AB2576" s="204"/>
      <c r="AC2576" s="204"/>
    </row>
    <row r="2577" spans="1:29">
      <c r="A2577" s="204"/>
      <c r="B2577" s="204"/>
      <c r="C2577" s="204"/>
      <c r="D2577" s="204"/>
      <c r="E2577" s="204"/>
      <c r="F2577" s="204"/>
      <c r="G2577" s="204"/>
      <c r="H2577" s="204"/>
      <c r="I2577" s="204"/>
      <c r="J2577" s="204"/>
      <c r="K2577" s="204"/>
      <c r="L2577" s="205"/>
      <c r="M2577" s="205"/>
      <c r="N2577" s="204"/>
      <c r="O2577" s="204"/>
      <c r="P2577" s="206"/>
      <c r="Q2577" s="206"/>
      <c r="R2577" s="206"/>
      <c r="S2577" s="206"/>
      <c r="T2577" s="204"/>
      <c r="U2577" s="207"/>
      <c r="V2577" s="204"/>
      <c r="W2577" s="204"/>
      <c r="X2577" s="207"/>
      <c r="Y2577" s="207"/>
      <c r="Z2577" s="204"/>
      <c r="AA2577" s="204"/>
      <c r="AB2577" s="204"/>
      <c r="AC2577" s="204"/>
    </row>
    <row r="2578" spans="1:29">
      <c r="A2578" s="204"/>
      <c r="B2578" s="204"/>
      <c r="C2578" s="204"/>
      <c r="D2578" s="204"/>
      <c r="E2578" s="204"/>
      <c r="F2578" s="204"/>
      <c r="G2578" s="204"/>
      <c r="H2578" s="204"/>
      <c r="I2578" s="204"/>
      <c r="J2578" s="204"/>
      <c r="K2578" s="204"/>
      <c r="L2578" s="205"/>
      <c r="M2578" s="205"/>
      <c r="N2578" s="204"/>
      <c r="O2578" s="204"/>
      <c r="P2578" s="206"/>
      <c r="Q2578" s="206"/>
      <c r="R2578" s="206"/>
      <c r="S2578" s="206"/>
      <c r="T2578" s="204"/>
      <c r="U2578" s="207"/>
      <c r="V2578" s="204"/>
      <c r="W2578" s="204"/>
      <c r="X2578" s="207"/>
      <c r="Y2578" s="207"/>
      <c r="Z2578" s="204"/>
      <c r="AA2578" s="204"/>
      <c r="AB2578" s="204"/>
      <c r="AC2578" s="204"/>
    </row>
    <row r="2579" spans="1:29">
      <c r="A2579" s="204"/>
      <c r="B2579" s="204"/>
      <c r="C2579" s="204"/>
      <c r="D2579" s="204"/>
      <c r="E2579" s="204"/>
      <c r="F2579" s="204"/>
      <c r="G2579" s="204"/>
      <c r="H2579" s="204"/>
      <c r="I2579" s="204"/>
      <c r="J2579" s="204"/>
      <c r="K2579" s="204"/>
      <c r="L2579" s="205"/>
      <c r="M2579" s="205"/>
      <c r="N2579" s="204"/>
      <c r="O2579" s="204"/>
      <c r="P2579" s="206"/>
      <c r="Q2579" s="206"/>
      <c r="R2579" s="206"/>
      <c r="S2579" s="206"/>
      <c r="T2579" s="204"/>
      <c r="U2579" s="207"/>
      <c r="V2579" s="204"/>
      <c r="W2579" s="204"/>
      <c r="X2579" s="207"/>
      <c r="Y2579" s="207"/>
      <c r="Z2579" s="204"/>
      <c r="AA2579" s="204"/>
      <c r="AB2579" s="204"/>
      <c r="AC2579" s="204"/>
    </row>
    <row r="2580" spans="1:29">
      <c r="A2580" s="204"/>
      <c r="B2580" s="204"/>
      <c r="C2580" s="204"/>
      <c r="D2580" s="204"/>
      <c r="E2580" s="204"/>
      <c r="F2580" s="204"/>
      <c r="G2580" s="204"/>
      <c r="H2580" s="204"/>
      <c r="I2580" s="204"/>
      <c r="J2580" s="204"/>
      <c r="K2580" s="204"/>
      <c r="L2580" s="205"/>
      <c r="M2580" s="205"/>
      <c r="N2580" s="204"/>
      <c r="O2580" s="204"/>
      <c r="P2580" s="206"/>
      <c r="Q2580" s="206"/>
      <c r="R2580" s="206"/>
      <c r="S2580" s="206"/>
      <c r="T2580" s="204"/>
      <c r="U2580" s="207"/>
      <c r="V2580" s="204"/>
      <c r="W2580" s="204"/>
      <c r="X2580" s="207"/>
      <c r="Y2580" s="207"/>
      <c r="Z2580" s="204"/>
      <c r="AA2580" s="204"/>
      <c r="AB2580" s="204"/>
      <c r="AC2580" s="204"/>
    </row>
    <row r="2581" spans="1:29">
      <c r="A2581" s="204"/>
      <c r="B2581" s="204"/>
      <c r="C2581" s="204"/>
      <c r="D2581" s="204"/>
      <c r="E2581" s="204"/>
      <c r="F2581" s="204"/>
      <c r="G2581" s="204"/>
      <c r="H2581" s="204"/>
      <c r="I2581" s="204"/>
      <c r="J2581" s="204"/>
      <c r="K2581" s="204"/>
      <c r="L2581" s="205"/>
      <c r="M2581" s="205"/>
      <c r="N2581" s="204"/>
      <c r="O2581" s="204"/>
      <c r="P2581" s="206"/>
      <c r="Q2581" s="206"/>
      <c r="R2581" s="206"/>
      <c r="S2581" s="206"/>
      <c r="T2581" s="204"/>
      <c r="U2581" s="207"/>
      <c r="V2581" s="204"/>
      <c r="W2581" s="204"/>
      <c r="X2581" s="207"/>
      <c r="Y2581" s="207"/>
      <c r="Z2581" s="204"/>
      <c r="AA2581" s="204"/>
      <c r="AB2581" s="204"/>
      <c r="AC2581" s="204"/>
    </row>
    <row r="2582" spans="1:29">
      <c r="A2582" s="204"/>
      <c r="B2582" s="204"/>
      <c r="C2582" s="204"/>
      <c r="D2582" s="204"/>
      <c r="E2582" s="204"/>
      <c r="F2582" s="204"/>
      <c r="G2582" s="204"/>
      <c r="H2582" s="204"/>
      <c r="I2582" s="204"/>
      <c r="J2582" s="204"/>
      <c r="K2582" s="204"/>
      <c r="L2582" s="205"/>
      <c r="M2582" s="205"/>
      <c r="N2582" s="204"/>
      <c r="O2582" s="204"/>
      <c r="P2582" s="206"/>
      <c r="Q2582" s="206"/>
      <c r="R2582" s="206"/>
      <c r="S2582" s="206"/>
      <c r="T2582" s="204"/>
      <c r="U2582" s="207"/>
      <c r="V2582" s="204"/>
      <c r="W2582" s="204"/>
      <c r="X2582" s="207"/>
      <c r="Y2582" s="207"/>
      <c r="Z2582" s="204"/>
      <c r="AA2582" s="204"/>
      <c r="AB2582" s="204"/>
      <c r="AC2582" s="204"/>
    </row>
    <row r="2583" spans="1:29">
      <c r="A2583" s="204"/>
      <c r="B2583" s="204"/>
      <c r="C2583" s="204"/>
      <c r="D2583" s="204"/>
      <c r="E2583" s="204"/>
      <c r="F2583" s="204"/>
      <c r="G2583" s="204"/>
      <c r="H2583" s="204"/>
      <c r="I2583" s="204"/>
      <c r="J2583" s="204"/>
      <c r="K2583" s="204"/>
      <c r="L2583" s="205"/>
      <c r="M2583" s="205"/>
      <c r="N2583" s="204"/>
      <c r="O2583" s="204"/>
      <c r="P2583" s="206"/>
      <c r="Q2583" s="206"/>
      <c r="R2583" s="206"/>
      <c r="S2583" s="206"/>
      <c r="T2583" s="204"/>
      <c r="U2583" s="207"/>
      <c r="V2583" s="204"/>
      <c r="W2583" s="204"/>
      <c r="X2583" s="207"/>
      <c r="Y2583" s="207"/>
      <c r="Z2583" s="204"/>
      <c r="AA2583" s="204"/>
      <c r="AB2583" s="204"/>
      <c r="AC2583" s="204"/>
    </row>
    <row r="2584" spans="1:29">
      <c r="A2584" s="204"/>
      <c r="B2584" s="204"/>
      <c r="C2584" s="204"/>
      <c r="D2584" s="204"/>
      <c r="E2584" s="204"/>
      <c r="F2584" s="204"/>
      <c r="G2584" s="204"/>
      <c r="H2584" s="204"/>
      <c r="I2584" s="204"/>
      <c r="J2584" s="204"/>
      <c r="K2584" s="204"/>
      <c r="L2584" s="205"/>
      <c r="M2584" s="205"/>
      <c r="N2584" s="204"/>
      <c r="O2584" s="204"/>
      <c r="P2584" s="206"/>
      <c r="Q2584" s="206"/>
      <c r="R2584" s="206"/>
      <c r="S2584" s="206"/>
      <c r="T2584" s="204"/>
      <c r="U2584" s="207"/>
      <c r="V2584" s="204"/>
      <c r="W2584" s="204"/>
      <c r="X2584" s="207"/>
      <c r="Y2584" s="207"/>
      <c r="Z2584" s="204"/>
      <c r="AA2584" s="204"/>
      <c r="AB2584" s="204"/>
      <c r="AC2584" s="204"/>
    </row>
    <row r="2585" spans="1:29">
      <c r="A2585" s="204"/>
      <c r="B2585" s="204"/>
      <c r="C2585" s="204"/>
      <c r="D2585" s="204"/>
      <c r="E2585" s="204"/>
      <c r="F2585" s="204"/>
      <c r="G2585" s="204"/>
      <c r="H2585" s="204"/>
      <c r="I2585" s="204"/>
      <c r="J2585" s="204"/>
      <c r="K2585" s="204"/>
      <c r="L2585" s="205"/>
      <c r="M2585" s="205"/>
      <c r="N2585" s="204"/>
      <c r="O2585" s="204"/>
      <c r="P2585" s="206"/>
      <c r="Q2585" s="206"/>
      <c r="R2585" s="206"/>
      <c r="S2585" s="206"/>
      <c r="T2585" s="204"/>
      <c r="U2585" s="207"/>
      <c r="V2585" s="204"/>
      <c r="W2585" s="204"/>
      <c r="X2585" s="207"/>
      <c r="Y2585" s="207"/>
      <c r="Z2585" s="204"/>
      <c r="AA2585" s="204"/>
      <c r="AB2585" s="204"/>
      <c r="AC2585" s="204"/>
    </row>
    <row r="2586" spans="1:29">
      <c r="A2586" s="204"/>
      <c r="B2586" s="204"/>
      <c r="C2586" s="204"/>
      <c r="D2586" s="204"/>
      <c r="E2586" s="204"/>
      <c r="F2586" s="204"/>
      <c r="G2586" s="204"/>
      <c r="H2586" s="204"/>
      <c r="I2586" s="204"/>
      <c r="J2586" s="204"/>
      <c r="K2586" s="204"/>
      <c r="L2586" s="205"/>
      <c r="M2586" s="205"/>
      <c r="N2586" s="204"/>
      <c r="O2586" s="204"/>
      <c r="P2586" s="206"/>
      <c r="Q2586" s="206"/>
      <c r="R2586" s="206"/>
      <c r="S2586" s="206"/>
      <c r="T2586" s="204"/>
      <c r="U2586" s="207"/>
      <c r="V2586" s="204"/>
      <c r="W2586" s="204"/>
      <c r="X2586" s="207"/>
      <c r="Y2586" s="207"/>
      <c r="Z2586" s="204"/>
      <c r="AA2586" s="204"/>
      <c r="AB2586" s="204"/>
      <c r="AC2586" s="204"/>
    </row>
    <row r="2587" spans="1:29">
      <c r="A2587" s="204"/>
      <c r="B2587" s="204"/>
      <c r="C2587" s="204"/>
      <c r="D2587" s="204"/>
      <c r="E2587" s="204"/>
      <c r="F2587" s="204"/>
      <c r="G2587" s="204"/>
      <c r="H2587" s="204"/>
      <c r="I2587" s="204"/>
      <c r="J2587" s="204"/>
      <c r="K2587" s="204"/>
      <c r="L2587" s="205"/>
      <c r="M2587" s="205"/>
      <c r="N2587" s="204"/>
      <c r="O2587" s="204"/>
      <c r="P2587" s="206"/>
      <c r="Q2587" s="206"/>
      <c r="R2587" s="206"/>
      <c r="S2587" s="206"/>
      <c r="T2587" s="204"/>
      <c r="U2587" s="207"/>
      <c r="V2587" s="204"/>
      <c r="W2587" s="204"/>
      <c r="X2587" s="207"/>
      <c r="Y2587" s="207"/>
      <c r="Z2587" s="204"/>
      <c r="AA2587" s="204"/>
      <c r="AB2587" s="204"/>
      <c r="AC2587" s="204"/>
    </row>
    <row r="2588" spans="1:29">
      <c r="A2588" s="204"/>
      <c r="B2588" s="204"/>
      <c r="C2588" s="204"/>
      <c r="D2588" s="204"/>
      <c r="E2588" s="204"/>
      <c r="F2588" s="204"/>
      <c r="G2588" s="204"/>
      <c r="H2588" s="204"/>
      <c r="I2588" s="204"/>
      <c r="J2588" s="204"/>
      <c r="K2588" s="204"/>
      <c r="L2588" s="205"/>
      <c r="M2588" s="205"/>
      <c r="N2588" s="204"/>
      <c r="O2588" s="204"/>
      <c r="P2588" s="206"/>
      <c r="Q2588" s="206"/>
      <c r="R2588" s="206"/>
      <c r="S2588" s="206"/>
      <c r="T2588" s="204"/>
      <c r="U2588" s="207"/>
      <c r="V2588" s="204"/>
      <c r="W2588" s="204"/>
      <c r="X2588" s="207"/>
      <c r="Y2588" s="207"/>
      <c r="Z2588" s="204"/>
      <c r="AA2588" s="204"/>
      <c r="AB2588" s="204"/>
      <c r="AC2588" s="204"/>
    </row>
    <row r="2589" spans="1:29">
      <c r="A2589" s="204"/>
      <c r="B2589" s="204"/>
      <c r="C2589" s="204"/>
      <c r="D2589" s="204"/>
      <c r="E2589" s="204"/>
      <c r="F2589" s="204"/>
      <c r="G2589" s="204"/>
      <c r="H2589" s="204"/>
      <c r="I2589" s="204"/>
      <c r="J2589" s="204"/>
      <c r="K2589" s="204"/>
      <c r="L2589" s="205"/>
      <c r="M2589" s="205"/>
      <c r="N2589" s="204"/>
      <c r="O2589" s="204"/>
      <c r="P2589" s="206"/>
      <c r="Q2589" s="206"/>
      <c r="R2589" s="206"/>
      <c r="S2589" s="206"/>
      <c r="T2589" s="204"/>
      <c r="U2589" s="207"/>
      <c r="V2589" s="204"/>
      <c r="W2589" s="204"/>
      <c r="X2589" s="207"/>
      <c r="Y2589" s="207"/>
      <c r="Z2589" s="204"/>
      <c r="AA2589" s="204"/>
      <c r="AB2589" s="204"/>
      <c r="AC2589" s="204"/>
    </row>
    <row r="2590" spans="1:29">
      <c r="A2590" s="204"/>
      <c r="B2590" s="204"/>
      <c r="C2590" s="204"/>
      <c r="D2590" s="204"/>
      <c r="E2590" s="204"/>
      <c r="F2590" s="204"/>
      <c r="G2590" s="204"/>
      <c r="H2590" s="204"/>
      <c r="I2590" s="204"/>
      <c r="J2590" s="204"/>
      <c r="K2590" s="204"/>
      <c r="L2590" s="205"/>
      <c r="M2590" s="205"/>
      <c r="N2590" s="204"/>
      <c r="O2590" s="204"/>
      <c r="P2590" s="206"/>
      <c r="Q2590" s="206"/>
      <c r="R2590" s="206"/>
      <c r="S2590" s="206"/>
      <c r="T2590" s="204"/>
      <c r="U2590" s="207"/>
      <c r="V2590" s="204"/>
      <c r="W2590" s="204"/>
      <c r="X2590" s="207"/>
      <c r="Y2590" s="207"/>
      <c r="Z2590" s="204"/>
      <c r="AA2590" s="204"/>
      <c r="AB2590" s="204"/>
      <c r="AC2590" s="204"/>
    </row>
    <row r="2591" spans="1:29">
      <c r="A2591" s="204"/>
      <c r="B2591" s="204"/>
      <c r="C2591" s="204"/>
      <c r="D2591" s="204"/>
      <c r="E2591" s="204"/>
      <c r="F2591" s="204"/>
      <c r="G2591" s="204"/>
      <c r="H2591" s="204"/>
      <c r="I2591" s="204"/>
      <c r="J2591" s="204"/>
      <c r="K2591" s="204"/>
      <c r="L2591" s="205"/>
      <c r="M2591" s="205"/>
      <c r="N2591" s="204"/>
      <c r="O2591" s="204"/>
      <c r="P2591" s="206"/>
      <c r="Q2591" s="206"/>
      <c r="R2591" s="206"/>
      <c r="S2591" s="206"/>
      <c r="T2591" s="204"/>
      <c r="U2591" s="207"/>
      <c r="V2591" s="204"/>
      <c r="W2591" s="204"/>
      <c r="X2591" s="207"/>
      <c r="Y2591" s="207"/>
      <c r="Z2591" s="204"/>
      <c r="AA2591" s="204"/>
      <c r="AB2591" s="204"/>
      <c r="AC2591" s="204"/>
    </row>
    <row r="2592" spans="1:29">
      <c r="A2592" s="204"/>
      <c r="B2592" s="204"/>
      <c r="C2592" s="204"/>
      <c r="D2592" s="204"/>
      <c r="E2592" s="204"/>
      <c r="F2592" s="204"/>
      <c r="G2592" s="204"/>
      <c r="H2592" s="204"/>
      <c r="I2592" s="204"/>
      <c r="J2592" s="204"/>
      <c r="K2592" s="204"/>
      <c r="L2592" s="205"/>
      <c r="M2592" s="205"/>
      <c r="N2592" s="204"/>
      <c r="O2592" s="204"/>
      <c r="P2592" s="206"/>
      <c r="Q2592" s="206"/>
      <c r="R2592" s="206"/>
      <c r="S2592" s="206"/>
      <c r="T2592" s="204"/>
      <c r="U2592" s="207"/>
      <c r="V2592" s="204"/>
      <c r="W2592" s="204"/>
      <c r="X2592" s="207"/>
      <c r="Y2592" s="207"/>
      <c r="Z2592" s="204"/>
      <c r="AA2592" s="204"/>
      <c r="AB2592" s="204"/>
      <c r="AC2592" s="204"/>
    </row>
    <row r="2593" spans="1:29">
      <c r="A2593" s="204"/>
      <c r="B2593" s="204"/>
      <c r="C2593" s="204"/>
      <c r="D2593" s="204"/>
      <c r="E2593" s="204"/>
      <c r="F2593" s="204"/>
      <c r="G2593" s="204"/>
      <c r="H2593" s="204"/>
      <c r="I2593" s="204"/>
      <c r="J2593" s="204"/>
      <c r="K2593" s="204"/>
      <c r="L2593" s="205"/>
      <c r="M2593" s="205"/>
      <c r="N2593" s="204"/>
      <c r="O2593" s="204"/>
      <c r="P2593" s="206"/>
      <c r="Q2593" s="206"/>
      <c r="R2593" s="206"/>
      <c r="S2593" s="206"/>
      <c r="T2593" s="204"/>
      <c r="U2593" s="207"/>
      <c r="V2593" s="204"/>
      <c r="W2593" s="204"/>
      <c r="X2593" s="207"/>
      <c r="Y2593" s="207"/>
      <c r="Z2593" s="204"/>
      <c r="AA2593" s="204"/>
      <c r="AB2593" s="204"/>
      <c r="AC2593" s="204"/>
    </row>
    <row r="2594" spans="1:29">
      <c r="A2594" s="204"/>
      <c r="B2594" s="204"/>
      <c r="C2594" s="204"/>
      <c r="D2594" s="204"/>
      <c r="E2594" s="204"/>
      <c r="F2594" s="204"/>
      <c r="G2594" s="204"/>
      <c r="H2594" s="204"/>
      <c r="I2594" s="204"/>
      <c r="J2594" s="204"/>
      <c r="K2594" s="204"/>
      <c r="L2594" s="205"/>
      <c r="M2594" s="205"/>
      <c r="N2594" s="204"/>
      <c r="O2594" s="204"/>
      <c r="P2594" s="206"/>
      <c r="Q2594" s="206"/>
      <c r="R2594" s="206"/>
      <c r="S2594" s="206"/>
      <c r="T2594" s="204"/>
      <c r="U2594" s="207"/>
      <c r="V2594" s="204"/>
      <c r="W2594" s="204"/>
      <c r="X2594" s="207"/>
      <c r="Y2594" s="207"/>
      <c r="Z2594" s="204"/>
      <c r="AA2594" s="204"/>
      <c r="AB2594" s="204"/>
      <c r="AC2594" s="204"/>
    </row>
    <row r="2595" spans="1:29">
      <c r="A2595" s="204"/>
      <c r="B2595" s="204"/>
      <c r="C2595" s="204"/>
      <c r="D2595" s="204"/>
      <c r="E2595" s="204"/>
      <c r="F2595" s="204"/>
      <c r="G2595" s="204"/>
      <c r="H2595" s="204"/>
      <c r="I2595" s="204"/>
      <c r="J2595" s="204"/>
      <c r="K2595" s="204"/>
      <c r="L2595" s="205"/>
      <c r="M2595" s="205"/>
      <c r="N2595" s="204"/>
      <c r="O2595" s="204"/>
      <c r="P2595" s="206"/>
      <c r="Q2595" s="206"/>
      <c r="R2595" s="206"/>
      <c r="S2595" s="206"/>
      <c r="T2595" s="204"/>
      <c r="U2595" s="207"/>
      <c r="V2595" s="204"/>
      <c r="W2595" s="204"/>
      <c r="X2595" s="207"/>
      <c r="Y2595" s="207"/>
      <c r="Z2595" s="204"/>
      <c r="AA2595" s="204"/>
      <c r="AB2595" s="204"/>
      <c r="AC2595" s="204"/>
    </row>
    <row r="2596" spans="1:29">
      <c r="A2596" s="204"/>
      <c r="B2596" s="204"/>
      <c r="C2596" s="204"/>
      <c r="D2596" s="204"/>
      <c r="E2596" s="204"/>
      <c r="F2596" s="204"/>
      <c r="G2596" s="204"/>
      <c r="H2596" s="204"/>
      <c r="I2596" s="204"/>
      <c r="J2596" s="204"/>
      <c r="K2596" s="204"/>
      <c r="L2596" s="205"/>
      <c r="M2596" s="205"/>
      <c r="N2596" s="204"/>
      <c r="O2596" s="204"/>
      <c r="P2596" s="206"/>
      <c r="Q2596" s="206"/>
      <c r="R2596" s="206"/>
      <c r="S2596" s="206"/>
      <c r="T2596" s="204"/>
      <c r="U2596" s="207"/>
      <c r="V2596" s="204"/>
      <c r="W2596" s="204"/>
      <c r="X2596" s="207"/>
      <c r="Y2596" s="207"/>
      <c r="Z2596" s="204"/>
      <c r="AA2596" s="204"/>
      <c r="AB2596" s="204"/>
      <c r="AC2596" s="204"/>
    </row>
    <row r="2597" spans="1:29">
      <c r="A2597" s="204"/>
      <c r="B2597" s="204"/>
      <c r="C2597" s="204"/>
      <c r="D2597" s="204"/>
      <c r="E2597" s="204"/>
      <c r="F2597" s="204"/>
      <c r="G2597" s="204"/>
      <c r="H2597" s="204"/>
      <c r="I2597" s="204"/>
      <c r="J2597" s="204"/>
      <c r="K2597" s="204"/>
      <c r="L2597" s="205"/>
      <c r="M2597" s="205"/>
      <c r="N2597" s="204"/>
      <c r="O2597" s="204"/>
      <c r="P2597" s="206"/>
      <c r="Q2597" s="206"/>
      <c r="R2597" s="206"/>
      <c r="S2597" s="206"/>
      <c r="T2597" s="204"/>
      <c r="U2597" s="207"/>
      <c r="V2597" s="204"/>
      <c r="W2597" s="204"/>
      <c r="X2597" s="207"/>
      <c r="Y2597" s="207"/>
      <c r="Z2597" s="204"/>
      <c r="AA2597" s="204"/>
      <c r="AB2597" s="204"/>
      <c r="AC2597" s="204"/>
    </row>
    <row r="2598" spans="1:29">
      <c r="A2598" s="204"/>
      <c r="B2598" s="204"/>
      <c r="C2598" s="204"/>
      <c r="D2598" s="204"/>
      <c r="E2598" s="204"/>
      <c r="F2598" s="204"/>
      <c r="G2598" s="204"/>
      <c r="H2598" s="204"/>
      <c r="I2598" s="204"/>
      <c r="J2598" s="204"/>
      <c r="K2598" s="204"/>
      <c r="L2598" s="205"/>
      <c r="M2598" s="205"/>
      <c r="N2598" s="204"/>
      <c r="O2598" s="204"/>
      <c r="P2598" s="206"/>
      <c r="Q2598" s="206"/>
      <c r="R2598" s="206"/>
      <c r="S2598" s="206"/>
      <c r="T2598" s="204"/>
      <c r="U2598" s="207"/>
      <c r="V2598" s="204"/>
      <c r="W2598" s="204"/>
      <c r="X2598" s="207"/>
      <c r="Y2598" s="207"/>
      <c r="Z2598" s="204"/>
      <c r="AA2598" s="204"/>
      <c r="AB2598" s="204"/>
      <c r="AC2598" s="204"/>
    </row>
    <row r="2599" spans="1:29">
      <c r="A2599" s="204"/>
      <c r="B2599" s="204"/>
      <c r="C2599" s="204"/>
      <c r="D2599" s="204"/>
      <c r="E2599" s="204"/>
      <c r="F2599" s="204"/>
      <c r="G2599" s="204"/>
      <c r="H2599" s="204"/>
      <c r="I2599" s="204"/>
      <c r="J2599" s="204"/>
      <c r="K2599" s="204"/>
      <c r="L2599" s="205"/>
      <c r="M2599" s="205"/>
      <c r="N2599" s="204"/>
      <c r="O2599" s="204"/>
      <c r="P2599" s="206"/>
      <c r="Q2599" s="206"/>
      <c r="R2599" s="206"/>
      <c r="S2599" s="206"/>
      <c r="T2599" s="204"/>
      <c r="U2599" s="207"/>
      <c r="V2599" s="204"/>
      <c r="W2599" s="204"/>
      <c r="X2599" s="207"/>
      <c r="Y2599" s="207"/>
      <c r="Z2599" s="204"/>
      <c r="AA2599" s="204"/>
      <c r="AB2599" s="204"/>
      <c r="AC2599" s="204"/>
    </row>
    <row r="2600" spans="1:29">
      <c r="A2600" s="204"/>
      <c r="B2600" s="204"/>
      <c r="C2600" s="204"/>
      <c r="D2600" s="204"/>
      <c r="E2600" s="204"/>
      <c r="F2600" s="204"/>
      <c r="G2600" s="204"/>
      <c r="H2600" s="204"/>
      <c r="I2600" s="204"/>
      <c r="J2600" s="204"/>
      <c r="K2600" s="204"/>
      <c r="L2600" s="205"/>
      <c r="M2600" s="205"/>
      <c r="N2600" s="204"/>
      <c r="O2600" s="204"/>
      <c r="P2600" s="206"/>
      <c r="Q2600" s="206"/>
      <c r="R2600" s="206"/>
      <c r="S2600" s="206"/>
      <c r="T2600" s="204"/>
      <c r="U2600" s="207"/>
      <c r="V2600" s="204"/>
      <c r="W2600" s="204"/>
      <c r="X2600" s="207"/>
      <c r="Y2600" s="207"/>
      <c r="Z2600" s="204"/>
      <c r="AA2600" s="204"/>
      <c r="AB2600" s="204"/>
      <c r="AC2600" s="204"/>
    </row>
    <row r="2601" spans="1:29">
      <c r="A2601" s="204"/>
      <c r="B2601" s="204"/>
      <c r="C2601" s="204"/>
      <c r="D2601" s="204"/>
      <c r="E2601" s="204"/>
      <c r="F2601" s="204"/>
      <c r="G2601" s="204"/>
      <c r="H2601" s="204"/>
      <c r="I2601" s="204"/>
      <c r="J2601" s="204"/>
      <c r="K2601" s="204"/>
      <c r="L2601" s="205"/>
      <c r="M2601" s="205"/>
      <c r="N2601" s="204"/>
      <c r="O2601" s="204"/>
      <c r="P2601" s="206"/>
      <c r="Q2601" s="206"/>
      <c r="R2601" s="206"/>
      <c r="S2601" s="206"/>
      <c r="T2601" s="204"/>
      <c r="U2601" s="207"/>
      <c r="V2601" s="204"/>
      <c r="W2601" s="204"/>
      <c r="X2601" s="207"/>
      <c r="Y2601" s="207"/>
      <c r="Z2601" s="204"/>
      <c r="AA2601" s="204"/>
      <c r="AB2601" s="204"/>
      <c r="AC2601" s="204"/>
    </row>
    <row r="2602" spans="1:29">
      <c r="A2602" s="204"/>
      <c r="B2602" s="204"/>
      <c r="C2602" s="204"/>
      <c r="D2602" s="204"/>
      <c r="E2602" s="204"/>
      <c r="F2602" s="204"/>
      <c r="G2602" s="204"/>
      <c r="H2602" s="204"/>
      <c r="I2602" s="204"/>
      <c r="J2602" s="204"/>
      <c r="K2602" s="204"/>
      <c r="L2602" s="205"/>
      <c r="M2602" s="205"/>
      <c r="N2602" s="204"/>
      <c r="O2602" s="204"/>
      <c r="P2602" s="206"/>
      <c r="Q2602" s="206"/>
      <c r="R2602" s="206"/>
      <c r="S2602" s="206"/>
      <c r="T2602" s="204"/>
      <c r="U2602" s="207"/>
      <c r="V2602" s="204"/>
      <c r="W2602" s="204"/>
      <c r="X2602" s="207"/>
      <c r="Y2602" s="207"/>
      <c r="Z2602" s="204"/>
      <c r="AA2602" s="204"/>
      <c r="AB2602" s="204"/>
      <c r="AC2602" s="204"/>
    </row>
    <row r="2603" spans="1:29">
      <c r="A2603" s="204"/>
      <c r="B2603" s="204"/>
      <c r="C2603" s="204"/>
      <c r="D2603" s="204"/>
      <c r="E2603" s="204"/>
      <c r="F2603" s="204"/>
      <c r="G2603" s="204"/>
      <c r="H2603" s="204"/>
      <c r="I2603" s="204"/>
      <c r="J2603" s="204"/>
      <c r="K2603" s="204"/>
      <c r="L2603" s="205"/>
      <c r="M2603" s="205"/>
      <c r="N2603" s="204"/>
      <c r="O2603" s="204"/>
      <c r="P2603" s="206"/>
      <c r="Q2603" s="206"/>
      <c r="R2603" s="206"/>
      <c r="S2603" s="206"/>
      <c r="T2603" s="204"/>
      <c r="U2603" s="207"/>
      <c r="V2603" s="204"/>
      <c r="W2603" s="204"/>
      <c r="X2603" s="207"/>
      <c r="Y2603" s="207"/>
      <c r="Z2603" s="204"/>
      <c r="AA2603" s="204"/>
      <c r="AB2603" s="204"/>
      <c r="AC2603" s="204"/>
    </row>
    <row r="2604" spans="1:29">
      <c r="A2604" s="204"/>
      <c r="B2604" s="204"/>
      <c r="C2604" s="204"/>
      <c r="D2604" s="204"/>
      <c r="E2604" s="204"/>
      <c r="F2604" s="204"/>
      <c r="G2604" s="204"/>
      <c r="H2604" s="204"/>
      <c r="I2604" s="204"/>
      <c r="J2604" s="204"/>
      <c r="K2604" s="204"/>
      <c r="L2604" s="205"/>
      <c r="M2604" s="205"/>
      <c r="N2604" s="204"/>
      <c r="O2604" s="204"/>
      <c r="P2604" s="206"/>
      <c r="Q2604" s="206"/>
      <c r="R2604" s="206"/>
      <c r="S2604" s="206"/>
      <c r="T2604" s="204"/>
      <c r="U2604" s="207"/>
      <c r="V2604" s="204"/>
      <c r="W2604" s="204"/>
      <c r="X2604" s="207"/>
      <c r="Y2604" s="207"/>
      <c r="Z2604" s="204"/>
      <c r="AA2604" s="204"/>
      <c r="AB2604" s="204"/>
      <c r="AC2604" s="204"/>
    </row>
    <row r="2605" spans="1:29">
      <c r="A2605" s="204"/>
      <c r="B2605" s="204"/>
      <c r="C2605" s="204"/>
      <c r="D2605" s="204"/>
      <c r="E2605" s="204"/>
      <c r="F2605" s="204"/>
      <c r="G2605" s="204"/>
      <c r="H2605" s="204"/>
      <c r="I2605" s="204"/>
      <c r="J2605" s="204"/>
      <c r="K2605" s="204"/>
      <c r="L2605" s="205"/>
      <c r="M2605" s="205"/>
      <c r="N2605" s="204"/>
      <c r="O2605" s="204"/>
      <c r="P2605" s="206"/>
      <c r="Q2605" s="206"/>
      <c r="R2605" s="206"/>
      <c r="S2605" s="206"/>
      <c r="T2605" s="204"/>
      <c r="U2605" s="207"/>
      <c r="V2605" s="204"/>
      <c r="W2605" s="204"/>
      <c r="X2605" s="207"/>
      <c r="Y2605" s="207"/>
      <c r="Z2605" s="204"/>
      <c r="AA2605" s="204"/>
      <c r="AB2605" s="204"/>
      <c r="AC2605" s="204"/>
    </row>
    <row r="2606" spans="1:29">
      <c r="A2606" s="204"/>
      <c r="B2606" s="204"/>
      <c r="C2606" s="204"/>
      <c r="D2606" s="204"/>
      <c r="E2606" s="204"/>
      <c r="F2606" s="204"/>
      <c r="G2606" s="204"/>
      <c r="H2606" s="204"/>
      <c r="I2606" s="204"/>
      <c r="J2606" s="204"/>
      <c r="K2606" s="204"/>
      <c r="L2606" s="205"/>
      <c r="M2606" s="205"/>
      <c r="N2606" s="204"/>
      <c r="O2606" s="204"/>
      <c r="P2606" s="206"/>
      <c r="Q2606" s="206"/>
      <c r="R2606" s="206"/>
      <c r="S2606" s="206"/>
      <c r="T2606" s="204"/>
      <c r="U2606" s="207"/>
      <c r="V2606" s="204"/>
      <c r="W2606" s="204"/>
      <c r="X2606" s="207"/>
      <c r="Y2606" s="207"/>
      <c r="Z2606" s="204"/>
      <c r="AA2606" s="204"/>
      <c r="AB2606" s="204"/>
      <c r="AC2606" s="204"/>
    </row>
    <row r="2607" spans="1:29">
      <c r="A2607" s="204"/>
      <c r="B2607" s="204"/>
      <c r="C2607" s="204"/>
      <c r="D2607" s="204"/>
      <c r="E2607" s="204"/>
      <c r="F2607" s="204"/>
      <c r="G2607" s="204"/>
      <c r="H2607" s="204"/>
      <c r="I2607" s="204"/>
      <c r="J2607" s="204"/>
      <c r="K2607" s="204"/>
      <c r="L2607" s="205"/>
      <c r="M2607" s="205"/>
      <c r="N2607" s="204"/>
      <c r="O2607" s="204"/>
      <c r="P2607" s="206"/>
      <c r="Q2607" s="206"/>
      <c r="R2607" s="206"/>
      <c r="S2607" s="206"/>
      <c r="T2607" s="204"/>
      <c r="U2607" s="207"/>
      <c r="V2607" s="204"/>
      <c r="W2607" s="204"/>
      <c r="X2607" s="207"/>
      <c r="Y2607" s="207"/>
      <c r="Z2607" s="204"/>
      <c r="AA2607" s="204"/>
      <c r="AB2607" s="204"/>
      <c r="AC2607" s="204"/>
    </row>
    <row r="2608" spans="1:29">
      <c r="A2608" s="204"/>
      <c r="B2608" s="204"/>
      <c r="C2608" s="204"/>
      <c r="D2608" s="204"/>
      <c r="E2608" s="204"/>
      <c r="F2608" s="204"/>
      <c r="G2608" s="204"/>
      <c r="H2608" s="204"/>
      <c r="I2608" s="204"/>
      <c r="J2608" s="204"/>
      <c r="K2608" s="204"/>
      <c r="L2608" s="205"/>
      <c r="M2608" s="205"/>
      <c r="N2608" s="204"/>
      <c r="O2608" s="204"/>
      <c r="P2608" s="206"/>
      <c r="Q2608" s="206"/>
      <c r="R2608" s="206"/>
      <c r="S2608" s="206"/>
      <c r="T2608" s="204"/>
      <c r="U2608" s="207"/>
      <c r="V2608" s="204"/>
      <c r="W2608" s="204"/>
      <c r="X2608" s="207"/>
      <c r="Y2608" s="207"/>
      <c r="Z2608" s="204"/>
      <c r="AA2608" s="204"/>
      <c r="AB2608" s="204"/>
      <c r="AC2608" s="204"/>
    </row>
    <row r="2609" spans="1:29">
      <c r="A2609" s="204"/>
      <c r="B2609" s="204"/>
      <c r="C2609" s="204"/>
      <c r="D2609" s="204"/>
      <c r="E2609" s="204"/>
      <c r="F2609" s="204"/>
      <c r="G2609" s="204"/>
      <c r="H2609" s="204"/>
      <c r="I2609" s="204"/>
      <c r="J2609" s="204"/>
      <c r="K2609" s="204"/>
      <c r="L2609" s="205"/>
      <c r="M2609" s="205"/>
      <c r="N2609" s="204"/>
      <c r="O2609" s="204"/>
      <c r="P2609" s="206"/>
      <c r="Q2609" s="206"/>
      <c r="R2609" s="206"/>
      <c r="S2609" s="206"/>
      <c r="T2609" s="204"/>
      <c r="U2609" s="207"/>
      <c r="V2609" s="204"/>
      <c r="W2609" s="204"/>
      <c r="X2609" s="207"/>
      <c r="Y2609" s="207"/>
      <c r="Z2609" s="204"/>
      <c r="AA2609" s="204"/>
      <c r="AB2609" s="204"/>
      <c r="AC2609" s="204"/>
    </row>
    <row r="2610" spans="1:29">
      <c r="A2610" s="204"/>
      <c r="B2610" s="204"/>
      <c r="C2610" s="204"/>
      <c r="D2610" s="204"/>
      <c r="E2610" s="204"/>
      <c r="F2610" s="204"/>
      <c r="G2610" s="204"/>
      <c r="H2610" s="204"/>
      <c r="I2610" s="204"/>
      <c r="J2610" s="204"/>
      <c r="K2610" s="204"/>
      <c r="L2610" s="205"/>
      <c r="M2610" s="205"/>
      <c r="N2610" s="204"/>
      <c r="O2610" s="204"/>
      <c r="P2610" s="206"/>
      <c r="Q2610" s="206"/>
      <c r="R2610" s="206"/>
      <c r="S2610" s="206"/>
      <c r="T2610" s="204"/>
      <c r="U2610" s="207"/>
      <c r="V2610" s="204"/>
      <c r="W2610" s="204"/>
      <c r="X2610" s="207"/>
      <c r="Y2610" s="207"/>
      <c r="Z2610" s="204"/>
      <c r="AA2610" s="204"/>
      <c r="AB2610" s="204"/>
      <c r="AC2610" s="204"/>
    </row>
    <row r="2611" spans="1:29">
      <c r="A2611" s="204"/>
      <c r="B2611" s="204"/>
      <c r="C2611" s="204"/>
      <c r="D2611" s="204"/>
      <c r="E2611" s="204"/>
      <c r="F2611" s="204"/>
      <c r="G2611" s="204"/>
      <c r="H2611" s="204"/>
      <c r="I2611" s="204"/>
      <c r="J2611" s="204"/>
      <c r="K2611" s="204"/>
      <c r="L2611" s="205"/>
      <c r="M2611" s="205"/>
      <c r="N2611" s="204"/>
      <c r="O2611" s="204"/>
      <c r="P2611" s="206"/>
      <c r="Q2611" s="206"/>
      <c r="R2611" s="206"/>
      <c r="S2611" s="206"/>
      <c r="T2611" s="204"/>
      <c r="U2611" s="207"/>
      <c r="V2611" s="204"/>
      <c r="W2611" s="204"/>
      <c r="X2611" s="207"/>
      <c r="Y2611" s="207"/>
      <c r="Z2611" s="204"/>
      <c r="AA2611" s="204"/>
      <c r="AB2611" s="204"/>
      <c r="AC2611" s="204"/>
    </row>
    <row r="2612" spans="1:29">
      <c r="A2612" s="204"/>
      <c r="B2612" s="204"/>
      <c r="C2612" s="204"/>
      <c r="D2612" s="204"/>
      <c r="E2612" s="204"/>
      <c r="F2612" s="204"/>
      <c r="G2612" s="204"/>
      <c r="H2612" s="204"/>
      <c r="I2612" s="204"/>
      <c r="J2612" s="204"/>
      <c r="K2612" s="204"/>
      <c r="L2612" s="205"/>
      <c r="M2612" s="205"/>
      <c r="N2612" s="204"/>
      <c r="O2612" s="204"/>
      <c r="P2612" s="206"/>
      <c r="Q2612" s="206"/>
      <c r="R2612" s="206"/>
      <c r="S2612" s="206"/>
      <c r="T2612" s="204"/>
      <c r="U2612" s="207"/>
      <c r="V2612" s="204"/>
      <c r="W2612" s="204"/>
      <c r="X2612" s="207"/>
      <c r="Y2612" s="207"/>
      <c r="Z2612" s="204"/>
      <c r="AA2612" s="204"/>
      <c r="AB2612" s="204"/>
      <c r="AC2612" s="204"/>
    </row>
    <row r="2613" spans="1:29">
      <c r="A2613" s="204"/>
      <c r="B2613" s="204"/>
      <c r="C2613" s="204"/>
      <c r="D2613" s="204"/>
      <c r="E2613" s="204"/>
      <c r="F2613" s="204"/>
      <c r="G2613" s="204"/>
      <c r="H2613" s="204"/>
      <c r="I2613" s="204"/>
      <c r="J2613" s="204"/>
      <c r="K2613" s="204"/>
      <c r="L2613" s="205"/>
      <c r="M2613" s="205"/>
      <c r="N2613" s="204"/>
      <c r="O2613" s="204"/>
      <c r="P2613" s="206"/>
      <c r="Q2613" s="206"/>
      <c r="R2613" s="206"/>
      <c r="S2613" s="206"/>
      <c r="T2613" s="204"/>
      <c r="U2613" s="207"/>
      <c r="V2613" s="204"/>
      <c r="W2613" s="204"/>
      <c r="X2613" s="207"/>
      <c r="Y2613" s="207"/>
      <c r="Z2613" s="204"/>
      <c r="AA2613" s="204"/>
      <c r="AB2613" s="204"/>
      <c r="AC2613" s="204"/>
    </row>
    <row r="2614" spans="1:29">
      <c r="A2614" s="204"/>
      <c r="B2614" s="204"/>
      <c r="C2614" s="204"/>
      <c r="D2614" s="204"/>
      <c r="E2614" s="204"/>
      <c r="F2614" s="204"/>
      <c r="G2614" s="204"/>
      <c r="H2614" s="204"/>
      <c r="I2614" s="204"/>
      <c r="J2614" s="204"/>
      <c r="K2614" s="204"/>
      <c r="L2614" s="205"/>
      <c r="M2614" s="205"/>
      <c r="N2614" s="204"/>
      <c r="O2614" s="204"/>
      <c r="P2614" s="206"/>
      <c r="Q2614" s="206"/>
      <c r="R2614" s="206"/>
      <c r="S2614" s="206"/>
      <c r="T2614" s="204"/>
      <c r="U2614" s="207"/>
      <c r="V2614" s="204"/>
      <c r="W2614" s="204"/>
      <c r="X2614" s="207"/>
      <c r="Y2614" s="207"/>
      <c r="Z2614" s="204"/>
      <c r="AA2614" s="204"/>
      <c r="AB2614" s="204"/>
      <c r="AC2614" s="204"/>
    </row>
    <row r="2615" spans="1:29">
      <c r="A2615" s="204"/>
      <c r="B2615" s="204"/>
      <c r="C2615" s="204"/>
      <c r="D2615" s="204"/>
      <c r="E2615" s="204"/>
      <c r="F2615" s="204"/>
      <c r="G2615" s="204"/>
      <c r="H2615" s="204"/>
      <c r="I2615" s="204"/>
      <c r="J2615" s="204"/>
      <c r="K2615" s="204"/>
      <c r="L2615" s="205"/>
      <c r="M2615" s="205"/>
      <c r="N2615" s="204"/>
      <c r="O2615" s="204"/>
      <c r="P2615" s="206"/>
      <c r="Q2615" s="206"/>
      <c r="R2615" s="206"/>
      <c r="S2615" s="206"/>
      <c r="T2615" s="204"/>
      <c r="U2615" s="207"/>
      <c r="V2615" s="204"/>
      <c r="W2615" s="204"/>
      <c r="X2615" s="207"/>
      <c r="Y2615" s="207"/>
      <c r="Z2615" s="204"/>
      <c r="AA2615" s="204"/>
      <c r="AB2615" s="204"/>
      <c r="AC2615" s="204"/>
    </row>
    <row r="2616" spans="1:29">
      <c r="A2616" s="204"/>
      <c r="B2616" s="204"/>
      <c r="C2616" s="204"/>
      <c r="D2616" s="204"/>
      <c r="E2616" s="204"/>
      <c r="F2616" s="204"/>
      <c r="G2616" s="204"/>
      <c r="H2616" s="204"/>
      <c r="I2616" s="204"/>
      <c r="J2616" s="204"/>
      <c r="K2616" s="204"/>
      <c r="L2616" s="205"/>
      <c r="M2616" s="205"/>
      <c r="N2616" s="204"/>
      <c r="O2616" s="204"/>
      <c r="P2616" s="206"/>
      <c r="Q2616" s="206"/>
      <c r="R2616" s="206"/>
      <c r="S2616" s="206"/>
      <c r="T2616" s="204"/>
      <c r="U2616" s="207"/>
      <c r="V2616" s="204"/>
      <c r="W2616" s="204"/>
      <c r="X2616" s="207"/>
      <c r="Y2616" s="207"/>
      <c r="Z2616" s="204"/>
      <c r="AA2616" s="204"/>
      <c r="AB2616" s="204"/>
      <c r="AC2616" s="204"/>
    </row>
    <row r="2617" spans="1:29">
      <c r="A2617" s="204"/>
      <c r="B2617" s="204"/>
      <c r="C2617" s="204"/>
      <c r="D2617" s="204"/>
      <c r="E2617" s="204"/>
      <c r="F2617" s="204"/>
      <c r="G2617" s="204"/>
      <c r="H2617" s="204"/>
      <c r="I2617" s="204"/>
      <c r="J2617" s="204"/>
      <c r="K2617" s="204"/>
      <c r="L2617" s="205"/>
      <c r="M2617" s="205"/>
      <c r="N2617" s="204"/>
      <c r="O2617" s="204"/>
      <c r="P2617" s="206"/>
      <c r="Q2617" s="206"/>
      <c r="R2617" s="206"/>
      <c r="S2617" s="206"/>
      <c r="T2617" s="204"/>
      <c r="U2617" s="207"/>
      <c r="V2617" s="204"/>
      <c r="W2617" s="204"/>
      <c r="X2617" s="207"/>
      <c r="Y2617" s="207"/>
      <c r="Z2617" s="204"/>
      <c r="AA2617" s="204"/>
      <c r="AB2617" s="204"/>
      <c r="AC2617" s="204"/>
    </row>
    <row r="2618" spans="1:29">
      <c r="A2618" s="204"/>
      <c r="B2618" s="204"/>
      <c r="C2618" s="204"/>
      <c r="D2618" s="204"/>
      <c r="E2618" s="204"/>
      <c r="F2618" s="204"/>
      <c r="G2618" s="204"/>
      <c r="H2618" s="204"/>
      <c r="I2618" s="204"/>
      <c r="J2618" s="204"/>
      <c r="K2618" s="204"/>
      <c r="L2618" s="205"/>
      <c r="M2618" s="205"/>
      <c r="N2618" s="204"/>
      <c r="O2618" s="204"/>
      <c r="P2618" s="206"/>
      <c r="Q2618" s="206"/>
      <c r="R2618" s="206"/>
      <c r="S2618" s="206"/>
      <c r="T2618" s="204"/>
      <c r="U2618" s="207"/>
      <c r="V2618" s="204"/>
      <c r="W2618" s="204"/>
      <c r="X2618" s="207"/>
      <c r="Y2618" s="207"/>
      <c r="Z2618" s="204"/>
      <c r="AA2618" s="204"/>
      <c r="AB2618" s="204"/>
      <c r="AC2618" s="204"/>
    </row>
    <row r="2619" spans="1:29">
      <c r="A2619" s="204"/>
      <c r="B2619" s="204"/>
      <c r="C2619" s="204"/>
      <c r="D2619" s="204"/>
      <c r="E2619" s="204"/>
      <c r="F2619" s="204"/>
      <c r="G2619" s="204"/>
      <c r="H2619" s="204"/>
      <c r="I2619" s="204"/>
      <c r="J2619" s="204"/>
      <c r="K2619" s="204"/>
      <c r="L2619" s="205"/>
      <c r="M2619" s="205"/>
      <c r="N2619" s="204"/>
      <c r="O2619" s="204"/>
      <c r="P2619" s="206"/>
      <c r="Q2619" s="206"/>
      <c r="R2619" s="206"/>
      <c r="S2619" s="206"/>
      <c r="T2619" s="204"/>
      <c r="U2619" s="207"/>
      <c r="V2619" s="204"/>
      <c r="W2619" s="204"/>
      <c r="X2619" s="207"/>
      <c r="Y2619" s="207"/>
      <c r="Z2619" s="204"/>
      <c r="AA2619" s="204"/>
      <c r="AB2619" s="204"/>
      <c r="AC2619" s="204"/>
    </row>
    <row r="2620" spans="1:29">
      <c r="A2620" s="204"/>
      <c r="B2620" s="204"/>
      <c r="C2620" s="204"/>
      <c r="D2620" s="204"/>
      <c r="E2620" s="204"/>
      <c r="F2620" s="204"/>
      <c r="G2620" s="204"/>
      <c r="H2620" s="204"/>
      <c r="I2620" s="204"/>
      <c r="J2620" s="204"/>
      <c r="K2620" s="204"/>
      <c r="L2620" s="205"/>
      <c r="M2620" s="205"/>
      <c r="N2620" s="204"/>
      <c r="O2620" s="204"/>
      <c r="P2620" s="206"/>
      <c r="Q2620" s="206"/>
      <c r="R2620" s="206"/>
      <c r="S2620" s="206"/>
      <c r="T2620" s="204"/>
      <c r="U2620" s="207"/>
      <c r="V2620" s="204"/>
      <c r="W2620" s="204"/>
      <c r="X2620" s="207"/>
      <c r="Y2620" s="207"/>
      <c r="Z2620" s="204"/>
      <c r="AA2620" s="204"/>
      <c r="AB2620" s="204"/>
      <c r="AC2620" s="204"/>
    </row>
    <row r="2621" spans="1:29">
      <c r="A2621" s="204"/>
      <c r="B2621" s="204"/>
      <c r="C2621" s="204"/>
      <c r="D2621" s="204"/>
      <c r="E2621" s="204"/>
      <c r="F2621" s="204"/>
      <c r="G2621" s="204"/>
      <c r="H2621" s="204"/>
      <c r="I2621" s="204"/>
      <c r="J2621" s="204"/>
      <c r="K2621" s="204"/>
      <c r="L2621" s="205"/>
      <c r="M2621" s="205"/>
      <c r="N2621" s="204"/>
      <c r="O2621" s="204"/>
      <c r="P2621" s="206"/>
      <c r="Q2621" s="206"/>
      <c r="R2621" s="206"/>
      <c r="S2621" s="206"/>
      <c r="T2621" s="204"/>
      <c r="U2621" s="207"/>
      <c r="V2621" s="204"/>
      <c r="W2621" s="204"/>
      <c r="X2621" s="207"/>
      <c r="Y2621" s="207"/>
      <c r="Z2621" s="204"/>
      <c r="AA2621" s="204"/>
      <c r="AB2621" s="204"/>
      <c r="AC2621" s="204"/>
    </row>
    <row r="2622" spans="1:29">
      <c r="A2622" s="204"/>
      <c r="B2622" s="204"/>
      <c r="C2622" s="204"/>
      <c r="D2622" s="204"/>
      <c r="E2622" s="204"/>
      <c r="F2622" s="204"/>
      <c r="G2622" s="204"/>
      <c r="H2622" s="204"/>
      <c r="I2622" s="204"/>
      <c r="J2622" s="204"/>
      <c r="K2622" s="204"/>
      <c r="L2622" s="205"/>
      <c r="M2622" s="205"/>
      <c r="N2622" s="204"/>
      <c r="O2622" s="204"/>
      <c r="P2622" s="206"/>
      <c r="Q2622" s="206"/>
      <c r="R2622" s="206"/>
      <c r="S2622" s="206"/>
      <c r="T2622" s="204"/>
      <c r="U2622" s="207"/>
      <c r="V2622" s="204"/>
      <c r="W2622" s="204"/>
      <c r="X2622" s="207"/>
      <c r="Y2622" s="207"/>
      <c r="Z2622" s="204"/>
      <c r="AA2622" s="204"/>
      <c r="AB2622" s="204"/>
      <c r="AC2622" s="204"/>
    </row>
    <row r="2623" spans="1:29">
      <c r="A2623" s="204"/>
      <c r="B2623" s="204"/>
      <c r="C2623" s="204"/>
      <c r="D2623" s="204"/>
      <c r="E2623" s="204"/>
      <c r="F2623" s="204"/>
      <c r="G2623" s="204"/>
      <c r="H2623" s="204"/>
      <c r="I2623" s="204"/>
      <c r="J2623" s="204"/>
      <c r="K2623" s="204"/>
      <c r="L2623" s="205"/>
      <c r="M2623" s="205"/>
      <c r="N2623" s="204"/>
      <c r="O2623" s="204"/>
      <c r="P2623" s="206"/>
      <c r="Q2623" s="206"/>
      <c r="R2623" s="206"/>
      <c r="S2623" s="206"/>
      <c r="T2623" s="204"/>
      <c r="U2623" s="207"/>
      <c r="V2623" s="204"/>
      <c r="W2623" s="204"/>
      <c r="X2623" s="207"/>
      <c r="Y2623" s="207"/>
      <c r="Z2623" s="204"/>
      <c r="AA2623" s="204"/>
      <c r="AB2623" s="204"/>
      <c r="AC2623" s="204"/>
    </row>
    <row r="2624" spans="1:29">
      <c r="A2624" s="204"/>
      <c r="B2624" s="204"/>
      <c r="C2624" s="204"/>
      <c r="D2624" s="204"/>
      <c r="E2624" s="204"/>
      <c r="F2624" s="204"/>
      <c r="G2624" s="204"/>
      <c r="H2624" s="204"/>
      <c r="I2624" s="204"/>
      <c r="J2624" s="204"/>
      <c r="K2624" s="204"/>
      <c r="L2624" s="205"/>
      <c r="M2624" s="205"/>
      <c r="N2624" s="204"/>
      <c r="O2624" s="204"/>
      <c r="P2624" s="206"/>
      <c r="Q2624" s="206"/>
      <c r="R2624" s="206"/>
      <c r="S2624" s="206"/>
      <c r="T2624" s="204"/>
      <c r="U2624" s="207"/>
      <c r="V2624" s="204"/>
      <c r="W2624" s="204"/>
      <c r="X2624" s="207"/>
      <c r="Y2624" s="207"/>
      <c r="Z2624" s="204"/>
      <c r="AA2624" s="204"/>
      <c r="AB2624" s="204"/>
      <c r="AC2624" s="204"/>
    </row>
    <row r="2625" spans="1:29">
      <c r="A2625" s="204"/>
      <c r="B2625" s="204"/>
      <c r="C2625" s="204"/>
      <c r="D2625" s="204"/>
      <c r="E2625" s="204"/>
      <c r="F2625" s="204"/>
      <c r="G2625" s="204"/>
      <c r="H2625" s="204"/>
      <c r="I2625" s="204"/>
      <c r="J2625" s="204"/>
      <c r="K2625" s="204"/>
      <c r="L2625" s="205"/>
      <c r="M2625" s="205"/>
      <c r="N2625" s="204"/>
      <c r="O2625" s="204"/>
      <c r="P2625" s="206"/>
      <c r="Q2625" s="206"/>
      <c r="R2625" s="206"/>
      <c r="S2625" s="206"/>
      <c r="T2625" s="204"/>
      <c r="U2625" s="207"/>
      <c r="V2625" s="204"/>
      <c r="W2625" s="204"/>
      <c r="X2625" s="207"/>
      <c r="Y2625" s="207"/>
      <c r="Z2625" s="204"/>
      <c r="AA2625" s="204"/>
      <c r="AB2625" s="204"/>
      <c r="AC2625" s="204"/>
    </row>
    <row r="2626" spans="1:29">
      <c r="A2626" s="204"/>
      <c r="B2626" s="204"/>
      <c r="C2626" s="204"/>
      <c r="D2626" s="204"/>
      <c r="E2626" s="204"/>
      <c r="F2626" s="204"/>
      <c r="G2626" s="204"/>
      <c r="H2626" s="204"/>
      <c r="I2626" s="204"/>
      <c r="J2626" s="204"/>
      <c r="K2626" s="204"/>
      <c r="L2626" s="205"/>
      <c r="M2626" s="205"/>
      <c r="N2626" s="204"/>
      <c r="O2626" s="204"/>
      <c r="P2626" s="206"/>
      <c r="Q2626" s="206"/>
      <c r="R2626" s="206"/>
      <c r="S2626" s="206"/>
      <c r="T2626" s="204"/>
      <c r="U2626" s="207"/>
      <c r="V2626" s="204"/>
      <c r="W2626" s="204"/>
      <c r="X2626" s="207"/>
      <c r="Y2626" s="207"/>
      <c r="Z2626" s="204"/>
      <c r="AA2626" s="204"/>
      <c r="AB2626" s="204"/>
      <c r="AC2626" s="204"/>
    </row>
    <row r="2627" spans="1:29">
      <c r="A2627" s="204"/>
      <c r="B2627" s="204"/>
      <c r="C2627" s="204"/>
      <c r="D2627" s="204"/>
      <c r="E2627" s="204"/>
      <c r="F2627" s="204"/>
      <c r="G2627" s="204"/>
      <c r="H2627" s="204"/>
      <c r="I2627" s="204"/>
      <c r="J2627" s="204"/>
      <c r="K2627" s="204"/>
      <c r="L2627" s="205"/>
      <c r="M2627" s="205"/>
      <c r="N2627" s="204"/>
      <c r="O2627" s="204"/>
      <c r="P2627" s="206"/>
      <c r="Q2627" s="206"/>
      <c r="R2627" s="206"/>
      <c r="S2627" s="206"/>
      <c r="T2627" s="204"/>
      <c r="U2627" s="207"/>
      <c r="V2627" s="204"/>
      <c r="W2627" s="204"/>
      <c r="X2627" s="207"/>
      <c r="Y2627" s="207"/>
      <c r="Z2627" s="204"/>
      <c r="AA2627" s="204"/>
      <c r="AB2627" s="204"/>
      <c r="AC2627" s="204"/>
    </row>
    <row r="2628" spans="1:29">
      <c r="A2628" s="204"/>
      <c r="B2628" s="204"/>
      <c r="C2628" s="204"/>
      <c r="D2628" s="204"/>
      <c r="E2628" s="204"/>
      <c r="F2628" s="204"/>
      <c r="G2628" s="204"/>
      <c r="H2628" s="204"/>
      <c r="I2628" s="204"/>
      <c r="J2628" s="204"/>
      <c r="K2628" s="204"/>
      <c r="L2628" s="205"/>
      <c r="M2628" s="205"/>
      <c r="N2628" s="204"/>
      <c r="O2628" s="204"/>
      <c r="P2628" s="206"/>
      <c r="Q2628" s="206"/>
      <c r="R2628" s="206"/>
      <c r="S2628" s="206"/>
      <c r="T2628" s="204"/>
      <c r="U2628" s="207"/>
      <c r="V2628" s="204"/>
      <c r="W2628" s="204"/>
      <c r="X2628" s="207"/>
      <c r="Y2628" s="207"/>
      <c r="Z2628" s="204"/>
      <c r="AA2628" s="204"/>
      <c r="AB2628" s="204"/>
      <c r="AC2628" s="204"/>
    </row>
    <row r="2629" spans="1:29">
      <c r="A2629" s="204"/>
      <c r="B2629" s="204"/>
      <c r="C2629" s="204"/>
      <c r="D2629" s="204"/>
      <c r="E2629" s="204"/>
      <c r="F2629" s="204"/>
      <c r="G2629" s="204"/>
      <c r="H2629" s="204"/>
      <c r="I2629" s="204"/>
      <c r="J2629" s="204"/>
      <c r="K2629" s="204"/>
      <c r="L2629" s="205"/>
      <c r="M2629" s="205"/>
      <c r="N2629" s="204"/>
      <c r="O2629" s="204"/>
      <c r="P2629" s="206"/>
      <c r="Q2629" s="206"/>
      <c r="R2629" s="206"/>
      <c r="S2629" s="206"/>
      <c r="T2629" s="204"/>
      <c r="U2629" s="207"/>
      <c r="V2629" s="204"/>
      <c r="W2629" s="204"/>
      <c r="X2629" s="207"/>
      <c r="Y2629" s="207"/>
      <c r="Z2629" s="204"/>
      <c r="AA2629" s="204"/>
      <c r="AB2629" s="204"/>
      <c r="AC2629" s="204"/>
    </row>
    <row r="2630" spans="1:29">
      <c r="A2630" s="204"/>
      <c r="B2630" s="204"/>
      <c r="C2630" s="204"/>
      <c r="D2630" s="204"/>
      <c r="E2630" s="204"/>
      <c r="F2630" s="204"/>
      <c r="G2630" s="204"/>
      <c r="H2630" s="204"/>
      <c r="I2630" s="204"/>
      <c r="J2630" s="204"/>
      <c r="K2630" s="204"/>
      <c r="L2630" s="205"/>
      <c r="M2630" s="205"/>
      <c r="N2630" s="204"/>
      <c r="O2630" s="204"/>
      <c r="P2630" s="206"/>
      <c r="Q2630" s="206"/>
      <c r="R2630" s="206"/>
      <c r="S2630" s="206"/>
      <c r="T2630" s="204"/>
      <c r="U2630" s="207"/>
      <c r="V2630" s="204"/>
      <c r="W2630" s="204"/>
      <c r="X2630" s="207"/>
      <c r="Y2630" s="207"/>
      <c r="Z2630" s="204"/>
      <c r="AA2630" s="204"/>
      <c r="AB2630" s="204"/>
      <c r="AC2630" s="204"/>
    </row>
    <row r="2631" spans="1:29">
      <c r="A2631" s="204"/>
      <c r="B2631" s="204"/>
      <c r="C2631" s="204"/>
      <c r="D2631" s="204"/>
      <c r="E2631" s="204"/>
      <c r="F2631" s="204"/>
      <c r="G2631" s="204"/>
      <c r="H2631" s="204"/>
      <c r="I2631" s="204"/>
      <c r="J2631" s="204"/>
      <c r="K2631" s="204"/>
      <c r="L2631" s="205"/>
      <c r="M2631" s="205"/>
      <c r="N2631" s="204"/>
      <c r="O2631" s="204"/>
      <c r="P2631" s="206"/>
      <c r="Q2631" s="206"/>
      <c r="R2631" s="206"/>
      <c r="S2631" s="206"/>
      <c r="T2631" s="204"/>
      <c r="U2631" s="207"/>
      <c r="V2631" s="204"/>
      <c r="W2631" s="204"/>
      <c r="X2631" s="207"/>
      <c r="Y2631" s="207"/>
      <c r="Z2631" s="204"/>
      <c r="AA2631" s="204"/>
      <c r="AB2631" s="204"/>
      <c r="AC2631" s="204"/>
    </row>
    <row r="2632" spans="1:29">
      <c r="A2632" s="204"/>
      <c r="B2632" s="204"/>
      <c r="C2632" s="204"/>
      <c r="D2632" s="204"/>
      <c r="E2632" s="204"/>
      <c r="F2632" s="204"/>
      <c r="G2632" s="204"/>
      <c r="H2632" s="204"/>
      <c r="I2632" s="204"/>
      <c r="J2632" s="204"/>
      <c r="K2632" s="204"/>
      <c r="L2632" s="205"/>
      <c r="M2632" s="205"/>
      <c r="N2632" s="204"/>
      <c r="O2632" s="204"/>
      <c r="P2632" s="206"/>
      <c r="Q2632" s="206"/>
      <c r="R2632" s="206"/>
      <c r="S2632" s="206"/>
      <c r="T2632" s="204"/>
      <c r="U2632" s="207"/>
      <c r="V2632" s="204"/>
      <c r="W2632" s="204"/>
      <c r="X2632" s="207"/>
      <c r="Y2632" s="207"/>
      <c r="Z2632" s="204"/>
      <c r="AA2632" s="204"/>
      <c r="AB2632" s="204"/>
      <c r="AC2632" s="204"/>
    </row>
    <row r="2633" spans="1:29">
      <c r="A2633" s="204"/>
      <c r="B2633" s="204"/>
      <c r="C2633" s="204"/>
      <c r="D2633" s="204"/>
      <c r="E2633" s="204"/>
      <c r="F2633" s="204"/>
      <c r="G2633" s="204"/>
      <c r="H2633" s="204"/>
      <c r="I2633" s="204"/>
      <c r="J2633" s="204"/>
      <c r="K2633" s="204"/>
      <c r="L2633" s="205"/>
      <c r="M2633" s="205"/>
      <c r="N2633" s="204"/>
      <c r="O2633" s="204"/>
      <c r="P2633" s="206"/>
      <c r="Q2633" s="206"/>
      <c r="R2633" s="206"/>
      <c r="S2633" s="206"/>
      <c r="T2633" s="204"/>
      <c r="U2633" s="207"/>
      <c r="V2633" s="204"/>
      <c r="W2633" s="204"/>
      <c r="X2633" s="207"/>
      <c r="Y2633" s="207"/>
      <c r="Z2633" s="204"/>
      <c r="AA2633" s="204"/>
      <c r="AB2633" s="204"/>
      <c r="AC2633" s="204"/>
    </row>
    <row r="2634" spans="1:29">
      <c r="A2634" s="204"/>
      <c r="B2634" s="204"/>
      <c r="C2634" s="204"/>
      <c r="D2634" s="204"/>
      <c r="E2634" s="204"/>
      <c r="F2634" s="204"/>
      <c r="G2634" s="204"/>
      <c r="H2634" s="204"/>
      <c r="I2634" s="204"/>
      <c r="J2634" s="204"/>
      <c r="K2634" s="204"/>
      <c r="L2634" s="205"/>
      <c r="M2634" s="205"/>
      <c r="N2634" s="204"/>
      <c r="O2634" s="204"/>
      <c r="P2634" s="206"/>
      <c r="Q2634" s="206"/>
      <c r="R2634" s="206"/>
      <c r="S2634" s="206"/>
      <c r="T2634" s="204"/>
      <c r="U2634" s="207"/>
      <c r="V2634" s="204"/>
      <c r="W2634" s="204"/>
      <c r="X2634" s="207"/>
      <c r="Y2634" s="207"/>
      <c r="Z2634" s="204"/>
      <c r="AA2634" s="204"/>
      <c r="AB2634" s="204"/>
      <c r="AC2634" s="204"/>
    </row>
    <row r="2635" spans="1:29">
      <c r="A2635" s="204"/>
      <c r="B2635" s="204"/>
      <c r="C2635" s="204"/>
      <c r="D2635" s="204"/>
      <c r="E2635" s="204"/>
      <c r="F2635" s="204"/>
      <c r="G2635" s="204"/>
      <c r="H2635" s="204"/>
      <c r="I2635" s="204"/>
      <c r="J2635" s="204"/>
      <c r="K2635" s="204"/>
      <c r="L2635" s="205"/>
      <c r="M2635" s="205"/>
      <c r="N2635" s="204"/>
      <c r="O2635" s="204"/>
      <c r="P2635" s="206"/>
      <c r="Q2635" s="206"/>
      <c r="R2635" s="206"/>
      <c r="S2635" s="206"/>
      <c r="T2635" s="204"/>
      <c r="U2635" s="207"/>
      <c r="V2635" s="204"/>
      <c r="W2635" s="204"/>
      <c r="X2635" s="207"/>
      <c r="Y2635" s="207"/>
      <c r="Z2635" s="204"/>
      <c r="AA2635" s="204"/>
      <c r="AB2635" s="204"/>
      <c r="AC2635" s="204"/>
    </row>
    <row r="2636" spans="1:29">
      <c r="A2636" s="204"/>
      <c r="B2636" s="204"/>
      <c r="C2636" s="204"/>
      <c r="D2636" s="204"/>
      <c r="E2636" s="204"/>
      <c r="F2636" s="204"/>
      <c r="G2636" s="204"/>
      <c r="H2636" s="204"/>
      <c r="I2636" s="204"/>
      <c r="J2636" s="204"/>
      <c r="K2636" s="204"/>
      <c r="L2636" s="205"/>
      <c r="M2636" s="205"/>
      <c r="N2636" s="204"/>
      <c r="O2636" s="204"/>
      <c r="P2636" s="206"/>
      <c r="Q2636" s="206"/>
      <c r="R2636" s="206"/>
      <c r="S2636" s="206"/>
      <c r="T2636" s="204"/>
      <c r="U2636" s="207"/>
      <c r="V2636" s="204"/>
      <c r="W2636" s="204"/>
      <c r="X2636" s="207"/>
      <c r="Y2636" s="207"/>
      <c r="Z2636" s="204"/>
      <c r="AA2636" s="204"/>
      <c r="AB2636" s="204"/>
      <c r="AC2636" s="204"/>
    </row>
    <row r="2637" spans="1:29">
      <c r="A2637" s="204"/>
      <c r="B2637" s="204"/>
      <c r="C2637" s="204"/>
      <c r="D2637" s="204"/>
      <c r="E2637" s="204"/>
      <c r="F2637" s="204"/>
      <c r="G2637" s="204"/>
      <c r="H2637" s="204"/>
      <c r="I2637" s="204"/>
      <c r="J2637" s="204"/>
      <c r="K2637" s="204"/>
      <c r="L2637" s="205"/>
      <c r="M2637" s="205"/>
      <c r="N2637" s="204"/>
      <c r="O2637" s="204"/>
      <c r="P2637" s="206"/>
      <c r="Q2637" s="206"/>
      <c r="R2637" s="206"/>
      <c r="S2637" s="206"/>
      <c r="T2637" s="204"/>
      <c r="U2637" s="207"/>
      <c r="V2637" s="204"/>
      <c r="W2637" s="204"/>
      <c r="X2637" s="207"/>
      <c r="Y2637" s="207"/>
      <c r="Z2637" s="204"/>
      <c r="AA2637" s="204"/>
      <c r="AB2637" s="204"/>
      <c r="AC2637" s="204"/>
    </row>
    <row r="2638" spans="1:29">
      <c r="A2638" s="204"/>
      <c r="B2638" s="204"/>
      <c r="C2638" s="204"/>
      <c r="D2638" s="204"/>
      <c r="E2638" s="204"/>
      <c r="F2638" s="204"/>
      <c r="G2638" s="204"/>
      <c r="H2638" s="204"/>
      <c r="I2638" s="204"/>
      <c r="J2638" s="204"/>
      <c r="K2638" s="204"/>
      <c r="L2638" s="205"/>
      <c r="M2638" s="205"/>
      <c r="N2638" s="204"/>
      <c r="O2638" s="204"/>
      <c r="P2638" s="206"/>
      <c r="Q2638" s="206"/>
      <c r="R2638" s="206"/>
      <c r="S2638" s="206"/>
      <c r="T2638" s="204"/>
      <c r="U2638" s="207"/>
      <c r="V2638" s="204"/>
      <c r="W2638" s="204"/>
      <c r="X2638" s="207"/>
      <c r="Y2638" s="207"/>
      <c r="Z2638" s="204"/>
      <c r="AA2638" s="204"/>
      <c r="AB2638" s="204"/>
      <c r="AC2638" s="204"/>
    </row>
    <row r="2639" spans="1:29">
      <c r="A2639" s="204"/>
      <c r="B2639" s="204"/>
      <c r="C2639" s="204"/>
      <c r="D2639" s="204"/>
      <c r="E2639" s="204"/>
      <c r="F2639" s="204"/>
      <c r="G2639" s="204"/>
      <c r="H2639" s="204"/>
      <c r="I2639" s="204"/>
      <c r="J2639" s="204"/>
      <c r="K2639" s="204"/>
      <c r="L2639" s="205"/>
      <c r="M2639" s="205"/>
      <c r="N2639" s="204"/>
      <c r="O2639" s="204"/>
      <c r="P2639" s="206"/>
      <c r="Q2639" s="206"/>
      <c r="R2639" s="206"/>
      <c r="S2639" s="206"/>
      <c r="T2639" s="204"/>
      <c r="U2639" s="207"/>
      <c r="V2639" s="204"/>
      <c r="W2639" s="204"/>
      <c r="X2639" s="207"/>
      <c r="Y2639" s="207"/>
      <c r="Z2639" s="204"/>
      <c r="AA2639" s="204"/>
      <c r="AB2639" s="204"/>
      <c r="AC2639" s="204"/>
    </row>
    <row r="2640" spans="1:29">
      <c r="A2640" s="204"/>
      <c r="B2640" s="204"/>
      <c r="C2640" s="204"/>
      <c r="D2640" s="204"/>
      <c r="E2640" s="204"/>
      <c r="F2640" s="204"/>
      <c r="G2640" s="204"/>
      <c r="H2640" s="204"/>
      <c r="I2640" s="204"/>
      <c r="J2640" s="204"/>
      <c r="K2640" s="204"/>
      <c r="L2640" s="205"/>
      <c r="M2640" s="205"/>
      <c r="N2640" s="204"/>
      <c r="O2640" s="204"/>
      <c r="P2640" s="206"/>
      <c r="Q2640" s="206"/>
      <c r="R2640" s="206"/>
      <c r="S2640" s="206"/>
      <c r="T2640" s="204"/>
      <c r="U2640" s="207"/>
      <c r="V2640" s="204"/>
      <c r="W2640" s="204"/>
      <c r="X2640" s="207"/>
      <c r="Y2640" s="207"/>
      <c r="Z2640" s="204"/>
      <c r="AA2640" s="204"/>
      <c r="AB2640" s="204"/>
      <c r="AC2640" s="204"/>
    </row>
    <row r="2641" spans="1:29">
      <c r="A2641" s="204"/>
      <c r="B2641" s="204"/>
      <c r="C2641" s="204"/>
      <c r="D2641" s="204"/>
      <c r="E2641" s="204"/>
      <c r="F2641" s="204"/>
      <c r="G2641" s="204"/>
      <c r="H2641" s="204"/>
      <c r="I2641" s="204"/>
      <c r="J2641" s="204"/>
      <c r="K2641" s="204"/>
      <c r="L2641" s="205"/>
      <c r="M2641" s="205"/>
      <c r="N2641" s="204"/>
      <c r="O2641" s="204"/>
      <c r="P2641" s="206"/>
      <c r="Q2641" s="206"/>
      <c r="R2641" s="206"/>
      <c r="S2641" s="206"/>
      <c r="T2641" s="204"/>
      <c r="U2641" s="207"/>
      <c r="V2641" s="204"/>
      <c r="W2641" s="204"/>
      <c r="X2641" s="207"/>
      <c r="Y2641" s="207"/>
      <c r="Z2641" s="204"/>
      <c r="AA2641" s="204"/>
      <c r="AB2641" s="204"/>
      <c r="AC2641" s="204"/>
    </row>
    <row r="2642" spans="1:29">
      <c r="A2642" s="204"/>
      <c r="B2642" s="204"/>
      <c r="C2642" s="204"/>
      <c r="D2642" s="204"/>
      <c r="E2642" s="204"/>
      <c r="F2642" s="204"/>
      <c r="G2642" s="204"/>
      <c r="H2642" s="204"/>
      <c r="I2642" s="204"/>
      <c r="J2642" s="204"/>
      <c r="K2642" s="204"/>
      <c r="L2642" s="205"/>
      <c r="M2642" s="205"/>
      <c r="N2642" s="204"/>
      <c r="O2642" s="204"/>
      <c r="P2642" s="206"/>
      <c r="Q2642" s="206"/>
      <c r="R2642" s="206"/>
      <c r="S2642" s="206"/>
      <c r="T2642" s="204"/>
      <c r="U2642" s="207"/>
      <c r="V2642" s="204"/>
      <c r="W2642" s="204"/>
      <c r="X2642" s="207"/>
      <c r="Y2642" s="207"/>
      <c r="Z2642" s="204"/>
      <c r="AA2642" s="204"/>
      <c r="AB2642" s="204"/>
      <c r="AC2642" s="204"/>
    </row>
    <row r="2643" spans="1:29">
      <c r="A2643" s="204"/>
      <c r="B2643" s="204"/>
      <c r="C2643" s="204"/>
      <c r="D2643" s="204"/>
      <c r="E2643" s="204"/>
      <c r="F2643" s="204"/>
      <c r="G2643" s="204"/>
      <c r="H2643" s="204"/>
      <c r="I2643" s="204"/>
      <c r="J2643" s="204"/>
      <c r="K2643" s="204"/>
      <c r="L2643" s="205"/>
      <c r="M2643" s="205"/>
      <c r="N2643" s="204"/>
      <c r="O2643" s="204"/>
      <c r="P2643" s="206"/>
      <c r="Q2643" s="206"/>
      <c r="R2643" s="206"/>
      <c r="S2643" s="206"/>
      <c r="T2643" s="204"/>
      <c r="U2643" s="207"/>
      <c r="V2643" s="204"/>
      <c r="W2643" s="204"/>
      <c r="X2643" s="207"/>
      <c r="Y2643" s="207"/>
      <c r="Z2643" s="204"/>
      <c r="AA2643" s="204"/>
      <c r="AB2643" s="204"/>
      <c r="AC2643" s="204"/>
    </row>
    <row r="2644" spans="1:29">
      <c r="A2644" s="204"/>
      <c r="B2644" s="204"/>
      <c r="C2644" s="204"/>
      <c r="D2644" s="204"/>
      <c r="E2644" s="204"/>
      <c r="F2644" s="204"/>
      <c r="G2644" s="204"/>
      <c r="H2644" s="204"/>
      <c r="I2644" s="204"/>
      <c r="J2644" s="204"/>
      <c r="K2644" s="204"/>
      <c r="L2644" s="205"/>
      <c r="M2644" s="205"/>
      <c r="N2644" s="204"/>
      <c r="O2644" s="204"/>
      <c r="P2644" s="206"/>
      <c r="Q2644" s="206"/>
      <c r="R2644" s="206"/>
      <c r="S2644" s="206"/>
      <c r="T2644" s="204"/>
      <c r="U2644" s="207"/>
      <c r="V2644" s="204"/>
      <c r="W2644" s="204"/>
      <c r="X2644" s="207"/>
      <c r="Y2644" s="207"/>
      <c r="Z2644" s="204"/>
      <c r="AA2644" s="204"/>
      <c r="AB2644" s="204"/>
      <c r="AC2644" s="204"/>
    </row>
    <row r="2645" spans="1:29">
      <c r="A2645" s="204"/>
      <c r="B2645" s="204"/>
      <c r="C2645" s="204"/>
      <c r="D2645" s="204"/>
      <c r="E2645" s="204"/>
      <c r="F2645" s="204"/>
      <c r="G2645" s="204"/>
      <c r="H2645" s="204"/>
      <c r="I2645" s="204"/>
      <c r="J2645" s="204"/>
      <c r="K2645" s="204"/>
      <c r="L2645" s="205"/>
      <c r="M2645" s="205"/>
      <c r="N2645" s="204"/>
      <c r="O2645" s="204"/>
      <c r="P2645" s="206"/>
      <c r="Q2645" s="206"/>
      <c r="R2645" s="206"/>
      <c r="S2645" s="206"/>
      <c r="T2645" s="204"/>
      <c r="U2645" s="207"/>
      <c r="V2645" s="204"/>
      <c r="W2645" s="204"/>
      <c r="X2645" s="207"/>
      <c r="Y2645" s="207"/>
      <c r="Z2645" s="204"/>
      <c r="AA2645" s="204"/>
      <c r="AB2645" s="204"/>
      <c r="AC2645" s="204"/>
    </row>
    <row r="2646" spans="1:29">
      <c r="A2646" s="204"/>
      <c r="B2646" s="204"/>
      <c r="C2646" s="204"/>
      <c r="D2646" s="204"/>
      <c r="E2646" s="204"/>
      <c r="F2646" s="204"/>
      <c r="G2646" s="204"/>
      <c r="H2646" s="204"/>
      <c r="I2646" s="204"/>
      <c r="J2646" s="204"/>
      <c r="K2646" s="204"/>
      <c r="L2646" s="205"/>
      <c r="M2646" s="205"/>
      <c r="N2646" s="204"/>
      <c r="O2646" s="204"/>
      <c r="P2646" s="206"/>
      <c r="Q2646" s="206"/>
      <c r="R2646" s="206"/>
      <c r="S2646" s="206"/>
      <c r="T2646" s="204"/>
      <c r="U2646" s="207"/>
      <c r="V2646" s="204"/>
      <c r="W2646" s="204"/>
      <c r="X2646" s="207"/>
      <c r="Y2646" s="207"/>
      <c r="Z2646" s="204"/>
      <c r="AA2646" s="204"/>
      <c r="AB2646" s="204"/>
      <c r="AC2646" s="204"/>
    </row>
    <row r="2647" spans="1:29">
      <c r="A2647" s="204"/>
      <c r="B2647" s="204"/>
      <c r="C2647" s="204"/>
      <c r="D2647" s="204"/>
      <c r="E2647" s="204"/>
      <c r="F2647" s="204"/>
      <c r="G2647" s="204"/>
      <c r="H2647" s="204"/>
      <c r="I2647" s="204"/>
      <c r="J2647" s="204"/>
      <c r="K2647" s="204"/>
      <c r="L2647" s="205"/>
      <c r="M2647" s="205"/>
      <c r="N2647" s="204"/>
      <c r="O2647" s="204"/>
      <c r="P2647" s="206"/>
      <c r="Q2647" s="206"/>
      <c r="R2647" s="206"/>
      <c r="S2647" s="206"/>
      <c r="T2647" s="204"/>
      <c r="U2647" s="207"/>
      <c r="V2647" s="204"/>
      <c r="W2647" s="204"/>
      <c r="X2647" s="207"/>
      <c r="Y2647" s="207"/>
      <c r="Z2647" s="204"/>
      <c r="AA2647" s="204"/>
      <c r="AB2647" s="204"/>
      <c r="AC2647" s="204"/>
    </row>
    <row r="2648" spans="1:29">
      <c r="A2648" s="204"/>
      <c r="B2648" s="204"/>
      <c r="C2648" s="204"/>
      <c r="D2648" s="204"/>
      <c r="E2648" s="204"/>
      <c r="F2648" s="204"/>
      <c r="G2648" s="204"/>
      <c r="H2648" s="204"/>
      <c r="I2648" s="204"/>
      <c r="J2648" s="204"/>
      <c r="K2648" s="204"/>
      <c r="L2648" s="205"/>
      <c r="M2648" s="205"/>
      <c r="N2648" s="204"/>
      <c r="O2648" s="204"/>
      <c r="P2648" s="206"/>
      <c r="Q2648" s="206"/>
      <c r="R2648" s="206"/>
      <c r="S2648" s="206"/>
      <c r="T2648" s="204"/>
      <c r="U2648" s="207"/>
      <c r="V2648" s="204"/>
      <c r="W2648" s="204"/>
      <c r="X2648" s="207"/>
      <c r="Y2648" s="207"/>
      <c r="Z2648" s="204"/>
      <c r="AA2648" s="204"/>
      <c r="AB2648" s="204"/>
      <c r="AC2648" s="204"/>
    </row>
    <row r="2649" spans="1:29">
      <c r="A2649" s="204"/>
      <c r="B2649" s="204"/>
      <c r="C2649" s="204"/>
      <c r="D2649" s="204"/>
      <c r="E2649" s="204"/>
      <c r="F2649" s="204"/>
      <c r="G2649" s="204"/>
      <c r="H2649" s="204"/>
      <c r="I2649" s="204"/>
      <c r="J2649" s="204"/>
      <c r="K2649" s="204"/>
      <c r="L2649" s="205"/>
      <c r="M2649" s="205"/>
      <c r="N2649" s="204"/>
      <c r="O2649" s="204"/>
      <c r="P2649" s="206"/>
      <c r="Q2649" s="206"/>
      <c r="R2649" s="206"/>
      <c r="S2649" s="206"/>
      <c r="T2649" s="204"/>
      <c r="U2649" s="207"/>
      <c r="V2649" s="204"/>
      <c r="W2649" s="204"/>
      <c r="X2649" s="207"/>
      <c r="Y2649" s="207"/>
      <c r="Z2649" s="204"/>
      <c r="AA2649" s="204"/>
      <c r="AB2649" s="204"/>
      <c r="AC2649" s="204"/>
    </row>
    <row r="2650" spans="1:29">
      <c r="A2650" s="204"/>
      <c r="B2650" s="204"/>
      <c r="C2650" s="204"/>
      <c r="D2650" s="204"/>
      <c r="E2650" s="204"/>
      <c r="F2650" s="204"/>
      <c r="G2650" s="204"/>
      <c r="H2650" s="204"/>
      <c r="I2650" s="204"/>
      <c r="J2650" s="204"/>
      <c r="K2650" s="204"/>
      <c r="L2650" s="205"/>
      <c r="M2650" s="205"/>
      <c r="N2650" s="204"/>
      <c r="O2650" s="204"/>
      <c r="P2650" s="206"/>
      <c r="Q2650" s="206"/>
      <c r="R2650" s="206"/>
      <c r="S2650" s="206"/>
      <c r="T2650" s="204"/>
      <c r="U2650" s="207"/>
      <c r="V2650" s="204"/>
      <c r="W2650" s="204"/>
      <c r="X2650" s="207"/>
      <c r="Y2650" s="207"/>
      <c r="Z2650" s="204"/>
      <c r="AA2650" s="204"/>
      <c r="AB2650" s="204"/>
      <c r="AC2650" s="204"/>
    </row>
    <row r="2651" spans="1:29">
      <c r="A2651" s="204"/>
      <c r="B2651" s="204"/>
      <c r="C2651" s="204"/>
      <c r="D2651" s="204"/>
      <c r="E2651" s="204"/>
      <c r="F2651" s="204"/>
      <c r="G2651" s="204"/>
      <c r="H2651" s="204"/>
      <c r="I2651" s="204"/>
      <c r="J2651" s="204"/>
      <c r="K2651" s="204"/>
      <c r="L2651" s="205"/>
      <c r="M2651" s="205"/>
      <c r="N2651" s="204"/>
      <c r="O2651" s="204"/>
      <c r="P2651" s="206"/>
      <c r="Q2651" s="206"/>
      <c r="R2651" s="206"/>
      <c r="S2651" s="206"/>
      <c r="T2651" s="204"/>
      <c r="U2651" s="207"/>
      <c r="V2651" s="204"/>
      <c r="W2651" s="204"/>
      <c r="X2651" s="207"/>
      <c r="Y2651" s="207"/>
      <c r="Z2651" s="204"/>
      <c r="AA2651" s="204"/>
      <c r="AB2651" s="204"/>
      <c r="AC2651" s="204"/>
    </row>
    <row r="2652" spans="1:29">
      <c r="A2652" s="204"/>
      <c r="B2652" s="204"/>
      <c r="C2652" s="204"/>
      <c r="D2652" s="204"/>
      <c r="E2652" s="204"/>
      <c r="F2652" s="204"/>
      <c r="G2652" s="204"/>
      <c r="H2652" s="204"/>
      <c r="I2652" s="204"/>
      <c r="J2652" s="204"/>
      <c r="K2652" s="204"/>
      <c r="L2652" s="205"/>
      <c r="M2652" s="205"/>
      <c r="N2652" s="204"/>
      <c r="O2652" s="204"/>
      <c r="P2652" s="206"/>
      <c r="Q2652" s="206"/>
      <c r="R2652" s="206"/>
      <c r="S2652" s="206"/>
      <c r="T2652" s="204"/>
      <c r="U2652" s="207"/>
      <c r="V2652" s="204"/>
      <c r="W2652" s="204"/>
      <c r="X2652" s="207"/>
      <c r="Y2652" s="207"/>
      <c r="Z2652" s="204"/>
      <c r="AA2652" s="204"/>
      <c r="AB2652" s="204"/>
      <c r="AC2652" s="204"/>
    </row>
    <row r="2653" spans="1:29">
      <c r="A2653" s="204"/>
      <c r="B2653" s="204"/>
      <c r="C2653" s="204"/>
      <c r="D2653" s="204"/>
      <c r="E2653" s="204"/>
      <c r="F2653" s="204"/>
      <c r="G2653" s="204"/>
      <c r="H2653" s="204"/>
      <c r="I2653" s="204"/>
      <c r="J2653" s="204"/>
      <c r="K2653" s="204"/>
      <c r="L2653" s="205"/>
      <c r="M2653" s="205"/>
      <c r="N2653" s="204"/>
      <c r="O2653" s="204"/>
      <c r="P2653" s="206"/>
      <c r="Q2653" s="206"/>
      <c r="R2653" s="206"/>
      <c r="S2653" s="206"/>
      <c r="T2653" s="204"/>
      <c r="U2653" s="207"/>
      <c r="V2653" s="204"/>
      <c r="W2653" s="204"/>
      <c r="X2653" s="207"/>
      <c r="Y2653" s="207"/>
      <c r="Z2653" s="204"/>
      <c r="AA2653" s="204"/>
      <c r="AB2653" s="204"/>
      <c r="AC2653" s="204"/>
    </row>
    <row r="2654" spans="1:29">
      <c r="A2654" s="204"/>
      <c r="B2654" s="204"/>
      <c r="C2654" s="204"/>
      <c r="D2654" s="204"/>
      <c r="E2654" s="204"/>
      <c r="F2654" s="204"/>
      <c r="G2654" s="204"/>
      <c r="H2654" s="204"/>
      <c r="I2654" s="204"/>
      <c r="J2654" s="204"/>
      <c r="K2654" s="204"/>
      <c r="L2654" s="205"/>
      <c r="M2654" s="205"/>
      <c r="N2654" s="204"/>
      <c r="O2654" s="204"/>
      <c r="P2654" s="206"/>
      <c r="Q2654" s="206"/>
      <c r="R2654" s="206"/>
      <c r="S2654" s="206"/>
      <c r="T2654" s="204"/>
      <c r="U2654" s="207"/>
      <c r="V2654" s="204"/>
      <c r="W2654" s="204"/>
      <c r="X2654" s="207"/>
      <c r="Y2654" s="207"/>
      <c r="Z2654" s="204"/>
      <c r="AA2654" s="204"/>
      <c r="AB2654" s="204"/>
      <c r="AC2654" s="204"/>
    </row>
    <row r="2655" spans="1:29">
      <c r="A2655" s="204"/>
      <c r="B2655" s="204"/>
      <c r="C2655" s="204"/>
      <c r="D2655" s="204"/>
      <c r="E2655" s="204"/>
      <c r="F2655" s="204"/>
      <c r="G2655" s="204"/>
      <c r="H2655" s="204"/>
      <c r="I2655" s="204"/>
      <c r="J2655" s="204"/>
      <c r="K2655" s="204"/>
      <c r="L2655" s="205"/>
      <c r="M2655" s="205"/>
      <c r="N2655" s="204"/>
      <c r="O2655" s="204"/>
      <c r="P2655" s="206"/>
      <c r="Q2655" s="206"/>
      <c r="R2655" s="206"/>
      <c r="S2655" s="206"/>
      <c r="T2655" s="204"/>
      <c r="U2655" s="207"/>
      <c r="V2655" s="204"/>
      <c r="W2655" s="204"/>
      <c r="X2655" s="207"/>
      <c r="Y2655" s="207"/>
      <c r="Z2655" s="204"/>
      <c r="AA2655" s="204"/>
      <c r="AB2655" s="204"/>
      <c r="AC2655" s="204"/>
    </row>
    <row r="2656" spans="1:29">
      <c r="A2656" s="204"/>
      <c r="B2656" s="204"/>
      <c r="C2656" s="204"/>
      <c r="D2656" s="204"/>
      <c r="E2656" s="204"/>
      <c r="F2656" s="204"/>
      <c r="G2656" s="204"/>
      <c r="H2656" s="204"/>
      <c r="I2656" s="204"/>
      <c r="J2656" s="204"/>
      <c r="K2656" s="204"/>
      <c r="L2656" s="205"/>
      <c r="M2656" s="205"/>
      <c r="N2656" s="204"/>
      <c r="O2656" s="204"/>
      <c r="P2656" s="206"/>
      <c r="Q2656" s="206"/>
      <c r="R2656" s="206"/>
      <c r="S2656" s="206"/>
      <c r="T2656" s="204"/>
      <c r="U2656" s="207"/>
      <c r="V2656" s="204"/>
      <c r="W2656" s="204"/>
      <c r="X2656" s="207"/>
      <c r="Y2656" s="207"/>
      <c r="Z2656" s="204"/>
      <c r="AA2656" s="204"/>
      <c r="AB2656" s="204"/>
      <c r="AC2656" s="204"/>
    </row>
    <row r="2657" spans="1:29">
      <c r="A2657" s="204"/>
      <c r="B2657" s="204"/>
      <c r="C2657" s="204"/>
      <c r="D2657" s="204"/>
      <c r="E2657" s="204"/>
      <c r="F2657" s="204"/>
      <c r="G2657" s="204"/>
      <c r="H2657" s="204"/>
      <c r="I2657" s="204"/>
      <c r="J2657" s="204"/>
      <c r="K2657" s="204"/>
      <c r="L2657" s="205"/>
      <c r="M2657" s="205"/>
      <c r="N2657" s="204"/>
      <c r="O2657" s="204"/>
      <c r="P2657" s="206"/>
      <c r="Q2657" s="206"/>
      <c r="R2657" s="206"/>
      <c r="S2657" s="206"/>
      <c r="T2657" s="204"/>
      <c r="U2657" s="207"/>
      <c r="V2657" s="204"/>
      <c r="W2657" s="204"/>
      <c r="X2657" s="207"/>
      <c r="Y2657" s="207"/>
      <c r="Z2657" s="204"/>
      <c r="AA2657" s="204"/>
      <c r="AB2657" s="204"/>
      <c r="AC2657" s="204"/>
    </row>
    <row r="2658" spans="1:29">
      <c r="A2658" s="204"/>
      <c r="B2658" s="204"/>
      <c r="C2658" s="204"/>
      <c r="D2658" s="204"/>
      <c r="E2658" s="204"/>
      <c r="F2658" s="204"/>
      <c r="G2658" s="204"/>
      <c r="H2658" s="204"/>
      <c r="I2658" s="204"/>
      <c r="J2658" s="204"/>
      <c r="K2658" s="204"/>
      <c r="L2658" s="205"/>
      <c r="M2658" s="205"/>
      <c r="N2658" s="204"/>
      <c r="O2658" s="204"/>
      <c r="P2658" s="206"/>
      <c r="Q2658" s="206"/>
      <c r="R2658" s="206"/>
      <c r="S2658" s="206"/>
      <c r="T2658" s="204"/>
      <c r="U2658" s="207"/>
      <c r="V2658" s="204"/>
      <c r="W2658" s="204"/>
      <c r="X2658" s="207"/>
      <c r="Y2658" s="207"/>
      <c r="Z2658" s="204"/>
      <c r="AA2658" s="204"/>
      <c r="AB2658" s="204"/>
      <c r="AC2658" s="204"/>
    </row>
    <row r="2659" spans="1:29">
      <c r="A2659" s="204"/>
      <c r="B2659" s="204"/>
      <c r="C2659" s="204"/>
      <c r="D2659" s="204"/>
      <c r="E2659" s="204"/>
      <c r="F2659" s="204"/>
      <c r="G2659" s="204"/>
      <c r="H2659" s="204"/>
      <c r="I2659" s="204"/>
      <c r="J2659" s="204"/>
      <c r="K2659" s="204"/>
      <c r="L2659" s="205"/>
      <c r="M2659" s="205"/>
      <c r="N2659" s="204"/>
      <c r="O2659" s="204"/>
      <c r="P2659" s="206"/>
      <c r="Q2659" s="206"/>
      <c r="R2659" s="206"/>
      <c r="S2659" s="206"/>
      <c r="T2659" s="204"/>
      <c r="U2659" s="207"/>
      <c r="V2659" s="204"/>
      <c r="W2659" s="204"/>
      <c r="X2659" s="207"/>
      <c r="Y2659" s="207"/>
      <c r="Z2659" s="204"/>
      <c r="AA2659" s="204"/>
      <c r="AB2659" s="204"/>
      <c r="AC2659" s="204"/>
    </row>
    <row r="2660" spans="1:29">
      <c r="A2660" s="204"/>
      <c r="B2660" s="204"/>
      <c r="C2660" s="204"/>
      <c r="D2660" s="204"/>
      <c r="E2660" s="204"/>
      <c r="F2660" s="204"/>
      <c r="G2660" s="204"/>
      <c r="H2660" s="204"/>
      <c r="I2660" s="204"/>
      <c r="J2660" s="204"/>
      <c r="K2660" s="204"/>
      <c r="L2660" s="205"/>
      <c r="M2660" s="205"/>
      <c r="N2660" s="204"/>
      <c r="O2660" s="204"/>
      <c r="P2660" s="206"/>
      <c r="Q2660" s="206"/>
      <c r="R2660" s="206"/>
      <c r="S2660" s="206"/>
      <c r="T2660" s="204"/>
      <c r="U2660" s="207"/>
      <c r="V2660" s="204"/>
      <c r="W2660" s="204"/>
      <c r="X2660" s="207"/>
      <c r="Y2660" s="207"/>
      <c r="Z2660" s="204"/>
      <c r="AA2660" s="204"/>
      <c r="AB2660" s="204"/>
      <c r="AC2660" s="204"/>
    </row>
    <row r="2661" spans="1:29">
      <c r="A2661" s="204"/>
      <c r="B2661" s="204"/>
      <c r="C2661" s="204"/>
      <c r="D2661" s="204"/>
      <c r="E2661" s="204"/>
      <c r="F2661" s="204"/>
      <c r="G2661" s="204"/>
      <c r="H2661" s="204"/>
      <c r="I2661" s="204"/>
      <c r="J2661" s="204"/>
      <c r="K2661" s="204"/>
      <c r="L2661" s="205"/>
      <c r="M2661" s="205"/>
      <c r="N2661" s="204"/>
      <c r="O2661" s="204"/>
      <c r="P2661" s="206"/>
      <c r="Q2661" s="206"/>
      <c r="R2661" s="206"/>
      <c r="S2661" s="206"/>
      <c r="T2661" s="204"/>
      <c r="U2661" s="207"/>
      <c r="V2661" s="204"/>
      <c r="W2661" s="204"/>
      <c r="X2661" s="207"/>
      <c r="Y2661" s="207"/>
      <c r="Z2661" s="204"/>
      <c r="AA2661" s="204"/>
      <c r="AB2661" s="204"/>
      <c r="AC2661" s="204"/>
    </row>
    <row r="2662" spans="1:29">
      <c r="A2662" s="204"/>
      <c r="B2662" s="204"/>
      <c r="C2662" s="204"/>
      <c r="D2662" s="204"/>
      <c r="E2662" s="204"/>
      <c r="F2662" s="204"/>
      <c r="G2662" s="204"/>
      <c r="H2662" s="204"/>
      <c r="I2662" s="204"/>
      <c r="J2662" s="204"/>
      <c r="K2662" s="204"/>
      <c r="L2662" s="205"/>
      <c r="M2662" s="205"/>
      <c r="N2662" s="204"/>
      <c r="O2662" s="204"/>
      <c r="P2662" s="206"/>
      <c r="Q2662" s="206"/>
      <c r="R2662" s="206"/>
      <c r="S2662" s="206"/>
      <c r="T2662" s="204"/>
      <c r="U2662" s="207"/>
      <c r="V2662" s="204"/>
      <c r="W2662" s="204"/>
      <c r="X2662" s="207"/>
      <c r="Y2662" s="207"/>
      <c r="Z2662" s="204"/>
      <c r="AA2662" s="204"/>
      <c r="AB2662" s="204"/>
      <c r="AC2662" s="204"/>
    </row>
    <row r="2663" spans="1:29">
      <c r="A2663" s="204"/>
      <c r="B2663" s="204"/>
      <c r="C2663" s="204"/>
      <c r="D2663" s="204"/>
      <c r="E2663" s="204"/>
      <c r="F2663" s="204"/>
      <c r="G2663" s="204"/>
      <c r="H2663" s="204"/>
      <c r="I2663" s="204"/>
      <c r="J2663" s="204"/>
      <c r="K2663" s="204"/>
      <c r="L2663" s="205"/>
      <c r="M2663" s="205"/>
      <c r="N2663" s="204"/>
      <c r="O2663" s="204"/>
      <c r="P2663" s="206"/>
      <c r="Q2663" s="206"/>
      <c r="R2663" s="206"/>
      <c r="S2663" s="206"/>
      <c r="T2663" s="204"/>
      <c r="U2663" s="207"/>
      <c r="V2663" s="204"/>
      <c r="W2663" s="204"/>
      <c r="X2663" s="207"/>
      <c r="Y2663" s="207"/>
      <c r="Z2663" s="204"/>
      <c r="AA2663" s="204"/>
      <c r="AB2663" s="204"/>
      <c r="AC2663" s="204"/>
    </row>
    <row r="2664" spans="1:29">
      <c r="A2664" s="204"/>
      <c r="B2664" s="204"/>
      <c r="C2664" s="204"/>
      <c r="D2664" s="204"/>
      <c r="E2664" s="204"/>
      <c r="F2664" s="204"/>
      <c r="G2664" s="204"/>
      <c r="H2664" s="204"/>
      <c r="I2664" s="204"/>
      <c r="J2664" s="204"/>
      <c r="K2664" s="204"/>
      <c r="L2664" s="205"/>
      <c r="M2664" s="205"/>
      <c r="N2664" s="204"/>
      <c r="O2664" s="204"/>
      <c r="P2664" s="206"/>
      <c r="Q2664" s="206"/>
      <c r="R2664" s="206"/>
      <c r="S2664" s="206"/>
      <c r="T2664" s="204"/>
      <c r="U2664" s="207"/>
      <c r="V2664" s="204"/>
      <c r="W2664" s="204"/>
      <c r="X2664" s="207"/>
      <c r="Y2664" s="207"/>
      <c r="Z2664" s="204"/>
      <c r="AA2664" s="204"/>
      <c r="AB2664" s="204"/>
      <c r="AC2664" s="204"/>
    </row>
    <row r="2665" spans="1:29">
      <c r="A2665" s="204"/>
      <c r="B2665" s="204"/>
      <c r="C2665" s="204"/>
      <c r="D2665" s="204"/>
      <c r="E2665" s="204"/>
      <c r="F2665" s="204"/>
      <c r="G2665" s="204"/>
      <c r="H2665" s="204"/>
      <c r="I2665" s="204"/>
      <c r="J2665" s="204"/>
      <c r="K2665" s="204"/>
      <c r="L2665" s="205"/>
      <c r="M2665" s="205"/>
      <c r="N2665" s="204"/>
      <c r="O2665" s="204"/>
      <c r="P2665" s="206"/>
      <c r="Q2665" s="206"/>
      <c r="R2665" s="206"/>
      <c r="S2665" s="206"/>
      <c r="T2665" s="204"/>
      <c r="U2665" s="207"/>
      <c r="V2665" s="204"/>
      <c r="W2665" s="204"/>
      <c r="X2665" s="207"/>
      <c r="Y2665" s="207"/>
      <c r="Z2665" s="204"/>
      <c r="AA2665" s="204"/>
      <c r="AB2665" s="204"/>
      <c r="AC2665" s="204"/>
    </row>
    <row r="2666" spans="1:29">
      <c r="A2666" s="204"/>
      <c r="B2666" s="204"/>
      <c r="C2666" s="204"/>
      <c r="D2666" s="204"/>
      <c r="E2666" s="204"/>
      <c r="F2666" s="204"/>
      <c r="G2666" s="204"/>
      <c r="H2666" s="204"/>
      <c r="I2666" s="204"/>
      <c r="J2666" s="204"/>
      <c r="K2666" s="204"/>
      <c r="L2666" s="205"/>
      <c r="M2666" s="205"/>
      <c r="N2666" s="204"/>
      <c r="O2666" s="204"/>
      <c r="P2666" s="206"/>
      <c r="Q2666" s="206"/>
      <c r="R2666" s="206"/>
      <c r="S2666" s="206"/>
      <c r="T2666" s="204"/>
      <c r="U2666" s="207"/>
      <c r="V2666" s="204"/>
      <c r="W2666" s="204"/>
      <c r="X2666" s="207"/>
      <c r="Y2666" s="207"/>
      <c r="Z2666" s="204"/>
      <c r="AA2666" s="204"/>
      <c r="AB2666" s="204"/>
      <c r="AC2666" s="204"/>
    </row>
    <row r="2667" spans="1:29">
      <c r="A2667" s="204"/>
      <c r="B2667" s="204"/>
      <c r="C2667" s="204"/>
      <c r="D2667" s="204"/>
      <c r="E2667" s="204"/>
      <c r="F2667" s="204"/>
      <c r="G2667" s="204"/>
      <c r="H2667" s="204"/>
      <c r="I2667" s="204"/>
      <c r="J2667" s="204"/>
      <c r="K2667" s="204"/>
      <c r="L2667" s="205"/>
      <c r="M2667" s="205"/>
      <c r="N2667" s="204"/>
      <c r="O2667" s="204"/>
      <c r="P2667" s="206"/>
      <c r="Q2667" s="206"/>
      <c r="R2667" s="206"/>
      <c r="S2667" s="206"/>
      <c r="T2667" s="204"/>
      <c r="U2667" s="207"/>
      <c r="V2667" s="204"/>
      <c r="W2667" s="204"/>
      <c r="X2667" s="207"/>
      <c r="Y2667" s="207"/>
      <c r="Z2667" s="204"/>
      <c r="AA2667" s="204"/>
      <c r="AB2667" s="204"/>
      <c r="AC2667" s="204"/>
    </row>
    <row r="2668" spans="1:29">
      <c r="A2668" s="204"/>
      <c r="B2668" s="204"/>
      <c r="C2668" s="204"/>
      <c r="D2668" s="204"/>
      <c r="E2668" s="204"/>
      <c r="F2668" s="204"/>
      <c r="G2668" s="204"/>
      <c r="H2668" s="204"/>
      <c r="I2668" s="204"/>
      <c r="J2668" s="204"/>
      <c r="K2668" s="204"/>
      <c r="L2668" s="205"/>
      <c r="M2668" s="205"/>
      <c r="N2668" s="204"/>
      <c r="O2668" s="204"/>
      <c r="P2668" s="206"/>
      <c r="Q2668" s="206"/>
      <c r="R2668" s="206"/>
      <c r="S2668" s="206"/>
      <c r="T2668" s="204"/>
      <c r="U2668" s="207"/>
      <c r="V2668" s="204"/>
      <c r="W2668" s="204"/>
      <c r="X2668" s="207"/>
      <c r="Y2668" s="207"/>
      <c r="Z2668" s="204"/>
      <c r="AA2668" s="204"/>
      <c r="AB2668" s="204"/>
      <c r="AC2668" s="204"/>
    </row>
    <row r="2669" spans="1:29">
      <c r="A2669" s="204"/>
      <c r="B2669" s="204"/>
      <c r="C2669" s="204"/>
      <c r="D2669" s="204"/>
      <c r="E2669" s="204"/>
      <c r="F2669" s="204"/>
      <c r="G2669" s="204"/>
      <c r="H2669" s="204"/>
      <c r="I2669" s="204"/>
      <c r="J2669" s="204"/>
      <c r="K2669" s="204"/>
      <c r="L2669" s="205"/>
      <c r="M2669" s="205"/>
      <c r="N2669" s="204"/>
      <c r="O2669" s="204"/>
      <c r="P2669" s="206"/>
      <c r="Q2669" s="206"/>
      <c r="R2669" s="206"/>
      <c r="S2669" s="206"/>
      <c r="T2669" s="204"/>
      <c r="U2669" s="207"/>
      <c r="V2669" s="204"/>
      <c r="W2669" s="204"/>
      <c r="X2669" s="207"/>
      <c r="Y2669" s="207"/>
      <c r="Z2669" s="204"/>
      <c r="AA2669" s="204"/>
      <c r="AB2669" s="204"/>
      <c r="AC2669" s="204"/>
    </row>
    <row r="2670" spans="1:29">
      <c r="A2670" s="204"/>
      <c r="B2670" s="204"/>
      <c r="C2670" s="204"/>
      <c r="D2670" s="204"/>
      <c r="E2670" s="204"/>
      <c r="F2670" s="204"/>
      <c r="G2670" s="204"/>
      <c r="H2670" s="204"/>
      <c r="I2670" s="204"/>
      <c r="J2670" s="204"/>
      <c r="K2670" s="204"/>
      <c r="L2670" s="205"/>
      <c r="M2670" s="205"/>
      <c r="N2670" s="204"/>
      <c r="O2670" s="204"/>
      <c r="P2670" s="206"/>
      <c r="Q2670" s="206"/>
      <c r="R2670" s="206"/>
      <c r="S2670" s="206"/>
      <c r="T2670" s="204"/>
      <c r="U2670" s="207"/>
      <c r="V2670" s="204"/>
      <c r="W2670" s="204"/>
      <c r="X2670" s="207"/>
      <c r="Y2670" s="207"/>
      <c r="Z2670" s="204"/>
      <c r="AA2670" s="204"/>
      <c r="AB2670" s="204"/>
      <c r="AC2670" s="204"/>
    </row>
    <row r="2671" spans="1:29">
      <c r="A2671" s="204"/>
      <c r="B2671" s="204"/>
      <c r="C2671" s="204"/>
      <c r="D2671" s="204"/>
      <c r="E2671" s="204"/>
      <c r="F2671" s="204"/>
      <c r="G2671" s="204"/>
      <c r="H2671" s="204"/>
      <c r="I2671" s="204"/>
      <c r="J2671" s="204"/>
      <c r="K2671" s="204"/>
      <c r="L2671" s="205"/>
      <c r="M2671" s="205"/>
      <c r="N2671" s="204"/>
      <c r="O2671" s="204"/>
      <c r="P2671" s="206"/>
      <c r="Q2671" s="206"/>
      <c r="R2671" s="206"/>
      <c r="S2671" s="206"/>
      <c r="T2671" s="204"/>
      <c r="U2671" s="207"/>
      <c r="V2671" s="204"/>
      <c r="W2671" s="204"/>
      <c r="X2671" s="207"/>
      <c r="Y2671" s="207"/>
      <c r="Z2671" s="204"/>
      <c r="AA2671" s="204"/>
      <c r="AB2671" s="204"/>
      <c r="AC2671" s="204"/>
    </row>
    <row r="2672" spans="1:29">
      <c r="A2672" s="204"/>
      <c r="B2672" s="204"/>
      <c r="C2672" s="204"/>
      <c r="D2672" s="204"/>
      <c r="E2672" s="204"/>
      <c r="F2672" s="204"/>
      <c r="G2672" s="204"/>
      <c r="H2672" s="204"/>
      <c r="I2672" s="204"/>
      <c r="J2672" s="204"/>
      <c r="K2672" s="204"/>
      <c r="L2672" s="205"/>
      <c r="M2672" s="205"/>
      <c r="N2672" s="204"/>
      <c r="O2672" s="204"/>
      <c r="P2672" s="206"/>
      <c r="Q2672" s="206"/>
      <c r="R2672" s="206"/>
      <c r="S2672" s="206"/>
      <c r="T2672" s="204"/>
      <c r="U2672" s="207"/>
      <c r="V2672" s="204"/>
      <c r="W2672" s="204"/>
      <c r="X2672" s="207"/>
      <c r="Y2672" s="207"/>
      <c r="Z2672" s="204"/>
      <c r="AA2672" s="204"/>
      <c r="AB2672" s="204"/>
      <c r="AC2672" s="204"/>
    </row>
    <row r="2673" spans="1:29">
      <c r="A2673" s="204"/>
      <c r="B2673" s="204"/>
      <c r="C2673" s="204"/>
      <c r="D2673" s="204"/>
      <c r="E2673" s="204"/>
      <c r="F2673" s="204"/>
      <c r="G2673" s="204"/>
      <c r="H2673" s="204"/>
      <c r="I2673" s="204"/>
      <c r="J2673" s="204"/>
      <c r="K2673" s="204"/>
      <c r="L2673" s="205"/>
      <c r="M2673" s="205"/>
      <c r="N2673" s="204"/>
      <c r="O2673" s="204"/>
      <c r="P2673" s="206"/>
      <c r="Q2673" s="206"/>
      <c r="R2673" s="206"/>
      <c r="S2673" s="206"/>
      <c r="T2673" s="204"/>
      <c r="U2673" s="207"/>
      <c r="V2673" s="204"/>
      <c r="W2673" s="204"/>
      <c r="X2673" s="207"/>
      <c r="Y2673" s="207"/>
      <c r="Z2673" s="204"/>
      <c r="AA2673" s="204"/>
      <c r="AB2673" s="204"/>
      <c r="AC2673" s="204"/>
    </row>
    <row r="2674" spans="1:29">
      <c r="A2674" s="204"/>
      <c r="B2674" s="204"/>
      <c r="C2674" s="204"/>
      <c r="D2674" s="204"/>
      <c r="E2674" s="204"/>
      <c r="F2674" s="204"/>
      <c r="G2674" s="204"/>
      <c r="H2674" s="204"/>
      <c r="I2674" s="204"/>
      <c r="J2674" s="204"/>
      <c r="K2674" s="204"/>
      <c r="L2674" s="205"/>
      <c r="M2674" s="205"/>
      <c r="N2674" s="204"/>
      <c r="O2674" s="204"/>
      <c r="P2674" s="206"/>
      <c r="Q2674" s="206"/>
      <c r="R2674" s="206"/>
      <c r="S2674" s="206"/>
      <c r="T2674" s="204"/>
      <c r="U2674" s="207"/>
      <c r="V2674" s="204"/>
      <c r="W2674" s="204"/>
      <c r="X2674" s="207"/>
      <c r="Y2674" s="207"/>
      <c r="Z2674" s="204"/>
      <c r="AA2674" s="204"/>
      <c r="AB2674" s="204"/>
      <c r="AC2674" s="204"/>
    </row>
    <row r="2675" spans="1:29">
      <c r="A2675" s="204"/>
      <c r="B2675" s="204"/>
      <c r="C2675" s="204"/>
      <c r="D2675" s="204"/>
      <c r="E2675" s="204"/>
      <c r="F2675" s="204"/>
      <c r="G2675" s="204"/>
      <c r="H2675" s="204"/>
      <c r="I2675" s="204"/>
      <c r="J2675" s="204"/>
      <c r="K2675" s="204"/>
      <c r="L2675" s="205"/>
      <c r="M2675" s="205"/>
      <c r="N2675" s="204"/>
      <c r="O2675" s="204"/>
      <c r="P2675" s="206"/>
      <c r="Q2675" s="206"/>
      <c r="R2675" s="206"/>
      <c r="S2675" s="206"/>
      <c r="T2675" s="204"/>
      <c r="U2675" s="207"/>
      <c r="V2675" s="204"/>
      <c r="W2675" s="204"/>
      <c r="X2675" s="207"/>
      <c r="Y2675" s="207"/>
      <c r="Z2675" s="204"/>
      <c r="AA2675" s="204"/>
      <c r="AB2675" s="204"/>
      <c r="AC2675" s="204"/>
    </row>
    <row r="2676" spans="1:29">
      <c r="A2676" s="204"/>
      <c r="B2676" s="204"/>
      <c r="C2676" s="204"/>
      <c r="D2676" s="204"/>
      <c r="E2676" s="204"/>
      <c r="F2676" s="204"/>
      <c r="G2676" s="204"/>
      <c r="H2676" s="204"/>
      <c r="I2676" s="204"/>
      <c r="J2676" s="204"/>
      <c r="K2676" s="204"/>
      <c r="L2676" s="205"/>
      <c r="M2676" s="205"/>
      <c r="N2676" s="204"/>
      <c r="O2676" s="204"/>
      <c r="P2676" s="206"/>
      <c r="Q2676" s="206"/>
      <c r="R2676" s="206"/>
      <c r="S2676" s="206"/>
      <c r="T2676" s="204"/>
      <c r="U2676" s="207"/>
      <c r="V2676" s="204"/>
      <c r="W2676" s="204"/>
      <c r="X2676" s="207"/>
      <c r="Y2676" s="207"/>
      <c r="Z2676" s="204"/>
      <c r="AA2676" s="204"/>
      <c r="AB2676" s="204"/>
      <c r="AC2676" s="204"/>
    </row>
    <row r="2677" spans="1:29">
      <c r="A2677" s="204"/>
      <c r="B2677" s="204"/>
      <c r="C2677" s="204"/>
      <c r="D2677" s="204"/>
      <c r="E2677" s="204"/>
      <c r="F2677" s="204"/>
      <c r="G2677" s="204"/>
      <c r="H2677" s="204"/>
      <c r="I2677" s="204"/>
      <c r="J2677" s="204"/>
      <c r="K2677" s="204"/>
      <c r="L2677" s="205"/>
      <c r="M2677" s="205"/>
      <c r="N2677" s="204"/>
      <c r="O2677" s="204"/>
      <c r="P2677" s="206"/>
      <c r="Q2677" s="206"/>
      <c r="R2677" s="206"/>
      <c r="S2677" s="206"/>
      <c r="T2677" s="204"/>
      <c r="U2677" s="207"/>
      <c r="V2677" s="204"/>
      <c r="W2677" s="204"/>
      <c r="X2677" s="207"/>
      <c r="Y2677" s="207"/>
      <c r="Z2677" s="204"/>
      <c r="AA2677" s="204"/>
      <c r="AB2677" s="204"/>
      <c r="AC2677" s="204"/>
    </row>
    <row r="2678" spans="1:29">
      <c r="A2678" s="204"/>
      <c r="B2678" s="204"/>
      <c r="C2678" s="204"/>
      <c r="D2678" s="204"/>
      <c r="E2678" s="204"/>
      <c r="F2678" s="204"/>
      <c r="G2678" s="204"/>
      <c r="H2678" s="204"/>
      <c r="I2678" s="204"/>
      <c r="J2678" s="204"/>
      <c r="K2678" s="204"/>
      <c r="L2678" s="205"/>
      <c r="M2678" s="205"/>
      <c r="N2678" s="204"/>
      <c r="O2678" s="204"/>
      <c r="P2678" s="206"/>
      <c r="Q2678" s="206"/>
      <c r="R2678" s="206"/>
      <c r="S2678" s="206"/>
      <c r="T2678" s="204"/>
      <c r="U2678" s="207"/>
      <c r="V2678" s="204"/>
      <c r="W2678" s="204"/>
      <c r="X2678" s="207"/>
      <c r="Y2678" s="207"/>
      <c r="Z2678" s="204"/>
      <c r="AA2678" s="204"/>
      <c r="AB2678" s="204"/>
      <c r="AC2678" s="204"/>
    </row>
    <row r="2679" spans="1:29">
      <c r="A2679" s="204"/>
      <c r="B2679" s="204"/>
      <c r="C2679" s="204"/>
      <c r="D2679" s="204"/>
      <c r="E2679" s="204"/>
      <c r="F2679" s="204"/>
      <c r="G2679" s="204"/>
      <c r="H2679" s="204"/>
      <c r="I2679" s="204"/>
      <c r="J2679" s="204"/>
      <c r="K2679" s="204"/>
      <c r="L2679" s="205"/>
      <c r="M2679" s="205"/>
      <c r="N2679" s="204"/>
      <c r="O2679" s="204"/>
      <c r="P2679" s="206"/>
      <c r="Q2679" s="206"/>
      <c r="R2679" s="206"/>
      <c r="S2679" s="206"/>
      <c r="T2679" s="204"/>
      <c r="U2679" s="207"/>
      <c r="V2679" s="204"/>
      <c r="W2679" s="204"/>
      <c r="X2679" s="207"/>
      <c r="Y2679" s="207"/>
      <c r="Z2679" s="204"/>
      <c r="AA2679" s="204"/>
      <c r="AB2679" s="204"/>
      <c r="AC2679" s="204"/>
    </row>
    <row r="2680" spans="1:29">
      <c r="A2680" s="204"/>
      <c r="B2680" s="204"/>
      <c r="C2680" s="204"/>
      <c r="D2680" s="204"/>
      <c r="E2680" s="204"/>
      <c r="F2680" s="204"/>
      <c r="G2680" s="204"/>
      <c r="H2680" s="204"/>
      <c r="I2680" s="204"/>
      <c r="J2680" s="204"/>
      <c r="K2680" s="204"/>
      <c r="L2680" s="205"/>
      <c r="M2680" s="205"/>
      <c r="N2680" s="204"/>
      <c r="O2680" s="204"/>
      <c r="P2680" s="206"/>
      <c r="Q2680" s="206"/>
      <c r="R2680" s="206"/>
      <c r="S2680" s="206"/>
      <c r="T2680" s="204"/>
      <c r="U2680" s="207"/>
      <c r="V2680" s="204"/>
      <c r="W2680" s="204"/>
      <c r="X2680" s="207"/>
      <c r="Y2680" s="207"/>
      <c r="Z2680" s="204"/>
      <c r="AA2680" s="204"/>
      <c r="AB2680" s="204"/>
      <c r="AC2680" s="204"/>
    </row>
    <row r="2681" spans="1:29">
      <c r="A2681" s="204"/>
      <c r="B2681" s="204"/>
      <c r="C2681" s="204"/>
      <c r="D2681" s="204"/>
      <c r="E2681" s="204"/>
      <c r="F2681" s="204"/>
      <c r="G2681" s="204"/>
      <c r="H2681" s="204"/>
      <c r="I2681" s="204"/>
      <c r="J2681" s="204"/>
      <c r="K2681" s="204"/>
      <c r="L2681" s="205"/>
      <c r="M2681" s="205"/>
      <c r="N2681" s="204"/>
      <c r="O2681" s="204"/>
      <c r="P2681" s="206"/>
      <c r="Q2681" s="206"/>
      <c r="R2681" s="206"/>
      <c r="S2681" s="206"/>
      <c r="T2681" s="204"/>
      <c r="U2681" s="207"/>
      <c r="V2681" s="204"/>
      <c r="W2681" s="204"/>
      <c r="X2681" s="207"/>
      <c r="Y2681" s="207"/>
      <c r="Z2681" s="204"/>
      <c r="AA2681" s="204"/>
      <c r="AB2681" s="204"/>
      <c r="AC2681" s="204"/>
    </row>
    <row r="2682" spans="1:29">
      <c r="A2682" s="204"/>
      <c r="B2682" s="204"/>
      <c r="C2682" s="204"/>
      <c r="D2682" s="204"/>
      <c r="E2682" s="204"/>
      <c r="F2682" s="204"/>
      <c r="G2682" s="204"/>
      <c r="H2682" s="204"/>
      <c r="I2682" s="204"/>
      <c r="J2682" s="204"/>
      <c r="K2682" s="204"/>
      <c r="L2682" s="205"/>
      <c r="M2682" s="205"/>
      <c r="N2682" s="204"/>
      <c r="O2682" s="204"/>
      <c r="P2682" s="206"/>
      <c r="Q2682" s="206"/>
      <c r="R2682" s="206"/>
      <c r="S2682" s="206"/>
      <c r="T2682" s="204"/>
      <c r="U2682" s="207"/>
      <c r="V2682" s="204"/>
      <c r="W2682" s="204"/>
      <c r="X2682" s="207"/>
      <c r="Y2682" s="207"/>
      <c r="Z2682" s="204"/>
      <c r="AA2682" s="204"/>
      <c r="AB2682" s="204"/>
      <c r="AC2682" s="204"/>
    </row>
    <row r="2683" spans="1:29">
      <c r="A2683" s="204"/>
      <c r="B2683" s="204"/>
      <c r="C2683" s="204"/>
      <c r="D2683" s="204"/>
      <c r="E2683" s="204"/>
      <c r="F2683" s="204"/>
      <c r="G2683" s="204"/>
      <c r="H2683" s="204"/>
      <c r="I2683" s="204"/>
      <c r="J2683" s="204"/>
      <c r="K2683" s="204"/>
      <c r="L2683" s="205"/>
      <c r="M2683" s="205"/>
      <c r="N2683" s="204"/>
      <c r="O2683" s="204"/>
      <c r="P2683" s="206"/>
      <c r="Q2683" s="206"/>
      <c r="R2683" s="206"/>
      <c r="S2683" s="206"/>
      <c r="T2683" s="204"/>
      <c r="U2683" s="207"/>
      <c r="V2683" s="204"/>
      <c r="W2683" s="204"/>
      <c r="X2683" s="207"/>
      <c r="Y2683" s="207"/>
      <c r="Z2683" s="204"/>
      <c r="AA2683" s="204"/>
      <c r="AB2683" s="204"/>
      <c r="AC2683" s="204"/>
    </row>
    <row r="2684" spans="1:29">
      <c r="A2684" s="204"/>
      <c r="B2684" s="204"/>
      <c r="C2684" s="204"/>
      <c r="D2684" s="204"/>
      <c r="E2684" s="204"/>
      <c r="F2684" s="204"/>
      <c r="G2684" s="204"/>
      <c r="H2684" s="204"/>
      <c r="I2684" s="204"/>
      <c r="J2684" s="204"/>
      <c r="K2684" s="204"/>
      <c r="L2684" s="205"/>
      <c r="M2684" s="205"/>
      <c r="N2684" s="204"/>
      <c r="O2684" s="204"/>
      <c r="P2684" s="206"/>
      <c r="Q2684" s="206"/>
      <c r="R2684" s="206"/>
      <c r="S2684" s="206"/>
      <c r="T2684" s="204"/>
      <c r="U2684" s="207"/>
      <c r="V2684" s="204"/>
      <c r="W2684" s="204"/>
      <c r="X2684" s="207"/>
      <c r="Y2684" s="207"/>
      <c r="Z2684" s="204"/>
      <c r="AA2684" s="204"/>
      <c r="AB2684" s="204"/>
      <c r="AC2684" s="204"/>
    </row>
    <row r="2685" spans="1:29">
      <c r="A2685" s="204"/>
      <c r="B2685" s="204"/>
      <c r="C2685" s="204"/>
      <c r="D2685" s="204"/>
      <c r="E2685" s="204"/>
      <c r="F2685" s="204"/>
      <c r="G2685" s="204"/>
      <c r="H2685" s="204"/>
      <c r="I2685" s="204"/>
      <c r="J2685" s="204"/>
      <c r="K2685" s="204"/>
      <c r="L2685" s="205"/>
      <c r="M2685" s="205"/>
      <c r="N2685" s="204"/>
      <c r="O2685" s="204"/>
      <c r="P2685" s="206"/>
      <c r="Q2685" s="206"/>
      <c r="R2685" s="206"/>
      <c r="S2685" s="206"/>
      <c r="T2685" s="204"/>
      <c r="U2685" s="207"/>
      <c r="V2685" s="204"/>
      <c r="W2685" s="204"/>
      <c r="X2685" s="207"/>
      <c r="Y2685" s="207"/>
      <c r="Z2685" s="204"/>
      <c r="AA2685" s="204"/>
      <c r="AB2685" s="204"/>
      <c r="AC2685" s="204"/>
    </row>
    <row r="2686" spans="1:29">
      <c r="A2686" s="204"/>
      <c r="B2686" s="204"/>
      <c r="C2686" s="204"/>
      <c r="D2686" s="204"/>
      <c r="E2686" s="204"/>
      <c r="F2686" s="204"/>
      <c r="G2686" s="204"/>
      <c r="H2686" s="204"/>
      <c r="I2686" s="204"/>
      <c r="J2686" s="204"/>
      <c r="K2686" s="204"/>
      <c r="L2686" s="205"/>
      <c r="M2686" s="205"/>
      <c r="N2686" s="204"/>
      <c r="O2686" s="204"/>
      <c r="P2686" s="206"/>
      <c r="Q2686" s="206"/>
      <c r="R2686" s="206"/>
      <c r="S2686" s="206"/>
      <c r="T2686" s="204"/>
      <c r="U2686" s="207"/>
      <c r="V2686" s="204"/>
      <c r="W2686" s="204"/>
      <c r="X2686" s="207"/>
      <c r="Y2686" s="207"/>
      <c r="Z2686" s="204"/>
      <c r="AA2686" s="204"/>
      <c r="AB2686" s="204"/>
      <c r="AC2686" s="204"/>
    </row>
    <row r="2687" spans="1:29">
      <c r="A2687" s="204"/>
      <c r="B2687" s="204"/>
      <c r="C2687" s="204"/>
      <c r="D2687" s="204"/>
      <c r="E2687" s="204"/>
      <c r="F2687" s="204"/>
      <c r="G2687" s="204"/>
      <c r="H2687" s="204"/>
      <c r="I2687" s="204"/>
      <c r="J2687" s="204"/>
      <c r="K2687" s="204"/>
      <c r="L2687" s="205"/>
      <c r="M2687" s="205"/>
      <c r="N2687" s="204"/>
      <c r="O2687" s="204"/>
      <c r="P2687" s="206"/>
      <c r="Q2687" s="206"/>
      <c r="R2687" s="206"/>
      <c r="S2687" s="206"/>
      <c r="T2687" s="204"/>
      <c r="U2687" s="207"/>
      <c r="V2687" s="204"/>
      <c r="W2687" s="204"/>
      <c r="X2687" s="207"/>
      <c r="Y2687" s="207"/>
      <c r="Z2687" s="204"/>
      <c r="AA2687" s="204"/>
      <c r="AB2687" s="204"/>
      <c r="AC2687" s="204"/>
    </row>
    <row r="2688" spans="1:29">
      <c r="A2688" s="204"/>
      <c r="B2688" s="204"/>
      <c r="C2688" s="204"/>
      <c r="D2688" s="204"/>
      <c r="E2688" s="204"/>
      <c r="F2688" s="204"/>
      <c r="G2688" s="204"/>
      <c r="H2688" s="204"/>
      <c r="I2688" s="204"/>
      <c r="J2688" s="204"/>
      <c r="K2688" s="204"/>
      <c r="L2688" s="205"/>
      <c r="M2688" s="205"/>
      <c r="N2688" s="204"/>
      <c r="O2688" s="204"/>
      <c r="P2688" s="206"/>
      <c r="Q2688" s="206"/>
      <c r="R2688" s="206"/>
      <c r="S2688" s="206"/>
      <c r="T2688" s="204"/>
      <c r="U2688" s="207"/>
      <c r="V2688" s="204"/>
      <c r="W2688" s="204"/>
      <c r="X2688" s="207"/>
      <c r="Y2688" s="207"/>
      <c r="Z2688" s="204"/>
      <c r="AA2688" s="204"/>
      <c r="AB2688" s="204"/>
      <c r="AC2688" s="204"/>
    </row>
    <row r="2689" spans="1:29">
      <c r="A2689" s="204"/>
      <c r="B2689" s="204"/>
      <c r="C2689" s="204"/>
      <c r="D2689" s="204"/>
      <c r="E2689" s="204"/>
      <c r="F2689" s="204"/>
      <c r="G2689" s="204"/>
      <c r="H2689" s="204"/>
      <c r="I2689" s="204"/>
      <c r="J2689" s="204"/>
      <c r="K2689" s="204"/>
      <c r="L2689" s="205"/>
      <c r="M2689" s="205"/>
      <c r="N2689" s="204"/>
      <c r="O2689" s="204"/>
      <c r="P2689" s="206"/>
      <c r="Q2689" s="206"/>
      <c r="R2689" s="206"/>
      <c r="S2689" s="206"/>
      <c r="T2689" s="204"/>
      <c r="U2689" s="207"/>
      <c r="V2689" s="204"/>
      <c r="W2689" s="204"/>
      <c r="X2689" s="207"/>
      <c r="Y2689" s="207"/>
      <c r="Z2689" s="204"/>
      <c r="AA2689" s="204"/>
      <c r="AB2689" s="204"/>
      <c r="AC2689" s="204"/>
    </row>
    <row r="2690" spans="1:29">
      <c r="A2690" s="204"/>
      <c r="B2690" s="204"/>
      <c r="C2690" s="204"/>
      <c r="D2690" s="204"/>
      <c r="E2690" s="204"/>
      <c r="F2690" s="204"/>
      <c r="G2690" s="204"/>
      <c r="H2690" s="204"/>
      <c r="I2690" s="204"/>
      <c r="J2690" s="204"/>
      <c r="K2690" s="204"/>
      <c r="L2690" s="205"/>
      <c r="M2690" s="205"/>
      <c r="N2690" s="204"/>
      <c r="O2690" s="204"/>
      <c r="P2690" s="206"/>
      <c r="Q2690" s="206"/>
      <c r="R2690" s="206"/>
      <c r="S2690" s="206"/>
      <c r="T2690" s="204"/>
      <c r="U2690" s="207"/>
      <c r="V2690" s="204"/>
      <c r="W2690" s="204"/>
      <c r="X2690" s="207"/>
      <c r="Y2690" s="207"/>
      <c r="Z2690" s="204"/>
      <c r="AA2690" s="204"/>
      <c r="AB2690" s="204"/>
      <c r="AC2690" s="204"/>
    </row>
    <row r="2691" spans="1:29">
      <c r="A2691" s="204"/>
      <c r="B2691" s="204"/>
      <c r="C2691" s="204"/>
      <c r="D2691" s="204"/>
      <c r="E2691" s="204"/>
      <c r="F2691" s="204"/>
      <c r="G2691" s="204"/>
      <c r="H2691" s="204"/>
      <c r="I2691" s="204"/>
      <c r="J2691" s="204"/>
      <c r="K2691" s="204"/>
      <c r="L2691" s="205"/>
      <c r="M2691" s="205"/>
      <c r="N2691" s="204"/>
      <c r="O2691" s="204"/>
      <c r="P2691" s="206"/>
      <c r="Q2691" s="206"/>
      <c r="R2691" s="206"/>
      <c r="S2691" s="206"/>
      <c r="T2691" s="204"/>
      <c r="U2691" s="207"/>
      <c r="V2691" s="204"/>
      <c r="W2691" s="204"/>
      <c r="X2691" s="207"/>
      <c r="Y2691" s="207"/>
      <c r="Z2691" s="204"/>
      <c r="AA2691" s="204"/>
      <c r="AB2691" s="204"/>
      <c r="AC2691" s="204"/>
    </row>
    <row r="2692" spans="1:29">
      <c r="A2692" s="204"/>
      <c r="B2692" s="204"/>
      <c r="C2692" s="204"/>
      <c r="D2692" s="204"/>
      <c r="E2692" s="204"/>
      <c r="F2692" s="204"/>
      <c r="G2692" s="204"/>
      <c r="H2692" s="204"/>
      <c r="I2692" s="204"/>
      <c r="J2692" s="204"/>
      <c r="K2692" s="204"/>
      <c r="L2692" s="205"/>
      <c r="M2692" s="205"/>
      <c r="N2692" s="204"/>
      <c r="O2692" s="204"/>
      <c r="P2692" s="206"/>
      <c r="Q2692" s="206"/>
      <c r="R2692" s="206"/>
      <c r="S2692" s="206"/>
      <c r="T2692" s="204"/>
      <c r="U2692" s="207"/>
      <c r="V2692" s="204"/>
      <c r="W2692" s="204"/>
      <c r="X2692" s="207"/>
      <c r="Y2692" s="207"/>
      <c r="Z2692" s="204"/>
      <c r="AA2692" s="204"/>
      <c r="AB2692" s="204"/>
      <c r="AC2692" s="204"/>
    </row>
    <row r="2693" spans="1:29">
      <c r="A2693" s="204"/>
      <c r="B2693" s="204"/>
      <c r="C2693" s="204"/>
      <c r="D2693" s="204"/>
      <c r="E2693" s="204"/>
      <c r="F2693" s="204"/>
      <c r="G2693" s="204"/>
      <c r="H2693" s="204"/>
      <c r="I2693" s="204"/>
      <c r="J2693" s="204"/>
      <c r="K2693" s="204"/>
      <c r="L2693" s="205"/>
      <c r="M2693" s="205"/>
      <c r="N2693" s="204"/>
      <c r="O2693" s="204"/>
      <c r="P2693" s="206"/>
      <c r="Q2693" s="206"/>
      <c r="R2693" s="206"/>
      <c r="S2693" s="206"/>
      <c r="T2693" s="204"/>
      <c r="U2693" s="207"/>
      <c r="V2693" s="204"/>
      <c r="W2693" s="204"/>
      <c r="X2693" s="207"/>
      <c r="Y2693" s="207"/>
      <c r="Z2693" s="204"/>
      <c r="AA2693" s="204"/>
      <c r="AB2693" s="204"/>
      <c r="AC2693" s="204"/>
    </row>
    <row r="2694" spans="1:29">
      <c r="A2694" s="204"/>
      <c r="B2694" s="204"/>
      <c r="C2694" s="204"/>
      <c r="D2694" s="204"/>
      <c r="E2694" s="204"/>
      <c r="F2694" s="204"/>
      <c r="G2694" s="204"/>
      <c r="H2694" s="204"/>
      <c r="I2694" s="204"/>
      <c r="J2694" s="204"/>
      <c r="K2694" s="204"/>
      <c r="L2694" s="205"/>
      <c r="M2694" s="205"/>
      <c r="N2694" s="204"/>
      <c r="O2694" s="204"/>
      <c r="P2694" s="206"/>
      <c r="Q2694" s="206"/>
      <c r="R2694" s="206"/>
      <c r="S2694" s="206"/>
      <c r="T2694" s="204"/>
      <c r="U2694" s="207"/>
      <c r="V2694" s="204"/>
      <c r="W2694" s="204"/>
      <c r="X2694" s="207"/>
      <c r="Y2694" s="207"/>
      <c r="Z2694" s="204"/>
      <c r="AA2694" s="204"/>
      <c r="AB2694" s="204"/>
      <c r="AC2694" s="204"/>
    </row>
    <row r="2695" spans="1:29">
      <c r="A2695" s="204"/>
      <c r="B2695" s="204"/>
      <c r="C2695" s="204"/>
      <c r="D2695" s="204"/>
      <c r="E2695" s="204"/>
      <c r="F2695" s="204"/>
      <c r="G2695" s="204"/>
      <c r="H2695" s="204"/>
      <c r="I2695" s="204"/>
      <c r="J2695" s="204"/>
      <c r="K2695" s="204"/>
      <c r="L2695" s="205"/>
      <c r="M2695" s="205"/>
      <c r="N2695" s="204"/>
      <c r="O2695" s="204"/>
      <c r="P2695" s="206"/>
      <c r="Q2695" s="206"/>
      <c r="R2695" s="206"/>
      <c r="S2695" s="206"/>
      <c r="T2695" s="204"/>
      <c r="U2695" s="207"/>
      <c r="V2695" s="204"/>
      <c r="W2695" s="204"/>
      <c r="X2695" s="207"/>
      <c r="Y2695" s="207"/>
      <c r="Z2695" s="204"/>
      <c r="AA2695" s="204"/>
      <c r="AB2695" s="204"/>
      <c r="AC2695" s="204"/>
    </row>
    <row r="2696" spans="1:29">
      <c r="A2696" s="204"/>
      <c r="B2696" s="204"/>
      <c r="C2696" s="204"/>
      <c r="D2696" s="204"/>
      <c r="E2696" s="204"/>
      <c r="F2696" s="204"/>
      <c r="G2696" s="204"/>
      <c r="H2696" s="204"/>
      <c r="I2696" s="204"/>
      <c r="J2696" s="204"/>
      <c r="K2696" s="204"/>
      <c r="L2696" s="205"/>
      <c r="M2696" s="205"/>
      <c r="N2696" s="204"/>
      <c r="O2696" s="204"/>
      <c r="P2696" s="206"/>
      <c r="Q2696" s="206"/>
      <c r="R2696" s="206"/>
      <c r="S2696" s="206"/>
      <c r="T2696" s="204"/>
      <c r="U2696" s="207"/>
      <c r="V2696" s="204"/>
      <c r="W2696" s="204"/>
      <c r="X2696" s="207"/>
      <c r="Y2696" s="207"/>
      <c r="Z2696" s="204"/>
      <c r="AA2696" s="204"/>
      <c r="AB2696" s="204"/>
      <c r="AC2696" s="204"/>
    </row>
    <row r="2697" spans="1:29">
      <c r="A2697" s="204"/>
      <c r="B2697" s="204"/>
      <c r="C2697" s="204"/>
      <c r="D2697" s="204"/>
      <c r="E2697" s="204"/>
      <c r="F2697" s="204"/>
      <c r="G2697" s="204"/>
      <c r="H2697" s="204"/>
      <c r="I2697" s="204"/>
      <c r="J2697" s="204"/>
      <c r="K2697" s="204"/>
      <c r="L2697" s="205"/>
      <c r="M2697" s="205"/>
      <c r="N2697" s="204"/>
      <c r="O2697" s="204"/>
      <c r="P2697" s="206"/>
      <c r="Q2697" s="206"/>
      <c r="R2697" s="206"/>
      <c r="S2697" s="206"/>
      <c r="T2697" s="204"/>
      <c r="U2697" s="207"/>
      <c r="V2697" s="204"/>
      <c r="W2697" s="204"/>
      <c r="X2697" s="207"/>
      <c r="Y2697" s="207"/>
      <c r="Z2697" s="204"/>
      <c r="AA2697" s="204"/>
      <c r="AB2697" s="204"/>
      <c r="AC2697" s="204"/>
    </row>
    <row r="2698" spans="1:29">
      <c r="A2698" s="204"/>
      <c r="B2698" s="204"/>
      <c r="C2698" s="204"/>
      <c r="D2698" s="204"/>
      <c r="E2698" s="204"/>
      <c r="F2698" s="204"/>
      <c r="G2698" s="204"/>
      <c r="H2698" s="204"/>
      <c r="I2698" s="204"/>
      <c r="J2698" s="204"/>
      <c r="K2698" s="204"/>
      <c r="L2698" s="205"/>
      <c r="M2698" s="205"/>
      <c r="N2698" s="204"/>
      <c r="O2698" s="204"/>
      <c r="P2698" s="206"/>
      <c r="Q2698" s="206"/>
      <c r="R2698" s="206"/>
      <c r="S2698" s="206"/>
      <c r="T2698" s="204"/>
      <c r="U2698" s="207"/>
      <c r="V2698" s="204"/>
      <c r="W2698" s="204"/>
      <c r="X2698" s="207"/>
      <c r="Y2698" s="207"/>
      <c r="Z2698" s="204"/>
      <c r="AA2698" s="204"/>
      <c r="AB2698" s="204"/>
      <c r="AC2698" s="204"/>
    </row>
    <row r="2699" spans="1:29">
      <c r="A2699" s="204"/>
      <c r="B2699" s="204"/>
      <c r="C2699" s="204"/>
      <c r="D2699" s="204"/>
      <c r="E2699" s="204"/>
      <c r="F2699" s="204"/>
      <c r="G2699" s="204"/>
      <c r="H2699" s="204"/>
      <c r="I2699" s="204"/>
      <c r="J2699" s="204"/>
      <c r="K2699" s="204"/>
      <c r="L2699" s="205"/>
      <c r="M2699" s="205"/>
      <c r="N2699" s="204"/>
      <c r="O2699" s="204"/>
      <c r="P2699" s="206"/>
      <c r="Q2699" s="206"/>
      <c r="R2699" s="206"/>
      <c r="S2699" s="206"/>
      <c r="T2699" s="204"/>
      <c r="U2699" s="207"/>
      <c r="V2699" s="204"/>
      <c r="W2699" s="204"/>
      <c r="X2699" s="207"/>
      <c r="Y2699" s="207"/>
      <c r="Z2699" s="204"/>
      <c r="AA2699" s="204"/>
      <c r="AB2699" s="204"/>
      <c r="AC2699" s="204"/>
    </row>
    <row r="2700" spans="1:29">
      <c r="A2700" s="204"/>
      <c r="B2700" s="204"/>
      <c r="C2700" s="204"/>
      <c r="D2700" s="204"/>
      <c r="E2700" s="204"/>
      <c r="F2700" s="204"/>
      <c r="G2700" s="204"/>
      <c r="H2700" s="204"/>
      <c r="I2700" s="204"/>
      <c r="J2700" s="204"/>
      <c r="K2700" s="204"/>
      <c r="L2700" s="205"/>
      <c r="M2700" s="205"/>
      <c r="N2700" s="204"/>
      <c r="O2700" s="204"/>
      <c r="P2700" s="206"/>
      <c r="Q2700" s="206"/>
      <c r="R2700" s="206"/>
      <c r="S2700" s="206"/>
      <c r="T2700" s="204"/>
      <c r="U2700" s="207"/>
      <c r="V2700" s="204"/>
      <c r="W2700" s="204"/>
      <c r="X2700" s="207"/>
      <c r="Y2700" s="207"/>
      <c r="Z2700" s="204"/>
      <c r="AA2700" s="204"/>
      <c r="AB2700" s="204"/>
      <c r="AC2700" s="204"/>
    </row>
    <row r="2701" spans="1:29">
      <c r="A2701" s="204"/>
      <c r="B2701" s="204"/>
      <c r="C2701" s="204"/>
      <c r="D2701" s="204"/>
      <c r="E2701" s="204"/>
      <c r="F2701" s="204"/>
      <c r="G2701" s="204"/>
      <c r="H2701" s="204"/>
      <c r="I2701" s="204"/>
      <c r="J2701" s="204"/>
      <c r="K2701" s="204"/>
      <c r="L2701" s="205"/>
      <c r="M2701" s="205"/>
      <c r="N2701" s="204"/>
      <c r="O2701" s="204"/>
      <c r="P2701" s="206"/>
      <c r="Q2701" s="206"/>
      <c r="R2701" s="206"/>
      <c r="S2701" s="206"/>
      <c r="T2701" s="204"/>
      <c r="U2701" s="207"/>
      <c r="V2701" s="204"/>
      <c r="W2701" s="204"/>
      <c r="X2701" s="207"/>
      <c r="Y2701" s="207"/>
      <c r="Z2701" s="204"/>
      <c r="AA2701" s="204"/>
      <c r="AB2701" s="204"/>
      <c r="AC2701" s="204"/>
    </row>
    <row r="2702" spans="1:29">
      <c r="A2702" s="204"/>
      <c r="B2702" s="204"/>
      <c r="C2702" s="204"/>
      <c r="D2702" s="204"/>
      <c r="E2702" s="204"/>
      <c r="F2702" s="204"/>
      <c r="G2702" s="204"/>
      <c r="H2702" s="204"/>
      <c r="I2702" s="204"/>
      <c r="J2702" s="204"/>
      <c r="K2702" s="204"/>
      <c r="L2702" s="205"/>
      <c r="M2702" s="205"/>
      <c r="N2702" s="204"/>
      <c r="O2702" s="204"/>
      <c r="P2702" s="206"/>
      <c r="Q2702" s="206"/>
      <c r="R2702" s="206"/>
      <c r="S2702" s="206"/>
      <c r="T2702" s="204"/>
      <c r="U2702" s="207"/>
      <c r="V2702" s="204"/>
      <c r="W2702" s="204"/>
      <c r="X2702" s="207"/>
      <c r="Y2702" s="207"/>
      <c r="Z2702" s="204"/>
      <c r="AA2702" s="204"/>
      <c r="AB2702" s="204"/>
      <c r="AC2702" s="204"/>
    </row>
    <row r="2703" spans="1:29">
      <c r="A2703" s="204"/>
      <c r="B2703" s="204"/>
      <c r="C2703" s="204"/>
      <c r="D2703" s="204"/>
      <c r="E2703" s="204"/>
      <c r="F2703" s="204"/>
      <c r="G2703" s="204"/>
      <c r="H2703" s="204"/>
      <c r="I2703" s="204"/>
      <c r="J2703" s="204"/>
      <c r="K2703" s="204"/>
      <c r="L2703" s="205"/>
      <c r="M2703" s="205"/>
      <c r="N2703" s="204"/>
      <c r="O2703" s="204"/>
      <c r="P2703" s="206"/>
      <c r="Q2703" s="206"/>
      <c r="R2703" s="206"/>
      <c r="S2703" s="206"/>
      <c r="T2703" s="204"/>
      <c r="U2703" s="207"/>
      <c r="V2703" s="204"/>
      <c r="W2703" s="204"/>
      <c r="X2703" s="207"/>
      <c r="Y2703" s="207"/>
      <c r="Z2703" s="204"/>
      <c r="AA2703" s="204"/>
      <c r="AB2703" s="204"/>
      <c r="AC2703" s="204"/>
    </row>
    <row r="2704" spans="1:29">
      <c r="A2704" s="204"/>
      <c r="B2704" s="204"/>
      <c r="C2704" s="204"/>
      <c r="D2704" s="204"/>
      <c r="E2704" s="204"/>
      <c r="F2704" s="204"/>
      <c r="G2704" s="204"/>
      <c r="H2704" s="204"/>
      <c r="I2704" s="204"/>
      <c r="J2704" s="204"/>
      <c r="K2704" s="204"/>
      <c r="L2704" s="205"/>
      <c r="M2704" s="205"/>
      <c r="N2704" s="204"/>
      <c r="O2704" s="204"/>
      <c r="P2704" s="206"/>
      <c r="Q2704" s="206"/>
      <c r="R2704" s="206"/>
      <c r="S2704" s="206"/>
      <c r="T2704" s="204"/>
      <c r="U2704" s="207"/>
      <c r="V2704" s="204"/>
      <c r="W2704" s="204"/>
      <c r="X2704" s="207"/>
      <c r="Y2704" s="207"/>
      <c r="Z2704" s="204"/>
      <c r="AA2704" s="204"/>
      <c r="AB2704" s="204"/>
      <c r="AC2704" s="204"/>
    </row>
    <row r="2705" spans="1:29">
      <c r="A2705" s="204"/>
      <c r="B2705" s="204"/>
      <c r="C2705" s="204"/>
      <c r="D2705" s="204"/>
      <c r="E2705" s="204"/>
      <c r="F2705" s="204"/>
      <c r="G2705" s="204"/>
      <c r="H2705" s="204"/>
      <c r="I2705" s="204"/>
      <c r="J2705" s="204"/>
      <c r="K2705" s="204"/>
      <c r="L2705" s="205"/>
      <c r="M2705" s="205"/>
      <c r="N2705" s="204"/>
      <c r="O2705" s="204"/>
      <c r="P2705" s="206"/>
      <c r="Q2705" s="206"/>
      <c r="R2705" s="206"/>
      <c r="S2705" s="206"/>
      <c r="T2705" s="204"/>
      <c r="U2705" s="207"/>
      <c r="V2705" s="204"/>
      <c r="W2705" s="204"/>
      <c r="X2705" s="207"/>
      <c r="Y2705" s="207"/>
      <c r="Z2705" s="204"/>
      <c r="AA2705" s="204"/>
      <c r="AB2705" s="204"/>
      <c r="AC2705" s="204"/>
    </row>
    <row r="2706" spans="1:29">
      <c r="A2706" s="204"/>
      <c r="B2706" s="204"/>
      <c r="C2706" s="204"/>
      <c r="D2706" s="204"/>
      <c r="E2706" s="204"/>
      <c r="F2706" s="204"/>
      <c r="G2706" s="204"/>
      <c r="H2706" s="204"/>
      <c r="I2706" s="204"/>
      <c r="J2706" s="204"/>
      <c r="K2706" s="204"/>
      <c r="L2706" s="205"/>
      <c r="M2706" s="205"/>
      <c r="N2706" s="204"/>
      <c r="O2706" s="204"/>
      <c r="P2706" s="206"/>
      <c r="Q2706" s="206"/>
      <c r="R2706" s="206"/>
      <c r="S2706" s="206"/>
      <c r="T2706" s="204"/>
      <c r="U2706" s="207"/>
      <c r="V2706" s="204"/>
      <c r="W2706" s="204"/>
      <c r="X2706" s="207"/>
      <c r="Y2706" s="207"/>
      <c r="Z2706" s="204"/>
      <c r="AA2706" s="204"/>
      <c r="AB2706" s="204"/>
      <c r="AC2706" s="204"/>
    </row>
    <row r="2707" spans="1:29">
      <c r="A2707" s="204"/>
      <c r="B2707" s="204"/>
      <c r="C2707" s="204"/>
      <c r="D2707" s="204"/>
      <c r="E2707" s="204"/>
      <c r="F2707" s="204"/>
      <c r="G2707" s="204"/>
      <c r="H2707" s="204"/>
      <c r="I2707" s="204"/>
      <c r="J2707" s="204"/>
      <c r="K2707" s="204"/>
      <c r="L2707" s="205"/>
      <c r="M2707" s="205"/>
      <c r="N2707" s="204"/>
      <c r="O2707" s="204"/>
      <c r="P2707" s="206"/>
      <c r="Q2707" s="206"/>
      <c r="R2707" s="206"/>
      <c r="S2707" s="206"/>
      <c r="T2707" s="204"/>
      <c r="U2707" s="207"/>
      <c r="V2707" s="204"/>
      <c r="W2707" s="204"/>
      <c r="X2707" s="207"/>
      <c r="Y2707" s="207"/>
      <c r="Z2707" s="204"/>
      <c r="AA2707" s="204"/>
      <c r="AB2707" s="204"/>
      <c r="AC2707" s="204"/>
    </row>
    <row r="2708" spans="1:29">
      <c r="A2708" s="204"/>
      <c r="B2708" s="204"/>
      <c r="C2708" s="204"/>
      <c r="D2708" s="204"/>
      <c r="E2708" s="204"/>
      <c r="F2708" s="204"/>
      <c r="G2708" s="204"/>
      <c r="H2708" s="204"/>
      <c r="I2708" s="204"/>
      <c r="J2708" s="204"/>
      <c r="K2708" s="204"/>
      <c r="L2708" s="205"/>
      <c r="M2708" s="205"/>
      <c r="N2708" s="204"/>
      <c r="O2708" s="204"/>
      <c r="P2708" s="206"/>
      <c r="Q2708" s="206"/>
      <c r="R2708" s="206"/>
      <c r="S2708" s="206"/>
      <c r="T2708" s="204"/>
      <c r="U2708" s="207"/>
      <c r="V2708" s="204"/>
      <c r="W2708" s="204"/>
      <c r="X2708" s="207"/>
      <c r="Y2708" s="207"/>
      <c r="Z2708" s="204"/>
      <c r="AA2708" s="204"/>
      <c r="AB2708" s="204"/>
      <c r="AC2708" s="204"/>
    </row>
    <row r="2709" spans="1:29">
      <c r="A2709" s="204"/>
      <c r="B2709" s="204"/>
      <c r="C2709" s="204"/>
      <c r="D2709" s="204"/>
      <c r="E2709" s="204"/>
      <c r="F2709" s="204"/>
      <c r="G2709" s="204"/>
      <c r="H2709" s="204"/>
      <c r="I2709" s="204"/>
      <c r="J2709" s="204"/>
      <c r="K2709" s="204"/>
      <c r="L2709" s="205"/>
      <c r="M2709" s="205"/>
      <c r="N2709" s="204"/>
      <c r="O2709" s="204"/>
      <c r="P2709" s="206"/>
      <c r="Q2709" s="206"/>
      <c r="R2709" s="206"/>
      <c r="S2709" s="206"/>
      <c r="T2709" s="204"/>
      <c r="U2709" s="207"/>
      <c r="V2709" s="204"/>
      <c r="W2709" s="204"/>
      <c r="X2709" s="207"/>
      <c r="Y2709" s="207"/>
      <c r="Z2709" s="204"/>
      <c r="AA2709" s="204"/>
      <c r="AB2709" s="204"/>
      <c r="AC2709" s="204"/>
    </row>
    <row r="2710" spans="1:29">
      <c r="A2710" s="204"/>
      <c r="B2710" s="204"/>
      <c r="C2710" s="204"/>
      <c r="D2710" s="204"/>
      <c r="E2710" s="204"/>
      <c r="F2710" s="204"/>
      <c r="G2710" s="204"/>
      <c r="H2710" s="204"/>
      <c r="I2710" s="204"/>
      <c r="J2710" s="204"/>
      <c r="K2710" s="204"/>
      <c r="L2710" s="205"/>
      <c r="M2710" s="205"/>
      <c r="N2710" s="204"/>
      <c r="O2710" s="204"/>
      <c r="P2710" s="206"/>
      <c r="Q2710" s="206"/>
      <c r="R2710" s="206"/>
      <c r="S2710" s="206"/>
      <c r="T2710" s="204"/>
      <c r="U2710" s="207"/>
      <c r="V2710" s="204"/>
      <c r="W2710" s="204"/>
      <c r="X2710" s="207"/>
      <c r="Y2710" s="207"/>
      <c r="Z2710" s="204"/>
      <c r="AA2710" s="204"/>
      <c r="AB2710" s="204"/>
      <c r="AC2710" s="204"/>
    </row>
    <row r="2711" spans="1:29">
      <c r="A2711" s="204"/>
      <c r="B2711" s="204"/>
      <c r="C2711" s="204"/>
      <c r="D2711" s="204"/>
      <c r="E2711" s="204"/>
      <c r="F2711" s="204"/>
      <c r="G2711" s="204"/>
      <c r="H2711" s="204"/>
      <c r="I2711" s="204"/>
      <c r="J2711" s="204"/>
      <c r="K2711" s="204"/>
      <c r="L2711" s="205"/>
      <c r="M2711" s="205"/>
      <c r="N2711" s="204"/>
      <c r="O2711" s="204"/>
      <c r="P2711" s="206"/>
      <c r="Q2711" s="206"/>
      <c r="R2711" s="206"/>
      <c r="S2711" s="206"/>
      <c r="T2711" s="204"/>
      <c r="U2711" s="207"/>
      <c r="V2711" s="204"/>
      <c r="W2711" s="204"/>
      <c r="X2711" s="207"/>
      <c r="Y2711" s="207"/>
      <c r="Z2711" s="204"/>
      <c r="AA2711" s="204"/>
      <c r="AB2711" s="204"/>
      <c r="AC2711" s="204"/>
    </row>
    <row r="2712" spans="1:29">
      <c r="A2712" s="204"/>
      <c r="B2712" s="204"/>
      <c r="C2712" s="204"/>
      <c r="D2712" s="204"/>
      <c r="E2712" s="204"/>
      <c r="F2712" s="204"/>
      <c r="G2712" s="204"/>
      <c r="H2712" s="204"/>
      <c r="I2712" s="204"/>
      <c r="J2712" s="204"/>
      <c r="K2712" s="204"/>
      <c r="L2712" s="205"/>
      <c r="M2712" s="205"/>
      <c r="N2712" s="204"/>
      <c r="O2712" s="204"/>
      <c r="P2712" s="206"/>
      <c r="Q2712" s="206"/>
      <c r="R2712" s="206"/>
      <c r="S2712" s="206"/>
      <c r="T2712" s="204"/>
      <c r="U2712" s="207"/>
      <c r="V2712" s="204"/>
      <c r="W2712" s="204"/>
      <c r="X2712" s="207"/>
      <c r="Y2712" s="207"/>
      <c r="Z2712" s="204"/>
      <c r="AA2712" s="204"/>
      <c r="AB2712" s="204"/>
      <c r="AC2712" s="204"/>
    </row>
    <row r="2713" spans="1:29">
      <c r="A2713" s="204"/>
      <c r="B2713" s="204"/>
      <c r="C2713" s="204"/>
      <c r="D2713" s="204"/>
      <c r="E2713" s="204"/>
      <c r="F2713" s="204"/>
      <c r="G2713" s="204"/>
      <c r="H2713" s="204"/>
      <c r="I2713" s="204"/>
      <c r="J2713" s="204"/>
      <c r="K2713" s="204"/>
      <c r="L2713" s="205"/>
      <c r="M2713" s="205"/>
      <c r="N2713" s="204"/>
      <c r="O2713" s="204"/>
      <c r="P2713" s="206"/>
      <c r="Q2713" s="206"/>
      <c r="R2713" s="206"/>
      <c r="S2713" s="206"/>
      <c r="T2713" s="204"/>
      <c r="U2713" s="207"/>
      <c r="V2713" s="204"/>
      <c r="W2713" s="204"/>
      <c r="X2713" s="207"/>
      <c r="Y2713" s="207"/>
      <c r="Z2713" s="204"/>
      <c r="AA2713" s="204"/>
      <c r="AB2713" s="204"/>
      <c r="AC2713" s="204"/>
    </row>
    <row r="2714" spans="1:29">
      <c r="A2714" s="204"/>
      <c r="B2714" s="204"/>
      <c r="C2714" s="204"/>
      <c r="D2714" s="204"/>
      <c r="E2714" s="204"/>
      <c r="F2714" s="204"/>
      <c r="G2714" s="204"/>
      <c r="H2714" s="204"/>
      <c r="I2714" s="204"/>
      <c r="J2714" s="204"/>
      <c r="K2714" s="204"/>
      <c r="L2714" s="205"/>
      <c r="M2714" s="205"/>
      <c r="N2714" s="204"/>
      <c r="O2714" s="204"/>
      <c r="P2714" s="206"/>
      <c r="Q2714" s="206"/>
      <c r="R2714" s="206"/>
      <c r="S2714" s="206"/>
      <c r="T2714" s="204"/>
      <c r="U2714" s="207"/>
      <c r="V2714" s="204"/>
      <c r="W2714" s="204"/>
      <c r="X2714" s="207"/>
      <c r="Y2714" s="207"/>
      <c r="Z2714" s="204"/>
      <c r="AA2714" s="204"/>
      <c r="AB2714" s="204"/>
      <c r="AC2714" s="204"/>
    </row>
    <row r="2715" spans="1:29">
      <c r="A2715" s="204"/>
      <c r="B2715" s="204"/>
      <c r="C2715" s="204"/>
      <c r="D2715" s="204"/>
      <c r="E2715" s="204"/>
      <c r="F2715" s="204"/>
      <c r="G2715" s="204"/>
      <c r="H2715" s="204"/>
      <c r="I2715" s="204"/>
      <c r="J2715" s="204"/>
      <c r="K2715" s="204"/>
      <c r="L2715" s="205"/>
      <c r="M2715" s="205"/>
      <c r="N2715" s="204"/>
      <c r="O2715" s="204"/>
      <c r="P2715" s="206"/>
      <c r="Q2715" s="206"/>
      <c r="R2715" s="206"/>
      <c r="S2715" s="206"/>
      <c r="T2715" s="204"/>
      <c r="U2715" s="207"/>
      <c r="V2715" s="204"/>
      <c r="W2715" s="204"/>
      <c r="X2715" s="207"/>
      <c r="Y2715" s="207"/>
      <c r="Z2715" s="204"/>
      <c r="AA2715" s="204"/>
      <c r="AB2715" s="204"/>
      <c r="AC2715" s="204"/>
    </row>
    <row r="2716" spans="1:29">
      <c r="A2716" s="204"/>
      <c r="B2716" s="204"/>
      <c r="C2716" s="204"/>
      <c r="D2716" s="204"/>
      <c r="E2716" s="204"/>
      <c r="F2716" s="204"/>
      <c r="G2716" s="204"/>
      <c r="H2716" s="204"/>
      <c r="I2716" s="204"/>
      <c r="J2716" s="204"/>
      <c r="K2716" s="204"/>
      <c r="L2716" s="205"/>
      <c r="M2716" s="205"/>
      <c r="N2716" s="204"/>
      <c r="O2716" s="204"/>
      <c r="P2716" s="206"/>
      <c r="Q2716" s="206"/>
      <c r="R2716" s="206"/>
      <c r="S2716" s="206"/>
      <c r="T2716" s="204"/>
      <c r="U2716" s="207"/>
      <c r="V2716" s="204"/>
      <c r="W2716" s="204"/>
      <c r="X2716" s="207"/>
      <c r="Y2716" s="207"/>
      <c r="Z2716" s="204"/>
      <c r="AA2716" s="204"/>
      <c r="AB2716" s="204"/>
      <c r="AC2716" s="204"/>
    </row>
    <row r="2717" spans="1:29">
      <c r="A2717" s="204"/>
      <c r="B2717" s="204"/>
      <c r="C2717" s="204"/>
      <c r="D2717" s="204"/>
      <c r="E2717" s="204"/>
      <c r="F2717" s="204"/>
      <c r="G2717" s="204"/>
      <c r="H2717" s="204"/>
      <c r="I2717" s="204"/>
      <c r="J2717" s="204"/>
      <c r="K2717" s="204"/>
      <c r="L2717" s="205"/>
      <c r="M2717" s="205"/>
      <c r="N2717" s="204"/>
      <c r="O2717" s="204"/>
      <c r="P2717" s="206"/>
      <c r="Q2717" s="206"/>
      <c r="R2717" s="206"/>
      <c r="S2717" s="206"/>
      <c r="T2717" s="204"/>
      <c r="U2717" s="207"/>
      <c r="V2717" s="204"/>
      <c r="W2717" s="204"/>
      <c r="X2717" s="207"/>
      <c r="Y2717" s="207"/>
      <c r="Z2717" s="204"/>
      <c r="AA2717" s="204"/>
      <c r="AB2717" s="204"/>
      <c r="AC2717" s="204"/>
    </row>
    <row r="2718" spans="1:29">
      <c r="A2718" s="204"/>
      <c r="B2718" s="204"/>
      <c r="C2718" s="204"/>
      <c r="D2718" s="204"/>
      <c r="E2718" s="204"/>
      <c r="F2718" s="204"/>
      <c r="G2718" s="204"/>
      <c r="H2718" s="204"/>
      <c r="I2718" s="204"/>
      <c r="J2718" s="204"/>
      <c r="K2718" s="204"/>
      <c r="L2718" s="205"/>
      <c r="M2718" s="205"/>
      <c r="N2718" s="204"/>
      <c r="O2718" s="204"/>
      <c r="P2718" s="206"/>
      <c r="Q2718" s="206"/>
      <c r="R2718" s="206"/>
      <c r="S2718" s="206"/>
      <c r="T2718" s="204"/>
      <c r="U2718" s="207"/>
      <c r="V2718" s="204"/>
      <c r="W2718" s="204"/>
      <c r="X2718" s="207"/>
      <c r="Y2718" s="207"/>
      <c r="Z2718" s="204"/>
      <c r="AA2718" s="204"/>
      <c r="AB2718" s="204"/>
      <c r="AC2718" s="204"/>
    </row>
    <row r="2719" spans="1:29">
      <c r="A2719" s="204"/>
      <c r="B2719" s="204"/>
      <c r="C2719" s="204"/>
      <c r="D2719" s="204"/>
      <c r="E2719" s="204"/>
      <c r="F2719" s="204"/>
      <c r="G2719" s="204"/>
      <c r="H2719" s="204"/>
      <c r="I2719" s="204"/>
      <c r="J2719" s="204"/>
      <c r="K2719" s="204"/>
      <c r="L2719" s="205"/>
      <c r="M2719" s="205"/>
      <c r="N2719" s="204"/>
      <c r="O2719" s="204"/>
      <c r="P2719" s="206"/>
      <c r="Q2719" s="206"/>
      <c r="R2719" s="206"/>
      <c r="S2719" s="206"/>
      <c r="T2719" s="204"/>
      <c r="U2719" s="207"/>
      <c r="V2719" s="204"/>
      <c r="W2719" s="204"/>
      <c r="X2719" s="207"/>
      <c r="Y2719" s="207"/>
      <c r="Z2719" s="204"/>
      <c r="AA2719" s="204"/>
      <c r="AB2719" s="204"/>
      <c r="AC2719" s="204"/>
    </row>
    <row r="2720" spans="1:29">
      <c r="A2720" s="204"/>
      <c r="B2720" s="204"/>
      <c r="C2720" s="204"/>
      <c r="D2720" s="204"/>
      <c r="E2720" s="204"/>
      <c r="F2720" s="204"/>
      <c r="G2720" s="204"/>
      <c r="H2720" s="204"/>
      <c r="I2720" s="204"/>
      <c r="J2720" s="204"/>
      <c r="K2720" s="204"/>
      <c r="L2720" s="205"/>
      <c r="M2720" s="205"/>
      <c r="N2720" s="204"/>
      <c r="O2720" s="204"/>
      <c r="P2720" s="206"/>
      <c r="Q2720" s="206"/>
      <c r="R2720" s="206"/>
      <c r="S2720" s="206"/>
      <c r="T2720" s="204"/>
      <c r="U2720" s="207"/>
      <c r="V2720" s="204"/>
      <c r="W2720" s="204"/>
      <c r="X2720" s="207"/>
      <c r="Y2720" s="207"/>
      <c r="Z2720" s="204"/>
      <c r="AA2720" s="204"/>
      <c r="AB2720" s="204"/>
      <c r="AC2720" s="204"/>
    </row>
    <row r="2721" spans="1:29">
      <c r="A2721" s="204"/>
      <c r="B2721" s="204"/>
      <c r="C2721" s="204"/>
      <c r="D2721" s="204"/>
      <c r="E2721" s="204"/>
      <c r="F2721" s="204"/>
      <c r="G2721" s="204"/>
      <c r="H2721" s="204"/>
      <c r="I2721" s="204"/>
      <c r="J2721" s="204"/>
      <c r="K2721" s="204"/>
      <c r="L2721" s="205"/>
      <c r="M2721" s="205"/>
      <c r="N2721" s="204"/>
      <c r="O2721" s="204"/>
      <c r="P2721" s="206"/>
      <c r="Q2721" s="206"/>
      <c r="R2721" s="206"/>
      <c r="S2721" s="206"/>
      <c r="T2721" s="204"/>
      <c r="U2721" s="207"/>
      <c r="V2721" s="204"/>
      <c r="W2721" s="204"/>
      <c r="X2721" s="207"/>
      <c r="Y2721" s="207"/>
      <c r="Z2721" s="204"/>
      <c r="AA2721" s="204"/>
      <c r="AB2721" s="204"/>
      <c r="AC2721" s="204"/>
    </row>
    <row r="2722" spans="1:29">
      <c r="A2722" s="204"/>
      <c r="B2722" s="204"/>
      <c r="C2722" s="204"/>
      <c r="D2722" s="204"/>
      <c r="E2722" s="204"/>
      <c r="F2722" s="204"/>
      <c r="G2722" s="204"/>
      <c r="H2722" s="204"/>
      <c r="I2722" s="204"/>
      <c r="J2722" s="204"/>
      <c r="K2722" s="204"/>
      <c r="L2722" s="205"/>
      <c r="M2722" s="205"/>
      <c r="N2722" s="204"/>
      <c r="O2722" s="204"/>
      <c r="P2722" s="206"/>
      <c r="Q2722" s="206"/>
      <c r="R2722" s="206"/>
      <c r="S2722" s="206"/>
      <c r="T2722" s="204"/>
      <c r="U2722" s="207"/>
      <c r="V2722" s="204"/>
      <c r="W2722" s="204"/>
      <c r="X2722" s="207"/>
      <c r="Y2722" s="207"/>
      <c r="Z2722" s="204"/>
      <c r="AA2722" s="204"/>
      <c r="AB2722" s="204"/>
      <c r="AC2722" s="204"/>
    </row>
    <row r="2723" spans="1:29">
      <c r="A2723" s="204"/>
      <c r="B2723" s="204"/>
      <c r="C2723" s="204"/>
      <c r="D2723" s="204"/>
      <c r="E2723" s="204"/>
      <c r="F2723" s="204"/>
      <c r="G2723" s="204"/>
      <c r="H2723" s="204"/>
      <c r="I2723" s="204"/>
      <c r="J2723" s="204"/>
      <c r="K2723" s="204"/>
      <c r="L2723" s="205"/>
      <c r="M2723" s="205"/>
      <c r="N2723" s="204"/>
      <c r="O2723" s="204"/>
      <c r="P2723" s="206"/>
      <c r="Q2723" s="206"/>
      <c r="R2723" s="206"/>
      <c r="S2723" s="206"/>
      <c r="T2723" s="204"/>
      <c r="U2723" s="207"/>
      <c r="V2723" s="204"/>
      <c r="W2723" s="204"/>
      <c r="X2723" s="207"/>
      <c r="Y2723" s="207"/>
      <c r="Z2723" s="204"/>
      <c r="AA2723" s="204"/>
      <c r="AB2723" s="204"/>
      <c r="AC2723" s="204"/>
    </row>
    <row r="2724" spans="1:29">
      <c r="A2724" s="204"/>
      <c r="B2724" s="204"/>
      <c r="C2724" s="204"/>
      <c r="D2724" s="204"/>
      <c r="E2724" s="204"/>
      <c r="F2724" s="204"/>
      <c r="G2724" s="204"/>
      <c r="H2724" s="204"/>
      <c r="I2724" s="204"/>
      <c r="J2724" s="204"/>
      <c r="K2724" s="204"/>
      <c r="L2724" s="205"/>
      <c r="M2724" s="205"/>
      <c r="N2724" s="204"/>
      <c r="O2724" s="204"/>
      <c r="P2724" s="206"/>
      <c r="Q2724" s="206"/>
      <c r="R2724" s="206"/>
      <c r="S2724" s="206"/>
      <c r="T2724" s="204"/>
      <c r="U2724" s="207"/>
      <c r="V2724" s="204"/>
      <c r="W2724" s="204"/>
      <c r="X2724" s="207"/>
      <c r="Y2724" s="207"/>
      <c r="Z2724" s="204"/>
      <c r="AA2724" s="204"/>
      <c r="AB2724" s="204"/>
      <c r="AC2724" s="204"/>
    </row>
    <row r="2725" spans="1:29">
      <c r="A2725" s="204"/>
      <c r="B2725" s="204"/>
      <c r="C2725" s="204"/>
      <c r="D2725" s="204"/>
      <c r="E2725" s="204"/>
      <c r="F2725" s="204"/>
      <c r="G2725" s="204"/>
      <c r="H2725" s="204"/>
      <c r="I2725" s="204"/>
      <c r="J2725" s="204"/>
      <c r="K2725" s="204"/>
      <c r="L2725" s="205"/>
      <c r="M2725" s="205"/>
      <c r="N2725" s="204"/>
      <c r="O2725" s="204"/>
      <c r="P2725" s="206"/>
      <c r="Q2725" s="206"/>
      <c r="R2725" s="206"/>
      <c r="S2725" s="206"/>
      <c r="T2725" s="204"/>
      <c r="U2725" s="207"/>
      <c r="V2725" s="204"/>
      <c r="W2725" s="204"/>
      <c r="X2725" s="207"/>
      <c r="Y2725" s="207"/>
      <c r="Z2725" s="204"/>
      <c r="AA2725" s="204"/>
      <c r="AB2725" s="204"/>
      <c r="AC2725" s="204"/>
    </row>
    <row r="2726" spans="1:29">
      <c r="A2726" s="204"/>
      <c r="B2726" s="204"/>
      <c r="C2726" s="204"/>
      <c r="D2726" s="204"/>
      <c r="E2726" s="204"/>
      <c r="F2726" s="204"/>
      <c r="G2726" s="204"/>
      <c r="H2726" s="204"/>
      <c r="I2726" s="204"/>
      <c r="J2726" s="204"/>
      <c r="K2726" s="204"/>
      <c r="L2726" s="205"/>
      <c r="M2726" s="205"/>
      <c r="N2726" s="204"/>
      <c r="O2726" s="204"/>
      <c r="P2726" s="206"/>
      <c r="Q2726" s="206"/>
      <c r="R2726" s="206"/>
      <c r="S2726" s="206"/>
      <c r="T2726" s="204"/>
      <c r="U2726" s="207"/>
      <c r="V2726" s="204"/>
      <c r="W2726" s="204"/>
      <c r="X2726" s="207"/>
      <c r="Y2726" s="207"/>
      <c r="Z2726" s="204"/>
      <c r="AA2726" s="204"/>
      <c r="AB2726" s="204"/>
      <c r="AC2726" s="204"/>
    </row>
    <row r="2727" spans="1:29">
      <c r="A2727" s="204"/>
      <c r="B2727" s="204"/>
      <c r="C2727" s="204"/>
      <c r="D2727" s="204"/>
      <c r="E2727" s="204"/>
      <c r="F2727" s="204"/>
      <c r="G2727" s="204"/>
      <c r="H2727" s="204"/>
      <c r="I2727" s="204"/>
      <c r="J2727" s="204"/>
      <c r="K2727" s="204"/>
      <c r="L2727" s="205"/>
      <c r="M2727" s="205"/>
      <c r="N2727" s="204"/>
      <c r="O2727" s="204"/>
      <c r="P2727" s="206"/>
      <c r="Q2727" s="206"/>
      <c r="R2727" s="206"/>
      <c r="S2727" s="206"/>
      <c r="T2727" s="204"/>
      <c r="U2727" s="207"/>
      <c r="V2727" s="204"/>
      <c r="W2727" s="204"/>
      <c r="X2727" s="207"/>
      <c r="Y2727" s="207"/>
      <c r="Z2727" s="204"/>
      <c r="AA2727" s="204"/>
      <c r="AB2727" s="204"/>
      <c r="AC2727" s="204"/>
    </row>
    <row r="2728" spans="1:29">
      <c r="A2728" s="204"/>
      <c r="B2728" s="204"/>
      <c r="C2728" s="204"/>
      <c r="D2728" s="204"/>
      <c r="E2728" s="204"/>
      <c r="F2728" s="204"/>
      <c r="G2728" s="204"/>
      <c r="H2728" s="204"/>
      <c r="I2728" s="204"/>
      <c r="J2728" s="204"/>
      <c r="K2728" s="204"/>
      <c r="L2728" s="205"/>
      <c r="M2728" s="205"/>
      <c r="N2728" s="204"/>
      <c r="O2728" s="204"/>
      <c r="P2728" s="206"/>
      <c r="Q2728" s="206"/>
      <c r="R2728" s="206"/>
      <c r="S2728" s="206"/>
      <c r="T2728" s="204"/>
      <c r="U2728" s="207"/>
      <c r="V2728" s="204"/>
      <c r="W2728" s="204"/>
      <c r="X2728" s="207"/>
      <c r="Y2728" s="207"/>
      <c r="Z2728" s="204"/>
      <c r="AA2728" s="204"/>
      <c r="AB2728" s="204"/>
      <c r="AC2728" s="204"/>
    </row>
    <row r="2729" spans="1:29">
      <c r="A2729" s="204"/>
      <c r="B2729" s="204"/>
      <c r="C2729" s="204"/>
      <c r="D2729" s="204"/>
      <c r="E2729" s="204"/>
      <c r="F2729" s="204"/>
      <c r="G2729" s="204"/>
      <c r="H2729" s="204"/>
      <c r="I2729" s="204"/>
      <c r="J2729" s="204"/>
      <c r="K2729" s="204"/>
      <c r="L2729" s="205"/>
      <c r="M2729" s="205"/>
      <c r="N2729" s="204"/>
      <c r="O2729" s="204"/>
      <c r="P2729" s="206"/>
      <c r="Q2729" s="206"/>
      <c r="R2729" s="206"/>
      <c r="S2729" s="206"/>
      <c r="T2729" s="204"/>
      <c r="U2729" s="207"/>
      <c r="V2729" s="204"/>
      <c r="W2729" s="204"/>
      <c r="X2729" s="207"/>
      <c r="Y2729" s="207"/>
      <c r="Z2729" s="204"/>
      <c r="AA2729" s="204"/>
      <c r="AB2729" s="204"/>
      <c r="AC2729" s="204"/>
    </row>
    <row r="2730" spans="1:29">
      <c r="A2730" s="204"/>
      <c r="B2730" s="204"/>
      <c r="C2730" s="204"/>
      <c r="D2730" s="204"/>
      <c r="E2730" s="204"/>
      <c r="F2730" s="204"/>
      <c r="G2730" s="204"/>
      <c r="H2730" s="204"/>
      <c r="I2730" s="204"/>
      <c r="J2730" s="204"/>
      <c r="K2730" s="204"/>
      <c r="L2730" s="205"/>
      <c r="M2730" s="205"/>
      <c r="N2730" s="204"/>
      <c r="O2730" s="204"/>
      <c r="P2730" s="206"/>
      <c r="Q2730" s="206"/>
      <c r="R2730" s="206"/>
      <c r="S2730" s="206"/>
      <c r="T2730" s="204"/>
      <c r="U2730" s="207"/>
      <c r="V2730" s="204"/>
      <c r="W2730" s="204"/>
      <c r="X2730" s="207"/>
      <c r="Y2730" s="207"/>
      <c r="Z2730" s="204"/>
      <c r="AA2730" s="204"/>
      <c r="AB2730" s="204"/>
      <c r="AC2730" s="204"/>
    </row>
    <row r="2731" spans="1:29">
      <c r="A2731" s="204"/>
      <c r="B2731" s="204"/>
      <c r="C2731" s="204"/>
      <c r="D2731" s="204"/>
      <c r="E2731" s="204"/>
      <c r="F2731" s="204"/>
      <c r="G2731" s="204"/>
      <c r="H2731" s="204"/>
      <c r="I2731" s="204"/>
      <c r="J2731" s="204"/>
      <c r="K2731" s="204"/>
      <c r="L2731" s="205"/>
      <c r="M2731" s="205"/>
      <c r="N2731" s="204"/>
      <c r="O2731" s="204"/>
      <c r="P2731" s="206"/>
      <c r="Q2731" s="206"/>
      <c r="R2731" s="206"/>
      <c r="S2731" s="206"/>
      <c r="T2731" s="204"/>
      <c r="U2731" s="207"/>
      <c r="V2731" s="204"/>
      <c r="W2731" s="204"/>
      <c r="X2731" s="207"/>
      <c r="Y2731" s="207"/>
      <c r="Z2731" s="204"/>
      <c r="AA2731" s="204"/>
      <c r="AB2731" s="204"/>
      <c r="AC2731" s="204"/>
    </row>
    <row r="2732" spans="1:29">
      <c r="A2732" s="204"/>
      <c r="B2732" s="204"/>
      <c r="C2732" s="204"/>
      <c r="D2732" s="204"/>
      <c r="E2732" s="204"/>
      <c r="F2732" s="204"/>
      <c r="G2732" s="204"/>
      <c r="H2732" s="204"/>
      <c r="I2732" s="204"/>
      <c r="J2732" s="204"/>
      <c r="K2732" s="204"/>
      <c r="L2732" s="205"/>
      <c r="M2732" s="205"/>
      <c r="N2732" s="204"/>
      <c r="O2732" s="204"/>
      <c r="P2732" s="206"/>
      <c r="Q2732" s="206"/>
      <c r="R2732" s="206"/>
      <c r="S2732" s="206"/>
      <c r="T2732" s="204"/>
      <c r="U2732" s="207"/>
      <c r="V2732" s="204"/>
      <c r="W2732" s="204"/>
      <c r="X2732" s="207"/>
      <c r="Y2732" s="207"/>
      <c r="Z2732" s="204"/>
      <c r="AA2732" s="204"/>
      <c r="AB2732" s="204"/>
      <c r="AC2732" s="204"/>
    </row>
    <row r="2733" spans="1:29">
      <c r="A2733" s="204"/>
      <c r="B2733" s="204"/>
      <c r="C2733" s="204"/>
      <c r="D2733" s="204"/>
      <c r="E2733" s="204"/>
      <c r="F2733" s="204"/>
      <c r="G2733" s="204"/>
      <c r="H2733" s="204"/>
      <c r="I2733" s="204"/>
      <c r="J2733" s="204"/>
      <c r="K2733" s="204"/>
      <c r="L2733" s="205"/>
      <c r="M2733" s="205"/>
      <c r="N2733" s="204"/>
      <c r="O2733" s="204"/>
      <c r="P2733" s="206"/>
      <c r="Q2733" s="206"/>
      <c r="R2733" s="206"/>
      <c r="S2733" s="206"/>
      <c r="T2733" s="204"/>
      <c r="U2733" s="207"/>
      <c r="V2733" s="204"/>
      <c r="W2733" s="204"/>
      <c r="X2733" s="207"/>
      <c r="Y2733" s="207"/>
      <c r="Z2733" s="204"/>
      <c r="AA2733" s="204"/>
      <c r="AB2733" s="204"/>
      <c r="AC2733" s="204"/>
    </row>
    <row r="2734" spans="1:29">
      <c r="A2734" s="204"/>
      <c r="B2734" s="204"/>
      <c r="C2734" s="204"/>
      <c r="D2734" s="204"/>
      <c r="E2734" s="204"/>
      <c r="F2734" s="204"/>
      <c r="G2734" s="204"/>
      <c r="H2734" s="204"/>
      <c r="I2734" s="204"/>
      <c r="J2734" s="204"/>
      <c r="K2734" s="204"/>
      <c r="L2734" s="205"/>
      <c r="M2734" s="205"/>
      <c r="N2734" s="204"/>
      <c r="O2734" s="204"/>
      <c r="P2734" s="206"/>
      <c r="Q2734" s="206"/>
      <c r="R2734" s="206"/>
      <c r="S2734" s="206"/>
      <c r="T2734" s="204"/>
      <c r="U2734" s="207"/>
      <c r="V2734" s="204"/>
      <c r="W2734" s="204"/>
      <c r="X2734" s="207"/>
      <c r="Y2734" s="207"/>
      <c r="Z2734" s="204"/>
      <c r="AA2734" s="204"/>
      <c r="AB2734" s="204"/>
      <c r="AC2734" s="204"/>
    </row>
    <row r="2735" spans="1:29">
      <c r="A2735" s="204"/>
      <c r="B2735" s="204"/>
      <c r="C2735" s="204"/>
      <c r="D2735" s="204"/>
      <c r="E2735" s="204"/>
      <c r="F2735" s="204"/>
      <c r="G2735" s="204"/>
      <c r="H2735" s="204"/>
      <c r="I2735" s="204"/>
      <c r="J2735" s="204"/>
      <c r="K2735" s="204"/>
      <c r="L2735" s="205"/>
      <c r="M2735" s="205"/>
      <c r="N2735" s="204"/>
      <c r="O2735" s="204"/>
      <c r="P2735" s="206"/>
      <c r="Q2735" s="206"/>
      <c r="R2735" s="206"/>
      <c r="S2735" s="206"/>
      <c r="T2735" s="204"/>
      <c r="U2735" s="207"/>
      <c r="V2735" s="204"/>
      <c r="W2735" s="204"/>
      <c r="X2735" s="207"/>
      <c r="Y2735" s="207"/>
      <c r="Z2735" s="204"/>
      <c r="AA2735" s="204"/>
      <c r="AB2735" s="204"/>
      <c r="AC2735" s="204"/>
    </row>
    <row r="2736" spans="1:29">
      <c r="A2736" s="204"/>
      <c r="B2736" s="204"/>
      <c r="C2736" s="204"/>
      <c r="D2736" s="204"/>
      <c r="E2736" s="204"/>
      <c r="F2736" s="204"/>
      <c r="G2736" s="204"/>
      <c r="H2736" s="204"/>
      <c r="I2736" s="204"/>
      <c r="J2736" s="204"/>
      <c r="K2736" s="204"/>
      <c r="L2736" s="205"/>
      <c r="M2736" s="205"/>
      <c r="N2736" s="204"/>
      <c r="O2736" s="204"/>
      <c r="P2736" s="206"/>
      <c r="Q2736" s="206"/>
      <c r="R2736" s="206"/>
      <c r="S2736" s="206"/>
      <c r="T2736" s="204"/>
      <c r="U2736" s="207"/>
      <c r="V2736" s="204"/>
      <c r="W2736" s="204"/>
      <c r="X2736" s="207"/>
      <c r="Y2736" s="207"/>
      <c r="Z2736" s="204"/>
      <c r="AA2736" s="204"/>
      <c r="AB2736" s="204"/>
      <c r="AC2736" s="204"/>
    </row>
    <row r="2737" spans="1:29">
      <c r="A2737" s="204"/>
      <c r="B2737" s="204"/>
      <c r="C2737" s="204"/>
      <c r="D2737" s="204"/>
      <c r="E2737" s="204"/>
      <c r="F2737" s="204"/>
      <c r="G2737" s="204"/>
      <c r="H2737" s="204"/>
      <c r="I2737" s="204"/>
      <c r="J2737" s="204"/>
      <c r="K2737" s="204"/>
      <c r="L2737" s="205"/>
      <c r="M2737" s="205"/>
      <c r="N2737" s="204"/>
      <c r="O2737" s="204"/>
      <c r="P2737" s="206"/>
      <c r="Q2737" s="206"/>
      <c r="R2737" s="206"/>
      <c r="S2737" s="206"/>
      <c r="T2737" s="204"/>
      <c r="U2737" s="207"/>
      <c r="V2737" s="204"/>
      <c r="W2737" s="204"/>
      <c r="X2737" s="207"/>
      <c r="Y2737" s="207"/>
      <c r="Z2737" s="204"/>
      <c r="AA2737" s="204"/>
      <c r="AB2737" s="204"/>
      <c r="AC2737" s="204"/>
    </row>
    <row r="2738" spans="1:29">
      <c r="A2738" s="204"/>
      <c r="B2738" s="204"/>
      <c r="C2738" s="204"/>
      <c r="D2738" s="204"/>
      <c r="E2738" s="204"/>
      <c r="F2738" s="204"/>
      <c r="G2738" s="204"/>
      <c r="H2738" s="204"/>
      <c r="I2738" s="204"/>
      <c r="J2738" s="204"/>
      <c r="K2738" s="204"/>
      <c r="L2738" s="205"/>
      <c r="M2738" s="205"/>
      <c r="N2738" s="204"/>
      <c r="O2738" s="204"/>
      <c r="P2738" s="206"/>
      <c r="Q2738" s="206"/>
      <c r="R2738" s="206"/>
      <c r="S2738" s="206"/>
      <c r="T2738" s="204"/>
      <c r="U2738" s="207"/>
      <c r="V2738" s="204"/>
      <c r="W2738" s="204"/>
      <c r="X2738" s="207"/>
      <c r="Y2738" s="207"/>
      <c r="Z2738" s="204"/>
      <c r="AA2738" s="204"/>
      <c r="AB2738" s="204"/>
      <c r="AC2738" s="204"/>
    </row>
    <row r="2739" spans="1:29">
      <c r="A2739" s="204"/>
      <c r="B2739" s="204"/>
      <c r="C2739" s="204"/>
      <c r="D2739" s="204"/>
      <c r="E2739" s="204"/>
      <c r="F2739" s="204"/>
      <c r="G2739" s="204"/>
      <c r="H2739" s="204"/>
      <c r="I2739" s="204"/>
      <c r="J2739" s="204"/>
      <c r="K2739" s="204"/>
      <c r="L2739" s="205"/>
      <c r="M2739" s="205"/>
      <c r="N2739" s="204"/>
      <c r="O2739" s="204"/>
      <c r="P2739" s="206"/>
      <c r="Q2739" s="206"/>
      <c r="R2739" s="206"/>
      <c r="S2739" s="206"/>
      <c r="T2739" s="204"/>
      <c r="U2739" s="207"/>
      <c r="V2739" s="204"/>
      <c r="W2739" s="204"/>
      <c r="X2739" s="207"/>
      <c r="Y2739" s="207"/>
      <c r="Z2739" s="204"/>
      <c r="AA2739" s="204"/>
      <c r="AB2739" s="204"/>
      <c r="AC2739" s="204"/>
    </row>
    <row r="2740" spans="1:29">
      <c r="A2740" s="204"/>
      <c r="B2740" s="204"/>
      <c r="C2740" s="204"/>
      <c r="D2740" s="204"/>
      <c r="E2740" s="204"/>
      <c r="F2740" s="204"/>
      <c r="G2740" s="204"/>
      <c r="H2740" s="204"/>
      <c r="I2740" s="204"/>
      <c r="J2740" s="204"/>
      <c r="K2740" s="204"/>
      <c r="L2740" s="205"/>
      <c r="M2740" s="205"/>
      <c r="N2740" s="204"/>
      <c r="O2740" s="204"/>
      <c r="P2740" s="206"/>
      <c r="Q2740" s="206"/>
      <c r="R2740" s="206"/>
      <c r="S2740" s="206"/>
      <c r="T2740" s="204"/>
      <c r="U2740" s="207"/>
      <c r="V2740" s="204"/>
      <c r="W2740" s="204"/>
      <c r="X2740" s="207"/>
      <c r="Y2740" s="207"/>
      <c r="Z2740" s="204"/>
      <c r="AA2740" s="204"/>
      <c r="AB2740" s="204"/>
      <c r="AC2740" s="204"/>
    </row>
    <row r="2741" spans="1:29">
      <c r="A2741" s="204"/>
      <c r="B2741" s="204"/>
      <c r="C2741" s="204"/>
      <c r="D2741" s="204"/>
      <c r="E2741" s="204"/>
      <c r="F2741" s="204"/>
      <c r="G2741" s="204"/>
      <c r="H2741" s="204"/>
      <c r="I2741" s="204"/>
      <c r="J2741" s="204"/>
      <c r="K2741" s="204"/>
      <c r="L2741" s="205"/>
      <c r="M2741" s="205"/>
      <c r="N2741" s="204"/>
      <c r="O2741" s="204"/>
      <c r="P2741" s="206"/>
      <c r="Q2741" s="206"/>
      <c r="R2741" s="206"/>
      <c r="S2741" s="206"/>
      <c r="T2741" s="204"/>
      <c r="U2741" s="207"/>
      <c r="V2741" s="204"/>
      <c r="W2741" s="204"/>
      <c r="X2741" s="207"/>
      <c r="Y2741" s="207"/>
      <c r="Z2741" s="204"/>
      <c r="AA2741" s="204"/>
      <c r="AB2741" s="204"/>
      <c r="AC2741" s="204"/>
    </row>
    <row r="2742" spans="1:29">
      <c r="A2742" s="204"/>
      <c r="B2742" s="204"/>
      <c r="C2742" s="204"/>
      <c r="D2742" s="204"/>
      <c r="E2742" s="204"/>
      <c r="F2742" s="204"/>
      <c r="G2742" s="204"/>
      <c r="H2742" s="204"/>
      <c r="I2742" s="204"/>
      <c r="J2742" s="204"/>
      <c r="K2742" s="204"/>
      <c r="L2742" s="205"/>
      <c r="M2742" s="205"/>
      <c r="N2742" s="204"/>
      <c r="O2742" s="204"/>
      <c r="P2742" s="206"/>
      <c r="Q2742" s="206"/>
      <c r="R2742" s="206"/>
      <c r="S2742" s="206"/>
      <c r="T2742" s="204"/>
      <c r="U2742" s="207"/>
      <c r="V2742" s="204"/>
      <c r="W2742" s="204"/>
      <c r="X2742" s="207"/>
      <c r="Y2742" s="207"/>
      <c r="Z2742" s="204"/>
      <c r="AA2742" s="204"/>
      <c r="AB2742" s="204"/>
      <c r="AC2742" s="204"/>
    </row>
    <row r="2743" spans="1:29">
      <c r="A2743" s="204"/>
      <c r="B2743" s="204"/>
      <c r="C2743" s="204"/>
      <c r="D2743" s="204"/>
      <c r="E2743" s="204"/>
      <c r="F2743" s="204"/>
      <c r="G2743" s="204"/>
      <c r="H2743" s="204"/>
      <c r="I2743" s="204"/>
      <c r="J2743" s="204"/>
      <c r="K2743" s="204"/>
      <c r="L2743" s="205"/>
      <c r="M2743" s="205"/>
      <c r="N2743" s="204"/>
      <c r="O2743" s="204"/>
      <c r="P2743" s="206"/>
      <c r="Q2743" s="206"/>
      <c r="R2743" s="206"/>
      <c r="S2743" s="206"/>
      <c r="T2743" s="204"/>
      <c r="U2743" s="207"/>
      <c r="V2743" s="204"/>
      <c r="W2743" s="204"/>
      <c r="X2743" s="207"/>
      <c r="Y2743" s="207"/>
      <c r="Z2743" s="204"/>
      <c r="AA2743" s="204"/>
      <c r="AB2743" s="204"/>
      <c r="AC2743" s="204"/>
    </row>
    <row r="2744" spans="1:29">
      <c r="A2744" s="204"/>
      <c r="B2744" s="204"/>
      <c r="C2744" s="204"/>
      <c r="D2744" s="204"/>
      <c r="E2744" s="204"/>
      <c r="F2744" s="204"/>
      <c r="G2744" s="204"/>
      <c r="H2744" s="204"/>
      <c r="I2744" s="204"/>
      <c r="J2744" s="204"/>
      <c r="K2744" s="204"/>
      <c r="L2744" s="205"/>
      <c r="M2744" s="205"/>
      <c r="N2744" s="204"/>
      <c r="O2744" s="204"/>
      <c r="P2744" s="206"/>
      <c r="Q2744" s="206"/>
      <c r="R2744" s="206"/>
      <c r="S2744" s="206"/>
      <c r="T2744" s="204"/>
      <c r="U2744" s="207"/>
      <c r="V2744" s="204"/>
      <c r="W2744" s="204"/>
      <c r="X2744" s="207"/>
      <c r="Y2744" s="207"/>
      <c r="Z2744" s="204"/>
      <c r="AA2744" s="204"/>
      <c r="AB2744" s="204"/>
      <c r="AC2744" s="204"/>
    </row>
    <row r="2745" spans="1:29">
      <c r="A2745" s="204"/>
      <c r="B2745" s="204"/>
      <c r="C2745" s="204"/>
      <c r="D2745" s="204"/>
      <c r="E2745" s="204"/>
      <c r="F2745" s="204"/>
      <c r="G2745" s="204"/>
      <c r="H2745" s="204"/>
      <c r="I2745" s="204"/>
      <c r="J2745" s="204"/>
      <c r="K2745" s="204"/>
      <c r="L2745" s="205"/>
      <c r="M2745" s="205"/>
      <c r="N2745" s="204"/>
      <c r="O2745" s="204"/>
      <c r="P2745" s="206"/>
      <c r="Q2745" s="206"/>
      <c r="R2745" s="206"/>
      <c r="S2745" s="206"/>
      <c r="T2745" s="204"/>
      <c r="U2745" s="207"/>
      <c r="V2745" s="204"/>
      <c r="W2745" s="204"/>
      <c r="X2745" s="207"/>
      <c r="Y2745" s="207"/>
      <c r="Z2745" s="204"/>
      <c r="AA2745" s="204"/>
      <c r="AB2745" s="204"/>
      <c r="AC2745" s="204"/>
    </row>
    <row r="2746" spans="1:29">
      <c r="A2746" s="204"/>
      <c r="B2746" s="204"/>
      <c r="C2746" s="204"/>
      <c r="D2746" s="204"/>
      <c r="E2746" s="204"/>
      <c r="F2746" s="204"/>
      <c r="G2746" s="204"/>
      <c r="H2746" s="204"/>
      <c r="I2746" s="204"/>
      <c r="J2746" s="204"/>
      <c r="K2746" s="204"/>
      <c r="L2746" s="205"/>
      <c r="M2746" s="205"/>
      <c r="N2746" s="204"/>
      <c r="O2746" s="204"/>
      <c r="P2746" s="206"/>
      <c r="Q2746" s="206"/>
      <c r="R2746" s="206"/>
      <c r="S2746" s="206"/>
      <c r="T2746" s="204"/>
      <c r="U2746" s="207"/>
      <c r="V2746" s="204"/>
      <c r="W2746" s="204"/>
      <c r="X2746" s="207"/>
      <c r="Y2746" s="207"/>
      <c r="Z2746" s="204"/>
      <c r="AA2746" s="204"/>
      <c r="AB2746" s="204"/>
      <c r="AC2746" s="204"/>
    </row>
    <row r="2747" spans="1:29">
      <c r="A2747" s="204"/>
      <c r="B2747" s="204"/>
      <c r="C2747" s="204"/>
      <c r="D2747" s="204"/>
      <c r="E2747" s="204"/>
      <c r="F2747" s="204"/>
      <c r="G2747" s="204"/>
      <c r="H2747" s="204"/>
      <c r="I2747" s="204"/>
      <c r="J2747" s="204"/>
      <c r="K2747" s="204"/>
      <c r="L2747" s="205"/>
      <c r="M2747" s="205"/>
      <c r="N2747" s="204"/>
      <c r="O2747" s="204"/>
      <c r="P2747" s="206"/>
      <c r="Q2747" s="206"/>
      <c r="R2747" s="206"/>
      <c r="S2747" s="206"/>
      <c r="T2747" s="204"/>
      <c r="U2747" s="207"/>
      <c r="V2747" s="204"/>
      <c r="W2747" s="204"/>
      <c r="X2747" s="207"/>
      <c r="Y2747" s="207"/>
      <c r="Z2747" s="204"/>
      <c r="AA2747" s="204"/>
      <c r="AB2747" s="204"/>
      <c r="AC2747" s="204"/>
    </row>
    <row r="2748" spans="1:29">
      <c r="A2748" s="204"/>
      <c r="B2748" s="204"/>
      <c r="C2748" s="204"/>
      <c r="D2748" s="204"/>
      <c r="E2748" s="204"/>
      <c r="F2748" s="204"/>
      <c r="G2748" s="204"/>
      <c r="H2748" s="204"/>
      <c r="I2748" s="204"/>
      <c r="J2748" s="204"/>
      <c r="K2748" s="204"/>
      <c r="L2748" s="205"/>
      <c r="M2748" s="205"/>
      <c r="N2748" s="204"/>
      <c r="O2748" s="204"/>
      <c r="P2748" s="206"/>
      <c r="Q2748" s="206"/>
      <c r="R2748" s="206"/>
      <c r="S2748" s="206"/>
      <c r="T2748" s="204"/>
      <c r="U2748" s="207"/>
      <c r="V2748" s="204"/>
      <c r="W2748" s="204"/>
      <c r="X2748" s="207"/>
      <c r="Y2748" s="207"/>
      <c r="Z2748" s="204"/>
      <c r="AA2748" s="204"/>
      <c r="AB2748" s="204"/>
      <c r="AC2748" s="204"/>
    </row>
    <row r="2749" spans="1:29">
      <c r="A2749" s="204"/>
      <c r="B2749" s="204"/>
      <c r="C2749" s="204"/>
      <c r="D2749" s="204"/>
      <c r="E2749" s="204"/>
      <c r="F2749" s="204"/>
      <c r="G2749" s="204"/>
      <c r="H2749" s="204"/>
      <c r="I2749" s="204"/>
      <c r="J2749" s="204"/>
      <c r="K2749" s="204"/>
      <c r="L2749" s="205"/>
      <c r="M2749" s="205"/>
      <c r="N2749" s="204"/>
      <c r="O2749" s="204"/>
      <c r="P2749" s="206"/>
      <c r="Q2749" s="206"/>
      <c r="R2749" s="206"/>
      <c r="S2749" s="206"/>
      <c r="T2749" s="204"/>
      <c r="U2749" s="207"/>
      <c r="V2749" s="204"/>
      <c r="W2749" s="204"/>
      <c r="X2749" s="207"/>
      <c r="Y2749" s="207"/>
      <c r="Z2749" s="204"/>
      <c r="AA2749" s="204"/>
      <c r="AB2749" s="204"/>
      <c r="AC2749" s="204"/>
    </row>
    <row r="2750" spans="1:29">
      <c r="A2750" s="204"/>
      <c r="B2750" s="204"/>
      <c r="C2750" s="204"/>
      <c r="D2750" s="204"/>
      <c r="E2750" s="204"/>
      <c r="F2750" s="204"/>
      <c r="G2750" s="204"/>
      <c r="H2750" s="204"/>
      <c r="I2750" s="204"/>
      <c r="J2750" s="204"/>
      <c r="K2750" s="204"/>
      <c r="L2750" s="205"/>
      <c r="M2750" s="205"/>
      <c r="N2750" s="204"/>
      <c r="O2750" s="204"/>
      <c r="P2750" s="206"/>
      <c r="Q2750" s="206"/>
      <c r="R2750" s="206"/>
      <c r="S2750" s="206"/>
      <c r="T2750" s="204"/>
      <c r="U2750" s="207"/>
      <c r="V2750" s="204"/>
      <c r="W2750" s="204"/>
      <c r="X2750" s="207"/>
      <c r="Y2750" s="207"/>
      <c r="Z2750" s="204"/>
      <c r="AA2750" s="204"/>
      <c r="AB2750" s="204"/>
      <c r="AC2750" s="204"/>
    </row>
    <row r="2751" spans="1:29">
      <c r="A2751" s="204"/>
      <c r="B2751" s="204"/>
      <c r="C2751" s="204"/>
      <c r="D2751" s="204"/>
      <c r="E2751" s="204"/>
      <c r="F2751" s="204"/>
      <c r="G2751" s="204"/>
      <c r="H2751" s="204"/>
      <c r="I2751" s="204"/>
      <c r="J2751" s="204"/>
      <c r="K2751" s="204"/>
      <c r="L2751" s="205"/>
      <c r="M2751" s="205"/>
      <c r="N2751" s="204"/>
      <c r="O2751" s="204"/>
      <c r="P2751" s="206"/>
      <c r="Q2751" s="206"/>
      <c r="R2751" s="206"/>
      <c r="S2751" s="206"/>
      <c r="T2751" s="204"/>
      <c r="U2751" s="207"/>
      <c r="V2751" s="204"/>
      <c r="W2751" s="204"/>
      <c r="X2751" s="207"/>
      <c r="Y2751" s="207"/>
      <c r="Z2751" s="204"/>
      <c r="AA2751" s="204"/>
      <c r="AB2751" s="204"/>
      <c r="AC2751" s="204"/>
    </row>
    <row r="2752" spans="1:29">
      <c r="A2752" s="204"/>
      <c r="B2752" s="204"/>
      <c r="C2752" s="204"/>
      <c r="D2752" s="204"/>
      <c r="E2752" s="204"/>
      <c r="F2752" s="204"/>
      <c r="G2752" s="204"/>
      <c r="H2752" s="204"/>
      <c r="I2752" s="204"/>
      <c r="J2752" s="204"/>
      <c r="K2752" s="204"/>
      <c r="L2752" s="205"/>
      <c r="M2752" s="205"/>
      <c r="N2752" s="204"/>
      <c r="O2752" s="204"/>
      <c r="P2752" s="206"/>
      <c r="Q2752" s="206"/>
      <c r="R2752" s="206"/>
      <c r="S2752" s="206"/>
      <c r="T2752" s="204"/>
      <c r="U2752" s="207"/>
      <c r="V2752" s="204"/>
      <c r="W2752" s="204"/>
      <c r="X2752" s="207"/>
      <c r="Y2752" s="207"/>
      <c r="Z2752" s="204"/>
      <c r="AA2752" s="204"/>
      <c r="AB2752" s="204"/>
      <c r="AC2752" s="204"/>
    </row>
    <row r="2753" spans="1:29">
      <c r="A2753" s="204"/>
      <c r="B2753" s="204"/>
      <c r="C2753" s="204"/>
      <c r="D2753" s="204"/>
      <c r="E2753" s="204"/>
      <c r="F2753" s="204"/>
      <c r="G2753" s="204"/>
      <c r="H2753" s="204"/>
      <c r="I2753" s="204"/>
      <c r="J2753" s="204"/>
      <c r="K2753" s="204"/>
      <c r="L2753" s="205"/>
      <c r="M2753" s="205"/>
      <c r="N2753" s="204"/>
      <c r="O2753" s="204"/>
      <c r="P2753" s="206"/>
      <c r="Q2753" s="206"/>
      <c r="R2753" s="206"/>
      <c r="S2753" s="206"/>
      <c r="T2753" s="204"/>
      <c r="U2753" s="207"/>
      <c r="V2753" s="204"/>
      <c r="W2753" s="204"/>
      <c r="X2753" s="207"/>
      <c r="Y2753" s="207"/>
      <c r="Z2753" s="204"/>
      <c r="AA2753" s="204"/>
      <c r="AB2753" s="204"/>
      <c r="AC2753" s="204"/>
    </row>
    <row r="2754" spans="1:29">
      <c r="A2754" s="204"/>
      <c r="B2754" s="204"/>
      <c r="C2754" s="204"/>
      <c r="D2754" s="204"/>
      <c r="E2754" s="204"/>
      <c r="F2754" s="204"/>
      <c r="G2754" s="204"/>
      <c r="H2754" s="204"/>
      <c r="I2754" s="204"/>
      <c r="J2754" s="204"/>
      <c r="K2754" s="204"/>
      <c r="L2754" s="205"/>
      <c r="M2754" s="205"/>
      <c r="N2754" s="204"/>
      <c r="O2754" s="204"/>
      <c r="P2754" s="206"/>
      <c r="Q2754" s="206"/>
      <c r="R2754" s="206"/>
      <c r="S2754" s="206"/>
      <c r="T2754" s="204"/>
      <c r="U2754" s="207"/>
      <c r="V2754" s="204"/>
      <c r="W2754" s="204"/>
      <c r="X2754" s="207"/>
      <c r="Y2754" s="207"/>
      <c r="Z2754" s="204"/>
      <c r="AA2754" s="204"/>
      <c r="AB2754" s="204"/>
      <c r="AC2754" s="204"/>
    </row>
    <row r="2755" spans="1:29">
      <c r="A2755" s="204"/>
      <c r="B2755" s="204"/>
      <c r="C2755" s="204"/>
      <c r="D2755" s="204"/>
      <c r="E2755" s="204"/>
      <c r="F2755" s="204"/>
      <c r="G2755" s="204"/>
      <c r="H2755" s="204"/>
      <c r="I2755" s="204"/>
      <c r="J2755" s="204"/>
      <c r="K2755" s="204"/>
      <c r="L2755" s="205"/>
      <c r="M2755" s="205"/>
      <c r="N2755" s="204"/>
      <c r="O2755" s="204"/>
      <c r="P2755" s="206"/>
      <c r="Q2755" s="206"/>
      <c r="R2755" s="206"/>
      <c r="S2755" s="206"/>
      <c r="T2755" s="204"/>
      <c r="U2755" s="207"/>
      <c r="V2755" s="204"/>
      <c r="W2755" s="204"/>
      <c r="X2755" s="207"/>
      <c r="Y2755" s="207"/>
      <c r="Z2755" s="204"/>
      <c r="AA2755" s="204"/>
      <c r="AB2755" s="204"/>
      <c r="AC2755" s="204"/>
    </row>
    <row r="2756" spans="1:29">
      <c r="A2756" s="204"/>
      <c r="B2756" s="204"/>
      <c r="C2756" s="204"/>
      <c r="D2756" s="204"/>
      <c r="E2756" s="204"/>
      <c r="F2756" s="204"/>
      <c r="G2756" s="204"/>
      <c r="H2756" s="204"/>
      <c r="I2756" s="204"/>
      <c r="J2756" s="204"/>
      <c r="K2756" s="204"/>
      <c r="L2756" s="205"/>
      <c r="M2756" s="205"/>
      <c r="N2756" s="204"/>
      <c r="O2756" s="204"/>
      <c r="P2756" s="206"/>
      <c r="Q2756" s="206"/>
      <c r="R2756" s="206"/>
      <c r="S2756" s="206"/>
      <c r="T2756" s="204"/>
      <c r="U2756" s="207"/>
      <c r="V2756" s="204"/>
      <c r="W2756" s="204"/>
      <c r="X2756" s="207"/>
      <c r="Y2756" s="207"/>
      <c r="Z2756" s="204"/>
      <c r="AA2756" s="204"/>
      <c r="AB2756" s="204"/>
      <c r="AC2756" s="204"/>
    </row>
    <row r="2757" spans="1:29">
      <c r="A2757" s="204"/>
      <c r="B2757" s="204"/>
      <c r="C2757" s="204"/>
      <c r="D2757" s="204"/>
      <c r="E2757" s="204"/>
      <c r="F2757" s="204"/>
      <c r="G2757" s="204"/>
      <c r="H2757" s="204"/>
      <c r="I2757" s="204"/>
      <c r="J2757" s="204"/>
      <c r="K2757" s="204"/>
      <c r="L2757" s="205"/>
      <c r="M2757" s="205"/>
      <c r="N2757" s="204"/>
      <c r="O2757" s="204"/>
      <c r="P2757" s="206"/>
      <c r="Q2757" s="206"/>
      <c r="R2757" s="206"/>
      <c r="S2757" s="206"/>
      <c r="T2757" s="204"/>
      <c r="U2757" s="207"/>
      <c r="V2757" s="204"/>
      <c r="W2757" s="204"/>
      <c r="X2757" s="207"/>
      <c r="Y2757" s="207"/>
      <c r="Z2757" s="204"/>
      <c r="AA2757" s="204"/>
      <c r="AB2757" s="204"/>
      <c r="AC2757" s="204"/>
    </row>
    <row r="2758" spans="1:29">
      <c r="A2758" s="204"/>
      <c r="B2758" s="204"/>
      <c r="C2758" s="204"/>
      <c r="D2758" s="204"/>
      <c r="E2758" s="204"/>
      <c r="F2758" s="204"/>
      <c r="G2758" s="204"/>
      <c r="H2758" s="204"/>
      <c r="I2758" s="204"/>
      <c r="J2758" s="204"/>
      <c r="K2758" s="204"/>
      <c r="L2758" s="205"/>
      <c r="M2758" s="205"/>
      <c r="N2758" s="204"/>
      <c r="O2758" s="204"/>
      <c r="P2758" s="206"/>
      <c r="Q2758" s="206"/>
      <c r="R2758" s="206"/>
      <c r="S2758" s="206"/>
      <c r="T2758" s="204"/>
      <c r="U2758" s="207"/>
      <c r="V2758" s="204"/>
      <c r="W2758" s="204"/>
      <c r="X2758" s="207"/>
      <c r="Y2758" s="207"/>
      <c r="Z2758" s="204"/>
      <c r="AA2758" s="204"/>
      <c r="AB2758" s="204"/>
      <c r="AC2758" s="204"/>
    </row>
    <row r="2759" spans="1:29">
      <c r="A2759" s="204"/>
      <c r="B2759" s="204"/>
      <c r="C2759" s="204"/>
      <c r="D2759" s="204"/>
      <c r="E2759" s="204"/>
      <c r="F2759" s="204"/>
      <c r="G2759" s="204"/>
      <c r="H2759" s="204"/>
      <c r="I2759" s="204"/>
      <c r="J2759" s="204"/>
      <c r="K2759" s="204"/>
      <c r="L2759" s="205"/>
      <c r="M2759" s="205"/>
      <c r="N2759" s="204"/>
      <c r="O2759" s="204"/>
      <c r="P2759" s="206"/>
      <c r="Q2759" s="206"/>
      <c r="R2759" s="206"/>
      <c r="S2759" s="206"/>
      <c r="T2759" s="204"/>
      <c r="U2759" s="207"/>
      <c r="V2759" s="204"/>
      <c r="W2759" s="204"/>
      <c r="X2759" s="207"/>
      <c r="Y2759" s="207"/>
      <c r="Z2759" s="204"/>
      <c r="AA2759" s="204"/>
      <c r="AB2759" s="204"/>
      <c r="AC2759" s="204"/>
    </row>
    <row r="2760" spans="1:29">
      <c r="A2760" s="204"/>
      <c r="B2760" s="204"/>
      <c r="C2760" s="204"/>
      <c r="D2760" s="204"/>
      <c r="E2760" s="204"/>
      <c r="F2760" s="204"/>
      <c r="G2760" s="204"/>
      <c r="H2760" s="204"/>
      <c r="I2760" s="204"/>
      <c r="J2760" s="204"/>
      <c r="K2760" s="204"/>
      <c r="L2760" s="205"/>
      <c r="M2760" s="205"/>
      <c r="N2760" s="204"/>
      <c r="O2760" s="204"/>
      <c r="P2760" s="206"/>
      <c r="Q2760" s="206"/>
      <c r="R2760" s="206"/>
      <c r="S2760" s="206"/>
      <c r="T2760" s="204"/>
      <c r="U2760" s="207"/>
      <c r="V2760" s="204"/>
      <c r="W2760" s="204"/>
      <c r="X2760" s="207"/>
      <c r="Y2760" s="207"/>
      <c r="Z2760" s="204"/>
      <c r="AA2760" s="204"/>
      <c r="AB2760" s="204"/>
      <c r="AC2760" s="204"/>
    </row>
    <row r="2761" spans="1:29">
      <c r="A2761" s="204"/>
      <c r="B2761" s="204"/>
      <c r="C2761" s="204"/>
      <c r="D2761" s="204"/>
      <c r="E2761" s="204"/>
      <c r="F2761" s="204"/>
      <c r="G2761" s="204"/>
      <c r="H2761" s="204"/>
      <c r="I2761" s="204"/>
      <c r="J2761" s="204"/>
      <c r="K2761" s="204"/>
      <c r="L2761" s="205"/>
      <c r="M2761" s="205"/>
      <c r="N2761" s="204"/>
      <c r="O2761" s="204"/>
      <c r="P2761" s="206"/>
      <c r="Q2761" s="206"/>
      <c r="R2761" s="206"/>
      <c r="S2761" s="206"/>
      <c r="T2761" s="204"/>
      <c r="U2761" s="207"/>
      <c r="V2761" s="204"/>
      <c r="W2761" s="204"/>
      <c r="X2761" s="207"/>
      <c r="Y2761" s="207"/>
      <c r="Z2761" s="204"/>
      <c r="AA2761" s="204"/>
      <c r="AB2761" s="204"/>
      <c r="AC2761" s="204"/>
    </row>
    <row r="2762" spans="1:29">
      <c r="A2762" s="204"/>
      <c r="B2762" s="204"/>
      <c r="C2762" s="204"/>
      <c r="D2762" s="204"/>
      <c r="E2762" s="204"/>
      <c r="F2762" s="204"/>
      <c r="G2762" s="204"/>
      <c r="H2762" s="204"/>
      <c r="I2762" s="204"/>
      <c r="J2762" s="204"/>
      <c r="K2762" s="204"/>
      <c r="L2762" s="205"/>
      <c r="M2762" s="205"/>
      <c r="N2762" s="204"/>
      <c r="O2762" s="204"/>
      <c r="P2762" s="206"/>
      <c r="Q2762" s="206"/>
      <c r="R2762" s="206"/>
      <c r="S2762" s="206"/>
      <c r="T2762" s="204"/>
      <c r="U2762" s="207"/>
      <c r="V2762" s="204"/>
      <c r="W2762" s="204"/>
      <c r="X2762" s="207"/>
      <c r="Y2762" s="207"/>
      <c r="Z2762" s="204"/>
      <c r="AA2762" s="204"/>
      <c r="AB2762" s="204"/>
      <c r="AC2762" s="204"/>
    </row>
    <row r="2763" spans="1:29">
      <c r="A2763" s="204"/>
      <c r="B2763" s="204"/>
      <c r="C2763" s="204"/>
      <c r="D2763" s="204"/>
      <c r="E2763" s="204"/>
      <c r="F2763" s="204"/>
      <c r="G2763" s="204"/>
      <c r="H2763" s="204"/>
      <c r="I2763" s="204"/>
      <c r="J2763" s="204"/>
      <c r="K2763" s="204"/>
      <c r="L2763" s="205"/>
      <c r="M2763" s="205"/>
      <c r="N2763" s="204"/>
      <c r="O2763" s="204"/>
      <c r="P2763" s="206"/>
      <c r="Q2763" s="206"/>
      <c r="R2763" s="206"/>
      <c r="S2763" s="206"/>
      <c r="T2763" s="204"/>
      <c r="U2763" s="207"/>
      <c r="V2763" s="204"/>
      <c r="W2763" s="204"/>
      <c r="X2763" s="207"/>
      <c r="Y2763" s="207"/>
      <c r="Z2763" s="204"/>
      <c r="AA2763" s="204"/>
      <c r="AB2763" s="204"/>
      <c r="AC2763" s="204"/>
    </row>
    <row r="2764" spans="1:29">
      <c r="A2764" s="204"/>
      <c r="B2764" s="204"/>
      <c r="C2764" s="204"/>
      <c r="D2764" s="204"/>
      <c r="E2764" s="204"/>
      <c r="F2764" s="204"/>
      <c r="G2764" s="204"/>
      <c r="H2764" s="204"/>
      <c r="I2764" s="204"/>
      <c r="J2764" s="204"/>
      <c r="K2764" s="204"/>
      <c r="L2764" s="205"/>
      <c r="M2764" s="205"/>
      <c r="N2764" s="204"/>
      <c r="O2764" s="204"/>
      <c r="P2764" s="206"/>
      <c r="Q2764" s="206"/>
      <c r="R2764" s="206"/>
      <c r="S2764" s="206"/>
      <c r="T2764" s="204"/>
      <c r="U2764" s="207"/>
      <c r="V2764" s="204"/>
      <c r="W2764" s="204"/>
      <c r="X2764" s="207"/>
      <c r="Y2764" s="207"/>
      <c r="Z2764" s="204"/>
      <c r="AA2764" s="204"/>
      <c r="AB2764" s="204"/>
      <c r="AC2764" s="204"/>
    </row>
    <row r="2765" spans="1:29">
      <c r="A2765" s="204"/>
      <c r="B2765" s="204"/>
      <c r="C2765" s="204"/>
      <c r="D2765" s="204"/>
      <c r="E2765" s="204"/>
      <c r="F2765" s="204"/>
      <c r="G2765" s="204"/>
      <c r="H2765" s="204"/>
      <c r="I2765" s="204"/>
      <c r="J2765" s="204"/>
      <c r="K2765" s="204"/>
      <c r="L2765" s="205"/>
      <c r="M2765" s="205"/>
      <c r="N2765" s="204"/>
      <c r="O2765" s="204"/>
      <c r="P2765" s="206"/>
      <c r="Q2765" s="206"/>
      <c r="R2765" s="206"/>
      <c r="S2765" s="206"/>
      <c r="T2765" s="204"/>
      <c r="U2765" s="207"/>
      <c r="V2765" s="204"/>
      <c r="W2765" s="204"/>
      <c r="X2765" s="207"/>
      <c r="Y2765" s="207"/>
      <c r="Z2765" s="204"/>
      <c r="AA2765" s="204"/>
      <c r="AB2765" s="204"/>
      <c r="AC2765" s="204"/>
    </row>
    <row r="2766" spans="1:29">
      <c r="A2766" s="204"/>
      <c r="B2766" s="204"/>
      <c r="C2766" s="204"/>
      <c r="D2766" s="204"/>
      <c r="E2766" s="204"/>
      <c r="F2766" s="204"/>
      <c r="G2766" s="204"/>
      <c r="H2766" s="204"/>
      <c r="I2766" s="204"/>
      <c r="J2766" s="204"/>
      <c r="K2766" s="204"/>
      <c r="L2766" s="205"/>
      <c r="M2766" s="205"/>
      <c r="N2766" s="204"/>
      <c r="O2766" s="204"/>
      <c r="P2766" s="206"/>
      <c r="Q2766" s="206"/>
      <c r="R2766" s="206"/>
      <c r="S2766" s="206"/>
      <c r="T2766" s="204"/>
      <c r="U2766" s="207"/>
      <c r="V2766" s="204"/>
      <c r="W2766" s="204"/>
      <c r="X2766" s="207"/>
      <c r="Y2766" s="207"/>
      <c r="Z2766" s="204"/>
      <c r="AA2766" s="204"/>
      <c r="AB2766" s="204"/>
      <c r="AC2766" s="204"/>
    </row>
    <row r="2767" spans="1:29">
      <c r="A2767" s="204"/>
      <c r="B2767" s="204"/>
      <c r="C2767" s="204"/>
      <c r="D2767" s="204"/>
      <c r="E2767" s="204"/>
      <c r="F2767" s="204"/>
      <c r="G2767" s="204"/>
      <c r="H2767" s="204"/>
      <c r="I2767" s="204"/>
      <c r="J2767" s="204"/>
      <c r="K2767" s="204"/>
      <c r="L2767" s="205"/>
      <c r="M2767" s="205"/>
      <c r="N2767" s="204"/>
      <c r="O2767" s="204"/>
      <c r="P2767" s="206"/>
      <c r="Q2767" s="206"/>
      <c r="R2767" s="206"/>
      <c r="S2767" s="206"/>
      <c r="T2767" s="204"/>
      <c r="U2767" s="207"/>
      <c r="V2767" s="204"/>
      <c r="W2767" s="204"/>
      <c r="X2767" s="207"/>
      <c r="Y2767" s="207"/>
      <c r="Z2767" s="204"/>
      <c r="AA2767" s="204"/>
      <c r="AB2767" s="204"/>
      <c r="AC2767" s="204"/>
    </row>
    <row r="2768" spans="1:29">
      <c r="A2768" s="204"/>
      <c r="B2768" s="204"/>
      <c r="C2768" s="204"/>
      <c r="D2768" s="204"/>
      <c r="E2768" s="204"/>
      <c r="F2768" s="204"/>
      <c r="G2768" s="204"/>
      <c r="H2768" s="204"/>
      <c r="I2768" s="204"/>
      <c r="J2768" s="204"/>
      <c r="K2768" s="204"/>
      <c r="L2768" s="205"/>
      <c r="M2768" s="205"/>
      <c r="N2768" s="204"/>
      <c r="O2768" s="204"/>
      <c r="P2768" s="206"/>
      <c r="Q2768" s="206"/>
      <c r="R2768" s="206"/>
      <c r="S2768" s="206"/>
      <c r="T2768" s="204"/>
      <c r="U2768" s="207"/>
      <c r="V2768" s="204"/>
      <c r="W2768" s="204"/>
      <c r="X2768" s="207"/>
      <c r="Y2768" s="207"/>
      <c r="Z2768" s="204"/>
      <c r="AA2768" s="204"/>
      <c r="AB2768" s="204"/>
      <c r="AC2768" s="204"/>
    </row>
    <row r="2769" spans="1:29">
      <c r="A2769" s="204"/>
      <c r="B2769" s="204"/>
      <c r="C2769" s="204"/>
      <c r="D2769" s="204"/>
      <c r="E2769" s="204"/>
      <c r="F2769" s="204"/>
      <c r="G2769" s="204"/>
      <c r="H2769" s="204"/>
      <c r="I2769" s="204"/>
      <c r="J2769" s="204"/>
      <c r="K2769" s="204"/>
      <c r="L2769" s="205"/>
      <c r="M2769" s="205"/>
      <c r="N2769" s="204"/>
      <c r="O2769" s="204"/>
      <c r="P2769" s="206"/>
      <c r="Q2769" s="206"/>
      <c r="R2769" s="206"/>
      <c r="S2769" s="206"/>
      <c r="T2769" s="204"/>
      <c r="U2769" s="207"/>
      <c r="V2769" s="204"/>
      <c r="W2769" s="204"/>
      <c r="X2769" s="207"/>
      <c r="Y2769" s="207"/>
      <c r="Z2769" s="204"/>
      <c r="AA2769" s="204"/>
      <c r="AB2769" s="204"/>
      <c r="AC2769" s="204"/>
    </row>
    <row r="2770" spans="1:29">
      <c r="A2770" s="204"/>
      <c r="B2770" s="204"/>
      <c r="C2770" s="204"/>
      <c r="D2770" s="204"/>
      <c r="E2770" s="204"/>
      <c r="F2770" s="204"/>
      <c r="G2770" s="204"/>
      <c r="H2770" s="204"/>
      <c r="I2770" s="204"/>
      <c r="J2770" s="204"/>
      <c r="K2770" s="204"/>
      <c r="L2770" s="205"/>
      <c r="M2770" s="205"/>
      <c r="N2770" s="204"/>
      <c r="O2770" s="204"/>
      <c r="P2770" s="206"/>
      <c r="Q2770" s="206"/>
      <c r="R2770" s="206"/>
      <c r="S2770" s="206"/>
      <c r="T2770" s="204"/>
      <c r="U2770" s="207"/>
      <c r="V2770" s="204"/>
      <c r="W2770" s="204"/>
      <c r="X2770" s="207"/>
      <c r="Y2770" s="207"/>
      <c r="Z2770" s="204"/>
      <c r="AA2770" s="204"/>
      <c r="AB2770" s="204"/>
      <c r="AC2770" s="204"/>
    </row>
    <row r="2771" spans="1:29">
      <c r="A2771" s="204"/>
      <c r="B2771" s="204"/>
      <c r="C2771" s="204"/>
      <c r="D2771" s="204"/>
      <c r="E2771" s="204"/>
      <c r="F2771" s="204"/>
      <c r="G2771" s="204"/>
      <c r="H2771" s="204"/>
      <c r="I2771" s="204"/>
      <c r="J2771" s="204"/>
      <c r="K2771" s="204"/>
      <c r="L2771" s="205"/>
      <c r="M2771" s="205"/>
      <c r="N2771" s="204"/>
      <c r="O2771" s="204"/>
      <c r="P2771" s="206"/>
      <c r="Q2771" s="206"/>
      <c r="R2771" s="206"/>
      <c r="S2771" s="206"/>
      <c r="T2771" s="204"/>
      <c r="U2771" s="207"/>
      <c r="V2771" s="204"/>
      <c r="W2771" s="204"/>
      <c r="X2771" s="207"/>
      <c r="Y2771" s="207"/>
      <c r="Z2771" s="204"/>
      <c r="AA2771" s="204"/>
      <c r="AB2771" s="204"/>
      <c r="AC2771" s="204"/>
    </row>
    <row r="2772" spans="1:29">
      <c r="A2772" s="204"/>
      <c r="B2772" s="204"/>
      <c r="C2772" s="204"/>
      <c r="D2772" s="204"/>
      <c r="E2772" s="204"/>
      <c r="F2772" s="204"/>
      <c r="G2772" s="204"/>
      <c r="H2772" s="204"/>
      <c r="I2772" s="204"/>
      <c r="J2772" s="204"/>
      <c r="K2772" s="204"/>
      <c r="L2772" s="205"/>
      <c r="M2772" s="205"/>
      <c r="N2772" s="204"/>
      <c r="O2772" s="204"/>
      <c r="P2772" s="206"/>
      <c r="Q2772" s="206"/>
      <c r="R2772" s="206"/>
      <c r="S2772" s="206"/>
      <c r="T2772" s="204"/>
      <c r="U2772" s="207"/>
      <c r="V2772" s="204"/>
      <c r="W2772" s="204"/>
      <c r="X2772" s="207"/>
      <c r="Y2772" s="207"/>
      <c r="Z2772" s="204"/>
      <c r="AA2772" s="204"/>
      <c r="AB2772" s="204"/>
      <c r="AC2772" s="204"/>
    </row>
    <row r="2773" spans="1:29">
      <c r="A2773" s="204"/>
      <c r="B2773" s="204"/>
      <c r="C2773" s="204"/>
      <c r="D2773" s="204"/>
      <c r="E2773" s="204"/>
      <c r="F2773" s="204"/>
      <c r="G2773" s="204"/>
      <c r="H2773" s="204"/>
      <c r="I2773" s="204"/>
      <c r="J2773" s="204"/>
      <c r="K2773" s="204"/>
      <c r="L2773" s="205"/>
      <c r="M2773" s="205"/>
      <c r="N2773" s="204"/>
      <c r="O2773" s="204"/>
      <c r="P2773" s="206"/>
      <c r="Q2773" s="206"/>
      <c r="R2773" s="206"/>
      <c r="S2773" s="206"/>
      <c r="T2773" s="204"/>
      <c r="U2773" s="207"/>
      <c r="V2773" s="204"/>
      <c r="W2773" s="204"/>
      <c r="X2773" s="207"/>
      <c r="Y2773" s="207"/>
      <c r="Z2773" s="204"/>
      <c r="AA2773" s="204"/>
      <c r="AB2773" s="204"/>
      <c r="AC2773" s="204"/>
    </row>
    <row r="2774" spans="1:29">
      <c r="A2774" s="204"/>
      <c r="B2774" s="204"/>
      <c r="C2774" s="204"/>
      <c r="D2774" s="204"/>
      <c r="E2774" s="204"/>
      <c r="F2774" s="204"/>
      <c r="G2774" s="204"/>
      <c r="H2774" s="204"/>
      <c r="I2774" s="204"/>
      <c r="J2774" s="204"/>
      <c r="K2774" s="204"/>
      <c r="L2774" s="205"/>
      <c r="M2774" s="205"/>
      <c r="N2774" s="204"/>
      <c r="O2774" s="204"/>
      <c r="P2774" s="206"/>
      <c r="Q2774" s="206"/>
      <c r="R2774" s="206"/>
      <c r="S2774" s="206"/>
      <c r="T2774" s="204"/>
      <c r="U2774" s="207"/>
      <c r="V2774" s="204"/>
      <c r="W2774" s="204"/>
      <c r="X2774" s="207"/>
      <c r="Y2774" s="207"/>
      <c r="Z2774" s="204"/>
      <c r="AA2774" s="204"/>
      <c r="AB2774" s="204"/>
      <c r="AC2774" s="204"/>
    </row>
    <row r="2775" spans="1:29">
      <c r="A2775" s="204"/>
      <c r="B2775" s="204"/>
      <c r="C2775" s="204"/>
      <c r="D2775" s="204"/>
      <c r="E2775" s="204"/>
      <c r="F2775" s="204"/>
      <c r="G2775" s="204"/>
      <c r="H2775" s="204"/>
      <c r="I2775" s="204"/>
      <c r="J2775" s="204"/>
      <c r="K2775" s="204"/>
      <c r="L2775" s="205"/>
      <c r="M2775" s="205"/>
      <c r="N2775" s="204"/>
      <c r="O2775" s="204"/>
      <c r="P2775" s="206"/>
      <c r="Q2775" s="206"/>
      <c r="R2775" s="206"/>
      <c r="S2775" s="206"/>
      <c r="T2775" s="204"/>
      <c r="U2775" s="207"/>
      <c r="V2775" s="204"/>
      <c r="W2775" s="204"/>
      <c r="X2775" s="207"/>
      <c r="Y2775" s="207"/>
      <c r="Z2775" s="204"/>
      <c r="AA2775" s="204"/>
      <c r="AB2775" s="204"/>
      <c r="AC2775" s="204"/>
    </row>
    <row r="2776" spans="1:29">
      <c r="A2776" s="204"/>
      <c r="B2776" s="204"/>
      <c r="C2776" s="204"/>
      <c r="D2776" s="204"/>
      <c r="E2776" s="204"/>
      <c r="F2776" s="204"/>
      <c r="G2776" s="204"/>
      <c r="H2776" s="204"/>
      <c r="I2776" s="204"/>
      <c r="J2776" s="204"/>
      <c r="K2776" s="204"/>
      <c r="L2776" s="205"/>
      <c r="M2776" s="205"/>
      <c r="N2776" s="204"/>
      <c r="O2776" s="204"/>
      <c r="P2776" s="206"/>
      <c r="Q2776" s="206"/>
      <c r="R2776" s="206"/>
      <c r="S2776" s="206"/>
      <c r="T2776" s="204"/>
      <c r="U2776" s="207"/>
      <c r="V2776" s="204"/>
      <c r="W2776" s="204"/>
      <c r="X2776" s="207"/>
      <c r="Y2776" s="207"/>
      <c r="Z2776" s="204"/>
      <c r="AA2776" s="204"/>
      <c r="AB2776" s="204"/>
      <c r="AC2776" s="204"/>
    </row>
    <row r="2777" spans="1:29">
      <c r="A2777" s="204"/>
      <c r="B2777" s="204"/>
      <c r="C2777" s="204"/>
      <c r="D2777" s="204"/>
      <c r="E2777" s="204"/>
      <c r="F2777" s="204"/>
      <c r="G2777" s="204"/>
      <c r="H2777" s="204"/>
      <c r="I2777" s="204"/>
      <c r="J2777" s="204"/>
      <c r="K2777" s="204"/>
      <c r="L2777" s="205"/>
      <c r="M2777" s="205"/>
      <c r="N2777" s="204"/>
      <c r="O2777" s="204"/>
      <c r="P2777" s="206"/>
      <c r="Q2777" s="206"/>
      <c r="R2777" s="206"/>
      <c r="S2777" s="206"/>
      <c r="T2777" s="204"/>
      <c r="U2777" s="207"/>
      <c r="V2777" s="204"/>
      <c r="W2777" s="204"/>
      <c r="X2777" s="207"/>
      <c r="Y2777" s="207"/>
      <c r="Z2777" s="204"/>
      <c r="AA2777" s="204"/>
      <c r="AB2777" s="204"/>
      <c r="AC2777" s="204"/>
    </row>
    <row r="2778" spans="1:29">
      <c r="A2778" s="204"/>
      <c r="B2778" s="204"/>
      <c r="C2778" s="204"/>
      <c r="D2778" s="204"/>
      <c r="E2778" s="204"/>
      <c r="F2778" s="204"/>
      <c r="G2778" s="204"/>
      <c r="H2778" s="204"/>
      <c r="I2778" s="204"/>
      <c r="J2778" s="204"/>
      <c r="K2778" s="204"/>
      <c r="L2778" s="205"/>
      <c r="M2778" s="205"/>
      <c r="N2778" s="204"/>
      <c r="O2778" s="204"/>
      <c r="P2778" s="206"/>
      <c r="Q2778" s="206"/>
      <c r="R2778" s="206"/>
      <c r="S2778" s="206"/>
      <c r="T2778" s="204"/>
      <c r="U2778" s="207"/>
      <c r="V2778" s="204"/>
      <c r="W2778" s="204"/>
      <c r="X2778" s="207"/>
      <c r="Y2778" s="207"/>
      <c r="Z2778" s="204"/>
      <c r="AA2778" s="204"/>
      <c r="AB2778" s="204"/>
      <c r="AC2778" s="204"/>
    </row>
    <row r="2779" spans="1:29">
      <c r="A2779" s="204"/>
      <c r="B2779" s="204"/>
      <c r="C2779" s="204"/>
      <c r="D2779" s="204"/>
      <c r="E2779" s="204"/>
      <c r="F2779" s="204"/>
      <c r="G2779" s="204"/>
      <c r="H2779" s="204"/>
      <c r="I2779" s="204"/>
      <c r="J2779" s="204"/>
      <c r="K2779" s="204"/>
      <c r="L2779" s="205"/>
      <c r="M2779" s="205"/>
      <c r="N2779" s="204"/>
      <c r="O2779" s="204"/>
      <c r="P2779" s="206"/>
      <c r="Q2779" s="206"/>
      <c r="R2779" s="206"/>
      <c r="S2779" s="206"/>
      <c r="T2779" s="204"/>
      <c r="U2779" s="207"/>
      <c r="V2779" s="204"/>
      <c r="W2779" s="204"/>
      <c r="X2779" s="207"/>
      <c r="Y2779" s="207"/>
      <c r="Z2779" s="204"/>
      <c r="AA2779" s="204"/>
      <c r="AB2779" s="204"/>
      <c r="AC2779" s="204"/>
    </row>
    <row r="2780" spans="1:29">
      <c r="A2780" s="204"/>
      <c r="B2780" s="204"/>
      <c r="C2780" s="204"/>
      <c r="D2780" s="204"/>
      <c r="E2780" s="204"/>
      <c r="F2780" s="204"/>
      <c r="G2780" s="204"/>
      <c r="H2780" s="204"/>
      <c r="I2780" s="204"/>
      <c r="J2780" s="204"/>
      <c r="K2780" s="204"/>
      <c r="L2780" s="205"/>
      <c r="M2780" s="205"/>
      <c r="N2780" s="204"/>
      <c r="O2780" s="204"/>
      <c r="P2780" s="206"/>
      <c r="Q2780" s="206"/>
      <c r="R2780" s="206"/>
      <c r="S2780" s="206"/>
      <c r="T2780" s="204"/>
      <c r="U2780" s="207"/>
      <c r="V2780" s="204"/>
      <c r="W2780" s="204"/>
      <c r="X2780" s="207"/>
      <c r="Y2780" s="207"/>
      <c r="Z2780" s="204"/>
      <c r="AA2780" s="204"/>
      <c r="AB2780" s="204"/>
      <c r="AC2780" s="204"/>
    </row>
    <row r="2781" spans="1:29">
      <c r="A2781" s="204"/>
      <c r="B2781" s="204"/>
      <c r="C2781" s="204"/>
      <c r="D2781" s="204"/>
      <c r="E2781" s="204"/>
      <c r="F2781" s="204"/>
      <c r="G2781" s="204"/>
      <c r="H2781" s="204"/>
      <c r="I2781" s="204"/>
      <c r="J2781" s="204"/>
      <c r="K2781" s="204"/>
      <c r="L2781" s="205"/>
      <c r="M2781" s="205"/>
      <c r="N2781" s="204"/>
      <c r="O2781" s="204"/>
      <c r="P2781" s="206"/>
      <c r="Q2781" s="206"/>
      <c r="R2781" s="206"/>
      <c r="S2781" s="206"/>
      <c r="T2781" s="204"/>
      <c r="U2781" s="207"/>
      <c r="V2781" s="204"/>
      <c r="W2781" s="204"/>
      <c r="X2781" s="207"/>
      <c r="Y2781" s="207"/>
      <c r="Z2781" s="204"/>
      <c r="AA2781" s="204"/>
      <c r="AB2781" s="204"/>
      <c r="AC2781" s="204"/>
    </row>
    <row r="2782" spans="1:29">
      <c r="A2782" s="204"/>
      <c r="B2782" s="204"/>
      <c r="C2782" s="204"/>
      <c r="D2782" s="204"/>
      <c r="E2782" s="204"/>
      <c r="F2782" s="204"/>
      <c r="G2782" s="204"/>
      <c r="H2782" s="204"/>
      <c r="I2782" s="204"/>
      <c r="J2782" s="204"/>
      <c r="K2782" s="204"/>
      <c r="L2782" s="205"/>
      <c r="M2782" s="205"/>
      <c r="N2782" s="204"/>
      <c r="O2782" s="204"/>
      <c r="P2782" s="206"/>
      <c r="Q2782" s="206"/>
      <c r="R2782" s="206"/>
      <c r="S2782" s="206"/>
      <c r="T2782" s="204"/>
      <c r="U2782" s="207"/>
      <c r="V2782" s="204"/>
      <c r="W2782" s="204"/>
      <c r="X2782" s="207"/>
      <c r="Y2782" s="207"/>
      <c r="Z2782" s="204"/>
      <c r="AA2782" s="204"/>
      <c r="AB2782" s="204"/>
      <c r="AC2782" s="204"/>
    </row>
    <row r="2783" spans="1:29">
      <c r="A2783" s="204"/>
      <c r="B2783" s="204"/>
      <c r="C2783" s="204"/>
      <c r="D2783" s="204"/>
      <c r="E2783" s="204"/>
      <c r="F2783" s="204"/>
      <c r="G2783" s="204"/>
      <c r="H2783" s="204"/>
      <c r="I2783" s="204"/>
      <c r="J2783" s="204"/>
      <c r="K2783" s="204"/>
      <c r="L2783" s="205"/>
      <c r="M2783" s="205"/>
      <c r="N2783" s="204"/>
      <c r="O2783" s="204"/>
      <c r="P2783" s="206"/>
      <c r="Q2783" s="206"/>
      <c r="R2783" s="206"/>
      <c r="S2783" s="206"/>
      <c r="T2783" s="204"/>
      <c r="U2783" s="207"/>
      <c r="V2783" s="204"/>
      <c r="W2783" s="204"/>
      <c r="X2783" s="207"/>
      <c r="Y2783" s="207"/>
      <c r="Z2783" s="204"/>
      <c r="AA2783" s="204"/>
      <c r="AB2783" s="204"/>
      <c r="AC2783" s="204"/>
    </row>
    <row r="2784" spans="1:29">
      <c r="A2784" s="204"/>
      <c r="B2784" s="204"/>
      <c r="C2784" s="204"/>
      <c r="D2784" s="204"/>
      <c r="E2784" s="204"/>
      <c r="F2784" s="204"/>
      <c r="G2784" s="204"/>
      <c r="H2784" s="204"/>
      <c r="I2784" s="204"/>
      <c r="J2784" s="204"/>
      <c r="K2784" s="204"/>
      <c r="L2784" s="205"/>
      <c r="M2784" s="205"/>
      <c r="N2784" s="204"/>
      <c r="O2784" s="204"/>
      <c r="P2784" s="206"/>
      <c r="Q2784" s="206"/>
      <c r="R2784" s="206"/>
      <c r="S2784" s="206"/>
      <c r="T2784" s="204"/>
      <c r="U2784" s="207"/>
      <c r="V2784" s="204"/>
      <c r="W2784" s="204"/>
      <c r="X2784" s="207"/>
      <c r="Y2784" s="207"/>
      <c r="Z2784" s="204"/>
      <c r="AA2784" s="204"/>
      <c r="AB2784" s="204"/>
      <c r="AC2784" s="204"/>
    </row>
    <row r="2785" spans="1:29">
      <c r="A2785" s="204"/>
      <c r="B2785" s="204"/>
      <c r="C2785" s="204"/>
      <c r="D2785" s="204"/>
      <c r="E2785" s="204"/>
      <c r="F2785" s="204"/>
      <c r="G2785" s="204"/>
      <c r="H2785" s="204"/>
      <c r="I2785" s="204"/>
      <c r="J2785" s="204"/>
      <c r="K2785" s="204"/>
      <c r="L2785" s="205"/>
      <c r="M2785" s="205"/>
      <c r="N2785" s="204"/>
      <c r="O2785" s="204"/>
      <c r="P2785" s="206"/>
      <c r="Q2785" s="206"/>
      <c r="R2785" s="206"/>
      <c r="S2785" s="206"/>
      <c r="T2785" s="204"/>
      <c r="U2785" s="207"/>
      <c r="V2785" s="204"/>
      <c r="W2785" s="204"/>
      <c r="X2785" s="207"/>
      <c r="Y2785" s="207"/>
      <c r="Z2785" s="204"/>
      <c r="AA2785" s="204"/>
      <c r="AB2785" s="204"/>
      <c r="AC2785" s="204"/>
    </row>
    <row r="2786" spans="1:29">
      <c r="A2786" s="204"/>
      <c r="B2786" s="204"/>
      <c r="C2786" s="204"/>
      <c r="D2786" s="204"/>
      <c r="E2786" s="204"/>
      <c r="F2786" s="204"/>
      <c r="G2786" s="204"/>
      <c r="H2786" s="204"/>
      <c r="I2786" s="204"/>
      <c r="J2786" s="204"/>
      <c r="K2786" s="204"/>
      <c r="L2786" s="205"/>
      <c r="M2786" s="205"/>
      <c r="N2786" s="204"/>
      <c r="O2786" s="204"/>
      <c r="P2786" s="206"/>
      <c r="Q2786" s="206"/>
      <c r="R2786" s="206"/>
      <c r="S2786" s="206"/>
      <c r="T2786" s="204"/>
      <c r="U2786" s="207"/>
      <c r="V2786" s="204"/>
      <c r="W2786" s="204"/>
      <c r="X2786" s="207"/>
      <c r="Y2786" s="207"/>
      <c r="Z2786" s="204"/>
      <c r="AA2786" s="204"/>
      <c r="AB2786" s="204"/>
      <c r="AC2786" s="204"/>
    </row>
    <row r="2787" spans="1:29">
      <c r="A2787" s="204"/>
      <c r="B2787" s="204"/>
      <c r="C2787" s="204"/>
      <c r="D2787" s="204"/>
      <c r="E2787" s="204"/>
      <c r="F2787" s="204"/>
      <c r="G2787" s="204"/>
      <c r="H2787" s="204"/>
      <c r="I2787" s="204"/>
      <c r="J2787" s="204"/>
      <c r="K2787" s="204"/>
      <c r="L2787" s="205"/>
      <c r="M2787" s="205"/>
      <c r="N2787" s="204"/>
      <c r="O2787" s="204"/>
      <c r="P2787" s="206"/>
      <c r="Q2787" s="206"/>
      <c r="R2787" s="206"/>
      <c r="S2787" s="206"/>
      <c r="T2787" s="204"/>
      <c r="U2787" s="207"/>
      <c r="V2787" s="204"/>
      <c r="W2787" s="204"/>
      <c r="X2787" s="207"/>
      <c r="Y2787" s="207"/>
      <c r="Z2787" s="204"/>
      <c r="AA2787" s="204"/>
      <c r="AB2787" s="204"/>
      <c r="AC2787" s="204"/>
    </row>
    <row r="2788" spans="1:29">
      <c r="A2788" s="204"/>
      <c r="B2788" s="204"/>
      <c r="C2788" s="204"/>
      <c r="D2788" s="204"/>
      <c r="E2788" s="204"/>
      <c r="F2788" s="204"/>
      <c r="G2788" s="204"/>
      <c r="H2788" s="204"/>
      <c r="I2788" s="204"/>
      <c r="J2788" s="204"/>
      <c r="K2788" s="204"/>
      <c r="L2788" s="205"/>
      <c r="M2788" s="205"/>
      <c r="N2788" s="204"/>
      <c r="O2788" s="204"/>
      <c r="P2788" s="206"/>
      <c r="Q2788" s="206"/>
      <c r="R2788" s="206"/>
      <c r="S2788" s="206"/>
      <c r="T2788" s="204"/>
      <c r="U2788" s="207"/>
      <c r="V2788" s="204"/>
      <c r="W2788" s="204"/>
      <c r="X2788" s="207"/>
      <c r="Y2788" s="207"/>
      <c r="Z2788" s="204"/>
      <c r="AA2788" s="204"/>
      <c r="AB2788" s="204"/>
      <c r="AC2788" s="204"/>
    </row>
    <row r="2789" spans="1:29">
      <c r="A2789" s="204"/>
      <c r="B2789" s="204"/>
      <c r="C2789" s="204"/>
      <c r="D2789" s="204"/>
      <c r="E2789" s="204"/>
      <c r="F2789" s="204"/>
      <c r="G2789" s="204"/>
      <c r="H2789" s="204"/>
      <c r="I2789" s="204"/>
      <c r="J2789" s="204"/>
      <c r="K2789" s="204"/>
      <c r="L2789" s="205"/>
      <c r="M2789" s="205"/>
      <c r="N2789" s="204"/>
      <c r="O2789" s="204"/>
      <c r="P2789" s="206"/>
      <c r="Q2789" s="206"/>
      <c r="R2789" s="206"/>
      <c r="S2789" s="206"/>
      <c r="T2789" s="204"/>
      <c r="U2789" s="207"/>
      <c r="V2789" s="204"/>
      <c r="W2789" s="204"/>
      <c r="X2789" s="207"/>
      <c r="Y2789" s="207"/>
      <c r="Z2789" s="204"/>
      <c r="AA2789" s="204"/>
      <c r="AB2789" s="204"/>
      <c r="AC2789" s="204"/>
    </row>
    <row r="2790" spans="1:29">
      <c r="A2790" s="204"/>
      <c r="B2790" s="204"/>
      <c r="C2790" s="204"/>
      <c r="D2790" s="204"/>
      <c r="E2790" s="204"/>
      <c r="F2790" s="204"/>
      <c r="G2790" s="204"/>
      <c r="H2790" s="204"/>
      <c r="I2790" s="204"/>
      <c r="J2790" s="204"/>
      <c r="K2790" s="204"/>
      <c r="L2790" s="205"/>
      <c r="M2790" s="205"/>
      <c r="N2790" s="204"/>
      <c r="O2790" s="204"/>
      <c r="P2790" s="206"/>
      <c r="Q2790" s="206"/>
      <c r="R2790" s="206"/>
      <c r="S2790" s="206"/>
      <c r="T2790" s="204"/>
      <c r="U2790" s="207"/>
      <c r="V2790" s="204"/>
      <c r="W2790" s="204"/>
      <c r="X2790" s="207"/>
      <c r="Y2790" s="207"/>
      <c r="Z2790" s="204"/>
      <c r="AA2790" s="204"/>
      <c r="AB2790" s="204"/>
      <c r="AC2790" s="204"/>
    </row>
    <row r="2791" spans="1:29">
      <c r="A2791" s="204"/>
      <c r="B2791" s="204"/>
      <c r="C2791" s="204"/>
      <c r="D2791" s="204"/>
      <c r="E2791" s="204"/>
      <c r="F2791" s="204"/>
      <c r="G2791" s="204"/>
      <c r="H2791" s="204"/>
      <c r="I2791" s="204"/>
      <c r="J2791" s="204"/>
      <c r="K2791" s="204"/>
      <c r="L2791" s="205"/>
      <c r="M2791" s="205"/>
      <c r="N2791" s="204"/>
      <c r="O2791" s="204"/>
      <c r="P2791" s="206"/>
      <c r="Q2791" s="206"/>
      <c r="R2791" s="206"/>
      <c r="S2791" s="206"/>
      <c r="T2791" s="204"/>
      <c r="U2791" s="207"/>
      <c r="V2791" s="204"/>
      <c r="W2791" s="204"/>
      <c r="X2791" s="207"/>
      <c r="Y2791" s="207"/>
      <c r="Z2791" s="204"/>
      <c r="AA2791" s="204"/>
      <c r="AB2791" s="204"/>
      <c r="AC2791" s="204"/>
    </row>
    <row r="2792" spans="1:29">
      <c r="A2792" s="204"/>
      <c r="B2792" s="204"/>
      <c r="C2792" s="204"/>
      <c r="D2792" s="204"/>
      <c r="E2792" s="204"/>
      <c r="F2792" s="204"/>
      <c r="G2792" s="204"/>
      <c r="H2792" s="204"/>
      <c r="I2792" s="204"/>
      <c r="J2792" s="204"/>
      <c r="K2792" s="204"/>
      <c r="L2792" s="205"/>
      <c r="M2792" s="205"/>
      <c r="N2792" s="204"/>
      <c r="O2792" s="204"/>
      <c r="P2792" s="206"/>
      <c r="Q2792" s="206"/>
      <c r="R2792" s="206"/>
      <c r="S2792" s="206"/>
      <c r="T2792" s="204"/>
      <c r="U2792" s="207"/>
      <c r="V2792" s="204"/>
      <c r="W2792" s="204"/>
      <c r="X2792" s="207"/>
      <c r="Y2792" s="207"/>
      <c r="Z2792" s="204"/>
      <c r="AA2792" s="204"/>
      <c r="AB2792" s="204"/>
      <c r="AC2792" s="204"/>
    </row>
    <row r="2793" spans="1:29">
      <c r="A2793" s="204"/>
      <c r="B2793" s="204"/>
      <c r="C2793" s="204"/>
      <c r="D2793" s="204"/>
      <c r="E2793" s="204"/>
      <c r="F2793" s="204"/>
      <c r="G2793" s="204"/>
      <c r="H2793" s="204"/>
      <c r="I2793" s="204"/>
      <c r="J2793" s="204"/>
      <c r="K2793" s="204"/>
      <c r="L2793" s="205"/>
      <c r="M2793" s="205"/>
      <c r="N2793" s="204"/>
      <c r="O2793" s="204"/>
      <c r="P2793" s="206"/>
      <c r="Q2793" s="206"/>
      <c r="R2793" s="206"/>
      <c r="S2793" s="206"/>
      <c r="T2793" s="204"/>
      <c r="U2793" s="207"/>
      <c r="V2793" s="204"/>
      <c r="W2793" s="204"/>
      <c r="X2793" s="207"/>
      <c r="Y2793" s="207"/>
      <c r="Z2793" s="204"/>
      <c r="AA2793" s="204"/>
      <c r="AB2793" s="204"/>
      <c r="AC2793" s="204"/>
    </row>
    <row r="2794" spans="1:29">
      <c r="A2794" s="204"/>
      <c r="B2794" s="204"/>
      <c r="C2794" s="204"/>
      <c r="D2794" s="204"/>
      <c r="E2794" s="204"/>
      <c r="F2794" s="204"/>
      <c r="G2794" s="204"/>
      <c r="H2794" s="204"/>
      <c r="I2794" s="204"/>
      <c r="J2794" s="204"/>
      <c r="K2794" s="204"/>
      <c r="L2794" s="205"/>
      <c r="M2794" s="205"/>
      <c r="N2794" s="204"/>
      <c r="O2794" s="204"/>
      <c r="P2794" s="206"/>
      <c r="Q2794" s="206"/>
      <c r="R2794" s="206"/>
      <c r="S2794" s="206"/>
      <c r="T2794" s="204"/>
      <c r="U2794" s="207"/>
      <c r="V2794" s="204"/>
      <c r="W2794" s="204"/>
      <c r="X2794" s="207"/>
      <c r="Y2794" s="207"/>
      <c r="Z2794" s="204"/>
      <c r="AA2794" s="204"/>
      <c r="AB2794" s="204"/>
      <c r="AC2794" s="204"/>
    </row>
    <row r="2795" spans="1:29">
      <c r="A2795" s="204"/>
      <c r="B2795" s="204"/>
      <c r="C2795" s="204"/>
      <c r="D2795" s="204"/>
      <c r="E2795" s="204"/>
      <c r="F2795" s="204"/>
      <c r="G2795" s="204"/>
      <c r="H2795" s="204"/>
      <c r="I2795" s="204"/>
      <c r="J2795" s="204"/>
      <c r="K2795" s="204"/>
      <c r="L2795" s="205"/>
      <c r="M2795" s="205"/>
      <c r="N2795" s="204"/>
      <c r="O2795" s="204"/>
      <c r="P2795" s="206"/>
      <c r="Q2795" s="206"/>
      <c r="R2795" s="206"/>
      <c r="S2795" s="206"/>
      <c r="T2795" s="204"/>
      <c r="U2795" s="207"/>
      <c r="V2795" s="204"/>
      <c r="W2795" s="204"/>
      <c r="X2795" s="207"/>
      <c r="Y2795" s="207"/>
      <c r="Z2795" s="204"/>
      <c r="AA2795" s="204"/>
      <c r="AB2795" s="204"/>
      <c r="AC2795" s="204"/>
    </row>
    <row r="2796" spans="1:29">
      <c r="A2796" s="204"/>
      <c r="B2796" s="204"/>
      <c r="C2796" s="204"/>
      <c r="D2796" s="204"/>
      <c r="E2796" s="204"/>
      <c r="F2796" s="204"/>
      <c r="G2796" s="204"/>
      <c r="H2796" s="204"/>
      <c r="I2796" s="204"/>
      <c r="J2796" s="204"/>
      <c r="K2796" s="204"/>
      <c r="L2796" s="205"/>
      <c r="M2796" s="205"/>
      <c r="N2796" s="204"/>
      <c r="O2796" s="204"/>
      <c r="P2796" s="206"/>
      <c r="Q2796" s="206"/>
      <c r="R2796" s="206"/>
      <c r="S2796" s="206"/>
      <c r="T2796" s="204"/>
      <c r="U2796" s="207"/>
      <c r="V2796" s="204"/>
      <c r="W2796" s="204"/>
      <c r="X2796" s="207"/>
      <c r="Y2796" s="207"/>
      <c r="Z2796" s="204"/>
      <c r="AA2796" s="204"/>
      <c r="AB2796" s="204"/>
      <c r="AC2796" s="204"/>
    </row>
    <row r="2797" spans="1:29">
      <c r="A2797" s="204"/>
      <c r="B2797" s="204"/>
      <c r="C2797" s="204"/>
      <c r="D2797" s="204"/>
      <c r="E2797" s="204"/>
      <c r="F2797" s="204"/>
      <c r="G2797" s="204"/>
      <c r="H2797" s="204"/>
      <c r="I2797" s="204"/>
      <c r="J2797" s="204"/>
      <c r="K2797" s="204"/>
      <c r="L2797" s="205"/>
      <c r="M2797" s="205"/>
      <c r="N2797" s="204"/>
      <c r="O2797" s="204"/>
      <c r="P2797" s="206"/>
      <c r="Q2797" s="206"/>
      <c r="R2797" s="206"/>
      <c r="S2797" s="206"/>
      <c r="T2797" s="204"/>
      <c r="U2797" s="207"/>
      <c r="V2797" s="204"/>
      <c r="W2797" s="204"/>
      <c r="X2797" s="207"/>
      <c r="Y2797" s="207"/>
      <c r="Z2797" s="204"/>
      <c r="AA2797" s="204"/>
      <c r="AB2797" s="204"/>
      <c r="AC2797" s="204"/>
    </row>
    <row r="2798" spans="1:29">
      <c r="A2798" s="204"/>
      <c r="B2798" s="204"/>
      <c r="C2798" s="204"/>
      <c r="D2798" s="204"/>
      <c r="E2798" s="204"/>
      <c r="F2798" s="204"/>
      <c r="G2798" s="204"/>
      <c r="H2798" s="204"/>
      <c r="I2798" s="204"/>
      <c r="J2798" s="204"/>
      <c r="K2798" s="204"/>
      <c r="L2798" s="205"/>
      <c r="M2798" s="205"/>
      <c r="N2798" s="204"/>
      <c r="O2798" s="204"/>
      <c r="P2798" s="206"/>
      <c r="Q2798" s="206"/>
      <c r="R2798" s="206"/>
      <c r="S2798" s="206"/>
      <c r="T2798" s="204"/>
      <c r="U2798" s="207"/>
      <c r="V2798" s="204"/>
      <c r="W2798" s="204"/>
      <c r="X2798" s="207"/>
      <c r="Y2798" s="207"/>
      <c r="Z2798" s="204"/>
      <c r="AA2798" s="204"/>
      <c r="AB2798" s="204"/>
      <c r="AC2798" s="204"/>
    </row>
    <row r="2799" spans="1:29">
      <c r="A2799" s="204"/>
      <c r="B2799" s="204"/>
      <c r="C2799" s="204"/>
      <c r="D2799" s="204"/>
      <c r="E2799" s="204"/>
      <c r="F2799" s="204"/>
      <c r="G2799" s="204"/>
      <c r="H2799" s="204"/>
      <c r="I2799" s="204"/>
      <c r="J2799" s="204"/>
      <c r="K2799" s="204"/>
      <c r="L2799" s="205"/>
      <c r="M2799" s="205"/>
      <c r="N2799" s="204"/>
      <c r="O2799" s="204"/>
      <c r="P2799" s="206"/>
      <c r="Q2799" s="206"/>
      <c r="R2799" s="206"/>
      <c r="S2799" s="206"/>
      <c r="T2799" s="204"/>
      <c r="U2799" s="207"/>
      <c r="V2799" s="204"/>
      <c r="W2799" s="204"/>
      <c r="X2799" s="207"/>
      <c r="Y2799" s="207"/>
      <c r="Z2799" s="204"/>
      <c r="AA2799" s="204"/>
      <c r="AB2799" s="204"/>
      <c r="AC2799" s="204"/>
    </row>
    <row r="2800" spans="1:29">
      <c r="A2800" s="204"/>
      <c r="B2800" s="204"/>
      <c r="C2800" s="204"/>
      <c r="D2800" s="204"/>
      <c r="E2800" s="204"/>
      <c r="F2800" s="204"/>
      <c r="G2800" s="204"/>
      <c r="H2800" s="204"/>
      <c r="I2800" s="204"/>
      <c r="J2800" s="204"/>
      <c r="K2800" s="204"/>
      <c r="L2800" s="205"/>
      <c r="M2800" s="205"/>
      <c r="N2800" s="204"/>
      <c r="O2800" s="204"/>
      <c r="P2800" s="206"/>
      <c r="Q2800" s="206"/>
      <c r="R2800" s="206"/>
      <c r="S2800" s="206"/>
      <c r="T2800" s="204"/>
      <c r="U2800" s="207"/>
      <c r="V2800" s="204"/>
      <c r="W2800" s="204"/>
      <c r="X2800" s="207"/>
      <c r="Y2800" s="207"/>
      <c r="Z2800" s="204"/>
      <c r="AA2800" s="204"/>
      <c r="AB2800" s="204"/>
      <c r="AC2800" s="204"/>
    </row>
    <row r="2801" spans="1:29">
      <c r="A2801" s="204"/>
      <c r="B2801" s="204"/>
      <c r="C2801" s="204"/>
      <c r="D2801" s="204"/>
      <c r="E2801" s="204"/>
      <c r="F2801" s="204"/>
      <c r="G2801" s="204"/>
      <c r="H2801" s="204"/>
      <c r="I2801" s="204"/>
      <c r="J2801" s="204"/>
      <c r="K2801" s="204"/>
      <c r="L2801" s="205"/>
      <c r="M2801" s="205"/>
      <c r="N2801" s="204"/>
      <c r="O2801" s="204"/>
      <c r="P2801" s="206"/>
      <c r="Q2801" s="206"/>
      <c r="R2801" s="206"/>
      <c r="S2801" s="206"/>
      <c r="T2801" s="204"/>
      <c r="U2801" s="207"/>
      <c r="V2801" s="204"/>
      <c r="W2801" s="204"/>
      <c r="X2801" s="207"/>
      <c r="Y2801" s="207"/>
      <c r="Z2801" s="204"/>
      <c r="AA2801" s="204"/>
      <c r="AB2801" s="204"/>
      <c r="AC2801" s="204"/>
    </row>
    <row r="2802" spans="1:29">
      <c r="A2802" s="204"/>
      <c r="B2802" s="204"/>
      <c r="C2802" s="204"/>
      <c r="D2802" s="204"/>
      <c r="E2802" s="204"/>
      <c r="F2802" s="204"/>
      <c r="G2802" s="204"/>
      <c r="H2802" s="204"/>
      <c r="I2802" s="204"/>
      <c r="J2802" s="204"/>
      <c r="K2802" s="204"/>
      <c r="L2802" s="205"/>
      <c r="M2802" s="205"/>
      <c r="N2802" s="204"/>
      <c r="O2802" s="204"/>
      <c r="P2802" s="206"/>
      <c r="Q2802" s="206"/>
      <c r="R2802" s="206"/>
      <c r="S2802" s="206"/>
      <c r="T2802" s="204"/>
      <c r="U2802" s="207"/>
      <c r="V2802" s="204"/>
      <c r="W2802" s="204"/>
      <c r="X2802" s="207"/>
      <c r="Y2802" s="207"/>
      <c r="Z2802" s="204"/>
      <c r="AA2802" s="204"/>
      <c r="AB2802" s="204"/>
      <c r="AC2802" s="204"/>
    </row>
    <row r="2803" spans="1:29">
      <c r="A2803" s="204"/>
      <c r="B2803" s="204"/>
      <c r="C2803" s="204"/>
      <c r="D2803" s="204"/>
      <c r="E2803" s="204"/>
      <c r="F2803" s="204"/>
      <c r="G2803" s="204"/>
      <c r="H2803" s="204"/>
      <c r="I2803" s="204"/>
      <c r="J2803" s="204"/>
      <c r="K2803" s="204"/>
      <c r="L2803" s="205"/>
      <c r="M2803" s="205"/>
      <c r="N2803" s="204"/>
      <c r="O2803" s="204"/>
      <c r="P2803" s="206"/>
      <c r="Q2803" s="206"/>
      <c r="R2803" s="206"/>
      <c r="S2803" s="206"/>
      <c r="T2803" s="204"/>
      <c r="U2803" s="207"/>
      <c r="V2803" s="204"/>
      <c r="W2803" s="204"/>
      <c r="X2803" s="207"/>
      <c r="Y2803" s="207"/>
      <c r="Z2803" s="204"/>
      <c r="AA2803" s="204"/>
      <c r="AB2803" s="204"/>
      <c r="AC2803" s="204"/>
    </row>
    <row r="2804" spans="1:29">
      <c r="A2804" s="204"/>
      <c r="B2804" s="204"/>
      <c r="C2804" s="204"/>
      <c r="D2804" s="204"/>
      <c r="E2804" s="204"/>
      <c r="F2804" s="204"/>
      <c r="G2804" s="204"/>
      <c r="H2804" s="204"/>
      <c r="I2804" s="204"/>
      <c r="J2804" s="204"/>
      <c r="K2804" s="204"/>
      <c r="L2804" s="205"/>
      <c r="M2804" s="205"/>
      <c r="N2804" s="204"/>
      <c r="O2804" s="204"/>
      <c r="P2804" s="206"/>
      <c r="Q2804" s="206"/>
      <c r="R2804" s="206"/>
      <c r="S2804" s="206"/>
      <c r="T2804" s="204"/>
      <c r="U2804" s="207"/>
      <c r="V2804" s="204"/>
      <c r="W2804" s="204"/>
      <c r="X2804" s="207"/>
      <c r="Y2804" s="207"/>
      <c r="Z2804" s="204"/>
      <c r="AA2804" s="204"/>
      <c r="AB2804" s="204"/>
      <c r="AC2804" s="204"/>
    </row>
    <row r="2805" spans="1:29">
      <c r="A2805" s="204"/>
      <c r="B2805" s="204"/>
      <c r="C2805" s="204"/>
      <c r="D2805" s="204"/>
      <c r="E2805" s="204"/>
      <c r="F2805" s="204"/>
      <c r="G2805" s="204"/>
      <c r="H2805" s="204"/>
      <c r="I2805" s="204"/>
      <c r="J2805" s="204"/>
      <c r="K2805" s="204"/>
      <c r="L2805" s="205"/>
      <c r="M2805" s="205"/>
      <c r="N2805" s="204"/>
      <c r="O2805" s="204"/>
      <c r="P2805" s="206"/>
      <c r="Q2805" s="206"/>
      <c r="R2805" s="206"/>
      <c r="S2805" s="206"/>
      <c r="T2805" s="204"/>
      <c r="U2805" s="207"/>
      <c r="V2805" s="204"/>
      <c r="W2805" s="204"/>
      <c r="X2805" s="207"/>
      <c r="Y2805" s="207"/>
      <c r="Z2805" s="204"/>
      <c r="AA2805" s="204"/>
      <c r="AB2805" s="204"/>
      <c r="AC2805" s="204"/>
    </row>
    <row r="2806" spans="1:29">
      <c r="A2806" s="204"/>
      <c r="B2806" s="204"/>
      <c r="C2806" s="204"/>
      <c r="D2806" s="204"/>
      <c r="E2806" s="204"/>
      <c r="F2806" s="204"/>
      <c r="G2806" s="204"/>
      <c r="H2806" s="204"/>
      <c r="I2806" s="204"/>
      <c r="J2806" s="204"/>
      <c r="K2806" s="204"/>
      <c r="L2806" s="205"/>
      <c r="M2806" s="205"/>
      <c r="N2806" s="204"/>
      <c r="O2806" s="204"/>
      <c r="P2806" s="206"/>
      <c r="Q2806" s="206"/>
      <c r="R2806" s="206"/>
      <c r="S2806" s="206"/>
      <c r="T2806" s="204"/>
      <c r="U2806" s="207"/>
      <c r="V2806" s="204"/>
      <c r="W2806" s="204"/>
      <c r="X2806" s="207"/>
      <c r="Y2806" s="207"/>
      <c r="Z2806" s="204"/>
      <c r="AA2806" s="204"/>
      <c r="AB2806" s="204"/>
      <c r="AC2806" s="204"/>
    </row>
    <row r="2807" spans="1:29">
      <c r="A2807" s="204"/>
      <c r="B2807" s="204"/>
      <c r="C2807" s="204"/>
      <c r="D2807" s="204"/>
      <c r="E2807" s="204"/>
      <c r="F2807" s="204"/>
      <c r="G2807" s="204"/>
      <c r="H2807" s="204"/>
      <c r="I2807" s="204"/>
      <c r="J2807" s="204"/>
      <c r="K2807" s="204"/>
      <c r="L2807" s="205"/>
      <c r="M2807" s="205"/>
      <c r="N2807" s="204"/>
      <c r="O2807" s="204"/>
      <c r="P2807" s="206"/>
      <c r="Q2807" s="206"/>
      <c r="R2807" s="206"/>
      <c r="S2807" s="206"/>
      <c r="T2807" s="204"/>
      <c r="U2807" s="207"/>
      <c r="V2807" s="204"/>
      <c r="W2807" s="204"/>
      <c r="X2807" s="207"/>
      <c r="Y2807" s="207"/>
      <c r="Z2807" s="204"/>
      <c r="AA2807" s="204"/>
      <c r="AB2807" s="204"/>
      <c r="AC2807" s="204"/>
    </row>
    <row r="2808" spans="1:29">
      <c r="A2808" s="204"/>
      <c r="B2808" s="204"/>
      <c r="C2808" s="204"/>
      <c r="D2808" s="204"/>
      <c r="E2808" s="204"/>
      <c r="F2808" s="204"/>
      <c r="G2808" s="204"/>
      <c r="H2808" s="204"/>
      <c r="I2808" s="204"/>
      <c r="J2808" s="204"/>
      <c r="K2808" s="204"/>
      <c r="L2808" s="205"/>
      <c r="M2808" s="205"/>
      <c r="N2808" s="204"/>
      <c r="O2808" s="204"/>
      <c r="P2808" s="206"/>
      <c r="Q2808" s="206"/>
      <c r="R2808" s="206"/>
      <c r="S2808" s="206"/>
      <c r="T2808" s="204"/>
      <c r="U2808" s="207"/>
      <c r="V2808" s="204"/>
      <c r="W2808" s="204"/>
      <c r="X2808" s="207"/>
      <c r="Y2808" s="207"/>
      <c r="Z2808" s="204"/>
      <c r="AA2808" s="204"/>
      <c r="AB2808" s="204"/>
      <c r="AC2808" s="204"/>
    </row>
    <row r="2809" spans="1:29">
      <c r="A2809" s="204"/>
      <c r="B2809" s="204"/>
      <c r="C2809" s="204"/>
      <c r="D2809" s="204"/>
      <c r="E2809" s="204"/>
      <c r="F2809" s="204"/>
      <c r="G2809" s="204"/>
      <c r="H2809" s="204"/>
      <c r="I2809" s="204"/>
      <c r="J2809" s="204"/>
      <c r="K2809" s="204"/>
      <c r="L2809" s="205"/>
      <c r="M2809" s="205"/>
      <c r="N2809" s="204"/>
      <c r="O2809" s="204"/>
      <c r="P2809" s="206"/>
      <c r="Q2809" s="206"/>
      <c r="R2809" s="206"/>
      <c r="S2809" s="206"/>
      <c r="T2809" s="204"/>
      <c r="U2809" s="207"/>
      <c r="V2809" s="204"/>
      <c r="W2809" s="204"/>
      <c r="X2809" s="207"/>
      <c r="Y2809" s="207"/>
      <c r="Z2809" s="204"/>
      <c r="AA2809" s="204"/>
      <c r="AB2809" s="204"/>
      <c r="AC2809" s="204"/>
    </row>
    <row r="2810" spans="1:29">
      <c r="A2810" s="204"/>
      <c r="B2810" s="204"/>
      <c r="C2810" s="204"/>
      <c r="D2810" s="204"/>
      <c r="E2810" s="204"/>
      <c r="F2810" s="204"/>
      <c r="G2810" s="204"/>
      <c r="H2810" s="204"/>
      <c r="I2810" s="204"/>
      <c r="J2810" s="204"/>
      <c r="K2810" s="204"/>
      <c r="L2810" s="205"/>
      <c r="M2810" s="205"/>
      <c r="N2810" s="204"/>
      <c r="O2810" s="204"/>
      <c r="P2810" s="206"/>
      <c r="Q2810" s="206"/>
      <c r="R2810" s="206"/>
      <c r="S2810" s="206"/>
      <c r="T2810" s="204"/>
      <c r="U2810" s="207"/>
      <c r="V2810" s="204"/>
      <c r="W2810" s="204"/>
      <c r="X2810" s="207"/>
      <c r="Y2810" s="207"/>
      <c r="Z2810" s="204"/>
      <c r="AA2810" s="204"/>
      <c r="AB2810" s="204"/>
      <c r="AC2810" s="204"/>
    </row>
    <row r="2811" spans="1:29">
      <c r="A2811" s="204"/>
      <c r="B2811" s="204"/>
      <c r="C2811" s="204"/>
      <c r="D2811" s="204"/>
      <c r="E2811" s="204"/>
      <c r="F2811" s="204"/>
      <c r="G2811" s="204"/>
      <c r="H2811" s="204"/>
      <c r="I2811" s="204"/>
      <c r="J2811" s="204"/>
      <c r="K2811" s="204"/>
      <c r="L2811" s="205"/>
      <c r="M2811" s="205"/>
      <c r="N2811" s="204"/>
      <c r="O2811" s="204"/>
      <c r="P2811" s="206"/>
      <c r="Q2811" s="206"/>
      <c r="R2811" s="206"/>
      <c r="S2811" s="206"/>
      <c r="T2811" s="204"/>
      <c r="U2811" s="207"/>
      <c r="V2811" s="204"/>
      <c r="W2811" s="204"/>
      <c r="X2811" s="207"/>
      <c r="Y2811" s="207"/>
      <c r="Z2811" s="204"/>
      <c r="AA2811" s="204"/>
      <c r="AB2811" s="204"/>
      <c r="AC2811" s="204"/>
    </row>
    <row r="2812" spans="1:29">
      <c r="A2812" s="204"/>
      <c r="B2812" s="204"/>
      <c r="C2812" s="204"/>
      <c r="D2812" s="204"/>
      <c r="E2812" s="204"/>
      <c r="F2812" s="204"/>
      <c r="G2812" s="204"/>
      <c r="H2812" s="204"/>
      <c r="I2812" s="204"/>
      <c r="J2812" s="204"/>
      <c r="K2812" s="204"/>
      <c r="L2812" s="205"/>
      <c r="M2812" s="205"/>
      <c r="N2812" s="204"/>
      <c r="O2812" s="204"/>
      <c r="P2812" s="206"/>
      <c r="Q2812" s="206"/>
      <c r="R2812" s="206"/>
      <c r="S2812" s="206"/>
      <c r="T2812" s="204"/>
      <c r="U2812" s="207"/>
      <c r="V2812" s="204"/>
      <c r="W2812" s="204"/>
      <c r="X2812" s="207"/>
      <c r="Y2812" s="207"/>
      <c r="Z2812" s="204"/>
      <c r="AA2812" s="204"/>
      <c r="AB2812" s="204"/>
      <c r="AC2812" s="204"/>
    </row>
    <row r="2813" spans="1:29">
      <c r="A2813" s="204"/>
      <c r="B2813" s="204"/>
      <c r="C2813" s="204"/>
      <c r="D2813" s="204"/>
      <c r="E2813" s="204"/>
      <c r="F2813" s="204"/>
      <c r="G2813" s="204"/>
      <c r="H2813" s="204"/>
      <c r="I2813" s="204"/>
      <c r="J2813" s="204"/>
      <c r="K2813" s="204"/>
      <c r="L2813" s="205"/>
      <c r="M2813" s="205"/>
      <c r="N2813" s="204"/>
      <c r="O2813" s="204"/>
      <c r="P2813" s="206"/>
      <c r="Q2813" s="206"/>
      <c r="R2813" s="206"/>
      <c r="S2813" s="206"/>
      <c r="T2813" s="204"/>
      <c r="U2813" s="207"/>
      <c r="V2813" s="204"/>
      <c r="W2813" s="204"/>
      <c r="X2813" s="207"/>
      <c r="Y2813" s="207"/>
      <c r="Z2813" s="204"/>
      <c r="AA2813" s="204"/>
      <c r="AB2813" s="204"/>
      <c r="AC2813" s="204"/>
    </row>
    <row r="2814" spans="1:29">
      <c r="A2814" s="204"/>
      <c r="B2814" s="204"/>
      <c r="C2814" s="204"/>
      <c r="D2814" s="204"/>
      <c r="E2814" s="204"/>
      <c r="F2814" s="204"/>
      <c r="G2814" s="204"/>
      <c r="H2814" s="204"/>
      <c r="I2814" s="204"/>
      <c r="J2814" s="204"/>
      <c r="K2814" s="204"/>
      <c r="L2814" s="205"/>
      <c r="M2814" s="205"/>
      <c r="N2814" s="204"/>
      <c r="O2814" s="204"/>
      <c r="P2814" s="206"/>
      <c r="Q2814" s="206"/>
      <c r="R2814" s="206"/>
      <c r="S2814" s="206"/>
      <c r="T2814" s="204"/>
      <c r="U2814" s="207"/>
      <c r="V2814" s="204"/>
      <c r="W2814" s="204"/>
      <c r="X2814" s="207"/>
      <c r="Y2814" s="207"/>
      <c r="Z2814" s="204"/>
      <c r="AA2814" s="204"/>
      <c r="AB2814" s="204"/>
      <c r="AC2814" s="204"/>
    </row>
    <row r="2815" spans="1:29">
      <c r="A2815" s="204"/>
      <c r="B2815" s="204"/>
      <c r="C2815" s="204"/>
      <c r="D2815" s="204"/>
      <c r="E2815" s="204"/>
      <c r="F2815" s="204"/>
      <c r="G2815" s="204"/>
      <c r="H2815" s="204"/>
      <c r="I2815" s="204"/>
      <c r="J2815" s="204"/>
      <c r="K2815" s="204"/>
      <c r="L2815" s="205"/>
      <c r="M2815" s="205"/>
      <c r="N2815" s="204"/>
      <c r="O2815" s="204"/>
      <c r="P2815" s="206"/>
      <c r="Q2815" s="206"/>
      <c r="R2815" s="206"/>
      <c r="S2815" s="206"/>
      <c r="T2815" s="204"/>
      <c r="U2815" s="207"/>
      <c r="V2815" s="204"/>
      <c r="W2815" s="204"/>
      <c r="X2815" s="207"/>
      <c r="Y2815" s="207"/>
      <c r="Z2815" s="204"/>
      <c r="AA2815" s="204"/>
      <c r="AB2815" s="204"/>
      <c r="AC2815" s="204"/>
    </row>
    <row r="2816" spans="1:29">
      <c r="A2816" s="204"/>
      <c r="B2816" s="204"/>
      <c r="C2816" s="204"/>
      <c r="D2816" s="204"/>
      <c r="E2816" s="204"/>
      <c r="F2816" s="204"/>
      <c r="G2816" s="204"/>
      <c r="H2816" s="204"/>
      <c r="I2816" s="204"/>
      <c r="J2816" s="204"/>
      <c r="K2816" s="204"/>
      <c r="L2816" s="205"/>
      <c r="M2816" s="205"/>
      <c r="N2816" s="204"/>
      <c r="O2816" s="204"/>
      <c r="P2816" s="206"/>
      <c r="Q2816" s="206"/>
      <c r="R2816" s="206"/>
      <c r="S2816" s="206"/>
      <c r="T2816" s="204"/>
      <c r="U2816" s="207"/>
      <c r="V2816" s="204"/>
      <c r="W2816" s="204"/>
      <c r="X2816" s="207"/>
      <c r="Y2816" s="207"/>
      <c r="Z2816" s="204"/>
      <c r="AA2816" s="204"/>
      <c r="AB2816" s="204"/>
      <c r="AC2816" s="204"/>
    </row>
    <row r="2817" spans="1:29">
      <c r="A2817" s="204"/>
      <c r="B2817" s="204"/>
      <c r="C2817" s="204"/>
      <c r="D2817" s="204"/>
      <c r="E2817" s="204"/>
      <c r="F2817" s="204"/>
      <c r="G2817" s="204"/>
      <c r="H2817" s="204"/>
      <c r="I2817" s="204"/>
      <c r="J2817" s="204"/>
      <c r="K2817" s="204"/>
      <c r="L2817" s="205"/>
      <c r="M2817" s="205"/>
      <c r="N2817" s="204"/>
      <c r="O2817" s="204"/>
      <c r="P2817" s="206"/>
      <c r="Q2817" s="206"/>
      <c r="R2817" s="206"/>
      <c r="S2817" s="206"/>
      <c r="T2817" s="204"/>
      <c r="U2817" s="207"/>
      <c r="V2817" s="204"/>
      <c r="W2817" s="204"/>
      <c r="X2817" s="207"/>
      <c r="Y2817" s="207"/>
      <c r="Z2817" s="204"/>
      <c r="AA2817" s="204"/>
      <c r="AB2817" s="204"/>
      <c r="AC2817" s="204"/>
    </row>
    <row r="2818" spans="1:29">
      <c r="A2818" s="204"/>
      <c r="B2818" s="204"/>
      <c r="C2818" s="204"/>
      <c r="D2818" s="204"/>
      <c r="E2818" s="204"/>
      <c r="F2818" s="204"/>
      <c r="G2818" s="204"/>
      <c r="H2818" s="204"/>
      <c r="I2818" s="204"/>
      <c r="J2818" s="204"/>
      <c r="K2818" s="204"/>
      <c r="L2818" s="205"/>
      <c r="M2818" s="205"/>
      <c r="N2818" s="204"/>
      <c r="O2818" s="204"/>
      <c r="P2818" s="206"/>
      <c r="Q2818" s="206"/>
      <c r="R2818" s="206"/>
      <c r="S2818" s="206"/>
      <c r="T2818" s="204"/>
      <c r="U2818" s="207"/>
      <c r="V2818" s="204"/>
      <c r="W2818" s="204"/>
      <c r="X2818" s="207"/>
      <c r="Y2818" s="207"/>
      <c r="Z2818" s="204"/>
      <c r="AA2818" s="204"/>
      <c r="AB2818" s="204"/>
      <c r="AC2818" s="204"/>
    </row>
    <row r="2819" spans="1:29">
      <c r="A2819" s="204"/>
      <c r="B2819" s="204"/>
      <c r="C2819" s="204"/>
      <c r="D2819" s="204"/>
      <c r="E2819" s="204"/>
      <c r="F2819" s="204"/>
      <c r="G2819" s="204"/>
      <c r="H2819" s="204"/>
      <c r="I2819" s="204"/>
      <c r="J2819" s="204"/>
      <c r="K2819" s="204"/>
      <c r="L2819" s="205"/>
      <c r="M2819" s="205"/>
      <c r="N2819" s="204"/>
      <c r="O2819" s="204"/>
      <c r="P2819" s="206"/>
      <c r="Q2819" s="206"/>
      <c r="R2819" s="206"/>
      <c r="S2819" s="206"/>
      <c r="T2819" s="204"/>
      <c r="U2819" s="207"/>
      <c r="V2819" s="204"/>
      <c r="W2819" s="204"/>
      <c r="X2819" s="207"/>
      <c r="Y2819" s="207"/>
      <c r="Z2819" s="204"/>
      <c r="AA2819" s="204"/>
      <c r="AB2819" s="204"/>
      <c r="AC2819" s="204"/>
    </row>
    <row r="2820" spans="1:29">
      <c r="A2820" s="204"/>
      <c r="B2820" s="204"/>
      <c r="C2820" s="204"/>
      <c r="D2820" s="204"/>
      <c r="E2820" s="204"/>
      <c r="F2820" s="204"/>
      <c r="G2820" s="204"/>
      <c r="H2820" s="204"/>
      <c r="I2820" s="204"/>
      <c r="J2820" s="204"/>
      <c r="K2820" s="204"/>
      <c r="L2820" s="205"/>
      <c r="M2820" s="205"/>
      <c r="N2820" s="204"/>
      <c r="O2820" s="204"/>
      <c r="P2820" s="206"/>
      <c r="Q2820" s="206"/>
      <c r="R2820" s="206"/>
      <c r="S2820" s="206"/>
      <c r="T2820" s="204"/>
      <c r="U2820" s="207"/>
      <c r="V2820" s="204"/>
      <c r="W2820" s="204"/>
      <c r="X2820" s="207"/>
      <c r="Y2820" s="207"/>
      <c r="Z2820" s="204"/>
      <c r="AA2820" s="204"/>
      <c r="AB2820" s="204"/>
      <c r="AC2820" s="204"/>
    </row>
    <row r="2821" spans="1:29">
      <c r="A2821" s="204"/>
      <c r="B2821" s="204"/>
      <c r="C2821" s="204"/>
      <c r="D2821" s="204"/>
      <c r="E2821" s="204"/>
      <c r="F2821" s="204"/>
      <c r="G2821" s="204"/>
      <c r="H2821" s="204"/>
      <c r="I2821" s="204"/>
      <c r="J2821" s="204"/>
      <c r="K2821" s="204"/>
      <c r="L2821" s="205"/>
      <c r="M2821" s="205"/>
      <c r="N2821" s="204"/>
      <c r="O2821" s="204"/>
      <c r="P2821" s="206"/>
      <c r="Q2821" s="206"/>
      <c r="R2821" s="206"/>
      <c r="S2821" s="206"/>
      <c r="T2821" s="204"/>
      <c r="U2821" s="207"/>
      <c r="V2821" s="204"/>
      <c r="W2821" s="204"/>
      <c r="X2821" s="207"/>
      <c r="Y2821" s="207"/>
      <c r="Z2821" s="204"/>
      <c r="AA2821" s="204"/>
      <c r="AB2821" s="204"/>
      <c r="AC2821" s="204"/>
    </row>
    <row r="2822" spans="1:29">
      <c r="A2822" s="204"/>
      <c r="B2822" s="204"/>
      <c r="C2822" s="204"/>
      <c r="D2822" s="204"/>
      <c r="E2822" s="204"/>
      <c r="F2822" s="204"/>
      <c r="G2822" s="204"/>
      <c r="H2822" s="204"/>
      <c r="I2822" s="204"/>
      <c r="J2822" s="204"/>
      <c r="K2822" s="204"/>
      <c r="L2822" s="205"/>
      <c r="M2822" s="205"/>
      <c r="N2822" s="204"/>
      <c r="O2822" s="204"/>
      <c r="P2822" s="206"/>
      <c r="Q2822" s="206"/>
      <c r="R2822" s="206"/>
      <c r="S2822" s="206"/>
      <c r="T2822" s="204"/>
      <c r="U2822" s="207"/>
      <c r="V2822" s="204"/>
      <c r="W2822" s="204"/>
      <c r="X2822" s="207"/>
      <c r="Y2822" s="207"/>
      <c r="Z2822" s="204"/>
      <c r="AA2822" s="204"/>
      <c r="AB2822" s="204"/>
      <c r="AC2822" s="204"/>
    </row>
    <row r="2823" spans="1:29">
      <c r="A2823" s="204"/>
      <c r="B2823" s="204"/>
      <c r="C2823" s="204"/>
      <c r="D2823" s="204"/>
      <c r="E2823" s="204"/>
      <c r="F2823" s="204"/>
      <c r="G2823" s="204"/>
      <c r="H2823" s="204"/>
      <c r="I2823" s="204"/>
      <c r="J2823" s="204"/>
      <c r="K2823" s="204"/>
      <c r="L2823" s="205"/>
      <c r="M2823" s="205"/>
      <c r="N2823" s="204"/>
      <c r="O2823" s="204"/>
      <c r="P2823" s="206"/>
      <c r="Q2823" s="206"/>
      <c r="R2823" s="206"/>
      <c r="S2823" s="206"/>
      <c r="T2823" s="204"/>
      <c r="U2823" s="207"/>
      <c r="V2823" s="204"/>
      <c r="W2823" s="204"/>
      <c r="X2823" s="207"/>
      <c r="Y2823" s="207"/>
      <c r="Z2823" s="204"/>
      <c r="AA2823" s="204"/>
      <c r="AB2823" s="204"/>
      <c r="AC2823" s="204"/>
    </row>
    <row r="2824" spans="1:29">
      <c r="A2824" s="204"/>
      <c r="B2824" s="204"/>
      <c r="C2824" s="204"/>
      <c r="D2824" s="204"/>
      <c r="E2824" s="204"/>
      <c r="F2824" s="204"/>
      <c r="G2824" s="204"/>
      <c r="H2824" s="204"/>
      <c r="I2824" s="204"/>
      <c r="J2824" s="204"/>
      <c r="K2824" s="204"/>
      <c r="L2824" s="205"/>
      <c r="M2824" s="205"/>
      <c r="N2824" s="204"/>
      <c r="O2824" s="204"/>
      <c r="P2824" s="206"/>
      <c r="Q2824" s="206"/>
      <c r="R2824" s="206"/>
      <c r="S2824" s="206"/>
      <c r="T2824" s="204"/>
      <c r="U2824" s="207"/>
      <c r="V2824" s="204"/>
      <c r="W2824" s="204"/>
      <c r="X2824" s="207"/>
      <c r="Y2824" s="207"/>
      <c r="Z2824" s="204"/>
      <c r="AA2824" s="204"/>
      <c r="AB2824" s="204"/>
      <c r="AC2824" s="204"/>
    </row>
    <row r="2825" spans="1:29">
      <c r="A2825" s="204"/>
      <c r="B2825" s="204"/>
      <c r="C2825" s="204"/>
      <c r="D2825" s="204"/>
      <c r="E2825" s="204"/>
      <c r="F2825" s="204"/>
      <c r="G2825" s="204"/>
      <c r="H2825" s="204"/>
      <c r="I2825" s="204"/>
      <c r="J2825" s="204"/>
      <c r="K2825" s="204"/>
      <c r="L2825" s="205"/>
      <c r="M2825" s="205"/>
      <c r="N2825" s="204"/>
      <c r="O2825" s="204"/>
      <c r="P2825" s="206"/>
      <c r="Q2825" s="206"/>
      <c r="R2825" s="206"/>
      <c r="S2825" s="206"/>
      <c r="T2825" s="204"/>
      <c r="U2825" s="207"/>
      <c r="V2825" s="204"/>
      <c r="W2825" s="204"/>
      <c r="X2825" s="207"/>
      <c r="Y2825" s="207"/>
      <c r="Z2825" s="204"/>
      <c r="AA2825" s="204"/>
      <c r="AB2825" s="204"/>
      <c r="AC2825" s="204"/>
    </row>
    <row r="2826" spans="1:29">
      <c r="A2826" s="204"/>
      <c r="B2826" s="204"/>
      <c r="C2826" s="204"/>
      <c r="D2826" s="204"/>
      <c r="E2826" s="204"/>
      <c r="F2826" s="204"/>
      <c r="G2826" s="204"/>
      <c r="H2826" s="204"/>
      <c r="I2826" s="204"/>
      <c r="J2826" s="204"/>
      <c r="K2826" s="204"/>
      <c r="L2826" s="205"/>
      <c r="M2826" s="205"/>
      <c r="N2826" s="204"/>
      <c r="O2826" s="204"/>
      <c r="P2826" s="206"/>
      <c r="Q2826" s="206"/>
      <c r="R2826" s="206"/>
      <c r="S2826" s="206"/>
      <c r="T2826" s="204"/>
      <c r="U2826" s="207"/>
      <c r="V2826" s="204"/>
      <c r="W2826" s="204"/>
      <c r="X2826" s="207"/>
      <c r="Y2826" s="207"/>
      <c r="Z2826" s="204"/>
      <c r="AA2826" s="204"/>
      <c r="AB2826" s="204"/>
      <c r="AC2826" s="204"/>
    </row>
    <row r="2827" spans="1:29">
      <c r="A2827" s="204"/>
      <c r="B2827" s="204"/>
      <c r="C2827" s="204"/>
      <c r="D2827" s="204"/>
      <c r="E2827" s="204"/>
      <c r="F2827" s="204"/>
      <c r="G2827" s="204"/>
      <c r="H2827" s="204"/>
      <c r="I2827" s="204"/>
      <c r="J2827" s="204"/>
      <c r="K2827" s="204"/>
      <c r="L2827" s="205"/>
      <c r="M2827" s="205"/>
      <c r="N2827" s="204"/>
      <c r="O2827" s="204"/>
      <c r="P2827" s="206"/>
      <c r="Q2827" s="206"/>
      <c r="R2827" s="206"/>
      <c r="S2827" s="206"/>
      <c r="T2827" s="204"/>
      <c r="U2827" s="207"/>
      <c r="V2827" s="204"/>
      <c r="W2827" s="204"/>
      <c r="X2827" s="207"/>
      <c r="Y2827" s="207"/>
      <c r="Z2827" s="204"/>
      <c r="AA2827" s="204"/>
      <c r="AB2827" s="204"/>
      <c r="AC2827" s="204"/>
    </row>
    <row r="2828" spans="1:29">
      <c r="A2828" s="204"/>
      <c r="B2828" s="204"/>
      <c r="C2828" s="204"/>
      <c r="D2828" s="204"/>
      <c r="E2828" s="204"/>
      <c r="F2828" s="204"/>
      <c r="G2828" s="204"/>
      <c r="H2828" s="204"/>
      <c r="I2828" s="204"/>
      <c r="J2828" s="204"/>
      <c r="K2828" s="204"/>
      <c r="L2828" s="205"/>
      <c r="M2828" s="205"/>
      <c r="N2828" s="204"/>
      <c r="O2828" s="204"/>
      <c r="P2828" s="206"/>
      <c r="Q2828" s="206"/>
      <c r="R2828" s="206"/>
      <c r="S2828" s="206"/>
      <c r="T2828" s="204"/>
      <c r="U2828" s="207"/>
      <c r="V2828" s="204"/>
      <c r="W2828" s="204"/>
      <c r="X2828" s="207"/>
      <c r="Y2828" s="207"/>
      <c r="Z2828" s="204"/>
      <c r="AA2828" s="204"/>
      <c r="AB2828" s="204"/>
      <c r="AC2828" s="204"/>
    </row>
    <row r="2829" spans="1:29">
      <c r="A2829" s="204"/>
      <c r="B2829" s="204"/>
      <c r="C2829" s="204"/>
      <c r="D2829" s="204"/>
      <c r="E2829" s="204"/>
      <c r="F2829" s="204"/>
      <c r="G2829" s="204"/>
      <c r="H2829" s="204"/>
      <c r="I2829" s="204"/>
      <c r="J2829" s="204"/>
      <c r="K2829" s="204"/>
      <c r="L2829" s="205"/>
      <c r="M2829" s="205"/>
      <c r="N2829" s="204"/>
      <c r="O2829" s="204"/>
      <c r="P2829" s="206"/>
      <c r="Q2829" s="206"/>
      <c r="R2829" s="206"/>
      <c r="S2829" s="206"/>
      <c r="T2829" s="204"/>
      <c r="U2829" s="207"/>
      <c r="V2829" s="204"/>
      <c r="W2829" s="204"/>
      <c r="X2829" s="207"/>
      <c r="Y2829" s="207"/>
      <c r="Z2829" s="204"/>
      <c r="AA2829" s="204"/>
      <c r="AB2829" s="204"/>
      <c r="AC2829" s="204"/>
    </row>
    <row r="2830" spans="1:29">
      <c r="A2830" s="204"/>
      <c r="B2830" s="204"/>
      <c r="C2830" s="204"/>
      <c r="D2830" s="204"/>
      <c r="E2830" s="204"/>
      <c r="F2830" s="204"/>
      <c r="G2830" s="204"/>
      <c r="H2830" s="204"/>
      <c r="I2830" s="204"/>
      <c r="J2830" s="204"/>
      <c r="K2830" s="204"/>
      <c r="L2830" s="205"/>
      <c r="M2830" s="205"/>
      <c r="N2830" s="204"/>
      <c r="O2830" s="204"/>
      <c r="P2830" s="206"/>
      <c r="Q2830" s="206"/>
      <c r="R2830" s="206"/>
      <c r="S2830" s="206"/>
      <c r="T2830" s="204"/>
      <c r="U2830" s="207"/>
      <c r="V2830" s="204"/>
      <c r="W2830" s="204"/>
      <c r="X2830" s="207"/>
      <c r="Y2830" s="207"/>
      <c r="Z2830" s="204"/>
      <c r="AA2830" s="204"/>
      <c r="AB2830" s="204"/>
      <c r="AC2830" s="204"/>
    </row>
    <row r="2831" spans="1:29">
      <c r="A2831" s="204"/>
      <c r="B2831" s="204"/>
      <c r="C2831" s="204"/>
      <c r="D2831" s="204"/>
      <c r="E2831" s="204"/>
      <c r="F2831" s="204"/>
      <c r="G2831" s="204"/>
      <c r="H2831" s="204"/>
      <c r="I2831" s="204"/>
      <c r="J2831" s="204"/>
      <c r="K2831" s="204"/>
      <c r="L2831" s="205"/>
      <c r="M2831" s="205"/>
      <c r="N2831" s="204"/>
      <c r="O2831" s="204"/>
      <c r="P2831" s="206"/>
      <c r="Q2831" s="206"/>
      <c r="R2831" s="206"/>
      <c r="S2831" s="206"/>
      <c r="T2831" s="204"/>
      <c r="U2831" s="207"/>
      <c r="V2831" s="204"/>
      <c r="W2831" s="204"/>
      <c r="X2831" s="207"/>
      <c r="Y2831" s="207"/>
      <c r="Z2831" s="204"/>
      <c r="AA2831" s="204"/>
      <c r="AB2831" s="204"/>
      <c r="AC2831" s="204"/>
    </row>
    <row r="2832" spans="1:29">
      <c r="A2832" s="204"/>
      <c r="B2832" s="204"/>
      <c r="C2832" s="204"/>
      <c r="D2832" s="204"/>
      <c r="E2832" s="204"/>
      <c r="F2832" s="204"/>
      <c r="G2832" s="204"/>
      <c r="H2832" s="204"/>
      <c r="I2832" s="204"/>
      <c r="J2832" s="204"/>
      <c r="K2832" s="204"/>
      <c r="L2832" s="205"/>
      <c r="M2832" s="205"/>
      <c r="N2832" s="204"/>
      <c r="O2832" s="204"/>
      <c r="P2832" s="206"/>
      <c r="Q2832" s="206"/>
      <c r="R2832" s="206"/>
      <c r="S2832" s="206"/>
      <c r="T2832" s="204"/>
      <c r="U2832" s="207"/>
      <c r="V2832" s="204"/>
      <c r="W2832" s="204"/>
      <c r="X2832" s="207"/>
      <c r="Y2832" s="207"/>
      <c r="Z2832" s="204"/>
      <c r="AA2832" s="204"/>
      <c r="AB2832" s="204"/>
      <c r="AC2832" s="204"/>
    </row>
    <row r="2833" spans="1:29">
      <c r="A2833" s="204"/>
      <c r="B2833" s="204"/>
      <c r="C2833" s="204"/>
      <c r="D2833" s="204"/>
      <c r="E2833" s="204"/>
      <c r="F2833" s="204"/>
      <c r="G2833" s="204"/>
      <c r="H2833" s="204"/>
      <c r="I2833" s="204"/>
      <c r="J2833" s="204"/>
      <c r="K2833" s="204"/>
      <c r="L2833" s="205"/>
      <c r="M2833" s="205"/>
      <c r="N2833" s="204"/>
      <c r="O2833" s="204"/>
      <c r="P2833" s="206"/>
      <c r="Q2833" s="206"/>
      <c r="R2833" s="206"/>
      <c r="S2833" s="206"/>
      <c r="T2833" s="204"/>
      <c r="U2833" s="207"/>
      <c r="V2833" s="204"/>
      <c r="W2833" s="204"/>
      <c r="X2833" s="207"/>
      <c r="Y2833" s="207"/>
      <c r="Z2833" s="204"/>
      <c r="AA2833" s="204"/>
      <c r="AB2833" s="204"/>
      <c r="AC2833" s="204"/>
    </row>
    <row r="2834" spans="1:29">
      <c r="A2834" s="204"/>
      <c r="B2834" s="204"/>
      <c r="C2834" s="204"/>
      <c r="D2834" s="204"/>
      <c r="E2834" s="204"/>
      <c r="F2834" s="204"/>
      <c r="G2834" s="204"/>
      <c r="H2834" s="204"/>
      <c r="I2834" s="204"/>
      <c r="J2834" s="204"/>
      <c r="K2834" s="204"/>
      <c r="L2834" s="205"/>
      <c r="M2834" s="205"/>
      <c r="N2834" s="204"/>
      <c r="O2834" s="204"/>
      <c r="P2834" s="206"/>
      <c r="Q2834" s="206"/>
      <c r="R2834" s="206"/>
      <c r="S2834" s="206"/>
      <c r="T2834" s="204"/>
      <c r="U2834" s="207"/>
      <c r="V2834" s="204"/>
      <c r="W2834" s="204"/>
      <c r="X2834" s="207"/>
      <c r="Y2834" s="207"/>
      <c r="Z2834" s="204"/>
      <c r="AA2834" s="204"/>
      <c r="AB2834" s="204"/>
      <c r="AC2834" s="204"/>
    </row>
    <row r="2835" spans="1:29">
      <c r="A2835" s="204"/>
      <c r="B2835" s="204"/>
      <c r="C2835" s="204"/>
      <c r="D2835" s="204"/>
      <c r="E2835" s="204"/>
      <c r="F2835" s="204"/>
      <c r="G2835" s="204"/>
      <c r="H2835" s="204"/>
      <c r="I2835" s="204"/>
      <c r="J2835" s="204"/>
      <c r="K2835" s="204"/>
      <c r="L2835" s="205"/>
      <c r="M2835" s="205"/>
      <c r="N2835" s="204"/>
      <c r="O2835" s="204"/>
      <c r="P2835" s="206"/>
      <c r="Q2835" s="206"/>
      <c r="R2835" s="206"/>
      <c r="S2835" s="206"/>
      <c r="T2835" s="204"/>
      <c r="U2835" s="207"/>
      <c r="V2835" s="204"/>
      <c r="W2835" s="204"/>
      <c r="X2835" s="207"/>
      <c r="Y2835" s="207"/>
      <c r="Z2835" s="204"/>
      <c r="AA2835" s="204"/>
      <c r="AB2835" s="204"/>
      <c r="AC2835" s="204"/>
    </row>
    <row r="2836" spans="1:29">
      <c r="A2836" s="204"/>
      <c r="B2836" s="204"/>
      <c r="C2836" s="204"/>
      <c r="D2836" s="204"/>
      <c r="E2836" s="204"/>
      <c r="F2836" s="204"/>
      <c r="G2836" s="204"/>
      <c r="H2836" s="204"/>
      <c r="I2836" s="204"/>
      <c r="J2836" s="204"/>
      <c r="K2836" s="204"/>
      <c r="L2836" s="205"/>
      <c r="M2836" s="205"/>
      <c r="N2836" s="204"/>
      <c r="O2836" s="204"/>
      <c r="P2836" s="206"/>
      <c r="Q2836" s="206"/>
      <c r="R2836" s="206"/>
      <c r="S2836" s="206"/>
      <c r="T2836" s="204"/>
      <c r="U2836" s="207"/>
      <c r="V2836" s="204"/>
      <c r="W2836" s="204"/>
      <c r="X2836" s="207"/>
      <c r="Y2836" s="207"/>
      <c r="Z2836" s="204"/>
      <c r="AA2836" s="204"/>
      <c r="AB2836" s="204"/>
      <c r="AC2836" s="204"/>
    </row>
    <row r="2837" spans="1:29">
      <c r="A2837" s="204"/>
      <c r="B2837" s="204"/>
      <c r="C2837" s="204"/>
      <c r="D2837" s="204"/>
      <c r="E2837" s="204"/>
      <c r="F2837" s="204"/>
      <c r="G2837" s="204"/>
      <c r="H2837" s="204"/>
      <c r="I2837" s="204"/>
      <c r="J2837" s="204"/>
      <c r="K2837" s="204"/>
      <c r="L2837" s="205"/>
      <c r="M2837" s="205"/>
      <c r="N2837" s="204"/>
      <c r="O2837" s="204"/>
      <c r="P2837" s="206"/>
      <c r="Q2837" s="206"/>
      <c r="R2837" s="206"/>
      <c r="S2837" s="206"/>
      <c r="T2837" s="204"/>
      <c r="U2837" s="207"/>
      <c r="V2837" s="204"/>
      <c r="W2837" s="204"/>
      <c r="X2837" s="207"/>
      <c r="Y2837" s="207"/>
      <c r="Z2837" s="204"/>
      <c r="AA2837" s="204"/>
      <c r="AB2837" s="204"/>
      <c r="AC2837" s="204"/>
    </row>
    <row r="2838" spans="1:29">
      <c r="A2838" s="204"/>
      <c r="B2838" s="204"/>
      <c r="C2838" s="204"/>
      <c r="D2838" s="204"/>
      <c r="E2838" s="204"/>
      <c r="F2838" s="204"/>
      <c r="G2838" s="204"/>
      <c r="H2838" s="204"/>
      <c r="I2838" s="204"/>
      <c r="J2838" s="204"/>
      <c r="K2838" s="204"/>
      <c r="L2838" s="205"/>
      <c r="M2838" s="205"/>
      <c r="N2838" s="204"/>
      <c r="O2838" s="204"/>
      <c r="P2838" s="206"/>
      <c r="Q2838" s="206"/>
      <c r="R2838" s="206"/>
      <c r="S2838" s="206"/>
      <c r="T2838" s="204"/>
      <c r="U2838" s="207"/>
      <c r="V2838" s="204"/>
      <c r="W2838" s="204"/>
      <c r="X2838" s="207"/>
      <c r="Y2838" s="207"/>
      <c r="Z2838" s="204"/>
      <c r="AA2838" s="204"/>
      <c r="AB2838" s="204"/>
      <c r="AC2838" s="204"/>
    </row>
    <row r="2839" spans="1:29">
      <c r="A2839" s="204"/>
      <c r="B2839" s="204"/>
      <c r="C2839" s="204"/>
      <c r="D2839" s="204"/>
      <c r="E2839" s="204"/>
      <c r="F2839" s="204"/>
      <c r="G2839" s="204"/>
      <c r="H2839" s="204"/>
      <c r="I2839" s="204"/>
      <c r="J2839" s="204"/>
      <c r="K2839" s="204"/>
      <c r="L2839" s="205"/>
      <c r="M2839" s="205"/>
      <c r="N2839" s="204"/>
      <c r="O2839" s="204"/>
      <c r="P2839" s="206"/>
      <c r="Q2839" s="206"/>
      <c r="R2839" s="206"/>
      <c r="S2839" s="206"/>
      <c r="T2839" s="204"/>
      <c r="U2839" s="207"/>
      <c r="V2839" s="204"/>
      <c r="W2839" s="204"/>
      <c r="X2839" s="207"/>
      <c r="Y2839" s="207"/>
      <c r="Z2839" s="204"/>
      <c r="AA2839" s="204"/>
      <c r="AB2839" s="204"/>
      <c r="AC2839" s="204"/>
    </row>
    <row r="2840" spans="1:29">
      <c r="A2840" s="204"/>
      <c r="B2840" s="204"/>
      <c r="C2840" s="204"/>
      <c r="D2840" s="204"/>
      <c r="E2840" s="204"/>
      <c r="F2840" s="204"/>
      <c r="G2840" s="204"/>
      <c r="H2840" s="204"/>
      <c r="I2840" s="204"/>
      <c r="J2840" s="204"/>
      <c r="K2840" s="204"/>
      <c r="L2840" s="205"/>
      <c r="M2840" s="205"/>
      <c r="N2840" s="204"/>
      <c r="O2840" s="204"/>
      <c r="P2840" s="206"/>
      <c r="Q2840" s="206"/>
      <c r="R2840" s="206"/>
      <c r="S2840" s="206"/>
      <c r="T2840" s="204"/>
      <c r="U2840" s="207"/>
      <c r="V2840" s="204"/>
      <c r="W2840" s="204"/>
      <c r="X2840" s="207"/>
      <c r="Y2840" s="207"/>
      <c r="Z2840" s="204"/>
      <c r="AA2840" s="204"/>
      <c r="AB2840" s="204"/>
      <c r="AC2840" s="204"/>
    </row>
    <row r="2841" spans="1:29">
      <c r="A2841" s="204"/>
      <c r="B2841" s="204"/>
      <c r="C2841" s="204"/>
      <c r="D2841" s="204"/>
      <c r="E2841" s="204"/>
      <c r="F2841" s="204"/>
      <c r="G2841" s="204"/>
      <c r="H2841" s="204"/>
      <c r="I2841" s="204"/>
      <c r="J2841" s="204"/>
      <c r="K2841" s="204"/>
      <c r="L2841" s="205"/>
      <c r="M2841" s="205"/>
      <c r="N2841" s="204"/>
      <c r="O2841" s="204"/>
      <c r="P2841" s="206"/>
      <c r="Q2841" s="206"/>
      <c r="R2841" s="206"/>
      <c r="S2841" s="206"/>
      <c r="T2841" s="204"/>
      <c r="U2841" s="207"/>
      <c r="V2841" s="204"/>
      <c r="W2841" s="204"/>
      <c r="X2841" s="207"/>
      <c r="Y2841" s="207"/>
      <c r="Z2841" s="204"/>
      <c r="AA2841" s="204"/>
      <c r="AB2841" s="204"/>
      <c r="AC2841" s="204"/>
    </row>
    <row r="2842" spans="1:29">
      <c r="A2842" s="204"/>
      <c r="B2842" s="204"/>
      <c r="C2842" s="204"/>
      <c r="D2842" s="204"/>
      <c r="E2842" s="204"/>
      <c r="F2842" s="204"/>
      <c r="G2842" s="204"/>
      <c r="H2842" s="204"/>
      <c r="I2842" s="204"/>
      <c r="J2842" s="204"/>
      <c r="K2842" s="204"/>
      <c r="L2842" s="205"/>
      <c r="M2842" s="205"/>
      <c r="N2842" s="204"/>
      <c r="O2842" s="204"/>
      <c r="P2842" s="206"/>
      <c r="Q2842" s="206"/>
      <c r="R2842" s="206"/>
      <c r="S2842" s="206"/>
      <c r="T2842" s="204"/>
      <c r="U2842" s="207"/>
      <c r="V2842" s="204"/>
      <c r="W2842" s="204"/>
      <c r="X2842" s="207"/>
      <c r="Y2842" s="207"/>
      <c r="Z2842" s="204"/>
      <c r="AA2842" s="204"/>
      <c r="AB2842" s="204"/>
      <c r="AC2842" s="204"/>
    </row>
    <row r="2843" spans="1:29">
      <c r="A2843" s="204"/>
      <c r="B2843" s="204"/>
      <c r="C2843" s="204"/>
      <c r="D2843" s="204"/>
      <c r="E2843" s="204"/>
      <c r="F2843" s="204"/>
      <c r="G2843" s="204"/>
      <c r="H2843" s="204"/>
      <c r="I2843" s="204"/>
      <c r="J2843" s="204"/>
      <c r="K2843" s="204"/>
      <c r="L2843" s="205"/>
      <c r="M2843" s="205"/>
      <c r="N2843" s="204"/>
      <c r="O2843" s="204"/>
      <c r="P2843" s="206"/>
      <c r="Q2843" s="206"/>
      <c r="R2843" s="206"/>
      <c r="S2843" s="206"/>
      <c r="T2843" s="204"/>
      <c r="U2843" s="207"/>
      <c r="V2843" s="204"/>
      <c r="W2843" s="204"/>
      <c r="X2843" s="207"/>
      <c r="Y2843" s="207"/>
      <c r="Z2843" s="204"/>
      <c r="AA2843" s="204"/>
      <c r="AB2843" s="204"/>
      <c r="AC2843" s="204"/>
    </row>
    <row r="2844" spans="1:29">
      <c r="A2844" s="204"/>
      <c r="B2844" s="204"/>
      <c r="C2844" s="204"/>
      <c r="D2844" s="204"/>
      <c r="E2844" s="204"/>
      <c r="F2844" s="204"/>
      <c r="G2844" s="204"/>
      <c r="H2844" s="204"/>
      <c r="I2844" s="204"/>
      <c r="J2844" s="204"/>
      <c r="K2844" s="204"/>
      <c r="L2844" s="205"/>
      <c r="M2844" s="205"/>
      <c r="N2844" s="204"/>
      <c r="O2844" s="204"/>
      <c r="P2844" s="206"/>
      <c r="Q2844" s="206"/>
      <c r="R2844" s="206"/>
      <c r="S2844" s="206"/>
      <c r="T2844" s="204"/>
      <c r="U2844" s="207"/>
      <c r="V2844" s="204"/>
      <c r="W2844" s="204"/>
      <c r="X2844" s="207"/>
      <c r="Y2844" s="207"/>
      <c r="Z2844" s="204"/>
      <c r="AA2844" s="204"/>
      <c r="AB2844" s="204"/>
      <c r="AC2844" s="204"/>
    </row>
    <row r="2845" spans="1:29">
      <c r="A2845" s="204"/>
      <c r="B2845" s="204"/>
      <c r="C2845" s="204"/>
      <c r="D2845" s="204"/>
      <c r="E2845" s="204"/>
      <c r="F2845" s="204"/>
      <c r="G2845" s="204"/>
      <c r="H2845" s="204"/>
      <c r="I2845" s="204"/>
      <c r="J2845" s="204"/>
      <c r="K2845" s="204"/>
      <c r="L2845" s="205"/>
      <c r="M2845" s="205"/>
      <c r="N2845" s="204"/>
      <c r="O2845" s="204"/>
      <c r="P2845" s="206"/>
      <c r="Q2845" s="206"/>
      <c r="R2845" s="206"/>
      <c r="S2845" s="206"/>
      <c r="T2845" s="204"/>
      <c r="U2845" s="207"/>
      <c r="V2845" s="204"/>
      <c r="W2845" s="204"/>
      <c r="X2845" s="207"/>
      <c r="Y2845" s="207"/>
      <c r="Z2845" s="204"/>
      <c r="AA2845" s="204"/>
      <c r="AB2845" s="204"/>
      <c r="AC2845" s="204"/>
    </row>
    <row r="2846" spans="1:29">
      <c r="A2846" s="204"/>
      <c r="B2846" s="204"/>
      <c r="C2846" s="204"/>
      <c r="D2846" s="204"/>
      <c r="E2846" s="204"/>
      <c r="F2846" s="204"/>
      <c r="G2846" s="204"/>
      <c r="H2846" s="204"/>
      <c r="I2846" s="204"/>
      <c r="J2846" s="204"/>
      <c r="K2846" s="204"/>
      <c r="L2846" s="205"/>
      <c r="M2846" s="205"/>
      <c r="N2846" s="204"/>
      <c r="O2846" s="204"/>
      <c r="P2846" s="206"/>
      <c r="Q2846" s="206"/>
      <c r="R2846" s="206"/>
      <c r="S2846" s="206"/>
      <c r="T2846" s="204"/>
      <c r="U2846" s="207"/>
      <c r="V2846" s="204"/>
      <c r="W2846" s="204"/>
      <c r="X2846" s="207"/>
      <c r="Y2846" s="207"/>
      <c r="Z2846" s="204"/>
      <c r="AA2846" s="204"/>
      <c r="AB2846" s="204"/>
      <c r="AC2846" s="204"/>
    </row>
    <row r="2847" spans="1:29">
      <c r="A2847" s="204"/>
      <c r="B2847" s="204"/>
      <c r="C2847" s="204"/>
      <c r="D2847" s="204"/>
      <c r="E2847" s="204"/>
      <c r="F2847" s="204"/>
      <c r="G2847" s="204"/>
      <c r="H2847" s="204"/>
      <c r="I2847" s="204"/>
      <c r="J2847" s="204"/>
      <c r="K2847" s="204"/>
      <c r="L2847" s="205"/>
      <c r="M2847" s="205"/>
      <c r="N2847" s="204"/>
      <c r="O2847" s="204"/>
      <c r="P2847" s="206"/>
      <c r="Q2847" s="206"/>
      <c r="R2847" s="206"/>
      <c r="S2847" s="206"/>
      <c r="T2847" s="204"/>
      <c r="U2847" s="207"/>
      <c r="V2847" s="204"/>
      <c r="W2847" s="204"/>
      <c r="X2847" s="207"/>
      <c r="Y2847" s="207"/>
      <c r="Z2847" s="204"/>
      <c r="AA2847" s="204"/>
      <c r="AB2847" s="204"/>
      <c r="AC2847" s="204"/>
    </row>
    <row r="2848" spans="1:29">
      <c r="A2848" s="204"/>
      <c r="B2848" s="204"/>
      <c r="C2848" s="204"/>
      <c r="D2848" s="204"/>
      <c r="E2848" s="204"/>
      <c r="F2848" s="204"/>
      <c r="G2848" s="204"/>
      <c r="H2848" s="204"/>
      <c r="I2848" s="204"/>
      <c r="J2848" s="204"/>
      <c r="K2848" s="204"/>
      <c r="L2848" s="205"/>
      <c r="M2848" s="205"/>
      <c r="N2848" s="204"/>
      <c r="O2848" s="204"/>
      <c r="P2848" s="206"/>
      <c r="Q2848" s="206"/>
      <c r="R2848" s="206"/>
      <c r="S2848" s="206"/>
      <c r="T2848" s="204"/>
      <c r="U2848" s="207"/>
      <c r="V2848" s="204"/>
      <c r="W2848" s="204"/>
      <c r="X2848" s="207"/>
      <c r="Y2848" s="207"/>
      <c r="Z2848" s="204"/>
      <c r="AA2848" s="204"/>
      <c r="AB2848" s="204"/>
      <c r="AC2848" s="204"/>
    </row>
    <row r="2849" spans="1:29">
      <c r="A2849" s="204"/>
      <c r="B2849" s="204"/>
      <c r="C2849" s="204"/>
      <c r="D2849" s="204"/>
      <c r="E2849" s="204"/>
      <c r="F2849" s="204"/>
      <c r="G2849" s="204"/>
      <c r="H2849" s="204"/>
      <c r="I2849" s="204"/>
      <c r="J2849" s="204"/>
      <c r="K2849" s="204"/>
      <c r="L2849" s="205"/>
      <c r="M2849" s="205"/>
      <c r="N2849" s="204"/>
      <c r="O2849" s="204"/>
      <c r="P2849" s="206"/>
      <c r="Q2849" s="206"/>
      <c r="R2849" s="206"/>
      <c r="S2849" s="206"/>
      <c r="T2849" s="204"/>
      <c r="U2849" s="207"/>
      <c r="V2849" s="204"/>
      <c r="W2849" s="204"/>
      <c r="X2849" s="207"/>
      <c r="Y2849" s="207"/>
      <c r="Z2849" s="204"/>
      <c r="AA2849" s="204"/>
      <c r="AB2849" s="204"/>
      <c r="AC2849" s="204"/>
    </row>
    <row r="2850" spans="1:29">
      <c r="A2850" s="204"/>
      <c r="B2850" s="204"/>
      <c r="C2850" s="204"/>
      <c r="D2850" s="204"/>
      <c r="E2850" s="204"/>
      <c r="F2850" s="204"/>
      <c r="G2850" s="204"/>
      <c r="H2850" s="204"/>
      <c r="I2850" s="204"/>
      <c r="J2850" s="204"/>
      <c r="K2850" s="204"/>
      <c r="L2850" s="205"/>
      <c r="M2850" s="205"/>
      <c r="N2850" s="204"/>
      <c r="O2850" s="204"/>
      <c r="P2850" s="206"/>
      <c r="Q2850" s="206"/>
      <c r="R2850" s="206"/>
      <c r="S2850" s="206"/>
      <c r="T2850" s="204"/>
      <c r="U2850" s="207"/>
      <c r="V2850" s="204"/>
      <c r="W2850" s="204"/>
      <c r="X2850" s="207"/>
      <c r="Y2850" s="207"/>
      <c r="Z2850" s="204"/>
      <c r="AA2850" s="204"/>
      <c r="AB2850" s="204"/>
      <c r="AC2850" s="204"/>
    </row>
    <row r="2851" spans="1:29">
      <c r="A2851" s="204"/>
      <c r="B2851" s="204"/>
      <c r="C2851" s="204"/>
      <c r="D2851" s="204"/>
      <c r="E2851" s="204"/>
      <c r="F2851" s="204"/>
      <c r="G2851" s="204"/>
      <c r="H2851" s="204"/>
      <c r="I2851" s="204"/>
      <c r="J2851" s="204"/>
      <c r="K2851" s="204"/>
      <c r="L2851" s="205"/>
      <c r="M2851" s="205"/>
      <c r="N2851" s="204"/>
      <c r="O2851" s="204"/>
      <c r="P2851" s="206"/>
      <c r="Q2851" s="206"/>
      <c r="R2851" s="206"/>
      <c r="S2851" s="206"/>
      <c r="T2851" s="204"/>
      <c r="U2851" s="207"/>
      <c r="V2851" s="204"/>
      <c r="W2851" s="204"/>
      <c r="X2851" s="207"/>
      <c r="Y2851" s="207"/>
      <c r="Z2851" s="204"/>
      <c r="AA2851" s="204"/>
      <c r="AB2851" s="204"/>
      <c r="AC2851" s="204"/>
    </row>
    <row r="2852" spans="1:29">
      <c r="A2852" s="204"/>
      <c r="B2852" s="204"/>
      <c r="C2852" s="204"/>
      <c r="D2852" s="204"/>
      <c r="E2852" s="204"/>
      <c r="F2852" s="204"/>
      <c r="G2852" s="204"/>
      <c r="H2852" s="204"/>
      <c r="I2852" s="204"/>
      <c r="J2852" s="204"/>
      <c r="K2852" s="204"/>
      <c r="L2852" s="205"/>
      <c r="M2852" s="205"/>
      <c r="N2852" s="204"/>
      <c r="O2852" s="204"/>
      <c r="P2852" s="206"/>
      <c r="Q2852" s="206"/>
      <c r="R2852" s="206"/>
      <c r="S2852" s="206"/>
      <c r="T2852" s="204"/>
      <c r="U2852" s="207"/>
      <c r="V2852" s="204"/>
      <c r="W2852" s="204"/>
      <c r="X2852" s="207"/>
      <c r="Y2852" s="207"/>
      <c r="Z2852" s="204"/>
      <c r="AA2852" s="204"/>
      <c r="AB2852" s="204"/>
      <c r="AC2852" s="204"/>
    </row>
    <row r="2853" spans="1:29">
      <c r="A2853" s="204"/>
      <c r="B2853" s="204"/>
      <c r="C2853" s="204"/>
      <c r="D2853" s="204"/>
      <c r="E2853" s="204"/>
      <c r="F2853" s="204"/>
      <c r="G2853" s="204"/>
      <c r="H2853" s="204"/>
      <c r="I2853" s="204"/>
      <c r="J2853" s="204"/>
      <c r="K2853" s="204"/>
      <c r="L2853" s="205"/>
      <c r="M2853" s="205"/>
      <c r="N2853" s="204"/>
      <c r="O2853" s="204"/>
      <c r="P2853" s="206"/>
      <c r="Q2853" s="206"/>
      <c r="R2853" s="206"/>
      <c r="S2853" s="206"/>
      <c r="T2853" s="204"/>
      <c r="U2853" s="207"/>
      <c r="V2853" s="204"/>
      <c r="W2853" s="204"/>
      <c r="X2853" s="207"/>
      <c r="Y2853" s="207"/>
      <c r="Z2853" s="204"/>
      <c r="AA2853" s="204"/>
      <c r="AB2853" s="204"/>
      <c r="AC2853" s="204"/>
    </row>
    <row r="2854" spans="1:29">
      <c r="A2854" s="204"/>
      <c r="B2854" s="204"/>
      <c r="C2854" s="204"/>
      <c r="D2854" s="204"/>
      <c r="E2854" s="204"/>
      <c r="F2854" s="204"/>
      <c r="G2854" s="204"/>
      <c r="H2854" s="204"/>
      <c r="I2854" s="204"/>
      <c r="J2854" s="204"/>
      <c r="K2854" s="204"/>
      <c r="L2854" s="205"/>
      <c r="M2854" s="205"/>
      <c r="N2854" s="204"/>
      <c r="O2854" s="204"/>
      <c r="P2854" s="206"/>
      <c r="Q2854" s="206"/>
      <c r="R2854" s="206"/>
      <c r="S2854" s="206"/>
      <c r="T2854" s="204"/>
      <c r="U2854" s="207"/>
      <c r="V2854" s="204"/>
      <c r="W2854" s="204"/>
      <c r="X2854" s="207"/>
      <c r="Y2854" s="207"/>
      <c r="Z2854" s="204"/>
      <c r="AA2854" s="204"/>
      <c r="AB2854" s="204"/>
      <c r="AC2854" s="204"/>
    </row>
    <row r="2855" spans="1:29">
      <c r="A2855" s="204"/>
      <c r="B2855" s="204"/>
      <c r="C2855" s="204"/>
      <c r="D2855" s="204"/>
      <c r="E2855" s="204"/>
      <c r="F2855" s="204"/>
      <c r="G2855" s="204"/>
      <c r="H2855" s="204"/>
      <c r="I2855" s="204"/>
      <c r="J2855" s="204"/>
      <c r="K2855" s="204"/>
      <c r="L2855" s="205"/>
      <c r="M2855" s="205"/>
      <c r="N2855" s="204"/>
      <c r="O2855" s="204"/>
      <c r="P2855" s="206"/>
      <c r="Q2855" s="206"/>
      <c r="R2855" s="206"/>
      <c r="S2855" s="206"/>
      <c r="T2855" s="204"/>
      <c r="U2855" s="207"/>
      <c r="V2855" s="204"/>
      <c r="W2855" s="204"/>
      <c r="X2855" s="207"/>
      <c r="Y2855" s="207"/>
      <c r="Z2855" s="204"/>
      <c r="AA2855" s="204"/>
      <c r="AB2855" s="204"/>
      <c r="AC2855" s="204"/>
    </row>
    <row r="2856" spans="1:29">
      <c r="A2856" s="204"/>
      <c r="B2856" s="204"/>
      <c r="C2856" s="204"/>
      <c r="D2856" s="204"/>
      <c r="E2856" s="204"/>
      <c r="F2856" s="204"/>
      <c r="G2856" s="204"/>
      <c r="H2856" s="204"/>
      <c r="I2856" s="204"/>
      <c r="J2856" s="204"/>
      <c r="K2856" s="204"/>
      <c r="L2856" s="205"/>
      <c r="M2856" s="205"/>
      <c r="N2856" s="204"/>
      <c r="O2856" s="204"/>
      <c r="P2856" s="206"/>
      <c r="Q2856" s="206"/>
      <c r="R2856" s="206"/>
      <c r="S2856" s="206"/>
      <c r="T2856" s="204"/>
      <c r="U2856" s="207"/>
      <c r="V2856" s="204"/>
      <c r="W2856" s="204"/>
      <c r="X2856" s="207"/>
      <c r="Y2856" s="207"/>
      <c r="Z2856" s="204"/>
      <c r="AA2856" s="204"/>
      <c r="AB2856" s="204"/>
      <c r="AC2856" s="204"/>
    </row>
    <row r="2857" spans="1:29">
      <c r="A2857" s="204"/>
      <c r="B2857" s="204"/>
      <c r="C2857" s="204"/>
      <c r="D2857" s="204"/>
      <c r="E2857" s="204"/>
      <c r="F2857" s="204"/>
      <c r="G2857" s="204"/>
      <c r="H2857" s="204"/>
      <c r="I2857" s="204"/>
      <c r="J2857" s="204"/>
      <c r="K2857" s="204"/>
      <c r="L2857" s="205"/>
      <c r="M2857" s="205"/>
      <c r="N2857" s="204"/>
      <c r="O2857" s="204"/>
      <c r="P2857" s="206"/>
      <c r="Q2857" s="206"/>
      <c r="R2857" s="206"/>
      <c r="S2857" s="206"/>
      <c r="T2857" s="204"/>
      <c r="U2857" s="207"/>
      <c r="V2857" s="204"/>
      <c r="W2857" s="204"/>
      <c r="X2857" s="207"/>
      <c r="Y2857" s="207"/>
      <c r="Z2857" s="204"/>
      <c r="AA2857" s="204"/>
      <c r="AB2857" s="204"/>
      <c r="AC2857" s="204"/>
    </row>
    <row r="2858" spans="1:29">
      <c r="A2858" s="204"/>
      <c r="B2858" s="204"/>
      <c r="C2858" s="204"/>
      <c r="D2858" s="204"/>
      <c r="E2858" s="204"/>
      <c r="F2858" s="204"/>
      <c r="G2858" s="204"/>
      <c r="H2858" s="204"/>
      <c r="I2858" s="204"/>
      <c r="J2858" s="204"/>
      <c r="K2858" s="204"/>
      <c r="L2858" s="205"/>
      <c r="M2858" s="205"/>
      <c r="N2858" s="204"/>
      <c r="O2858" s="204"/>
      <c r="P2858" s="206"/>
      <c r="Q2858" s="206"/>
      <c r="R2858" s="206"/>
      <c r="S2858" s="206"/>
      <c r="T2858" s="204"/>
      <c r="U2858" s="207"/>
      <c r="V2858" s="204"/>
      <c r="W2858" s="204"/>
      <c r="X2858" s="207"/>
      <c r="Y2858" s="207"/>
      <c r="Z2858" s="204"/>
      <c r="AA2858" s="204"/>
      <c r="AB2858" s="204"/>
      <c r="AC2858" s="204"/>
    </row>
    <row r="2859" spans="1:29">
      <c r="A2859" s="204"/>
      <c r="B2859" s="204"/>
      <c r="C2859" s="204"/>
      <c r="D2859" s="204"/>
      <c r="E2859" s="204"/>
      <c r="F2859" s="204"/>
      <c r="G2859" s="204"/>
      <c r="H2859" s="204"/>
      <c r="I2859" s="204"/>
      <c r="J2859" s="204"/>
      <c r="K2859" s="204"/>
      <c r="L2859" s="205"/>
      <c r="M2859" s="205"/>
      <c r="N2859" s="204"/>
      <c r="O2859" s="204"/>
      <c r="P2859" s="206"/>
      <c r="Q2859" s="206"/>
      <c r="R2859" s="206"/>
      <c r="S2859" s="206"/>
      <c r="T2859" s="204"/>
      <c r="U2859" s="207"/>
      <c r="V2859" s="204"/>
      <c r="W2859" s="204"/>
      <c r="X2859" s="207"/>
      <c r="Y2859" s="207"/>
      <c r="Z2859" s="204"/>
      <c r="AA2859" s="204"/>
      <c r="AB2859" s="204"/>
      <c r="AC2859" s="204"/>
    </row>
    <row r="2860" spans="1:29">
      <c r="A2860" s="204"/>
      <c r="B2860" s="204"/>
      <c r="C2860" s="204"/>
      <c r="D2860" s="204"/>
      <c r="E2860" s="204"/>
      <c r="F2860" s="204"/>
      <c r="G2860" s="204"/>
      <c r="H2860" s="204"/>
      <c r="I2860" s="204"/>
      <c r="J2860" s="204"/>
      <c r="K2860" s="204"/>
      <c r="L2860" s="205"/>
      <c r="M2860" s="205"/>
      <c r="N2860" s="204"/>
      <c r="O2860" s="204"/>
      <c r="P2860" s="206"/>
      <c r="Q2860" s="206"/>
      <c r="R2860" s="206"/>
      <c r="S2860" s="206"/>
      <c r="T2860" s="204"/>
      <c r="U2860" s="207"/>
      <c r="V2860" s="204"/>
      <c r="W2860" s="204"/>
      <c r="X2860" s="207"/>
      <c r="Y2860" s="207"/>
      <c r="Z2860" s="204"/>
      <c r="AA2860" s="204"/>
      <c r="AB2860" s="204"/>
      <c r="AC2860" s="204"/>
    </row>
    <row r="2861" spans="1:29">
      <c r="A2861" s="204"/>
      <c r="B2861" s="204"/>
      <c r="C2861" s="204"/>
      <c r="D2861" s="204"/>
      <c r="E2861" s="204"/>
      <c r="F2861" s="204"/>
      <c r="G2861" s="204"/>
      <c r="H2861" s="204"/>
      <c r="I2861" s="204"/>
      <c r="J2861" s="204"/>
      <c r="K2861" s="204"/>
      <c r="L2861" s="205"/>
      <c r="M2861" s="205"/>
      <c r="N2861" s="204"/>
      <c r="O2861" s="204"/>
      <c r="P2861" s="206"/>
      <c r="Q2861" s="206"/>
      <c r="R2861" s="206"/>
      <c r="S2861" s="206"/>
      <c r="T2861" s="204"/>
      <c r="U2861" s="207"/>
      <c r="V2861" s="204"/>
      <c r="W2861" s="204"/>
      <c r="X2861" s="207"/>
      <c r="Y2861" s="207"/>
      <c r="Z2861" s="204"/>
      <c r="AA2861" s="204"/>
      <c r="AB2861" s="204"/>
      <c r="AC2861" s="204"/>
    </row>
    <row r="2862" spans="1:29">
      <c r="A2862" s="204"/>
      <c r="B2862" s="204"/>
      <c r="C2862" s="204"/>
      <c r="D2862" s="204"/>
      <c r="E2862" s="204"/>
      <c r="F2862" s="204"/>
      <c r="G2862" s="204"/>
      <c r="H2862" s="204"/>
      <c r="I2862" s="204"/>
      <c r="J2862" s="204"/>
      <c r="K2862" s="204"/>
      <c r="L2862" s="205"/>
      <c r="M2862" s="205"/>
      <c r="N2862" s="204"/>
      <c r="O2862" s="204"/>
      <c r="P2862" s="206"/>
      <c r="Q2862" s="206"/>
      <c r="R2862" s="206"/>
      <c r="S2862" s="206"/>
      <c r="T2862" s="204"/>
      <c r="U2862" s="207"/>
      <c r="V2862" s="204"/>
      <c r="W2862" s="204"/>
      <c r="X2862" s="207"/>
      <c r="Y2862" s="207"/>
      <c r="Z2862" s="204"/>
      <c r="AA2862" s="204"/>
      <c r="AB2862" s="204"/>
      <c r="AC2862" s="204"/>
    </row>
    <row r="2863" spans="1:29">
      <c r="A2863" s="204"/>
      <c r="B2863" s="204"/>
      <c r="C2863" s="204"/>
      <c r="D2863" s="204"/>
      <c r="E2863" s="204"/>
      <c r="F2863" s="204"/>
      <c r="G2863" s="204"/>
      <c r="H2863" s="204"/>
      <c r="I2863" s="204"/>
      <c r="J2863" s="204"/>
      <c r="K2863" s="204"/>
      <c r="L2863" s="205"/>
      <c r="M2863" s="205"/>
      <c r="N2863" s="204"/>
      <c r="O2863" s="204"/>
      <c r="P2863" s="206"/>
      <c r="Q2863" s="206"/>
      <c r="R2863" s="206"/>
      <c r="S2863" s="206"/>
      <c r="T2863" s="204"/>
      <c r="U2863" s="207"/>
      <c r="V2863" s="204"/>
      <c r="W2863" s="204"/>
      <c r="X2863" s="207"/>
      <c r="Y2863" s="207"/>
      <c r="Z2863" s="204"/>
      <c r="AA2863" s="204"/>
      <c r="AB2863" s="204"/>
      <c r="AC2863" s="204"/>
    </row>
    <row r="2864" spans="1:29">
      <c r="A2864" s="204"/>
      <c r="B2864" s="204"/>
      <c r="C2864" s="204"/>
      <c r="D2864" s="204"/>
      <c r="E2864" s="204"/>
      <c r="F2864" s="204"/>
      <c r="G2864" s="204"/>
      <c r="H2864" s="204"/>
      <c r="I2864" s="204"/>
      <c r="J2864" s="204"/>
      <c r="K2864" s="204"/>
      <c r="L2864" s="205"/>
      <c r="M2864" s="205"/>
      <c r="N2864" s="204"/>
      <c r="O2864" s="204"/>
      <c r="P2864" s="206"/>
      <c r="Q2864" s="206"/>
      <c r="R2864" s="206"/>
      <c r="S2864" s="206"/>
      <c r="T2864" s="204"/>
      <c r="U2864" s="207"/>
      <c r="V2864" s="204"/>
      <c r="W2864" s="204"/>
      <c r="X2864" s="207"/>
      <c r="Y2864" s="207"/>
      <c r="Z2864" s="204"/>
      <c r="AA2864" s="204"/>
      <c r="AB2864" s="204"/>
      <c r="AC2864" s="204"/>
    </row>
    <row r="2865" spans="1:29">
      <c r="A2865" s="204"/>
      <c r="B2865" s="204"/>
      <c r="C2865" s="204"/>
      <c r="D2865" s="204"/>
      <c r="E2865" s="204"/>
      <c r="F2865" s="204"/>
      <c r="G2865" s="204"/>
      <c r="H2865" s="204"/>
      <c r="I2865" s="204"/>
      <c r="J2865" s="204"/>
      <c r="K2865" s="204"/>
      <c r="L2865" s="205"/>
      <c r="M2865" s="205"/>
      <c r="N2865" s="204"/>
      <c r="O2865" s="204"/>
      <c r="P2865" s="206"/>
      <c r="Q2865" s="206"/>
      <c r="R2865" s="206"/>
      <c r="S2865" s="206"/>
      <c r="T2865" s="204"/>
      <c r="U2865" s="207"/>
      <c r="V2865" s="204"/>
      <c r="W2865" s="204"/>
      <c r="X2865" s="207"/>
      <c r="Y2865" s="207"/>
      <c r="Z2865" s="204"/>
      <c r="AA2865" s="204"/>
      <c r="AB2865" s="204"/>
      <c r="AC2865" s="204"/>
    </row>
    <row r="2866" spans="1:29">
      <c r="A2866" s="204"/>
      <c r="B2866" s="204"/>
      <c r="C2866" s="204"/>
      <c r="D2866" s="204"/>
      <c r="E2866" s="204"/>
      <c r="F2866" s="204"/>
      <c r="G2866" s="204"/>
      <c r="H2866" s="204"/>
      <c r="I2866" s="204"/>
      <c r="J2866" s="204"/>
      <c r="K2866" s="204"/>
      <c r="L2866" s="205"/>
      <c r="M2866" s="205"/>
      <c r="N2866" s="204"/>
      <c r="O2866" s="204"/>
      <c r="P2866" s="206"/>
      <c r="Q2866" s="206"/>
      <c r="R2866" s="206"/>
      <c r="S2866" s="206"/>
      <c r="T2866" s="204"/>
      <c r="U2866" s="207"/>
      <c r="V2866" s="204"/>
      <c r="W2866" s="204"/>
      <c r="X2866" s="207"/>
      <c r="Y2866" s="207"/>
      <c r="Z2866" s="204"/>
      <c r="AA2866" s="204"/>
      <c r="AB2866" s="204"/>
      <c r="AC2866" s="204"/>
    </row>
    <row r="2867" spans="1:29">
      <c r="A2867" s="204"/>
      <c r="B2867" s="204"/>
      <c r="C2867" s="204"/>
      <c r="D2867" s="204"/>
      <c r="E2867" s="204"/>
      <c r="F2867" s="204"/>
      <c r="G2867" s="204"/>
      <c r="H2867" s="204"/>
      <c r="I2867" s="204"/>
      <c r="J2867" s="204"/>
      <c r="K2867" s="204"/>
      <c r="L2867" s="205"/>
      <c r="M2867" s="205"/>
      <c r="N2867" s="204"/>
      <c r="O2867" s="204"/>
      <c r="P2867" s="206"/>
      <c r="Q2867" s="206"/>
      <c r="R2867" s="206"/>
      <c r="S2867" s="206"/>
      <c r="T2867" s="204"/>
      <c r="U2867" s="207"/>
      <c r="V2867" s="204"/>
      <c r="W2867" s="204"/>
      <c r="X2867" s="207"/>
      <c r="Y2867" s="207"/>
      <c r="Z2867" s="204"/>
      <c r="AA2867" s="204"/>
      <c r="AB2867" s="204"/>
      <c r="AC2867" s="204"/>
    </row>
    <row r="2868" spans="1:29">
      <c r="A2868" s="204"/>
      <c r="B2868" s="204"/>
      <c r="C2868" s="204"/>
      <c r="D2868" s="204"/>
      <c r="E2868" s="204"/>
      <c r="F2868" s="204"/>
      <c r="G2868" s="204"/>
      <c r="H2868" s="204"/>
      <c r="I2868" s="204"/>
      <c r="J2868" s="204"/>
      <c r="K2868" s="204"/>
      <c r="L2868" s="205"/>
      <c r="M2868" s="205"/>
      <c r="N2868" s="204"/>
      <c r="O2868" s="204"/>
      <c r="P2868" s="206"/>
      <c r="Q2868" s="206"/>
      <c r="R2868" s="206"/>
      <c r="S2868" s="206"/>
      <c r="T2868" s="204"/>
      <c r="U2868" s="207"/>
      <c r="V2868" s="204"/>
      <c r="W2868" s="204"/>
      <c r="X2868" s="207"/>
      <c r="Y2868" s="207"/>
      <c r="Z2868" s="204"/>
      <c r="AA2868" s="204"/>
      <c r="AB2868" s="204"/>
      <c r="AC2868" s="204"/>
    </row>
    <row r="2869" spans="1:29">
      <c r="A2869" s="204"/>
      <c r="B2869" s="204"/>
      <c r="C2869" s="204"/>
      <c r="D2869" s="204"/>
      <c r="E2869" s="204"/>
      <c r="F2869" s="204"/>
      <c r="G2869" s="204"/>
      <c r="H2869" s="204"/>
      <c r="I2869" s="204"/>
      <c r="J2869" s="204"/>
      <c r="K2869" s="204"/>
      <c r="L2869" s="205"/>
      <c r="M2869" s="205"/>
      <c r="N2869" s="204"/>
      <c r="O2869" s="204"/>
      <c r="P2869" s="206"/>
      <c r="Q2869" s="206"/>
      <c r="R2869" s="206"/>
      <c r="S2869" s="206"/>
      <c r="T2869" s="204"/>
      <c r="U2869" s="207"/>
      <c r="V2869" s="204"/>
      <c r="W2869" s="204"/>
      <c r="X2869" s="207"/>
      <c r="Y2869" s="207"/>
      <c r="Z2869" s="204"/>
      <c r="AA2869" s="204"/>
      <c r="AB2869" s="204"/>
      <c r="AC2869" s="204"/>
    </row>
    <row r="2870" spans="1:29">
      <c r="A2870" s="204"/>
      <c r="B2870" s="204"/>
      <c r="C2870" s="204"/>
      <c r="D2870" s="204"/>
      <c r="E2870" s="204"/>
      <c r="F2870" s="204"/>
      <c r="G2870" s="204"/>
      <c r="H2870" s="204"/>
      <c r="I2870" s="204"/>
      <c r="J2870" s="204"/>
      <c r="K2870" s="204"/>
      <c r="L2870" s="205"/>
      <c r="M2870" s="205"/>
      <c r="N2870" s="204"/>
      <c r="O2870" s="204"/>
      <c r="P2870" s="206"/>
      <c r="Q2870" s="206"/>
      <c r="R2870" s="206"/>
      <c r="S2870" s="206"/>
      <c r="T2870" s="204"/>
      <c r="U2870" s="207"/>
      <c r="V2870" s="204"/>
      <c r="W2870" s="204"/>
      <c r="X2870" s="207"/>
      <c r="Y2870" s="207"/>
      <c r="Z2870" s="204"/>
      <c r="AA2870" s="204"/>
      <c r="AB2870" s="204"/>
      <c r="AC2870" s="204"/>
    </row>
    <row r="2871" spans="1:29">
      <c r="A2871" s="204"/>
      <c r="B2871" s="204"/>
      <c r="C2871" s="204"/>
      <c r="D2871" s="204"/>
      <c r="E2871" s="204"/>
      <c r="F2871" s="204"/>
      <c r="G2871" s="204"/>
      <c r="H2871" s="204"/>
      <c r="I2871" s="204"/>
      <c r="J2871" s="204"/>
      <c r="K2871" s="204"/>
      <c r="L2871" s="205"/>
      <c r="M2871" s="205"/>
      <c r="N2871" s="204"/>
      <c r="O2871" s="204"/>
      <c r="P2871" s="206"/>
      <c r="Q2871" s="206"/>
      <c r="R2871" s="206"/>
      <c r="S2871" s="206"/>
      <c r="T2871" s="204"/>
      <c r="U2871" s="207"/>
      <c r="V2871" s="204"/>
      <c r="W2871" s="204"/>
      <c r="X2871" s="207"/>
      <c r="Y2871" s="207"/>
      <c r="Z2871" s="204"/>
      <c r="AA2871" s="204"/>
      <c r="AB2871" s="204"/>
      <c r="AC2871" s="204"/>
    </row>
    <row r="2872" spans="1:29">
      <c r="A2872" s="204"/>
      <c r="B2872" s="204"/>
      <c r="C2872" s="204"/>
      <c r="D2872" s="204"/>
      <c r="E2872" s="204"/>
      <c r="F2872" s="204"/>
      <c r="G2872" s="204"/>
      <c r="H2872" s="204"/>
      <c r="I2872" s="204"/>
      <c r="J2872" s="204"/>
      <c r="K2872" s="204"/>
      <c r="L2872" s="205"/>
      <c r="M2872" s="205"/>
      <c r="N2872" s="204"/>
      <c r="O2872" s="204"/>
      <c r="P2872" s="206"/>
      <c r="Q2872" s="206"/>
      <c r="R2872" s="206"/>
      <c r="S2872" s="206"/>
      <c r="T2872" s="204"/>
      <c r="U2872" s="207"/>
      <c r="V2872" s="204"/>
      <c r="W2872" s="204"/>
      <c r="X2872" s="207"/>
      <c r="Y2872" s="207"/>
      <c r="Z2872" s="204"/>
      <c r="AA2872" s="204"/>
      <c r="AB2872" s="204"/>
      <c r="AC2872" s="204"/>
    </row>
    <row r="2873" spans="1:29">
      <c r="A2873" s="204"/>
      <c r="B2873" s="204"/>
      <c r="C2873" s="204"/>
      <c r="D2873" s="204"/>
      <c r="E2873" s="204"/>
      <c r="F2873" s="204"/>
      <c r="G2873" s="204"/>
      <c r="H2873" s="204"/>
      <c r="I2873" s="204"/>
      <c r="J2873" s="204"/>
      <c r="K2873" s="204"/>
      <c r="L2873" s="205"/>
      <c r="M2873" s="205"/>
      <c r="N2873" s="204"/>
      <c r="O2873" s="204"/>
      <c r="P2873" s="206"/>
      <c r="Q2873" s="206"/>
      <c r="R2873" s="206"/>
      <c r="S2873" s="206"/>
      <c r="T2873" s="204"/>
      <c r="U2873" s="207"/>
      <c r="V2873" s="204"/>
      <c r="W2873" s="204"/>
      <c r="X2873" s="207"/>
      <c r="Y2873" s="207"/>
      <c r="Z2873" s="204"/>
      <c r="AA2873" s="204"/>
      <c r="AB2873" s="204"/>
      <c r="AC2873" s="204"/>
    </row>
    <row r="2874" spans="1:29">
      <c r="A2874" s="204"/>
      <c r="B2874" s="204"/>
      <c r="C2874" s="204"/>
      <c r="D2874" s="204"/>
      <c r="E2874" s="204"/>
      <c r="F2874" s="204"/>
      <c r="G2874" s="204"/>
      <c r="H2874" s="204"/>
      <c r="I2874" s="204"/>
      <c r="J2874" s="204"/>
      <c r="K2874" s="204"/>
      <c r="L2874" s="205"/>
      <c r="M2874" s="205"/>
      <c r="N2874" s="204"/>
      <c r="O2874" s="204"/>
      <c r="P2874" s="206"/>
      <c r="Q2874" s="206"/>
      <c r="R2874" s="206"/>
      <c r="S2874" s="206"/>
      <c r="T2874" s="204"/>
      <c r="U2874" s="207"/>
      <c r="V2874" s="204"/>
      <c r="W2874" s="204"/>
      <c r="X2874" s="207"/>
      <c r="Y2874" s="207"/>
      <c r="Z2874" s="204"/>
      <c r="AA2874" s="204"/>
      <c r="AB2874" s="204"/>
      <c r="AC2874" s="204"/>
    </row>
    <row r="2875" spans="1:29">
      <c r="A2875" s="204"/>
      <c r="B2875" s="204"/>
      <c r="C2875" s="204"/>
      <c r="D2875" s="204"/>
      <c r="E2875" s="204"/>
      <c r="F2875" s="204"/>
      <c r="G2875" s="204"/>
      <c r="H2875" s="204"/>
      <c r="I2875" s="204"/>
      <c r="J2875" s="204"/>
      <c r="K2875" s="204"/>
      <c r="L2875" s="205"/>
      <c r="M2875" s="205"/>
      <c r="N2875" s="204"/>
      <c r="O2875" s="204"/>
      <c r="P2875" s="206"/>
      <c r="Q2875" s="206"/>
      <c r="R2875" s="206"/>
      <c r="S2875" s="206"/>
      <c r="T2875" s="204"/>
      <c r="U2875" s="207"/>
      <c r="V2875" s="204"/>
      <c r="W2875" s="204"/>
      <c r="X2875" s="207"/>
      <c r="Y2875" s="207"/>
      <c r="Z2875" s="204"/>
      <c r="AA2875" s="204"/>
      <c r="AB2875" s="204"/>
      <c r="AC2875" s="204"/>
    </row>
    <row r="2876" spans="1:29">
      <c r="A2876" s="204"/>
      <c r="B2876" s="204"/>
      <c r="C2876" s="204"/>
      <c r="D2876" s="204"/>
      <c r="E2876" s="204"/>
      <c r="F2876" s="204"/>
      <c r="G2876" s="204"/>
      <c r="H2876" s="204"/>
      <c r="I2876" s="204"/>
      <c r="J2876" s="204"/>
      <c r="K2876" s="204"/>
      <c r="L2876" s="205"/>
      <c r="M2876" s="205"/>
      <c r="N2876" s="204"/>
      <c r="O2876" s="204"/>
      <c r="P2876" s="206"/>
      <c r="Q2876" s="206"/>
      <c r="R2876" s="206"/>
      <c r="S2876" s="206"/>
      <c r="T2876" s="204"/>
      <c r="U2876" s="207"/>
      <c r="V2876" s="204"/>
      <c r="W2876" s="204"/>
      <c r="X2876" s="207"/>
      <c r="Y2876" s="207"/>
      <c r="Z2876" s="204"/>
      <c r="AA2876" s="204"/>
      <c r="AB2876" s="204"/>
      <c r="AC2876" s="204"/>
    </row>
    <row r="2877" spans="1:29">
      <c r="A2877" s="204"/>
      <c r="B2877" s="204"/>
      <c r="C2877" s="204"/>
      <c r="D2877" s="204"/>
      <c r="E2877" s="204"/>
      <c r="F2877" s="204"/>
      <c r="G2877" s="204"/>
      <c r="H2877" s="204"/>
      <c r="I2877" s="204"/>
      <c r="J2877" s="204"/>
      <c r="K2877" s="204"/>
      <c r="L2877" s="205"/>
      <c r="M2877" s="205"/>
      <c r="N2877" s="204"/>
      <c r="O2877" s="204"/>
      <c r="P2877" s="206"/>
      <c r="Q2877" s="206"/>
      <c r="R2877" s="206"/>
      <c r="S2877" s="206"/>
      <c r="T2877" s="204"/>
      <c r="U2877" s="207"/>
      <c r="V2877" s="204"/>
      <c r="W2877" s="204"/>
      <c r="X2877" s="207"/>
      <c r="Y2877" s="207"/>
      <c r="Z2877" s="204"/>
      <c r="AA2877" s="204"/>
      <c r="AB2877" s="204"/>
      <c r="AC2877" s="204"/>
    </row>
    <row r="2878" spans="1:29">
      <c r="A2878" s="204"/>
      <c r="B2878" s="204"/>
      <c r="C2878" s="204"/>
      <c r="D2878" s="204"/>
      <c r="E2878" s="204"/>
      <c r="F2878" s="204"/>
      <c r="G2878" s="204"/>
      <c r="H2878" s="204"/>
      <c r="I2878" s="204"/>
      <c r="J2878" s="204"/>
      <c r="K2878" s="204"/>
      <c r="L2878" s="205"/>
      <c r="M2878" s="205"/>
      <c r="N2878" s="204"/>
      <c r="O2878" s="204"/>
      <c r="P2878" s="206"/>
      <c r="Q2878" s="206"/>
      <c r="R2878" s="206"/>
      <c r="S2878" s="206"/>
      <c r="T2878" s="204"/>
      <c r="U2878" s="207"/>
      <c r="V2878" s="204"/>
      <c r="W2878" s="204"/>
      <c r="X2878" s="207"/>
      <c r="Y2878" s="207"/>
      <c r="Z2878" s="204"/>
      <c r="AA2878" s="204"/>
      <c r="AB2878" s="204"/>
      <c r="AC2878" s="204"/>
    </row>
    <row r="2879" spans="1:29">
      <c r="A2879" s="204"/>
      <c r="B2879" s="204"/>
      <c r="C2879" s="204"/>
      <c r="D2879" s="204"/>
      <c r="E2879" s="204"/>
      <c r="F2879" s="204"/>
      <c r="G2879" s="204"/>
      <c r="H2879" s="204"/>
      <c r="I2879" s="204"/>
      <c r="J2879" s="204"/>
      <c r="K2879" s="204"/>
      <c r="L2879" s="205"/>
      <c r="M2879" s="205"/>
      <c r="N2879" s="204"/>
      <c r="O2879" s="204"/>
      <c r="P2879" s="206"/>
      <c r="Q2879" s="206"/>
      <c r="R2879" s="206"/>
      <c r="S2879" s="206"/>
      <c r="T2879" s="204"/>
      <c r="U2879" s="207"/>
      <c r="V2879" s="204"/>
      <c r="W2879" s="204"/>
      <c r="X2879" s="207"/>
      <c r="Y2879" s="207"/>
      <c r="Z2879" s="204"/>
      <c r="AA2879" s="204"/>
      <c r="AB2879" s="204"/>
      <c r="AC2879" s="204"/>
    </row>
    <row r="2880" spans="1:29">
      <c r="A2880" s="204"/>
      <c r="B2880" s="204"/>
      <c r="C2880" s="204"/>
      <c r="D2880" s="204"/>
      <c r="E2880" s="204"/>
      <c r="F2880" s="204"/>
      <c r="G2880" s="204"/>
      <c r="H2880" s="204"/>
      <c r="I2880" s="204"/>
      <c r="J2880" s="204"/>
      <c r="K2880" s="204"/>
      <c r="L2880" s="205"/>
      <c r="M2880" s="205"/>
      <c r="N2880" s="204"/>
      <c r="O2880" s="204"/>
      <c r="P2880" s="206"/>
      <c r="Q2880" s="206"/>
      <c r="R2880" s="206"/>
      <c r="S2880" s="206"/>
      <c r="T2880" s="204"/>
      <c r="U2880" s="207"/>
      <c r="V2880" s="204"/>
      <c r="W2880" s="204"/>
      <c r="X2880" s="207"/>
      <c r="Y2880" s="207"/>
      <c r="Z2880" s="204"/>
      <c r="AA2880" s="204"/>
      <c r="AB2880" s="204"/>
      <c r="AC2880" s="204"/>
    </row>
    <row r="2881" spans="1:29">
      <c r="A2881" s="204"/>
      <c r="B2881" s="204"/>
      <c r="C2881" s="204"/>
      <c r="D2881" s="204"/>
      <c r="E2881" s="204"/>
      <c r="F2881" s="204"/>
      <c r="G2881" s="204"/>
      <c r="H2881" s="204"/>
      <c r="I2881" s="204"/>
      <c r="J2881" s="204"/>
      <c r="K2881" s="204"/>
      <c r="L2881" s="205"/>
      <c r="M2881" s="205"/>
      <c r="N2881" s="204"/>
      <c r="O2881" s="204"/>
      <c r="P2881" s="206"/>
      <c r="Q2881" s="206"/>
      <c r="R2881" s="206"/>
      <c r="S2881" s="206"/>
      <c r="T2881" s="204"/>
      <c r="U2881" s="207"/>
      <c r="V2881" s="204"/>
      <c r="W2881" s="204"/>
      <c r="X2881" s="207"/>
      <c r="Y2881" s="207"/>
      <c r="Z2881" s="204"/>
      <c r="AA2881" s="204"/>
      <c r="AB2881" s="204"/>
      <c r="AC2881" s="204"/>
    </row>
    <row r="2882" spans="1:29">
      <c r="A2882" s="204"/>
      <c r="B2882" s="204"/>
      <c r="C2882" s="204"/>
      <c r="D2882" s="204"/>
      <c r="E2882" s="204"/>
      <c r="F2882" s="204"/>
      <c r="G2882" s="204"/>
      <c r="H2882" s="204"/>
      <c r="I2882" s="204"/>
      <c r="J2882" s="204"/>
      <c r="K2882" s="204"/>
      <c r="L2882" s="205"/>
      <c r="M2882" s="205"/>
      <c r="N2882" s="204"/>
      <c r="O2882" s="204"/>
      <c r="P2882" s="206"/>
      <c r="Q2882" s="206"/>
      <c r="R2882" s="206"/>
      <c r="S2882" s="206"/>
      <c r="T2882" s="204"/>
      <c r="U2882" s="207"/>
      <c r="V2882" s="204"/>
      <c r="W2882" s="204"/>
      <c r="X2882" s="207"/>
      <c r="Y2882" s="207"/>
      <c r="Z2882" s="204"/>
      <c r="AA2882" s="204"/>
      <c r="AB2882" s="204"/>
      <c r="AC2882" s="204"/>
    </row>
    <row r="2883" spans="1:29">
      <c r="A2883" s="204"/>
      <c r="B2883" s="204"/>
      <c r="C2883" s="204"/>
      <c r="D2883" s="204"/>
      <c r="E2883" s="204"/>
      <c r="F2883" s="204"/>
      <c r="G2883" s="204"/>
      <c r="H2883" s="204"/>
      <c r="I2883" s="204"/>
      <c r="J2883" s="204"/>
      <c r="K2883" s="204"/>
      <c r="L2883" s="205"/>
      <c r="M2883" s="205"/>
      <c r="N2883" s="204"/>
      <c r="O2883" s="204"/>
      <c r="P2883" s="206"/>
      <c r="Q2883" s="206"/>
      <c r="R2883" s="206"/>
      <c r="S2883" s="206"/>
      <c r="T2883" s="204"/>
      <c r="U2883" s="207"/>
      <c r="V2883" s="204"/>
      <c r="W2883" s="204"/>
      <c r="X2883" s="207"/>
      <c r="Y2883" s="207"/>
      <c r="Z2883" s="204"/>
      <c r="AA2883" s="204"/>
      <c r="AB2883" s="204"/>
      <c r="AC2883" s="204"/>
    </row>
    <row r="2884" spans="1:29">
      <c r="A2884" s="204"/>
      <c r="B2884" s="204"/>
      <c r="C2884" s="204"/>
      <c r="D2884" s="204"/>
      <c r="E2884" s="204"/>
      <c r="F2884" s="204"/>
      <c r="G2884" s="204"/>
      <c r="H2884" s="204"/>
      <c r="I2884" s="204"/>
      <c r="J2884" s="204"/>
      <c r="K2884" s="204"/>
      <c r="L2884" s="205"/>
      <c r="M2884" s="205"/>
      <c r="N2884" s="204"/>
      <c r="O2884" s="204"/>
      <c r="P2884" s="206"/>
      <c r="Q2884" s="206"/>
      <c r="R2884" s="206"/>
      <c r="S2884" s="206"/>
      <c r="T2884" s="204"/>
      <c r="U2884" s="207"/>
      <c r="V2884" s="204"/>
      <c r="W2884" s="204"/>
      <c r="X2884" s="207"/>
      <c r="Y2884" s="207"/>
      <c r="Z2884" s="204"/>
      <c r="AA2884" s="204"/>
      <c r="AB2884" s="204"/>
      <c r="AC2884" s="204"/>
    </row>
    <row r="2885" spans="1:29">
      <c r="A2885" s="204"/>
      <c r="B2885" s="204"/>
      <c r="C2885" s="204"/>
      <c r="D2885" s="204"/>
      <c r="E2885" s="204"/>
      <c r="F2885" s="204"/>
      <c r="G2885" s="204"/>
      <c r="H2885" s="204"/>
      <c r="I2885" s="204"/>
      <c r="J2885" s="204"/>
      <c r="K2885" s="204"/>
      <c r="L2885" s="205"/>
      <c r="M2885" s="205"/>
      <c r="N2885" s="204"/>
      <c r="O2885" s="204"/>
      <c r="P2885" s="206"/>
      <c r="Q2885" s="206"/>
      <c r="R2885" s="206"/>
      <c r="S2885" s="206"/>
      <c r="T2885" s="204"/>
      <c r="U2885" s="207"/>
      <c r="V2885" s="204"/>
      <c r="W2885" s="204"/>
      <c r="X2885" s="207"/>
      <c r="Y2885" s="207"/>
      <c r="Z2885" s="204"/>
      <c r="AA2885" s="204"/>
      <c r="AB2885" s="204"/>
      <c r="AC2885" s="204"/>
    </row>
    <row r="2886" spans="1:29">
      <c r="A2886" s="204"/>
      <c r="B2886" s="204"/>
      <c r="C2886" s="204"/>
      <c r="D2886" s="204"/>
      <c r="E2886" s="204"/>
      <c r="F2886" s="204"/>
      <c r="G2886" s="204"/>
      <c r="H2886" s="204"/>
      <c r="I2886" s="204"/>
      <c r="J2886" s="204"/>
      <c r="K2886" s="204"/>
      <c r="L2886" s="205"/>
      <c r="M2886" s="205"/>
      <c r="N2886" s="204"/>
      <c r="O2886" s="204"/>
      <c r="P2886" s="206"/>
      <c r="Q2886" s="206"/>
      <c r="R2886" s="206"/>
      <c r="S2886" s="206"/>
      <c r="T2886" s="204"/>
      <c r="U2886" s="207"/>
      <c r="V2886" s="204"/>
      <c r="W2886" s="204"/>
      <c r="X2886" s="207"/>
      <c r="Y2886" s="207"/>
      <c r="Z2886" s="204"/>
      <c r="AA2886" s="204"/>
      <c r="AB2886" s="204"/>
      <c r="AC2886" s="204"/>
    </row>
    <row r="2887" spans="1:29">
      <c r="A2887" s="204"/>
      <c r="B2887" s="204"/>
      <c r="C2887" s="204"/>
      <c r="D2887" s="204"/>
      <c r="E2887" s="204"/>
      <c r="F2887" s="204"/>
      <c r="G2887" s="204"/>
      <c r="H2887" s="204"/>
      <c r="I2887" s="204"/>
      <c r="J2887" s="204"/>
      <c r="K2887" s="204"/>
      <c r="L2887" s="205"/>
      <c r="M2887" s="205"/>
      <c r="N2887" s="204"/>
      <c r="O2887" s="204"/>
      <c r="P2887" s="206"/>
      <c r="Q2887" s="206"/>
      <c r="R2887" s="206"/>
      <c r="S2887" s="206"/>
      <c r="T2887" s="204"/>
      <c r="U2887" s="207"/>
      <c r="V2887" s="204"/>
      <c r="W2887" s="204"/>
      <c r="X2887" s="207"/>
      <c r="Y2887" s="207"/>
      <c r="Z2887" s="204"/>
      <c r="AA2887" s="204"/>
      <c r="AB2887" s="204"/>
      <c r="AC2887" s="204"/>
    </row>
    <row r="2888" spans="1:29">
      <c r="A2888" s="204"/>
      <c r="B2888" s="204"/>
      <c r="C2888" s="204"/>
      <c r="D2888" s="204"/>
      <c r="E2888" s="204"/>
      <c r="F2888" s="204"/>
      <c r="G2888" s="204"/>
      <c r="H2888" s="204"/>
      <c r="I2888" s="204"/>
      <c r="J2888" s="204"/>
      <c r="K2888" s="204"/>
      <c r="L2888" s="205"/>
      <c r="M2888" s="205"/>
      <c r="N2888" s="204"/>
      <c r="O2888" s="204"/>
      <c r="P2888" s="206"/>
      <c r="Q2888" s="206"/>
      <c r="R2888" s="206"/>
      <c r="S2888" s="206"/>
      <c r="T2888" s="204"/>
      <c r="U2888" s="207"/>
      <c r="V2888" s="204"/>
      <c r="W2888" s="204"/>
      <c r="X2888" s="207"/>
      <c r="Y2888" s="207"/>
      <c r="Z2888" s="204"/>
      <c r="AA2888" s="204"/>
      <c r="AB2888" s="204"/>
      <c r="AC2888" s="204"/>
    </row>
    <row r="2889" spans="1:29">
      <c r="A2889" s="204"/>
      <c r="B2889" s="204"/>
      <c r="C2889" s="204"/>
      <c r="D2889" s="204"/>
      <c r="E2889" s="204"/>
      <c r="F2889" s="204"/>
      <c r="G2889" s="204"/>
      <c r="H2889" s="204"/>
      <c r="I2889" s="204"/>
      <c r="J2889" s="204"/>
      <c r="K2889" s="204"/>
      <c r="L2889" s="205"/>
      <c r="M2889" s="205"/>
      <c r="N2889" s="204"/>
      <c r="O2889" s="204"/>
      <c r="P2889" s="206"/>
      <c r="Q2889" s="206"/>
      <c r="R2889" s="206"/>
      <c r="S2889" s="206"/>
      <c r="T2889" s="204"/>
      <c r="U2889" s="207"/>
      <c r="V2889" s="204"/>
      <c r="W2889" s="204"/>
      <c r="X2889" s="207"/>
      <c r="Y2889" s="207"/>
      <c r="Z2889" s="204"/>
      <c r="AA2889" s="204"/>
      <c r="AB2889" s="204"/>
      <c r="AC2889" s="204"/>
    </row>
    <row r="2890" spans="1:29">
      <c r="A2890" s="204"/>
      <c r="B2890" s="204"/>
      <c r="C2890" s="204"/>
      <c r="D2890" s="204"/>
      <c r="E2890" s="204"/>
      <c r="F2890" s="204"/>
      <c r="G2890" s="204"/>
      <c r="H2890" s="204"/>
      <c r="I2890" s="204"/>
      <c r="J2890" s="204"/>
      <c r="K2890" s="204"/>
      <c r="L2890" s="205"/>
      <c r="M2890" s="205"/>
      <c r="N2890" s="204"/>
      <c r="O2890" s="204"/>
      <c r="P2890" s="206"/>
      <c r="Q2890" s="206"/>
      <c r="R2890" s="206"/>
      <c r="S2890" s="206"/>
      <c r="T2890" s="204"/>
      <c r="U2890" s="207"/>
      <c r="V2890" s="204"/>
      <c r="W2890" s="204"/>
      <c r="X2890" s="207"/>
      <c r="Y2890" s="207"/>
      <c r="Z2890" s="204"/>
      <c r="AA2890" s="204"/>
      <c r="AB2890" s="204"/>
      <c r="AC2890" s="204"/>
    </row>
    <row r="2891" spans="1:29">
      <c r="A2891" s="204"/>
      <c r="B2891" s="204"/>
      <c r="C2891" s="204"/>
      <c r="D2891" s="204"/>
      <c r="E2891" s="204"/>
      <c r="F2891" s="204"/>
      <c r="G2891" s="204"/>
      <c r="H2891" s="204"/>
      <c r="I2891" s="204"/>
      <c r="J2891" s="204"/>
      <c r="K2891" s="204"/>
      <c r="L2891" s="205"/>
      <c r="M2891" s="205"/>
      <c r="N2891" s="204"/>
      <c r="O2891" s="204"/>
      <c r="P2891" s="206"/>
      <c r="Q2891" s="206"/>
      <c r="R2891" s="206"/>
      <c r="S2891" s="206"/>
      <c r="T2891" s="204"/>
      <c r="U2891" s="207"/>
      <c r="V2891" s="204"/>
      <c r="W2891" s="204"/>
      <c r="X2891" s="207"/>
      <c r="Y2891" s="207"/>
      <c r="Z2891" s="204"/>
      <c r="AA2891" s="204"/>
      <c r="AB2891" s="204"/>
      <c r="AC2891" s="204"/>
    </row>
    <row r="2892" spans="1:29">
      <c r="A2892" s="204"/>
      <c r="B2892" s="204"/>
      <c r="C2892" s="204"/>
      <c r="D2892" s="204"/>
      <c r="E2892" s="204"/>
      <c r="F2892" s="204"/>
      <c r="G2892" s="204"/>
      <c r="H2892" s="204"/>
      <c r="I2892" s="204"/>
      <c r="J2892" s="204"/>
      <c r="K2892" s="204"/>
      <c r="L2892" s="205"/>
      <c r="M2892" s="205"/>
      <c r="N2892" s="204"/>
      <c r="O2892" s="204"/>
      <c r="P2892" s="206"/>
      <c r="Q2892" s="206"/>
      <c r="R2892" s="206"/>
      <c r="S2892" s="206"/>
      <c r="T2892" s="204"/>
      <c r="U2892" s="207"/>
      <c r="V2892" s="204"/>
      <c r="W2892" s="204"/>
      <c r="X2892" s="207"/>
      <c r="Y2892" s="207"/>
      <c r="Z2892" s="204"/>
      <c r="AA2892" s="204"/>
      <c r="AB2892" s="204"/>
      <c r="AC2892" s="204"/>
    </row>
    <row r="2893" spans="1:29">
      <c r="A2893" s="204"/>
      <c r="B2893" s="204"/>
      <c r="C2893" s="204"/>
      <c r="D2893" s="204"/>
      <c r="E2893" s="204"/>
      <c r="F2893" s="204"/>
      <c r="G2893" s="204"/>
      <c r="H2893" s="204"/>
      <c r="I2893" s="204"/>
      <c r="J2893" s="204"/>
      <c r="K2893" s="204"/>
      <c r="L2893" s="205"/>
      <c r="M2893" s="205"/>
      <c r="N2893" s="204"/>
      <c r="O2893" s="204"/>
      <c r="P2893" s="206"/>
      <c r="Q2893" s="206"/>
      <c r="R2893" s="206"/>
      <c r="S2893" s="206"/>
      <c r="T2893" s="204"/>
      <c r="U2893" s="207"/>
      <c r="V2893" s="204"/>
      <c r="W2893" s="204"/>
      <c r="X2893" s="207"/>
      <c r="Y2893" s="207"/>
      <c r="Z2893" s="204"/>
      <c r="AA2893" s="204"/>
      <c r="AB2893" s="204"/>
      <c r="AC2893" s="204"/>
    </row>
    <row r="2894" spans="1:29">
      <c r="A2894" s="204"/>
      <c r="B2894" s="204"/>
      <c r="C2894" s="204"/>
      <c r="D2894" s="204"/>
      <c r="E2894" s="204"/>
      <c r="F2894" s="204"/>
      <c r="G2894" s="204"/>
      <c r="H2894" s="204"/>
      <c r="I2894" s="204"/>
      <c r="J2894" s="204"/>
      <c r="K2894" s="204"/>
      <c r="L2894" s="205"/>
      <c r="M2894" s="205"/>
      <c r="N2894" s="204"/>
      <c r="O2894" s="204"/>
      <c r="P2894" s="206"/>
      <c r="Q2894" s="206"/>
      <c r="R2894" s="206"/>
      <c r="S2894" s="206"/>
      <c r="T2894" s="204"/>
      <c r="U2894" s="207"/>
      <c r="V2894" s="204"/>
      <c r="W2894" s="204"/>
      <c r="X2894" s="207"/>
      <c r="Y2894" s="207"/>
      <c r="Z2894" s="204"/>
      <c r="AA2894" s="204"/>
      <c r="AB2894" s="204"/>
      <c r="AC2894" s="204"/>
    </row>
    <row r="2895" spans="1:29">
      <c r="A2895" s="204"/>
      <c r="B2895" s="204"/>
      <c r="C2895" s="204"/>
      <c r="D2895" s="204"/>
      <c r="E2895" s="204"/>
      <c r="F2895" s="204"/>
      <c r="G2895" s="204"/>
      <c r="H2895" s="204"/>
      <c r="I2895" s="204"/>
      <c r="J2895" s="204"/>
      <c r="K2895" s="204"/>
      <c r="L2895" s="205"/>
      <c r="M2895" s="205"/>
      <c r="N2895" s="204"/>
      <c r="O2895" s="204"/>
      <c r="P2895" s="206"/>
      <c r="Q2895" s="206"/>
      <c r="R2895" s="206"/>
      <c r="S2895" s="206"/>
      <c r="T2895" s="204"/>
      <c r="U2895" s="207"/>
      <c r="V2895" s="204"/>
      <c r="W2895" s="204"/>
      <c r="X2895" s="207"/>
      <c r="Y2895" s="207"/>
      <c r="Z2895" s="204"/>
      <c r="AA2895" s="204"/>
      <c r="AB2895" s="204"/>
      <c r="AC2895" s="204"/>
    </row>
    <row r="2896" spans="1:29">
      <c r="A2896" s="204"/>
      <c r="B2896" s="204"/>
      <c r="C2896" s="204"/>
      <c r="D2896" s="204"/>
      <c r="E2896" s="204"/>
      <c r="F2896" s="204"/>
      <c r="G2896" s="204"/>
      <c r="H2896" s="204"/>
      <c r="I2896" s="204"/>
      <c r="J2896" s="204"/>
      <c r="K2896" s="204"/>
      <c r="L2896" s="205"/>
      <c r="M2896" s="205"/>
      <c r="N2896" s="204"/>
      <c r="O2896" s="204"/>
      <c r="P2896" s="206"/>
      <c r="Q2896" s="206"/>
      <c r="R2896" s="206"/>
      <c r="S2896" s="206"/>
      <c r="T2896" s="204"/>
      <c r="U2896" s="207"/>
      <c r="V2896" s="204"/>
      <c r="W2896" s="204"/>
      <c r="X2896" s="207"/>
      <c r="Y2896" s="207"/>
      <c r="Z2896" s="204"/>
      <c r="AA2896" s="204"/>
      <c r="AB2896" s="204"/>
      <c r="AC2896" s="204"/>
    </row>
    <row r="2897" spans="1:29">
      <c r="A2897" s="204"/>
      <c r="B2897" s="204"/>
      <c r="C2897" s="204"/>
      <c r="D2897" s="204"/>
      <c r="E2897" s="204"/>
      <c r="F2897" s="204"/>
      <c r="G2897" s="204"/>
      <c r="H2897" s="204"/>
      <c r="I2897" s="204"/>
      <c r="J2897" s="204"/>
      <c r="K2897" s="204"/>
      <c r="L2897" s="205"/>
      <c r="M2897" s="205"/>
      <c r="N2897" s="204"/>
      <c r="O2897" s="204"/>
      <c r="P2897" s="206"/>
      <c r="Q2897" s="206"/>
      <c r="R2897" s="206"/>
      <c r="S2897" s="206"/>
      <c r="T2897" s="204"/>
      <c r="U2897" s="207"/>
      <c r="V2897" s="204"/>
      <c r="W2897" s="204"/>
      <c r="X2897" s="207"/>
      <c r="Y2897" s="207"/>
      <c r="Z2897" s="204"/>
      <c r="AA2897" s="204"/>
      <c r="AB2897" s="204"/>
      <c r="AC2897" s="204"/>
    </row>
    <row r="2898" spans="1:29">
      <c r="A2898" s="204"/>
      <c r="B2898" s="204"/>
      <c r="C2898" s="204"/>
      <c r="D2898" s="204"/>
      <c r="E2898" s="204"/>
      <c r="F2898" s="204"/>
      <c r="G2898" s="204"/>
      <c r="H2898" s="204"/>
      <c r="I2898" s="204"/>
      <c r="J2898" s="204"/>
      <c r="K2898" s="204"/>
      <c r="L2898" s="205"/>
      <c r="M2898" s="205"/>
      <c r="N2898" s="204"/>
      <c r="O2898" s="204"/>
      <c r="P2898" s="206"/>
      <c r="Q2898" s="206"/>
      <c r="R2898" s="206"/>
      <c r="S2898" s="206"/>
      <c r="T2898" s="204"/>
      <c r="U2898" s="207"/>
      <c r="V2898" s="204"/>
      <c r="W2898" s="204"/>
      <c r="X2898" s="207"/>
      <c r="Y2898" s="207"/>
      <c r="Z2898" s="204"/>
      <c r="AA2898" s="204"/>
      <c r="AB2898" s="204"/>
      <c r="AC2898" s="204"/>
    </row>
    <row r="2899" spans="1:29">
      <c r="A2899" s="204"/>
      <c r="B2899" s="204"/>
      <c r="C2899" s="204"/>
      <c r="D2899" s="204"/>
      <c r="E2899" s="204"/>
      <c r="F2899" s="204"/>
      <c r="G2899" s="204"/>
      <c r="H2899" s="204"/>
      <c r="I2899" s="204"/>
      <c r="J2899" s="204"/>
      <c r="K2899" s="204"/>
      <c r="L2899" s="205"/>
      <c r="M2899" s="205"/>
      <c r="N2899" s="204"/>
      <c r="O2899" s="204"/>
      <c r="P2899" s="206"/>
      <c r="Q2899" s="206"/>
      <c r="R2899" s="206"/>
      <c r="S2899" s="206"/>
      <c r="T2899" s="204"/>
      <c r="U2899" s="207"/>
      <c r="V2899" s="204"/>
      <c r="W2899" s="204"/>
      <c r="X2899" s="207"/>
      <c r="Y2899" s="207"/>
      <c r="Z2899" s="204"/>
      <c r="AA2899" s="204"/>
      <c r="AB2899" s="204"/>
      <c r="AC2899" s="204"/>
    </row>
    <row r="2900" spans="1:29">
      <c r="A2900" s="204"/>
      <c r="B2900" s="204"/>
      <c r="C2900" s="204"/>
      <c r="D2900" s="204"/>
      <c r="E2900" s="204"/>
      <c r="F2900" s="204"/>
      <c r="G2900" s="204"/>
      <c r="H2900" s="204"/>
      <c r="I2900" s="204"/>
      <c r="J2900" s="204"/>
      <c r="K2900" s="204"/>
      <c r="L2900" s="205"/>
      <c r="M2900" s="205"/>
      <c r="N2900" s="204"/>
      <c r="O2900" s="204"/>
      <c r="P2900" s="206"/>
      <c r="Q2900" s="206"/>
      <c r="R2900" s="206"/>
      <c r="S2900" s="206"/>
      <c r="T2900" s="204"/>
      <c r="U2900" s="207"/>
      <c r="V2900" s="204"/>
      <c r="W2900" s="204"/>
      <c r="X2900" s="207"/>
      <c r="Y2900" s="207"/>
      <c r="Z2900" s="204"/>
      <c r="AA2900" s="204"/>
      <c r="AB2900" s="204"/>
      <c r="AC2900" s="204"/>
    </row>
    <row r="2901" spans="1:29">
      <c r="A2901" s="204"/>
      <c r="B2901" s="204"/>
      <c r="C2901" s="204"/>
      <c r="D2901" s="204"/>
      <c r="E2901" s="204"/>
      <c r="F2901" s="204"/>
      <c r="G2901" s="204"/>
      <c r="H2901" s="204"/>
      <c r="I2901" s="204"/>
      <c r="J2901" s="204"/>
      <c r="K2901" s="204"/>
      <c r="L2901" s="205"/>
      <c r="M2901" s="205"/>
      <c r="N2901" s="204"/>
      <c r="O2901" s="204"/>
      <c r="P2901" s="206"/>
      <c r="Q2901" s="206"/>
      <c r="R2901" s="206"/>
      <c r="S2901" s="206"/>
      <c r="T2901" s="204"/>
      <c r="U2901" s="207"/>
      <c r="V2901" s="204"/>
      <c r="W2901" s="204"/>
      <c r="X2901" s="207"/>
      <c r="Y2901" s="207"/>
      <c r="Z2901" s="204"/>
      <c r="AA2901" s="204"/>
      <c r="AB2901" s="204"/>
      <c r="AC2901" s="204"/>
    </row>
    <row r="2902" spans="1:29">
      <c r="A2902" s="204"/>
      <c r="B2902" s="204"/>
      <c r="C2902" s="204"/>
      <c r="D2902" s="204"/>
      <c r="E2902" s="204"/>
      <c r="F2902" s="204"/>
      <c r="G2902" s="204"/>
      <c r="H2902" s="204"/>
      <c r="I2902" s="204"/>
      <c r="J2902" s="204"/>
      <c r="K2902" s="204"/>
      <c r="L2902" s="205"/>
      <c r="M2902" s="205"/>
      <c r="N2902" s="204"/>
      <c r="O2902" s="204"/>
      <c r="P2902" s="206"/>
      <c r="Q2902" s="206"/>
      <c r="R2902" s="206"/>
      <c r="S2902" s="206"/>
      <c r="T2902" s="204"/>
      <c r="U2902" s="207"/>
      <c r="V2902" s="204"/>
      <c r="W2902" s="204"/>
      <c r="X2902" s="207"/>
      <c r="Y2902" s="207"/>
      <c r="Z2902" s="204"/>
      <c r="AA2902" s="204"/>
      <c r="AB2902" s="204"/>
      <c r="AC2902" s="204"/>
    </row>
    <row r="2903" spans="1:29">
      <c r="A2903" s="204"/>
      <c r="B2903" s="204"/>
      <c r="C2903" s="204"/>
      <c r="D2903" s="204"/>
      <c r="E2903" s="204"/>
      <c r="F2903" s="204"/>
      <c r="G2903" s="204"/>
      <c r="H2903" s="204"/>
      <c r="I2903" s="204"/>
      <c r="J2903" s="204"/>
      <c r="K2903" s="204"/>
      <c r="L2903" s="205"/>
      <c r="M2903" s="205"/>
      <c r="N2903" s="204"/>
      <c r="O2903" s="204"/>
      <c r="P2903" s="206"/>
      <c r="Q2903" s="206"/>
      <c r="R2903" s="206"/>
      <c r="S2903" s="206"/>
      <c r="T2903" s="204"/>
      <c r="U2903" s="207"/>
      <c r="V2903" s="204"/>
      <c r="W2903" s="204"/>
      <c r="X2903" s="207"/>
      <c r="Y2903" s="207"/>
      <c r="Z2903" s="204"/>
      <c r="AA2903" s="204"/>
      <c r="AB2903" s="204"/>
      <c r="AC2903" s="204"/>
    </row>
    <row r="2904" spans="1:29">
      <c r="A2904" s="204"/>
      <c r="B2904" s="204"/>
      <c r="C2904" s="204"/>
      <c r="D2904" s="204"/>
      <c r="E2904" s="204"/>
      <c r="F2904" s="204"/>
      <c r="G2904" s="204"/>
      <c r="H2904" s="204"/>
      <c r="I2904" s="204"/>
      <c r="J2904" s="204"/>
      <c r="K2904" s="204"/>
      <c r="L2904" s="205"/>
      <c r="M2904" s="205"/>
      <c r="N2904" s="204"/>
      <c r="O2904" s="204"/>
      <c r="P2904" s="206"/>
      <c r="Q2904" s="206"/>
      <c r="R2904" s="206"/>
      <c r="S2904" s="206"/>
      <c r="T2904" s="204"/>
      <c r="U2904" s="207"/>
      <c r="V2904" s="204"/>
      <c r="W2904" s="204"/>
      <c r="X2904" s="207"/>
      <c r="Y2904" s="207"/>
      <c r="Z2904" s="204"/>
      <c r="AA2904" s="204"/>
      <c r="AB2904" s="204"/>
      <c r="AC2904" s="204"/>
    </row>
    <row r="2905" spans="1:29">
      <c r="A2905" s="204"/>
      <c r="B2905" s="204"/>
      <c r="C2905" s="204"/>
      <c r="D2905" s="204"/>
      <c r="E2905" s="204"/>
      <c r="F2905" s="204"/>
      <c r="G2905" s="204"/>
      <c r="H2905" s="204"/>
      <c r="I2905" s="204"/>
      <c r="J2905" s="204"/>
      <c r="K2905" s="204"/>
      <c r="L2905" s="205"/>
      <c r="M2905" s="205"/>
      <c r="N2905" s="204"/>
      <c r="O2905" s="204"/>
      <c r="P2905" s="206"/>
      <c r="Q2905" s="206"/>
      <c r="R2905" s="206"/>
      <c r="S2905" s="206"/>
      <c r="T2905" s="204"/>
      <c r="U2905" s="207"/>
      <c r="V2905" s="204"/>
      <c r="W2905" s="204"/>
      <c r="X2905" s="207"/>
      <c r="Y2905" s="207"/>
      <c r="Z2905" s="204"/>
      <c r="AA2905" s="204"/>
      <c r="AB2905" s="204"/>
      <c r="AC2905" s="204"/>
    </row>
    <row r="2906" spans="1:29">
      <c r="A2906" s="204"/>
      <c r="B2906" s="204"/>
      <c r="C2906" s="204"/>
      <c r="D2906" s="204"/>
      <c r="E2906" s="204"/>
      <c r="F2906" s="204"/>
      <c r="G2906" s="204"/>
      <c r="H2906" s="204"/>
      <c r="I2906" s="204"/>
      <c r="J2906" s="204"/>
      <c r="K2906" s="204"/>
      <c r="L2906" s="205"/>
      <c r="M2906" s="205"/>
      <c r="N2906" s="204"/>
      <c r="O2906" s="204"/>
      <c r="P2906" s="206"/>
      <c r="Q2906" s="206"/>
      <c r="R2906" s="206"/>
      <c r="S2906" s="206"/>
      <c r="T2906" s="204"/>
      <c r="U2906" s="207"/>
      <c r="V2906" s="204"/>
      <c r="W2906" s="204"/>
      <c r="X2906" s="207"/>
      <c r="Y2906" s="207"/>
      <c r="Z2906" s="204"/>
      <c r="AA2906" s="204"/>
      <c r="AB2906" s="204"/>
      <c r="AC2906" s="204"/>
    </row>
    <row r="2907" spans="1:29">
      <c r="A2907" s="204"/>
      <c r="B2907" s="204"/>
      <c r="C2907" s="204"/>
      <c r="D2907" s="204"/>
      <c r="E2907" s="204"/>
      <c r="F2907" s="204"/>
      <c r="G2907" s="204"/>
      <c r="H2907" s="204"/>
      <c r="I2907" s="204"/>
      <c r="J2907" s="204"/>
      <c r="K2907" s="204"/>
      <c r="L2907" s="205"/>
      <c r="M2907" s="205"/>
      <c r="N2907" s="204"/>
      <c r="O2907" s="204"/>
      <c r="P2907" s="206"/>
      <c r="Q2907" s="206"/>
      <c r="R2907" s="206"/>
      <c r="S2907" s="206"/>
      <c r="T2907" s="204"/>
      <c r="U2907" s="207"/>
      <c r="V2907" s="204"/>
      <c r="W2907" s="204"/>
      <c r="X2907" s="207"/>
      <c r="Y2907" s="207"/>
      <c r="Z2907" s="204"/>
      <c r="AA2907" s="204"/>
      <c r="AB2907" s="204"/>
      <c r="AC2907" s="204"/>
    </row>
    <row r="2908" spans="1:29">
      <c r="A2908" s="204"/>
      <c r="B2908" s="204"/>
      <c r="C2908" s="204"/>
      <c r="D2908" s="204"/>
      <c r="E2908" s="204"/>
      <c r="F2908" s="204"/>
      <c r="G2908" s="204"/>
      <c r="H2908" s="204"/>
      <c r="I2908" s="204"/>
      <c r="J2908" s="204"/>
      <c r="K2908" s="204"/>
      <c r="L2908" s="205"/>
      <c r="M2908" s="205"/>
      <c r="N2908" s="204"/>
      <c r="O2908" s="204"/>
      <c r="P2908" s="206"/>
      <c r="Q2908" s="206"/>
      <c r="R2908" s="206"/>
      <c r="S2908" s="206"/>
      <c r="T2908" s="204"/>
      <c r="U2908" s="207"/>
      <c r="V2908" s="204"/>
      <c r="W2908" s="204"/>
      <c r="X2908" s="207"/>
      <c r="Y2908" s="207"/>
      <c r="Z2908" s="204"/>
      <c r="AA2908" s="204"/>
      <c r="AB2908" s="204"/>
      <c r="AC2908" s="204"/>
    </row>
    <row r="2909" spans="1:29">
      <c r="A2909" s="204"/>
      <c r="B2909" s="204"/>
      <c r="C2909" s="204"/>
      <c r="D2909" s="204"/>
      <c r="E2909" s="204"/>
      <c r="F2909" s="204"/>
      <c r="G2909" s="204"/>
      <c r="H2909" s="204"/>
      <c r="I2909" s="204"/>
      <c r="J2909" s="204"/>
      <c r="K2909" s="204"/>
      <c r="L2909" s="205"/>
      <c r="M2909" s="205"/>
      <c r="N2909" s="204"/>
      <c r="O2909" s="204"/>
      <c r="P2909" s="206"/>
      <c r="Q2909" s="206"/>
      <c r="R2909" s="206"/>
      <c r="S2909" s="206"/>
      <c r="T2909" s="204"/>
      <c r="U2909" s="207"/>
      <c r="V2909" s="204"/>
      <c r="W2909" s="204"/>
      <c r="X2909" s="207"/>
      <c r="Y2909" s="207"/>
      <c r="Z2909" s="204"/>
      <c r="AA2909" s="204"/>
      <c r="AB2909" s="204"/>
      <c r="AC2909" s="204"/>
    </row>
    <row r="2910" spans="1:29">
      <c r="A2910" s="204"/>
      <c r="B2910" s="204"/>
      <c r="C2910" s="204"/>
      <c r="D2910" s="204"/>
      <c r="E2910" s="204"/>
      <c r="F2910" s="204"/>
      <c r="G2910" s="204"/>
      <c r="H2910" s="204"/>
      <c r="I2910" s="204"/>
      <c r="J2910" s="204"/>
      <c r="K2910" s="204"/>
      <c r="L2910" s="205"/>
      <c r="M2910" s="205"/>
      <c r="N2910" s="204"/>
      <c r="O2910" s="204"/>
      <c r="P2910" s="206"/>
      <c r="Q2910" s="206"/>
      <c r="R2910" s="206"/>
      <c r="S2910" s="206"/>
      <c r="T2910" s="204"/>
      <c r="U2910" s="207"/>
      <c r="V2910" s="204"/>
      <c r="W2910" s="204"/>
      <c r="X2910" s="207"/>
      <c r="Y2910" s="207"/>
      <c r="Z2910" s="204"/>
      <c r="AA2910" s="204"/>
      <c r="AB2910" s="204"/>
      <c r="AC2910" s="204"/>
    </row>
    <row r="2911" spans="1:29">
      <c r="A2911" s="204"/>
      <c r="B2911" s="204"/>
      <c r="C2911" s="204"/>
      <c r="D2911" s="204"/>
      <c r="E2911" s="204"/>
      <c r="F2911" s="204"/>
      <c r="G2911" s="204"/>
      <c r="H2911" s="204"/>
      <c r="I2911" s="204"/>
      <c r="J2911" s="204"/>
      <c r="K2911" s="204"/>
      <c r="L2911" s="205"/>
      <c r="M2911" s="205"/>
      <c r="N2911" s="204"/>
      <c r="O2911" s="204"/>
      <c r="P2911" s="206"/>
      <c r="Q2911" s="206"/>
      <c r="R2911" s="206"/>
      <c r="S2911" s="206"/>
      <c r="T2911" s="204"/>
      <c r="U2911" s="207"/>
      <c r="V2911" s="204"/>
      <c r="W2911" s="204"/>
      <c r="X2911" s="207"/>
      <c r="Y2911" s="207"/>
      <c r="Z2911" s="204"/>
      <c r="AA2911" s="204"/>
      <c r="AB2911" s="204"/>
      <c r="AC2911" s="204"/>
    </row>
    <row r="2912" spans="1:29">
      <c r="A2912" s="204"/>
      <c r="B2912" s="204"/>
      <c r="C2912" s="204"/>
      <c r="D2912" s="204"/>
      <c r="E2912" s="204"/>
      <c r="F2912" s="204"/>
      <c r="G2912" s="204"/>
      <c r="H2912" s="204"/>
      <c r="I2912" s="204"/>
      <c r="J2912" s="204"/>
      <c r="K2912" s="204"/>
      <c r="L2912" s="205"/>
      <c r="M2912" s="205"/>
      <c r="N2912" s="204"/>
      <c r="O2912" s="204"/>
      <c r="P2912" s="206"/>
      <c r="Q2912" s="206"/>
      <c r="R2912" s="206"/>
      <c r="S2912" s="206"/>
      <c r="T2912" s="204"/>
      <c r="U2912" s="207"/>
      <c r="V2912" s="204"/>
      <c r="W2912" s="204"/>
      <c r="X2912" s="207"/>
      <c r="Y2912" s="207"/>
      <c r="Z2912" s="204"/>
      <c r="AA2912" s="204"/>
      <c r="AB2912" s="204"/>
      <c r="AC2912" s="204"/>
    </row>
    <row r="2913" spans="1:29">
      <c r="A2913" s="204"/>
      <c r="B2913" s="204"/>
      <c r="C2913" s="204"/>
      <c r="D2913" s="204"/>
      <c r="E2913" s="204"/>
      <c r="F2913" s="204"/>
      <c r="G2913" s="204"/>
      <c r="H2913" s="204"/>
      <c r="I2913" s="204"/>
      <c r="J2913" s="204"/>
      <c r="K2913" s="204"/>
      <c r="L2913" s="205"/>
      <c r="M2913" s="205"/>
      <c r="N2913" s="204"/>
      <c r="O2913" s="204"/>
      <c r="P2913" s="206"/>
      <c r="Q2913" s="206"/>
      <c r="R2913" s="206"/>
      <c r="S2913" s="206"/>
      <c r="T2913" s="204"/>
      <c r="U2913" s="207"/>
      <c r="V2913" s="204"/>
      <c r="W2913" s="204"/>
      <c r="X2913" s="207"/>
      <c r="Y2913" s="207"/>
      <c r="Z2913" s="204"/>
      <c r="AA2913" s="204"/>
      <c r="AB2913" s="204"/>
      <c r="AC2913" s="204"/>
    </row>
    <row r="2914" spans="1:29">
      <c r="A2914" s="204"/>
      <c r="B2914" s="204"/>
      <c r="C2914" s="204"/>
      <c r="D2914" s="204"/>
      <c r="E2914" s="204"/>
      <c r="F2914" s="204"/>
      <c r="G2914" s="204"/>
      <c r="H2914" s="204"/>
      <c r="I2914" s="204"/>
      <c r="J2914" s="204"/>
      <c r="K2914" s="204"/>
      <c r="L2914" s="205"/>
      <c r="M2914" s="205"/>
      <c r="N2914" s="204"/>
      <c r="O2914" s="204"/>
      <c r="P2914" s="206"/>
      <c r="Q2914" s="206"/>
      <c r="R2914" s="206"/>
      <c r="S2914" s="206"/>
      <c r="T2914" s="204"/>
      <c r="U2914" s="207"/>
      <c r="V2914" s="204"/>
      <c r="W2914" s="204"/>
      <c r="X2914" s="207"/>
      <c r="Y2914" s="207"/>
      <c r="Z2914" s="204"/>
      <c r="AA2914" s="204"/>
      <c r="AB2914" s="204"/>
      <c r="AC2914" s="204"/>
    </row>
    <row r="2915" spans="1:29">
      <c r="A2915" s="204"/>
      <c r="B2915" s="204"/>
      <c r="C2915" s="204"/>
      <c r="D2915" s="204"/>
      <c r="E2915" s="204"/>
      <c r="F2915" s="204"/>
      <c r="G2915" s="204"/>
      <c r="H2915" s="204"/>
      <c r="I2915" s="204"/>
      <c r="J2915" s="204"/>
      <c r="K2915" s="204"/>
      <c r="L2915" s="205"/>
      <c r="M2915" s="205"/>
      <c r="N2915" s="204"/>
      <c r="O2915" s="204"/>
      <c r="P2915" s="206"/>
      <c r="Q2915" s="206"/>
      <c r="R2915" s="206"/>
      <c r="S2915" s="206"/>
      <c r="T2915" s="204"/>
      <c r="U2915" s="207"/>
      <c r="V2915" s="204"/>
      <c r="W2915" s="204"/>
      <c r="X2915" s="207"/>
      <c r="Y2915" s="207"/>
      <c r="Z2915" s="204"/>
      <c r="AA2915" s="204"/>
      <c r="AB2915" s="204"/>
      <c r="AC2915" s="204"/>
    </row>
    <row r="2916" spans="1:29">
      <c r="A2916" s="204"/>
      <c r="B2916" s="204"/>
      <c r="C2916" s="204"/>
      <c r="D2916" s="204"/>
      <c r="E2916" s="204"/>
      <c r="F2916" s="204"/>
      <c r="G2916" s="204"/>
      <c r="H2916" s="204"/>
      <c r="I2916" s="204"/>
      <c r="J2916" s="204"/>
      <c r="K2916" s="204"/>
      <c r="L2916" s="205"/>
      <c r="M2916" s="205"/>
      <c r="N2916" s="204"/>
      <c r="O2916" s="204"/>
      <c r="P2916" s="206"/>
      <c r="Q2916" s="206"/>
      <c r="R2916" s="206"/>
      <c r="S2916" s="206"/>
      <c r="T2916" s="204"/>
      <c r="U2916" s="207"/>
      <c r="V2916" s="204"/>
      <c r="W2916" s="204"/>
      <c r="X2916" s="207"/>
      <c r="Y2916" s="207"/>
      <c r="Z2916" s="204"/>
      <c r="AA2916" s="204"/>
      <c r="AB2916" s="204"/>
      <c r="AC2916" s="204"/>
    </row>
    <row r="2917" spans="1:29">
      <c r="A2917" s="204"/>
      <c r="B2917" s="204"/>
      <c r="C2917" s="204"/>
      <c r="D2917" s="204"/>
      <c r="E2917" s="204"/>
      <c r="F2917" s="204"/>
      <c r="G2917" s="204"/>
      <c r="H2917" s="204"/>
      <c r="I2917" s="204"/>
      <c r="J2917" s="204"/>
      <c r="K2917" s="204"/>
      <c r="L2917" s="205"/>
      <c r="M2917" s="205"/>
      <c r="N2917" s="204"/>
      <c r="O2917" s="204"/>
      <c r="P2917" s="206"/>
      <c r="Q2917" s="206"/>
      <c r="R2917" s="206"/>
      <c r="S2917" s="206"/>
      <c r="T2917" s="204"/>
      <c r="U2917" s="207"/>
      <c r="V2917" s="204"/>
      <c r="W2917" s="204"/>
      <c r="X2917" s="207"/>
      <c r="Y2917" s="207"/>
      <c r="Z2917" s="204"/>
      <c r="AA2917" s="204"/>
      <c r="AB2917" s="204"/>
      <c r="AC2917" s="204"/>
    </row>
    <row r="2918" spans="1:29">
      <c r="A2918" s="204"/>
      <c r="B2918" s="204"/>
      <c r="C2918" s="204"/>
      <c r="D2918" s="204"/>
      <c r="E2918" s="204"/>
      <c r="F2918" s="204"/>
      <c r="G2918" s="204"/>
      <c r="H2918" s="204"/>
      <c r="I2918" s="204"/>
      <c r="J2918" s="204"/>
      <c r="K2918" s="204"/>
      <c r="L2918" s="205"/>
      <c r="M2918" s="205"/>
      <c r="N2918" s="204"/>
      <c r="O2918" s="204"/>
      <c r="P2918" s="206"/>
      <c r="Q2918" s="206"/>
      <c r="R2918" s="206"/>
      <c r="S2918" s="206"/>
      <c r="T2918" s="204"/>
      <c r="U2918" s="207"/>
      <c r="V2918" s="204"/>
      <c r="W2918" s="204"/>
      <c r="X2918" s="207"/>
      <c r="Y2918" s="207"/>
      <c r="Z2918" s="204"/>
      <c r="AA2918" s="204"/>
      <c r="AB2918" s="204"/>
      <c r="AC2918" s="204"/>
    </row>
    <row r="2919" spans="1:29">
      <c r="A2919" s="204"/>
      <c r="B2919" s="204"/>
      <c r="C2919" s="204"/>
      <c r="D2919" s="204"/>
      <c r="E2919" s="204"/>
      <c r="F2919" s="204"/>
      <c r="G2919" s="204"/>
      <c r="H2919" s="204"/>
      <c r="I2919" s="204"/>
      <c r="J2919" s="204"/>
      <c r="K2919" s="204"/>
      <c r="L2919" s="205"/>
      <c r="M2919" s="205"/>
      <c r="N2919" s="204"/>
      <c r="O2919" s="204"/>
      <c r="P2919" s="206"/>
      <c r="Q2919" s="206"/>
      <c r="R2919" s="206"/>
      <c r="S2919" s="206"/>
      <c r="T2919" s="204"/>
      <c r="U2919" s="207"/>
      <c r="V2919" s="204"/>
      <c r="W2919" s="204"/>
      <c r="X2919" s="207"/>
      <c r="Y2919" s="207"/>
      <c r="Z2919" s="204"/>
      <c r="AA2919" s="204"/>
      <c r="AB2919" s="204"/>
      <c r="AC2919" s="204"/>
    </row>
    <row r="2920" spans="1:29">
      <c r="A2920" s="204"/>
      <c r="B2920" s="204"/>
      <c r="C2920" s="204"/>
      <c r="D2920" s="204"/>
      <c r="E2920" s="204"/>
      <c r="F2920" s="204"/>
      <c r="G2920" s="204"/>
      <c r="H2920" s="204"/>
      <c r="I2920" s="204"/>
      <c r="J2920" s="204"/>
      <c r="K2920" s="204"/>
      <c r="L2920" s="205"/>
      <c r="M2920" s="205"/>
      <c r="N2920" s="204"/>
      <c r="O2920" s="204"/>
      <c r="P2920" s="206"/>
      <c r="Q2920" s="206"/>
      <c r="R2920" s="206"/>
      <c r="S2920" s="206"/>
      <c r="T2920" s="204"/>
      <c r="U2920" s="207"/>
      <c r="V2920" s="204"/>
      <c r="W2920" s="204"/>
      <c r="X2920" s="207"/>
      <c r="Y2920" s="207"/>
      <c r="Z2920" s="204"/>
      <c r="AA2920" s="204"/>
      <c r="AB2920" s="204"/>
      <c r="AC2920" s="204"/>
    </row>
    <row r="2921" spans="1:29">
      <c r="A2921" s="204"/>
      <c r="B2921" s="204"/>
      <c r="C2921" s="204"/>
      <c r="D2921" s="204"/>
      <c r="E2921" s="204"/>
      <c r="F2921" s="204"/>
      <c r="G2921" s="204"/>
      <c r="H2921" s="204"/>
      <c r="I2921" s="204"/>
      <c r="J2921" s="204"/>
      <c r="K2921" s="204"/>
      <c r="L2921" s="205"/>
      <c r="M2921" s="205"/>
      <c r="N2921" s="204"/>
      <c r="O2921" s="204"/>
      <c r="P2921" s="206"/>
      <c r="Q2921" s="206"/>
      <c r="R2921" s="206"/>
      <c r="S2921" s="206"/>
      <c r="T2921" s="204"/>
      <c r="U2921" s="207"/>
      <c r="V2921" s="204"/>
      <c r="W2921" s="204"/>
      <c r="X2921" s="207"/>
      <c r="Y2921" s="207"/>
      <c r="Z2921" s="204"/>
      <c r="AA2921" s="204"/>
      <c r="AB2921" s="204"/>
      <c r="AC2921" s="204"/>
    </row>
    <row r="2922" spans="1:29">
      <c r="A2922" s="204"/>
      <c r="B2922" s="204"/>
      <c r="C2922" s="204"/>
      <c r="D2922" s="204"/>
      <c r="E2922" s="204"/>
      <c r="F2922" s="204"/>
      <c r="G2922" s="204"/>
      <c r="H2922" s="204"/>
      <c r="I2922" s="204"/>
      <c r="J2922" s="204"/>
      <c r="K2922" s="204"/>
      <c r="L2922" s="205"/>
      <c r="M2922" s="205"/>
      <c r="N2922" s="204"/>
      <c r="O2922" s="204"/>
      <c r="P2922" s="206"/>
      <c r="Q2922" s="206"/>
      <c r="R2922" s="206"/>
      <c r="S2922" s="206"/>
      <c r="T2922" s="204"/>
      <c r="U2922" s="207"/>
      <c r="V2922" s="204"/>
      <c r="W2922" s="204"/>
      <c r="X2922" s="207"/>
      <c r="Y2922" s="207"/>
      <c r="Z2922" s="204"/>
      <c r="AA2922" s="204"/>
      <c r="AB2922" s="204"/>
      <c r="AC2922" s="204"/>
    </row>
    <row r="2923" spans="1:29">
      <c r="A2923" s="204"/>
      <c r="B2923" s="204"/>
      <c r="C2923" s="204"/>
      <c r="D2923" s="204"/>
      <c r="E2923" s="204"/>
      <c r="F2923" s="204"/>
      <c r="G2923" s="204"/>
      <c r="H2923" s="204"/>
      <c r="I2923" s="204"/>
      <c r="J2923" s="204"/>
      <c r="K2923" s="204"/>
      <c r="L2923" s="205"/>
      <c r="M2923" s="205"/>
      <c r="N2923" s="204"/>
      <c r="O2923" s="204"/>
      <c r="P2923" s="206"/>
      <c r="Q2923" s="206"/>
      <c r="R2923" s="206"/>
      <c r="S2923" s="206"/>
      <c r="T2923" s="204"/>
      <c r="U2923" s="207"/>
      <c r="V2923" s="204"/>
      <c r="W2923" s="204"/>
      <c r="X2923" s="207"/>
      <c r="Y2923" s="207"/>
      <c r="Z2923" s="204"/>
      <c r="AA2923" s="204"/>
      <c r="AB2923" s="204"/>
      <c r="AC2923" s="204"/>
    </row>
    <row r="2924" spans="1:29">
      <c r="A2924" s="204"/>
      <c r="B2924" s="204"/>
      <c r="C2924" s="204"/>
      <c r="D2924" s="204"/>
      <c r="E2924" s="204"/>
      <c r="F2924" s="204"/>
      <c r="G2924" s="204"/>
      <c r="H2924" s="204"/>
      <c r="I2924" s="204"/>
      <c r="J2924" s="204"/>
      <c r="K2924" s="204"/>
      <c r="L2924" s="205"/>
      <c r="M2924" s="205"/>
      <c r="N2924" s="204"/>
      <c r="O2924" s="204"/>
      <c r="P2924" s="206"/>
      <c r="Q2924" s="206"/>
      <c r="R2924" s="206"/>
      <c r="S2924" s="206"/>
      <c r="T2924" s="204"/>
      <c r="U2924" s="207"/>
      <c r="V2924" s="204"/>
      <c r="W2924" s="204"/>
      <c r="X2924" s="207"/>
      <c r="Y2924" s="207"/>
      <c r="Z2924" s="204"/>
      <c r="AA2924" s="204"/>
      <c r="AB2924" s="204"/>
      <c r="AC2924" s="204"/>
    </row>
    <row r="2925" spans="1:29">
      <c r="A2925" s="204"/>
      <c r="B2925" s="204"/>
      <c r="C2925" s="204"/>
      <c r="D2925" s="204"/>
      <c r="E2925" s="204"/>
      <c r="F2925" s="204"/>
      <c r="G2925" s="204"/>
      <c r="H2925" s="204"/>
      <c r="I2925" s="204"/>
      <c r="J2925" s="204"/>
      <c r="K2925" s="204"/>
      <c r="L2925" s="205"/>
      <c r="M2925" s="205"/>
      <c r="N2925" s="204"/>
      <c r="O2925" s="204"/>
      <c r="P2925" s="206"/>
      <c r="Q2925" s="206"/>
      <c r="R2925" s="206"/>
      <c r="S2925" s="206"/>
      <c r="T2925" s="204"/>
      <c r="U2925" s="207"/>
      <c r="V2925" s="204"/>
      <c r="W2925" s="204"/>
      <c r="X2925" s="207"/>
      <c r="Y2925" s="207"/>
      <c r="Z2925" s="204"/>
      <c r="AA2925" s="204"/>
      <c r="AB2925" s="204"/>
      <c r="AC2925" s="204"/>
    </row>
    <row r="2926" spans="1:29">
      <c r="A2926" s="204"/>
      <c r="B2926" s="204"/>
      <c r="C2926" s="204"/>
      <c r="D2926" s="204"/>
      <c r="E2926" s="204"/>
      <c r="F2926" s="204"/>
      <c r="G2926" s="204"/>
      <c r="H2926" s="204"/>
      <c r="I2926" s="204"/>
      <c r="J2926" s="204"/>
      <c r="K2926" s="204"/>
      <c r="L2926" s="205"/>
      <c r="M2926" s="205"/>
      <c r="N2926" s="204"/>
      <c r="O2926" s="204"/>
      <c r="P2926" s="206"/>
      <c r="Q2926" s="206"/>
      <c r="R2926" s="206"/>
      <c r="S2926" s="206"/>
      <c r="T2926" s="204"/>
      <c r="U2926" s="207"/>
      <c r="V2926" s="204"/>
      <c r="W2926" s="204"/>
      <c r="X2926" s="207"/>
      <c r="Y2926" s="207"/>
      <c r="Z2926" s="204"/>
      <c r="AA2926" s="204"/>
      <c r="AB2926" s="204"/>
      <c r="AC2926" s="204"/>
    </row>
    <row r="2927" spans="1:29">
      <c r="A2927" s="204"/>
      <c r="B2927" s="204"/>
      <c r="C2927" s="204"/>
      <c r="D2927" s="204"/>
      <c r="E2927" s="204"/>
      <c r="F2927" s="204"/>
      <c r="G2927" s="204"/>
      <c r="H2927" s="204"/>
      <c r="I2927" s="204"/>
      <c r="J2927" s="204"/>
      <c r="K2927" s="204"/>
      <c r="L2927" s="205"/>
      <c r="M2927" s="205"/>
      <c r="N2927" s="204"/>
      <c r="O2927" s="204"/>
      <c r="P2927" s="206"/>
      <c r="Q2927" s="206"/>
      <c r="R2927" s="206"/>
      <c r="S2927" s="206"/>
      <c r="T2927" s="204"/>
      <c r="U2927" s="207"/>
      <c r="V2927" s="204"/>
      <c r="W2927" s="204"/>
      <c r="X2927" s="207"/>
      <c r="Y2927" s="207"/>
      <c r="Z2927" s="204"/>
      <c r="AA2927" s="204"/>
      <c r="AB2927" s="204"/>
      <c r="AC2927" s="204"/>
    </row>
    <row r="2928" spans="1:29">
      <c r="A2928" s="204"/>
      <c r="B2928" s="204"/>
      <c r="C2928" s="204"/>
      <c r="D2928" s="204"/>
      <c r="E2928" s="204"/>
      <c r="F2928" s="204"/>
      <c r="G2928" s="204"/>
      <c r="H2928" s="204"/>
      <c r="I2928" s="204"/>
      <c r="J2928" s="204"/>
      <c r="K2928" s="204"/>
      <c r="L2928" s="205"/>
      <c r="M2928" s="205"/>
      <c r="N2928" s="204"/>
      <c r="O2928" s="204"/>
      <c r="P2928" s="206"/>
      <c r="Q2928" s="206"/>
      <c r="R2928" s="206"/>
      <c r="S2928" s="206"/>
      <c r="T2928" s="204"/>
      <c r="U2928" s="207"/>
      <c r="V2928" s="204"/>
      <c r="W2928" s="204"/>
      <c r="X2928" s="207"/>
      <c r="Y2928" s="207"/>
      <c r="Z2928" s="204"/>
      <c r="AA2928" s="204"/>
      <c r="AB2928" s="204"/>
      <c r="AC2928" s="204"/>
    </row>
    <row r="2929" spans="1:29">
      <c r="A2929" s="204"/>
      <c r="B2929" s="204"/>
      <c r="C2929" s="204"/>
      <c r="D2929" s="204"/>
      <c r="E2929" s="204"/>
      <c r="F2929" s="204"/>
      <c r="G2929" s="204"/>
      <c r="H2929" s="204"/>
      <c r="I2929" s="204"/>
      <c r="J2929" s="204"/>
      <c r="K2929" s="204"/>
      <c r="L2929" s="205"/>
      <c r="M2929" s="205"/>
      <c r="N2929" s="204"/>
      <c r="O2929" s="204"/>
      <c r="P2929" s="206"/>
      <c r="Q2929" s="206"/>
      <c r="R2929" s="206"/>
      <c r="S2929" s="206"/>
      <c r="T2929" s="204"/>
      <c r="U2929" s="207"/>
      <c r="V2929" s="204"/>
      <c r="W2929" s="204"/>
      <c r="X2929" s="207"/>
      <c r="Y2929" s="207"/>
      <c r="Z2929" s="204"/>
      <c r="AA2929" s="204"/>
      <c r="AB2929" s="204"/>
      <c r="AC2929" s="204"/>
    </row>
    <row r="2930" spans="1:29">
      <c r="A2930" s="204"/>
      <c r="B2930" s="204"/>
      <c r="C2930" s="204"/>
      <c r="D2930" s="204"/>
      <c r="E2930" s="204"/>
      <c r="F2930" s="204"/>
      <c r="G2930" s="204"/>
      <c r="H2930" s="204"/>
      <c r="I2930" s="204"/>
      <c r="J2930" s="204"/>
      <c r="K2930" s="204"/>
      <c r="L2930" s="205"/>
      <c r="M2930" s="205"/>
      <c r="N2930" s="204"/>
      <c r="O2930" s="204"/>
      <c r="P2930" s="206"/>
      <c r="Q2930" s="206"/>
      <c r="R2930" s="206"/>
      <c r="S2930" s="206"/>
      <c r="T2930" s="204"/>
      <c r="U2930" s="207"/>
      <c r="V2930" s="204"/>
      <c r="W2930" s="204"/>
      <c r="X2930" s="207"/>
      <c r="Y2930" s="207"/>
      <c r="Z2930" s="204"/>
      <c r="AA2930" s="204"/>
      <c r="AB2930" s="204"/>
      <c r="AC2930" s="204"/>
    </row>
    <row r="2931" spans="1:29">
      <c r="A2931" s="204"/>
      <c r="B2931" s="204"/>
      <c r="C2931" s="204"/>
      <c r="D2931" s="204"/>
      <c r="E2931" s="204"/>
      <c r="F2931" s="204"/>
      <c r="G2931" s="204"/>
      <c r="H2931" s="204"/>
      <c r="I2931" s="204"/>
      <c r="J2931" s="204"/>
      <c r="K2931" s="204"/>
      <c r="L2931" s="205"/>
      <c r="M2931" s="205"/>
      <c r="N2931" s="204"/>
      <c r="O2931" s="204"/>
      <c r="P2931" s="206"/>
      <c r="Q2931" s="206"/>
      <c r="R2931" s="206"/>
      <c r="S2931" s="206"/>
      <c r="T2931" s="204"/>
      <c r="U2931" s="207"/>
      <c r="V2931" s="204"/>
      <c r="W2931" s="204"/>
      <c r="X2931" s="207"/>
      <c r="Y2931" s="207"/>
      <c r="Z2931" s="204"/>
      <c r="AA2931" s="204"/>
      <c r="AB2931" s="204"/>
      <c r="AC2931" s="204"/>
    </row>
    <row r="2932" spans="1:29">
      <c r="A2932" s="204"/>
      <c r="B2932" s="204"/>
      <c r="C2932" s="204"/>
      <c r="D2932" s="204"/>
      <c r="E2932" s="204"/>
      <c r="F2932" s="204"/>
      <c r="G2932" s="204"/>
      <c r="H2932" s="204"/>
      <c r="I2932" s="204"/>
      <c r="J2932" s="204"/>
      <c r="K2932" s="204"/>
      <c r="L2932" s="205"/>
      <c r="M2932" s="205"/>
      <c r="N2932" s="204"/>
      <c r="O2932" s="204"/>
      <c r="P2932" s="206"/>
      <c r="Q2932" s="206"/>
      <c r="R2932" s="206"/>
      <c r="S2932" s="206"/>
      <c r="T2932" s="204"/>
      <c r="U2932" s="207"/>
      <c r="V2932" s="204"/>
      <c r="W2932" s="204"/>
      <c r="X2932" s="207"/>
      <c r="Y2932" s="207"/>
      <c r="Z2932" s="204"/>
      <c r="AA2932" s="204"/>
      <c r="AB2932" s="204"/>
      <c r="AC2932" s="204"/>
    </row>
    <row r="2933" spans="1:29">
      <c r="A2933" s="204"/>
      <c r="B2933" s="204"/>
      <c r="C2933" s="204"/>
      <c r="D2933" s="204"/>
      <c r="E2933" s="204"/>
      <c r="F2933" s="204"/>
      <c r="G2933" s="204"/>
      <c r="H2933" s="204"/>
      <c r="I2933" s="204"/>
      <c r="J2933" s="204"/>
      <c r="K2933" s="204"/>
      <c r="L2933" s="205"/>
      <c r="M2933" s="205"/>
      <c r="N2933" s="204"/>
      <c r="O2933" s="204"/>
      <c r="P2933" s="206"/>
      <c r="Q2933" s="206"/>
      <c r="R2933" s="206"/>
      <c r="S2933" s="206"/>
      <c r="T2933" s="204"/>
      <c r="U2933" s="207"/>
      <c r="V2933" s="204"/>
      <c r="W2933" s="204"/>
      <c r="X2933" s="207"/>
      <c r="Y2933" s="207"/>
      <c r="Z2933" s="204"/>
      <c r="AA2933" s="204"/>
      <c r="AB2933" s="204"/>
      <c r="AC2933" s="204"/>
    </row>
    <row r="2934" spans="1:29">
      <c r="A2934" s="204"/>
      <c r="B2934" s="204"/>
      <c r="C2934" s="204"/>
      <c r="D2934" s="204"/>
      <c r="E2934" s="204"/>
      <c r="F2934" s="204"/>
      <c r="G2934" s="204"/>
      <c r="H2934" s="204"/>
      <c r="I2934" s="204"/>
      <c r="J2934" s="204"/>
      <c r="K2934" s="204"/>
      <c r="L2934" s="205"/>
      <c r="M2934" s="205"/>
      <c r="N2934" s="204"/>
      <c r="O2934" s="204"/>
      <c r="P2934" s="206"/>
      <c r="Q2934" s="206"/>
      <c r="R2934" s="206"/>
      <c r="S2934" s="206"/>
      <c r="T2934" s="204"/>
      <c r="U2934" s="207"/>
      <c r="V2934" s="204"/>
      <c r="W2934" s="204"/>
      <c r="X2934" s="207"/>
      <c r="Y2934" s="207"/>
      <c r="Z2934" s="204"/>
      <c r="AA2934" s="204"/>
      <c r="AB2934" s="204"/>
      <c r="AC2934" s="204"/>
    </row>
    <row r="2935" spans="1:29">
      <c r="A2935" s="204"/>
      <c r="B2935" s="204"/>
      <c r="C2935" s="204"/>
      <c r="D2935" s="204"/>
      <c r="E2935" s="204"/>
      <c r="F2935" s="204"/>
      <c r="G2935" s="204"/>
      <c r="H2935" s="204"/>
      <c r="I2935" s="204"/>
      <c r="J2935" s="204"/>
      <c r="K2935" s="204"/>
      <c r="L2935" s="205"/>
      <c r="M2935" s="205"/>
      <c r="N2935" s="204"/>
      <c r="O2935" s="204"/>
      <c r="P2935" s="206"/>
      <c r="Q2935" s="206"/>
      <c r="R2935" s="206"/>
      <c r="S2935" s="206"/>
      <c r="T2935" s="204"/>
      <c r="U2935" s="207"/>
      <c r="V2935" s="204"/>
      <c r="W2935" s="204"/>
      <c r="X2935" s="207"/>
      <c r="Y2935" s="207"/>
      <c r="Z2935" s="204"/>
      <c r="AA2935" s="204"/>
      <c r="AB2935" s="204"/>
      <c r="AC2935" s="204"/>
    </row>
    <row r="2936" spans="1:29">
      <c r="A2936" s="204"/>
      <c r="B2936" s="204"/>
      <c r="C2936" s="204"/>
      <c r="D2936" s="204"/>
      <c r="E2936" s="204"/>
      <c r="F2936" s="204"/>
      <c r="G2936" s="204"/>
      <c r="H2936" s="204"/>
      <c r="I2936" s="204"/>
      <c r="J2936" s="204"/>
      <c r="K2936" s="204"/>
      <c r="L2936" s="205"/>
      <c r="M2936" s="205"/>
      <c r="N2936" s="204"/>
      <c r="O2936" s="204"/>
      <c r="P2936" s="206"/>
      <c r="Q2936" s="206"/>
      <c r="R2936" s="206"/>
      <c r="S2936" s="206"/>
      <c r="T2936" s="204"/>
      <c r="U2936" s="207"/>
      <c r="V2936" s="204"/>
      <c r="W2936" s="204"/>
      <c r="X2936" s="207"/>
      <c r="Y2936" s="207"/>
      <c r="Z2936" s="204"/>
      <c r="AA2936" s="204"/>
      <c r="AB2936" s="204"/>
      <c r="AC2936" s="204"/>
    </row>
    <row r="2937" spans="1:29">
      <c r="A2937" s="204"/>
      <c r="B2937" s="204"/>
      <c r="C2937" s="204"/>
      <c r="D2937" s="204"/>
      <c r="E2937" s="204"/>
      <c r="F2937" s="204"/>
      <c r="G2937" s="204"/>
      <c r="H2937" s="204"/>
      <c r="I2937" s="204"/>
      <c r="J2937" s="204"/>
      <c r="K2937" s="204"/>
      <c r="L2937" s="205"/>
      <c r="M2937" s="205"/>
      <c r="N2937" s="204"/>
      <c r="O2937" s="204"/>
      <c r="P2937" s="206"/>
      <c r="Q2937" s="206"/>
      <c r="R2937" s="206"/>
      <c r="S2937" s="206"/>
      <c r="T2937" s="204"/>
      <c r="U2937" s="207"/>
      <c r="V2937" s="204"/>
      <c r="W2937" s="204"/>
      <c r="X2937" s="207"/>
      <c r="Y2937" s="207"/>
      <c r="Z2937" s="204"/>
      <c r="AA2937" s="204"/>
      <c r="AB2937" s="204"/>
      <c r="AC2937" s="204"/>
    </row>
    <row r="2938" spans="1:29">
      <c r="A2938" s="204"/>
      <c r="B2938" s="204"/>
      <c r="C2938" s="204"/>
      <c r="D2938" s="204"/>
      <c r="E2938" s="204"/>
      <c r="F2938" s="204"/>
      <c r="G2938" s="204"/>
      <c r="H2938" s="204"/>
      <c r="I2938" s="204"/>
      <c r="J2938" s="204"/>
      <c r="K2938" s="204"/>
      <c r="L2938" s="205"/>
      <c r="M2938" s="205"/>
      <c r="N2938" s="204"/>
      <c r="O2938" s="204"/>
      <c r="P2938" s="206"/>
      <c r="Q2938" s="206"/>
      <c r="R2938" s="206"/>
      <c r="S2938" s="206"/>
      <c r="T2938" s="204"/>
      <c r="U2938" s="207"/>
      <c r="V2938" s="204"/>
      <c r="W2938" s="204"/>
      <c r="X2938" s="207"/>
      <c r="Y2938" s="207"/>
      <c r="Z2938" s="204"/>
      <c r="AA2938" s="204"/>
      <c r="AB2938" s="204"/>
      <c r="AC2938" s="204"/>
    </row>
    <row r="2939" spans="1:29">
      <c r="A2939" s="204"/>
      <c r="B2939" s="204"/>
      <c r="C2939" s="204"/>
      <c r="D2939" s="204"/>
      <c r="E2939" s="204"/>
      <c r="F2939" s="204"/>
      <c r="G2939" s="204"/>
      <c r="H2939" s="204"/>
      <c r="I2939" s="204"/>
      <c r="J2939" s="204"/>
      <c r="K2939" s="204"/>
      <c r="L2939" s="205"/>
      <c r="M2939" s="205"/>
      <c r="N2939" s="204"/>
      <c r="O2939" s="204"/>
      <c r="P2939" s="206"/>
      <c r="Q2939" s="206"/>
      <c r="R2939" s="206"/>
      <c r="S2939" s="206"/>
      <c r="T2939" s="204"/>
      <c r="U2939" s="207"/>
      <c r="V2939" s="204"/>
      <c r="W2939" s="204"/>
      <c r="X2939" s="207"/>
      <c r="Y2939" s="207"/>
      <c r="Z2939" s="204"/>
      <c r="AA2939" s="204"/>
      <c r="AB2939" s="204"/>
      <c r="AC2939" s="204"/>
    </row>
    <row r="2940" spans="1:29">
      <c r="A2940" s="204"/>
      <c r="B2940" s="204"/>
      <c r="C2940" s="204"/>
      <c r="D2940" s="204"/>
      <c r="E2940" s="204"/>
      <c r="F2940" s="204"/>
      <c r="G2940" s="204"/>
      <c r="H2940" s="204"/>
      <c r="I2940" s="204"/>
      <c r="J2940" s="204"/>
      <c r="K2940" s="204"/>
      <c r="L2940" s="205"/>
      <c r="M2940" s="205"/>
      <c r="N2940" s="204"/>
      <c r="O2940" s="204"/>
      <c r="P2940" s="206"/>
      <c r="Q2940" s="206"/>
      <c r="R2940" s="206"/>
      <c r="S2940" s="206"/>
      <c r="T2940" s="204"/>
      <c r="U2940" s="207"/>
      <c r="V2940" s="204"/>
      <c r="W2940" s="204"/>
      <c r="X2940" s="207"/>
      <c r="Y2940" s="207"/>
      <c r="Z2940" s="204"/>
      <c r="AA2940" s="204"/>
      <c r="AB2940" s="204"/>
      <c r="AC2940" s="204"/>
    </row>
    <row r="2941" spans="1:29">
      <c r="A2941" s="204"/>
      <c r="B2941" s="204"/>
      <c r="C2941" s="204"/>
      <c r="D2941" s="204"/>
      <c r="E2941" s="204"/>
      <c r="F2941" s="204"/>
      <c r="G2941" s="204"/>
      <c r="H2941" s="204"/>
      <c r="I2941" s="204"/>
      <c r="J2941" s="204"/>
      <c r="K2941" s="204"/>
      <c r="L2941" s="205"/>
      <c r="M2941" s="205"/>
      <c r="N2941" s="204"/>
      <c r="O2941" s="204"/>
      <c r="P2941" s="206"/>
      <c r="Q2941" s="206"/>
      <c r="R2941" s="206"/>
      <c r="S2941" s="206"/>
      <c r="T2941" s="204"/>
      <c r="U2941" s="207"/>
      <c r="V2941" s="204"/>
      <c r="W2941" s="204"/>
      <c r="X2941" s="207"/>
      <c r="Y2941" s="207"/>
      <c r="Z2941" s="204"/>
      <c r="AA2941" s="204"/>
      <c r="AB2941" s="204"/>
      <c r="AC2941" s="204"/>
    </row>
    <row r="2942" spans="1:29">
      <c r="A2942" s="204"/>
      <c r="B2942" s="204"/>
      <c r="C2942" s="204"/>
      <c r="D2942" s="204"/>
      <c r="E2942" s="204"/>
      <c r="F2942" s="204"/>
      <c r="G2942" s="204"/>
      <c r="H2942" s="204"/>
      <c r="I2942" s="204"/>
      <c r="J2942" s="204"/>
      <c r="K2942" s="204"/>
      <c r="L2942" s="205"/>
      <c r="M2942" s="205"/>
      <c r="N2942" s="204"/>
      <c r="O2942" s="204"/>
      <c r="P2942" s="206"/>
      <c r="Q2942" s="206"/>
      <c r="R2942" s="206"/>
      <c r="S2942" s="206"/>
      <c r="T2942" s="204"/>
      <c r="U2942" s="207"/>
      <c r="V2942" s="204"/>
      <c r="W2942" s="204"/>
      <c r="X2942" s="207"/>
      <c r="Y2942" s="207"/>
      <c r="Z2942" s="204"/>
      <c r="AA2942" s="204"/>
      <c r="AB2942" s="204"/>
      <c r="AC2942" s="204"/>
    </row>
    <row r="2943" spans="1:29">
      <c r="A2943" s="204"/>
      <c r="B2943" s="204"/>
      <c r="C2943" s="204"/>
      <c r="D2943" s="204"/>
      <c r="E2943" s="204"/>
      <c r="F2943" s="204"/>
      <c r="G2943" s="204"/>
      <c r="H2943" s="204"/>
      <c r="I2943" s="204"/>
      <c r="J2943" s="204"/>
      <c r="K2943" s="204"/>
      <c r="L2943" s="205"/>
      <c r="M2943" s="205"/>
      <c r="N2943" s="204"/>
      <c r="O2943" s="204"/>
      <c r="P2943" s="206"/>
      <c r="Q2943" s="206"/>
      <c r="R2943" s="206"/>
      <c r="S2943" s="206"/>
      <c r="T2943" s="204"/>
      <c r="U2943" s="207"/>
      <c r="V2943" s="204"/>
      <c r="W2943" s="204"/>
      <c r="X2943" s="207"/>
      <c r="Y2943" s="207"/>
      <c r="Z2943" s="204"/>
      <c r="AA2943" s="204"/>
      <c r="AB2943" s="204"/>
      <c r="AC2943" s="204"/>
    </row>
    <row r="2944" spans="1:29">
      <c r="A2944" s="204"/>
      <c r="B2944" s="204"/>
      <c r="C2944" s="204"/>
      <c r="D2944" s="204"/>
      <c r="E2944" s="204"/>
      <c r="F2944" s="204"/>
      <c r="G2944" s="204"/>
      <c r="H2944" s="204"/>
      <c r="I2944" s="204"/>
      <c r="J2944" s="204"/>
      <c r="K2944" s="204"/>
      <c r="L2944" s="205"/>
      <c r="M2944" s="205"/>
      <c r="N2944" s="204"/>
      <c r="O2944" s="204"/>
      <c r="P2944" s="206"/>
      <c r="Q2944" s="206"/>
      <c r="R2944" s="206"/>
      <c r="S2944" s="206"/>
      <c r="T2944" s="204"/>
      <c r="U2944" s="207"/>
      <c r="V2944" s="204"/>
      <c r="W2944" s="204"/>
      <c r="X2944" s="207"/>
      <c r="Y2944" s="207"/>
      <c r="Z2944" s="204"/>
      <c r="AA2944" s="204"/>
      <c r="AB2944" s="204"/>
      <c r="AC2944" s="204"/>
    </row>
    <row r="2945" spans="1:29">
      <c r="A2945" s="204"/>
      <c r="B2945" s="204"/>
      <c r="C2945" s="204"/>
      <c r="D2945" s="204"/>
      <c r="E2945" s="204"/>
      <c r="F2945" s="204"/>
      <c r="G2945" s="204"/>
      <c r="H2945" s="204"/>
      <c r="I2945" s="204"/>
      <c r="J2945" s="204"/>
      <c r="K2945" s="204"/>
      <c r="L2945" s="205"/>
      <c r="M2945" s="205"/>
      <c r="N2945" s="204"/>
      <c r="O2945" s="204"/>
      <c r="P2945" s="206"/>
      <c r="Q2945" s="206"/>
      <c r="R2945" s="206"/>
      <c r="S2945" s="206"/>
      <c r="T2945" s="204"/>
      <c r="U2945" s="207"/>
      <c r="V2945" s="204"/>
      <c r="W2945" s="204"/>
      <c r="X2945" s="207"/>
      <c r="Y2945" s="207"/>
      <c r="Z2945" s="204"/>
      <c r="AA2945" s="204"/>
      <c r="AB2945" s="204"/>
      <c r="AC2945" s="204"/>
    </row>
    <row r="2946" spans="1:29">
      <c r="A2946" s="204"/>
      <c r="B2946" s="204"/>
      <c r="C2946" s="204"/>
      <c r="D2946" s="204"/>
      <c r="E2946" s="204"/>
      <c r="F2946" s="204"/>
      <c r="G2946" s="204"/>
      <c r="H2946" s="204"/>
      <c r="I2946" s="204"/>
      <c r="J2946" s="204"/>
      <c r="K2946" s="204"/>
      <c r="L2946" s="205"/>
      <c r="M2946" s="205"/>
      <c r="N2946" s="204"/>
      <c r="O2946" s="204"/>
      <c r="P2946" s="206"/>
      <c r="Q2946" s="206"/>
      <c r="R2946" s="206"/>
      <c r="S2946" s="206"/>
      <c r="T2946" s="204"/>
      <c r="U2946" s="207"/>
      <c r="V2946" s="204"/>
      <c r="W2946" s="204"/>
      <c r="X2946" s="207"/>
      <c r="Y2946" s="207"/>
      <c r="Z2946" s="204"/>
      <c r="AA2946" s="204"/>
      <c r="AB2946" s="204"/>
      <c r="AC2946" s="204"/>
    </row>
    <row r="2947" spans="1:29">
      <c r="A2947" s="204"/>
      <c r="B2947" s="204"/>
      <c r="C2947" s="204"/>
      <c r="D2947" s="204"/>
      <c r="E2947" s="204"/>
      <c r="F2947" s="204"/>
      <c r="G2947" s="204"/>
      <c r="H2947" s="204"/>
      <c r="I2947" s="204"/>
      <c r="J2947" s="204"/>
      <c r="K2947" s="204"/>
      <c r="L2947" s="205"/>
      <c r="M2947" s="205"/>
      <c r="N2947" s="204"/>
      <c r="O2947" s="204"/>
      <c r="P2947" s="206"/>
      <c r="Q2947" s="206"/>
      <c r="R2947" s="206"/>
      <c r="S2947" s="206"/>
      <c r="T2947" s="204"/>
      <c r="U2947" s="207"/>
      <c r="V2947" s="204"/>
      <c r="W2947" s="204"/>
      <c r="X2947" s="207"/>
      <c r="Y2947" s="207"/>
      <c r="Z2947" s="204"/>
      <c r="AA2947" s="204"/>
      <c r="AB2947" s="204"/>
      <c r="AC2947" s="204"/>
    </row>
    <row r="2948" spans="1:29">
      <c r="A2948" s="204"/>
      <c r="B2948" s="204"/>
      <c r="C2948" s="204"/>
      <c r="D2948" s="204"/>
      <c r="E2948" s="204"/>
      <c r="F2948" s="204"/>
      <c r="G2948" s="204"/>
      <c r="H2948" s="204"/>
      <c r="I2948" s="204"/>
      <c r="J2948" s="204"/>
      <c r="K2948" s="204"/>
      <c r="L2948" s="205"/>
      <c r="M2948" s="205"/>
      <c r="N2948" s="204"/>
      <c r="O2948" s="204"/>
      <c r="P2948" s="206"/>
      <c r="Q2948" s="206"/>
      <c r="R2948" s="206"/>
      <c r="S2948" s="206"/>
      <c r="T2948" s="204"/>
      <c r="U2948" s="207"/>
      <c r="V2948" s="204"/>
      <c r="W2948" s="204"/>
      <c r="X2948" s="207"/>
      <c r="Y2948" s="207"/>
      <c r="Z2948" s="204"/>
      <c r="AA2948" s="204"/>
      <c r="AB2948" s="204"/>
      <c r="AC2948" s="204"/>
    </row>
    <row r="2949" spans="1:29">
      <c r="A2949" s="204"/>
      <c r="B2949" s="204"/>
      <c r="C2949" s="204"/>
      <c r="D2949" s="204"/>
      <c r="E2949" s="204"/>
      <c r="F2949" s="204"/>
      <c r="G2949" s="204"/>
      <c r="H2949" s="204"/>
      <c r="I2949" s="204"/>
      <c r="J2949" s="204"/>
      <c r="K2949" s="204"/>
      <c r="L2949" s="205"/>
      <c r="M2949" s="205"/>
      <c r="N2949" s="204"/>
      <c r="O2949" s="204"/>
      <c r="P2949" s="206"/>
      <c r="Q2949" s="206"/>
      <c r="R2949" s="206"/>
      <c r="S2949" s="206"/>
      <c r="T2949" s="204"/>
      <c r="U2949" s="207"/>
      <c r="V2949" s="204"/>
      <c r="W2949" s="204"/>
      <c r="X2949" s="207"/>
      <c r="Y2949" s="207"/>
      <c r="Z2949" s="204"/>
      <c r="AA2949" s="204"/>
      <c r="AB2949" s="204"/>
      <c r="AC2949" s="204"/>
    </row>
    <row r="2950" spans="1:29">
      <c r="A2950" s="204"/>
      <c r="B2950" s="204"/>
      <c r="C2950" s="204"/>
      <c r="D2950" s="204"/>
      <c r="E2950" s="204"/>
      <c r="F2950" s="204"/>
      <c r="G2950" s="204"/>
      <c r="H2950" s="204"/>
      <c r="I2950" s="204"/>
      <c r="J2950" s="204"/>
      <c r="K2950" s="204"/>
      <c r="L2950" s="205"/>
      <c r="M2950" s="205"/>
      <c r="N2950" s="204"/>
      <c r="O2950" s="204"/>
      <c r="P2950" s="206"/>
      <c r="Q2950" s="206"/>
      <c r="R2950" s="206"/>
      <c r="S2950" s="206"/>
      <c r="T2950" s="204"/>
      <c r="U2950" s="207"/>
      <c r="V2950" s="204"/>
      <c r="W2950" s="204"/>
      <c r="X2950" s="207"/>
      <c r="Y2950" s="207"/>
      <c r="Z2950" s="204"/>
      <c r="AA2950" s="204"/>
      <c r="AB2950" s="204"/>
      <c r="AC2950" s="204"/>
    </row>
    <row r="2951" spans="1:29">
      <c r="A2951" s="204"/>
      <c r="B2951" s="204"/>
      <c r="C2951" s="204"/>
      <c r="D2951" s="204"/>
      <c r="E2951" s="204"/>
      <c r="F2951" s="204"/>
      <c r="G2951" s="204"/>
      <c r="H2951" s="204"/>
      <c r="I2951" s="204"/>
      <c r="J2951" s="204"/>
      <c r="K2951" s="204"/>
      <c r="L2951" s="205"/>
      <c r="M2951" s="205"/>
      <c r="N2951" s="204"/>
      <c r="O2951" s="204"/>
      <c r="P2951" s="206"/>
      <c r="Q2951" s="206"/>
      <c r="R2951" s="206"/>
      <c r="S2951" s="206"/>
      <c r="T2951" s="204"/>
      <c r="U2951" s="207"/>
      <c r="V2951" s="204"/>
      <c r="W2951" s="204"/>
      <c r="X2951" s="207"/>
      <c r="Y2951" s="207"/>
      <c r="Z2951" s="204"/>
      <c r="AA2951" s="204"/>
      <c r="AB2951" s="204"/>
      <c r="AC2951" s="204"/>
    </row>
    <row r="2952" spans="1:29">
      <c r="A2952" s="204"/>
      <c r="B2952" s="204"/>
      <c r="C2952" s="204"/>
      <c r="D2952" s="204"/>
      <c r="E2952" s="204"/>
      <c r="F2952" s="204"/>
      <c r="G2952" s="204"/>
      <c r="H2952" s="204"/>
      <c r="I2952" s="204"/>
      <c r="J2952" s="204"/>
      <c r="K2952" s="204"/>
      <c r="L2952" s="205"/>
      <c r="M2952" s="205"/>
      <c r="N2952" s="204"/>
      <c r="O2952" s="204"/>
      <c r="P2952" s="206"/>
      <c r="Q2952" s="206"/>
      <c r="R2952" s="206"/>
      <c r="S2952" s="206"/>
      <c r="T2952" s="204"/>
      <c r="U2952" s="207"/>
      <c r="V2952" s="204"/>
      <c r="W2952" s="204"/>
      <c r="X2952" s="207"/>
      <c r="Y2952" s="207"/>
      <c r="Z2952" s="204"/>
      <c r="AA2952" s="204"/>
      <c r="AB2952" s="204"/>
      <c r="AC2952" s="204"/>
    </row>
    <row r="2953" spans="1:29">
      <c r="A2953" s="204"/>
      <c r="B2953" s="204"/>
      <c r="C2953" s="204"/>
      <c r="D2953" s="204"/>
      <c r="E2953" s="204"/>
      <c r="F2953" s="204"/>
      <c r="G2953" s="204"/>
      <c r="H2953" s="204"/>
      <c r="I2953" s="204"/>
      <c r="J2953" s="204"/>
      <c r="K2953" s="204"/>
      <c r="L2953" s="205"/>
      <c r="M2953" s="205"/>
      <c r="N2953" s="204"/>
      <c r="O2953" s="204"/>
      <c r="P2953" s="206"/>
      <c r="Q2953" s="206"/>
      <c r="R2953" s="206"/>
      <c r="S2953" s="206"/>
      <c r="T2953" s="204"/>
      <c r="U2953" s="207"/>
      <c r="V2953" s="204"/>
      <c r="W2953" s="204"/>
      <c r="X2953" s="207"/>
      <c r="Y2953" s="207"/>
      <c r="Z2953" s="204"/>
      <c r="AA2953" s="204"/>
      <c r="AB2953" s="204"/>
      <c r="AC2953" s="204"/>
    </row>
    <row r="2954" spans="1:29">
      <c r="A2954" s="204"/>
      <c r="B2954" s="204"/>
      <c r="C2954" s="204"/>
      <c r="D2954" s="204"/>
      <c r="E2954" s="204"/>
      <c r="F2954" s="204"/>
      <c r="G2954" s="204"/>
      <c r="H2954" s="204"/>
      <c r="I2954" s="204"/>
      <c r="J2954" s="204"/>
      <c r="K2954" s="204"/>
      <c r="L2954" s="205"/>
      <c r="M2954" s="205"/>
      <c r="N2954" s="204"/>
      <c r="O2954" s="204"/>
      <c r="P2954" s="206"/>
      <c r="Q2954" s="206"/>
      <c r="R2954" s="206"/>
      <c r="S2954" s="206"/>
      <c r="T2954" s="204"/>
      <c r="U2954" s="207"/>
      <c r="V2954" s="204"/>
      <c r="W2954" s="204"/>
      <c r="X2954" s="207"/>
      <c r="Y2954" s="207"/>
      <c r="Z2954" s="204"/>
      <c r="AA2954" s="204"/>
      <c r="AB2954" s="204"/>
      <c r="AC2954" s="204"/>
    </row>
    <row r="2955" spans="1:29">
      <c r="A2955" s="204"/>
      <c r="B2955" s="204"/>
      <c r="C2955" s="204"/>
      <c r="D2955" s="204"/>
      <c r="E2955" s="204"/>
      <c r="F2955" s="204"/>
      <c r="G2955" s="204"/>
      <c r="H2955" s="204"/>
      <c r="I2955" s="204"/>
      <c r="J2955" s="204"/>
      <c r="K2955" s="204"/>
      <c r="L2955" s="205"/>
      <c r="M2955" s="205"/>
      <c r="N2955" s="204"/>
      <c r="O2955" s="204"/>
      <c r="P2955" s="206"/>
      <c r="Q2955" s="206"/>
      <c r="R2955" s="206"/>
      <c r="S2955" s="206"/>
      <c r="T2955" s="204"/>
      <c r="U2955" s="207"/>
      <c r="V2955" s="204"/>
      <c r="W2955" s="204"/>
      <c r="X2955" s="207"/>
      <c r="Y2955" s="207"/>
      <c r="Z2955" s="204"/>
      <c r="AA2955" s="204"/>
      <c r="AB2955" s="204"/>
      <c r="AC2955" s="204"/>
    </row>
    <row r="2956" spans="1:29">
      <c r="A2956" s="204"/>
      <c r="B2956" s="204"/>
      <c r="C2956" s="204"/>
      <c r="D2956" s="204"/>
      <c r="E2956" s="204"/>
      <c r="F2956" s="204"/>
      <c r="G2956" s="204"/>
      <c r="H2956" s="204"/>
      <c r="I2956" s="204"/>
      <c r="J2956" s="204"/>
      <c r="K2956" s="204"/>
      <c r="L2956" s="205"/>
      <c r="M2956" s="205"/>
      <c r="N2956" s="204"/>
      <c r="O2956" s="204"/>
      <c r="P2956" s="206"/>
      <c r="Q2956" s="206"/>
      <c r="R2956" s="206"/>
      <c r="S2956" s="206"/>
      <c r="T2956" s="204"/>
      <c r="U2956" s="207"/>
      <c r="V2956" s="204"/>
      <c r="W2956" s="204"/>
      <c r="X2956" s="207"/>
      <c r="Y2956" s="207"/>
      <c r="Z2956" s="204"/>
      <c r="AA2956" s="204"/>
      <c r="AB2956" s="204"/>
      <c r="AC2956" s="204"/>
    </row>
    <row r="2957" spans="1:29">
      <c r="A2957" s="204"/>
      <c r="B2957" s="204"/>
      <c r="C2957" s="204"/>
      <c r="D2957" s="204"/>
      <c r="E2957" s="204"/>
      <c r="F2957" s="204"/>
      <c r="G2957" s="204"/>
      <c r="H2957" s="204"/>
      <c r="I2957" s="204"/>
      <c r="J2957" s="204"/>
      <c r="K2957" s="204"/>
      <c r="L2957" s="205"/>
      <c r="M2957" s="205"/>
      <c r="N2957" s="204"/>
      <c r="O2957" s="204"/>
      <c r="P2957" s="206"/>
      <c r="Q2957" s="206"/>
      <c r="R2957" s="206"/>
      <c r="S2957" s="206"/>
      <c r="T2957" s="204"/>
      <c r="U2957" s="207"/>
      <c r="V2957" s="204"/>
      <c r="W2957" s="204"/>
      <c r="X2957" s="207"/>
      <c r="Y2957" s="207"/>
      <c r="Z2957" s="204"/>
      <c r="AA2957" s="204"/>
      <c r="AB2957" s="204"/>
      <c r="AC2957" s="204"/>
    </row>
    <row r="2958" spans="1:29">
      <c r="A2958" s="204"/>
      <c r="B2958" s="204"/>
      <c r="C2958" s="204"/>
      <c r="D2958" s="204"/>
      <c r="E2958" s="204"/>
      <c r="F2958" s="204"/>
      <c r="G2958" s="204"/>
      <c r="H2958" s="204"/>
      <c r="I2958" s="204"/>
      <c r="J2958" s="204"/>
      <c r="K2958" s="204"/>
      <c r="L2958" s="205"/>
      <c r="M2958" s="205"/>
      <c r="N2958" s="204"/>
      <c r="O2958" s="204"/>
      <c r="P2958" s="206"/>
      <c r="Q2958" s="206"/>
      <c r="R2958" s="206"/>
      <c r="S2958" s="206"/>
      <c r="T2958" s="204"/>
      <c r="U2958" s="207"/>
      <c r="V2958" s="204"/>
      <c r="W2958" s="204"/>
      <c r="X2958" s="207"/>
      <c r="Y2958" s="207"/>
      <c r="Z2958" s="204"/>
      <c r="AA2958" s="204"/>
      <c r="AB2958" s="204"/>
      <c r="AC2958" s="204"/>
    </row>
    <row r="2959" spans="1:29">
      <c r="A2959" s="204"/>
      <c r="B2959" s="204"/>
      <c r="C2959" s="204"/>
      <c r="D2959" s="204"/>
      <c r="E2959" s="204"/>
      <c r="F2959" s="204"/>
      <c r="G2959" s="204"/>
      <c r="H2959" s="204"/>
      <c r="I2959" s="204"/>
      <c r="J2959" s="204"/>
      <c r="K2959" s="204"/>
      <c r="L2959" s="205"/>
      <c r="M2959" s="205"/>
      <c r="N2959" s="204"/>
      <c r="O2959" s="204"/>
      <c r="P2959" s="206"/>
      <c r="Q2959" s="206"/>
      <c r="R2959" s="206"/>
      <c r="S2959" s="206"/>
      <c r="T2959" s="204"/>
      <c r="U2959" s="207"/>
      <c r="V2959" s="204"/>
      <c r="W2959" s="204"/>
      <c r="X2959" s="207"/>
      <c r="Y2959" s="207"/>
      <c r="Z2959" s="204"/>
      <c r="AA2959" s="204"/>
      <c r="AB2959" s="204"/>
      <c r="AC2959" s="204"/>
    </row>
    <row r="2960" spans="1:29">
      <c r="A2960" s="204"/>
      <c r="B2960" s="204"/>
      <c r="C2960" s="204"/>
      <c r="D2960" s="204"/>
      <c r="E2960" s="204"/>
      <c r="F2960" s="204"/>
      <c r="G2960" s="204"/>
      <c r="H2960" s="204"/>
      <c r="I2960" s="204"/>
      <c r="J2960" s="204"/>
      <c r="K2960" s="204"/>
      <c r="L2960" s="205"/>
      <c r="M2960" s="205"/>
      <c r="N2960" s="204"/>
      <c r="O2960" s="204"/>
      <c r="P2960" s="206"/>
      <c r="Q2960" s="206"/>
      <c r="R2960" s="206"/>
      <c r="S2960" s="206"/>
      <c r="T2960" s="204"/>
      <c r="U2960" s="207"/>
      <c r="V2960" s="204"/>
      <c r="W2960" s="204"/>
      <c r="X2960" s="207"/>
      <c r="Y2960" s="207"/>
      <c r="Z2960" s="204"/>
      <c r="AA2960" s="204"/>
      <c r="AB2960" s="204"/>
      <c r="AC2960" s="204"/>
    </row>
    <row r="2961" spans="1:29">
      <c r="A2961" s="204"/>
      <c r="B2961" s="204"/>
      <c r="C2961" s="204"/>
      <c r="D2961" s="204"/>
      <c r="E2961" s="204"/>
      <c r="F2961" s="204"/>
      <c r="G2961" s="204"/>
      <c r="H2961" s="204"/>
      <c r="I2961" s="204"/>
      <c r="J2961" s="204"/>
      <c r="K2961" s="204"/>
      <c r="L2961" s="205"/>
      <c r="M2961" s="205"/>
      <c r="N2961" s="204"/>
      <c r="O2961" s="204"/>
      <c r="P2961" s="206"/>
      <c r="Q2961" s="206"/>
      <c r="R2961" s="206"/>
      <c r="S2961" s="206"/>
      <c r="T2961" s="204"/>
      <c r="U2961" s="207"/>
      <c r="V2961" s="204"/>
      <c r="W2961" s="204"/>
      <c r="X2961" s="207"/>
      <c r="Y2961" s="207"/>
      <c r="Z2961" s="204"/>
      <c r="AA2961" s="204"/>
      <c r="AB2961" s="204"/>
      <c r="AC2961" s="204"/>
    </row>
    <row r="2962" spans="1:29">
      <c r="A2962" s="204"/>
      <c r="B2962" s="204"/>
      <c r="C2962" s="204"/>
      <c r="D2962" s="204"/>
      <c r="E2962" s="204"/>
      <c r="F2962" s="204"/>
      <c r="G2962" s="204"/>
      <c r="H2962" s="204"/>
      <c r="I2962" s="204"/>
      <c r="J2962" s="204"/>
      <c r="K2962" s="204"/>
      <c r="L2962" s="205"/>
      <c r="M2962" s="205"/>
      <c r="N2962" s="204"/>
      <c r="O2962" s="204"/>
      <c r="P2962" s="206"/>
      <c r="Q2962" s="206"/>
      <c r="R2962" s="206"/>
      <c r="S2962" s="206"/>
      <c r="T2962" s="204"/>
      <c r="U2962" s="207"/>
      <c r="V2962" s="204"/>
      <c r="W2962" s="204"/>
      <c r="X2962" s="207"/>
      <c r="Y2962" s="207"/>
      <c r="Z2962" s="204"/>
      <c r="AA2962" s="204"/>
      <c r="AB2962" s="204"/>
      <c r="AC2962" s="204"/>
    </row>
    <row r="2963" spans="1:29">
      <c r="A2963" s="204"/>
      <c r="B2963" s="204"/>
      <c r="C2963" s="204"/>
      <c r="D2963" s="204"/>
      <c r="E2963" s="204"/>
      <c r="F2963" s="204"/>
      <c r="G2963" s="204"/>
      <c r="H2963" s="204"/>
      <c r="I2963" s="204"/>
      <c r="J2963" s="204"/>
      <c r="K2963" s="204"/>
      <c r="L2963" s="205"/>
      <c r="M2963" s="205"/>
      <c r="N2963" s="204"/>
      <c r="O2963" s="204"/>
      <c r="P2963" s="206"/>
      <c r="Q2963" s="206"/>
      <c r="R2963" s="206"/>
      <c r="S2963" s="206"/>
      <c r="T2963" s="204"/>
      <c r="U2963" s="207"/>
      <c r="V2963" s="204"/>
      <c r="W2963" s="204"/>
      <c r="X2963" s="207"/>
      <c r="Y2963" s="207"/>
      <c r="Z2963" s="204"/>
      <c r="AA2963" s="204"/>
      <c r="AB2963" s="204"/>
      <c r="AC2963" s="204"/>
    </row>
    <row r="2964" spans="1:29">
      <c r="A2964" s="204"/>
      <c r="B2964" s="204"/>
      <c r="C2964" s="204"/>
      <c r="D2964" s="204"/>
      <c r="E2964" s="204"/>
      <c r="F2964" s="204"/>
      <c r="G2964" s="204"/>
      <c r="H2964" s="204"/>
      <c r="I2964" s="204"/>
      <c r="J2964" s="204"/>
      <c r="K2964" s="204"/>
      <c r="L2964" s="205"/>
      <c r="M2964" s="205"/>
      <c r="N2964" s="204"/>
      <c r="O2964" s="204"/>
      <c r="P2964" s="206"/>
      <c r="Q2964" s="206"/>
      <c r="R2964" s="206"/>
      <c r="S2964" s="206"/>
      <c r="T2964" s="204"/>
      <c r="U2964" s="207"/>
      <c r="V2964" s="204"/>
      <c r="W2964" s="204"/>
      <c r="X2964" s="207"/>
      <c r="Y2964" s="207"/>
      <c r="Z2964" s="204"/>
      <c r="AA2964" s="204"/>
      <c r="AB2964" s="204"/>
      <c r="AC2964" s="204"/>
    </row>
    <row r="2965" spans="1:29">
      <c r="A2965" s="204"/>
      <c r="B2965" s="204"/>
      <c r="C2965" s="204"/>
      <c r="D2965" s="204"/>
      <c r="E2965" s="204"/>
      <c r="F2965" s="204"/>
      <c r="G2965" s="204"/>
      <c r="H2965" s="204"/>
      <c r="I2965" s="204"/>
      <c r="J2965" s="204"/>
      <c r="K2965" s="204"/>
      <c r="L2965" s="205"/>
      <c r="M2965" s="205"/>
      <c r="N2965" s="204"/>
      <c r="O2965" s="204"/>
      <c r="P2965" s="206"/>
      <c r="Q2965" s="206"/>
      <c r="R2965" s="206"/>
      <c r="S2965" s="206"/>
      <c r="T2965" s="204"/>
      <c r="U2965" s="207"/>
      <c r="V2965" s="204"/>
      <c r="W2965" s="204"/>
      <c r="X2965" s="207"/>
      <c r="Y2965" s="207"/>
      <c r="Z2965" s="204"/>
      <c r="AA2965" s="204"/>
      <c r="AB2965" s="204"/>
      <c r="AC2965" s="204"/>
    </row>
    <row r="2966" spans="1:29">
      <c r="A2966" s="204"/>
      <c r="B2966" s="204"/>
      <c r="C2966" s="204"/>
      <c r="D2966" s="204"/>
      <c r="E2966" s="204"/>
      <c r="F2966" s="204"/>
      <c r="G2966" s="204"/>
      <c r="H2966" s="204"/>
      <c r="I2966" s="204"/>
      <c r="J2966" s="204"/>
      <c r="K2966" s="204"/>
      <c r="L2966" s="205"/>
      <c r="M2966" s="205"/>
      <c r="N2966" s="204"/>
      <c r="O2966" s="204"/>
      <c r="P2966" s="206"/>
      <c r="Q2966" s="206"/>
      <c r="R2966" s="206"/>
      <c r="S2966" s="206"/>
      <c r="T2966" s="204"/>
      <c r="U2966" s="207"/>
      <c r="V2966" s="204"/>
      <c r="W2966" s="204"/>
      <c r="X2966" s="207"/>
      <c r="Y2966" s="207"/>
      <c r="Z2966" s="204"/>
      <c r="AA2966" s="204"/>
      <c r="AB2966" s="204"/>
      <c r="AC2966" s="204"/>
    </row>
    <row r="2967" spans="1:29">
      <c r="A2967" s="204"/>
      <c r="B2967" s="204"/>
      <c r="C2967" s="204"/>
      <c r="D2967" s="204"/>
      <c r="E2967" s="204"/>
      <c r="F2967" s="204"/>
      <c r="G2967" s="204"/>
      <c r="H2967" s="204"/>
      <c r="I2967" s="204"/>
      <c r="J2967" s="204"/>
      <c r="K2967" s="204"/>
      <c r="L2967" s="205"/>
      <c r="M2967" s="205"/>
      <c r="N2967" s="204"/>
      <c r="O2967" s="204"/>
      <c r="P2967" s="206"/>
      <c r="Q2967" s="206"/>
      <c r="R2967" s="206"/>
      <c r="S2967" s="206"/>
      <c r="T2967" s="204"/>
      <c r="U2967" s="207"/>
      <c r="V2967" s="204"/>
      <c r="W2967" s="204"/>
      <c r="X2967" s="207"/>
      <c r="Y2967" s="207"/>
      <c r="Z2967" s="204"/>
      <c r="AA2967" s="204"/>
      <c r="AB2967" s="204"/>
      <c r="AC2967" s="204"/>
    </row>
    <row r="2968" spans="1:29">
      <c r="A2968" s="204"/>
      <c r="B2968" s="204"/>
      <c r="C2968" s="204"/>
      <c r="D2968" s="204"/>
      <c r="E2968" s="204"/>
      <c r="F2968" s="204"/>
      <c r="G2968" s="204"/>
      <c r="H2968" s="204"/>
      <c r="I2968" s="204"/>
      <c r="J2968" s="204"/>
      <c r="K2968" s="204"/>
      <c r="L2968" s="205"/>
      <c r="M2968" s="205"/>
      <c r="N2968" s="204"/>
      <c r="O2968" s="204"/>
      <c r="P2968" s="206"/>
      <c r="Q2968" s="206"/>
      <c r="R2968" s="206"/>
      <c r="S2968" s="206"/>
      <c r="T2968" s="204"/>
      <c r="U2968" s="207"/>
      <c r="V2968" s="204"/>
      <c r="W2968" s="204"/>
      <c r="X2968" s="207"/>
      <c r="Y2968" s="207"/>
      <c r="Z2968" s="204"/>
      <c r="AA2968" s="204"/>
      <c r="AB2968" s="204"/>
      <c r="AC2968" s="204"/>
    </row>
    <row r="2969" spans="1:29">
      <c r="A2969" s="204"/>
      <c r="B2969" s="204"/>
      <c r="C2969" s="204"/>
      <c r="D2969" s="204"/>
      <c r="E2969" s="204"/>
      <c r="F2969" s="204"/>
      <c r="G2969" s="204"/>
      <c r="H2969" s="204"/>
      <c r="I2969" s="204"/>
      <c r="J2969" s="204"/>
      <c r="K2969" s="204"/>
      <c r="L2969" s="205"/>
      <c r="M2969" s="205"/>
      <c r="N2969" s="204"/>
      <c r="O2969" s="204"/>
      <c r="P2969" s="206"/>
      <c r="Q2969" s="206"/>
      <c r="R2969" s="206"/>
      <c r="S2969" s="206"/>
      <c r="T2969" s="204"/>
      <c r="U2969" s="207"/>
      <c r="V2969" s="204"/>
      <c r="W2969" s="204"/>
      <c r="X2969" s="207"/>
      <c r="Y2969" s="207"/>
      <c r="Z2969" s="204"/>
      <c r="AA2969" s="204"/>
      <c r="AB2969" s="204"/>
      <c r="AC2969" s="204"/>
    </row>
    <row r="2970" spans="1:29">
      <c r="A2970" s="204"/>
      <c r="B2970" s="204"/>
      <c r="C2970" s="204"/>
      <c r="D2970" s="204"/>
      <c r="E2970" s="204"/>
      <c r="F2970" s="204"/>
      <c r="G2970" s="204"/>
      <c r="H2970" s="204"/>
      <c r="I2970" s="204"/>
      <c r="J2970" s="204"/>
      <c r="K2970" s="204"/>
      <c r="L2970" s="205"/>
      <c r="M2970" s="205"/>
      <c r="N2970" s="204"/>
      <c r="O2970" s="204"/>
      <c r="P2970" s="206"/>
      <c r="Q2970" s="206"/>
      <c r="R2970" s="206"/>
      <c r="S2970" s="206"/>
      <c r="T2970" s="204"/>
      <c r="U2970" s="207"/>
      <c r="V2970" s="204"/>
      <c r="W2970" s="204"/>
      <c r="X2970" s="207"/>
      <c r="Y2970" s="207"/>
      <c r="Z2970" s="204"/>
      <c r="AA2970" s="204"/>
      <c r="AB2970" s="204"/>
      <c r="AC2970" s="204"/>
    </row>
    <row r="2971" spans="1:29">
      <c r="A2971" s="204"/>
      <c r="B2971" s="204"/>
      <c r="C2971" s="204"/>
      <c r="D2971" s="204"/>
      <c r="E2971" s="204"/>
      <c r="F2971" s="204"/>
      <c r="G2971" s="204"/>
      <c r="H2971" s="204"/>
      <c r="I2971" s="204"/>
      <c r="J2971" s="204"/>
      <c r="K2971" s="204"/>
      <c r="L2971" s="205"/>
      <c r="M2971" s="205"/>
      <c r="N2971" s="204"/>
      <c r="O2971" s="204"/>
      <c r="P2971" s="206"/>
      <c r="Q2971" s="206"/>
      <c r="R2971" s="206"/>
      <c r="S2971" s="206"/>
      <c r="T2971" s="204"/>
      <c r="U2971" s="207"/>
      <c r="V2971" s="204"/>
      <c r="W2971" s="204"/>
      <c r="X2971" s="207"/>
      <c r="Y2971" s="207"/>
      <c r="Z2971" s="204"/>
      <c r="AA2971" s="204"/>
      <c r="AB2971" s="204"/>
      <c r="AC2971" s="204"/>
    </row>
    <row r="2972" spans="1:29">
      <c r="A2972" s="204"/>
      <c r="B2972" s="204"/>
      <c r="C2972" s="204"/>
      <c r="D2972" s="204"/>
      <c r="E2972" s="204"/>
      <c r="F2972" s="204"/>
      <c r="G2972" s="204"/>
      <c r="H2972" s="204"/>
      <c r="I2972" s="204"/>
      <c r="J2972" s="204"/>
      <c r="K2972" s="204"/>
      <c r="L2972" s="205"/>
      <c r="M2972" s="205"/>
      <c r="N2972" s="204"/>
      <c r="O2972" s="204"/>
      <c r="P2972" s="206"/>
      <c r="Q2972" s="206"/>
      <c r="R2972" s="206"/>
      <c r="S2972" s="206"/>
      <c r="T2972" s="204"/>
      <c r="U2972" s="207"/>
      <c r="V2972" s="204"/>
      <c r="W2972" s="204"/>
      <c r="X2972" s="207"/>
      <c r="Y2972" s="207"/>
      <c r="Z2972" s="204"/>
      <c r="AA2972" s="204"/>
      <c r="AB2972" s="204"/>
      <c r="AC2972" s="204"/>
    </row>
    <row r="2973" spans="1:29">
      <c r="A2973" s="204"/>
      <c r="B2973" s="204"/>
      <c r="C2973" s="204"/>
      <c r="D2973" s="204"/>
      <c r="E2973" s="204"/>
      <c r="F2973" s="204"/>
      <c r="G2973" s="204"/>
      <c r="H2973" s="204"/>
      <c r="I2973" s="204"/>
      <c r="J2973" s="204"/>
      <c r="K2973" s="204"/>
      <c r="L2973" s="205"/>
      <c r="M2973" s="205"/>
      <c r="N2973" s="204"/>
      <c r="O2973" s="204"/>
      <c r="P2973" s="206"/>
      <c r="Q2973" s="206"/>
      <c r="R2973" s="206"/>
      <c r="S2973" s="206"/>
      <c r="T2973" s="204"/>
      <c r="U2973" s="207"/>
      <c r="V2973" s="204"/>
      <c r="W2973" s="204"/>
      <c r="X2973" s="207"/>
      <c r="Y2973" s="207"/>
      <c r="Z2973" s="204"/>
      <c r="AA2973" s="204"/>
      <c r="AB2973" s="204"/>
      <c r="AC2973" s="204"/>
    </row>
    <row r="2974" spans="1:29">
      <c r="A2974" s="204"/>
      <c r="B2974" s="204"/>
      <c r="C2974" s="204"/>
      <c r="D2974" s="204"/>
      <c r="E2974" s="204"/>
      <c r="F2974" s="204"/>
      <c r="G2974" s="204"/>
      <c r="H2974" s="204"/>
      <c r="I2974" s="204"/>
      <c r="J2974" s="204"/>
      <c r="K2974" s="204"/>
      <c r="L2974" s="205"/>
      <c r="M2974" s="205"/>
      <c r="N2974" s="204"/>
      <c r="O2974" s="204"/>
      <c r="P2974" s="206"/>
      <c r="Q2974" s="206"/>
      <c r="R2974" s="206"/>
      <c r="S2974" s="206"/>
      <c r="T2974" s="204"/>
      <c r="U2974" s="207"/>
      <c r="V2974" s="204"/>
      <c r="W2974" s="204"/>
      <c r="X2974" s="207"/>
      <c r="Y2974" s="207"/>
      <c r="Z2974" s="204"/>
      <c r="AA2974" s="204"/>
      <c r="AB2974" s="204"/>
      <c r="AC2974" s="204"/>
    </row>
    <row r="2975" spans="1:29">
      <c r="A2975" s="204"/>
      <c r="B2975" s="204"/>
      <c r="C2975" s="204"/>
      <c r="D2975" s="204"/>
      <c r="E2975" s="204"/>
      <c r="F2975" s="204"/>
      <c r="G2975" s="204"/>
      <c r="H2975" s="204"/>
      <c r="I2975" s="204"/>
      <c r="J2975" s="204"/>
      <c r="K2975" s="204"/>
      <c r="L2975" s="205"/>
      <c r="M2975" s="205"/>
      <c r="N2975" s="204"/>
      <c r="O2975" s="204"/>
      <c r="P2975" s="206"/>
      <c r="Q2975" s="206"/>
      <c r="R2975" s="206"/>
      <c r="S2975" s="206"/>
      <c r="T2975" s="204"/>
      <c r="U2975" s="207"/>
      <c r="V2975" s="204"/>
      <c r="W2975" s="204"/>
      <c r="X2975" s="207"/>
      <c r="Y2975" s="207"/>
      <c r="Z2975" s="204"/>
      <c r="AA2975" s="204"/>
      <c r="AB2975" s="204"/>
      <c r="AC2975" s="204"/>
    </row>
    <row r="2976" spans="1:29">
      <c r="A2976" s="204"/>
      <c r="B2976" s="204"/>
      <c r="C2976" s="204"/>
      <c r="D2976" s="204"/>
      <c r="E2976" s="204"/>
      <c r="F2976" s="204"/>
      <c r="G2976" s="204"/>
      <c r="H2976" s="204"/>
      <c r="I2976" s="204"/>
      <c r="J2976" s="204"/>
      <c r="K2976" s="204"/>
      <c r="L2976" s="205"/>
      <c r="M2976" s="205"/>
      <c r="N2976" s="204"/>
      <c r="O2976" s="204"/>
      <c r="P2976" s="206"/>
      <c r="Q2976" s="206"/>
      <c r="R2976" s="206"/>
      <c r="S2976" s="206"/>
      <c r="T2976" s="204"/>
      <c r="U2976" s="207"/>
      <c r="V2976" s="204"/>
      <c r="W2976" s="204"/>
      <c r="X2976" s="207"/>
      <c r="Y2976" s="207"/>
      <c r="Z2976" s="204"/>
      <c r="AA2976" s="204"/>
      <c r="AB2976" s="204"/>
      <c r="AC2976" s="204"/>
    </row>
    <row r="2977" spans="1:29">
      <c r="A2977" s="204"/>
      <c r="B2977" s="204"/>
      <c r="C2977" s="204"/>
      <c r="D2977" s="204"/>
      <c r="E2977" s="204"/>
      <c r="F2977" s="204"/>
      <c r="G2977" s="204"/>
      <c r="H2977" s="204"/>
      <c r="I2977" s="204"/>
      <c r="J2977" s="204"/>
      <c r="K2977" s="204"/>
      <c r="L2977" s="205"/>
      <c r="M2977" s="205"/>
      <c r="N2977" s="204"/>
      <c r="O2977" s="204"/>
      <c r="P2977" s="206"/>
      <c r="Q2977" s="206"/>
      <c r="R2977" s="206"/>
      <c r="S2977" s="206"/>
      <c r="T2977" s="204"/>
      <c r="U2977" s="207"/>
      <c r="V2977" s="204"/>
      <c r="W2977" s="204"/>
      <c r="X2977" s="207"/>
      <c r="Y2977" s="207"/>
      <c r="Z2977" s="204"/>
      <c r="AA2977" s="204"/>
      <c r="AB2977" s="204"/>
      <c r="AC2977" s="204"/>
    </row>
    <row r="2978" spans="1:29">
      <c r="A2978" s="204"/>
      <c r="B2978" s="204"/>
      <c r="C2978" s="204"/>
      <c r="D2978" s="204"/>
      <c r="E2978" s="204"/>
      <c r="F2978" s="204"/>
      <c r="G2978" s="204"/>
      <c r="H2978" s="204"/>
      <c r="I2978" s="204"/>
      <c r="J2978" s="204"/>
      <c r="K2978" s="204"/>
      <c r="L2978" s="205"/>
      <c r="M2978" s="205"/>
      <c r="N2978" s="204"/>
      <c r="O2978" s="204"/>
      <c r="P2978" s="206"/>
      <c r="Q2978" s="206"/>
      <c r="R2978" s="206"/>
      <c r="S2978" s="206"/>
      <c r="T2978" s="204"/>
      <c r="U2978" s="207"/>
      <c r="V2978" s="204"/>
      <c r="W2978" s="204"/>
      <c r="X2978" s="207"/>
      <c r="Y2978" s="207"/>
      <c r="Z2978" s="204"/>
      <c r="AA2978" s="204"/>
      <c r="AB2978" s="204"/>
      <c r="AC2978" s="204"/>
    </row>
    <row r="2979" spans="1:29">
      <c r="A2979" s="204"/>
      <c r="B2979" s="204"/>
      <c r="C2979" s="204"/>
      <c r="D2979" s="204"/>
      <c r="E2979" s="204"/>
      <c r="F2979" s="204"/>
      <c r="G2979" s="204"/>
      <c r="H2979" s="204"/>
      <c r="I2979" s="204"/>
      <c r="J2979" s="204"/>
      <c r="K2979" s="204"/>
      <c r="L2979" s="205"/>
      <c r="M2979" s="205"/>
      <c r="N2979" s="204"/>
      <c r="O2979" s="204"/>
      <c r="P2979" s="206"/>
      <c r="Q2979" s="206"/>
      <c r="R2979" s="206"/>
      <c r="S2979" s="206"/>
      <c r="T2979" s="204"/>
      <c r="U2979" s="207"/>
      <c r="V2979" s="204"/>
      <c r="W2979" s="204"/>
      <c r="X2979" s="207"/>
      <c r="Y2979" s="207"/>
      <c r="Z2979" s="204"/>
      <c r="AA2979" s="204"/>
      <c r="AB2979" s="204"/>
      <c r="AC2979" s="204"/>
    </row>
    <row r="2980" spans="1:29">
      <c r="A2980" s="204"/>
      <c r="B2980" s="204"/>
      <c r="C2980" s="204"/>
      <c r="D2980" s="204"/>
      <c r="E2980" s="204"/>
      <c r="F2980" s="204"/>
      <c r="G2980" s="204"/>
      <c r="H2980" s="204"/>
      <c r="I2980" s="204"/>
      <c r="J2980" s="204"/>
      <c r="K2980" s="204"/>
      <c r="L2980" s="205"/>
      <c r="M2980" s="205"/>
      <c r="N2980" s="204"/>
      <c r="O2980" s="204"/>
      <c r="P2980" s="206"/>
      <c r="Q2980" s="206"/>
      <c r="R2980" s="206"/>
      <c r="S2980" s="206"/>
      <c r="T2980" s="204"/>
      <c r="U2980" s="207"/>
      <c r="V2980" s="204"/>
      <c r="W2980" s="204"/>
      <c r="X2980" s="207"/>
      <c r="Y2980" s="207"/>
      <c r="Z2980" s="204"/>
      <c r="AA2980" s="204"/>
      <c r="AB2980" s="204"/>
      <c r="AC2980" s="204"/>
    </row>
    <row r="2981" spans="1:29">
      <c r="A2981" s="204"/>
      <c r="B2981" s="204"/>
      <c r="C2981" s="204"/>
      <c r="D2981" s="204"/>
      <c r="E2981" s="204"/>
      <c r="F2981" s="204"/>
      <c r="G2981" s="204"/>
      <c r="H2981" s="204"/>
      <c r="I2981" s="204"/>
      <c r="J2981" s="204"/>
      <c r="K2981" s="204"/>
      <c r="L2981" s="205"/>
      <c r="M2981" s="205"/>
      <c r="N2981" s="204"/>
      <c r="O2981" s="204"/>
      <c r="P2981" s="206"/>
      <c r="Q2981" s="206"/>
      <c r="R2981" s="206"/>
      <c r="S2981" s="206"/>
      <c r="T2981" s="204"/>
      <c r="U2981" s="207"/>
      <c r="V2981" s="204"/>
      <c r="W2981" s="204"/>
      <c r="X2981" s="207"/>
      <c r="Y2981" s="207"/>
      <c r="Z2981" s="204"/>
      <c r="AA2981" s="204"/>
      <c r="AB2981" s="204"/>
      <c r="AC2981" s="204"/>
    </row>
    <row r="2982" spans="1:29">
      <c r="A2982" s="204"/>
      <c r="B2982" s="204"/>
      <c r="C2982" s="204"/>
      <c r="D2982" s="204"/>
      <c r="E2982" s="204"/>
      <c r="F2982" s="204"/>
      <c r="G2982" s="204"/>
      <c r="H2982" s="204"/>
      <c r="I2982" s="204"/>
      <c r="J2982" s="204"/>
      <c r="K2982" s="204"/>
      <c r="L2982" s="205"/>
      <c r="M2982" s="205"/>
      <c r="N2982" s="204"/>
      <c r="O2982" s="204"/>
      <c r="P2982" s="206"/>
      <c r="Q2982" s="206"/>
      <c r="R2982" s="206"/>
      <c r="S2982" s="206"/>
      <c r="T2982" s="204"/>
      <c r="U2982" s="207"/>
      <c r="V2982" s="204"/>
      <c r="W2982" s="204"/>
      <c r="X2982" s="207"/>
      <c r="Y2982" s="207"/>
      <c r="Z2982" s="204"/>
      <c r="AA2982" s="204"/>
      <c r="AB2982" s="204"/>
      <c r="AC2982" s="204"/>
    </row>
    <row r="2983" spans="1:29">
      <c r="A2983" s="204"/>
      <c r="B2983" s="204"/>
      <c r="C2983" s="204"/>
      <c r="D2983" s="204"/>
      <c r="E2983" s="204"/>
      <c r="F2983" s="204"/>
      <c r="G2983" s="204"/>
      <c r="H2983" s="204"/>
      <c r="I2983" s="204"/>
      <c r="J2983" s="204"/>
      <c r="K2983" s="204"/>
      <c r="L2983" s="205"/>
      <c r="M2983" s="205"/>
      <c r="N2983" s="204"/>
      <c r="O2983" s="204"/>
      <c r="P2983" s="206"/>
      <c r="Q2983" s="206"/>
      <c r="R2983" s="206"/>
      <c r="S2983" s="206"/>
      <c r="T2983" s="204"/>
      <c r="U2983" s="207"/>
      <c r="V2983" s="204"/>
      <c r="W2983" s="204"/>
      <c r="X2983" s="207"/>
      <c r="Y2983" s="207"/>
      <c r="Z2983" s="204"/>
      <c r="AA2983" s="204"/>
      <c r="AB2983" s="204"/>
      <c r="AC2983" s="204"/>
    </row>
    <row r="2984" spans="1:29">
      <c r="A2984" s="204"/>
      <c r="B2984" s="204"/>
      <c r="C2984" s="204"/>
      <c r="D2984" s="204"/>
      <c r="E2984" s="204"/>
      <c r="F2984" s="204"/>
      <c r="G2984" s="204"/>
      <c r="H2984" s="204"/>
      <c r="I2984" s="204"/>
      <c r="J2984" s="204"/>
      <c r="K2984" s="204"/>
      <c r="L2984" s="205"/>
      <c r="M2984" s="205"/>
      <c r="N2984" s="204"/>
      <c r="O2984" s="204"/>
      <c r="P2984" s="206"/>
      <c r="Q2984" s="206"/>
      <c r="R2984" s="206"/>
      <c r="S2984" s="206"/>
      <c r="T2984" s="204"/>
      <c r="U2984" s="207"/>
      <c r="V2984" s="204"/>
      <c r="W2984" s="204"/>
      <c r="X2984" s="207"/>
      <c r="Y2984" s="207"/>
      <c r="Z2984" s="204"/>
      <c r="AA2984" s="204"/>
      <c r="AB2984" s="204"/>
      <c r="AC2984" s="204"/>
    </row>
    <row r="2985" spans="1:29">
      <c r="A2985" s="204"/>
      <c r="B2985" s="204"/>
      <c r="C2985" s="204"/>
      <c r="D2985" s="204"/>
      <c r="E2985" s="204"/>
      <c r="F2985" s="204"/>
      <c r="G2985" s="204"/>
      <c r="H2985" s="204"/>
      <c r="I2985" s="204"/>
      <c r="J2985" s="204"/>
      <c r="K2985" s="204"/>
      <c r="L2985" s="205"/>
      <c r="M2985" s="205"/>
      <c r="N2985" s="204"/>
      <c r="O2985" s="204"/>
      <c r="P2985" s="206"/>
      <c r="Q2985" s="206"/>
      <c r="R2985" s="206"/>
      <c r="S2985" s="206"/>
      <c r="T2985" s="204"/>
      <c r="U2985" s="207"/>
      <c r="V2985" s="204"/>
      <c r="W2985" s="204"/>
      <c r="X2985" s="207"/>
      <c r="Y2985" s="207"/>
      <c r="Z2985" s="204"/>
      <c r="AA2985" s="204"/>
      <c r="AB2985" s="204"/>
      <c r="AC2985" s="204"/>
    </row>
    <row r="2986" spans="1:29">
      <c r="A2986" s="204"/>
      <c r="B2986" s="204"/>
      <c r="C2986" s="204"/>
      <c r="D2986" s="204"/>
      <c r="E2986" s="204"/>
      <c r="F2986" s="204"/>
      <c r="G2986" s="204"/>
      <c r="H2986" s="204"/>
      <c r="I2986" s="204"/>
      <c r="J2986" s="204"/>
      <c r="K2986" s="204"/>
      <c r="L2986" s="205"/>
      <c r="M2986" s="205"/>
      <c r="N2986" s="204"/>
      <c r="O2986" s="204"/>
      <c r="P2986" s="206"/>
      <c r="Q2986" s="206"/>
      <c r="R2986" s="206"/>
      <c r="S2986" s="206"/>
      <c r="T2986" s="204"/>
      <c r="U2986" s="207"/>
      <c r="V2986" s="204"/>
      <c r="W2986" s="204"/>
      <c r="X2986" s="207"/>
      <c r="Y2986" s="207"/>
      <c r="Z2986" s="204"/>
      <c r="AA2986" s="204"/>
      <c r="AB2986" s="204"/>
      <c r="AC2986" s="204"/>
    </row>
    <row r="2987" spans="1:29">
      <c r="A2987" s="204"/>
      <c r="B2987" s="204"/>
      <c r="C2987" s="204"/>
      <c r="D2987" s="204"/>
      <c r="E2987" s="204"/>
      <c r="F2987" s="204"/>
      <c r="G2987" s="204"/>
      <c r="H2987" s="204"/>
      <c r="I2987" s="204"/>
      <c r="J2987" s="204"/>
      <c r="K2987" s="204"/>
      <c r="L2987" s="205"/>
      <c r="M2987" s="205"/>
      <c r="N2987" s="204"/>
      <c r="O2987" s="204"/>
      <c r="P2987" s="206"/>
      <c r="Q2987" s="206"/>
      <c r="R2987" s="206"/>
      <c r="S2987" s="206"/>
      <c r="T2987" s="204"/>
      <c r="U2987" s="207"/>
      <c r="V2987" s="204"/>
      <c r="W2987" s="204"/>
      <c r="X2987" s="207"/>
      <c r="Y2987" s="207"/>
      <c r="Z2987" s="204"/>
      <c r="AA2987" s="204"/>
      <c r="AB2987" s="204"/>
      <c r="AC2987" s="204"/>
    </row>
    <row r="2988" spans="1:29">
      <c r="A2988" s="204"/>
      <c r="B2988" s="204"/>
      <c r="C2988" s="204"/>
      <c r="D2988" s="204"/>
      <c r="E2988" s="204"/>
      <c r="F2988" s="204"/>
      <c r="G2988" s="204"/>
      <c r="H2988" s="204"/>
      <c r="I2988" s="204"/>
      <c r="J2988" s="204"/>
      <c r="K2988" s="204"/>
      <c r="L2988" s="205"/>
      <c r="M2988" s="205"/>
      <c r="N2988" s="204"/>
      <c r="O2988" s="204"/>
      <c r="P2988" s="206"/>
      <c r="Q2988" s="206"/>
      <c r="R2988" s="206"/>
      <c r="S2988" s="206"/>
      <c r="T2988" s="204"/>
      <c r="U2988" s="207"/>
      <c r="V2988" s="204"/>
      <c r="W2988" s="204"/>
      <c r="X2988" s="207"/>
      <c r="Y2988" s="207"/>
      <c r="Z2988" s="204"/>
      <c r="AA2988" s="204"/>
      <c r="AB2988" s="204"/>
      <c r="AC2988" s="204"/>
    </row>
    <row r="2989" spans="1:29">
      <c r="A2989" s="204"/>
      <c r="B2989" s="204"/>
      <c r="C2989" s="204"/>
      <c r="D2989" s="204"/>
      <c r="E2989" s="204"/>
      <c r="F2989" s="204"/>
      <c r="G2989" s="204"/>
      <c r="H2989" s="204"/>
      <c r="I2989" s="204"/>
      <c r="J2989" s="204"/>
      <c r="K2989" s="204"/>
      <c r="L2989" s="205"/>
      <c r="M2989" s="205"/>
      <c r="N2989" s="204"/>
      <c r="O2989" s="204"/>
      <c r="P2989" s="206"/>
      <c r="Q2989" s="206"/>
      <c r="R2989" s="206"/>
      <c r="S2989" s="206"/>
      <c r="T2989" s="204"/>
      <c r="U2989" s="207"/>
      <c r="V2989" s="204"/>
      <c r="W2989" s="204"/>
      <c r="X2989" s="207"/>
      <c r="Y2989" s="207"/>
      <c r="Z2989" s="204"/>
      <c r="AA2989" s="204"/>
      <c r="AB2989" s="204"/>
      <c r="AC2989" s="204"/>
    </row>
    <row r="2990" spans="1:29">
      <c r="A2990" s="204"/>
      <c r="B2990" s="204"/>
      <c r="C2990" s="204"/>
      <c r="D2990" s="204"/>
      <c r="E2990" s="204"/>
      <c r="F2990" s="204"/>
      <c r="G2990" s="204"/>
      <c r="H2990" s="204"/>
      <c r="I2990" s="204"/>
      <c r="J2990" s="204"/>
      <c r="K2990" s="204"/>
      <c r="L2990" s="205"/>
      <c r="M2990" s="205"/>
      <c r="N2990" s="204"/>
      <c r="O2990" s="204"/>
      <c r="P2990" s="206"/>
      <c r="Q2990" s="206"/>
      <c r="R2990" s="206"/>
      <c r="S2990" s="206"/>
      <c r="T2990" s="204"/>
      <c r="U2990" s="207"/>
      <c r="V2990" s="204"/>
      <c r="W2990" s="204"/>
      <c r="X2990" s="207"/>
      <c r="Y2990" s="207"/>
      <c r="Z2990" s="204"/>
      <c r="AA2990" s="204"/>
      <c r="AB2990" s="204"/>
      <c r="AC2990" s="204"/>
    </row>
    <row r="2991" spans="1:29">
      <c r="A2991" s="204"/>
      <c r="B2991" s="204"/>
      <c r="C2991" s="204"/>
      <c r="D2991" s="204"/>
      <c r="E2991" s="204"/>
      <c r="F2991" s="204"/>
      <c r="G2991" s="204"/>
      <c r="H2991" s="204"/>
      <c r="I2991" s="204"/>
      <c r="J2991" s="204"/>
      <c r="K2991" s="204"/>
      <c r="L2991" s="205"/>
      <c r="M2991" s="205"/>
      <c r="N2991" s="204"/>
      <c r="O2991" s="204"/>
      <c r="P2991" s="206"/>
      <c r="Q2991" s="206"/>
      <c r="R2991" s="206"/>
      <c r="S2991" s="206"/>
      <c r="T2991" s="204"/>
      <c r="U2991" s="207"/>
      <c r="V2991" s="204"/>
      <c r="W2991" s="204"/>
      <c r="X2991" s="207"/>
      <c r="Y2991" s="207"/>
      <c r="Z2991" s="204"/>
      <c r="AA2991" s="204"/>
      <c r="AB2991" s="204"/>
      <c r="AC2991" s="204"/>
    </row>
    <row r="2992" spans="1:29">
      <c r="A2992" s="204"/>
      <c r="B2992" s="204"/>
      <c r="C2992" s="204"/>
      <c r="D2992" s="204"/>
      <c r="E2992" s="204"/>
      <c r="F2992" s="204"/>
      <c r="G2992" s="204"/>
      <c r="H2992" s="204"/>
      <c r="I2992" s="204"/>
      <c r="J2992" s="204"/>
      <c r="K2992" s="204"/>
      <c r="L2992" s="205"/>
      <c r="M2992" s="205"/>
      <c r="N2992" s="204"/>
      <c r="O2992" s="204"/>
      <c r="P2992" s="206"/>
      <c r="Q2992" s="206"/>
      <c r="R2992" s="206"/>
      <c r="S2992" s="206"/>
      <c r="T2992" s="204"/>
      <c r="U2992" s="207"/>
      <c r="V2992" s="204"/>
      <c r="W2992" s="204"/>
      <c r="X2992" s="207"/>
      <c r="Y2992" s="207"/>
      <c r="Z2992" s="204"/>
      <c r="AA2992" s="204"/>
      <c r="AB2992" s="204"/>
      <c r="AC2992" s="204"/>
    </row>
    <row r="2993" spans="1:29">
      <c r="A2993" s="204"/>
      <c r="B2993" s="204"/>
      <c r="C2993" s="204"/>
      <c r="D2993" s="204"/>
      <c r="E2993" s="204"/>
      <c r="F2993" s="204"/>
      <c r="G2993" s="204"/>
      <c r="H2993" s="204"/>
      <c r="I2993" s="204"/>
      <c r="J2993" s="204"/>
      <c r="K2993" s="204"/>
      <c r="L2993" s="205"/>
      <c r="M2993" s="205"/>
      <c r="N2993" s="204"/>
      <c r="O2993" s="204"/>
      <c r="P2993" s="206"/>
      <c r="Q2993" s="206"/>
      <c r="R2993" s="206"/>
      <c r="S2993" s="206"/>
      <c r="T2993" s="204"/>
      <c r="U2993" s="207"/>
      <c r="V2993" s="204"/>
      <c r="W2993" s="204"/>
      <c r="X2993" s="207"/>
      <c r="Y2993" s="207"/>
      <c r="Z2993" s="204"/>
      <c r="AA2993" s="204"/>
      <c r="AB2993" s="204"/>
      <c r="AC2993" s="204"/>
    </row>
    <row r="2994" spans="1:29">
      <c r="A2994" s="204"/>
      <c r="B2994" s="204"/>
      <c r="C2994" s="204"/>
      <c r="D2994" s="204"/>
      <c r="E2994" s="204"/>
      <c r="F2994" s="204"/>
      <c r="G2994" s="204"/>
      <c r="H2994" s="204"/>
      <c r="I2994" s="204"/>
      <c r="J2994" s="204"/>
      <c r="K2994" s="204"/>
      <c r="L2994" s="205"/>
      <c r="M2994" s="205"/>
      <c r="N2994" s="204"/>
      <c r="O2994" s="204"/>
      <c r="P2994" s="206"/>
      <c r="Q2994" s="206"/>
      <c r="R2994" s="206"/>
      <c r="S2994" s="206"/>
      <c r="T2994" s="204"/>
      <c r="U2994" s="207"/>
      <c r="V2994" s="204"/>
      <c r="W2994" s="204"/>
      <c r="X2994" s="207"/>
      <c r="Y2994" s="207"/>
      <c r="Z2994" s="204"/>
      <c r="AA2994" s="204"/>
      <c r="AB2994" s="204"/>
      <c r="AC2994" s="204"/>
    </row>
    <row r="2995" spans="1:29">
      <c r="A2995" s="204"/>
      <c r="B2995" s="204"/>
      <c r="C2995" s="204"/>
      <c r="D2995" s="204"/>
      <c r="E2995" s="204"/>
      <c r="F2995" s="204"/>
      <c r="G2995" s="204"/>
      <c r="H2995" s="204"/>
      <c r="I2995" s="204"/>
      <c r="J2995" s="204"/>
      <c r="K2995" s="204"/>
      <c r="L2995" s="205"/>
      <c r="M2995" s="205"/>
      <c r="N2995" s="204"/>
      <c r="O2995" s="204"/>
      <c r="P2995" s="206"/>
      <c r="Q2995" s="206"/>
      <c r="R2995" s="206"/>
      <c r="S2995" s="206"/>
      <c r="T2995" s="204"/>
      <c r="U2995" s="207"/>
      <c r="V2995" s="204"/>
      <c r="W2995" s="204"/>
      <c r="X2995" s="207"/>
      <c r="Y2995" s="207"/>
      <c r="Z2995" s="204"/>
      <c r="AA2995" s="204"/>
      <c r="AB2995" s="204"/>
      <c r="AC2995" s="204"/>
    </row>
    <row r="2996" spans="1:29">
      <c r="A2996" s="204"/>
      <c r="B2996" s="204"/>
      <c r="C2996" s="204"/>
      <c r="D2996" s="204"/>
      <c r="E2996" s="204"/>
      <c r="F2996" s="204"/>
      <c r="G2996" s="204"/>
      <c r="H2996" s="204"/>
      <c r="I2996" s="204"/>
      <c r="J2996" s="204"/>
      <c r="K2996" s="204"/>
      <c r="L2996" s="205"/>
      <c r="M2996" s="205"/>
      <c r="N2996" s="204"/>
      <c r="O2996" s="204"/>
      <c r="P2996" s="206"/>
      <c r="Q2996" s="206"/>
      <c r="R2996" s="206"/>
      <c r="S2996" s="206"/>
      <c r="T2996" s="204"/>
      <c r="U2996" s="207"/>
      <c r="V2996" s="204"/>
      <c r="W2996" s="204"/>
      <c r="X2996" s="207"/>
      <c r="Y2996" s="207"/>
      <c r="Z2996" s="204"/>
      <c r="AA2996" s="204"/>
      <c r="AB2996" s="204"/>
      <c r="AC2996" s="204"/>
    </row>
    <row r="2997" spans="1:29">
      <c r="A2997" s="204"/>
      <c r="B2997" s="204"/>
      <c r="C2997" s="204"/>
      <c r="D2997" s="204"/>
      <c r="E2997" s="204"/>
      <c r="F2997" s="204"/>
      <c r="G2997" s="204"/>
      <c r="H2997" s="204"/>
      <c r="I2997" s="204"/>
      <c r="J2997" s="204"/>
      <c r="K2997" s="204"/>
      <c r="L2997" s="205"/>
      <c r="M2997" s="205"/>
      <c r="N2997" s="204"/>
      <c r="O2997" s="204"/>
      <c r="P2997" s="206"/>
      <c r="Q2997" s="206"/>
      <c r="R2997" s="206"/>
      <c r="S2997" s="206"/>
      <c r="T2997" s="204"/>
      <c r="U2997" s="207"/>
      <c r="V2997" s="204"/>
      <c r="W2997" s="204"/>
      <c r="X2997" s="207"/>
      <c r="Y2997" s="207"/>
      <c r="Z2997" s="204"/>
      <c r="AA2997" s="204"/>
      <c r="AB2997" s="204"/>
      <c r="AC2997" s="204"/>
    </row>
    <row r="2998" spans="1:29">
      <c r="A2998" s="204"/>
      <c r="B2998" s="204"/>
      <c r="C2998" s="204"/>
      <c r="D2998" s="204"/>
      <c r="E2998" s="204"/>
      <c r="F2998" s="204"/>
      <c r="G2998" s="204"/>
      <c r="H2998" s="204"/>
      <c r="I2998" s="204"/>
      <c r="J2998" s="204"/>
      <c r="K2998" s="204"/>
      <c r="L2998" s="205"/>
      <c r="M2998" s="205"/>
      <c r="N2998" s="204"/>
      <c r="O2998" s="204"/>
      <c r="P2998" s="206"/>
      <c r="Q2998" s="206"/>
      <c r="R2998" s="206"/>
      <c r="S2998" s="206"/>
      <c r="T2998" s="204"/>
      <c r="U2998" s="207"/>
      <c r="V2998" s="204"/>
      <c r="W2998" s="204"/>
      <c r="X2998" s="207"/>
      <c r="Y2998" s="207"/>
      <c r="Z2998" s="204"/>
      <c r="AA2998" s="204"/>
      <c r="AB2998" s="204"/>
      <c r="AC2998" s="204"/>
    </row>
    <row r="2999" spans="1:29">
      <c r="A2999" s="204"/>
      <c r="B2999" s="204"/>
      <c r="C2999" s="204"/>
      <c r="D2999" s="204"/>
      <c r="E2999" s="204"/>
      <c r="F2999" s="204"/>
      <c r="G2999" s="204"/>
      <c r="H2999" s="204"/>
      <c r="I2999" s="204"/>
      <c r="J2999" s="204"/>
      <c r="K2999" s="204"/>
      <c r="L2999" s="205"/>
      <c r="M2999" s="205"/>
      <c r="N2999" s="204"/>
      <c r="O2999" s="204"/>
      <c r="P2999" s="206"/>
      <c r="Q2999" s="206"/>
      <c r="R2999" s="206"/>
      <c r="S2999" s="206"/>
      <c r="T2999" s="204"/>
      <c r="U2999" s="207"/>
      <c r="V2999" s="204"/>
      <c r="W2999" s="204"/>
      <c r="X2999" s="207"/>
      <c r="Y2999" s="207"/>
      <c r="Z2999" s="204"/>
      <c r="AA2999" s="204"/>
      <c r="AB2999" s="204"/>
      <c r="AC2999" s="204"/>
    </row>
    <row r="3000" spans="1:29">
      <c r="A3000" s="204"/>
      <c r="B3000" s="204"/>
      <c r="C3000" s="204"/>
      <c r="D3000" s="204"/>
      <c r="E3000" s="204"/>
      <c r="F3000" s="204"/>
      <c r="G3000" s="204"/>
      <c r="H3000" s="204"/>
      <c r="I3000" s="204"/>
      <c r="J3000" s="204"/>
      <c r="K3000" s="204"/>
      <c r="L3000" s="205"/>
      <c r="M3000" s="205"/>
      <c r="N3000" s="204"/>
      <c r="O3000" s="204"/>
      <c r="P3000" s="206"/>
      <c r="Q3000" s="206"/>
      <c r="R3000" s="206"/>
      <c r="S3000" s="206"/>
      <c r="T3000" s="204"/>
      <c r="U3000" s="207"/>
      <c r="V3000" s="204"/>
      <c r="W3000" s="204"/>
      <c r="X3000" s="207"/>
      <c r="Y3000" s="207"/>
      <c r="Z3000" s="204"/>
      <c r="AA3000" s="204"/>
      <c r="AB3000" s="204"/>
      <c r="AC3000" s="204"/>
    </row>
    <row r="3001" spans="1:29">
      <c r="A3001" s="204"/>
      <c r="B3001" s="204"/>
      <c r="C3001" s="204"/>
      <c r="D3001" s="204"/>
      <c r="E3001" s="204"/>
      <c r="F3001" s="204"/>
      <c r="G3001" s="204"/>
      <c r="H3001" s="204"/>
      <c r="I3001" s="204"/>
      <c r="J3001" s="204"/>
      <c r="K3001" s="204"/>
      <c r="L3001" s="205"/>
      <c r="M3001" s="205"/>
      <c r="N3001" s="204"/>
      <c r="O3001" s="204"/>
      <c r="P3001" s="206"/>
      <c r="Q3001" s="206"/>
      <c r="R3001" s="206"/>
      <c r="S3001" s="206"/>
      <c r="T3001" s="204"/>
      <c r="U3001" s="207"/>
      <c r="V3001" s="204"/>
      <c r="W3001" s="204"/>
      <c r="X3001" s="207"/>
      <c r="Y3001" s="207"/>
      <c r="Z3001" s="204"/>
      <c r="AA3001" s="204"/>
      <c r="AB3001" s="204"/>
      <c r="AC3001" s="204"/>
    </row>
    <row r="3002" spans="1:29">
      <c r="A3002" s="204"/>
      <c r="B3002" s="204"/>
      <c r="C3002" s="204"/>
      <c r="D3002" s="204"/>
      <c r="E3002" s="204"/>
      <c r="F3002" s="204"/>
      <c r="G3002" s="204"/>
      <c r="H3002" s="204"/>
      <c r="I3002" s="204"/>
      <c r="J3002" s="204"/>
      <c r="K3002" s="204"/>
      <c r="L3002" s="205"/>
      <c r="M3002" s="205"/>
      <c r="N3002" s="204"/>
      <c r="O3002" s="204"/>
      <c r="P3002" s="206"/>
      <c r="Q3002" s="206"/>
      <c r="R3002" s="206"/>
      <c r="S3002" s="206"/>
      <c r="T3002" s="204"/>
      <c r="U3002" s="207"/>
      <c r="V3002" s="204"/>
      <c r="W3002" s="204"/>
      <c r="X3002" s="207"/>
      <c r="Y3002" s="207"/>
      <c r="Z3002" s="204"/>
      <c r="AA3002" s="204"/>
      <c r="AB3002" s="204"/>
      <c r="AC3002" s="204"/>
    </row>
    <row r="3003" spans="1:29">
      <c r="A3003" s="204"/>
      <c r="B3003" s="204"/>
      <c r="C3003" s="204"/>
      <c r="D3003" s="204"/>
      <c r="E3003" s="204"/>
      <c r="F3003" s="204"/>
      <c r="G3003" s="204"/>
      <c r="H3003" s="204"/>
      <c r="I3003" s="204"/>
      <c r="J3003" s="204"/>
      <c r="K3003" s="204"/>
      <c r="L3003" s="205"/>
      <c r="M3003" s="205"/>
      <c r="N3003" s="204"/>
      <c r="O3003" s="204"/>
      <c r="P3003" s="206"/>
      <c r="Q3003" s="206"/>
      <c r="R3003" s="206"/>
      <c r="S3003" s="206"/>
      <c r="T3003" s="204"/>
      <c r="U3003" s="207"/>
      <c r="V3003" s="204"/>
      <c r="W3003" s="204"/>
      <c r="X3003" s="207"/>
      <c r="Y3003" s="207"/>
      <c r="Z3003" s="204"/>
      <c r="AA3003" s="204"/>
      <c r="AB3003" s="204"/>
      <c r="AC3003" s="204"/>
    </row>
    <row r="3004" spans="1:29">
      <c r="A3004" s="204"/>
      <c r="B3004" s="204"/>
      <c r="C3004" s="204"/>
      <c r="D3004" s="204"/>
      <c r="E3004" s="204"/>
      <c r="F3004" s="204"/>
      <c r="G3004" s="204"/>
      <c r="H3004" s="204"/>
      <c r="I3004" s="204"/>
      <c r="J3004" s="204"/>
      <c r="K3004" s="204"/>
      <c r="L3004" s="205"/>
      <c r="M3004" s="205"/>
      <c r="N3004" s="204"/>
      <c r="O3004" s="204"/>
      <c r="P3004" s="206"/>
      <c r="Q3004" s="206"/>
      <c r="R3004" s="206"/>
      <c r="S3004" s="206"/>
      <c r="T3004" s="204"/>
      <c r="U3004" s="207"/>
      <c r="V3004" s="204"/>
      <c r="W3004" s="204"/>
      <c r="X3004" s="207"/>
      <c r="Y3004" s="207"/>
      <c r="Z3004" s="204"/>
      <c r="AA3004" s="204"/>
      <c r="AB3004" s="204"/>
      <c r="AC3004" s="204"/>
    </row>
    <row r="3005" spans="1:29">
      <c r="A3005" s="204"/>
      <c r="B3005" s="204"/>
      <c r="C3005" s="204"/>
      <c r="D3005" s="204"/>
      <c r="E3005" s="204"/>
      <c r="F3005" s="204"/>
      <c r="G3005" s="204"/>
      <c r="H3005" s="204"/>
      <c r="I3005" s="204"/>
      <c r="J3005" s="204"/>
      <c r="K3005" s="204"/>
      <c r="L3005" s="205"/>
      <c r="M3005" s="205"/>
      <c r="N3005" s="204"/>
      <c r="O3005" s="204"/>
      <c r="P3005" s="206"/>
      <c r="Q3005" s="206"/>
      <c r="R3005" s="206"/>
      <c r="S3005" s="206"/>
      <c r="T3005" s="204"/>
      <c r="U3005" s="207"/>
      <c r="V3005" s="204"/>
      <c r="W3005" s="204"/>
      <c r="X3005" s="207"/>
      <c r="Y3005" s="207"/>
      <c r="Z3005" s="204"/>
      <c r="AA3005" s="204"/>
      <c r="AB3005" s="204"/>
      <c r="AC3005" s="204"/>
    </row>
    <row r="3006" spans="1:29">
      <c r="A3006" s="204"/>
      <c r="B3006" s="204"/>
      <c r="C3006" s="204"/>
      <c r="D3006" s="204"/>
      <c r="E3006" s="204"/>
      <c r="F3006" s="204"/>
      <c r="G3006" s="204"/>
      <c r="H3006" s="204"/>
      <c r="I3006" s="204"/>
      <c r="J3006" s="204"/>
      <c r="K3006" s="204"/>
      <c r="L3006" s="205"/>
      <c r="M3006" s="205"/>
      <c r="N3006" s="204"/>
      <c r="O3006" s="204"/>
      <c r="P3006" s="206"/>
      <c r="Q3006" s="206"/>
      <c r="R3006" s="206"/>
      <c r="S3006" s="206"/>
      <c r="T3006" s="204"/>
      <c r="U3006" s="207"/>
      <c r="V3006" s="204"/>
      <c r="W3006" s="204"/>
      <c r="X3006" s="207"/>
      <c r="Y3006" s="207"/>
      <c r="Z3006" s="204"/>
      <c r="AA3006" s="204"/>
      <c r="AB3006" s="204"/>
      <c r="AC3006" s="204"/>
    </row>
    <row r="3007" spans="1:29">
      <c r="A3007" s="204"/>
      <c r="B3007" s="204"/>
      <c r="C3007" s="204"/>
      <c r="D3007" s="204"/>
      <c r="E3007" s="204"/>
      <c r="F3007" s="204"/>
      <c r="G3007" s="204"/>
      <c r="H3007" s="204"/>
      <c r="I3007" s="204"/>
      <c r="J3007" s="204"/>
      <c r="K3007" s="204"/>
      <c r="L3007" s="205"/>
      <c r="M3007" s="205"/>
      <c r="N3007" s="204"/>
      <c r="O3007" s="204"/>
      <c r="P3007" s="206"/>
      <c r="Q3007" s="206"/>
      <c r="R3007" s="206"/>
      <c r="S3007" s="206"/>
      <c r="T3007" s="204"/>
      <c r="U3007" s="207"/>
      <c r="V3007" s="204"/>
      <c r="W3007" s="204"/>
      <c r="X3007" s="207"/>
      <c r="Y3007" s="207"/>
      <c r="Z3007" s="204"/>
      <c r="AA3007" s="204"/>
      <c r="AB3007" s="204"/>
      <c r="AC3007" s="204"/>
    </row>
    <row r="3008" spans="1:29">
      <c r="A3008" s="204"/>
      <c r="B3008" s="204"/>
      <c r="C3008" s="204"/>
      <c r="D3008" s="204"/>
      <c r="E3008" s="204"/>
      <c r="F3008" s="204"/>
      <c r="G3008" s="204"/>
      <c r="H3008" s="204"/>
      <c r="I3008" s="204"/>
      <c r="J3008" s="204"/>
      <c r="K3008" s="204"/>
      <c r="L3008" s="205"/>
      <c r="M3008" s="205"/>
      <c r="N3008" s="204"/>
      <c r="O3008" s="204"/>
      <c r="P3008" s="206"/>
      <c r="Q3008" s="206"/>
      <c r="R3008" s="206"/>
      <c r="S3008" s="206"/>
      <c r="T3008" s="204"/>
      <c r="U3008" s="207"/>
      <c r="V3008" s="204"/>
      <c r="W3008" s="204"/>
      <c r="X3008" s="207"/>
      <c r="Y3008" s="207"/>
      <c r="Z3008" s="204"/>
      <c r="AA3008" s="204"/>
      <c r="AB3008" s="204"/>
      <c r="AC3008" s="204"/>
    </row>
    <row r="3009" spans="1:29">
      <c r="A3009" s="204"/>
      <c r="B3009" s="204"/>
      <c r="C3009" s="204"/>
      <c r="D3009" s="204"/>
      <c r="E3009" s="204"/>
      <c r="F3009" s="204"/>
      <c r="G3009" s="204"/>
      <c r="H3009" s="204"/>
      <c r="I3009" s="204"/>
      <c r="J3009" s="204"/>
      <c r="K3009" s="204"/>
      <c r="L3009" s="205"/>
      <c r="M3009" s="205"/>
      <c r="N3009" s="204"/>
      <c r="O3009" s="204"/>
      <c r="P3009" s="206"/>
      <c r="Q3009" s="206"/>
      <c r="R3009" s="206"/>
      <c r="S3009" s="206"/>
      <c r="T3009" s="204"/>
      <c r="U3009" s="207"/>
      <c r="V3009" s="204"/>
      <c r="W3009" s="204"/>
      <c r="X3009" s="207"/>
      <c r="Y3009" s="207"/>
      <c r="Z3009" s="204"/>
      <c r="AA3009" s="204"/>
      <c r="AB3009" s="204"/>
      <c r="AC3009" s="204"/>
    </row>
    <row r="3010" spans="1:29">
      <c r="A3010" s="204"/>
      <c r="B3010" s="204"/>
      <c r="C3010" s="204"/>
      <c r="D3010" s="204"/>
      <c r="E3010" s="204"/>
      <c r="F3010" s="204"/>
      <c r="G3010" s="204"/>
      <c r="H3010" s="204"/>
      <c r="I3010" s="204"/>
      <c r="J3010" s="204"/>
      <c r="K3010" s="204"/>
      <c r="L3010" s="205"/>
      <c r="M3010" s="205"/>
      <c r="N3010" s="204"/>
      <c r="O3010" s="204"/>
      <c r="P3010" s="206"/>
      <c r="Q3010" s="206"/>
      <c r="R3010" s="206"/>
      <c r="S3010" s="206"/>
      <c r="T3010" s="204"/>
      <c r="U3010" s="207"/>
      <c r="V3010" s="204"/>
      <c r="W3010" s="204"/>
      <c r="X3010" s="207"/>
      <c r="Y3010" s="207"/>
      <c r="Z3010" s="204"/>
      <c r="AA3010" s="204"/>
      <c r="AB3010" s="204"/>
      <c r="AC3010" s="204"/>
    </row>
    <row r="3011" spans="1:29">
      <c r="A3011" s="204"/>
      <c r="B3011" s="204"/>
      <c r="C3011" s="204"/>
      <c r="D3011" s="204"/>
      <c r="E3011" s="204"/>
      <c r="F3011" s="204"/>
      <c r="G3011" s="204"/>
      <c r="H3011" s="204"/>
      <c r="I3011" s="204"/>
      <c r="J3011" s="204"/>
      <c r="K3011" s="204"/>
      <c r="L3011" s="205"/>
      <c r="M3011" s="205"/>
      <c r="N3011" s="204"/>
      <c r="O3011" s="204"/>
      <c r="P3011" s="206"/>
      <c r="Q3011" s="206"/>
      <c r="R3011" s="206"/>
      <c r="S3011" s="206"/>
      <c r="T3011" s="204"/>
      <c r="U3011" s="207"/>
      <c r="V3011" s="204"/>
      <c r="W3011" s="204"/>
      <c r="X3011" s="207"/>
      <c r="Y3011" s="207"/>
      <c r="Z3011" s="204"/>
      <c r="AA3011" s="204"/>
      <c r="AB3011" s="204"/>
      <c r="AC3011" s="204"/>
    </row>
    <row r="3012" spans="1:29">
      <c r="A3012" s="204"/>
      <c r="B3012" s="204"/>
      <c r="C3012" s="204"/>
      <c r="D3012" s="204"/>
      <c r="E3012" s="204"/>
      <c r="F3012" s="204"/>
      <c r="G3012" s="204"/>
      <c r="H3012" s="204"/>
      <c r="I3012" s="204"/>
      <c r="J3012" s="204"/>
      <c r="K3012" s="204"/>
      <c r="L3012" s="205"/>
      <c r="M3012" s="205"/>
      <c r="N3012" s="204"/>
      <c r="O3012" s="204"/>
      <c r="P3012" s="206"/>
      <c r="Q3012" s="206"/>
      <c r="R3012" s="206"/>
      <c r="S3012" s="206"/>
      <c r="T3012" s="204"/>
      <c r="U3012" s="207"/>
      <c r="V3012" s="204"/>
      <c r="W3012" s="204"/>
      <c r="X3012" s="207"/>
      <c r="Y3012" s="207"/>
      <c r="Z3012" s="204"/>
      <c r="AA3012" s="204"/>
      <c r="AB3012" s="204"/>
      <c r="AC3012" s="204"/>
    </row>
    <row r="3013" spans="1:29">
      <c r="A3013" s="204"/>
      <c r="B3013" s="204"/>
      <c r="C3013" s="204"/>
      <c r="D3013" s="204"/>
      <c r="E3013" s="204"/>
      <c r="F3013" s="204"/>
      <c r="G3013" s="204"/>
      <c r="H3013" s="204"/>
      <c r="I3013" s="204"/>
      <c r="J3013" s="204"/>
      <c r="K3013" s="204"/>
      <c r="L3013" s="205"/>
      <c r="M3013" s="205"/>
      <c r="N3013" s="204"/>
      <c r="O3013" s="204"/>
      <c r="P3013" s="206"/>
      <c r="Q3013" s="206"/>
      <c r="R3013" s="206"/>
      <c r="S3013" s="206"/>
      <c r="T3013" s="204"/>
      <c r="U3013" s="207"/>
      <c r="V3013" s="204"/>
      <c r="W3013" s="204"/>
      <c r="X3013" s="207"/>
      <c r="Y3013" s="207"/>
      <c r="Z3013" s="204"/>
      <c r="AA3013" s="204"/>
      <c r="AB3013" s="204"/>
      <c r="AC3013" s="204"/>
    </row>
    <row r="3014" spans="1:29">
      <c r="A3014" s="204"/>
      <c r="B3014" s="204"/>
      <c r="C3014" s="204"/>
      <c r="D3014" s="204"/>
      <c r="E3014" s="204"/>
      <c r="F3014" s="204"/>
      <c r="G3014" s="204"/>
      <c r="H3014" s="204"/>
      <c r="I3014" s="204"/>
      <c r="J3014" s="204"/>
      <c r="K3014" s="204"/>
      <c r="L3014" s="205"/>
      <c r="M3014" s="205"/>
      <c r="N3014" s="204"/>
      <c r="O3014" s="204"/>
      <c r="P3014" s="206"/>
      <c r="Q3014" s="206"/>
      <c r="R3014" s="206"/>
      <c r="S3014" s="206"/>
      <c r="T3014" s="204"/>
      <c r="U3014" s="207"/>
      <c r="V3014" s="204"/>
      <c r="W3014" s="204"/>
      <c r="X3014" s="207"/>
      <c r="Y3014" s="207"/>
      <c r="Z3014" s="204"/>
      <c r="AA3014" s="204"/>
      <c r="AB3014" s="204"/>
      <c r="AC3014" s="204"/>
    </row>
    <row r="3015" spans="1:29">
      <c r="A3015" s="204"/>
      <c r="B3015" s="204"/>
      <c r="C3015" s="204"/>
      <c r="D3015" s="204"/>
      <c r="E3015" s="204"/>
      <c r="F3015" s="204"/>
      <c r="G3015" s="204"/>
      <c r="H3015" s="204"/>
      <c r="I3015" s="204"/>
      <c r="J3015" s="204"/>
      <c r="K3015" s="204"/>
      <c r="L3015" s="205"/>
      <c r="M3015" s="205"/>
      <c r="N3015" s="204"/>
      <c r="O3015" s="204"/>
      <c r="P3015" s="206"/>
      <c r="Q3015" s="206"/>
      <c r="R3015" s="206"/>
      <c r="S3015" s="206"/>
      <c r="T3015" s="204"/>
      <c r="U3015" s="207"/>
      <c r="V3015" s="204"/>
      <c r="W3015" s="204"/>
      <c r="X3015" s="207"/>
      <c r="Y3015" s="207"/>
      <c r="Z3015" s="204"/>
      <c r="AA3015" s="204"/>
      <c r="AB3015" s="204"/>
      <c r="AC3015" s="204"/>
    </row>
    <row r="3016" spans="1:29">
      <c r="A3016" s="204"/>
      <c r="B3016" s="204"/>
      <c r="C3016" s="204"/>
      <c r="D3016" s="204"/>
      <c r="E3016" s="204"/>
      <c r="F3016" s="204"/>
      <c r="G3016" s="204"/>
      <c r="H3016" s="204"/>
      <c r="I3016" s="204"/>
      <c r="J3016" s="204"/>
      <c r="K3016" s="204"/>
      <c r="L3016" s="205"/>
      <c r="M3016" s="205"/>
      <c r="N3016" s="204"/>
      <c r="O3016" s="204"/>
      <c r="P3016" s="206"/>
      <c r="Q3016" s="206"/>
      <c r="R3016" s="206"/>
      <c r="S3016" s="206"/>
      <c r="T3016" s="204"/>
      <c r="U3016" s="207"/>
      <c r="V3016" s="204"/>
      <c r="W3016" s="204"/>
      <c r="X3016" s="207"/>
      <c r="Y3016" s="207"/>
      <c r="Z3016" s="204"/>
      <c r="AA3016" s="204"/>
      <c r="AB3016" s="204"/>
      <c r="AC3016" s="204"/>
    </row>
    <row r="3017" spans="1:29">
      <c r="A3017" s="204"/>
      <c r="B3017" s="204"/>
      <c r="C3017" s="204"/>
      <c r="D3017" s="204"/>
      <c r="E3017" s="204"/>
      <c r="F3017" s="204"/>
      <c r="G3017" s="204"/>
      <c r="H3017" s="204"/>
      <c r="I3017" s="204"/>
      <c r="J3017" s="204"/>
      <c r="K3017" s="204"/>
      <c r="L3017" s="205"/>
      <c r="M3017" s="205"/>
      <c r="N3017" s="204"/>
      <c r="O3017" s="204"/>
      <c r="P3017" s="206"/>
      <c r="Q3017" s="206"/>
      <c r="R3017" s="206"/>
      <c r="S3017" s="206"/>
      <c r="T3017" s="204"/>
      <c r="U3017" s="207"/>
      <c r="V3017" s="204"/>
      <c r="W3017" s="204"/>
      <c r="X3017" s="207"/>
      <c r="Y3017" s="207"/>
      <c r="Z3017" s="204"/>
      <c r="AA3017" s="204"/>
      <c r="AB3017" s="204"/>
      <c r="AC3017" s="204"/>
    </row>
    <row r="3018" spans="1:29">
      <c r="A3018" s="204"/>
      <c r="B3018" s="204"/>
      <c r="C3018" s="204"/>
      <c r="D3018" s="204"/>
      <c r="E3018" s="204"/>
      <c r="F3018" s="204"/>
      <c r="G3018" s="204"/>
      <c r="H3018" s="204"/>
      <c r="I3018" s="204"/>
      <c r="J3018" s="204"/>
      <c r="K3018" s="204"/>
      <c r="L3018" s="205"/>
      <c r="M3018" s="205"/>
      <c r="N3018" s="204"/>
      <c r="O3018" s="204"/>
      <c r="P3018" s="206"/>
      <c r="Q3018" s="206"/>
      <c r="R3018" s="206"/>
      <c r="S3018" s="206"/>
      <c r="T3018" s="204"/>
      <c r="U3018" s="207"/>
      <c r="V3018" s="204"/>
      <c r="W3018" s="204"/>
      <c r="X3018" s="207"/>
      <c r="Y3018" s="207"/>
      <c r="Z3018" s="204"/>
      <c r="AA3018" s="204"/>
      <c r="AB3018" s="204"/>
      <c r="AC3018" s="204"/>
    </row>
    <row r="3019" spans="1:29">
      <c r="A3019" s="204"/>
      <c r="B3019" s="204"/>
      <c r="C3019" s="204"/>
      <c r="D3019" s="204"/>
      <c r="E3019" s="204"/>
      <c r="F3019" s="204"/>
      <c r="G3019" s="204"/>
      <c r="H3019" s="204"/>
      <c r="I3019" s="204"/>
      <c r="J3019" s="204"/>
      <c r="K3019" s="204"/>
      <c r="L3019" s="205"/>
      <c r="M3019" s="205"/>
      <c r="N3019" s="204"/>
      <c r="O3019" s="204"/>
      <c r="P3019" s="206"/>
      <c r="Q3019" s="206"/>
      <c r="R3019" s="206"/>
      <c r="S3019" s="206"/>
      <c r="T3019" s="204"/>
      <c r="U3019" s="207"/>
      <c r="V3019" s="204"/>
      <c r="W3019" s="204"/>
      <c r="X3019" s="207"/>
      <c r="Y3019" s="207"/>
      <c r="Z3019" s="204"/>
      <c r="AA3019" s="204"/>
      <c r="AB3019" s="204"/>
      <c r="AC3019" s="204"/>
    </row>
    <row r="3020" spans="1:29">
      <c r="A3020" s="204"/>
      <c r="B3020" s="204"/>
      <c r="C3020" s="204"/>
      <c r="D3020" s="204"/>
      <c r="E3020" s="204"/>
      <c r="F3020" s="204"/>
      <c r="G3020" s="204"/>
      <c r="H3020" s="204"/>
      <c r="I3020" s="204"/>
      <c r="J3020" s="204"/>
      <c r="K3020" s="204"/>
      <c r="L3020" s="205"/>
      <c r="M3020" s="205"/>
      <c r="N3020" s="204"/>
      <c r="O3020" s="204"/>
      <c r="P3020" s="206"/>
      <c r="Q3020" s="206"/>
      <c r="R3020" s="206"/>
      <c r="S3020" s="206"/>
      <c r="T3020" s="204"/>
      <c r="U3020" s="207"/>
      <c r="V3020" s="204"/>
      <c r="W3020" s="204"/>
      <c r="X3020" s="207"/>
      <c r="Y3020" s="207"/>
      <c r="Z3020" s="204"/>
      <c r="AA3020" s="204"/>
      <c r="AB3020" s="204"/>
      <c r="AC3020" s="204"/>
    </row>
    <row r="3021" spans="1:29">
      <c r="A3021" s="204"/>
      <c r="B3021" s="204"/>
      <c r="C3021" s="204"/>
      <c r="D3021" s="204"/>
      <c r="E3021" s="204"/>
      <c r="F3021" s="204"/>
      <c r="G3021" s="204"/>
      <c r="H3021" s="204"/>
      <c r="I3021" s="204"/>
      <c r="J3021" s="204"/>
      <c r="K3021" s="204"/>
      <c r="L3021" s="205"/>
      <c r="M3021" s="205"/>
      <c r="N3021" s="204"/>
      <c r="O3021" s="204"/>
      <c r="P3021" s="206"/>
      <c r="Q3021" s="206"/>
      <c r="R3021" s="206"/>
      <c r="S3021" s="206"/>
      <c r="T3021" s="204"/>
      <c r="U3021" s="207"/>
      <c r="V3021" s="204"/>
      <c r="W3021" s="204"/>
      <c r="X3021" s="207"/>
      <c r="Y3021" s="207"/>
      <c r="Z3021" s="204"/>
      <c r="AA3021" s="204"/>
      <c r="AB3021" s="204"/>
      <c r="AC3021" s="204"/>
    </row>
    <row r="3022" spans="1:29">
      <c r="A3022" s="204"/>
      <c r="B3022" s="204"/>
      <c r="C3022" s="204"/>
      <c r="D3022" s="204"/>
      <c r="E3022" s="204"/>
      <c r="F3022" s="204"/>
      <c r="G3022" s="204"/>
      <c r="H3022" s="204"/>
      <c r="I3022" s="204"/>
      <c r="J3022" s="204"/>
      <c r="K3022" s="204"/>
      <c r="L3022" s="205"/>
      <c r="M3022" s="205"/>
      <c r="N3022" s="204"/>
      <c r="O3022" s="204"/>
      <c r="P3022" s="206"/>
      <c r="Q3022" s="206"/>
      <c r="R3022" s="206"/>
      <c r="S3022" s="206"/>
      <c r="T3022" s="204"/>
      <c r="U3022" s="207"/>
      <c r="V3022" s="204"/>
      <c r="W3022" s="204"/>
      <c r="X3022" s="207"/>
      <c r="Y3022" s="207"/>
      <c r="Z3022" s="204"/>
      <c r="AA3022" s="204"/>
      <c r="AB3022" s="204"/>
      <c r="AC3022" s="204"/>
    </row>
    <row r="3023" spans="1:29">
      <c r="A3023" s="204"/>
      <c r="B3023" s="204"/>
      <c r="C3023" s="204"/>
      <c r="D3023" s="204"/>
      <c r="E3023" s="204"/>
      <c r="F3023" s="204"/>
      <c r="G3023" s="204"/>
      <c r="H3023" s="204"/>
      <c r="I3023" s="204"/>
      <c r="J3023" s="204"/>
      <c r="K3023" s="204"/>
      <c r="L3023" s="205"/>
      <c r="M3023" s="205"/>
      <c r="N3023" s="204"/>
      <c r="O3023" s="204"/>
      <c r="P3023" s="206"/>
      <c r="Q3023" s="206"/>
      <c r="R3023" s="206"/>
      <c r="S3023" s="206"/>
      <c r="T3023" s="204"/>
      <c r="U3023" s="207"/>
      <c r="V3023" s="204"/>
      <c r="W3023" s="204"/>
      <c r="X3023" s="207"/>
      <c r="Y3023" s="207"/>
      <c r="Z3023" s="204"/>
      <c r="AA3023" s="204"/>
      <c r="AB3023" s="204"/>
      <c r="AC3023" s="204"/>
    </row>
    <row r="3024" spans="1:29">
      <c r="A3024" s="204"/>
      <c r="B3024" s="204"/>
      <c r="C3024" s="204"/>
      <c r="D3024" s="204"/>
      <c r="E3024" s="204"/>
      <c r="F3024" s="204"/>
      <c r="G3024" s="204"/>
      <c r="H3024" s="204"/>
      <c r="I3024" s="204"/>
      <c r="J3024" s="204"/>
      <c r="K3024" s="204"/>
      <c r="L3024" s="205"/>
      <c r="M3024" s="205"/>
      <c r="N3024" s="204"/>
      <c r="O3024" s="204"/>
      <c r="P3024" s="206"/>
      <c r="Q3024" s="206"/>
      <c r="R3024" s="206"/>
      <c r="S3024" s="206"/>
      <c r="T3024" s="204"/>
      <c r="U3024" s="207"/>
      <c r="V3024" s="204"/>
      <c r="W3024" s="204"/>
      <c r="X3024" s="207"/>
      <c r="Y3024" s="207"/>
      <c r="Z3024" s="204"/>
      <c r="AA3024" s="204"/>
      <c r="AB3024" s="204"/>
      <c r="AC3024" s="204"/>
    </row>
    <row r="3025" spans="1:29">
      <c r="A3025" s="204"/>
      <c r="B3025" s="204"/>
      <c r="C3025" s="204"/>
      <c r="D3025" s="204"/>
      <c r="E3025" s="204"/>
      <c r="F3025" s="204"/>
      <c r="G3025" s="204"/>
      <c r="H3025" s="204"/>
      <c r="I3025" s="204"/>
      <c r="J3025" s="204"/>
      <c r="K3025" s="204"/>
      <c r="L3025" s="205"/>
      <c r="M3025" s="205"/>
      <c r="N3025" s="204"/>
      <c r="O3025" s="204"/>
      <c r="P3025" s="206"/>
      <c r="Q3025" s="206"/>
      <c r="R3025" s="206"/>
      <c r="S3025" s="206"/>
      <c r="T3025" s="204"/>
      <c r="U3025" s="207"/>
      <c r="V3025" s="204"/>
      <c r="W3025" s="204"/>
      <c r="X3025" s="207"/>
      <c r="Y3025" s="207"/>
      <c r="Z3025" s="204"/>
      <c r="AA3025" s="204"/>
      <c r="AB3025" s="204"/>
      <c r="AC3025" s="204"/>
    </row>
    <row r="3026" spans="1:29">
      <c r="A3026" s="204"/>
      <c r="B3026" s="204"/>
      <c r="C3026" s="204"/>
      <c r="D3026" s="204"/>
      <c r="E3026" s="204"/>
      <c r="F3026" s="204"/>
      <c r="G3026" s="204"/>
      <c r="H3026" s="204"/>
      <c r="I3026" s="204"/>
      <c r="J3026" s="204"/>
      <c r="K3026" s="204"/>
      <c r="L3026" s="205"/>
      <c r="M3026" s="205"/>
      <c r="N3026" s="204"/>
      <c r="O3026" s="204"/>
      <c r="P3026" s="206"/>
      <c r="Q3026" s="206"/>
      <c r="R3026" s="206"/>
      <c r="S3026" s="206"/>
      <c r="T3026" s="204"/>
      <c r="U3026" s="207"/>
      <c r="V3026" s="204"/>
      <c r="W3026" s="204"/>
      <c r="X3026" s="207"/>
      <c r="Y3026" s="207"/>
      <c r="Z3026" s="204"/>
      <c r="AA3026" s="204"/>
      <c r="AB3026" s="204"/>
      <c r="AC3026" s="204"/>
    </row>
    <row r="3027" spans="1:29">
      <c r="A3027" s="204"/>
      <c r="B3027" s="204"/>
      <c r="C3027" s="204"/>
      <c r="D3027" s="204"/>
      <c r="E3027" s="204"/>
      <c r="F3027" s="204"/>
      <c r="G3027" s="204"/>
      <c r="H3027" s="204"/>
      <c r="I3027" s="204"/>
      <c r="J3027" s="204"/>
      <c r="K3027" s="204"/>
      <c r="L3027" s="205"/>
      <c r="M3027" s="205"/>
      <c r="N3027" s="204"/>
      <c r="O3027" s="204"/>
      <c r="P3027" s="206"/>
      <c r="Q3027" s="206"/>
      <c r="R3027" s="206"/>
      <c r="S3027" s="206"/>
      <c r="T3027" s="204"/>
      <c r="U3027" s="207"/>
      <c r="V3027" s="204"/>
      <c r="W3027" s="204"/>
      <c r="X3027" s="207"/>
      <c r="Y3027" s="207"/>
      <c r="Z3027" s="204"/>
      <c r="AA3027" s="204"/>
      <c r="AB3027" s="204"/>
      <c r="AC3027" s="204"/>
    </row>
    <row r="3028" spans="1:29">
      <c r="A3028" s="204"/>
      <c r="B3028" s="204"/>
      <c r="C3028" s="204"/>
      <c r="D3028" s="204"/>
      <c r="E3028" s="204"/>
      <c r="F3028" s="204"/>
      <c r="G3028" s="204"/>
      <c r="H3028" s="204"/>
      <c r="I3028" s="204"/>
      <c r="J3028" s="204"/>
      <c r="K3028" s="204"/>
      <c r="L3028" s="205"/>
      <c r="M3028" s="205"/>
      <c r="N3028" s="204"/>
      <c r="O3028" s="204"/>
      <c r="P3028" s="206"/>
      <c r="Q3028" s="206"/>
      <c r="R3028" s="206"/>
      <c r="S3028" s="206"/>
      <c r="T3028" s="204"/>
      <c r="U3028" s="207"/>
      <c r="V3028" s="204"/>
      <c r="W3028" s="204"/>
      <c r="X3028" s="207"/>
      <c r="Y3028" s="207"/>
      <c r="Z3028" s="204"/>
      <c r="AA3028" s="204"/>
      <c r="AB3028" s="204"/>
      <c r="AC3028" s="204"/>
    </row>
    <row r="3029" spans="1:29">
      <c r="A3029" s="204"/>
      <c r="B3029" s="204"/>
      <c r="C3029" s="204"/>
      <c r="D3029" s="204"/>
      <c r="E3029" s="204"/>
      <c r="F3029" s="204"/>
      <c r="G3029" s="204"/>
      <c r="H3029" s="204"/>
      <c r="I3029" s="204"/>
      <c r="J3029" s="204"/>
      <c r="K3029" s="204"/>
      <c r="L3029" s="205"/>
      <c r="M3029" s="205"/>
      <c r="N3029" s="204"/>
      <c r="O3029" s="204"/>
      <c r="P3029" s="206"/>
      <c r="Q3029" s="206"/>
      <c r="R3029" s="206"/>
      <c r="S3029" s="206"/>
      <c r="T3029" s="204"/>
      <c r="U3029" s="207"/>
      <c r="V3029" s="204"/>
      <c r="W3029" s="204"/>
      <c r="X3029" s="207"/>
      <c r="Y3029" s="207"/>
      <c r="Z3029" s="204"/>
      <c r="AA3029" s="204"/>
      <c r="AB3029" s="204"/>
      <c r="AC3029" s="204"/>
    </row>
    <row r="3030" spans="1:29">
      <c r="A3030" s="204"/>
      <c r="B3030" s="204"/>
      <c r="C3030" s="204"/>
      <c r="D3030" s="204"/>
      <c r="E3030" s="204"/>
      <c r="F3030" s="204"/>
      <c r="G3030" s="204"/>
      <c r="H3030" s="204"/>
      <c r="I3030" s="204"/>
      <c r="J3030" s="204"/>
      <c r="K3030" s="204"/>
      <c r="L3030" s="205"/>
      <c r="M3030" s="205"/>
      <c r="N3030" s="204"/>
      <c r="O3030" s="204"/>
      <c r="P3030" s="206"/>
      <c r="Q3030" s="206"/>
      <c r="R3030" s="206"/>
      <c r="S3030" s="206"/>
      <c r="T3030" s="204"/>
      <c r="U3030" s="207"/>
      <c r="V3030" s="204"/>
      <c r="W3030" s="204"/>
      <c r="X3030" s="207"/>
      <c r="Y3030" s="207"/>
      <c r="Z3030" s="204"/>
      <c r="AA3030" s="204"/>
      <c r="AB3030" s="204"/>
      <c r="AC3030" s="204"/>
    </row>
    <row r="3031" spans="1:29">
      <c r="A3031" s="204"/>
      <c r="B3031" s="204"/>
      <c r="C3031" s="204"/>
      <c r="D3031" s="204"/>
      <c r="E3031" s="204"/>
      <c r="F3031" s="204"/>
      <c r="G3031" s="204"/>
      <c r="H3031" s="204"/>
      <c r="I3031" s="204"/>
      <c r="J3031" s="204"/>
      <c r="K3031" s="204"/>
      <c r="L3031" s="205"/>
      <c r="M3031" s="205"/>
      <c r="N3031" s="204"/>
      <c r="O3031" s="204"/>
      <c r="P3031" s="206"/>
      <c r="Q3031" s="206"/>
      <c r="R3031" s="206"/>
      <c r="S3031" s="206"/>
      <c r="T3031" s="204"/>
      <c r="U3031" s="207"/>
      <c r="V3031" s="204"/>
      <c r="W3031" s="204"/>
      <c r="X3031" s="207"/>
      <c r="Y3031" s="207"/>
      <c r="Z3031" s="204"/>
      <c r="AA3031" s="204"/>
      <c r="AB3031" s="204"/>
      <c r="AC3031" s="204"/>
    </row>
    <row r="3032" spans="1:29">
      <c r="A3032" s="204"/>
      <c r="B3032" s="204"/>
      <c r="C3032" s="204"/>
      <c r="D3032" s="204"/>
      <c r="E3032" s="204"/>
      <c r="F3032" s="204"/>
      <c r="G3032" s="204"/>
      <c r="H3032" s="204"/>
      <c r="I3032" s="204"/>
      <c r="J3032" s="204"/>
      <c r="K3032" s="204"/>
      <c r="L3032" s="205"/>
      <c r="M3032" s="205"/>
      <c r="N3032" s="204"/>
      <c r="O3032" s="204"/>
      <c r="P3032" s="206"/>
      <c r="Q3032" s="206"/>
      <c r="R3032" s="206"/>
      <c r="S3032" s="206"/>
      <c r="T3032" s="204"/>
      <c r="U3032" s="207"/>
      <c r="V3032" s="204"/>
      <c r="W3032" s="204"/>
      <c r="X3032" s="207"/>
      <c r="Y3032" s="207"/>
      <c r="Z3032" s="204"/>
      <c r="AA3032" s="204"/>
      <c r="AB3032" s="204"/>
      <c r="AC3032" s="204"/>
    </row>
    <row r="3033" spans="1:29">
      <c r="A3033" s="204"/>
      <c r="B3033" s="204"/>
      <c r="C3033" s="204"/>
      <c r="D3033" s="204"/>
      <c r="E3033" s="204"/>
      <c r="F3033" s="204"/>
      <c r="G3033" s="204"/>
      <c r="H3033" s="204"/>
      <c r="I3033" s="204"/>
      <c r="J3033" s="204"/>
      <c r="K3033" s="204"/>
      <c r="L3033" s="205"/>
      <c r="M3033" s="205"/>
      <c r="N3033" s="204"/>
      <c r="O3033" s="204"/>
      <c r="P3033" s="206"/>
      <c r="Q3033" s="206"/>
      <c r="R3033" s="206"/>
      <c r="S3033" s="206"/>
      <c r="T3033" s="204"/>
      <c r="U3033" s="207"/>
      <c r="V3033" s="204"/>
      <c r="W3033" s="204"/>
      <c r="X3033" s="207"/>
      <c r="Y3033" s="207"/>
      <c r="Z3033" s="204"/>
      <c r="AA3033" s="204"/>
      <c r="AB3033" s="204"/>
      <c r="AC3033" s="204"/>
    </row>
    <row r="3034" spans="1:29">
      <c r="A3034" s="204"/>
      <c r="B3034" s="204"/>
      <c r="C3034" s="204"/>
      <c r="D3034" s="204"/>
      <c r="E3034" s="204"/>
      <c r="F3034" s="204"/>
      <c r="G3034" s="204"/>
      <c r="H3034" s="204"/>
      <c r="I3034" s="204"/>
      <c r="J3034" s="204"/>
      <c r="K3034" s="204"/>
      <c r="L3034" s="205"/>
      <c r="M3034" s="205"/>
      <c r="N3034" s="204"/>
      <c r="O3034" s="204"/>
      <c r="P3034" s="206"/>
      <c r="Q3034" s="206"/>
      <c r="R3034" s="206"/>
      <c r="S3034" s="206"/>
      <c r="T3034" s="204"/>
      <c r="U3034" s="207"/>
      <c r="V3034" s="204"/>
      <c r="W3034" s="204"/>
      <c r="X3034" s="207"/>
      <c r="Y3034" s="207"/>
      <c r="Z3034" s="204"/>
      <c r="AA3034" s="204"/>
      <c r="AB3034" s="204"/>
      <c r="AC3034" s="204"/>
    </row>
    <row r="3035" spans="1:29">
      <c r="A3035" s="204"/>
      <c r="B3035" s="204"/>
      <c r="C3035" s="204"/>
      <c r="D3035" s="204"/>
      <c r="E3035" s="204"/>
      <c r="F3035" s="204"/>
      <c r="G3035" s="204"/>
      <c r="H3035" s="204"/>
      <c r="I3035" s="204"/>
      <c r="J3035" s="204"/>
      <c r="K3035" s="204"/>
      <c r="L3035" s="205"/>
      <c r="M3035" s="205"/>
      <c r="N3035" s="204"/>
      <c r="O3035" s="204"/>
      <c r="P3035" s="206"/>
      <c r="Q3035" s="206"/>
      <c r="R3035" s="206"/>
      <c r="S3035" s="206"/>
      <c r="T3035" s="204"/>
      <c r="U3035" s="207"/>
      <c r="V3035" s="204"/>
      <c r="W3035" s="204"/>
      <c r="X3035" s="207"/>
      <c r="Y3035" s="207"/>
      <c r="Z3035" s="204"/>
      <c r="AA3035" s="204"/>
      <c r="AB3035" s="204"/>
      <c r="AC3035" s="204"/>
    </row>
    <row r="3036" spans="1:29">
      <c r="A3036" s="204"/>
      <c r="B3036" s="204"/>
      <c r="C3036" s="204"/>
      <c r="D3036" s="204"/>
      <c r="E3036" s="204"/>
      <c r="F3036" s="204"/>
      <c r="G3036" s="204"/>
      <c r="H3036" s="204"/>
      <c r="I3036" s="204"/>
      <c r="J3036" s="204"/>
      <c r="K3036" s="204"/>
      <c r="L3036" s="205"/>
      <c r="M3036" s="205"/>
      <c r="N3036" s="204"/>
      <c r="O3036" s="204"/>
      <c r="P3036" s="206"/>
      <c r="Q3036" s="206"/>
      <c r="R3036" s="206"/>
      <c r="S3036" s="206"/>
      <c r="T3036" s="204"/>
      <c r="U3036" s="207"/>
      <c r="V3036" s="204"/>
      <c r="W3036" s="204"/>
      <c r="X3036" s="207"/>
      <c r="Y3036" s="207"/>
      <c r="Z3036" s="204"/>
      <c r="AA3036" s="204"/>
      <c r="AB3036" s="204"/>
      <c r="AC3036" s="204"/>
    </row>
    <row r="3037" spans="1:29">
      <c r="A3037" s="204"/>
      <c r="B3037" s="204"/>
      <c r="C3037" s="204"/>
      <c r="D3037" s="204"/>
      <c r="E3037" s="204"/>
      <c r="F3037" s="204"/>
      <c r="G3037" s="204"/>
      <c r="H3037" s="204"/>
      <c r="I3037" s="204"/>
      <c r="J3037" s="204"/>
      <c r="K3037" s="204"/>
      <c r="L3037" s="205"/>
      <c r="M3037" s="205"/>
      <c r="N3037" s="204"/>
      <c r="O3037" s="204"/>
      <c r="P3037" s="206"/>
      <c r="Q3037" s="206"/>
      <c r="R3037" s="206"/>
      <c r="S3037" s="206"/>
      <c r="T3037" s="204"/>
      <c r="U3037" s="207"/>
      <c r="V3037" s="204"/>
      <c r="W3037" s="204"/>
      <c r="X3037" s="207"/>
      <c r="Y3037" s="207"/>
      <c r="Z3037" s="204"/>
      <c r="AA3037" s="204"/>
      <c r="AB3037" s="204"/>
      <c r="AC3037" s="204"/>
    </row>
    <row r="3038" spans="1:29">
      <c r="A3038" s="204"/>
      <c r="B3038" s="204"/>
      <c r="C3038" s="204"/>
      <c r="D3038" s="204"/>
      <c r="E3038" s="204"/>
      <c r="F3038" s="204"/>
      <c r="G3038" s="204"/>
      <c r="H3038" s="204"/>
      <c r="I3038" s="204"/>
      <c r="J3038" s="204"/>
      <c r="K3038" s="204"/>
      <c r="L3038" s="205"/>
      <c r="M3038" s="205"/>
      <c r="N3038" s="204"/>
      <c r="O3038" s="204"/>
      <c r="P3038" s="206"/>
      <c r="Q3038" s="206"/>
      <c r="R3038" s="206"/>
      <c r="S3038" s="206"/>
      <c r="T3038" s="204"/>
      <c r="U3038" s="207"/>
      <c r="V3038" s="204"/>
      <c r="W3038" s="204"/>
      <c r="X3038" s="207"/>
      <c r="Y3038" s="207"/>
      <c r="Z3038" s="204"/>
      <c r="AA3038" s="204"/>
      <c r="AB3038" s="204"/>
      <c r="AC3038" s="204"/>
    </row>
    <row r="3039" spans="1:29">
      <c r="A3039" s="204"/>
      <c r="B3039" s="204"/>
      <c r="C3039" s="204"/>
      <c r="D3039" s="204"/>
      <c r="E3039" s="204"/>
      <c r="F3039" s="204"/>
      <c r="G3039" s="204"/>
      <c r="H3039" s="204"/>
      <c r="I3039" s="204"/>
      <c r="J3039" s="204"/>
      <c r="K3039" s="204"/>
      <c r="L3039" s="205"/>
      <c r="M3039" s="205"/>
      <c r="N3039" s="204"/>
      <c r="O3039" s="204"/>
      <c r="P3039" s="206"/>
      <c r="Q3039" s="206"/>
      <c r="R3039" s="206"/>
      <c r="S3039" s="206"/>
      <c r="T3039" s="204"/>
      <c r="U3039" s="207"/>
      <c r="V3039" s="204"/>
      <c r="W3039" s="204"/>
      <c r="X3039" s="207"/>
      <c r="Y3039" s="207"/>
      <c r="Z3039" s="204"/>
      <c r="AA3039" s="204"/>
      <c r="AB3039" s="204"/>
      <c r="AC3039" s="204"/>
    </row>
    <row r="3040" spans="1:29">
      <c r="A3040" s="204"/>
      <c r="B3040" s="204"/>
      <c r="C3040" s="204"/>
      <c r="D3040" s="204"/>
      <c r="E3040" s="204"/>
      <c r="F3040" s="204"/>
      <c r="G3040" s="204"/>
      <c r="H3040" s="204"/>
      <c r="I3040" s="204"/>
      <c r="J3040" s="204"/>
      <c r="K3040" s="204"/>
      <c r="L3040" s="205"/>
      <c r="M3040" s="205"/>
      <c r="N3040" s="204"/>
      <c r="O3040" s="204"/>
      <c r="P3040" s="206"/>
      <c r="Q3040" s="206"/>
      <c r="R3040" s="206"/>
      <c r="S3040" s="206"/>
      <c r="T3040" s="204"/>
      <c r="U3040" s="207"/>
      <c r="V3040" s="204"/>
      <c r="W3040" s="204"/>
      <c r="X3040" s="207"/>
      <c r="Y3040" s="207"/>
      <c r="Z3040" s="204"/>
      <c r="AA3040" s="204"/>
      <c r="AB3040" s="204"/>
      <c r="AC3040" s="204"/>
    </row>
    <row r="3041" spans="1:29">
      <c r="A3041" s="204"/>
      <c r="B3041" s="204"/>
      <c r="C3041" s="204"/>
      <c r="D3041" s="204"/>
      <c r="E3041" s="204"/>
      <c r="F3041" s="204"/>
      <c r="G3041" s="204"/>
      <c r="H3041" s="204"/>
      <c r="I3041" s="204"/>
      <c r="J3041" s="204"/>
      <c r="K3041" s="204"/>
      <c r="L3041" s="205"/>
      <c r="M3041" s="205"/>
      <c r="N3041" s="204"/>
      <c r="O3041" s="204"/>
      <c r="P3041" s="206"/>
      <c r="Q3041" s="206"/>
      <c r="R3041" s="206"/>
      <c r="S3041" s="206"/>
      <c r="T3041" s="204"/>
      <c r="U3041" s="207"/>
      <c r="V3041" s="204"/>
      <c r="W3041" s="204"/>
      <c r="X3041" s="207"/>
      <c r="Y3041" s="207"/>
      <c r="Z3041" s="204"/>
      <c r="AA3041" s="204"/>
      <c r="AB3041" s="204"/>
      <c r="AC3041" s="204"/>
    </row>
    <row r="3042" spans="1:29">
      <c r="A3042" s="204"/>
      <c r="B3042" s="204"/>
      <c r="C3042" s="204"/>
      <c r="D3042" s="204"/>
      <c r="E3042" s="204"/>
      <c r="F3042" s="204"/>
      <c r="G3042" s="204"/>
      <c r="H3042" s="204"/>
      <c r="I3042" s="204"/>
      <c r="J3042" s="204"/>
      <c r="K3042" s="204"/>
      <c r="L3042" s="205"/>
      <c r="M3042" s="205"/>
      <c r="N3042" s="204"/>
      <c r="O3042" s="204"/>
      <c r="P3042" s="206"/>
      <c r="Q3042" s="206"/>
      <c r="R3042" s="206"/>
      <c r="S3042" s="206"/>
      <c r="T3042" s="204"/>
      <c r="U3042" s="207"/>
      <c r="V3042" s="204"/>
      <c r="W3042" s="204"/>
      <c r="X3042" s="207"/>
      <c r="Y3042" s="207"/>
      <c r="Z3042" s="204"/>
      <c r="AA3042" s="204"/>
      <c r="AB3042" s="204"/>
      <c r="AC3042" s="204"/>
    </row>
    <row r="3043" spans="1:29">
      <c r="A3043" s="204"/>
      <c r="B3043" s="204"/>
      <c r="C3043" s="204"/>
      <c r="D3043" s="204"/>
      <c r="E3043" s="204"/>
      <c r="F3043" s="204"/>
      <c r="G3043" s="204"/>
      <c r="H3043" s="204"/>
      <c r="I3043" s="204"/>
      <c r="J3043" s="204"/>
      <c r="K3043" s="204"/>
      <c r="L3043" s="205"/>
      <c r="M3043" s="205"/>
      <c r="N3043" s="204"/>
      <c r="O3043" s="204"/>
      <c r="P3043" s="206"/>
      <c r="Q3043" s="206"/>
      <c r="R3043" s="206"/>
      <c r="S3043" s="206"/>
      <c r="T3043" s="204"/>
      <c r="U3043" s="207"/>
      <c r="V3043" s="204"/>
      <c r="W3043" s="204"/>
      <c r="X3043" s="207"/>
      <c r="Y3043" s="207"/>
      <c r="Z3043" s="204"/>
      <c r="AA3043" s="204"/>
      <c r="AB3043" s="204"/>
      <c r="AC3043" s="204"/>
    </row>
    <row r="3044" spans="1:29">
      <c r="A3044" s="204"/>
      <c r="B3044" s="204"/>
      <c r="C3044" s="204"/>
      <c r="D3044" s="204"/>
      <c r="E3044" s="204"/>
      <c r="F3044" s="204"/>
      <c r="G3044" s="204"/>
      <c r="H3044" s="204"/>
      <c r="I3044" s="204"/>
      <c r="J3044" s="204"/>
      <c r="K3044" s="204"/>
      <c r="L3044" s="205"/>
      <c r="M3044" s="205"/>
      <c r="N3044" s="204"/>
      <c r="O3044" s="204"/>
      <c r="P3044" s="206"/>
      <c r="Q3044" s="206"/>
      <c r="R3044" s="206"/>
      <c r="S3044" s="206"/>
      <c r="T3044" s="204"/>
      <c r="U3044" s="207"/>
      <c r="V3044" s="204"/>
      <c r="W3044" s="204"/>
      <c r="X3044" s="207"/>
      <c r="Y3044" s="207"/>
      <c r="Z3044" s="204"/>
      <c r="AA3044" s="204"/>
      <c r="AB3044" s="204"/>
      <c r="AC3044" s="204"/>
    </row>
    <row r="3045" spans="1:29">
      <c r="A3045" s="204"/>
      <c r="B3045" s="204"/>
      <c r="C3045" s="204"/>
      <c r="D3045" s="204"/>
      <c r="E3045" s="204"/>
      <c r="F3045" s="204"/>
      <c r="G3045" s="204"/>
      <c r="H3045" s="204"/>
      <c r="I3045" s="204"/>
      <c r="J3045" s="204"/>
      <c r="K3045" s="204"/>
      <c r="L3045" s="205"/>
      <c r="M3045" s="205"/>
      <c r="N3045" s="204"/>
      <c r="O3045" s="204"/>
      <c r="P3045" s="206"/>
      <c r="Q3045" s="206"/>
      <c r="R3045" s="206"/>
      <c r="S3045" s="206"/>
      <c r="T3045" s="204"/>
      <c r="U3045" s="207"/>
      <c r="V3045" s="204"/>
      <c r="W3045" s="204"/>
      <c r="X3045" s="207"/>
      <c r="Y3045" s="207"/>
      <c r="Z3045" s="204"/>
      <c r="AA3045" s="204"/>
      <c r="AB3045" s="204"/>
      <c r="AC3045" s="204"/>
    </row>
    <row r="3046" spans="1:29">
      <c r="A3046" s="204"/>
      <c r="B3046" s="204"/>
      <c r="C3046" s="204"/>
      <c r="D3046" s="204"/>
      <c r="E3046" s="204"/>
      <c r="F3046" s="204"/>
      <c r="G3046" s="204"/>
      <c r="H3046" s="204"/>
      <c r="I3046" s="204"/>
      <c r="J3046" s="204"/>
      <c r="K3046" s="204"/>
      <c r="L3046" s="205"/>
      <c r="M3046" s="205"/>
      <c r="N3046" s="204"/>
      <c r="O3046" s="204"/>
      <c r="P3046" s="206"/>
      <c r="Q3046" s="206"/>
      <c r="R3046" s="206"/>
      <c r="S3046" s="206"/>
      <c r="T3046" s="204"/>
      <c r="U3046" s="207"/>
      <c r="V3046" s="204"/>
      <c r="W3046" s="204"/>
      <c r="X3046" s="207"/>
      <c r="Y3046" s="207"/>
      <c r="Z3046" s="204"/>
      <c r="AA3046" s="204"/>
      <c r="AB3046" s="204"/>
      <c r="AC3046" s="204"/>
    </row>
    <row r="3047" spans="1:29">
      <c r="A3047" s="204"/>
      <c r="B3047" s="204"/>
      <c r="C3047" s="204"/>
      <c r="D3047" s="204"/>
      <c r="E3047" s="204"/>
      <c r="F3047" s="204"/>
      <c r="G3047" s="204"/>
      <c r="H3047" s="204"/>
      <c r="I3047" s="204"/>
      <c r="J3047" s="204"/>
      <c r="K3047" s="204"/>
      <c r="L3047" s="205"/>
      <c r="M3047" s="205"/>
      <c r="N3047" s="204"/>
      <c r="O3047" s="204"/>
      <c r="P3047" s="206"/>
      <c r="Q3047" s="206"/>
      <c r="R3047" s="206"/>
      <c r="S3047" s="206"/>
      <c r="T3047" s="204"/>
      <c r="U3047" s="207"/>
      <c r="V3047" s="204"/>
      <c r="W3047" s="204"/>
      <c r="X3047" s="207"/>
      <c r="Y3047" s="207"/>
      <c r="Z3047" s="204"/>
      <c r="AA3047" s="204"/>
      <c r="AB3047" s="204"/>
      <c r="AC3047" s="204"/>
    </row>
    <row r="3048" spans="1:29">
      <c r="A3048" s="204"/>
      <c r="B3048" s="204"/>
      <c r="C3048" s="204"/>
      <c r="D3048" s="204"/>
      <c r="E3048" s="204"/>
      <c r="F3048" s="204"/>
      <c r="G3048" s="204"/>
      <c r="H3048" s="204"/>
      <c r="I3048" s="204"/>
      <c r="J3048" s="204"/>
      <c r="K3048" s="204"/>
      <c r="L3048" s="205"/>
      <c r="M3048" s="205"/>
      <c r="N3048" s="204"/>
      <c r="O3048" s="204"/>
      <c r="P3048" s="206"/>
      <c r="Q3048" s="206"/>
      <c r="R3048" s="206"/>
      <c r="S3048" s="206"/>
      <c r="T3048" s="204"/>
      <c r="U3048" s="207"/>
      <c r="V3048" s="204"/>
      <c r="W3048" s="204"/>
      <c r="X3048" s="207"/>
      <c r="Y3048" s="207"/>
      <c r="Z3048" s="204"/>
      <c r="AA3048" s="204"/>
      <c r="AB3048" s="204"/>
      <c r="AC3048" s="204"/>
    </row>
    <row r="3049" spans="1:29">
      <c r="A3049" s="204"/>
      <c r="B3049" s="204"/>
      <c r="C3049" s="204"/>
      <c r="D3049" s="204"/>
      <c r="E3049" s="204"/>
      <c r="F3049" s="204"/>
      <c r="G3049" s="204"/>
      <c r="H3049" s="204"/>
      <c r="I3049" s="204"/>
      <c r="J3049" s="204"/>
      <c r="K3049" s="204"/>
      <c r="L3049" s="205"/>
      <c r="M3049" s="205"/>
      <c r="N3049" s="204"/>
      <c r="O3049" s="204"/>
      <c r="P3049" s="206"/>
      <c r="Q3049" s="206"/>
      <c r="R3049" s="206"/>
      <c r="S3049" s="206"/>
      <c r="T3049" s="204"/>
      <c r="U3049" s="207"/>
      <c r="V3049" s="204"/>
      <c r="W3049" s="204"/>
      <c r="X3049" s="207"/>
      <c r="Y3049" s="207"/>
      <c r="Z3049" s="204"/>
      <c r="AA3049" s="204"/>
      <c r="AB3049" s="204"/>
      <c r="AC3049" s="204"/>
    </row>
    <row r="3050" spans="1:29">
      <c r="A3050" s="204"/>
      <c r="B3050" s="204"/>
      <c r="C3050" s="204"/>
      <c r="D3050" s="204"/>
      <c r="E3050" s="204"/>
      <c r="F3050" s="204"/>
      <c r="G3050" s="204"/>
      <c r="H3050" s="204"/>
      <c r="I3050" s="204"/>
      <c r="J3050" s="204"/>
      <c r="K3050" s="204"/>
      <c r="L3050" s="205"/>
      <c r="M3050" s="205"/>
      <c r="N3050" s="204"/>
      <c r="O3050" s="204"/>
      <c r="P3050" s="206"/>
      <c r="Q3050" s="206"/>
      <c r="R3050" s="206"/>
      <c r="S3050" s="206"/>
      <c r="T3050" s="204"/>
      <c r="U3050" s="207"/>
      <c r="V3050" s="204"/>
      <c r="W3050" s="204"/>
      <c r="X3050" s="207"/>
      <c r="Y3050" s="207"/>
      <c r="Z3050" s="204"/>
      <c r="AA3050" s="204"/>
      <c r="AB3050" s="204"/>
      <c r="AC3050" s="204"/>
    </row>
    <row r="3051" spans="1:29">
      <c r="A3051" s="204"/>
      <c r="B3051" s="204"/>
      <c r="C3051" s="204"/>
      <c r="D3051" s="204"/>
      <c r="E3051" s="204"/>
      <c r="F3051" s="204"/>
      <c r="G3051" s="204"/>
      <c r="H3051" s="204"/>
      <c r="I3051" s="204"/>
      <c r="J3051" s="204"/>
      <c r="K3051" s="204"/>
      <c r="L3051" s="205"/>
      <c r="M3051" s="205"/>
      <c r="N3051" s="204"/>
      <c r="O3051" s="204"/>
      <c r="P3051" s="206"/>
      <c r="Q3051" s="206"/>
      <c r="R3051" s="206"/>
      <c r="S3051" s="206"/>
      <c r="T3051" s="204"/>
      <c r="U3051" s="207"/>
      <c r="V3051" s="204"/>
      <c r="W3051" s="204"/>
      <c r="X3051" s="207"/>
      <c r="Y3051" s="207"/>
      <c r="Z3051" s="204"/>
      <c r="AA3051" s="204"/>
      <c r="AB3051" s="204"/>
      <c r="AC3051" s="204"/>
    </row>
    <row r="3052" spans="1:29">
      <c r="A3052" s="204"/>
      <c r="B3052" s="204"/>
      <c r="C3052" s="204"/>
      <c r="D3052" s="204"/>
      <c r="E3052" s="204"/>
      <c r="F3052" s="204"/>
      <c r="G3052" s="204"/>
      <c r="H3052" s="204"/>
      <c r="I3052" s="204"/>
      <c r="J3052" s="204"/>
      <c r="K3052" s="204"/>
      <c r="L3052" s="205"/>
      <c r="M3052" s="205"/>
      <c r="N3052" s="204"/>
      <c r="O3052" s="204"/>
      <c r="P3052" s="206"/>
      <c r="Q3052" s="206"/>
      <c r="R3052" s="206"/>
      <c r="S3052" s="206"/>
      <c r="T3052" s="204"/>
      <c r="U3052" s="207"/>
      <c r="V3052" s="204"/>
      <c r="W3052" s="204"/>
      <c r="X3052" s="207"/>
      <c r="Y3052" s="207"/>
      <c r="Z3052" s="204"/>
      <c r="AA3052" s="204"/>
      <c r="AB3052" s="204"/>
      <c r="AC3052" s="204"/>
    </row>
    <row r="3053" spans="1:29">
      <c r="A3053" s="204"/>
      <c r="B3053" s="204"/>
      <c r="C3053" s="204"/>
      <c r="D3053" s="204"/>
      <c r="E3053" s="204"/>
      <c r="F3053" s="204"/>
      <c r="G3053" s="204"/>
      <c r="H3053" s="204"/>
      <c r="I3053" s="204"/>
      <c r="J3053" s="204"/>
      <c r="K3053" s="204"/>
      <c r="L3053" s="205"/>
      <c r="M3053" s="205"/>
      <c r="N3053" s="204"/>
      <c r="O3053" s="204"/>
      <c r="P3053" s="206"/>
      <c r="Q3053" s="206"/>
      <c r="R3053" s="206"/>
      <c r="S3053" s="206"/>
      <c r="T3053" s="204"/>
      <c r="U3053" s="207"/>
      <c r="V3053" s="204"/>
      <c r="W3053" s="204"/>
      <c r="X3053" s="207"/>
      <c r="Y3053" s="207"/>
      <c r="Z3053" s="204"/>
      <c r="AA3053" s="204"/>
      <c r="AB3053" s="204"/>
      <c r="AC3053" s="204"/>
    </row>
    <row r="3054" spans="1:29">
      <c r="A3054" s="204"/>
      <c r="B3054" s="204"/>
      <c r="C3054" s="204"/>
      <c r="D3054" s="204"/>
      <c r="E3054" s="204"/>
      <c r="F3054" s="204"/>
      <c r="G3054" s="204"/>
      <c r="H3054" s="204"/>
      <c r="I3054" s="204"/>
      <c r="J3054" s="204"/>
      <c r="K3054" s="204"/>
      <c r="L3054" s="205"/>
      <c r="M3054" s="205"/>
      <c r="N3054" s="204"/>
      <c r="O3054" s="204"/>
      <c r="P3054" s="206"/>
      <c r="Q3054" s="206"/>
      <c r="R3054" s="206"/>
      <c r="S3054" s="206"/>
      <c r="T3054" s="204"/>
      <c r="U3054" s="207"/>
      <c r="V3054" s="204"/>
      <c r="W3054" s="204"/>
      <c r="X3054" s="207"/>
      <c r="Y3054" s="207"/>
      <c r="Z3054" s="204"/>
      <c r="AA3054" s="204"/>
      <c r="AB3054" s="204"/>
      <c r="AC3054" s="204"/>
    </row>
    <row r="3055" spans="1:29">
      <c r="A3055" s="204"/>
      <c r="B3055" s="204"/>
      <c r="C3055" s="204"/>
      <c r="D3055" s="204"/>
      <c r="E3055" s="204"/>
      <c r="F3055" s="204"/>
      <c r="G3055" s="204"/>
      <c r="H3055" s="204"/>
      <c r="I3055" s="204"/>
      <c r="J3055" s="204"/>
      <c r="K3055" s="204"/>
      <c r="L3055" s="205"/>
      <c r="M3055" s="205"/>
      <c r="N3055" s="204"/>
      <c r="O3055" s="204"/>
      <c r="P3055" s="206"/>
      <c r="Q3055" s="206"/>
      <c r="R3055" s="206"/>
      <c r="S3055" s="206"/>
      <c r="T3055" s="204"/>
      <c r="U3055" s="207"/>
      <c r="V3055" s="204"/>
      <c r="W3055" s="204"/>
      <c r="X3055" s="207"/>
      <c r="Y3055" s="207"/>
      <c r="Z3055" s="204"/>
      <c r="AA3055" s="204"/>
      <c r="AB3055" s="204"/>
      <c r="AC3055" s="204"/>
    </row>
    <row r="3056" spans="1:29">
      <c r="A3056" s="204"/>
      <c r="B3056" s="204"/>
      <c r="C3056" s="204"/>
      <c r="D3056" s="204"/>
      <c r="E3056" s="204"/>
      <c r="F3056" s="204"/>
      <c r="G3056" s="204"/>
      <c r="H3056" s="204"/>
      <c r="I3056" s="204"/>
      <c r="J3056" s="204"/>
      <c r="K3056" s="204"/>
      <c r="L3056" s="205"/>
      <c r="M3056" s="205"/>
      <c r="N3056" s="204"/>
      <c r="O3056" s="204"/>
      <c r="P3056" s="206"/>
      <c r="Q3056" s="206"/>
      <c r="R3056" s="206"/>
      <c r="S3056" s="206"/>
      <c r="T3056" s="204"/>
      <c r="U3056" s="207"/>
      <c r="V3056" s="204"/>
      <c r="W3056" s="204"/>
      <c r="X3056" s="207"/>
      <c r="Y3056" s="207"/>
      <c r="Z3056" s="204"/>
      <c r="AA3056" s="204"/>
      <c r="AB3056" s="204"/>
      <c r="AC3056" s="204"/>
    </row>
    <row r="3057" spans="1:29">
      <c r="A3057" s="204"/>
      <c r="B3057" s="204"/>
      <c r="C3057" s="204"/>
      <c r="D3057" s="204"/>
      <c r="E3057" s="204"/>
      <c r="F3057" s="204"/>
      <c r="G3057" s="204"/>
      <c r="H3057" s="204"/>
      <c r="I3057" s="204"/>
      <c r="J3057" s="204"/>
      <c r="K3057" s="204"/>
      <c r="L3057" s="205"/>
      <c r="M3057" s="205"/>
      <c r="N3057" s="204"/>
      <c r="O3057" s="204"/>
      <c r="P3057" s="206"/>
      <c r="Q3057" s="206"/>
      <c r="R3057" s="206"/>
      <c r="S3057" s="206"/>
      <c r="T3057" s="204"/>
      <c r="U3057" s="207"/>
      <c r="V3057" s="204"/>
      <c r="W3057" s="204"/>
      <c r="X3057" s="207"/>
      <c r="Y3057" s="207"/>
      <c r="Z3057" s="204"/>
      <c r="AA3057" s="204"/>
      <c r="AB3057" s="204"/>
      <c r="AC3057" s="204"/>
    </row>
    <row r="3058" spans="1:29">
      <c r="A3058" s="204"/>
      <c r="B3058" s="204"/>
      <c r="C3058" s="204"/>
      <c r="D3058" s="204"/>
      <c r="E3058" s="204"/>
      <c r="F3058" s="204"/>
      <c r="G3058" s="204"/>
      <c r="H3058" s="204"/>
      <c r="I3058" s="204"/>
      <c r="J3058" s="204"/>
      <c r="K3058" s="204"/>
      <c r="L3058" s="205"/>
      <c r="M3058" s="205"/>
      <c r="N3058" s="204"/>
      <c r="O3058" s="204"/>
      <c r="P3058" s="206"/>
      <c r="Q3058" s="206"/>
      <c r="R3058" s="206"/>
      <c r="S3058" s="206"/>
      <c r="T3058" s="204"/>
      <c r="U3058" s="207"/>
      <c r="V3058" s="204"/>
      <c r="W3058" s="204"/>
      <c r="X3058" s="207"/>
      <c r="Y3058" s="207"/>
      <c r="Z3058" s="204"/>
      <c r="AA3058" s="204"/>
      <c r="AB3058" s="204"/>
      <c r="AC3058" s="204"/>
    </row>
    <row r="3059" spans="1:29">
      <c r="A3059" s="204"/>
      <c r="B3059" s="204"/>
      <c r="C3059" s="204"/>
      <c r="D3059" s="204"/>
      <c r="E3059" s="204"/>
      <c r="F3059" s="204"/>
      <c r="G3059" s="204"/>
      <c r="H3059" s="204"/>
      <c r="I3059" s="204"/>
      <c r="J3059" s="204"/>
      <c r="K3059" s="204"/>
      <c r="L3059" s="205"/>
      <c r="M3059" s="205"/>
      <c r="N3059" s="204"/>
      <c r="O3059" s="204"/>
      <c r="P3059" s="206"/>
      <c r="Q3059" s="206"/>
      <c r="R3059" s="206"/>
      <c r="S3059" s="206"/>
      <c r="T3059" s="204"/>
      <c r="U3059" s="207"/>
      <c r="V3059" s="204"/>
      <c r="W3059" s="204"/>
      <c r="X3059" s="207"/>
      <c r="Y3059" s="207"/>
      <c r="Z3059" s="204"/>
      <c r="AA3059" s="204"/>
      <c r="AB3059" s="204"/>
      <c r="AC3059" s="204"/>
    </row>
    <row r="3060" spans="1:29">
      <c r="A3060" s="204"/>
      <c r="B3060" s="204"/>
      <c r="C3060" s="204"/>
      <c r="D3060" s="204"/>
      <c r="E3060" s="204"/>
      <c r="F3060" s="204"/>
      <c r="G3060" s="204"/>
      <c r="H3060" s="204"/>
      <c r="I3060" s="204"/>
      <c r="J3060" s="204"/>
      <c r="K3060" s="204"/>
      <c r="L3060" s="205"/>
      <c r="M3060" s="205"/>
      <c r="N3060" s="204"/>
      <c r="O3060" s="204"/>
      <c r="P3060" s="206"/>
      <c r="Q3060" s="206"/>
      <c r="R3060" s="206"/>
      <c r="S3060" s="206"/>
      <c r="T3060" s="204"/>
      <c r="U3060" s="207"/>
      <c r="V3060" s="204"/>
      <c r="W3060" s="204"/>
      <c r="X3060" s="207"/>
      <c r="Y3060" s="207"/>
      <c r="Z3060" s="204"/>
      <c r="AA3060" s="204"/>
      <c r="AB3060" s="204"/>
      <c r="AC3060" s="204"/>
    </row>
    <row r="3061" spans="1:29">
      <c r="A3061" s="204"/>
      <c r="B3061" s="204"/>
      <c r="C3061" s="204"/>
      <c r="D3061" s="204"/>
      <c r="E3061" s="204"/>
      <c r="F3061" s="204"/>
      <c r="G3061" s="204"/>
      <c r="H3061" s="204"/>
      <c r="I3061" s="204"/>
      <c r="J3061" s="204"/>
      <c r="K3061" s="204"/>
      <c r="L3061" s="205"/>
      <c r="M3061" s="205"/>
      <c r="N3061" s="204"/>
      <c r="O3061" s="204"/>
      <c r="P3061" s="206"/>
      <c r="Q3061" s="206"/>
      <c r="R3061" s="206"/>
      <c r="S3061" s="206"/>
      <c r="T3061" s="204"/>
      <c r="U3061" s="207"/>
      <c r="V3061" s="204"/>
      <c r="W3061" s="204"/>
      <c r="X3061" s="207"/>
      <c r="Y3061" s="207"/>
      <c r="Z3061" s="204"/>
      <c r="AA3061" s="204"/>
      <c r="AB3061" s="204"/>
      <c r="AC3061" s="204"/>
    </row>
    <row r="3062" spans="1:29">
      <c r="A3062" s="204"/>
      <c r="B3062" s="204"/>
      <c r="C3062" s="204"/>
      <c r="D3062" s="204"/>
      <c r="E3062" s="204"/>
      <c r="F3062" s="204"/>
      <c r="G3062" s="204"/>
      <c r="H3062" s="204"/>
      <c r="I3062" s="204"/>
      <c r="J3062" s="204"/>
      <c r="K3062" s="204"/>
      <c r="L3062" s="205"/>
      <c r="M3062" s="205"/>
      <c r="N3062" s="204"/>
      <c r="O3062" s="204"/>
      <c r="P3062" s="206"/>
      <c r="Q3062" s="206"/>
      <c r="R3062" s="206"/>
      <c r="S3062" s="206"/>
      <c r="T3062" s="204"/>
      <c r="U3062" s="207"/>
      <c r="V3062" s="204"/>
      <c r="W3062" s="204"/>
      <c r="X3062" s="207"/>
      <c r="Y3062" s="207"/>
      <c r="Z3062" s="204"/>
      <c r="AA3062" s="204"/>
      <c r="AB3062" s="204"/>
      <c r="AC3062" s="204"/>
    </row>
    <row r="3063" spans="1:29">
      <c r="A3063" s="204"/>
      <c r="B3063" s="204"/>
      <c r="C3063" s="204"/>
      <c r="D3063" s="204"/>
      <c r="E3063" s="204"/>
      <c r="F3063" s="204"/>
      <c r="G3063" s="204"/>
      <c r="H3063" s="204"/>
      <c r="I3063" s="204"/>
      <c r="J3063" s="204"/>
      <c r="K3063" s="204"/>
      <c r="L3063" s="205"/>
      <c r="M3063" s="205"/>
      <c r="N3063" s="204"/>
      <c r="O3063" s="204"/>
      <c r="P3063" s="206"/>
      <c r="Q3063" s="206"/>
      <c r="R3063" s="206"/>
      <c r="S3063" s="206"/>
      <c r="T3063" s="204"/>
      <c r="U3063" s="207"/>
      <c r="V3063" s="204"/>
      <c r="W3063" s="204"/>
      <c r="X3063" s="207"/>
      <c r="Y3063" s="207"/>
      <c r="Z3063" s="204"/>
      <c r="AA3063" s="204"/>
      <c r="AB3063" s="204"/>
      <c r="AC3063" s="204"/>
    </row>
    <row r="3064" spans="1:29">
      <c r="A3064" s="204"/>
      <c r="B3064" s="204"/>
      <c r="C3064" s="204"/>
      <c r="D3064" s="204"/>
      <c r="E3064" s="204"/>
      <c r="F3064" s="204"/>
      <c r="G3064" s="204"/>
      <c r="H3064" s="204"/>
      <c r="I3064" s="204"/>
      <c r="J3064" s="204"/>
      <c r="K3064" s="204"/>
      <c r="L3064" s="205"/>
      <c r="M3064" s="205"/>
      <c r="N3064" s="204"/>
      <c r="O3064" s="204"/>
      <c r="P3064" s="206"/>
      <c r="Q3064" s="206"/>
      <c r="R3064" s="206"/>
      <c r="S3064" s="206"/>
      <c r="T3064" s="204"/>
      <c r="U3064" s="207"/>
      <c r="V3064" s="204"/>
      <c r="W3064" s="204"/>
      <c r="X3064" s="207"/>
      <c r="Y3064" s="207"/>
      <c r="Z3064" s="204"/>
      <c r="AA3064" s="204"/>
      <c r="AB3064" s="204"/>
      <c r="AC3064" s="204"/>
    </row>
    <row r="3065" spans="1:29">
      <c r="A3065" s="204"/>
      <c r="B3065" s="204"/>
      <c r="C3065" s="204"/>
      <c r="D3065" s="204"/>
      <c r="E3065" s="204"/>
      <c r="F3065" s="204"/>
      <c r="G3065" s="204"/>
      <c r="H3065" s="204"/>
      <c r="I3065" s="204"/>
      <c r="J3065" s="204"/>
      <c r="K3065" s="204"/>
      <c r="L3065" s="205"/>
      <c r="M3065" s="205"/>
      <c r="N3065" s="204"/>
      <c r="O3065" s="204"/>
      <c r="P3065" s="206"/>
      <c r="Q3065" s="206"/>
      <c r="R3065" s="206"/>
      <c r="S3065" s="206"/>
      <c r="T3065" s="204"/>
      <c r="U3065" s="207"/>
      <c r="V3065" s="204"/>
      <c r="W3065" s="204"/>
      <c r="X3065" s="207"/>
      <c r="Y3065" s="207"/>
      <c r="Z3065" s="204"/>
      <c r="AA3065" s="204"/>
      <c r="AB3065" s="204"/>
      <c r="AC3065" s="204"/>
    </row>
    <row r="3066" spans="1:29">
      <c r="A3066" s="204"/>
      <c r="B3066" s="204"/>
      <c r="C3066" s="204"/>
      <c r="D3066" s="204"/>
      <c r="E3066" s="204"/>
      <c r="F3066" s="204"/>
      <c r="G3066" s="204"/>
      <c r="H3066" s="204"/>
      <c r="I3066" s="204"/>
      <c r="J3066" s="204"/>
      <c r="K3066" s="204"/>
      <c r="L3066" s="205"/>
      <c r="M3066" s="205"/>
      <c r="N3066" s="204"/>
      <c r="O3066" s="204"/>
      <c r="P3066" s="206"/>
      <c r="Q3066" s="206"/>
      <c r="R3066" s="206"/>
      <c r="S3066" s="206"/>
      <c r="T3066" s="204"/>
      <c r="U3066" s="207"/>
      <c r="V3066" s="204"/>
      <c r="W3066" s="204"/>
      <c r="X3066" s="207"/>
      <c r="Y3066" s="207"/>
      <c r="Z3066" s="204"/>
      <c r="AA3066" s="204"/>
      <c r="AB3066" s="204"/>
      <c r="AC3066" s="204"/>
    </row>
    <row r="3067" spans="1:29">
      <c r="A3067" s="204"/>
      <c r="B3067" s="204"/>
      <c r="C3067" s="204"/>
      <c r="D3067" s="204"/>
      <c r="E3067" s="204"/>
      <c r="F3067" s="204"/>
      <c r="G3067" s="204"/>
      <c r="H3067" s="204"/>
      <c r="I3067" s="204"/>
      <c r="J3067" s="204"/>
      <c r="K3067" s="204"/>
      <c r="L3067" s="205"/>
      <c r="M3067" s="205"/>
      <c r="N3067" s="204"/>
      <c r="O3067" s="204"/>
      <c r="P3067" s="206"/>
      <c r="Q3067" s="206"/>
      <c r="R3067" s="206"/>
      <c r="S3067" s="206"/>
      <c r="T3067" s="204"/>
      <c r="U3067" s="207"/>
      <c r="V3067" s="204"/>
      <c r="W3067" s="204"/>
      <c r="X3067" s="207"/>
      <c r="Y3067" s="207"/>
      <c r="Z3067" s="204"/>
      <c r="AA3067" s="204"/>
      <c r="AB3067" s="204"/>
      <c r="AC3067" s="204"/>
    </row>
    <row r="3068" spans="1:29">
      <c r="A3068" s="204"/>
      <c r="B3068" s="204"/>
      <c r="C3068" s="204"/>
      <c r="D3068" s="204"/>
      <c r="E3068" s="204"/>
      <c r="F3068" s="204"/>
      <c r="G3068" s="204"/>
      <c r="H3068" s="204"/>
      <c r="I3068" s="204"/>
      <c r="J3068" s="204"/>
      <c r="K3068" s="204"/>
      <c r="L3068" s="205"/>
      <c r="M3068" s="205"/>
      <c r="N3068" s="204"/>
      <c r="O3068" s="204"/>
      <c r="P3068" s="206"/>
      <c r="Q3068" s="206"/>
      <c r="R3068" s="206"/>
      <c r="S3068" s="206"/>
      <c r="T3068" s="204"/>
      <c r="U3068" s="207"/>
      <c r="V3068" s="204"/>
      <c r="W3068" s="204"/>
      <c r="X3068" s="207"/>
      <c r="Y3068" s="207"/>
      <c r="Z3068" s="204"/>
      <c r="AA3068" s="204"/>
      <c r="AB3068" s="204"/>
      <c r="AC3068" s="204"/>
    </row>
    <row r="3069" spans="1:29">
      <c r="A3069" s="204"/>
      <c r="B3069" s="204"/>
      <c r="C3069" s="204"/>
      <c r="D3069" s="204"/>
      <c r="E3069" s="204"/>
      <c r="F3069" s="204"/>
      <c r="G3069" s="204"/>
      <c r="H3069" s="204"/>
      <c r="I3069" s="204"/>
      <c r="J3069" s="204"/>
      <c r="K3069" s="204"/>
      <c r="L3069" s="205"/>
      <c r="M3069" s="205"/>
      <c r="N3069" s="204"/>
      <c r="O3069" s="204"/>
      <c r="P3069" s="206"/>
      <c r="Q3069" s="206"/>
      <c r="R3069" s="206"/>
      <c r="S3069" s="206"/>
      <c r="T3069" s="204"/>
      <c r="U3069" s="207"/>
      <c r="V3069" s="204"/>
      <c r="W3069" s="204"/>
      <c r="X3069" s="207"/>
      <c r="Y3069" s="207"/>
      <c r="Z3069" s="204"/>
      <c r="AA3069" s="204"/>
      <c r="AB3069" s="204"/>
      <c r="AC3069" s="204"/>
    </row>
    <row r="3070" spans="1:29">
      <c r="A3070" s="204"/>
      <c r="B3070" s="204"/>
      <c r="C3070" s="204"/>
      <c r="D3070" s="204"/>
      <c r="E3070" s="204"/>
      <c r="F3070" s="204"/>
      <c r="G3070" s="204"/>
      <c r="H3070" s="204"/>
      <c r="I3070" s="204"/>
      <c r="J3070" s="204"/>
      <c r="K3070" s="204"/>
      <c r="L3070" s="205"/>
      <c r="M3070" s="205"/>
      <c r="N3070" s="204"/>
      <c r="O3070" s="204"/>
      <c r="P3070" s="206"/>
      <c r="Q3070" s="206"/>
      <c r="R3070" s="206"/>
      <c r="S3070" s="206"/>
      <c r="T3070" s="204"/>
      <c r="U3070" s="207"/>
      <c r="V3070" s="204"/>
      <c r="W3070" s="204"/>
      <c r="X3070" s="207"/>
      <c r="Y3070" s="207"/>
      <c r="Z3070" s="204"/>
      <c r="AA3070" s="204"/>
      <c r="AB3070" s="204"/>
      <c r="AC3070" s="204"/>
    </row>
    <row r="3071" spans="1:29">
      <c r="A3071" s="204"/>
      <c r="B3071" s="204"/>
      <c r="C3071" s="204"/>
      <c r="D3071" s="204"/>
      <c r="E3071" s="204"/>
      <c r="F3071" s="204"/>
      <c r="G3071" s="204"/>
      <c r="H3071" s="204"/>
      <c r="I3071" s="204"/>
      <c r="J3071" s="204"/>
      <c r="K3071" s="204"/>
      <c r="L3071" s="205"/>
      <c r="M3071" s="205"/>
      <c r="N3071" s="204"/>
      <c r="O3071" s="204"/>
      <c r="P3071" s="206"/>
      <c r="Q3071" s="206"/>
      <c r="R3071" s="206"/>
      <c r="S3071" s="206"/>
      <c r="T3071" s="204"/>
      <c r="U3071" s="207"/>
      <c r="V3071" s="204"/>
      <c r="W3071" s="204"/>
      <c r="X3071" s="207"/>
      <c r="Y3071" s="207"/>
      <c r="Z3071" s="204"/>
      <c r="AA3071" s="204"/>
      <c r="AB3071" s="204"/>
      <c r="AC3071" s="204"/>
    </row>
    <row r="3072" spans="1:29">
      <c r="A3072" s="204"/>
      <c r="B3072" s="204"/>
      <c r="C3072" s="204"/>
      <c r="D3072" s="204"/>
      <c r="E3072" s="204"/>
      <c r="F3072" s="204"/>
      <c r="G3072" s="204"/>
      <c r="H3072" s="204"/>
      <c r="I3072" s="204"/>
      <c r="J3072" s="204"/>
      <c r="K3072" s="204"/>
      <c r="L3072" s="205"/>
      <c r="M3072" s="205"/>
      <c r="N3072" s="204"/>
      <c r="O3072" s="204"/>
      <c r="P3072" s="206"/>
      <c r="Q3072" s="206"/>
      <c r="R3072" s="206"/>
      <c r="S3072" s="206"/>
      <c r="T3072" s="204"/>
      <c r="U3072" s="207"/>
      <c r="V3072" s="204"/>
      <c r="W3072" s="204"/>
      <c r="X3072" s="207"/>
      <c r="Y3072" s="207"/>
      <c r="Z3072" s="204"/>
      <c r="AA3072" s="204"/>
      <c r="AB3072" s="204"/>
      <c r="AC3072" s="204"/>
    </row>
    <row r="3073" spans="1:29">
      <c r="A3073" s="204"/>
      <c r="B3073" s="204"/>
      <c r="C3073" s="204"/>
      <c r="D3073" s="204"/>
      <c r="E3073" s="204"/>
      <c r="F3073" s="204"/>
      <c r="G3073" s="204"/>
      <c r="H3073" s="204"/>
      <c r="I3073" s="204"/>
      <c r="J3073" s="204"/>
      <c r="K3073" s="204"/>
      <c r="L3073" s="205"/>
      <c r="M3073" s="205"/>
      <c r="N3073" s="204"/>
      <c r="O3073" s="204"/>
      <c r="P3073" s="206"/>
      <c r="Q3073" s="206"/>
      <c r="R3073" s="206"/>
      <c r="S3073" s="206"/>
      <c r="T3073" s="204"/>
      <c r="U3073" s="207"/>
      <c r="V3073" s="204"/>
      <c r="W3073" s="204"/>
      <c r="X3073" s="207"/>
      <c r="Y3073" s="207"/>
      <c r="Z3073" s="204"/>
      <c r="AA3073" s="204"/>
      <c r="AB3073" s="204"/>
      <c r="AC3073" s="204"/>
    </row>
    <row r="3074" spans="1:29">
      <c r="A3074" s="204"/>
      <c r="B3074" s="204"/>
      <c r="C3074" s="204"/>
      <c r="D3074" s="204"/>
      <c r="E3074" s="204"/>
      <c r="F3074" s="204"/>
      <c r="G3074" s="204"/>
      <c r="H3074" s="204"/>
      <c r="I3074" s="204"/>
      <c r="J3074" s="204"/>
      <c r="K3074" s="204"/>
      <c r="L3074" s="205"/>
      <c r="M3074" s="205"/>
      <c r="N3074" s="204"/>
      <c r="O3074" s="204"/>
      <c r="P3074" s="206"/>
      <c r="Q3074" s="206"/>
      <c r="R3074" s="206"/>
      <c r="S3074" s="206"/>
      <c r="T3074" s="204"/>
      <c r="U3074" s="207"/>
      <c r="V3074" s="204"/>
      <c r="W3074" s="204"/>
      <c r="X3074" s="207"/>
      <c r="Y3074" s="207"/>
      <c r="Z3074" s="204"/>
      <c r="AA3074" s="204"/>
      <c r="AB3074" s="204"/>
      <c r="AC3074" s="204"/>
    </row>
    <row r="3075" spans="1:29">
      <c r="A3075" s="204"/>
      <c r="B3075" s="204"/>
      <c r="C3075" s="204"/>
      <c r="D3075" s="204"/>
      <c r="E3075" s="204"/>
      <c r="F3075" s="204"/>
      <c r="G3075" s="204"/>
      <c r="H3075" s="204"/>
      <c r="I3075" s="204"/>
      <c r="J3075" s="204"/>
      <c r="K3075" s="204"/>
      <c r="L3075" s="205"/>
      <c r="M3075" s="205"/>
      <c r="N3075" s="204"/>
      <c r="O3075" s="204"/>
      <c r="P3075" s="206"/>
      <c r="Q3075" s="206"/>
      <c r="R3075" s="206"/>
      <c r="S3075" s="206"/>
      <c r="T3075" s="204"/>
      <c r="U3075" s="207"/>
      <c r="V3075" s="204"/>
      <c r="W3075" s="204"/>
      <c r="X3075" s="207"/>
      <c r="Y3075" s="207"/>
      <c r="Z3075" s="204"/>
      <c r="AA3075" s="204"/>
      <c r="AB3075" s="204"/>
      <c r="AC3075" s="204"/>
    </row>
    <row r="3076" spans="1:29">
      <c r="A3076" s="204"/>
      <c r="B3076" s="204"/>
      <c r="C3076" s="204"/>
      <c r="D3076" s="204"/>
      <c r="E3076" s="204"/>
      <c r="F3076" s="204"/>
      <c r="G3076" s="204"/>
      <c r="H3076" s="204"/>
      <c r="I3076" s="204"/>
      <c r="J3076" s="204"/>
      <c r="K3076" s="204"/>
      <c r="L3076" s="205"/>
      <c r="M3076" s="205"/>
      <c r="N3076" s="204"/>
      <c r="O3076" s="204"/>
      <c r="P3076" s="206"/>
      <c r="Q3076" s="206"/>
      <c r="R3076" s="206"/>
      <c r="S3076" s="206"/>
      <c r="T3076" s="204"/>
      <c r="U3076" s="207"/>
      <c r="V3076" s="204"/>
      <c r="W3076" s="204"/>
      <c r="X3076" s="207"/>
      <c r="Y3076" s="207"/>
      <c r="Z3076" s="204"/>
      <c r="AA3076" s="204"/>
      <c r="AB3076" s="204"/>
      <c r="AC3076" s="204"/>
    </row>
    <row r="3077" spans="1:29">
      <c r="A3077" s="204"/>
      <c r="B3077" s="204"/>
      <c r="C3077" s="204"/>
      <c r="D3077" s="204"/>
      <c r="E3077" s="204"/>
      <c r="F3077" s="204"/>
      <c r="G3077" s="204"/>
      <c r="H3077" s="204"/>
      <c r="I3077" s="204"/>
      <c r="J3077" s="204"/>
      <c r="K3077" s="204"/>
      <c r="L3077" s="205"/>
      <c r="M3077" s="205"/>
      <c r="N3077" s="204"/>
      <c r="O3077" s="204"/>
      <c r="P3077" s="206"/>
      <c r="Q3077" s="206"/>
      <c r="R3077" s="206"/>
      <c r="S3077" s="206"/>
      <c r="T3077" s="204"/>
      <c r="U3077" s="207"/>
      <c r="V3077" s="204"/>
      <c r="W3077" s="204"/>
      <c r="X3077" s="207"/>
      <c r="Y3077" s="207"/>
      <c r="Z3077" s="204"/>
      <c r="AA3077" s="204"/>
      <c r="AB3077" s="204"/>
      <c r="AC3077" s="204"/>
    </row>
    <row r="3078" spans="1:29">
      <c r="A3078" s="204"/>
      <c r="B3078" s="204"/>
      <c r="C3078" s="204"/>
      <c r="D3078" s="204"/>
      <c r="E3078" s="204"/>
      <c r="F3078" s="204"/>
      <c r="G3078" s="204"/>
      <c r="H3078" s="204"/>
      <c r="I3078" s="204"/>
      <c r="J3078" s="204"/>
      <c r="K3078" s="204"/>
      <c r="L3078" s="205"/>
      <c r="M3078" s="205"/>
      <c r="N3078" s="204"/>
      <c r="O3078" s="204"/>
      <c r="P3078" s="206"/>
      <c r="Q3078" s="206"/>
      <c r="R3078" s="206"/>
      <c r="S3078" s="206"/>
      <c r="T3078" s="204"/>
      <c r="U3078" s="207"/>
      <c r="V3078" s="204"/>
      <c r="W3078" s="204"/>
      <c r="X3078" s="207"/>
      <c r="Y3078" s="207"/>
      <c r="Z3078" s="204"/>
      <c r="AA3078" s="204"/>
      <c r="AB3078" s="204"/>
      <c r="AC3078" s="204"/>
    </row>
    <row r="3079" spans="1:29">
      <c r="A3079" s="204"/>
      <c r="B3079" s="204"/>
      <c r="C3079" s="204"/>
      <c r="D3079" s="204"/>
      <c r="E3079" s="204"/>
      <c r="F3079" s="204"/>
      <c r="G3079" s="204"/>
      <c r="H3079" s="204"/>
      <c r="I3079" s="204"/>
      <c r="J3079" s="204"/>
      <c r="K3079" s="204"/>
      <c r="L3079" s="205"/>
      <c r="M3079" s="205"/>
      <c r="N3079" s="204"/>
      <c r="O3079" s="204"/>
      <c r="P3079" s="206"/>
      <c r="Q3079" s="206"/>
      <c r="R3079" s="206"/>
      <c r="S3079" s="206"/>
      <c r="T3079" s="204"/>
      <c r="U3079" s="207"/>
      <c r="V3079" s="204"/>
      <c r="W3079" s="204"/>
      <c r="X3079" s="207"/>
      <c r="Y3079" s="207"/>
      <c r="Z3079" s="204"/>
      <c r="AA3079" s="204"/>
      <c r="AB3079" s="204"/>
      <c r="AC3079" s="204"/>
    </row>
    <row r="3080" spans="1:29">
      <c r="A3080" s="204"/>
      <c r="B3080" s="204"/>
      <c r="C3080" s="204"/>
      <c r="D3080" s="204"/>
      <c r="E3080" s="204"/>
      <c r="F3080" s="204"/>
      <c r="G3080" s="204"/>
      <c r="H3080" s="204"/>
      <c r="I3080" s="204"/>
      <c r="J3080" s="204"/>
      <c r="K3080" s="204"/>
      <c r="L3080" s="205"/>
      <c r="M3080" s="205"/>
      <c r="N3080" s="204"/>
      <c r="O3080" s="204"/>
      <c r="P3080" s="206"/>
      <c r="Q3080" s="206"/>
      <c r="R3080" s="206"/>
      <c r="S3080" s="206"/>
      <c r="T3080" s="204"/>
      <c r="U3080" s="207"/>
      <c r="V3080" s="204"/>
      <c r="W3080" s="204"/>
      <c r="X3080" s="207"/>
      <c r="Y3080" s="207"/>
      <c r="Z3080" s="204"/>
      <c r="AA3080" s="204"/>
      <c r="AB3080" s="204"/>
      <c r="AC3080" s="204"/>
    </row>
    <row r="3081" spans="1:29">
      <c r="A3081" s="204"/>
      <c r="B3081" s="204"/>
      <c r="C3081" s="204"/>
      <c r="D3081" s="204"/>
      <c r="E3081" s="204"/>
      <c r="F3081" s="204"/>
      <c r="G3081" s="204"/>
      <c r="H3081" s="204"/>
      <c r="I3081" s="204"/>
      <c r="J3081" s="204"/>
      <c r="K3081" s="204"/>
      <c r="L3081" s="205"/>
      <c r="M3081" s="205"/>
      <c r="N3081" s="204"/>
      <c r="O3081" s="204"/>
      <c r="P3081" s="206"/>
      <c r="Q3081" s="206"/>
      <c r="R3081" s="206"/>
      <c r="S3081" s="206"/>
      <c r="T3081" s="204"/>
      <c r="U3081" s="207"/>
      <c r="V3081" s="204"/>
      <c r="W3081" s="204"/>
      <c r="X3081" s="207"/>
      <c r="Y3081" s="207"/>
      <c r="Z3081" s="204"/>
      <c r="AA3081" s="204"/>
      <c r="AB3081" s="204"/>
      <c r="AC3081" s="204"/>
    </row>
    <row r="3082" spans="1:29">
      <c r="A3082" s="204"/>
      <c r="B3082" s="204"/>
      <c r="C3082" s="204"/>
      <c r="D3082" s="204"/>
      <c r="E3082" s="204"/>
      <c r="F3082" s="204"/>
      <c r="G3082" s="204"/>
      <c r="H3082" s="204"/>
      <c r="I3082" s="204"/>
      <c r="J3082" s="204"/>
      <c r="K3082" s="204"/>
      <c r="L3082" s="205"/>
      <c r="M3082" s="205"/>
      <c r="N3082" s="204"/>
      <c r="O3082" s="204"/>
      <c r="P3082" s="206"/>
      <c r="Q3082" s="206"/>
      <c r="R3082" s="206"/>
      <c r="S3082" s="206"/>
      <c r="T3082" s="204"/>
      <c r="U3082" s="207"/>
      <c r="V3082" s="204"/>
      <c r="W3082" s="204"/>
      <c r="X3082" s="207"/>
      <c r="Y3082" s="207"/>
      <c r="Z3082" s="204"/>
      <c r="AA3082" s="204"/>
      <c r="AB3082" s="204"/>
      <c r="AC3082" s="204"/>
    </row>
    <row r="3083" spans="1:29">
      <c r="A3083" s="204"/>
      <c r="B3083" s="204"/>
      <c r="C3083" s="204"/>
      <c r="D3083" s="204"/>
      <c r="E3083" s="204"/>
      <c r="F3083" s="204"/>
      <c r="G3083" s="204"/>
      <c r="H3083" s="204"/>
      <c r="I3083" s="204"/>
      <c r="J3083" s="204"/>
      <c r="K3083" s="204"/>
      <c r="L3083" s="205"/>
      <c r="M3083" s="205"/>
      <c r="N3083" s="204"/>
      <c r="O3083" s="204"/>
      <c r="P3083" s="206"/>
      <c r="Q3083" s="206"/>
      <c r="R3083" s="206"/>
      <c r="S3083" s="206"/>
      <c r="T3083" s="204"/>
      <c r="U3083" s="207"/>
      <c r="V3083" s="204"/>
      <c r="W3083" s="204"/>
      <c r="X3083" s="207"/>
      <c r="Y3083" s="207"/>
      <c r="Z3083" s="204"/>
      <c r="AA3083" s="204"/>
      <c r="AB3083" s="204"/>
      <c r="AC3083" s="204"/>
    </row>
    <row r="3084" spans="1:29">
      <c r="A3084" s="204"/>
      <c r="B3084" s="204"/>
      <c r="C3084" s="204"/>
      <c r="D3084" s="204"/>
      <c r="E3084" s="204"/>
      <c r="F3084" s="204"/>
      <c r="G3084" s="204"/>
      <c r="H3084" s="204"/>
      <c r="I3084" s="204"/>
      <c r="J3084" s="204"/>
      <c r="K3084" s="204"/>
      <c r="L3084" s="205"/>
      <c r="M3084" s="205"/>
      <c r="N3084" s="204"/>
      <c r="O3084" s="204"/>
      <c r="P3084" s="206"/>
      <c r="Q3084" s="206"/>
      <c r="R3084" s="206"/>
      <c r="S3084" s="206"/>
      <c r="T3084" s="204"/>
      <c r="U3084" s="207"/>
      <c r="V3084" s="204"/>
      <c r="W3084" s="204"/>
      <c r="X3084" s="207"/>
      <c r="Y3084" s="207"/>
      <c r="Z3084" s="204"/>
      <c r="AA3084" s="204"/>
      <c r="AB3084" s="204"/>
      <c r="AC3084" s="204"/>
    </row>
    <row r="3085" spans="1:29">
      <c r="A3085" s="204"/>
      <c r="B3085" s="204"/>
      <c r="C3085" s="204"/>
      <c r="D3085" s="204"/>
      <c r="E3085" s="204"/>
      <c r="F3085" s="204"/>
      <c r="G3085" s="204"/>
      <c r="H3085" s="204"/>
      <c r="I3085" s="204"/>
      <c r="J3085" s="204"/>
      <c r="K3085" s="204"/>
      <c r="L3085" s="205"/>
      <c r="M3085" s="205"/>
      <c r="N3085" s="204"/>
      <c r="O3085" s="204"/>
      <c r="P3085" s="206"/>
      <c r="Q3085" s="206"/>
      <c r="R3085" s="206"/>
      <c r="S3085" s="206"/>
      <c r="T3085" s="204"/>
      <c r="U3085" s="207"/>
      <c r="V3085" s="204"/>
      <c r="W3085" s="204"/>
      <c r="X3085" s="207"/>
      <c r="Y3085" s="207"/>
      <c r="Z3085" s="204"/>
      <c r="AA3085" s="204"/>
      <c r="AB3085" s="204"/>
      <c r="AC3085" s="204"/>
    </row>
    <row r="3086" spans="1:29">
      <c r="A3086" s="204"/>
      <c r="B3086" s="204"/>
      <c r="C3086" s="204"/>
      <c r="D3086" s="204"/>
      <c r="E3086" s="204"/>
      <c r="F3086" s="204"/>
      <c r="G3086" s="204"/>
      <c r="H3086" s="204"/>
      <c r="I3086" s="204"/>
      <c r="J3086" s="204"/>
      <c r="K3086" s="204"/>
      <c r="L3086" s="205"/>
      <c r="M3086" s="205"/>
      <c r="N3086" s="204"/>
      <c r="O3086" s="204"/>
      <c r="P3086" s="206"/>
      <c r="Q3086" s="206"/>
      <c r="R3086" s="206"/>
      <c r="S3086" s="206"/>
      <c r="T3086" s="204"/>
      <c r="U3086" s="207"/>
      <c r="V3086" s="204"/>
      <c r="W3086" s="204"/>
      <c r="X3086" s="207"/>
      <c r="Y3086" s="207"/>
      <c r="Z3086" s="204"/>
      <c r="AA3086" s="204"/>
      <c r="AB3086" s="204"/>
      <c r="AC3086" s="204"/>
    </row>
    <row r="3087" spans="1:29">
      <c r="A3087" s="204"/>
      <c r="B3087" s="204"/>
      <c r="C3087" s="204"/>
      <c r="D3087" s="204"/>
      <c r="E3087" s="204"/>
      <c r="F3087" s="204"/>
      <c r="G3087" s="204"/>
      <c r="H3087" s="204"/>
      <c r="I3087" s="204"/>
      <c r="J3087" s="204"/>
      <c r="K3087" s="204"/>
      <c r="L3087" s="205"/>
      <c r="M3087" s="205"/>
      <c r="N3087" s="204"/>
      <c r="O3087" s="204"/>
      <c r="P3087" s="206"/>
      <c r="Q3087" s="206"/>
      <c r="R3087" s="206"/>
      <c r="S3087" s="206"/>
      <c r="T3087" s="204"/>
      <c r="U3087" s="207"/>
      <c r="V3087" s="204"/>
      <c r="W3087" s="204"/>
      <c r="X3087" s="207"/>
      <c r="Y3087" s="207"/>
      <c r="Z3087" s="204"/>
      <c r="AA3087" s="204"/>
      <c r="AB3087" s="204"/>
      <c r="AC3087" s="204"/>
    </row>
    <row r="3088" spans="1:29">
      <c r="A3088" s="204"/>
      <c r="B3088" s="204"/>
      <c r="C3088" s="204"/>
      <c r="D3088" s="204"/>
      <c r="E3088" s="204"/>
      <c r="F3088" s="204"/>
      <c r="G3088" s="204"/>
      <c r="H3088" s="204"/>
      <c r="I3088" s="204"/>
      <c r="J3088" s="204"/>
      <c r="K3088" s="204"/>
      <c r="L3088" s="205"/>
      <c r="M3088" s="205"/>
      <c r="N3088" s="204"/>
      <c r="O3088" s="204"/>
      <c r="P3088" s="206"/>
      <c r="Q3088" s="206"/>
      <c r="R3088" s="206"/>
      <c r="S3088" s="206"/>
      <c r="T3088" s="204"/>
      <c r="U3088" s="207"/>
      <c r="V3088" s="204"/>
      <c r="W3088" s="204"/>
      <c r="X3088" s="207"/>
      <c r="Y3088" s="207"/>
      <c r="Z3088" s="204"/>
      <c r="AA3088" s="204"/>
      <c r="AB3088" s="204"/>
      <c r="AC3088" s="204"/>
    </row>
    <row r="3089" spans="1:29">
      <c r="A3089" s="204"/>
      <c r="B3089" s="204"/>
      <c r="C3089" s="204"/>
      <c r="D3089" s="204"/>
      <c r="E3089" s="204"/>
      <c r="F3089" s="204"/>
      <c r="G3089" s="204"/>
      <c r="H3089" s="204"/>
      <c r="I3089" s="204"/>
      <c r="J3089" s="204"/>
      <c r="K3089" s="204"/>
      <c r="L3089" s="205"/>
      <c r="M3089" s="205"/>
      <c r="N3089" s="204"/>
      <c r="O3089" s="204"/>
      <c r="P3089" s="206"/>
      <c r="Q3089" s="206"/>
      <c r="R3089" s="206"/>
      <c r="S3089" s="206"/>
      <c r="T3089" s="204"/>
      <c r="U3089" s="207"/>
      <c r="V3089" s="204"/>
      <c r="W3089" s="204"/>
      <c r="X3089" s="207"/>
      <c r="Y3089" s="207"/>
      <c r="Z3089" s="204"/>
      <c r="AA3089" s="204"/>
      <c r="AB3089" s="204"/>
      <c r="AC3089" s="204"/>
    </row>
    <row r="3090" spans="1:29">
      <c r="A3090" s="204"/>
      <c r="B3090" s="204"/>
      <c r="C3090" s="204"/>
      <c r="D3090" s="204"/>
      <c r="E3090" s="204"/>
      <c r="F3090" s="204"/>
      <c r="G3090" s="204"/>
      <c r="H3090" s="204"/>
      <c r="I3090" s="204"/>
      <c r="J3090" s="204"/>
      <c r="K3090" s="204"/>
      <c r="L3090" s="205"/>
      <c r="M3090" s="205"/>
      <c r="N3090" s="204"/>
      <c r="O3090" s="204"/>
      <c r="P3090" s="206"/>
      <c r="Q3090" s="206"/>
      <c r="R3090" s="206"/>
      <c r="S3090" s="206"/>
      <c r="T3090" s="204"/>
      <c r="U3090" s="207"/>
      <c r="V3090" s="204"/>
      <c r="W3090" s="204"/>
      <c r="X3090" s="207"/>
      <c r="Y3090" s="207"/>
      <c r="Z3090" s="204"/>
      <c r="AA3090" s="204"/>
      <c r="AB3090" s="204"/>
      <c r="AC3090" s="204"/>
    </row>
    <row r="3091" spans="1:29">
      <c r="A3091" s="204"/>
      <c r="B3091" s="204"/>
      <c r="C3091" s="204"/>
      <c r="D3091" s="204"/>
      <c r="E3091" s="204"/>
      <c r="F3091" s="204"/>
      <c r="G3091" s="204"/>
      <c r="H3091" s="204"/>
      <c r="I3091" s="204"/>
      <c r="J3091" s="204"/>
      <c r="K3091" s="204"/>
      <c r="L3091" s="205"/>
      <c r="M3091" s="205"/>
      <c r="N3091" s="204"/>
      <c r="O3091" s="204"/>
      <c r="P3091" s="206"/>
      <c r="Q3091" s="206"/>
      <c r="R3091" s="206"/>
      <c r="S3091" s="206"/>
      <c r="T3091" s="204"/>
      <c r="U3091" s="207"/>
      <c r="V3091" s="204"/>
      <c r="W3091" s="204"/>
      <c r="X3091" s="207"/>
      <c r="Y3091" s="207"/>
      <c r="Z3091" s="204"/>
      <c r="AA3091" s="204"/>
      <c r="AB3091" s="204"/>
      <c r="AC3091" s="204"/>
    </row>
    <row r="3092" spans="1:29">
      <c r="A3092" s="204"/>
      <c r="B3092" s="204"/>
      <c r="C3092" s="204"/>
      <c r="D3092" s="204"/>
      <c r="E3092" s="204"/>
      <c r="F3092" s="204"/>
      <c r="G3092" s="204"/>
      <c r="H3092" s="204"/>
      <c r="I3092" s="204"/>
      <c r="J3092" s="204"/>
      <c r="K3092" s="204"/>
      <c r="L3092" s="205"/>
      <c r="M3092" s="205"/>
      <c r="N3092" s="204"/>
      <c r="O3092" s="204"/>
      <c r="P3092" s="206"/>
      <c r="Q3092" s="206"/>
      <c r="R3092" s="206"/>
      <c r="S3092" s="206"/>
      <c r="T3092" s="204"/>
      <c r="U3092" s="207"/>
      <c r="V3092" s="204"/>
      <c r="W3092" s="204"/>
      <c r="X3092" s="207"/>
      <c r="Y3092" s="207"/>
      <c r="Z3092" s="204"/>
      <c r="AA3092" s="204"/>
      <c r="AB3092" s="204"/>
      <c r="AC3092" s="204"/>
    </row>
    <row r="3093" spans="1:29">
      <c r="A3093" s="204"/>
      <c r="B3093" s="204"/>
      <c r="C3093" s="204"/>
      <c r="D3093" s="204"/>
      <c r="E3093" s="204"/>
      <c r="F3093" s="204"/>
      <c r="G3093" s="204"/>
      <c r="H3093" s="204"/>
      <c r="I3093" s="204"/>
      <c r="J3093" s="204"/>
      <c r="K3093" s="204"/>
      <c r="L3093" s="205"/>
      <c r="M3093" s="205"/>
      <c r="N3093" s="204"/>
      <c r="O3093" s="204"/>
      <c r="P3093" s="206"/>
      <c r="Q3093" s="206"/>
      <c r="R3093" s="206"/>
      <c r="S3093" s="206"/>
      <c r="T3093" s="204"/>
      <c r="U3093" s="207"/>
      <c r="V3093" s="204"/>
      <c r="W3093" s="204"/>
      <c r="X3093" s="207"/>
      <c r="Y3093" s="207"/>
      <c r="Z3093" s="204"/>
      <c r="AA3093" s="204"/>
      <c r="AB3093" s="204"/>
      <c r="AC3093" s="204"/>
    </row>
    <row r="3094" spans="1:29">
      <c r="A3094" s="204"/>
      <c r="B3094" s="204"/>
      <c r="C3094" s="204"/>
      <c r="D3094" s="204"/>
      <c r="E3094" s="204"/>
      <c r="F3094" s="204"/>
      <c r="G3094" s="204"/>
      <c r="H3094" s="204"/>
      <c r="I3094" s="204"/>
      <c r="J3094" s="204"/>
      <c r="K3094" s="204"/>
      <c r="L3094" s="205"/>
      <c r="M3094" s="205"/>
      <c r="N3094" s="204"/>
      <c r="O3094" s="204"/>
      <c r="P3094" s="206"/>
      <c r="Q3094" s="206"/>
      <c r="R3094" s="206"/>
      <c r="S3094" s="206"/>
      <c r="T3094" s="204"/>
      <c r="U3094" s="207"/>
      <c r="V3094" s="204"/>
      <c r="W3094" s="204"/>
      <c r="X3094" s="207"/>
      <c r="Y3094" s="207"/>
      <c r="Z3094" s="204"/>
      <c r="AA3094" s="204"/>
      <c r="AB3094" s="204"/>
      <c r="AC3094" s="204"/>
    </row>
    <row r="3095" spans="1:29">
      <c r="A3095" s="204"/>
      <c r="B3095" s="204"/>
      <c r="C3095" s="204"/>
      <c r="D3095" s="204"/>
      <c r="E3095" s="204"/>
      <c r="F3095" s="204"/>
      <c r="G3095" s="204"/>
      <c r="H3095" s="204"/>
      <c r="I3095" s="204"/>
      <c r="J3095" s="204"/>
      <c r="K3095" s="204"/>
      <c r="L3095" s="205"/>
      <c r="M3095" s="205"/>
      <c r="N3095" s="204"/>
      <c r="O3095" s="204"/>
      <c r="P3095" s="206"/>
      <c r="Q3095" s="206"/>
      <c r="R3095" s="206"/>
      <c r="S3095" s="206"/>
      <c r="T3095" s="204"/>
      <c r="U3095" s="207"/>
      <c r="V3095" s="204"/>
      <c r="W3095" s="204"/>
      <c r="X3095" s="207"/>
      <c r="Y3095" s="207"/>
      <c r="Z3095" s="204"/>
      <c r="AA3095" s="204"/>
      <c r="AB3095" s="204"/>
      <c r="AC3095" s="204"/>
    </row>
    <row r="3096" spans="1:29">
      <c r="A3096" s="204"/>
      <c r="B3096" s="204"/>
      <c r="C3096" s="204"/>
      <c r="D3096" s="204"/>
      <c r="E3096" s="204"/>
      <c r="F3096" s="204"/>
      <c r="G3096" s="204"/>
      <c r="H3096" s="204"/>
      <c r="I3096" s="204"/>
      <c r="J3096" s="204"/>
      <c r="K3096" s="204"/>
      <c r="L3096" s="205"/>
      <c r="M3096" s="205"/>
      <c r="N3096" s="204"/>
      <c r="O3096" s="204"/>
      <c r="P3096" s="206"/>
      <c r="Q3096" s="206"/>
      <c r="R3096" s="206"/>
      <c r="S3096" s="206"/>
      <c r="T3096" s="204"/>
      <c r="U3096" s="207"/>
      <c r="V3096" s="204"/>
      <c r="W3096" s="204"/>
      <c r="X3096" s="207"/>
      <c r="Y3096" s="207"/>
      <c r="Z3096" s="204"/>
      <c r="AA3096" s="204"/>
      <c r="AB3096" s="204"/>
      <c r="AC3096" s="204"/>
    </row>
    <row r="3097" spans="1:29">
      <c r="A3097" s="204"/>
      <c r="B3097" s="204"/>
      <c r="C3097" s="204"/>
      <c r="D3097" s="204"/>
      <c r="E3097" s="204"/>
      <c r="F3097" s="204"/>
      <c r="G3097" s="204"/>
      <c r="H3097" s="204"/>
      <c r="I3097" s="204"/>
      <c r="J3097" s="204"/>
      <c r="K3097" s="204"/>
      <c r="L3097" s="205"/>
      <c r="M3097" s="205"/>
      <c r="N3097" s="204"/>
      <c r="O3097" s="204"/>
      <c r="P3097" s="206"/>
      <c r="Q3097" s="206"/>
      <c r="R3097" s="206"/>
      <c r="S3097" s="206"/>
      <c r="T3097" s="204"/>
      <c r="U3097" s="207"/>
      <c r="V3097" s="204"/>
      <c r="W3097" s="204"/>
      <c r="X3097" s="207"/>
      <c r="Y3097" s="207"/>
      <c r="Z3097" s="204"/>
      <c r="AA3097" s="204"/>
      <c r="AB3097" s="204"/>
      <c r="AC3097" s="204"/>
    </row>
    <row r="3098" spans="1:29">
      <c r="A3098" s="204"/>
      <c r="B3098" s="204"/>
      <c r="C3098" s="204"/>
      <c r="D3098" s="204"/>
      <c r="E3098" s="204"/>
      <c r="F3098" s="204"/>
      <c r="G3098" s="204"/>
      <c r="H3098" s="204"/>
      <c r="I3098" s="204"/>
      <c r="J3098" s="204"/>
      <c r="K3098" s="204"/>
      <c r="L3098" s="205"/>
      <c r="M3098" s="205"/>
      <c r="N3098" s="204"/>
      <c r="O3098" s="204"/>
      <c r="P3098" s="206"/>
      <c r="Q3098" s="206"/>
      <c r="R3098" s="206"/>
      <c r="S3098" s="206"/>
      <c r="T3098" s="204"/>
      <c r="U3098" s="207"/>
      <c r="V3098" s="204"/>
      <c r="W3098" s="204"/>
      <c r="X3098" s="207"/>
      <c r="Y3098" s="207"/>
      <c r="Z3098" s="204"/>
      <c r="AA3098" s="204"/>
      <c r="AB3098" s="204"/>
      <c r="AC3098" s="204"/>
    </row>
    <row r="3099" spans="1:29">
      <c r="A3099" s="204"/>
      <c r="B3099" s="204"/>
      <c r="C3099" s="204"/>
      <c r="D3099" s="204"/>
      <c r="E3099" s="204"/>
      <c r="F3099" s="204"/>
      <c r="G3099" s="204"/>
      <c r="H3099" s="204"/>
      <c r="I3099" s="204"/>
      <c r="J3099" s="204"/>
      <c r="K3099" s="204"/>
      <c r="L3099" s="205"/>
      <c r="M3099" s="205"/>
      <c r="N3099" s="204"/>
      <c r="O3099" s="204"/>
      <c r="P3099" s="206"/>
      <c r="Q3099" s="206"/>
      <c r="R3099" s="206"/>
      <c r="S3099" s="206"/>
      <c r="T3099" s="204"/>
      <c r="U3099" s="207"/>
      <c r="V3099" s="204"/>
      <c r="W3099" s="204"/>
      <c r="X3099" s="207"/>
      <c r="Y3099" s="207"/>
      <c r="Z3099" s="204"/>
      <c r="AA3099" s="204"/>
      <c r="AB3099" s="204"/>
      <c r="AC3099" s="204"/>
    </row>
    <row r="3100" spans="1:29">
      <c r="A3100" s="204"/>
      <c r="B3100" s="204"/>
      <c r="C3100" s="204"/>
      <c r="D3100" s="204"/>
      <c r="E3100" s="204"/>
      <c r="F3100" s="204"/>
      <c r="G3100" s="204"/>
      <c r="H3100" s="204"/>
      <c r="I3100" s="204"/>
      <c r="J3100" s="204"/>
      <c r="K3100" s="204"/>
      <c r="L3100" s="205"/>
      <c r="M3100" s="205"/>
      <c r="N3100" s="204"/>
      <c r="O3100" s="204"/>
      <c r="P3100" s="206"/>
      <c r="Q3100" s="206"/>
      <c r="R3100" s="206"/>
      <c r="S3100" s="206"/>
      <c r="T3100" s="204"/>
      <c r="U3100" s="207"/>
      <c r="V3100" s="204"/>
      <c r="W3100" s="204"/>
      <c r="X3100" s="207"/>
      <c r="Y3100" s="207"/>
      <c r="Z3100" s="204"/>
      <c r="AA3100" s="204"/>
      <c r="AB3100" s="204"/>
      <c r="AC3100" s="204"/>
    </row>
    <row r="3101" spans="1:29">
      <c r="A3101" s="204"/>
      <c r="B3101" s="204"/>
      <c r="C3101" s="204"/>
      <c r="D3101" s="204"/>
      <c r="E3101" s="204"/>
      <c r="F3101" s="204"/>
      <c r="G3101" s="204"/>
      <c r="H3101" s="204"/>
      <c r="I3101" s="204"/>
      <c r="J3101" s="204"/>
      <c r="K3101" s="204"/>
      <c r="L3101" s="205"/>
      <c r="M3101" s="205"/>
      <c r="N3101" s="204"/>
      <c r="O3101" s="204"/>
      <c r="P3101" s="206"/>
      <c r="Q3101" s="206"/>
      <c r="R3101" s="206"/>
      <c r="S3101" s="206"/>
      <c r="T3101" s="204"/>
      <c r="U3101" s="207"/>
      <c r="V3101" s="204"/>
      <c r="W3101" s="204"/>
      <c r="X3101" s="207"/>
      <c r="Y3101" s="207"/>
      <c r="Z3101" s="204"/>
      <c r="AA3101" s="204"/>
      <c r="AB3101" s="204"/>
      <c r="AC3101" s="204"/>
    </row>
    <row r="3102" spans="1:29">
      <c r="A3102" s="204"/>
      <c r="B3102" s="204"/>
      <c r="C3102" s="204"/>
      <c r="D3102" s="204"/>
      <c r="E3102" s="204"/>
      <c r="F3102" s="204"/>
      <c r="G3102" s="204"/>
      <c r="H3102" s="204"/>
      <c r="I3102" s="204"/>
      <c r="J3102" s="204"/>
      <c r="K3102" s="204"/>
      <c r="L3102" s="205"/>
      <c r="M3102" s="205"/>
      <c r="N3102" s="204"/>
      <c r="O3102" s="204"/>
      <c r="P3102" s="206"/>
      <c r="Q3102" s="206"/>
      <c r="R3102" s="206"/>
      <c r="S3102" s="206"/>
      <c r="T3102" s="204"/>
      <c r="U3102" s="207"/>
      <c r="V3102" s="204"/>
      <c r="W3102" s="204"/>
      <c r="X3102" s="207"/>
      <c r="Y3102" s="207"/>
      <c r="Z3102" s="204"/>
      <c r="AA3102" s="204"/>
      <c r="AB3102" s="204"/>
      <c r="AC3102" s="204"/>
    </row>
    <row r="3103" spans="1:29">
      <c r="A3103" s="204"/>
      <c r="B3103" s="204"/>
      <c r="C3103" s="204"/>
      <c r="D3103" s="204"/>
      <c r="E3103" s="204"/>
      <c r="F3103" s="204"/>
      <c r="G3103" s="204"/>
      <c r="H3103" s="204"/>
      <c r="I3103" s="204"/>
      <c r="J3103" s="204"/>
      <c r="K3103" s="204"/>
      <c r="L3103" s="205"/>
      <c r="M3103" s="205"/>
      <c r="N3103" s="204"/>
      <c r="O3103" s="204"/>
      <c r="P3103" s="206"/>
      <c r="Q3103" s="206"/>
      <c r="R3103" s="206"/>
      <c r="S3103" s="206"/>
      <c r="T3103" s="204"/>
      <c r="U3103" s="207"/>
      <c r="V3103" s="204"/>
      <c r="W3103" s="204"/>
      <c r="X3103" s="207"/>
      <c r="Y3103" s="207"/>
      <c r="Z3103" s="204"/>
      <c r="AA3103" s="204"/>
      <c r="AB3103" s="204"/>
      <c r="AC3103" s="204"/>
    </row>
    <row r="3104" spans="1:29">
      <c r="A3104" s="204"/>
      <c r="B3104" s="204"/>
      <c r="C3104" s="204"/>
      <c r="D3104" s="204"/>
      <c r="E3104" s="204"/>
      <c r="F3104" s="204"/>
      <c r="G3104" s="204"/>
      <c r="H3104" s="204"/>
      <c r="I3104" s="204"/>
      <c r="J3104" s="204"/>
      <c r="K3104" s="204"/>
      <c r="L3104" s="205"/>
      <c r="M3104" s="205"/>
      <c r="N3104" s="204"/>
      <c r="O3104" s="204"/>
      <c r="P3104" s="206"/>
      <c r="Q3104" s="206"/>
      <c r="R3104" s="206"/>
      <c r="S3104" s="206"/>
      <c r="T3104" s="204"/>
      <c r="U3104" s="207"/>
      <c r="V3104" s="204"/>
      <c r="W3104" s="204"/>
      <c r="X3104" s="207"/>
      <c r="Y3104" s="207"/>
      <c r="Z3104" s="204"/>
      <c r="AA3104" s="204"/>
      <c r="AB3104" s="204"/>
      <c r="AC3104" s="204"/>
    </row>
    <row r="3105" spans="1:29">
      <c r="A3105" s="204"/>
      <c r="B3105" s="204"/>
      <c r="C3105" s="204"/>
      <c r="D3105" s="204"/>
      <c r="E3105" s="204"/>
      <c r="F3105" s="204"/>
      <c r="G3105" s="204"/>
      <c r="H3105" s="204"/>
      <c r="I3105" s="204"/>
      <c r="J3105" s="204"/>
      <c r="K3105" s="204"/>
      <c r="L3105" s="205"/>
      <c r="M3105" s="205"/>
      <c r="N3105" s="204"/>
      <c r="O3105" s="204"/>
      <c r="P3105" s="206"/>
      <c r="Q3105" s="206"/>
      <c r="R3105" s="206"/>
      <c r="S3105" s="206"/>
      <c r="T3105" s="204"/>
      <c r="U3105" s="207"/>
      <c r="V3105" s="204"/>
      <c r="W3105" s="204"/>
      <c r="X3105" s="207"/>
      <c r="Y3105" s="207"/>
      <c r="Z3105" s="204"/>
      <c r="AA3105" s="204"/>
      <c r="AB3105" s="204"/>
      <c r="AC3105" s="204"/>
    </row>
    <row r="3106" spans="1:29">
      <c r="A3106" s="204"/>
      <c r="B3106" s="204"/>
      <c r="C3106" s="204"/>
      <c r="D3106" s="204"/>
      <c r="E3106" s="204"/>
      <c r="F3106" s="204"/>
      <c r="G3106" s="204"/>
      <c r="H3106" s="204"/>
      <c r="I3106" s="204"/>
      <c r="J3106" s="204"/>
      <c r="K3106" s="204"/>
      <c r="L3106" s="205"/>
      <c r="M3106" s="205"/>
      <c r="N3106" s="204"/>
      <c r="O3106" s="204"/>
      <c r="P3106" s="206"/>
      <c r="Q3106" s="206"/>
      <c r="R3106" s="206"/>
      <c r="S3106" s="206"/>
      <c r="T3106" s="204"/>
      <c r="U3106" s="207"/>
      <c r="V3106" s="204"/>
      <c r="W3106" s="204"/>
      <c r="X3106" s="207"/>
      <c r="Y3106" s="207"/>
      <c r="Z3106" s="204"/>
      <c r="AA3106" s="204"/>
      <c r="AB3106" s="204"/>
      <c r="AC3106" s="204"/>
    </row>
    <row r="3107" spans="1:29">
      <c r="A3107" s="204"/>
      <c r="B3107" s="204"/>
      <c r="C3107" s="204"/>
      <c r="D3107" s="204"/>
      <c r="E3107" s="204"/>
      <c r="F3107" s="204"/>
      <c r="G3107" s="204"/>
      <c r="H3107" s="204"/>
      <c r="I3107" s="204"/>
      <c r="J3107" s="204"/>
      <c r="K3107" s="204"/>
      <c r="L3107" s="205"/>
      <c r="M3107" s="205"/>
      <c r="N3107" s="204"/>
      <c r="O3107" s="204"/>
      <c r="P3107" s="206"/>
      <c r="Q3107" s="206"/>
      <c r="R3107" s="206"/>
      <c r="S3107" s="206"/>
      <c r="T3107" s="204"/>
      <c r="U3107" s="207"/>
      <c r="V3107" s="204"/>
      <c r="W3107" s="204"/>
      <c r="X3107" s="207"/>
      <c r="Y3107" s="207"/>
      <c r="Z3107" s="204"/>
      <c r="AA3107" s="204"/>
      <c r="AB3107" s="204"/>
      <c r="AC3107" s="204"/>
    </row>
    <row r="3108" spans="1:29">
      <c r="A3108" s="204"/>
      <c r="B3108" s="204"/>
      <c r="C3108" s="204"/>
      <c r="D3108" s="204"/>
      <c r="E3108" s="204"/>
      <c r="F3108" s="204"/>
      <c r="G3108" s="204"/>
      <c r="H3108" s="204"/>
      <c r="I3108" s="204"/>
      <c r="J3108" s="204"/>
      <c r="K3108" s="204"/>
      <c r="L3108" s="205"/>
      <c r="M3108" s="205"/>
      <c r="N3108" s="204"/>
      <c r="O3108" s="204"/>
      <c r="P3108" s="206"/>
      <c r="Q3108" s="206"/>
      <c r="R3108" s="206"/>
      <c r="S3108" s="206"/>
      <c r="T3108" s="204"/>
      <c r="U3108" s="207"/>
      <c r="V3108" s="204"/>
      <c r="W3108" s="204"/>
      <c r="X3108" s="207"/>
      <c r="Y3108" s="207"/>
      <c r="Z3108" s="204"/>
      <c r="AA3108" s="204"/>
      <c r="AB3108" s="204"/>
      <c r="AC3108" s="204"/>
    </row>
    <row r="3109" spans="1:29">
      <c r="A3109" s="204"/>
      <c r="B3109" s="204"/>
      <c r="C3109" s="204"/>
      <c r="D3109" s="204"/>
      <c r="E3109" s="204"/>
      <c r="F3109" s="204"/>
      <c r="G3109" s="204"/>
      <c r="H3109" s="204"/>
      <c r="I3109" s="204"/>
      <c r="J3109" s="204"/>
      <c r="K3109" s="204"/>
      <c r="L3109" s="205"/>
      <c r="M3109" s="205"/>
      <c r="N3109" s="204"/>
      <c r="O3109" s="204"/>
      <c r="P3109" s="206"/>
      <c r="Q3109" s="206"/>
      <c r="R3109" s="206"/>
      <c r="S3109" s="206"/>
      <c r="T3109" s="204"/>
      <c r="U3109" s="207"/>
      <c r="V3109" s="204"/>
      <c r="W3109" s="204"/>
      <c r="X3109" s="207"/>
      <c r="Y3109" s="207"/>
      <c r="Z3109" s="204"/>
      <c r="AA3109" s="204"/>
      <c r="AB3109" s="204"/>
      <c r="AC3109" s="204"/>
    </row>
    <row r="3110" spans="1:29">
      <c r="A3110" s="204"/>
      <c r="B3110" s="204"/>
      <c r="C3110" s="204"/>
      <c r="D3110" s="204"/>
      <c r="E3110" s="204"/>
      <c r="F3110" s="204"/>
      <c r="G3110" s="204"/>
      <c r="H3110" s="204"/>
      <c r="I3110" s="204"/>
      <c r="J3110" s="204"/>
      <c r="K3110" s="204"/>
      <c r="L3110" s="205"/>
      <c r="M3110" s="205"/>
      <c r="N3110" s="204"/>
      <c r="O3110" s="204"/>
      <c r="P3110" s="206"/>
      <c r="Q3110" s="206"/>
      <c r="R3110" s="206"/>
      <c r="S3110" s="206"/>
      <c r="T3110" s="204"/>
      <c r="U3110" s="207"/>
      <c r="V3110" s="204"/>
      <c r="W3110" s="204"/>
      <c r="X3110" s="207"/>
      <c r="Y3110" s="207"/>
      <c r="Z3110" s="204"/>
      <c r="AA3110" s="204"/>
      <c r="AB3110" s="204"/>
      <c r="AC3110" s="204"/>
    </row>
    <row r="3111" spans="1:29">
      <c r="A3111" s="204"/>
      <c r="B3111" s="204"/>
      <c r="C3111" s="204"/>
      <c r="D3111" s="204"/>
      <c r="E3111" s="204"/>
      <c r="F3111" s="204"/>
      <c r="G3111" s="204"/>
      <c r="H3111" s="204"/>
      <c r="I3111" s="204"/>
      <c r="J3111" s="204"/>
      <c r="K3111" s="204"/>
      <c r="L3111" s="205"/>
      <c r="M3111" s="205"/>
      <c r="N3111" s="204"/>
      <c r="O3111" s="204"/>
      <c r="P3111" s="206"/>
      <c r="Q3111" s="206"/>
      <c r="R3111" s="206"/>
      <c r="S3111" s="206"/>
      <c r="T3111" s="204"/>
      <c r="U3111" s="207"/>
      <c r="V3111" s="204"/>
      <c r="W3111" s="204"/>
      <c r="X3111" s="207"/>
      <c r="Y3111" s="207"/>
      <c r="Z3111" s="204"/>
      <c r="AA3111" s="204"/>
      <c r="AB3111" s="204"/>
      <c r="AC3111" s="204"/>
    </row>
    <row r="3112" spans="1:29">
      <c r="A3112" s="204"/>
      <c r="B3112" s="204"/>
      <c r="C3112" s="204"/>
      <c r="D3112" s="204"/>
      <c r="E3112" s="204"/>
      <c r="F3112" s="204"/>
      <c r="G3112" s="204"/>
      <c r="H3112" s="204"/>
      <c r="I3112" s="204"/>
      <c r="J3112" s="204"/>
      <c r="K3112" s="204"/>
      <c r="L3112" s="205"/>
      <c r="M3112" s="205"/>
      <c r="N3112" s="204"/>
      <c r="O3112" s="204"/>
      <c r="P3112" s="206"/>
      <c r="Q3112" s="206"/>
      <c r="R3112" s="206"/>
      <c r="S3112" s="206"/>
      <c r="T3112" s="204"/>
      <c r="U3112" s="207"/>
      <c r="V3112" s="204"/>
      <c r="W3112" s="204"/>
      <c r="X3112" s="207"/>
      <c r="Y3112" s="207"/>
      <c r="Z3112" s="204"/>
      <c r="AA3112" s="204"/>
      <c r="AB3112" s="204"/>
      <c r="AC3112" s="204"/>
    </row>
    <row r="3113" spans="1:29">
      <c r="A3113" s="204"/>
      <c r="B3113" s="204"/>
      <c r="C3113" s="204"/>
      <c r="D3113" s="204"/>
      <c r="E3113" s="204"/>
      <c r="F3113" s="204"/>
      <c r="G3113" s="204"/>
      <c r="H3113" s="204"/>
      <c r="I3113" s="204"/>
      <c r="J3113" s="204"/>
      <c r="K3113" s="204"/>
      <c r="L3113" s="205"/>
      <c r="M3113" s="205"/>
      <c r="N3113" s="204"/>
      <c r="O3113" s="204"/>
      <c r="P3113" s="206"/>
      <c r="Q3113" s="206"/>
      <c r="R3113" s="206"/>
      <c r="S3113" s="206"/>
      <c r="T3113" s="204"/>
      <c r="U3113" s="207"/>
      <c r="V3113" s="204"/>
      <c r="W3113" s="204"/>
      <c r="X3113" s="207"/>
      <c r="Y3113" s="207"/>
      <c r="Z3113" s="204"/>
      <c r="AA3113" s="204"/>
      <c r="AB3113" s="204"/>
      <c r="AC3113" s="204"/>
    </row>
    <row r="3114" spans="1:29">
      <c r="A3114" s="204"/>
      <c r="B3114" s="204"/>
      <c r="C3114" s="204"/>
      <c r="D3114" s="204"/>
      <c r="E3114" s="204"/>
      <c r="F3114" s="204"/>
      <c r="G3114" s="204"/>
      <c r="H3114" s="204"/>
      <c r="I3114" s="204"/>
      <c r="J3114" s="204"/>
      <c r="K3114" s="204"/>
      <c r="L3114" s="205"/>
      <c r="M3114" s="205"/>
      <c r="N3114" s="204"/>
      <c r="O3114" s="204"/>
      <c r="P3114" s="206"/>
      <c r="Q3114" s="206"/>
      <c r="R3114" s="206"/>
      <c r="S3114" s="206"/>
      <c r="T3114" s="204"/>
      <c r="U3114" s="207"/>
      <c r="V3114" s="204"/>
      <c r="W3114" s="204"/>
      <c r="X3114" s="207"/>
      <c r="Y3114" s="207"/>
      <c r="Z3114" s="204"/>
      <c r="AA3114" s="204"/>
      <c r="AB3114" s="204"/>
      <c r="AC3114" s="204"/>
    </row>
    <row r="3115" spans="1:29">
      <c r="A3115" s="204"/>
      <c r="B3115" s="204"/>
      <c r="C3115" s="204"/>
      <c r="D3115" s="204"/>
      <c r="E3115" s="204"/>
      <c r="F3115" s="204"/>
      <c r="G3115" s="204"/>
      <c r="H3115" s="204"/>
      <c r="I3115" s="204"/>
      <c r="J3115" s="204"/>
      <c r="K3115" s="204"/>
      <c r="L3115" s="205"/>
      <c r="M3115" s="205"/>
      <c r="N3115" s="204"/>
      <c r="O3115" s="204"/>
      <c r="P3115" s="206"/>
      <c r="Q3115" s="206"/>
      <c r="R3115" s="206"/>
      <c r="S3115" s="206"/>
      <c r="T3115" s="204"/>
      <c r="U3115" s="207"/>
      <c r="V3115" s="204"/>
      <c r="W3115" s="204"/>
      <c r="X3115" s="207"/>
      <c r="Y3115" s="207"/>
      <c r="Z3115" s="204"/>
      <c r="AA3115" s="204"/>
      <c r="AB3115" s="204"/>
      <c r="AC3115" s="204"/>
    </row>
    <row r="3116" spans="1:29">
      <c r="A3116" s="204"/>
      <c r="B3116" s="204"/>
      <c r="C3116" s="204"/>
      <c r="D3116" s="204"/>
      <c r="E3116" s="204"/>
      <c r="F3116" s="204"/>
      <c r="G3116" s="204"/>
      <c r="H3116" s="204"/>
      <c r="I3116" s="204"/>
      <c r="J3116" s="204"/>
      <c r="K3116" s="204"/>
      <c r="L3116" s="205"/>
      <c r="M3116" s="205"/>
      <c r="N3116" s="204"/>
      <c r="O3116" s="204"/>
      <c r="P3116" s="206"/>
      <c r="Q3116" s="206"/>
      <c r="R3116" s="206"/>
      <c r="S3116" s="206"/>
      <c r="T3116" s="204"/>
      <c r="U3116" s="207"/>
      <c r="V3116" s="204"/>
      <c r="W3116" s="204"/>
      <c r="X3116" s="207"/>
      <c r="Y3116" s="207"/>
      <c r="Z3116" s="204"/>
      <c r="AA3116" s="204"/>
      <c r="AB3116" s="204"/>
      <c r="AC3116" s="204"/>
    </row>
    <row r="3117" spans="1:29">
      <c r="A3117" s="204"/>
      <c r="B3117" s="204"/>
      <c r="C3117" s="204"/>
      <c r="D3117" s="204"/>
      <c r="E3117" s="204"/>
      <c r="F3117" s="204"/>
      <c r="G3117" s="204"/>
      <c r="H3117" s="204"/>
      <c r="I3117" s="204"/>
      <c r="J3117" s="204"/>
      <c r="K3117" s="204"/>
      <c r="L3117" s="205"/>
      <c r="M3117" s="205"/>
      <c r="N3117" s="204"/>
      <c r="O3117" s="204"/>
      <c r="P3117" s="206"/>
      <c r="Q3117" s="206"/>
      <c r="R3117" s="206"/>
      <c r="S3117" s="206"/>
      <c r="T3117" s="204"/>
      <c r="U3117" s="207"/>
      <c r="V3117" s="204"/>
      <c r="W3117" s="204"/>
      <c r="X3117" s="207"/>
      <c r="Y3117" s="207"/>
      <c r="Z3117" s="204"/>
      <c r="AA3117" s="204"/>
      <c r="AB3117" s="204"/>
      <c r="AC3117" s="204"/>
    </row>
    <row r="3118" spans="1:29">
      <c r="A3118" s="204"/>
      <c r="B3118" s="204"/>
      <c r="C3118" s="204"/>
      <c r="D3118" s="204"/>
      <c r="E3118" s="204"/>
      <c r="F3118" s="204"/>
      <c r="G3118" s="204"/>
      <c r="H3118" s="204"/>
      <c r="I3118" s="204"/>
      <c r="J3118" s="204"/>
      <c r="K3118" s="204"/>
      <c r="L3118" s="205"/>
      <c r="M3118" s="205"/>
      <c r="N3118" s="204"/>
      <c r="O3118" s="204"/>
      <c r="P3118" s="206"/>
      <c r="Q3118" s="206"/>
      <c r="R3118" s="206"/>
      <c r="S3118" s="206"/>
      <c r="T3118" s="204"/>
      <c r="U3118" s="207"/>
      <c r="V3118" s="204"/>
      <c r="W3118" s="204"/>
      <c r="X3118" s="207"/>
      <c r="Y3118" s="207"/>
      <c r="Z3118" s="204"/>
      <c r="AA3118" s="204"/>
      <c r="AB3118" s="204"/>
      <c r="AC3118" s="204"/>
    </row>
    <row r="3119" spans="1:29">
      <c r="A3119" s="204"/>
      <c r="B3119" s="204"/>
      <c r="C3119" s="204"/>
      <c r="D3119" s="204"/>
      <c r="E3119" s="204"/>
      <c r="F3119" s="204"/>
      <c r="G3119" s="204"/>
      <c r="H3119" s="204"/>
      <c r="I3119" s="204"/>
      <c r="J3119" s="204"/>
      <c r="K3119" s="204"/>
      <c r="L3119" s="205"/>
      <c r="M3119" s="205"/>
      <c r="N3119" s="204"/>
      <c r="O3119" s="204"/>
      <c r="P3119" s="206"/>
      <c r="Q3119" s="206"/>
      <c r="R3119" s="206"/>
      <c r="S3119" s="206"/>
      <c r="T3119" s="204"/>
      <c r="U3119" s="207"/>
      <c r="V3119" s="204"/>
      <c r="W3119" s="204"/>
      <c r="X3119" s="207"/>
      <c r="Y3119" s="207"/>
      <c r="Z3119" s="204"/>
      <c r="AA3119" s="204"/>
      <c r="AB3119" s="204"/>
      <c r="AC3119" s="204"/>
    </row>
    <row r="3120" spans="1:29">
      <c r="A3120" s="204"/>
      <c r="B3120" s="204"/>
      <c r="C3120" s="204"/>
      <c r="D3120" s="204"/>
      <c r="E3120" s="204"/>
      <c r="F3120" s="204"/>
      <c r="G3120" s="204"/>
      <c r="H3120" s="204"/>
      <c r="I3120" s="204"/>
      <c r="J3120" s="204"/>
      <c r="K3120" s="204"/>
      <c r="L3120" s="205"/>
      <c r="M3120" s="205"/>
      <c r="N3120" s="204"/>
      <c r="O3120" s="204"/>
      <c r="P3120" s="206"/>
      <c r="Q3120" s="206"/>
      <c r="R3120" s="206"/>
      <c r="S3120" s="206"/>
      <c r="T3120" s="204"/>
      <c r="U3120" s="207"/>
      <c r="V3120" s="204"/>
      <c r="W3120" s="204"/>
      <c r="X3120" s="207"/>
      <c r="Y3120" s="207"/>
      <c r="Z3120" s="204"/>
      <c r="AA3120" s="204"/>
      <c r="AB3120" s="204"/>
      <c r="AC3120" s="204"/>
    </row>
    <row r="3121" spans="1:29">
      <c r="A3121" s="204"/>
      <c r="B3121" s="204"/>
      <c r="C3121" s="204"/>
      <c r="D3121" s="204"/>
      <c r="E3121" s="204"/>
      <c r="F3121" s="204"/>
      <c r="G3121" s="204"/>
      <c r="H3121" s="204"/>
      <c r="I3121" s="204"/>
      <c r="J3121" s="204"/>
      <c r="K3121" s="204"/>
      <c r="L3121" s="205"/>
      <c r="M3121" s="205"/>
      <c r="N3121" s="204"/>
      <c r="O3121" s="204"/>
      <c r="P3121" s="206"/>
      <c r="Q3121" s="206"/>
      <c r="R3121" s="206"/>
      <c r="S3121" s="206"/>
      <c r="T3121" s="204"/>
      <c r="U3121" s="207"/>
      <c r="V3121" s="204"/>
      <c r="W3121" s="204"/>
      <c r="X3121" s="207"/>
      <c r="Y3121" s="207"/>
      <c r="Z3121" s="204"/>
      <c r="AA3121" s="204"/>
      <c r="AB3121" s="204"/>
      <c r="AC3121" s="204"/>
    </row>
    <row r="3122" spans="1:29">
      <c r="A3122" s="204"/>
      <c r="B3122" s="204"/>
      <c r="C3122" s="204"/>
      <c r="D3122" s="204"/>
      <c r="E3122" s="204"/>
      <c r="F3122" s="204"/>
      <c r="G3122" s="204"/>
      <c r="H3122" s="204"/>
      <c r="I3122" s="204"/>
      <c r="J3122" s="204"/>
      <c r="K3122" s="204"/>
      <c r="L3122" s="205"/>
      <c r="M3122" s="205"/>
      <c r="N3122" s="204"/>
      <c r="O3122" s="204"/>
      <c r="P3122" s="206"/>
      <c r="Q3122" s="206"/>
      <c r="R3122" s="206"/>
      <c r="S3122" s="206"/>
      <c r="T3122" s="204"/>
      <c r="U3122" s="207"/>
      <c r="V3122" s="204"/>
      <c r="W3122" s="204"/>
      <c r="X3122" s="207"/>
      <c r="Y3122" s="207"/>
      <c r="Z3122" s="204"/>
      <c r="AA3122" s="204"/>
      <c r="AB3122" s="204"/>
      <c r="AC3122" s="204"/>
    </row>
    <row r="3123" spans="1:29">
      <c r="A3123" s="204"/>
      <c r="B3123" s="204"/>
      <c r="C3123" s="204"/>
      <c r="D3123" s="204"/>
      <c r="E3123" s="204"/>
      <c r="F3123" s="204"/>
      <c r="G3123" s="204"/>
      <c r="H3123" s="204"/>
      <c r="I3123" s="204"/>
      <c r="J3123" s="204"/>
      <c r="K3123" s="204"/>
      <c r="L3123" s="205"/>
      <c r="M3123" s="205"/>
      <c r="N3123" s="204"/>
      <c r="O3123" s="204"/>
      <c r="P3123" s="206"/>
      <c r="Q3123" s="206"/>
      <c r="R3123" s="206"/>
      <c r="S3123" s="206"/>
      <c r="T3123" s="204"/>
      <c r="U3123" s="207"/>
      <c r="V3123" s="204"/>
      <c r="W3123" s="204"/>
      <c r="X3123" s="207"/>
      <c r="Y3123" s="207"/>
      <c r="Z3123" s="204"/>
      <c r="AA3123" s="204"/>
      <c r="AB3123" s="204"/>
      <c r="AC3123" s="204"/>
    </row>
    <row r="3124" spans="1:29">
      <c r="A3124" s="204"/>
      <c r="B3124" s="204"/>
      <c r="C3124" s="204"/>
      <c r="D3124" s="204"/>
      <c r="E3124" s="204"/>
      <c r="F3124" s="204"/>
      <c r="G3124" s="204"/>
      <c r="H3124" s="204"/>
      <c r="I3124" s="204"/>
      <c r="J3124" s="204"/>
      <c r="K3124" s="204"/>
      <c r="L3124" s="205"/>
      <c r="M3124" s="205"/>
      <c r="N3124" s="204"/>
      <c r="O3124" s="204"/>
      <c r="P3124" s="206"/>
      <c r="Q3124" s="206"/>
      <c r="R3124" s="206"/>
      <c r="S3124" s="206"/>
      <c r="T3124" s="204"/>
      <c r="U3124" s="207"/>
      <c r="V3124" s="204"/>
      <c r="W3124" s="204"/>
      <c r="X3124" s="207"/>
      <c r="Y3124" s="207"/>
      <c r="Z3124" s="204"/>
      <c r="AA3124" s="204"/>
      <c r="AB3124" s="204"/>
      <c r="AC3124" s="204"/>
    </row>
    <row r="3125" spans="1:29">
      <c r="A3125" s="204"/>
      <c r="B3125" s="204"/>
      <c r="C3125" s="204"/>
      <c r="D3125" s="204"/>
      <c r="E3125" s="204"/>
      <c r="F3125" s="204"/>
      <c r="G3125" s="204"/>
      <c r="H3125" s="204"/>
      <c r="I3125" s="204"/>
      <c r="J3125" s="204"/>
      <c r="K3125" s="204"/>
      <c r="L3125" s="205"/>
      <c r="M3125" s="205"/>
      <c r="N3125" s="204"/>
      <c r="O3125" s="204"/>
      <c r="P3125" s="206"/>
      <c r="Q3125" s="206"/>
      <c r="R3125" s="206"/>
      <c r="S3125" s="206"/>
      <c r="T3125" s="204"/>
      <c r="U3125" s="207"/>
      <c r="V3125" s="204"/>
      <c r="W3125" s="204"/>
      <c r="X3125" s="207"/>
      <c r="Y3125" s="207"/>
      <c r="Z3125" s="204"/>
      <c r="AA3125" s="204"/>
      <c r="AB3125" s="204"/>
      <c r="AC3125" s="204"/>
    </row>
    <row r="3126" spans="1:29">
      <c r="A3126" s="204"/>
      <c r="B3126" s="204"/>
      <c r="C3126" s="204"/>
      <c r="D3126" s="204"/>
      <c r="E3126" s="204"/>
      <c r="F3126" s="204"/>
      <c r="G3126" s="204"/>
      <c r="H3126" s="204"/>
      <c r="I3126" s="204"/>
      <c r="J3126" s="204"/>
      <c r="K3126" s="204"/>
      <c r="L3126" s="205"/>
      <c r="M3126" s="205"/>
      <c r="N3126" s="204"/>
      <c r="O3126" s="204"/>
      <c r="P3126" s="206"/>
      <c r="Q3126" s="206"/>
      <c r="R3126" s="206"/>
      <c r="S3126" s="206"/>
      <c r="T3126" s="204"/>
      <c r="U3126" s="207"/>
      <c r="V3126" s="204"/>
      <c r="W3126" s="204"/>
      <c r="X3126" s="207"/>
      <c r="Y3126" s="207"/>
      <c r="Z3126" s="204"/>
      <c r="AA3126" s="204"/>
      <c r="AB3126" s="204"/>
      <c r="AC3126" s="204"/>
    </row>
    <row r="3127" spans="1:29">
      <c r="A3127" s="204"/>
      <c r="B3127" s="204"/>
      <c r="C3127" s="204"/>
      <c r="D3127" s="204"/>
      <c r="E3127" s="204"/>
      <c r="F3127" s="204"/>
      <c r="G3127" s="204"/>
      <c r="H3127" s="204"/>
      <c r="I3127" s="204"/>
      <c r="J3127" s="204"/>
      <c r="K3127" s="204"/>
      <c r="L3127" s="205"/>
      <c r="M3127" s="205"/>
      <c r="N3127" s="204"/>
      <c r="O3127" s="204"/>
      <c r="P3127" s="206"/>
      <c r="Q3127" s="206"/>
      <c r="R3127" s="206"/>
      <c r="S3127" s="206"/>
      <c r="T3127" s="204"/>
      <c r="U3127" s="207"/>
      <c r="V3127" s="204"/>
      <c r="W3127" s="204"/>
      <c r="X3127" s="207"/>
      <c r="Y3127" s="207"/>
      <c r="Z3127" s="204"/>
      <c r="AA3127" s="204"/>
      <c r="AB3127" s="204"/>
      <c r="AC3127" s="204"/>
    </row>
    <row r="3128" spans="1:29">
      <c r="A3128" s="204"/>
      <c r="B3128" s="204"/>
      <c r="C3128" s="204"/>
      <c r="D3128" s="204"/>
      <c r="E3128" s="204"/>
      <c r="F3128" s="204"/>
      <c r="G3128" s="204"/>
      <c r="H3128" s="204"/>
      <c r="I3128" s="204"/>
      <c r="J3128" s="204"/>
      <c r="K3128" s="204"/>
      <c r="L3128" s="205"/>
      <c r="M3128" s="205"/>
      <c r="N3128" s="204"/>
      <c r="O3128" s="204"/>
      <c r="P3128" s="206"/>
      <c r="Q3128" s="206"/>
      <c r="R3128" s="206"/>
      <c r="S3128" s="206"/>
      <c r="T3128" s="204"/>
      <c r="U3128" s="207"/>
      <c r="V3128" s="204"/>
      <c r="W3128" s="204"/>
      <c r="X3128" s="207"/>
      <c r="Y3128" s="207"/>
      <c r="Z3128" s="204"/>
      <c r="AA3128" s="204"/>
      <c r="AB3128" s="204"/>
      <c r="AC3128" s="204"/>
    </row>
    <row r="3129" spans="1:29">
      <c r="A3129" s="204"/>
      <c r="B3129" s="204"/>
      <c r="C3129" s="204"/>
      <c r="D3129" s="204"/>
      <c r="E3129" s="204"/>
      <c r="F3129" s="204"/>
      <c r="G3129" s="204"/>
      <c r="H3129" s="204"/>
      <c r="I3129" s="204"/>
      <c r="J3129" s="204"/>
      <c r="K3129" s="204"/>
      <c r="L3129" s="205"/>
      <c r="M3129" s="205"/>
      <c r="N3129" s="204"/>
      <c r="O3129" s="204"/>
      <c r="P3129" s="206"/>
      <c r="Q3129" s="206"/>
      <c r="R3129" s="206"/>
      <c r="S3129" s="206"/>
      <c r="T3129" s="204"/>
      <c r="U3129" s="207"/>
      <c r="V3129" s="204"/>
      <c r="W3129" s="204"/>
      <c r="X3129" s="207"/>
      <c r="Y3129" s="207"/>
      <c r="Z3129" s="204"/>
      <c r="AA3129" s="204"/>
      <c r="AB3129" s="204"/>
      <c r="AC3129" s="204"/>
    </row>
    <row r="3130" spans="1:29">
      <c r="A3130" s="204"/>
      <c r="B3130" s="204"/>
      <c r="C3130" s="204"/>
      <c r="D3130" s="204"/>
      <c r="E3130" s="204"/>
      <c r="F3130" s="204"/>
      <c r="G3130" s="204"/>
      <c r="H3130" s="204"/>
      <c r="I3130" s="204"/>
      <c r="J3130" s="204"/>
      <c r="K3130" s="204"/>
      <c r="L3130" s="205"/>
      <c r="M3130" s="205"/>
      <c r="N3130" s="204"/>
      <c r="O3130" s="204"/>
      <c r="P3130" s="206"/>
      <c r="Q3130" s="206"/>
      <c r="R3130" s="206"/>
      <c r="S3130" s="206"/>
      <c r="T3130" s="204"/>
      <c r="U3130" s="207"/>
      <c r="V3130" s="204"/>
      <c r="W3130" s="204"/>
      <c r="X3130" s="207"/>
      <c r="Y3130" s="207"/>
      <c r="Z3130" s="204"/>
      <c r="AA3130" s="204"/>
      <c r="AB3130" s="204"/>
      <c r="AC3130" s="204"/>
    </row>
    <row r="3131" spans="1:29">
      <c r="A3131" s="204"/>
      <c r="B3131" s="204"/>
      <c r="C3131" s="204"/>
      <c r="D3131" s="204"/>
      <c r="E3131" s="204"/>
      <c r="F3131" s="204"/>
      <c r="G3131" s="204"/>
      <c r="H3131" s="204"/>
      <c r="I3131" s="204"/>
      <c r="J3131" s="204"/>
      <c r="K3131" s="204"/>
      <c r="L3131" s="205"/>
      <c r="M3131" s="205"/>
      <c r="N3131" s="204"/>
      <c r="O3131" s="204"/>
      <c r="P3131" s="206"/>
      <c r="Q3131" s="206"/>
      <c r="R3131" s="206"/>
      <c r="S3131" s="206"/>
      <c r="T3131" s="204"/>
      <c r="U3131" s="207"/>
      <c r="V3131" s="204"/>
      <c r="W3131" s="204"/>
      <c r="X3131" s="207"/>
      <c r="Y3131" s="207"/>
      <c r="Z3131" s="204"/>
      <c r="AA3131" s="204"/>
      <c r="AB3131" s="204"/>
      <c r="AC3131" s="204"/>
    </row>
    <row r="3132" spans="1:29">
      <c r="A3132" s="204"/>
      <c r="B3132" s="204"/>
      <c r="C3132" s="204"/>
      <c r="D3132" s="204"/>
      <c r="E3132" s="204"/>
      <c r="F3132" s="204"/>
      <c r="G3132" s="204"/>
      <c r="H3132" s="204"/>
      <c r="I3132" s="204"/>
      <c r="J3132" s="204"/>
      <c r="K3132" s="204"/>
      <c r="L3132" s="205"/>
      <c r="M3132" s="205"/>
      <c r="N3132" s="204"/>
      <c r="O3132" s="204"/>
      <c r="P3132" s="206"/>
      <c r="Q3132" s="206"/>
      <c r="R3132" s="206"/>
      <c r="S3132" s="206"/>
      <c r="T3132" s="204"/>
      <c r="U3132" s="207"/>
      <c r="V3132" s="204"/>
      <c r="W3132" s="204"/>
      <c r="X3132" s="207"/>
      <c r="Y3132" s="207"/>
      <c r="Z3132" s="204"/>
      <c r="AA3132" s="204"/>
      <c r="AB3132" s="204"/>
      <c r="AC3132" s="204"/>
    </row>
    <row r="3133" spans="1:29">
      <c r="A3133" s="204"/>
      <c r="B3133" s="204"/>
      <c r="C3133" s="204"/>
      <c r="D3133" s="204"/>
      <c r="E3133" s="204"/>
      <c r="F3133" s="204"/>
      <c r="G3133" s="204"/>
      <c r="H3133" s="204"/>
      <c r="I3133" s="204"/>
      <c r="J3133" s="204"/>
      <c r="K3133" s="204"/>
      <c r="L3133" s="205"/>
      <c r="M3133" s="205"/>
      <c r="N3133" s="204"/>
      <c r="O3133" s="204"/>
      <c r="P3133" s="206"/>
      <c r="Q3133" s="206"/>
      <c r="R3133" s="206"/>
      <c r="S3133" s="206"/>
      <c r="T3133" s="204"/>
      <c r="U3133" s="207"/>
      <c r="V3133" s="204"/>
      <c r="W3133" s="204"/>
      <c r="X3133" s="207"/>
      <c r="Y3133" s="207"/>
      <c r="Z3133" s="204"/>
      <c r="AA3133" s="204"/>
      <c r="AB3133" s="204"/>
      <c r="AC3133" s="204"/>
    </row>
    <row r="3134" spans="1:29">
      <c r="A3134" s="204"/>
      <c r="B3134" s="204"/>
      <c r="C3134" s="204"/>
      <c r="D3134" s="204"/>
      <c r="E3134" s="204"/>
      <c r="F3134" s="204"/>
      <c r="G3134" s="204"/>
      <c r="H3134" s="204"/>
      <c r="I3134" s="204"/>
      <c r="J3134" s="204"/>
      <c r="K3134" s="204"/>
      <c r="L3134" s="205"/>
      <c r="M3134" s="205"/>
      <c r="N3134" s="204"/>
      <c r="O3134" s="204"/>
      <c r="P3134" s="206"/>
      <c r="Q3134" s="206"/>
      <c r="R3134" s="206"/>
      <c r="S3134" s="206"/>
      <c r="T3134" s="204"/>
      <c r="U3134" s="207"/>
      <c r="V3134" s="204"/>
      <c r="W3134" s="204"/>
      <c r="X3134" s="207"/>
      <c r="Y3134" s="207"/>
      <c r="Z3134" s="204"/>
      <c r="AA3134" s="204"/>
      <c r="AB3134" s="204"/>
      <c r="AC3134" s="204"/>
    </row>
    <row r="3135" spans="1:29">
      <c r="A3135" s="204"/>
      <c r="B3135" s="204"/>
      <c r="C3135" s="204"/>
      <c r="D3135" s="204"/>
      <c r="E3135" s="204"/>
      <c r="F3135" s="204"/>
      <c r="G3135" s="204"/>
      <c r="H3135" s="204"/>
      <c r="I3135" s="204"/>
      <c r="J3135" s="204"/>
      <c r="K3135" s="204"/>
      <c r="L3135" s="205"/>
      <c r="M3135" s="205"/>
      <c r="N3135" s="204"/>
      <c r="O3135" s="204"/>
      <c r="P3135" s="206"/>
      <c r="Q3135" s="206"/>
      <c r="R3135" s="206"/>
      <c r="S3135" s="206"/>
      <c r="T3135" s="204"/>
      <c r="U3135" s="207"/>
      <c r="V3135" s="204"/>
      <c r="W3135" s="204"/>
      <c r="X3135" s="207"/>
      <c r="Y3135" s="207"/>
      <c r="Z3135" s="204"/>
      <c r="AA3135" s="204"/>
      <c r="AB3135" s="204"/>
      <c r="AC3135" s="204"/>
    </row>
    <row r="3136" spans="1:29">
      <c r="A3136" s="204"/>
      <c r="B3136" s="204"/>
      <c r="C3136" s="204"/>
      <c r="D3136" s="204"/>
      <c r="E3136" s="204"/>
      <c r="F3136" s="204"/>
      <c r="G3136" s="204"/>
      <c r="H3136" s="204"/>
      <c r="I3136" s="204"/>
      <c r="J3136" s="204"/>
      <c r="K3136" s="204"/>
      <c r="L3136" s="205"/>
      <c r="M3136" s="205"/>
      <c r="N3136" s="204"/>
      <c r="O3136" s="204"/>
      <c r="P3136" s="206"/>
      <c r="Q3136" s="206"/>
      <c r="R3136" s="206"/>
      <c r="S3136" s="206"/>
      <c r="T3136" s="204"/>
      <c r="U3136" s="207"/>
      <c r="V3136" s="204"/>
      <c r="W3136" s="204"/>
      <c r="X3136" s="207"/>
      <c r="Y3136" s="207"/>
      <c r="Z3136" s="204"/>
      <c r="AA3136" s="204"/>
      <c r="AB3136" s="204"/>
      <c r="AC3136" s="204"/>
    </row>
    <row r="3137" spans="1:29">
      <c r="A3137" s="204"/>
      <c r="B3137" s="204"/>
      <c r="C3137" s="204"/>
      <c r="D3137" s="204"/>
      <c r="E3137" s="204"/>
      <c r="F3137" s="204"/>
      <c r="G3137" s="204"/>
      <c r="H3137" s="204"/>
      <c r="I3137" s="204"/>
      <c r="J3137" s="204"/>
      <c r="K3137" s="204"/>
      <c r="L3137" s="205"/>
      <c r="M3137" s="205"/>
      <c r="N3137" s="204"/>
      <c r="O3137" s="204"/>
      <c r="P3137" s="206"/>
      <c r="Q3137" s="206"/>
      <c r="R3137" s="206"/>
      <c r="S3137" s="206"/>
      <c r="T3137" s="204"/>
      <c r="U3137" s="207"/>
      <c r="V3137" s="204"/>
      <c r="W3137" s="204"/>
      <c r="X3137" s="207"/>
      <c r="Y3137" s="207"/>
      <c r="Z3137" s="204"/>
      <c r="AA3137" s="204"/>
      <c r="AB3137" s="204"/>
      <c r="AC3137" s="204"/>
    </row>
    <row r="3138" spans="1:29">
      <c r="A3138" s="204"/>
      <c r="B3138" s="204"/>
      <c r="C3138" s="204"/>
      <c r="D3138" s="204"/>
      <c r="E3138" s="204"/>
      <c r="F3138" s="204"/>
      <c r="G3138" s="204"/>
      <c r="H3138" s="204"/>
      <c r="I3138" s="204"/>
      <c r="J3138" s="204"/>
      <c r="K3138" s="204"/>
      <c r="L3138" s="205"/>
      <c r="M3138" s="205"/>
      <c r="N3138" s="204"/>
      <c r="O3138" s="204"/>
      <c r="P3138" s="206"/>
      <c r="Q3138" s="206"/>
      <c r="R3138" s="206"/>
      <c r="S3138" s="206"/>
      <c r="T3138" s="204"/>
      <c r="U3138" s="207"/>
      <c r="V3138" s="204"/>
      <c r="W3138" s="204"/>
      <c r="X3138" s="207"/>
      <c r="Y3138" s="207"/>
      <c r="Z3138" s="204"/>
      <c r="AA3138" s="204"/>
      <c r="AB3138" s="204"/>
      <c r="AC3138" s="204"/>
    </row>
    <row r="3139" spans="1:29">
      <c r="A3139" s="204"/>
      <c r="B3139" s="204"/>
      <c r="C3139" s="204"/>
      <c r="D3139" s="204"/>
      <c r="E3139" s="204"/>
      <c r="F3139" s="204"/>
      <c r="G3139" s="204"/>
      <c r="H3139" s="204"/>
      <c r="I3139" s="204"/>
      <c r="J3139" s="204"/>
      <c r="K3139" s="204"/>
      <c r="L3139" s="205"/>
      <c r="M3139" s="205"/>
      <c r="N3139" s="204"/>
      <c r="O3139" s="204"/>
      <c r="P3139" s="206"/>
      <c r="Q3139" s="206"/>
      <c r="R3139" s="206"/>
      <c r="S3139" s="206"/>
      <c r="T3139" s="204"/>
      <c r="U3139" s="207"/>
      <c r="V3139" s="204"/>
      <c r="W3139" s="204"/>
      <c r="X3139" s="207"/>
      <c r="Y3139" s="207"/>
      <c r="Z3139" s="204"/>
      <c r="AA3139" s="204"/>
      <c r="AB3139" s="204"/>
      <c r="AC3139" s="204"/>
    </row>
    <row r="3140" spans="1:29">
      <c r="A3140" s="204"/>
      <c r="B3140" s="204"/>
      <c r="C3140" s="204"/>
      <c r="D3140" s="204"/>
      <c r="E3140" s="204"/>
      <c r="F3140" s="204"/>
      <c r="G3140" s="204"/>
      <c r="H3140" s="204"/>
      <c r="I3140" s="204"/>
      <c r="J3140" s="204"/>
      <c r="K3140" s="204"/>
      <c r="L3140" s="205"/>
      <c r="M3140" s="205"/>
      <c r="N3140" s="204"/>
      <c r="O3140" s="204"/>
      <c r="P3140" s="206"/>
      <c r="Q3140" s="206"/>
      <c r="R3140" s="206"/>
      <c r="S3140" s="206"/>
      <c r="T3140" s="204"/>
      <c r="U3140" s="207"/>
      <c r="V3140" s="204"/>
      <c r="W3140" s="204"/>
      <c r="X3140" s="207"/>
      <c r="Y3140" s="207"/>
      <c r="Z3140" s="204"/>
      <c r="AA3140" s="204"/>
      <c r="AB3140" s="204"/>
      <c r="AC3140" s="204"/>
    </row>
    <row r="3141" spans="1:29">
      <c r="A3141" s="204"/>
      <c r="B3141" s="204"/>
      <c r="C3141" s="204"/>
      <c r="D3141" s="204"/>
      <c r="E3141" s="204"/>
      <c r="F3141" s="204"/>
      <c r="G3141" s="204"/>
      <c r="H3141" s="204"/>
      <c r="I3141" s="204"/>
      <c r="J3141" s="204"/>
      <c r="K3141" s="204"/>
      <c r="L3141" s="205"/>
      <c r="M3141" s="205"/>
      <c r="N3141" s="204"/>
      <c r="O3141" s="204"/>
      <c r="P3141" s="206"/>
      <c r="Q3141" s="206"/>
      <c r="R3141" s="206"/>
      <c r="S3141" s="206"/>
      <c r="T3141" s="204"/>
      <c r="U3141" s="207"/>
      <c r="V3141" s="204"/>
      <c r="W3141" s="204"/>
      <c r="X3141" s="207"/>
      <c r="Y3141" s="207"/>
      <c r="Z3141" s="204"/>
      <c r="AA3141" s="204"/>
      <c r="AB3141" s="204"/>
      <c r="AC3141" s="204"/>
    </row>
    <row r="3142" spans="1:29">
      <c r="A3142" s="204"/>
      <c r="B3142" s="204"/>
      <c r="C3142" s="204"/>
      <c r="D3142" s="204"/>
      <c r="E3142" s="204"/>
      <c r="F3142" s="204"/>
      <c r="G3142" s="204"/>
      <c r="H3142" s="204"/>
      <c r="I3142" s="204"/>
      <c r="J3142" s="204"/>
      <c r="K3142" s="204"/>
      <c r="L3142" s="205"/>
      <c r="M3142" s="205"/>
      <c r="N3142" s="204"/>
      <c r="O3142" s="204"/>
      <c r="P3142" s="206"/>
      <c r="Q3142" s="206"/>
      <c r="R3142" s="206"/>
      <c r="S3142" s="206"/>
      <c r="T3142" s="204"/>
      <c r="U3142" s="207"/>
      <c r="V3142" s="204"/>
      <c r="W3142" s="204"/>
      <c r="X3142" s="207"/>
      <c r="Y3142" s="207"/>
      <c r="Z3142" s="204"/>
      <c r="AA3142" s="204"/>
      <c r="AB3142" s="204"/>
      <c r="AC3142" s="204"/>
    </row>
    <row r="3143" spans="1:29">
      <c r="A3143" s="204"/>
      <c r="B3143" s="204"/>
      <c r="C3143" s="204"/>
      <c r="D3143" s="204"/>
      <c r="E3143" s="204"/>
      <c r="F3143" s="204"/>
      <c r="G3143" s="204"/>
      <c r="H3143" s="204"/>
      <c r="I3143" s="204"/>
      <c r="J3143" s="204"/>
      <c r="K3143" s="204"/>
      <c r="L3143" s="205"/>
      <c r="M3143" s="205"/>
      <c r="N3143" s="204"/>
      <c r="O3143" s="204"/>
      <c r="P3143" s="206"/>
      <c r="Q3143" s="206"/>
      <c r="R3143" s="206"/>
      <c r="S3143" s="206"/>
      <c r="T3143" s="204"/>
      <c r="U3143" s="207"/>
      <c r="V3143" s="204"/>
      <c r="W3143" s="204"/>
      <c r="X3143" s="207"/>
      <c r="Y3143" s="207"/>
      <c r="Z3143" s="204"/>
      <c r="AA3143" s="204"/>
      <c r="AB3143" s="204"/>
      <c r="AC3143" s="204"/>
    </row>
    <row r="3144" spans="1:29">
      <c r="A3144" s="204"/>
      <c r="B3144" s="204"/>
      <c r="C3144" s="204"/>
      <c r="D3144" s="204"/>
      <c r="E3144" s="204"/>
      <c r="F3144" s="204"/>
      <c r="G3144" s="204"/>
      <c r="H3144" s="204"/>
      <c r="I3144" s="204"/>
      <c r="J3144" s="204"/>
      <c r="K3144" s="204"/>
      <c r="L3144" s="205"/>
      <c r="M3144" s="205"/>
      <c r="N3144" s="204"/>
      <c r="O3144" s="204"/>
      <c r="P3144" s="206"/>
      <c r="Q3144" s="206"/>
      <c r="R3144" s="206"/>
      <c r="S3144" s="206"/>
      <c r="T3144" s="204"/>
      <c r="U3144" s="207"/>
      <c r="V3144" s="204"/>
      <c r="W3144" s="204"/>
      <c r="X3144" s="207"/>
      <c r="Y3144" s="207"/>
      <c r="Z3144" s="204"/>
      <c r="AA3144" s="204"/>
      <c r="AB3144" s="204"/>
      <c r="AC3144" s="204"/>
    </row>
    <row r="3145" spans="1:29">
      <c r="A3145" s="204"/>
      <c r="B3145" s="204"/>
      <c r="C3145" s="204"/>
      <c r="D3145" s="204"/>
      <c r="E3145" s="204"/>
      <c r="F3145" s="204"/>
      <c r="G3145" s="204"/>
      <c r="H3145" s="204"/>
      <c r="I3145" s="204"/>
      <c r="J3145" s="204"/>
      <c r="K3145" s="204"/>
      <c r="L3145" s="205"/>
      <c r="M3145" s="205"/>
      <c r="N3145" s="204"/>
      <c r="O3145" s="204"/>
      <c r="P3145" s="206"/>
      <c r="Q3145" s="206"/>
      <c r="R3145" s="206"/>
      <c r="S3145" s="206"/>
      <c r="T3145" s="204"/>
      <c r="U3145" s="207"/>
      <c r="V3145" s="204"/>
      <c r="W3145" s="204"/>
      <c r="X3145" s="207"/>
      <c r="Y3145" s="207"/>
      <c r="Z3145" s="204"/>
      <c r="AA3145" s="204"/>
      <c r="AB3145" s="204"/>
      <c r="AC3145" s="204"/>
    </row>
    <row r="3146" spans="1:29">
      <c r="A3146" s="204"/>
      <c r="B3146" s="204"/>
      <c r="C3146" s="204"/>
      <c r="D3146" s="204"/>
      <c r="E3146" s="204"/>
      <c r="F3146" s="204"/>
      <c r="G3146" s="204"/>
      <c r="H3146" s="204"/>
      <c r="I3146" s="204"/>
      <c r="J3146" s="204"/>
      <c r="K3146" s="204"/>
      <c r="L3146" s="205"/>
      <c r="M3146" s="205"/>
      <c r="N3146" s="204"/>
      <c r="O3146" s="204"/>
      <c r="P3146" s="206"/>
      <c r="Q3146" s="206"/>
      <c r="R3146" s="206"/>
      <c r="S3146" s="206"/>
      <c r="T3146" s="204"/>
      <c r="U3146" s="207"/>
      <c r="V3146" s="204"/>
      <c r="W3146" s="204"/>
      <c r="X3146" s="207"/>
      <c r="Y3146" s="207"/>
      <c r="Z3146" s="204"/>
      <c r="AA3146" s="204"/>
      <c r="AB3146" s="204"/>
      <c r="AC3146" s="204"/>
    </row>
    <row r="3147" spans="1:29">
      <c r="A3147" s="204"/>
      <c r="B3147" s="204"/>
      <c r="C3147" s="204"/>
      <c r="D3147" s="204"/>
      <c r="E3147" s="204"/>
      <c r="F3147" s="204"/>
      <c r="G3147" s="204"/>
      <c r="H3147" s="204"/>
      <c r="I3147" s="204"/>
      <c r="J3147" s="204"/>
      <c r="K3147" s="204"/>
      <c r="L3147" s="205"/>
      <c r="M3147" s="205"/>
      <c r="N3147" s="204"/>
      <c r="O3147" s="204"/>
      <c r="P3147" s="206"/>
      <c r="Q3147" s="206"/>
      <c r="R3147" s="206"/>
      <c r="S3147" s="206"/>
      <c r="T3147" s="204"/>
      <c r="U3147" s="207"/>
      <c r="V3147" s="204"/>
      <c r="W3147" s="204"/>
      <c r="X3147" s="207"/>
      <c r="Y3147" s="207"/>
      <c r="Z3147" s="204"/>
      <c r="AA3147" s="204"/>
      <c r="AB3147" s="204"/>
      <c r="AC3147" s="204"/>
    </row>
    <row r="3148" spans="1:29">
      <c r="A3148" s="204"/>
      <c r="B3148" s="204"/>
      <c r="C3148" s="204"/>
      <c r="D3148" s="204"/>
      <c r="E3148" s="204"/>
      <c r="F3148" s="204"/>
      <c r="G3148" s="204"/>
      <c r="H3148" s="204"/>
      <c r="I3148" s="204"/>
      <c r="J3148" s="204"/>
      <c r="K3148" s="204"/>
      <c r="L3148" s="205"/>
      <c r="M3148" s="205"/>
      <c r="N3148" s="204"/>
      <c r="O3148" s="204"/>
      <c r="P3148" s="206"/>
      <c r="Q3148" s="206"/>
      <c r="R3148" s="206"/>
      <c r="S3148" s="206"/>
      <c r="T3148" s="204"/>
      <c r="U3148" s="207"/>
      <c r="V3148" s="204"/>
      <c r="W3148" s="204"/>
      <c r="X3148" s="207"/>
      <c r="Y3148" s="207"/>
      <c r="Z3148" s="204"/>
      <c r="AA3148" s="204"/>
      <c r="AB3148" s="204"/>
      <c r="AC3148" s="204"/>
    </row>
    <row r="3149" spans="1:29">
      <c r="A3149" s="204"/>
      <c r="B3149" s="204"/>
      <c r="C3149" s="204"/>
      <c r="D3149" s="204"/>
      <c r="E3149" s="204"/>
      <c r="F3149" s="204"/>
      <c r="G3149" s="204"/>
      <c r="H3149" s="204"/>
      <c r="I3149" s="204"/>
      <c r="J3149" s="204"/>
      <c r="K3149" s="204"/>
      <c r="L3149" s="205"/>
      <c r="M3149" s="205"/>
      <c r="N3149" s="204"/>
      <c r="O3149" s="204"/>
      <c r="P3149" s="206"/>
      <c r="Q3149" s="206"/>
      <c r="R3149" s="206"/>
      <c r="S3149" s="206"/>
      <c r="T3149" s="204"/>
      <c r="U3149" s="207"/>
      <c r="V3149" s="204"/>
      <c r="W3149" s="204"/>
      <c r="X3149" s="207"/>
      <c r="Y3149" s="207"/>
      <c r="Z3149" s="204"/>
      <c r="AA3149" s="204"/>
      <c r="AB3149" s="204"/>
      <c r="AC3149" s="204"/>
    </row>
    <row r="3150" spans="1:29">
      <c r="A3150" s="204"/>
      <c r="B3150" s="204"/>
      <c r="C3150" s="204"/>
      <c r="D3150" s="204"/>
      <c r="E3150" s="204"/>
      <c r="F3150" s="204"/>
      <c r="G3150" s="204"/>
      <c r="H3150" s="204"/>
      <c r="I3150" s="204"/>
      <c r="J3150" s="204"/>
      <c r="K3150" s="204"/>
      <c r="L3150" s="205"/>
      <c r="M3150" s="205"/>
      <c r="N3150" s="204"/>
      <c r="O3150" s="204"/>
      <c r="P3150" s="206"/>
      <c r="Q3150" s="206"/>
      <c r="R3150" s="206"/>
      <c r="S3150" s="206"/>
      <c r="T3150" s="204"/>
      <c r="U3150" s="207"/>
      <c r="V3150" s="204"/>
      <c r="W3150" s="204"/>
      <c r="X3150" s="207"/>
      <c r="Y3150" s="207"/>
      <c r="Z3150" s="204"/>
      <c r="AA3150" s="204"/>
      <c r="AB3150" s="204"/>
      <c r="AC3150" s="204"/>
    </row>
    <row r="3151" spans="1:29">
      <c r="A3151" s="204"/>
      <c r="B3151" s="204"/>
      <c r="C3151" s="204"/>
      <c r="D3151" s="204"/>
      <c r="E3151" s="204"/>
      <c r="F3151" s="204"/>
      <c r="G3151" s="204"/>
      <c r="H3151" s="204"/>
      <c r="I3151" s="204"/>
      <c r="J3151" s="204"/>
      <c r="K3151" s="204"/>
      <c r="L3151" s="205"/>
      <c r="M3151" s="205"/>
      <c r="N3151" s="204"/>
      <c r="O3151" s="204"/>
      <c r="P3151" s="206"/>
      <c r="Q3151" s="206"/>
      <c r="R3151" s="206"/>
      <c r="S3151" s="206"/>
      <c r="T3151" s="204"/>
      <c r="U3151" s="207"/>
      <c r="V3151" s="204"/>
      <c r="W3151" s="204"/>
      <c r="X3151" s="207"/>
      <c r="Y3151" s="207"/>
      <c r="Z3151" s="204"/>
      <c r="AA3151" s="204"/>
      <c r="AB3151" s="204"/>
      <c r="AC3151" s="204"/>
    </row>
    <row r="3152" spans="1:29">
      <c r="A3152" s="204"/>
      <c r="B3152" s="204"/>
      <c r="C3152" s="204"/>
      <c r="D3152" s="204"/>
      <c r="E3152" s="204"/>
      <c r="F3152" s="204"/>
      <c r="G3152" s="204"/>
      <c r="H3152" s="204"/>
      <c r="I3152" s="204"/>
      <c r="J3152" s="204"/>
      <c r="K3152" s="204"/>
      <c r="L3152" s="205"/>
      <c r="M3152" s="205"/>
      <c r="N3152" s="204"/>
      <c r="O3152" s="204"/>
      <c r="P3152" s="206"/>
      <c r="Q3152" s="206"/>
      <c r="R3152" s="206"/>
      <c r="S3152" s="206"/>
      <c r="T3152" s="204"/>
      <c r="U3152" s="207"/>
      <c r="V3152" s="204"/>
      <c r="W3152" s="204"/>
      <c r="X3152" s="207"/>
      <c r="Y3152" s="207"/>
      <c r="Z3152" s="204"/>
      <c r="AA3152" s="204"/>
      <c r="AB3152" s="204"/>
      <c r="AC3152" s="204"/>
    </row>
    <row r="3153" spans="1:29">
      <c r="A3153" s="204"/>
      <c r="B3153" s="204"/>
      <c r="C3153" s="204"/>
      <c r="D3153" s="204"/>
      <c r="E3153" s="204"/>
      <c r="F3153" s="204"/>
      <c r="G3153" s="204"/>
      <c r="H3153" s="204"/>
      <c r="I3153" s="204"/>
      <c r="J3153" s="204"/>
      <c r="K3153" s="204"/>
      <c r="L3153" s="205"/>
      <c r="M3153" s="205"/>
      <c r="N3153" s="204"/>
      <c r="O3153" s="204"/>
      <c r="P3153" s="206"/>
      <c r="Q3153" s="206"/>
      <c r="R3153" s="206"/>
      <c r="S3153" s="206"/>
      <c r="T3153" s="204"/>
      <c r="U3153" s="207"/>
      <c r="V3153" s="204"/>
      <c r="W3153" s="204"/>
      <c r="X3153" s="207"/>
      <c r="Y3153" s="207"/>
      <c r="Z3153" s="204"/>
      <c r="AA3153" s="204"/>
      <c r="AB3153" s="204"/>
      <c r="AC3153" s="204"/>
    </row>
    <row r="3154" spans="1:29">
      <c r="A3154" s="204"/>
      <c r="B3154" s="204"/>
      <c r="C3154" s="204"/>
      <c r="D3154" s="204"/>
      <c r="E3154" s="204"/>
      <c r="F3154" s="204"/>
      <c r="G3154" s="204"/>
      <c r="H3154" s="204"/>
      <c r="I3154" s="204"/>
      <c r="J3154" s="204"/>
      <c r="K3154" s="204"/>
      <c r="L3154" s="205"/>
      <c r="M3154" s="205"/>
      <c r="N3154" s="204"/>
      <c r="O3154" s="204"/>
      <c r="P3154" s="206"/>
      <c r="Q3154" s="206"/>
      <c r="R3154" s="206"/>
      <c r="S3154" s="206"/>
      <c r="T3154" s="204"/>
      <c r="U3154" s="207"/>
      <c r="V3154" s="204"/>
      <c r="W3154" s="204"/>
      <c r="X3154" s="207"/>
      <c r="Y3154" s="207"/>
      <c r="Z3154" s="204"/>
      <c r="AA3154" s="204"/>
      <c r="AB3154" s="204"/>
      <c r="AC3154" s="204"/>
    </row>
    <row r="3155" spans="1:29">
      <c r="A3155" s="204"/>
      <c r="B3155" s="204"/>
      <c r="C3155" s="204"/>
      <c r="D3155" s="204"/>
      <c r="E3155" s="204"/>
      <c r="F3155" s="204"/>
      <c r="G3155" s="204"/>
      <c r="H3155" s="204"/>
      <c r="I3155" s="204"/>
      <c r="J3155" s="204"/>
      <c r="K3155" s="204"/>
      <c r="L3155" s="205"/>
      <c r="M3155" s="205"/>
      <c r="N3155" s="204"/>
      <c r="O3155" s="204"/>
      <c r="P3155" s="206"/>
      <c r="Q3155" s="206"/>
      <c r="R3155" s="206"/>
      <c r="S3155" s="206"/>
      <c r="T3155" s="204"/>
      <c r="U3155" s="207"/>
      <c r="V3155" s="204"/>
      <c r="W3155" s="204"/>
      <c r="X3155" s="207"/>
      <c r="Y3155" s="207"/>
      <c r="Z3155" s="204"/>
      <c r="AA3155" s="204"/>
      <c r="AB3155" s="204"/>
      <c r="AC3155" s="204"/>
    </row>
    <row r="3156" spans="1:29">
      <c r="A3156" s="204"/>
      <c r="B3156" s="204"/>
      <c r="C3156" s="204"/>
      <c r="D3156" s="204"/>
      <c r="E3156" s="204"/>
      <c r="F3156" s="204"/>
      <c r="G3156" s="204"/>
      <c r="H3156" s="204"/>
      <c r="I3156" s="204"/>
      <c r="J3156" s="204"/>
      <c r="K3156" s="204"/>
      <c r="L3156" s="205"/>
      <c r="M3156" s="205"/>
      <c r="N3156" s="204"/>
      <c r="O3156" s="204"/>
      <c r="P3156" s="206"/>
      <c r="Q3156" s="206"/>
      <c r="R3156" s="206"/>
      <c r="S3156" s="206"/>
      <c r="T3156" s="204"/>
      <c r="U3156" s="207"/>
      <c r="V3156" s="204"/>
      <c r="W3156" s="204"/>
      <c r="X3156" s="207"/>
      <c r="Y3156" s="207"/>
      <c r="Z3156" s="204"/>
      <c r="AA3156" s="204"/>
      <c r="AB3156" s="204"/>
      <c r="AC3156" s="204"/>
    </row>
    <row r="3157" spans="1:29">
      <c r="A3157" s="204"/>
      <c r="B3157" s="204"/>
      <c r="C3157" s="204"/>
      <c r="D3157" s="204"/>
      <c r="E3157" s="204"/>
      <c r="F3157" s="204"/>
      <c r="G3157" s="204"/>
      <c r="H3157" s="204"/>
      <c r="I3157" s="204"/>
      <c r="J3157" s="204"/>
      <c r="K3157" s="204"/>
      <c r="L3157" s="205"/>
      <c r="M3157" s="205"/>
      <c r="N3157" s="204"/>
      <c r="O3157" s="204"/>
      <c r="P3157" s="206"/>
      <c r="Q3157" s="206"/>
      <c r="R3157" s="206"/>
      <c r="S3157" s="206"/>
      <c r="T3157" s="204"/>
      <c r="U3157" s="207"/>
      <c r="V3157" s="204"/>
      <c r="W3157" s="204"/>
      <c r="X3157" s="207"/>
      <c r="Y3157" s="207"/>
      <c r="Z3157" s="204"/>
      <c r="AA3157" s="204"/>
      <c r="AB3157" s="204"/>
      <c r="AC3157" s="204"/>
    </row>
    <row r="3158" spans="1:29">
      <c r="A3158" s="204"/>
      <c r="B3158" s="204"/>
      <c r="C3158" s="204"/>
      <c r="D3158" s="204"/>
      <c r="E3158" s="204"/>
      <c r="F3158" s="204"/>
      <c r="G3158" s="204"/>
      <c r="H3158" s="204"/>
      <c r="I3158" s="204"/>
      <c r="J3158" s="204"/>
      <c r="K3158" s="204"/>
      <c r="L3158" s="205"/>
      <c r="M3158" s="205"/>
      <c r="N3158" s="204"/>
      <c r="O3158" s="204"/>
      <c r="P3158" s="206"/>
      <c r="Q3158" s="206"/>
      <c r="R3158" s="206"/>
      <c r="S3158" s="206"/>
      <c r="T3158" s="204"/>
      <c r="U3158" s="207"/>
      <c r="V3158" s="204"/>
      <c r="W3158" s="204"/>
      <c r="X3158" s="207"/>
      <c r="Y3158" s="207"/>
      <c r="Z3158" s="204"/>
      <c r="AA3158" s="204"/>
      <c r="AB3158" s="204"/>
      <c r="AC3158" s="204"/>
    </row>
    <row r="3159" spans="1:29">
      <c r="A3159" s="204"/>
      <c r="B3159" s="204"/>
      <c r="C3159" s="204"/>
      <c r="D3159" s="204"/>
      <c r="E3159" s="204"/>
      <c r="F3159" s="204"/>
      <c r="G3159" s="204"/>
      <c r="H3159" s="204"/>
      <c r="I3159" s="204"/>
      <c r="J3159" s="204"/>
      <c r="K3159" s="204"/>
      <c r="L3159" s="205"/>
      <c r="M3159" s="205"/>
      <c r="N3159" s="204"/>
      <c r="O3159" s="204"/>
      <c r="P3159" s="206"/>
      <c r="Q3159" s="206"/>
      <c r="R3159" s="206"/>
      <c r="S3159" s="206"/>
      <c r="T3159" s="204"/>
      <c r="U3159" s="207"/>
      <c r="V3159" s="204"/>
      <c r="W3159" s="204"/>
      <c r="X3159" s="207"/>
      <c r="Y3159" s="207"/>
      <c r="Z3159" s="204"/>
      <c r="AA3159" s="204"/>
      <c r="AB3159" s="204"/>
      <c r="AC3159" s="204"/>
    </row>
    <row r="3160" spans="1:29">
      <c r="A3160" s="204"/>
      <c r="B3160" s="204"/>
      <c r="C3160" s="204"/>
      <c r="D3160" s="204"/>
      <c r="E3160" s="204"/>
      <c r="F3160" s="204"/>
      <c r="G3160" s="204"/>
      <c r="H3160" s="204"/>
      <c r="I3160" s="204"/>
      <c r="J3160" s="204"/>
      <c r="K3160" s="204"/>
      <c r="L3160" s="205"/>
      <c r="M3160" s="205"/>
      <c r="N3160" s="204"/>
      <c r="O3160" s="204"/>
      <c r="P3160" s="206"/>
      <c r="Q3160" s="206"/>
      <c r="R3160" s="206"/>
      <c r="S3160" s="206"/>
      <c r="T3160" s="204"/>
      <c r="U3160" s="207"/>
      <c r="V3160" s="204"/>
      <c r="W3160" s="204"/>
      <c r="X3160" s="207"/>
      <c r="Y3160" s="207"/>
      <c r="Z3160" s="204"/>
      <c r="AA3160" s="204"/>
      <c r="AB3160" s="204"/>
      <c r="AC3160" s="204"/>
    </row>
    <row r="3161" spans="1:29">
      <c r="A3161" s="204"/>
      <c r="B3161" s="204"/>
      <c r="C3161" s="204"/>
      <c r="D3161" s="204"/>
      <c r="E3161" s="204"/>
      <c r="F3161" s="204"/>
      <c r="G3161" s="204"/>
      <c r="H3161" s="204"/>
      <c r="I3161" s="204"/>
      <c r="J3161" s="204"/>
      <c r="K3161" s="204"/>
      <c r="L3161" s="205"/>
      <c r="M3161" s="205"/>
      <c r="N3161" s="204"/>
      <c r="O3161" s="204"/>
      <c r="P3161" s="206"/>
      <c r="Q3161" s="206"/>
      <c r="R3161" s="206"/>
      <c r="S3161" s="206"/>
      <c r="T3161" s="204"/>
      <c r="U3161" s="207"/>
      <c r="V3161" s="204"/>
      <c r="W3161" s="204"/>
      <c r="X3161" s="207"/>
      <c r="Y3161" s="207"/>
      <c r="Z3161" s="204"/>
      <c r="AA3161" s="204"/>
      <c r="AB3161" s="204"/>
      <c r="AC3161" s="204"/>
    </row>
    <row r="3162" spans="1:29">
      <c r="A3162" s="204"/>
      <c r="B3162" s="204"/>
      <c r="C3162" s="204"/>
      <c r="D3162" s="204"/>
      <c r="E3162" s="204"/>
      <c r="F3162" s="204"/>
      <c r="G3162" s="204"/>
      <c r="H3162" s="204"/>
      <c r="I3162" s="204"/>
      <c r="J3162" s="204"/>
      <c r="K3162" s="204"/>
      <c r="L3162" s="205"/>
      <c r="M3162" s="205"/>
      <c r="N3162" s="204"/>
      <c r="O3162" s="204"/>
      <c r="P3162" s="206"/>
      <c r="Q3162" s="206"/>
      <c r="R3162" s="206"/>
      <c r="S3162" s="206"/>
      <c r="T3162" s="204"/>
      <c r="U3162" s="207"/>
      <c r="V3162" s="204"/>
      <c r="W3162" s="204"/>
      <c r="X3162" s="207"/>
      <c r="Y3162" s="207"/>
      <c r="Z3162" s="204"/>
      <c r="AA3162" s="204"/>
      <c r="AB3162" s="204"/>
      <c r="AC3162" s="204"/>
    </row>
    <row r="3163" spans="1:29">
      <c r="A3163" s="204"/>
      <c r="B3163" s="204"/>
      <c r="C3163" s="204"/>
      <c r="D3163" s="204"/>
      <c r="E3163" s="204"/>
      <c r="F3163" s="204"/>
      <c r="G3163" s="204"/>
      <c r="H3163" s="204"/>
      <c r="I3163" s="204"/>
      <c r="J3163" s="204"/>
      <c r="K3163" s="204"/>
      <c r="L3163" s="205"/>
      <c r="M3163" s="205"/>
      <c r="N3163" s="204"/>
      <c r="O3163" s="204"/>
      <c r="P3163" s="206"/>
      <c r="Q3163" s="206"/>
      <c r="R3163" s="206"/>
      <c r="S3163" s="206"/>
      <c r="T3163" s="204"/>
      <c r="U3163" s="207"/>
      <c r="V3163" s="204"/>
      <c r="W3163" s="204"/>
      <c r="X3163" s="207"/>
      <c r="Y3163" s="207"/>
      <c r="Z3163" s="204"/>
      <c r="AA3163" s="204"/>
      <c r="AB3163" s="204"/>
      <c r="AC3163" s="204"/>
    </row>
    <row r="3164" spans="1:29">
      <c r="A3164" s="204"/>
      <c r="B3164" s="204"/>
      <c r="C3164" s="204"/>
      <c r="D3164" s="204"/>
      <c r="E3164" s="204"/>
      <c r="F3164" s="204"/>
      <c r="G3164" s="204"/>
      <c r="H3164" s="204"/>
      <c r="I3164" s="204"/>
      <c r="J3164" s="204"/>
      <c r="K3164" s="204"/>
      <c r="L3164" s="205"/>
      <c r="M3164" s="205"/>
      <c r="N3164" s="204"/>
      <c r="O3164" s="204"/>
      <c r="P3164" s="206"/>
      <c r="Q3164" s="206"/>
      <c r="R3164" s="206"/>
      <c r="S3164" s="206"/>
      <c r="T3164" s="204"/>
      <c r="U3164" s="207"/>
      <c r="V3164" s="204"/>
      <c r="W3164" s="204"/>
      <c r="X3164" s="207"/>
      <c r="Y3164" s="207"/>
      <c r="Z3164" s="204"/>
      <c r="AA3164" s="204"/>
      <c r="AB3164" s="204"/>
      <c r="AC3164" s="204"/>
    </row>
    <row r="3165" spans="1:29">
      <c r="A3165" s="204"/>
      <c r="B3165" s="204"/>
      <c r="C3165" s="204"/>
      <c r="D3165" s="204"/>
      <c r="E3165" s="204"/>
      <c r="F3165" s="204"/>
      <c r="G3165" s="204"/>
      <c r="H3165" s="204"/>
      <c r="I3165" s="204"/>
      <c r="J3165" s="204"/>
      <c r="K3165" s="204"/>
      <c r="L3165" s="205"/>
      <c r="M3165" s="205"/>
      <c r="N3165" s="204"/>
      <c r="O3165" s="204"/>
      <c r="P3165" s="206"/>
      <c r="Q3165" s="206"/>
      <c r="R3165" s="206"/>
      <c r="S3165" s="206"/>
      <c r="T3165" s="204"/>
      <c r="U3165" s="207"/>
      <c r="V3165" s="204"/>
      <c r="W3165" s="204"/>
      <c r="X3165" s="207"/>
      <c r="Y3165" s="207"/>
      <c r="Z3165" s="204"/>
      <c r="AA3165" s="204"/>
      <c r="AB3165" s="204"/>
      <c r="AC3165" s="204"/>
    </row>
    <row r="3166" spans="1:29">
      <c r="A3166" s="204"/>
      <c r="B3166" s="204"/>
      <c r="C3166" s="204"/>
      <c r="D3166" s="204"/>
      <c r="E3166" s="204"/>
      <c r="F3166" s="204"/>
      <c r="G3166" s="204"/>
      <c r="H3166" s="204"/>
      <c r="I3166" s="204"/>
      <c r="J3166" s="204"/>
      <c r="K3166" s="204"/>
      <c r="L3166" s="205"/>
      <c r="M3166" s="205"/>
      <c r="N3166" s="204"/>
      <c r="O3166" s="204"/>
      <c r="P3166" s="206"/>
      <c r="Q3166" s="206"/>
      <c r="R3166" s="206"/>
      <c r="S3166" s="206"/>
      <c r="T3166" s="204"/>
      <c r="U3166" s="207"/>
      <c r="V3166" s="204"/>
      <c r="W3166" s="204"/>
      <c r="X3166" s="207"/>
      <c r="Y3166" s="207"/>
      <c r="Z3166" s="204"/>
      <c r="AA3166" s="204"/>
      <c r="AB3166" s="204"/>
      <c r="AC3166" s="204"/>
    </row>
    <row r="3167" spans="1:29">
      <c r="A3167" s="204"/>
      <c r="B3167" s="204"/>
      <c r="C3167" s="204"/>
      <c r="D3167" s="204"/>
      <c r="E3167" s="204"/>
      <c r="F3167" s="204"/>
      <c r="G3167" s="204"/>
      <c r="H3167" s="204"/>
      <c r="I3167" s="204"/>
      <c r="J3167" s="204"/>
      <c r="K3167" s="204"/>
      <c r="L3167" s="205"/>
      <c r="M3167" s="205"/>
      <c r="N3167" s="204"/>
      <c r="O3167" s="204"/>
      <c r="P3167" s="206"/>
      <c r="Q3167" s="206"/>
      <c r="R3167" s="206"/>
      <c r="S3167" s="206"/>
      <c r="T3167" s="204"/>
      <c r="U3167" s="207"/>
      <c r="V3167" s="204"/>
      <c r="W3167" s="204"/>
      <c r="X3167" s="207"/>
      <c r="Y3167" s="207"/>
      <c r="Z3167" s="204"/>
      <c r="AA3167" s="204"/>
      <c r="AB3167" s="204"/>
      <c r="AC3167" s="204"/>
    </row>
    <row r="3168" spans="1:29">
      <c r="A3168" s="204"/>
      <c r="B3168" s="204"/>
      <c r="C3168" s="204"/>
      <c r="D3168" s="204"/>
      <c r="E3168" s="204"/>
      <c r="F3168" s="204"/>
      <c r="G3168" s="204"/>
      <c r="H3168" s="204"/>
      <c r="I3168" s="204"/>
      <c r="J3168" s="204"/>
      <c r="K3168" s="204"/>
      <c r="L3168" s="205"/>
      <c r="M3168" s="205"/>
      <c r="N3168" s="204"/>
      <c r="O3168" s="204"/>
      <c r="P3168" s="206"/>
      <c r="Q3168" s="206"/>
      <c r="R3168" s="206"/>
      <c r="S3168" s="206"/>
      <c r="T3168" s="204"/>
      <c r="U3168" s="207"/>
      <c r="V3168" s="204"/>
      <c r="W3168" s="204"/>
      <c r="X3168" s="207"/>
      <c r="Y3168" s="207"/>
      <c r="Z3168" s="204"/>
      <c r="AA3168" s="204"/>
      <c r="AB3168" s="204"/>
      <c r="AC3168" s="204"/>
    </row>
    <row r="3169" spans="1:29">
      <c r="A3169" s="204"/>
      <c r="B3169" s="204"/>
      <c r="C3169" s="204"/>
      <c r="D3169" s="204"/>
      <c r="E3169" s="204"/>
      <c r="F3169" s="204"/>
      <c r="G3169" s="204"/>
      <c r="H3169" s="204"/>
      <c r="I3169" s="204"/>
      <c r="J3169" s="204"/>
      <c r="K3169" s="204"/>
      <c r="L3169" s="205"/>
      <c r="M3169" s="205"/>
      <c r="N3169" s="204"/>
      <c r="O3169" s="204"/>
      <c r="P3169" s="206"/>
      <c r="Q3169" s="206"/>
      <c r="R3169" s="206"/>
      <c r="S3169" s="206"/>
      <c r="T3169" s="204"/>
      <c r="U3169" s="207"/>
      <c r="V3169" s="204"/>
      <c r="W3169" s="204"/>
      <c r="X3169" s="207"/>
      <c r="Y3169" s="207"/>
      <c r="Z3169" s="204"/>
      <c r="AA3169" s="204"/>
      <c r="AB3169" s="204"/>
      <c r="AC3169" s="204"/>
    </row>
    <row r="3170" spans="1:29">
      <c r="A3170" s="204"/>
      <c r="B3170" s="204"/>
      <c r="C3170" s="204"/>
      <c r="D3170" s="204"/>
      <c r="E3170" s="204"/>
      <c r="F3170" s="204"/>
      <c r="G3170" s="204"/>
      <c r="H3170" s="204"/>
      <c r="I3170" s="204"/>
      <c r="J3170" s="204"/>
      <c r="K3170" s="204"/>
      <c r="L3170" s="205"/>
      <c r="M3170" s="205"/>
      <c r="N3170" s="204"/>
      <c r="O3170" s="204"/>
      <c r="P3170" s="206"/>
      <c r="Q3170" s="206"/>
      <c r="R3170" s="206"/>
      <c r="S3170" s="206"/>
      <c r="T3170" s="204"/>
      <c r="U3170" s="207"/>
      <c r="V3170" s="204"/>
      <c r="W3170" s="204"/>
      <c r="X3170" s="207"/>
      <c r="Y3170" s="207"/>
      <c r="Z3170" s="204"/>
      <c r="AA3170" s="204"/>
      <c r="AB3170" s="204"/>
      <c r="AC3170" s="204"/>
    </row>
    <row r="3171" spans="1:29">
      <c r="A3171" s="204"/>
      <c r="B3171" s="204"/>
      <c r="C3171" s="204"/>
      <c r="D3171" s="204"/>
      <c r="E3171" s="204"/>
      <c r="F3171" s="204"/>
      <c r="G3171" s="204"/>
      <c r="H3171" s="204"/>
      <c r="I3171" s="204"/>
      <c r="J3171" s="204"/>
      <c r="K3171" s="204"/>
      <c r="L3171" s="205"/>
      <c r="M3171" s="205"/>
      <c r="N3171" s="204"/>
      <c r="O3171" s="204"/>
      <c r="P3171" s="206"/>
      <c r="Q3171" s="206"/>
      <c r="R3171" s="206"/>
      <c r="S3171" s="206"/>
      <c r="T3171" s="204"/>
      <c r="U3171" s="207"/>
      <c r="V3171" s="204"/>
      <c r="W3171" s="204"/>
      <c r="X3171" s="207"/>
      <c r="Y3171" s="207"/>
      <c r="Z3171" s="204"/>
      <c r="AA3171" s="204"/>
      <c r="AB3171" s="204"/>
      <c r="AC3171" s="204"/>
    </row>
    <row r="3172" spans="1:29">
      <c r="A3172" s="204"/>
      <c r="B3172" s="204"/>
      <c r="C3172" s="204"/>
      <c r="D3172" s="204"/>
      <c r="E3172" s="204"/>
      <c r="F3172" s="204"/>
      <c r="G3172" s="204"/>
      <c r="H3172" s="204"/>
      <c r="I3172" s="204"/>
      <c r="J3172" s="204"/>
      <c r="K3172" s="204"/>
      <c r="L3172" s="205"/>
      <c r="M3172" s="205"/>
      <c r="N3172" s="204"/>
      <c r="O3172" s="204"/>
      <c r="P3172" s="206"/>
      <c r="Q3172" s="206"/>
      <c r="R3172" s="206"/>
      <c r="S3172" s="206"/>
      <c r="T3172" s="204"/>
      <c r="U3172" s="207"/>
      <c r="V3172" s="204"/>
      <c r="W3172" s="204"/>
      <c r="X3172" s="207"/>
      <c r="Y3172" s="207"/>
      <c r="Z3172" s="204"/>
      <c r="AA3172" s="204"/>
      <c r="AB3172" s="204"/>
      <c r="AC3172" s="204"/>
    </row>
    <row r="3173" spans="1:29">
      <c r="A3173" s="204"/>
      <c r="B3173" s="204"/>
      <c r="C3173" s="204"/>
      <c r="D3173" s="204"/>
      <c r="E3173" s="204"/>
      <c r="F3173" s="204"/>
      <c r="G3173" s="204"/>
      <c r="H3173" s="204"/>
      <c r="I3173" s="204"/>
      <c r="J3173" s="204"/>
      <c r="K3173" s="204"/>
      <c r="L3173" s="205"/>
      <c r="M3173" s="205"/>
      <c r="N3173" s="204"/>
      <c r="O3173" s="204"/>
      <c r="P3173" s="206"/>
      <c r="Q3173" s="206"/>
      <c r="R3173" s="206"/>
      <c r="S3173" s="206"/>
      <c r="T3173" s="204"/>
      <c r="U3173" s="207"/>
      <c r="V3173" s="204"/>
      <c r="W3173" s="204"/>
      <c r="X3173" s="207"/>
      <c r="Y3173" s="207"/>
      <c r="Z3173" s="204"/>
      <c r="AA3173" s="204"/>
      <c r="AB3173" s="204"/>
      <c r="AC3173" s="204"/>
    </row>
    <row r="3174" spans="1:29">
      <c r="A3174" s="204"/>
      <c r="B3174" s="204"/>
      <c r="C3174" s="204"/>
      <c r="D3174" s="204"/>
      <c r="E3174" s="204"/>
      <c r="F3174" s="204"/>
      <c r="G3174" s="204"/>
      <c r="H3174" s="204"/>
      <c r="I3174" s="204"/>
      <c r="J3174" s="204"/>
      <c r="K3174" s="204"/>
      <c r="L3174" s="205"/>
      <c r="M3174" s="205"/>
      <c r="N3174" s="204"/>
      <c r="O3174" s="204"/>
      <c r="P3174" s="206"/>
      <c r="Q3174" s="206"/>
      <c r="R3174" s="206"/>
      <c r="S3174" s="206"/>
      <c r="T3174" s="204"/>
      <c r="U3174" s="207"/>
      <c r="V3174" s="204"/>
      <c r="W3174" s="204"/>
      <c r="X3174" s="207"/>
      <c r="Y3174" s="207"/>
      <c r="Z3174" s="204"/>
      <c r="AA3174" s="204"/>
      <c r="AB3174" s="204"/>
      <c r="AC3174" s="204"/>
    </row>
    <row r="3175" spans="1:29">
      <c r="A3175" s="204"/>
      <c r="B3175" s="204"/>
      <c r="C3175" s="204"/>
      <c r="D3175" s="204"/>
      <c r="E3175" s="204"/>
      <c r="F3175" s="204"/>
      <c r="G3175" s="204"/>
      <c r="H3175" s="204"/>
      <c r="I3175" s="204"/>
      <c r="J3175" s="204"/>
      <c r="K3175" s="204"/>
      <c r="L3175" s="205"/>
      <c r="M3175" s="205"/>
      <c r="N3175" s="204"/>
      <c r="O3175" s="204"/>
      <c r="P3175" s="206"/>
      <c r="Q3175" s="206"/>
      <c r="R3175" s="206"/>
      <c r="S3175" s="206"/>
      <c r="T3175" s="204"/>
      <c r="U3175" s="207"/>
      <c r="V3175" s="204"/>
      <c r="W3175" s="204"/>
      <c r="X3175" s="207"/>
      <c r="Y3175" s="207"/>
      <c r="Z3175" s="204"/>
      <c r="AA3175" s="204"/>
      <c r="AB3175" s="204"/>
      <c r="AC3175" s="204"/>
    </row>
    <row r="3176" spans="1:29">
      <c r="A3176" s="204"/>
      <c r="B3176" s="204"/>
      <c r="C3176" s="204"/>
      <c r="D3176" s="204"/>
      <c r="E3176" s="204"/>
      <c r="F3176" s="204"/>
      <c r="G3176" s="204"/>
      <c r="H3176" s="204"/>
      <c r="I3176" s="204"/>
      <c r="J3176" s="204"/>
      <c r="K3176" s="204"/>
      <c r="L3176" s="205"/>
      <c r="M3176" s="205"/>
      <c r="N3176" s="204"/>
      <c r="O3176" s="204"/>
      <c r="P3176" s="206"/>
      <c r="Q3176" s="206"/>
      <c r="R3176" s="206"/>
      <c r="S3176" s="206"/>
      <c r="T3176" s="204"/>
      <c r="U3176" s="207"/>
      <c r="V3176" s="204"/>
      <c r="W3176" s="204"/>
      <c r="X3176" s="207"/>
      <c r="Y3176" s="207"/>
      <c r="Z3176" s="204"/>
      <c r="AA3176" s="204"/>
      <c r="AB3176" s="204"/>
      <c r="AC3176" s="204"/>
    </row>
    <row r="3177" spans="1:29">
      <c r="A3177" s="204"/>
      <c r="B3177" s="204"/>
      <c r="C3177" s="204"/>
      <c r="D3177" s="204"/>
      <c r="E3177" s="204"/>
      <c r="F3177" s="204"/>
      <c r="G3177" s="204"/>
      <c r="H3177" s="204"/>
      <c r="I3177" s="204"/>
      <c r="J3177" s="204"/>
      <c r="K3177" s="204"/>
      <c r="L3177" s="205"/>
      <c r="M3177" s="205"/>
      <c r="N3177" s="204"/>
      <c r="O3177" s="204"/>
      <c r="P3177" s="206"/>
      <c r="Q3177" s="206"/>
      <c r="R3177" s="206"/>
      <c r="S3177" s="206"/>
      <c r="T3177" s="204"/>
      <c r="U3177" s="207"/>
      <c r="V3177" s="204"/>
      <c r="W3177" s="204"/>
      <c r="X3177" s="207"/>
      <c r="Y3177" s="207"/>
      <c r="Z3177" s="204"/>
      <c r="AA3177" s="204"/>
      <c r="AB3177" s="204"/>
      <c r="AC3177" s="204"/>
    </row>
    <row r="3178" spans="1:29">
      <c r="A3178" s="204"/>
      <c r="B3178" s="204"/>
      <c r="C3178" s="204"/>
      <c r="D3178" s="204"/>
      <c r="E3178" s="204"/>
      <c r="F3178" s="204"/>
      <c r="G3178" s="204"/>
      <c r="H3178" s="204"/>
      <c r="I3178" s="204"/>
      <c r="J3178" s="204"/>
      <c r="K3178" s="204"/>
      <c r="L3178" s="205"/>
      <c r="M3178" s="205"/>
      <c r="N3178" s="204"/>
      <c r="O3178" s="204"/>
      <c r="P3178" s="206"/>
      <c r="Q3178" s="206"/>
      <c r="R3178" s="206"/>
      <c r="S3178" s="206"/>
      <c r="T3178" s="204"/>
      <c r="U3178" s="207"/>
      <c r="V3178" s="204"/>
      <c r="W3178" s="204"/>
      <c r="X3178" s="207"/>
      <c r="Y3178" s="207"/>
      <c r="Z3178" s="204"/>
      <c r="AA3178" s="204"/>
      <c r="AB3178" s="204"/>
      <c r="AC3178" s="204"/>
    </row>
    <row r="3179" spans="1:29">
      <c r="A3179" s="204"/>
      <c r="B3179" s="204"/>
      <c r="C3179" s="204"/>
      <c r="D3179" s="204"/>
      <c r="E3179" s="204"/>
      <c r="F3179" s="204"/>
      <c r="G3179" s="204"/>
      <c r="H3179" s="204"/>
      <c r="I3179" s="204"/>
      <c r="J3179" s="204"/>
      <c r="K3179" s="204"/>
      <c r="L3179" s="205"/>
      <c r="M3179" s="205"/>
      <c r="N3179" s="204"/>
      <c r="O3179" s="204"/>
      <c r="P3179" s="206"/>
      <c r="Q3179" s="206"/>
      <c r="R3179" s="206"/>
      <c r="S3179" s="206"/>
      <c r="T3179" s="204"/>
      <c r="U3179" s="207"/>
      <c r="V3179" s="204"/>
      <c r="W3179" s="204"/>
      <c r="X3179" s="207"/>
      <c r="Y3179" s="207"/>
      <c r="Z3179" s="204"/>
      <c r="AA3179" s="204"/>
      <c r="AB3179" s="204"/>
      <c r="AC3179" s="204"/>
    </row>
    <row r="3180" spans="1:29">
      <c r="A3180" s="204"/>
      <c r="B3180" s="204"/>
      <c r="C3180" s="204"/>
      <c r="D3180" s="204"/>
      <c r="E3180" s="204"/>
      <c r="F3180" s="204"/>
      <c r="G3180" s="204"/>
      <c r="H3180" s="204"/>
      <c r="I3180" s="204"/>
      <c r="J3180" s="204"/>
      <c r="K3180" s="204"/>
      <c r="L3180" s="205"/>
      <c r="M3180" s="205"/>
      <c r="N3180" s="204"/>
      <c r="O3180" s="204"/>
      <c r="P3180" s="206"/>
      <c r="Q3180" s="206"/>
      <c r="R3180" s="206"/>
      <c r="S3180" s="206"/>
      <c r="T3180" s="204"/>
      <c r="U3180" s="207"/>
      <c r="V3180" s="204"/>
      <c r="W3180" s="204"/>
      <c r="X3180" s="207"/>
      <c r="Y3180" s="207"/>
      <c r="Z3180" s="204"/>
      <c r="AA3180" s="204"/>
      <c r="AB3180" s="204"/>
      <c r="AC3180" s="204"/>
    </row>
    <row r="3181" spans="1:29">
      <c r="A3181" s="204"/>
      <c r="B3181" s="204"/>
      <c r="C3181" s="204"/>
      <c r="D3181" s="204"/>
      <c r="E3181" s="204"/>
      <c r="F3181" s="204"/>
      <c r="G3181" s="204"/>
      <c r="H3181" s="204"/>
      <c r="I3181" s="204"/>
      <c r="J3181" s="204"/>
      <c r="K3181" s="204"/>
      <c r="L3181" s="205"/>
      <c r="M3181" s="205"/>
      <c r="N3181" s="204"/>
      <c r="O3181" s="204"/>
      <c r="P3181" s="206"/>
      <c r="Q3181" s="206"/>
      <c r="R3181" s="206"/>
      <c r="S3181" s="206"/>
      <c r="T3181" s="204"/>
      <c r="U3181" s="207"/>
      <c r="V3181" s="204"/>
      <c r="W3181" s="204"/>
      <c r="X3181" s="207"/>
      <c r="Y3181" s="207"/>
      <c r="Z3181" s="204"/>
      <c r="AA3181" s="204"/>
      <c r="AB3181" s="204"/>
      <c r="AC3181" s="204"/>
    </row>
    <row r="3182" spans="1:29">
      <c r="A3182" s="204"/>
      <c r="B3182" s="204"/>
      <c r="C3182" s="204"/>
      <c r="D3182" s="204"/>
      <c r="E3182" s="204"/>
      <c r="F3182" s="204"/>
      <c r="G3182" s="204"/>
      <c r="H3182" s="204"/>
      <c r="I3182" s="204"/>
      <c r="J3182" s="204"/>
      <c r="K3182" s="204"/>
      <c r="L3182" s="205"/>
      <c r="M3182" s="205"/>
      <c r="N3182" s="204"/>
      <c r="O3182" s="204"/>
      <c r="P3182" s="206"/>
      <c r="Q3182" s="206"/>
      <c r="R3182" s="206"/>
      <c r="S3182" s="206"/>
      <c r="T3182" s="204"/>
      <c r="U3182" s="207"/>
      <c r="V3182" s="204"/>
      <c r="W3182" s="204"/>
      <c r="X3182" s="207"/>
      <c r="Y3182" s="207"/>
      <c r="Z3182" s="204"/>
      <c r="AA3182" s="204"/>
      <c r="AB3182" s="204"/>
      <c r="AC3182" s="204"/>
    </row>
    <row r="3183" spans="1:29">
      <c r="A3183" s="204"/>
      <c r="B3183" s="204"/>
      <c r="C3183" s="204"/>
      <c r="D3183" s="204"/>
      <c r="E3183" s="204"/>
      <c r="F3183" s="204"/>
      <c r="G3183" s="204"/>
      <c r="H3183" s="204"/>
      <c r="I3183" s="204"/>
      <c r="J3183" s="204"/>
      <c r="K3183" s="204"/>
      <c r="L3183" s="205"/>
      <c r="M3183" s="205"/>
      <c r="N3183" s="204"/>
      <c r="O3183" s="204"/>
      <c r="P3183" s="206"/>
      <c r="Q3183" s="206"/>
      <c r="R3183" s="206"/>
      <c r="S3183" s="206"/>
      <c r="T3183" s="204"/>
      <c r="U3183" s="207"/>
      <c r="V3183" s="204"/>
      <c r="W3183" s="204"/>
      <c r="X3183" s="207"/>
      <c r="Y3183" s="207"/>
      <c r="Z3183" s="204"/>
      <c r="AA3183" s="204"/>
      <c r="AB3183" s="204"/>
      <c r="AC3183" s="204"/>
    </row>
    <row r="3184" spans="1:29">
      <c r="A3184" s="204"/>
      <c r="B3184" s="204"/>
      <c r="C3184" s="204"/>
      <c r="D3184" s="204"/>
      <c r="E3184" s="204"/>
      <c r="F3184" s="204"/>
      <c r="G3184" s="204"/>
      <c r="H3184" s="204"/>
      <c r="I3184" s="204"/>
      <c r="J3184" s="204"/>
      <c r="K3184" s="204"/>
      <c r="L3184" s="205"/>
      <c r="M3184" s="205"/>
      <c r="N3184" s="204"/>
      <c r="O3184" s="204"/>
      <c r="P3184" s="206"/>
      <c r="Q3184" s="206"/>
      <c r="R3184" s="206"/>
      <c r="S3184" s="206"/>
      <c r="T3184" s="204"/>
      <c r="U3184" s="207"/>
      <c r="V3184" s="204"/>
      <c r="W3184" s="204"/>
      <c r="X3184" s="207"/>
      <c r="Y3184" s="207"/>
      <c r="Z3184" s="204"/>
      <c r="AA3184" s="204"/>
      <c r="AB3184" s="204"/>
      <c r="AC3184" s="204"/>
    </row>
    <row r="3185" spans="1:29">
      <c r="A3185" s="204"/>
      <c r="B3185" s="204"/>
      <c r="C3185" s="204"/>
      <c r="D3185" s="204"/>
      <c r="E3185" s="204"/>
      <c r="F3185" s="204"/>
      <c r="G3185" s="204"/>
      <c r="H3185" s="204"/>
      <c r="I3185" s="204"/>
      <c r="J3185" s="204"/>
      <c r="K3185" s="204"/>
      <c r="L3185" s="205"/>
      <c r="M3185" s="205"/>
      <c r="N3185" s="204"/>
      <c r="O3185" s="204"/>
      <c r="P3185" s="206"/>
      <c r="Q3185" s="206"/>
      <c r="R3185" s="206"/>
      <c r="S3185" s="206"/>
      <c r="T3185" s="204"/>
      <c r="U3185" s="207"/>
      <c r="V3185" s="204"/>
      <c r="W3185" s="204"/>
      <c r="X3185" s="207"/>
      <c r="Y3185" s="207"/>
      <c r="Z3185" s="204"/>
      <c r="AA3185" s="204"/>
      <c r="AB3185" s="204"/>
      <c r="AC3185" s="204"/>
    </row>
    <row r="3186" spans="1:29">
      <c r="A3186" s="204"/>
      <c r="B3186" s="204"/>
      <c r="C3186" s="204"/>
      <c r="D3186" s="204"/>
      <c r="E3186" s="204"/>
      <c r="F3186" s="204"/>
      <c r="G3186" s="204"/>
      <c r="H3186" s="204"/>
      <c r="I3186" s="204"/>
      <c r="J3186" s="204"/>
      <c r="K3186" s="204"/>
      <c r="L3186" s="205"/>
      <c r="M3186" s="205"/>
      <c r="N3186" s="204"/>
      <c r="O3186" s="204"/>
      <c r="P3186" s="206"/>
      <c r="Q3186" s="206"/>
      <c r="R3186" s="206"/>
      <c r="S3186" s="206"/>
      <c r="T3186" s="204"/>
      <c r="U3186" s="207"/>
      <c r="V3186" s="204"/>
      <c r="W3186" s="204"/>
      <c r="X3186" s="207"/>
      <c r="Y3186" s="207"/>
      <c r="Z3186" s="204"/>
      <c r="AA3186" s="204"/>
      <c r="AB3186" s="204"/>
      <c r="AC3186" s="204"/>
    </row>
    <row r="3187" spans="1:29">
      <c r="A3187" s="204"/>
      <c r="B3187" s="204"/>
      <c r="C3187" s="204"/>
      <c r="D3187" s="204"/>
      <c r="E3187" s="204"/>
      <c r="F3187" s="204"/>
      <c r="G3187" s="204"/>
      <c r="H3187" s="204"/>
      <c r="I3187" s="204"/>
      <c r="J3187" s="204"/>
      <c r="K3187" s="204"/>
      <c r="L3187" s="205"/>
      <c r="M3187" s="205"/>
      <c r="N3187" s="204"/>
      <c r="O3187" s="204"/>
      <c r="P3187" s="206"/>
      <c r="Q3187" s="206"/>
      <c r="R3187" s="206"/>
      <c r="S3187" s="206"/>
      <c r="T3187" s="204"/>
      <c r="U3187" s="207"/>
      <c r="V3187" s="204"/>
      <c r="W3187" s="204"/>
      <c r="X3187" s="207"/>
      <c r="Y3187" s="207"/>
      <c r="Z3187" s="204"/>
      <c r="AA3187" s="204"/>
      <c r="AB3187" s="204"/>
      <c r="AC3187" s="204"/>
    </row>
    <row r="3188" spans="1:29">
      <c r="A3188" s="204"/>
      <c r="B3188" s="204"/>
      <c r="C3188" s="204"/>
      <c r="D3188" s="204"/>
      <c r="E3188" s="204"/>
      <c r="F3188" s="204"/>
      <c r="G3188" s="204"/>
      <c r="H3188" s="204"/>
      <c r="I3188" s="204"/>
      <c r="J3188" s="204"/>
      <c r="K3188" s="204"/>
      <c r="L3188" s="205"/>
      <c r="M3188" s="205"/>
      <c r="N3188" s="204"/>
      <c r="O3188" s="204"/>
      <c r="P3188" s="206"/>
      <c r="Q3188" s="206"/>
      <c r="R3188" s="206"/>
      <c r="S3188" s="206"/>
      <c r="T3188" s="204"/>
      <c r="U3188" s="207"/>
      <c r="V3188" s="204"/>
      <c r="W3188" s="204"/>
      <c r="X3188" s="207"/>
      <c r="Y3188" s="207"/>
      <c r="Z3188" s="204"/>
      <c r="AA3188" s="204"/>
      <c r="AB3188" s="204"/>
      <c r="AC3188" s="204"/>
    </row>
    <row r="3189" spans="1:29">
      <c r="A3189" s="204"/>
      <c r="B3189" s="204"/>
      <c r="C3189" s="204"/>
      <c r="D3189" s="204"/>
      <c r="E3189" s="204"/>
      <c r="F3189" s="204"/>
      <c r="G3189" s="204"/>
      <c r="H3189" s="204"/>
      <c r="I3189" s="204"/>
      <c r="J3189" s="204"/>
      <c r="K3189" s="204"/>
      <c r="L3189" s="205"/>
      <c r="M3189" s="205"/>
      <c r="N3189" s="204"/>
      <c r="O3189" s="204"/>
      <c r="P3189" s="206"/>
      <c r="Q3189" s="206"/>
      <c r="R3189" s="206"/>
      <c r="S3189" s="206"/>
      <c r="T3189" s="204"/>
      <c r="U3189" s="207"/>
      <c r="V3189" s="204"/>
      <c r="W3189" s="204"/>
      <c r="X3189" s="207"/>
      <c r="Y3189" s="207"/>
      <c r="Z3189" s="204"/>
      <c r="AA3189" s="204"/>
      <c r="AB3189" s="204"/>
      <c r="AC3189" s="204"/>
    </row>
    <row r="3190" spans="1:29">
      <c r="A3190" s="204"/>
      <c r="B3190" s="204"/>
      <c r="C3190" s="204"/>
      <c r="D3190" s="204"/>
      <c r="E3190" s="204"/>
      <c r="F3190" s="204"/>
      <c r="G3190" s="204"/>
      <c r="H3190" s="204"/>
      <c r="I3190" s="204"/>
      <c r="J3190" s="204"/>
      <c r="K3190" s="204"/>
      <c r="L3190" s="205"/>
      <c r="M3190" s="205"/>
      <c r="N3190" s="204"/>
      <c r="O3190" s="204"/>
      <c r="P3190" s="206"/>
      <c r="Q3190" s="206"/>
      <c r="R3190" s="206"/>
      <c r="S3190" s="206"/>
      <c r="T3190" s="204"/>
      <c r="U3190" s="207"/>
      <c r="V3190" s="204"/>
      <c r="W3190" s="204"/>
      <c r="X3190" s="207"/>
      <c r="Y3190" s="207"/>
      <c r="Z3190" s="204"/>
      <c r="AA3190" s="204"/>
      <c r="AB3190" s="204"/>
      <c r="AC3190" s="204"/>
    </row>
    <row r="3191" spans="1:29">
      <c r="A3191" s="204"/>
      <c r="B3191" s="204"/>
      <c r="C3191" s="204"/>
      <c r="D3191" s="204"/>
      <c r="E3191" s="204"/>
      <c r="F3191" s="204"/>
      <c r="G3191" s="204"/>
      <c r="H3191" s="204"/>
      <c r="I3191" s="204"/>
      <c r="J3191" s="204"/>
      <c r="K3191" s="204"/>
      <c r="L3191" s="205"/>
      <c r="M3191" s="205"/>
      <c r="N3191" s="204"/>
      <c r="O3191" s="204"/>
      <c r="P3191" s="206"/>
      <c r="Q3191" s="206"/>
      <c r="R3191" s="206"/>
      <c r="S3191" s="206"/>
      <c r="T3191" s="204"/>
      <c r="U3191" s="207"/>
      <c r="V3191" s="204"/>
      <c r="W3191" s="204"/>
      <c r="X3191" s="207"/>
      <c r="Y3191" s="207"/>
      <c r="Z3191" s="204"/>
      <c r="AA3191" s="204"/>
      <c r="AB3191" s="204"/>
      <c r="AC3191" s="204"/>
    </row>
    <row r="3192" spans="1:29">
      <c r="A3192" s="204"/>
      <c r="B3192" s="204"/>
      <c r="C3192" s="204"/>
      <c r="D3192" s="204"/>
      <c r="E3192" s="204"/>
      <c r="F3192" s="204"/>
      <c r="G3192" s="204"/>
      <c r="H3192" s="204"/>
      <c r="I3192" s="204"/>
      <c r="J3192" s="204"/>
      <c r="K3192" s="204"/>
      <c r="L3192" s="205"/>
      <c r="M3192" s="205"/>
      <c r="N3192" s="204"/>
      <c r="O3192" s="204"/>
      <c r="P3192" s="206"/>
      <c r="Q3192" s="206"/>
      <c r="R3192" s="206"/>
      <c r="S3192" s="206"/>
      <c r="T3192" s="204"/>
      <c r="U3192" s="207"/>
      <c r="V3192" s="204"/>
      <c r="W3192" s="204"/>
      <c r="X3192" s="207"/>
      <c r="Y3192" s="207"/>
      <c r="Z3192" s="204"/>
      <c r="AA3192" s="204"/>
      <c r="AB3192" s="204"/>
      <c r="AC3192" s="204"/>
    </row>
    <row r="3193" spans="1:29">
      <c r="A3193" s="204"/>
      <c r="B3193" s="204"/>
      <c r="C3193" s="204"/>
      <c r="D3193" s="204"/>
      <c r="E3193" s="204"/>
      <c r="F3193" s="204"/>
      <c r="G3193" s="204"/>
      <c r="H3193" s="204"/>
      <c r="I3193" s="204"/>
      <c r="J3193" s="204"/>
      <c r="K3193" s="204"/>
      <c r="L3193" s="205"/>
      <c r="M3193" s="205"/>
      <c r="N3193" s="204"/>
      <c r="O3193" s="204"/>
      <c r="P3193" s="206"/>
      <c r="Q3193" s="206"/>
      <c r="R3193" s="206"/>
      <c r="S3193" s="206"/>
      <c r="T3193" s="204"/>
      <c r="U3193" s="207"/>
      <c r="V3193" s="204"/>
      <c r="W3193" s="204"/>
      <c r="X3193" s="207"/>
      <c r="Y3193" s="207"/>
      <c r="Z3193" s="204"/>
      <c r="AA3193" s="204"/>
      <c r="AB3193" s="204"/>
      <c r="AC3193" s="204"/>
    </row>
    <row r="3194" spans="1:29">
      <c r="A3194" s="204"/>
      <c r="B3194" s="204"/>
      <c r="C3194" s="204"/>
      <c r="D3194" s="204"/>
      <c r="E3194" s="204"/>
      <c r="F3194" s="204"/>
      <c r="G3194" s="204"/>
      <c r="H3194" s="204"/>
      <c r="I3194" s="204"/>
      <c r="J3194" s="204"/>
      <c r="K3194" s="204"/>
      <c r="L3194" s="205"/>
      <c r="M3194" s="205"/>
      <c r="N3194" s="204"/>
      <c r="O3194" s="204"/>
      <c r="P3194" s="206"/>
      <c r="Q3194" s="206"/>
      <c r="R3194" s="206"/>
      <c r="S3194" s="206"/>
      <c r="T3194" s="204"/>
      <c r="U3194" s="207"/>
      <c r="V3194" s="204"/>
      <c r="W3194" s="204"/>
      <c r="X3194" s="207"/>
      <c r="Y3194" s="207"/>
      <c r="Z3194" s="204"/>
      <c r="AA3194" s="204"/>
      <c r="AB3194" s="204"/>
      <c r="AC3194" s="204"/>
    </row>
    <row r="3195" spans="1:29">
      <c r="A3195" s="204"/>
      <c r="B3195" s="204"/>
      <c r="C3195" s="204"/>
      <c r="D3195" s="204"/>
      <c r="E3195" s="204"/>
      <c r="F3195" s="204"/>
      <c r="G3195" s="204"/>
      <c r="H3195" s="204"/>
      <c r="I3195" s="204"/>
      <c r="J3195" s="204"/>
      <c r="K3195" s="204"/>
      <c r="L3195" s="205"/>
      <c r="M3195" s="205"/>
      <c r="N3195" s="204"/>
      <c r="O3195" s="204"/>
      <c r="P3195" s="206"/>
      <c r="Q3195" s="206"/>
      <c r="R3195" s="206"/>
      <c r="S3195" s="206"/>
      <c r="T3195" s="204"/>
      <c r="U3195" s="207"/>
      <c r="V3195" s="204"/>
      <c r="W3195" s="204"/>
      <c r="X3195" s="207"/>
      <c r="Y3195" s="207"/>
      <c r="Z3195" s="204"/>
      <c r="AA3195" s="204"/>
      <c r="AB3195" s="204"/>
      <c r="AC3195" s="204"/>
    </row>
    <row r="3196" spans="1:29">
      <c r="A3196" s="204"/>
      <c r="B3196" s="204"/>
      <c r="C3196" s="204"/>
      <c r="D3196" s="204"/>
      <c r="E3196" s="204"/>
      <c r="F3196" s="204"/>
      <c r="G3196" s="204"/>
      <c r="H3196" s="204"/>
      <c r="I3196" s="204"/>
      <c r="J3196" s="204"/>
      <c r="K3196" s="204"/>
      <c r="L3196" s="205"/>
      <c r="M3196" s="205"/>
      <c r="N3196" s="204"/>
      <c r="O3196" s="204"/>
      <c r="P3196" s="206"/>
      <c r="Q3196" s="206"/>
      <c r="R3196" s="206"/>
      <c r="S3196" s="206"/>
      <c r="T3196" s="204"/>
      <c r="U3196" s="207"/>
      <c r="V3196" s="204"/>
      <c r="W3196" s="204"/>
      <c r="X3196" s="207"/>
      <c r="Y3196" s="207"/>
      <c r="Z3196" s="204"/>
      <c r="AA3196" s="204"/>
      <c r="AB3196" s="204"/>
      <c r="AC3196" s="204"/>
    </row>
    <row r="3197" spans="1:29">
      <c r="A3197" s="204"/>
      <c r="B3197" s="204"/>
      <c r="C3197" s="204"/>
      <c r="D3197" s="204"/>
      <c r="E3197" s="204"/>
      <c r="F3197" s="204"/>
      <c r="G3197" s="204"/>
      <c r="H3197" s="204"/>
      <c r="I3197" s="204"/>
      <c r="J3197" s="204"/>
      <c r="K3197" s="204"/>
      <c r="L3197" s="205"/>
      <c r="M3197" s="205"/>
      <c r="N3197" s="204"/>
      <c r="O3197" s="204"/>
      <c r="P3197" s="206"/>
      <c r="Q3197" s="206"/>
      <c r="R3197" s="206"/>
      <c r="S3197" s="206"/>
      <c r="T3197" s="204"/>
      <c r="U3197" s="207"/>
      <c r="V3197" s="204"/>
      <c r="W3197" s="204"/>
      <c r="X3197" s="207"/>
      <c r="Y3197" s="207"/>
      <c r="Z3197" s="204"/>
      <c r="AA3197" s="204"/>
      <c r="AB3197" s="204"/>
      <c r="AC3197" s="204"/>
    </row>
    <row r="3198" spans="1:29">
      <c r="A3198" s="204"/>
      <c r="B3198" s="204"/>
      <c r="C3198" s="204"/>
      <c r="D3198" s="204"/>
      <c r="E3198" s="204"/>
      <c r="F3198" s="204"/>
      <c r="G3198" s="204"/>
      <c r="H3198" s="204"/>
      <c r="I3198" s="204"/>
      <c r="J3198" s="204"/>
      <c r="K3198" s="204"/>
      <c r="L3198" s="205"/>
      <c r="M3198" s="205"/>
      <c r="N3198" s="204"/>
      <c r="O3198" s="204"/>
      <c r="P3198" s="206"/>
      <c r="Q3198" s="206"/>
      <c r="R3198" s="206"/>
      <c r="S3198" s="206"/>
      <c r="T3198" s="204"/>
      <c r="U3198" s="207"/>
      <c r="V3198" s="204"/>
      <c r="W3198" s="204"/>
      <c r="X3198" s="207"/>
      <c r="Y3198" s="207"/>
      <c r="Z3198" s="204"/>
      <c r="AA3198" s="204"/>
      <c r="AB3198" s="204"/>
      <c r="AC3198" s="204"/>
    </row>
    <row r="3199" spans="1:29">
      <c r="A3199" s="204"/>
      <c r="B3199" s="204"/>
      <c r="C3199" s="204"/>
      <c r="D3199" s="204"/>
      <c r="E3199" s="204"/>
      <c r="F3199" s="204"/>
      <c r="G3199" s="204"/>
      <c r="H3199" s="204"/>
      <c r="I3199" s="204"/>
      <c r="J3199" s="204"/>
      <c r="K3199" s="204"/>
      <c r="L3199" s="205"/>
      <c r="M3199" s="205"/>
      <c r="N3199" s="204"/>
      <c r="O3199" s="204"/>
      <c r="P3199" s="206"/>
      <c r="Q3199" s="206"/>
      <c r="R3199" s="206"/>
      <c r="S3199" s="206"/>
      <c r="T3199" s="204"/>
      <c r="U3199" s="207"/>
      <c r="V3199" s="204"/>
      <c r="W3199" s="204"/>
      <c r="X3199" s="207"/>
      <c r="Y3199" s="207"/>
      <c r="Z3199" s="204"/>
      <c r="AA3199" s="204"/>
      <c r="AB3199" s="204"/>
      <c r="AC3199" s="204"/>
    </row>
    <row r="3200" spans="1:29">
      <c r="A3200" s="204"/>
      <c r="B3200" s="204"/>
      <c r="C3200" s="204"/>
      <c r="D3200" s="204"/>
      <c r="E3200" s="204"/>
      <c r="F3200" s="204"/>
      <c r="G3200" s="204"/>
      <c r="H3200" s="204"/>
      <c r="I3200" s="204"/>
      <c r="J3200" s="204"/>
      <c r="K3200" s="204"/>
      <c r="L3200" s="205"/>
      <c r="M3200" s="205"/>
      <c r="N3200" s="204"/>
      <c r="O3200" s="204"/>
      <c r="P3200" s="206"/>
      <c r="Q3200" s="206"/>
      <c r="R3200" s="206"/>
      <c r="S3200" s="206"/>
      <c r="T3200" s="204"/>
      <c r="U3200" s="207"/>
      <c r="V3200" s="204"/>
      <c r="W3200" s="204"/>
      <c r="X3200" s="207"/>
      <c r="Y3200" s="207"/>
      <c r="Z3200" s="204"/>
      <c r="AA3200" s="204"/>
      <c r="AB3200" s="204"/>
      <c r="AC3200" s="204"/>
    </row>
    <row r="3201" spans="1:29">
      <c r="A3201" s="204"/>
      <c r="B3201" s="204"/>
      <c r="C3201" s="204"/>
      <c r="D3201" s="204"/>
      <c r="E3201" s="204"/>
      <c r="F3201" s="204"/>
      <c r="G3201" s="204"/>
      <c r="H3201" s="204"/>
      <c r="I3201" s="204"/>
      <c r="J3201" s="204"/>
      <c r="K3201" s="204"/>
      <c r="L3201" s="205"/>
      <c r="M3201" s="205"/>
      <c r="N3201" s="204"/>
      <c r="O3201" s="204"/>
      <c r="P3201" s="206"/>
      <c r="Q3201" s="206"/>
      <c r="R3201" s="206"/>
      <c r="S3201" s="206"/>
      <c r="T3201" s="204"/>
      <c r="U3201" s="207"/>
      <c r="V3201" s="204"/>
      <c r="W3201" s="204"/>
      <c r="X3201" s="207"/>
      <c r="Y3201" s="207"/>
      <c r="Z3201" s="204"/>
      <c r="AA3201" s="204"/>
      <c r="AB3201" s="204"/>
      <c r="AC3201" s="204"/>
    </row>
    <row r="3202" spans="1:29">
      <c r="A3202" s="204"/>
      <c r="B3202" s="204"/>
      <c r="C3202" s="204"/>
      <c r="D3202" s="204"/>
      <c r="E3202" s="204"/>
      <c r="F3202" s="204"/>
      <c r="G3202" s="204"/>
      <c r="H3202" s="204"/>
      <c r="I3202" s="204"/>
      <c r="J3202" s="204"/>
      <c r="K3202" s="204"/>
      <c r="L3202" s="205"/>
      <c r="M3202" s="205"/>
      <c r="N3202" s="204"/>
      <c r="O3202" s="204"/>
      <c r="P3202" s="206"/>
      <c r="Q3202" s="206"/>
      <c r="R3202" s="206"/>
      <c r="S3202" s="206"/>
      <c r="T3202" s="204"/>
      <c r="U3202" s="207"/>
      <c r="V3202" s="204"/>
      <c r="W3202" s="204"/>
      <c r="X3202" s="207"/>
      <c r="Y3202" s="207"/>
      <c r="Z3202" s="204"/>
      <c r="AA3202" s="204"/>
      <c r="AB3202" s="204"/>
      <c r="AC3202" s="204"/>
    </row>
    <row r="3203" spans="1:29">
      <c r="A3203" s="204"/>
      <c r="B3203" s="204"/>
      <c r="C3203" s="204"/>
      <c r="D3203" s="204"/>
      <c r="E3203" s="204"/>
      <c r="F3203" s="204"/>
      <c r="G3203" s="204"/>
      <c r="H3203" s="204"/>
      <c r="I3203" s="204"/>
      <c r="J3203" s="204"/>
      <c r="K3203" s="204"/>
      <c r="L3203" s="205"/>
      <c r="M3203" s="205"/>
      <c r="N3203" s="204"/>
      <c r="O3203" s="204"/>
      <c r="P3203" s="206"/>
      <c r="Q3203" s="206"/>
      <c r="R3203" s="206"/>
      <c r="S3203" s="206"/>
      <c r="T3203" s="204"/>
      <c r="U3203" s="207"/>
      <c r="V3203" s="204"/>
      <c r="W3203" s="204"/>
      <c r="X3203" s="207"/>
      <c r="Y3203" s="207"/>
      <c r="Z3203" s="204"/>
      <c r="AA3203" s="204"/>
      <c r="AB3203" s="204"/>
      <c r="AC3203" s="204"/>
    </row>
    <row r="3204" spans="1:29">
      <c r="A3204" s="204"/>
      <c r="B3204" s="204"/>
      <c r="C3204" s="204"/>
      <c r="D3204" s="204"/>
      <c r="E3204" s="204"/>
      <c r="F3204" s="204"/>
      <c r="G3204" s="204"/>
      <c r="H3204" s="204"/>
      <c r="I3204" s="204"/>
      <c r="J3204" s="204"/>
      <c r="K3204" s="204"/>
      <c r="L3204" s="205"/>
      <c r="M3204" s="205"/>
      <c r="N3204" s="204"/>
      <c r="O3204" s="204"/>
      <c r="P3204" s="206"/>
      <c r="Q3204" s="206"/>
      <c r="R3204" s="206"/>
      <c r="S3204" s="206"/>
      <c r="T3204" s="204"/>
      <c r="U3204" s="207"/>
      <c r="V3204" s="204"/>
      <c r="W3204" s="204"/>
      <c r="X3204" s="207"/>
      <c r="Y3204" s="207"/>
      <c r="Z3204" s="204"/>
      <c r="AA3204" s="204"/>
      <c r="AB3204" s="204"/>
      <c r="AC3204" s="204"/>
    </row>
    <row r="3205" spans="1:29">
      <c r="A3205" s="204"/>
      <c r="B3205" s="204"/>
      <c r="C3205" s="204"/>
      <c r="D3205" s="204"/>
      <c r="E3205" s="204"/>
      <c r="F3205" s="204"/>
      <c r="G3205" s="204"/>
      <c r="H3205" s="204"/>
      <c r="I3205" s="204"/>
      <c r="J3205" s="204"/>
      <c r="K3205" s="204"/>
      <c r="L3205" s="205"/>
      <c r="M3205" s="205"/>
      <c r="N3205" s="204"/>
      <c r="O3205" s="204"/>
      <c r="P3205" s="206"/>
      <c r="Q3205" s="206"/>
      <c r="R3205" s="206"/>
      <c r="S3205" s="206"/>
      <c r="T3205" s="204"/>
      <c r="U3205" s="207"/>
      <c r="V3205" s="204"/>
      <c r="W3205" s="204"/>
      <c r="X3205" s="207"/>
      <c r="Y3205" s="207"/>
      <c r="Z3205" s="204"/>
      <c r="AA3205" s="204"/>
      <c r="AB3205" s="204"/>
      <c r="AC3205" s="204"/>
    </row>
    <row r="3206" spans="1:29">
      <c r="A3206" s="204"/>
      <c r="B3206" s="204"/>
      <c r="C3206" s="204"/>
      <c r="D3206" s="204"/>
      <c r="E3206" s="204"/>
      <c r="F3206" s="204"/>
      <c r="G3206" s="204"/>
      <c r="H3206" s="204"/>
      <c r="I3206" s="204"/>
      <c r="J3206" s="204"/>
      <c r="K3206" s="204"/>
      <c r="L3206" s="205"/>
      <c r="M3206" s="205"/>
      <c r="N3206" s="204"/>
      <c r="O3206" s="204"/>
      <c r="P3206" s="206"/>
      <c r="Q3206" s="206"/>
      <c r="R3206" s="206"/>
      <c r="S3206" s="206"/>
      <c r="T3206" s="204"/>
      <c r="U3206" s="207"/>
      <c r="V3206" s="204"/>
      <c r="W3206" s="204"/>
      <c r="X3206" s="207"/>
      <c r="Y3206" s="207"/>
      <c r="Z3206" s="204"/>
      <c r="AA3206" s="204"/>
      <c r="AB3206" s="204"/>
      <c r="AC3206" s="204"/>
    </row>
    <row r="3207" spans="1:29">
      <c r="A3207" s="204"/>
      <c r="B3207" s="204"/>
      <c r="C3207" s="204"/>
      <c r="D3207" s="204"/>
      <c r="E3207" s="204"/>
      <c r="F3207" s="204"/>
      <c r="G3207" s="204"/>
      <c r="H3207" s="204"/>
      <c r="I3207" s="204"/>
      <c r="J3207" s="204"/>
      <c r="K3207" s="204"/>
      <c r="L3207" s="205"/>
      <c r="M3207" s="205"/>
      <c r="N3207" s="204"/>
      <c r="O3207" s="204"/>
      <c r="P3207" s="206"/>
      <c r="Q3207" s="206"/>
      <c r="R3207" s="206"/>
      <c r="S3207" s="206"/>
      <c r="T3207" s="204"/>
      <c r="U3207" s="207"/>
      <c r="V3207" s="204"/>
      <c r="W3207" s="204"/>
      <c r="X3207" s="207"/>
      <c r="Y3207" s="207"/>
      <c r="Z3207" s="204"/>
      <c r="AA3207" s="204"/>
      <c r="AB3207" s="204"/>
      <c r="AC3207" s="204"/>
    </row>
    <row r="3208" spans="1:29">
      <c r="A3208" s="204"/>
      <c r="B3208" s="204"/>
      <c r="C3208" s="204"/>
      <c r="D3208" s="204"/>
      <c r="E3208" s="204"/>
      <c r="F3208" s="204"/>
      <c r="G3208" s="204"/>
      <c r="H3208" s="204"/>
      <c r="I3208" s="204"/>
      <c r="J3208" s="204"/>
      <c r="K3208" s="204"/>
      <c r="L3208" s="205"/>
      <c r="M3208" s="205"/>
      <c r="N3208" s="204"/>
      <c r="O3208" s="204"/>
      <c r="P3208" s="206"/>
      <c r="Q3208" s="206"/>
      <c r="R3208" s="206"/>
      <c r="S3208" s="206"/>
      <c r="T3208" s="204"/>
      <c r="U3208" s="207"/>
      <c r="V3208" s="204"/>
      <c r="W3208" s="204"/>
      <c r="X3208" s="207"/>
      <c r="Y3208" s="207"/>
      <c r="Z3208" s="204"/>
      <c r="AA3208" s="204"/>
      <c r="AB3208" s="204"/>
      <c r="AC3208" s="204"/>
    </row>
    <row r="3209" spans="1:29">
      <c r="A3209" s="204"/>
      <c r="B3209" s="204"/>
      <c r="C3209" s="204"/>
      <c r="D3209" s="204"/>
      <c r="E3209" s="204"/>
      <c r="F3209" s="204"/>
      <c r="G3209" s="204"/>
      <c r="H3209" s="204"/>
      <c r="I3209" s="204"/>
      <c r="J3209" s="204"/>
      <c r="K3209" s="204"/>
      <c r="L3209" s="205"/>
      <c r="M3209" s="205"/>
      <c r="N3209" s="204"/>
      <c r="O3209" s="204"/>
      <c r="P3209" s="206"/>
      <c r="Q3209" s="206"/>
      <c r="R3209" s="206"/>
      <c r="S3209" s="206"/>
      <c r="T3209" s="204"/>
      <c r="U3209" s="207"/>
      <c r="V3209" s="204"/>
      <c r="W3209" s="204"/>
      <c r="X3209" s="207"/>
      <c r="Y3209" s="207"/>
      <c r="Z3209" s="204"/>
      <c r="AA3209" s="204"/>
      <c r="AB3209" s="204"/>
      <c r="AC3209" s="204"/>
    </row>
    <row r="3210" spans="1:29">
      <c r="A3210" s="204"/>
      <c r="B3210" s="204"/>
      <c r="C3210" s="204"/>
      <c r="D3210" s="204"/>
      <c r="E3210" s="204"/>
      <c r="F3210" s="204"/>
      <c r="G3210" s="204"/>
      <c r="H3210" s="204"/>
      <c r="I3210" s="204"/>
      <c r="J3210" s="204"/>
      <c r="K3210" s="204"/>
      <c r="L3210" s="205"/>
      <c r="M3210" s="205"/>
      <c r="N3210" s="204"/>
      <c r="O3210" s="204"/>
      <c r="P3210" s="206"/>
      <c r="Q3210" s="206"/>
      <c r="R3210" s="206"/>
      <c r="S3210" s="206"/>
      <c r="T3210" s="204"/>
      <c r="U3210" s="207"/>
      <c r="V3210" s="204"/>
      <c r="W3210" s="204"/>
      <c r="X3210" s="207"/>
      <c r="Y3210" s="207"/>
      <c r="Z3210" s="204"/>
      <c r="AA3210" s="204"/>
      <c r="AB3210" s="204"/>
      <c r="AC3210" s="204"/>
    </row>
    <row r="3211" spans="1:29">
      <c r="A3211" s="204"/>
      <c r="B3211" s="204"/>
      <c r="C3211" s="204"/>
      <c r="D3211" s="204"/>
      <c r="E3211" s="204"/>
      <c r="F3211" s="204"/>
      <c r="G3211" s="204"/>
      <c r="H3211" s="204"/>
      <c r="I3211" s="204"/>
      <c r="J3211" s="204"/>
      <c r="K3211" s="204"/>
      <c r="L3211" s="205"/>
      <c r="M3211" s="205"/>
      <c r="N3211" s="204"/>
      <c r="O3211" s="204"/>
      <c r="P3211" s="206"/>
      <c r="Q3211" s="206"/>
      <c r="R3211" s="206"/>
      <c r="S3211" s="206"/>
      <c r="T3211" s="204"/>
      <c r="U3211" s="207"/>
      <c r="V3211" s="204"/>
      <c r="W3211" s="204"/>
      <c r="X3211" s="207"/>
      <c r="Y3211" s="207"/>
      <c r="Z3211" s="204"/>
      <c r="AA3211" s="204"/>
      <c r="AB3211" s="204"/>
      <c r="AC3211" s="204"/>
    </row>
    <row r="3212" spans="1:29">
      <c r="A3212" s="204"/>
      <c r="B3212" s="204"/>
      <c r="C3212" s="204"/>
      <c r="D3212" s="204"/>
      <c r="E3212" s="204"/>
      <c r="F3212" s="204"/>
      <c r="G3212" s="204"/>
      <c r="H3212" s="204"/>
      <c r="I3212" s="204"/>
      <c r="J3212" s="204"/>
      <c r="K3212" s="204"/>
      <c r="L3212" s="205"/>
      <c r="M3212" s="205"/>
      <c r="N3212" s="204"/>
      <c r="O3212" s="204"/>
      <c r="P3212" s="206"/>
      <c r="Q3212" s="206"/>
      <c r="R3212" s="206"/>
      <c r="S3212" s="206"/>
      <c r="T3212" s="204"/>
      <c r="U3212" s="207"/>
      <c r="V3212" s="204"/>
      <c r="W3212" s="204"/>
      <c r="X3212" s="207"/>
      <c r="Y3212" s="207"/>
      <c r="Z3212" s="204"/>
      <c r="AA3212" s="204"/>
      <c r="AB3212" s="204"/>
      <c r="AC3212" s="204"/>
    </row>
    <row r="3213" spans="1:29">
      <c r="A3213" s="204"/>
      <c r="B3213" s="204"/>
      <c r="C3213" s="204"/>
      <c r="D3213" s="204"/>
      <c r="E3213" s="204"/>
      <c r="F3213" s="204"/>
      <c r="G3213" s="204"/>
      <c r="H3213" s="204"/>
      <c r="I3213" s="204"/>
      <c r="J3213" s="204"/>
      <c r="K3213" s="204"/>
      <c r="L3213" s="205"/>
      <c r="M3213" s="205"/>
      <c r="N3213" s="204"/>
      <c r="O3213" s="204"/>
      <c r="P3213" s="206"/>
      <c r="Q3213" s="206"/>
      <c r="R3213" s="206"/>
      <c r="S3213" s="206"/>
      <c r="T3213" s="204"/>
      <c r="U3213" s="207"/>
      <c r="V3213" s="204"/>
      <c r="W3213" s="204"/>
      <c r="X3213" s="207"/>
      <c r="Y3213" s="207"/>
      <c r="Z3213" s="204"/>
      <c r="AA3213" s="204"/>
      <c r="AB3213" s="204"/>
      <c r="AC3213" s="204"/>
    </row>
    <row r="3214" spans="1:29">
      <c r="A3214" s="204"/>
      <c r="B3214" s="204"/>
      <c r="C3214" s="204"/>
      <c r="D3214" s="204"/>
      <c r="E3214" s="204"/>
      <c r="F3214" s="204"/>
      <c r="G3214" s="204"/>
      <c r="H3214" s="204"/>
      <c r="I3214" s="204"/>
      <c r="J3214" s="204"/>
      <c r="K3214" s="204"/>
      <c r="L3214" s="205"/>
      <c r="M3214" s="205"/>
      <c r="N3214" s="204"/>
      <c r="O3214" s="204"/>
      <c r="P3214" s="206"/>
      <c r="Q3214" s="206"/>
      <c r="R3214" s="206"/>
      <c r="S3214" s="206"/>
      <c r="T3214" s="204"/>
      <c r="U3214" s="207"/>
      <c r="V3214" s="204"/>
      <c r="W3214" s="204"/>
      <c r="X3214" s="207"/>
      <c r="Y3214" s="207"/>
      <c r="Z3214" s="204"/>
      <c r="AA3214" s="204"/>
      <c r="AB3214" s="204"/>
      <c r="AC3214" s="204"/>
    </row>
    <row r="3215" spans="1:29">
      <c r="A3215" s="204"/>
      <c r="B3215" s="204"/>
      <c r="C3215" s="204"/>
      <c r="D3215" s="204"/>
      <c r="E3215" s="204"/>
      <c r="F3215" s="204"/>
      <c r="G3215" s="204"/>
      <c r="H3215" s="204"/>
      <c r="I3215" s="204"/>
      <c r="J3215" s="204"/>
      <c r="K3215" s="204"/>
      <c r="L3215" s="205"/>
      <c r="M3215" s="205"/>
      <c r="N3215" s="204"/>
      <c r="O3215" s="204"/>
      <c r="P3215" s="206"/>
      <c r="Q3215" s="206"/>
      <c r="R3215" s="206"/>
      <c r="S3215" s="206"/>
      <c r="T3215" s="204"/>
      <c r="U3215" s="207"/>
      <c r="V3215" s="204"/>
      <c r="W3215" s="204"/>
      <c r="X3215" s="207"/>
      <c r="Y3215" s="207"/>
      <c r="Z3215" s="204"/>
      <c r="AA3215" s="204"/>
      <c r="AB3215" s="204"/>
      <c r="AC3215" s="204"/>
    </row>
    <row r="3216" spans="1:29">
      <c r="A3216" s="204"/>
      <c r="B3216" s="204"/>
      <c r="C3216" s="204"/>
      <c r="D3216" s="204"/>
      <c r="E3216" s="204"/>
      <c r="F3216" s="204"/>
      <c r="G3216" s="204"/>
      <c r="H3216" s="204"/>
      <c r="I3216" s="204"/>
      <c r="J3216" s="204"/>
      <c r="K3216" s="204"/>
      <c r="L3216" s="205"/>
      <c r="M3216" s="205"/>
      <c r="N3216" s="204"/>
      <c r="O3216" s="204"/>
      <c r="P3216" s="206"/>
      <c r="Q3216" s="206"/>
      <c r="R3216" s="206"/>
      <c r="S3216" s="206"/>
      <c r="T3216" s="204"/>
      <c r="U3216" s="207"/>
      <c r="V3216" s="204"/>
      <c r="W3216" s="204"/>
      <c r="X3216" s="207"/>
      <c r="Y3216" s="207"/>
      <c r="Z3216" s="204"/>
      <c r="AA3216" s="204"/>
      <c r="AB3216" s="204"/>
      <c r="AC3216" s="204"/>
    </row>
    <row r="3217" spans="1:29">
      <c r="A3217" s="204"/>
      <c r="B3217" s="204"/>
      <c r="C3217" s="204"/>
      <c r="D3217" s="204"/>
      <c r="E3217" s="204"/>
      <c r="F3217" s="204"/>
      <c r="G3217" s="204"/>
      <c r="H3217" s="204"/>
      <c r="I3217" s="204"/>
      <c r="J3217" s="204"/>
      <c r="K3217" s="204"/>
      <c r="L3217" s="205"/>
      <c r="M3217" s="205"/>
      <c r="N3217" s="204"/>
      <c r="O3217" s="204"/>
      <c r="P3217" s="206"/>
      <c r="Q3217" s="206"/>
      <c r="R3217" s="206"/>
      <c r="S3217" s="206"/>
      <c r="T3217" s="204"/>
      <c r="U3217" s="207"/>
      <c r="V3217" s="204"/>
      <c r="W3217" s="204"/>
      <c r="X3217" s="207"/>
      <c r="Y3217" s="207"/>
      <c r="Z3217" s="204"/>
      <c r="AA3217" s="204"/>
      <c r="AB3217" s="204"/>
      <c r="AC3217" s="204"/>
    </row>
    <row r="3218" spans="1:29">
      <c r="A3218" s="204"/>
      <c r="B3218" s="204"/>
      <c r="C3218" s="204"/>
      <c r="D3218" s="204"/>
      <c r="E3218" s="204"/>
      <c r="F3218" s="204"/>
      <c r="G3218" s="204"/>
      <c r="H3218" s="204"/>
      <c r="I3218" s="204"/>
      <c r="J3218" s="204"/>
      <c r="K3218" s="204"/>
      <c r="L3218" s="205"/>
      <c r="M3218" s="205"/>
      <c r="N3218" s="204"/>
      <c r="O3218" s="204"/>
      <c r="P3218" s="206"/>
      <c r="Q3218" s="206"/>
      <c r="R3218" s="206"/>
      <c r="S3218" s="206"/>
      <c r="T3218" s="204"/>
      <c r="U3218" s="207"/>
      <c r="V3218" s="204"/>
      <c r="W3218" s="204"/>
      <c r="X3218" s="207"/>
      <c r="Y3218" s="207"/>
      <c r="Z3218" s="204"/>
      <c r="AA3218" s="204"/>
      <c r="AB3218" s="204"/>
      <c r="AC3218" s="204"/>
    </row>
    <row r="3219" spans="1:29">
      <c r="A3219" s="204"/>
      <c r="B3219" s="204"/>
      <c r="C3219" s="204"/>
      <c r="D3219" s="204"/>
      <c r="E3219" s="204"/>
      <c r="F3219" s="204"/>
      <c r="G3219" s="204"/>
      <c r="H3219" s="204"/>
      <c r="I3219" s="204"/>
      <c r="J3219" s="204"/>
      <c r="K3219" s="204"/>
      <c r="L3219" s="205"/>
      <c r="M3219" s="205"/>
      <c r="N3219" s="204"/>
      <c r="O3219" s="204"/>
      <c r="P3219" s="206"/>
      <c r="Q3219" s="206"/>
      <c r="R3219" s="206"/>
      <c r="S3219" s="206"/>
      <c r="T3219" s="204"/>
      <c r="U3219" s="207"/>
      <c r="V3219" s="204"/>
      <c r="W3219" s="204"/>
      <c r="X3219" s="207"/>
      <c r="Y3219" s="207"/>
      <c r="Z3219" s="204"/>
      <c r="AA3219" s="204"/>
      <c r="AB3219" s="204"/>
      <c r="AC3219" s="204"/>
    </row>
    <row r="3220" spans="1:29">
      <c r="A3220" s="204"/>
      <c r="B3220" s="204"/>
      <c r="C3220" s="204"/>
      <c r="D3220" s="204"/>
      <c r="E3220" s="204"/>
      <c r="F3220" s="204"/>
      <c r="G3220" s="204"/>
      <c r="H3220" s="204"/>
      <c r="I3220" s="204"/>
      <c r="J3220" s="204"/>
      <c r="K3220" s="204"/>
      <c r="L3220" s="205"/>
      <c r="M3220" s="205"/>
      <c r="N3220" s="204"/>
      <c r="O3220" s="204"/>
      <c r="P3220" s="206"/>
      <c r="Q3220" s="206"/>
      <c r="R3220" s="206"/>
      <c r="S3220" s="206"/>
      <c r="T3220" s="204"/>
      <c r="U3220" s="207"/>
      <c r="V3220" s="204"/>
      <c r="W3220" s="204"/>
      <c r="X3220" s="207"/>
      <c r="Y3220" s="207"/>
      <c r="Z3220" s="204"/>
      <c r="AA3220" s="204"/>
      <c r="AB3220" s="204"/>
      <c r="AC3220" s="204"/>
    </row>
    <row r="3221" spans="1:29">
      <c r="A3221" s="204"/>
      <c r="B3221" s="204"/>
      <c r="C3221" s="204"/>
      <c r="D3221" s="204"/>
      <c r="E3221" s="204"/>
      <c r="F3221" s="204"/>
      <c r="G3221" s="204"/>
      <c r="H3221" s="204"/>
      <c r="I3221" s="204"/>
      <c r="J3221" s="204"/>
      <c r="K3221" s="204"/>
      <c r="L3221" s="205"/>
      <c r="M3221" s="205"/>
      <c r="N3221" s="204"/>
      <c r="O3221" s="204"/>
      <c r="P3221" s="206"/>
      <c r="Q3221" s="206"/>
      <c r="R3221" s="206"/>
      <c r="S3221" s="206"/>
      <c r="T3221" s="204"/>
      <c r="U3221" s="207"/>
      <c r="V3221" s="204"/>
      <c r="W3221" s="204"/>
      <c r="X3221" s="207"/>
      <c r="Y3221" s="207"/>
      <c r="Z3221" s="204"/>
      <c r="AA3221" s="204"/>
      <c r="AB3221" s="204"/>
      <c r="AC3221" s="204"/>
    </row>
    <row r="3222" spans="1:29">
      <c r="A3222" s="204"/>
      <c r="B3222" s="204"/>
      <c r="C3222" s="204"/>
      <c r="D3222" s="204"/>
      <c r="E3222" s="204"/>
      <c r="F3222" s="204"/>
      <c r="G3222" s="204"/>
      <c r="H3222" s="204"/>
      <c r="I3222" s="204"/>
      <c r="J3222" s="204"/>
      <c r="K3222" s="204"/>
      <c r="L3222" s="205"/>
      <c r="M3222" s="205"/>
      <c r="N3222" s="204"/>
      <c r="O3222" s="204"/>
      <c r="P3222" s="206"/>
      <c r="Q3222" s="206"/>
      <c r="R3222" s="206"/>
      <c r="S3222" s="206"/>
      <c r="T3222" s="204"/>
      <c r="U3222" s="207"/>
      <c r="V3222" s="204"/>
      <c r="W3222" s="204"/>
      <c r="X3222" s="207"/>
      <c r="Y3222" s="207"/>
      <c r="Z3222" s="204"/>
      <c r="AA3222" s="204"/>
      <c r="AB3222" s="204"/>
      <c r="AC3222" s="204"/>
    </row>
    <row r="3223" spans="1:29">
      <c r="A3223" s="204"/>
      <c r="B3223" s="204"/>
      <c r="C3223" s="204"/>
      <c r="D3223" s="204"/>
      <c r="E3223" s="204"/>
      <c r="F3223" s="204"/>
      <c r="G3223" s="204"/>
      <c r="H3223" s="204"/>
      <c r="I3223" s="204"/>
      <c r="J3223" s="204"/>
      <c r="K3223" s="204"/>
      <c r="L3223" s="205"/>
      <c r="M3223" s="205"/>
      <c r="N3223" s="204"/>
      <c r="O3223" s="204"/>
      <c r="P3223" s="206"/>
      <c r="Q3223" s="206"/>
      <c r="R3223" s="206"/>
      <c r="S3223" s="206"/>
      <c r="T3223" s="204"/>
      <c r="U3223" s="207"/>
      <c r="V3223" s="204"/>
      <c r="W3223" s="204"/>
      <c r="X3223" s="207"/>
      <c r="Y3223" s="207"/>
      <c r="Z3223" s="204"/>
      <c r="AA3223" s="204"/>
      <c r="AB3223" s="204"/>
      <c r="AC3223" s="204"/>
    </row>
    <row r="3224" spans="1:29">
      <c r="A3224" s="204"/>
      <c r="B3224" s="204"/>
      <c r="C3224" s="204"/>
      <c r="D3224" s="204"/>
      <c r="E3224" s="204"/>
      <c r="F3224" s="204"/>
      <c r="G3224" s="204"/>
      <c r="H3224" s="204"/>
      <c r="I3224" s="204"/>
      <c r="J3224" s="204"/>
      <c r="K3224" s="204"/>
      <c r="L3224" s="205"/>
      <c r="M3224" s="205"/>
      <c r="N3224" s="204"/>
      <c r="O3224" s="204"/>
      <c r="P3224" s="206"/>
      <c r="Q3224" s="206"/>
      <c r="R3224" s="206"/>
      <c r="S3224" s="206"/>
      <c r="T3224" s="204"/>
      <c r="U3224" s="207"/>
      <c r="V3224" s="204"/>
      <c r="W3224" s="204"/>
      <c r="X3224" s="207"/>
      <c r="Y3224" s="207"/>
      <c r="Z3224" s="204"/>
      <c r="AA3224" s="204"/>
      <c r="AB3224" s="204"/>
      <c r="AC3224" s="204"/>
    </row>
    <row r="3225" spans="1:29">
      <c r="A3225" s="204"/>
      <c r="B3225" s="204"/>
      <c r="C3225" s="204"/>
      <c r="D3225" s="204"/>
      <c r="E3225" s="204"/>
      <c r="F3225" s="204"/>
      <c r="G3225" s="204"/>
      <c r="H3225" s="204"/>
      <c r="I3225" s="204"/>
      <c r="J3225" s="204"/>
      <c r="K3225" s="204"/>
      <c r="L3225" s="205"/>
      <c r="M3225" s="205"/>
      <c r="N3225" s="204"/>
      <c r="O3225" s="204"/>
      <c r="P3225" s="206"/>
      <c r="Q3225" s="206"/>
      <c r="R3225" s="206"/>
      <c r="S3225" s="206"/>
      <c r="T3225" s="204"/>
      <c r="U3225" s="207"/>
      <c r="V3225" s="204"/>
      <c r="W3225" s="204"/>
      <c r="X3225" s="207"/>
      <c r="Y3225" s="207"/>
      <c r="Z3225" s="204"/>
      <c r="AA3225" s="204"/>
      <c r="AB3225" s="204"/>
      <c r="AC3225" s="204"/>
    </row>
    <row r="3226" spans="1:29">
      <c r="A3226" s="204"/>
      <c r="B3226" s="204"/>
      <c r="C3226" s="204"/>
      <c r="D3226" s="204"/>
      <c r="E3226" s="204"/>
      <c r="F3226" s="204"/>
      <c r="G3226" s="204"/>
      <c r="H3226" s="204"/>
      <c r="I3226" s="204"/>
      <c r="J3226" s="204"/>
      <c r="K3226" s="204"/>
      <c r="L3226" s="205"/>
      <c r="M3226" s="205"/>
      <c r="N3226" s="204"/>
      <c r="O3226" s="204"/>
      <c r="P3226" s="206"/>
      <c r="Q3226" s="206"/>
      <c r="R3226" s="206"/>
      <c r="S3226" s="206"/>
      <c r="T3226" s="204"/>
      <c r="U3226" s="207"/>
      <c r="V3226" s="204"/>
      <c r="W3226" s="204"/>
      <c r="X3226" s="207"/>
      <c r="Y3226" s="207"/>
      <c r="Z3226" s="204"/>
      <c r="AA3226" s="204"/>
      <c r="AB3226" s="204"/>
      <c r="AC3226" s="204"/>
    </row>
    <row r="3227" spans="1:29">
      <c r="A3227" s="204"/>
      <c r="B3227" s="204"/>
      <c r="C3227" s="204"/>
      <c r="D3227" s="204"/>
      <c r="E3227" s="204"/>
      <c r="F3227" s="204"/>
      <c r="G3227" s="204"/>
      <c r="H3227" s="204"/>
      <c r="I3227" s="204"/>
      <c r="J3227" s="204"/>
      <c r="K3227" s="204"/>
      <c r="L3227" s="205"/>
      <c r="M3227" s="205"/>
      <c r="N3227" s="204"/>
      <c r="O3227" s="204"/>
      <c r="P3227" s="206"/>
      <c r="Q3227" s="206"/>
      <c r="R3227" s="206"/>
      <c r="S3227" s="206"/>
      <c r="T3227" s="204"/>
      <c r="U3227" s="207"/>
      <c r="V3227" s="204"/>
      <c r="W3227" s="204"/>
      <c r="X3227" s="207"/>
      <c r="Y3227" s="207"/>
      <c r="Z3227" s="204"/>
      <c r="AA3227" s="204"/>
      <c r="AB3227" s="204"/>
      <c r="AC3227" s="204"/>
    </row>
    <row r="3228" spans="1:29">
      <c r="A3228" s="204"/>
      <c r="B3228" s="204"/>
      <c r="C3228" s="204"/>
      <c r="D3228" s="204"/>
      <c r="E3228" s="204"/>
      <c r="F3228" s="204"/>
      <c r="G3228" s="204"/>
      <c r="H3228" s="204"/>
      <c r="I3228" s="204"/>
      <c r="J3228" s="204"/>
      <c r="K3228" s="204"/>
      <c r="L3228" s="205"/>
      <c r="M3228" s="205"/>
      <c r="N3228" s="204"/>
      <c r="O3228" s="204"/>
      <c r="P3228" s="206"/>
      <c r="Q3228" s="206"/>
      <c r="R3228" s="206"/>
      <c r="S3228" s="206"/>
      <c r="T3228" s="204"/>
      <c r="U3228" s="207"/>
      <c r="V3228" s="204"/>
      <c r="W3228" s="204"/>
      <c r="X3228" s="207"/>
      <c r="Y3228" s="207"/>
      <c r="Z3228" s="204"/>
      <c r="AA3228" s="204"/>
      <c r="AB3228" s="204"/>
      <c r="AC3228" s="204"/>
    </row>
    <row r="3229" spans="1:29">
      <c r="A3229" s="204"/>
      <c r="B3229" s="204"/>
      <c r="C3229" s="204"/>
      <c r="D3229" s="204"/>
      <c r="E3229" s="204"/>
      <c r="F3229" s="204"/>
      <c r="G3229" s="204"/>
      <c r="H3229" s="204"/>
      <c r="I3229" s="204"/>
      <c r="J3229" s="204"/>
      <c r="K3229" s="204"/>
      <c r="L3229" s="205"/>
      <c r="M3229" s="205"/>
      <c r="N3229" s="204"/>
      <c r="O3229" s="204"/>
      <c r="P3229" s="206"/>
      <c r="Q3229" s="206"/>
      <c r="R3229" s="206"/>
      <c r="S3229" s="206"/>
      <c r="T3229" s="204"/>
      <c r="U3229" s="207"/>
      <c r="V3229" s="204"/>
      <c r="W3229" s="204"/>
      <c r="X3229" s="207"/>
      <c r="Y3229" s="207"/>
      <c r="Z3229" s="204"/>
      <c r="AA3229" s="204"/>
      <c r="AB3229" s="204"/>
      <c r="AC3229" s="204"/>
    </row>
    <row r="3230" spans="1:29">
      <c r="A3230" s="204"/>
      <c r="B3230" s="204"/>
      <c r="C3230" s="204"/>
      <c r="D3230" s="204"/>
      <c r="E3230" s="204"/>
      <c r="F3230" s="204"/>
      <c r="G3230" s="204"/>
      <c r="H3230" s="204"/>
      <c r="I3230" s="204"/>
      <c r="J3230" s="204"/>
      <c r="K3230" s="204"/>
      <c r="L3230" s="205"/>
      <c r="M3230" s="205"/>
      <c r="N3230" s="204"/>
      <c r="O3230" s="204"/>
      <c r="P3230" s="206"/>
      <c r="Q3230" s="206"/>
      <c r="R3230" s="206"/>
      <c r="S3230" s="206"/>
      <c r="T3230" s="204"/>
      <c r="U3230" s="207"/>
      <c r="V3230" s="204"/>
      <c r="W3230" s="204"/>
      <c r="X3230" s="207"/>
      <c r="Y3230" s="207"/>
      <c r="Z3230" s="204"/>
      <c r="AA3230" s="204"/>
      <c r="AB3230" s="204"/>
      <c r="AC3230" s="204"/>
    </row>
    <row r="3231" spans="1:29">
      <c r="A3231" s="204"/>
      <c r="B3231" s="204"/>
      <c r="C3231" s="204"/>
      <c r="D3231" s="204"/>
      <c r="E3231" s="204"/>
      <c r="F3231" s="204"/>
      <c r="G3231" s="204"/>
      <c r="H3231" s="204"/>
      <c r="I3231" s="204"/>
      <c r="J3231" s="204"/>
      <c r="K3231" s="204"/>
      <c r="L3231" s="205"/>
      <c r="M3231" s="205"/>
      <c r="N3231" s="204"/>
      <c r="O3231" s="204"/>
      <c r="P3231" s="206"/>
      <c r="Q3231" s="206"/>
      <c r="R3231" s="206"/>
      <c r="S3231" s="206"/>
      <c r="T3231" s="204"/>
      <c r="U3231" s="207"/>
      <c r="V3231" s="204"/>
      <c r="W3231" s="204"/>
      <c r="X3231" s="207"/>
      <c r="Y3231" s="207"/>
      <c r="Z3231" s="204"/>
      <c r="AA3231" s="204"/>
      <c r="AB3231" s="204"/>
      <c r="AC3231" s="204"/>
    </row>
    <row r="3232" spans="1:29">
      <c r="A3232" s="204"/>
      <c r="B3232" s="204"/>
      <c r="C3232" s="204"/>
      <c r="D3232" s="204"/>
      <c r="E3232" s="204"/>
      <c r="F3232" s="204"/>
      <c r="G3232" s="204"/>
      <c r="H3232" s="204"/>
      <c r="I3232" s="204"/>
      <c r="J3232" s="204"/>
      <c r="K3232" s="204"/>
      <c r="L3232" s="205"/>
      <c r="M3232" s="205"/>
      <c r="N3232" s="204"/>
      <c r="O3232" s="204"/>
      <c r="P3232" s="206"/>
      <c r="Q3232" s="206"/>
      <c r="R3232" s="206"/>
      <c r="S3232" s="206"/>
      <c r="T3232" s="204"/>
      <c r="U3232" s="207"/>
      <c r="V3232" s="204"/>
      <c r="W3232" s="204"/>
      <c r="X3232" s="207"/>
      <c r="Y3232" s="207"/>
      <c r="Z3232" s="204"/>
      <c r="AA3232" s="204"/>
      <c r="AB3232" s="204"/>
      <c r="AC3232" s="204"/>
    </row>
    <row r="3233" spans="1:29">
      <c r="A3233" s="204"/>
      <c r="B3233" s="204"/>
      <c r="C3233" s="204"/>
      <c r="D3233" s="204"/>
      <c r="E3233" s="204"/>
      <c r="F3233" s="204"/>
      <c r="G3233" s="204"/>
      <c r="H3233" s="204"/>
      <c r="I3233" s="204"/>
      <c r="J3233" s="204"/>
      <c r="K3233" s="204"/>
      <c r="L3233" s="205"/>
      <c r="M3233" s="205"/>
      <c r="N3233" s="204"/>
      <c r="O3233" s="204"/>
      <c r="P3233" s="206"/>
      <c r="Q3233" s="206"/>
      <c r="R3233" s="206"/>
      <c r="S3233" s="206"/>
      <c r="T3233" s="204"/>
      <c r="U3233" s="207"/>
      <c r="V3233" s="204"/>
      <c r="W3233" s="204"/>
      <c r="X3233" s="207"/>
      <c r="Y3233" s="207"/>
      <c r="Z3233" s="204"/>
      <c r="AA3233" s="204"/>
      <c r="AB3233" s="204"/>
      <c r="AC3233" s="204"/>
    </row>
    <row r="3234" spans="1:29">
      <c r="A3234" s="204"/>
      <c r="B3234" s="204"/>
      <c r="C3234" s="204"/>
      <c r="D3234" s="204"/>
      <c r="E3234" s="204"/>
      <c r="F3234" s="204"/>
      <c r="G3234" s="204"/>
      <c r="H3234" s="204"/>
      <c r="I3234" s="204"/>
      <c r="J3234" s="204"/>
      <c r="K3234" s="204"/>
      <c r="L3234" s="205"/>
      <c r="M3234" s="205"/>
      <c r="N3234" s="204"/>
      <c r="O3234" s="204"/>
      <c r="P3234" s="206"/>
      <c r="Q3234" s="206"/>
      <c r="R3234" s="206"/>
      <c r="S3234" s="206"/>
      <c r="T3234" s="204"/>
      <c r="U3234" s="207"/>
      <c r="V3234" s="204"/>
      <c r="W3234" s="204"/>
      <c r="X3234" s="207"/>
      <c r="Y3234" s="207"/>
      <c r="Z3234" s="204"/>
      <c r="AA3234" s="204"/>
      <c r="AB3234" s="204"/>
      <c r="AC3234" s="204"/>
    </row>
    <row r="3235" spans="1:29">
      <c r="A3235" s="204"/>
      <c r="B3235" s="204"/>
      <c r="C3235" s="204"/>
      <c r="D3235" s="204"/>
      <c r="E3235" s="204"/>
      <c r="F3235" s="204"/>
      <c r="G3235" s="204"/>
      <c r="H3235" s="204"/>
      <c r="I3235" s="204"/>
      <c r="J3235" s="204"/>
      <c r="K3235" s="204"/>
      <c r="L3235" s="205"/>
      <c r="M3235" s="205"/>
      <c r="N3235" s="204"/>
      <c r="O3235" s="204"/>
      <c r="P3235" s="206"/>
      <c r="Q3235" s="206"/>
      <c r="R3235" s="206"/>
      <c r="S3235" s="206"/>
      <c r="T3235" s="204"/>
      <c r="U3235" s="207"/>
      <c r="V3235" s="204"/>
      <c r="W3235" s="204"/>
      <c r="X3235" s="207"/>
      <c r="Y3235" s="207"/>
      <c r="Z3235" s="204"/>
      <c r="AA3235" s="204"/>
      <c r="AB3235" s="204"/>
      <c r="AC3235" s="204"/>
    </row>
    <row r="3236" spans="1:29">
      <c r="A3236" s="204"/>
      <c r="B3236" s="204"/>
      <c r="C3236" s="204"/>
      <c r="D3236" s="204"/>
      <c r="E3236" s="204"/>
      <c r="F3236" s="204"/>
      <c r="G3236" s="204"/>
      <c r="H3236" s="204"/>
      <c r="I3236" s="204"/>
      <c r="J3236" s="204"/>
      <c r="K3236" s="204"/>
      <c r="L3236" s="205"/>
      <c r="M3236" s="205"/>
      <c r="N3236" s="204"/>
      <c r="O3236" s="204"/>
      <c r="P3236" s="206"/>
      <c r="Q3236" s="206"/>
      <c r="R3236" s="206"/>
      <c r="S3236" s="206"/>
      <c r="T3236" s="204"/>
      <c r="U3236" s="207"/>
      <c r="V3236" s="204"/>
      <c r="W3236" s="204"/>
      <c r="X3236" s="207"/>
      <c r="Y3236" s="207"/>
      <c r="Z3236" s="204"/>
      <c r="AA3236" s="204"/>
      <c r="AB3236" s="204"/>
      <c r="AC3236" s="204"/>
    </row>
    <row r="3237" spans="1:29">
      <c r="A3237" s="204"/>
      <c r="B3237" s="204"/>
      <c r="C3237" s="204"/>
      <c r="D3237" s="204"/>
      <c r="E3237" s="204"/>
      <c r="F3237" s="204"/>
      <c r="G3237" s="204"/>
      <c r="H3237" s="204"/>
      <c r="I3237" s="204"/>
      <c r="J3237" s="204"/>
      <c r="K3237" s="204"/>
      <c r="L3237" s="205"/>
      <c r="M3237" s="205"/>
      <c r="N3237" s="204"/>
      <c r="O3237" s="204"/>
      <c r="P3237" s="206"/>
      <c r="Q3237" s="206"/>
      <c r="R3237" s="206"/>
      <c r="S3237" s="206"/>
      <c r="T3237" s="204"/>
      <c r="U3237" s="207"/>
      <c r="V3237" s="204"/>
      <c r="W3237" s="204"/>
      <c r="X3237" s="207"/>
      <c r="Y3237" s="207"/>
      <c r="Z3237" s="204"/>
      <c r="AA3237" s="204"/>
      <c r="AB3237" s="204"/>
      <c r="AC3237" s="204"/>
    </row>
    <row r="3238" spans="1:29">
      <c r="A3238" s="204"/>
      <c r="B3238" s="204"/>
      <c r="C3238" s="204"/>
      <c r="D3238" s="204"/>
      <c r="E3238" s="204"/>
      <c r="F3238" s="204"/>
      <c r="G3238" s="204"/>
      <c r="H3238" s="204"/>
      <c r="I3238" s="204"/>
      <c r="J3238" s="204"/>
      <c r="K3238" s="204"/>
      <c r="L3238" s="205"/>
      <c r="M3238" s="205"/>
      <c r="N3238" s="204"/>
      <c r="O3238" s="204"/>
      <c r="P3238" s="206"/>
      <c r="Q3238" s="206"/>
      <c r="R3238" s="206"/>
      <c r="S3238" s="206"/>
      <c r="T3238" s="204"/>
      <c r="U3238" s="207"/>
      <c r="V3238" s="204"/>
      <c r="W3238" s="204"/>
      <c r="X3238" s="207"/>
      <c r="Y3238" s="207"/>
      <c r="Z3238" s="204"/>
      <c r="AA3238" s="204"/>
      <c r="AB3238" s="204"/>
      <c r="AC3238" s="204"/>
    </row>
    <row r="3239" spans="1:29">
      <c r="A3239" s="204"/>
      <c r="B3239" s="204"/>
      <c r="C3239" s="204"/>
      <c r="D3239" s="204"/>
      <c r="E3239" s="204"/>
      <c r="F3239" s="204"/>
      <c r="G3239" s="204"/>
      <c r="H3239" s="204"/>
      <c r="I3239" s="204"/>
      <c r="J3239" s="204"/>
      <c r="K3239" s="204"/>
      <c r="L3239" s="205"/>
      <c r="M3239" s="205"/>
      <c r="N3239" s="204"/>
      <c r="O3239" s="204"/>
      <c r="P3239" s="206"/>
      <c r="Q3239" s="206"/>
      <c r="R3239" s="206"/>
      <c r="S3239" s="206"/>
      <c r="T3239" s="204"/>
      <c r="U3239" s="207"/>
      <c r="V3239" s="204"/>
      <c r="W3239" s="204"/>
      <c r="X3239" s="207"/>
      <c r="Y3239" s="207"/>
      <c r="Z3239" s="204"/>
      <c r="AA3239" s="204"/>
      <c r="AB3239" s="204"/>
      <c r="AC3239" s="204"/>
    </row>
    <row r="3240" spans="1:29">
      <c r="A3240" s="204"/>
      <c r="B3240" s="204"/>
      <c r="C3240" s="204"/>
      <c r="D3240" s="204"/>
      <c r="E3240" s="204"/>
      <c r="F3240" s="204"/>
      <c r="G3240" s="204"/>
      <c r="H3240" s="204"/>
      <c r="I3240" s="204"/>
      <c r="J3240" s="204"/>
      <c r="K3240" s="204"/>
      <c r="L3240" s="205"/>
      <c r="M3240" s="205"/>
      <c r="N3240" s="204"/>
      <c r="O3240" s="204"/>
      <c r="P3240" s="206"/>
      <c r="Q3240" s="206"/>
      <c r="R3240" s="206"/>
      <c r="S3240" s="206"/>
      <c r="T3240" s="204"/>
      <c r="U3240" s="207"/>
      <c r="V3240" s="204"/>
      <c r="W3240" s="204"/>
      <c r="X3240" s="207"/>
      <c r="Y3240" s="207"/>
      <c r="Z3240" s="204"/>
      <c r="AA3240" s="204"/>
      <c r="AB3240" s="204"/>
      <c r="AC3240" s="204"/>
    </row>
    <row r="3241" spans="1:29">
      <c r="A3241" s="204"/>
      <c r="B3241" s="204"/>
      <c r="C3241" s="204"/>
      <c r="D3241" s="204"/>
      <c r="E3241" s="204"/>
      <c r="F3241" s="204"/>
      <c r="G3241" s="204"/>
      <c r="H3241" s="204"/>
      <c r="I3241" s="204"/>
      <c r="J3241" s="204"/>
      <c r="K3241" s="204"/>
      <c r="L3241" s="205"/>
      <c r="M3241" s="205"/>
      <c r="N3241" s="204"/>
      <c r="O3241" s="204"/>
      <c r="P3241" s="206"/>
      <c r="Q3241" s="206"/>
      <c r="R3241" s="206"/>
      <c r="S3241" s="206"/>
      <c r="T3241" s="204"/>
      <c r="U3241" s="207"/>
      <c r="V3241" s="204"/>
      <c r="W3241" s="204"/>
      <c r="X3241" s="207"/>
      <c r="Y3241" s="207"/>
      <c r="Z3241" s="204"/>
      <c r="AA3241" s="204"/>
      <c r="AB3241" s="204"/>
      <c r="AC3241" s="204"/>
    </row>
    <row r="3242" spans="1:29">
      <c r="A3242" s="204"/>
      <c r="B3242" s="204"/>
      <c r="C3242" s="204"/>
      <c r="D3242" s="204"/>
      <c r="E3242" s="204"/>
      <c r="F3242" s="204"/>
      <c r="G3242" s="204"/>
      <c r="H3242" s="204"/>
      <c r="I3242" s="204"/>
      <c r="J3242" s="204"/>
      <c r="K3242" s="204"/>
      <c r="L3242" s="205"/>
      <c r="M3242" s="205"/>
      <c r="N3242" s="204"/>
      <c r="O3242" s="204"/>
      <c r="P3242" s="206"/>
      <c r="Q3242" s="206"/>
      <c r="R3242" s="206"/>
      <c r="S3242" s="206"/>
      <c r="T3242" s="204"/>
      <c r="U3242" s="207"/>
      <c r="V3242" s="204"/>
      <c r="W3242" s="204"/>
      <c r="X3242" s="207"/>
      <c r="Y3242" s="207"/>
      <c r="Z3242" s="204"/>
      <c r="AA3242" s="204"/>
      <c r="AB3242" s="204"/>
      <c r="AC3242" s="204"/>
    </row>
    <row r="3243" spans="1:29">
      <c r="A3243" s="204"/>
      <c r="B3243" s="204"/>
      <c r="C3243" s="204"/>
      <c r="D3243" s="204"/>
      <c r="E3243" s="204"/>
      <c r="F3243" s="204"/>
      <c r="G3243" s="204"/>
      <c r="H3243" s="204"/>
      <c r="I3243" s="204"/>
      <c r="J3243" s="204"/>
      <c r="K3243" s="204"/>
      <c r="L3243" s="205"/>
      <c r="M3243" s="205"/>
      <c r="N3243" s="204"/>
      <c r="O3243" s="204"/>
      <c r="P3243" s="206"/>
      <c r="Q3243" s="206"/>
      <c r="R3243" s="206"/>
      <c r="S3243" s="206"/>
      <c r="T3243" s="204"/>
      <c r="U3243" s="207"/>
      <c r="V3243" s="204"/>
      <c r="W3243" s="204"/>
      <c r="X3243" s="207"/>
      <c r="Y3243" s="207"/>
      <c r="Z3243" s="204"/>
      <c r="AA3243" s="204"/>
      <c r="AB3243" s="204"/>
      <c r="AC3243" s="204"/>
    </row>
    <row r="3244" spans="1:29">
      <c r="A3244" s="204"/>
      <c r="B3244" s="204"/>
      <c r="C3244" s="204"/>
      <c r="D3244" s="204"/>
      <c r="E3244" s="204"/>
      <c r="F3244" s="204"/>
      <c r="G3244" s="204"/>
      <c r="H3244" s="204"/>
      <c r="I3244" s="204"/>
      <c r="J3244" s="204"/>
      <c r="K3244" s="204"/>
      <c r="L3244" s="205"/>
      <c r="M3244" s="205"/>
      <c r="N3244" s="204"/>
      <c r="O3244" s="204"/>
      <c r="P3244" s="206"/>
      <c r="Q3244" s="206"/>
      <c r="R3244" s="206"/>
      <c r="S3244" s="206"/>
      <c r="T3244" s="204"/>
      <c r="U3244" s="207"/>
      <c r="V3244" s="204"/>
      <c r="W3244" s="204"/>
      <c r="X3244" s="207"/>
      <c r="Y3244" s="207"/>
      <c r="Z3244" s="204"/>
      <c r="AA3244" s="204"/>
      <c r="AB3244" s="204"/>
      <c r="AC3244" s="204"/>
    </row>
    <row r="3245" spans="1:29">
      <c r="A3245" s="204"/>
      <c r="B3245" s="204"/>
      <c r="C3245" s="204"/>
      <c r="D3245" s="204"/>
      <c r="E3245" s="204"/>
      <c r="F3245" s="204"/>
      <c r="G3245" s="204"/>
      <c r="H3245" s="204"/>
      <c r="I3245" s="204"/>
      <c r="J3245" s="204"/>
      <c r="K3245" s="204"/>
      <c r="L3245" s="205"/>
      <c r="M3245" s="205"/>
      <c r="N3245" s="204"/>
      <c r="O3245" s="204"/>
      <c r="P3245" s="206"/>
      <c r="Q3245" s="206"/>
      <c r="R3245" s="206"/>
      <c r="S3245" s="206"/>
      <c r="T3245" s="204"/>
      <c r="U3245" s="207"/>
      <c r="V3245" s="204"/>
      <c r="W3245" s="204"/>
      <c r="X3245" s="207"/>
      <c r="Y3245" s="207"/>
      <c r="Z3245" s="204"/>
      <c r="AA3245" s="204"/>
      <c r="AB3245" s="204"/>
      <c r="AC3245" s="204"/>
    </row>
    <row r="3246" spans="1:29">
      <c r="A3246" s="204"/>
      <c r="B3246" s="204"/>
      <c r="C3246" s="204"/>
      <c r="D3246" s="204"/>
      <c r="E3246" s="204"/>
      <c r="F3246" s="204"/>
      <c r="G3246" s="204"/>
      <c r="H3246" s="204"/>
      <c r="I3246" s="204"/>
      <c r="J3246" s="204"/>
      <c r="K3246" s="204"/>
      <c r="L3246" s="205"/>
      <c r="M3246" s="205"/>
      <c r="N3246" s="204"/>
      <c r="O3246" s="204"/>
      <c r="P3246" s="206"/>
      <c r="Q3246" s="206"/>
      <c r="R3246" s="206"/>
      <c r="S3246" s="206"/>
      <c r="T3246" s="204"/>
      <c r="U3246" s="207"/>
      <c r="V3246" s="204"/>
      <c r="W3246" s="204"/>
      <c r="X3246" s="207"/>
      <c r="Y3246" s="207"/>
      <c r="Z3246" s="204"/>
      <c r="AA3246" s="204"/>
      <c r="AB3246" s="204"/>
      <c r="AC3246" s="204"/>
    </row>
    <row r="3247" spans="1:29">
      <c r="A3247" s="204"/>
      <c r="B3247" s="204"/>
      <c r="C3247" s="204"/>
      <c r="D3247" s="204"/>
      <c r="E3247" s="204"/>
      <c r="F3247" s="204"/>
      <c r="G3247" s="204"/>
      <c r="H3247" s="204"/>
      <c r="I3247" s="204"/>
      <c r="J3247" s="204"/>
      <c r="K3247" s="204"/>
      <c r="L3247" s="205"/>
      <c r="M3247" s="205"/>
      <c r="N3247" s="204"/>
      <c r="O3247" s="204"/>
      <c r="P3247" s="206"/>
      <c r="Q3247" s="206"/>
      <c r="R3247" s="206"/>
      <c r="S3247" s="206"/>
      <c r="T3247" s="204"/>
      <c r="U3247" s="207"/>
      <c r="V3247" s="204"/>
      <c r="W3247" s="204"/>
      <c r="X3247" s="207"/>
      <c r="Y3247" s="207"/>
      <c r="Z3247" s="204"/>
      <c r="AA3247" s="204"/>
      <c r="AB3247" s="204"/>
      <c r="AC3247" s="204"/>
    </row>
    <row r="3248" spans="1:29">
      <c r="A3248" s="204"/>
      <c r="B3248" s="204"/>
      <c r="C3248" s="204"/>
      <c r="D3248" s="204"/>
      <c r="E3248" s="204"/>
      <c r="F3248" s="204"/>
      <c r="G3248" s="204"/>
      <c r="H3248" s="204"/>
      <c r="I3248" s="204"/>
      <c r="J3248" s="204"/>
      <c r="K3248" s="204"/>
      <c r="L3248" s="205"/>
      <c r="M3248" s="205"/>
      <c r="N3248" s="204"/>
      <c r="O3248" s="204"/>
      <c r="P3248" s="206"/>
      <c r="Q3248" s="206"/>
      <c r="R3248" s="206"/>
      <c r="S3248" s="206"/>
      <c r="T3248" s="204"/>
      <c r="U3248" s="207"/>
      <c r="V3248" s="204"/>
      <c r="W3248" s="204"/>
      <c r="X3248" s="207"/>
      <c r="Y3248" s="207"/>
      <c r="Z3248" s="204"/>
      <c r="AA3248" s="204"/>
      <c r="AB3248" s="204"/>
      <c r="AC3248" s="204"/>
    </row>
    <row r="3249" spans="1:29">
      <c r="A3249" s="204"/>
      <c r="B3249" s="204"/>
      <c r="C3249" s="204"/>
      <c r="D3249" s="204"/>
      <c r="E3249" s="204"/>
      <c r="F3249" s="204"/>
      <c r="G3249" s="204"/>
      <c r="H3249" s="204"/>
      <c r="I3249" s="204"/>
      <c r="J3249" s="204"/>
      <c r="K3249" s="204"/>
      <c r="L3249" s="205"/>
      <c r="M3249" s="205"/>
      <c r="N3249" s="204"/>
      <c r="O3249" s="204"/>
      <c r="P3249" s="206"/>
      <c r="Q3249" s="206"/>
      <c r="R3249" s="206"/>
      <c r="S3249" s="206"/>
      <c r="T3249" s="204"/>
      <c r="U3249" s="207"/>
      <c r="V3249" s="204"/>
      <c r="W3249" s="204"/>
      <c r="X3249" s="207"/>
      <c r="Y3249" s="207"/>
      <c r="Z3249" s="204"/>
      <c r="AA3249" s="204"/>
      <c r="AB3249" s="204"/>
      <c r="AC3249" s="204"/>
    </row>
    <row r="3250" spans="1:29">
      <c r="A3250" s="204"/>
      <c r="B3250" s="204"/>
      <c r="C3250" s="204"/>
      <c r="D3250" s="204"/>
      <c r="E3250" s="204"/>
      <c r="F3250" s="204"/>
      <c r="G3250" s="204"/>
      <c r="H3250" s="204"/>
      <c r="I3250" s="204"/>
      <c r="J3250" s="204"/>
      <c r="K3250" s="204"/>
      <c r="L3250" s="205"/>
      <c r="M3250" s="205"/>
      <c r="N3250" s="204"/>
      <c r="O3250" s="204"/>
      <c r="P3250" s="206"/>
      <c r="Q3250" s="206"/>
      <c r="R3250" s="206"/>
      <c r="S3250" s="206"/>
      <c r="T3250" s="204"/>
      <c r="U3250" s="207"/>
      <c r="V3250" s="204"/>
      <c r="W3250" s="204"/>
      <c r="X3250" s="207"/>
      <c r="Y3250" s="207"/>
      <c r="Z3250" s="204"/>
      <c r="AA3250" s="204"/>
      <c r="AB3250" s="204"/>
      <c r="AC3250" s="204"/>
    </row>
    <row r="3251" spans="1:29">
      <c r="A3251" s="204"/>
      <c r="B3251" s="204"/>
      <c r="C3251" s="204"/>
      <c r="D3251" s="204"/>
      <c r="E3251" s="204"/>
      <c r="F3251" s="204"/>
      <c r="G3251" s="204"/>
      <c r="H3251" s="204"/>
      <c r="I3251" s="204"/>
      <c r="J3251" s="204"/>
      <c r="K3251" s="204"/>
      <c r="L3251" s="205"/>
      <c r="M3251" s="205"/>
      <c r="N3251" s="204"/>
      <c r="O3251" s="204"/>
      <c r="P3251" s="206"/>
      <c r="Q3251" s="206"/>
      <c r="R3251" s="206"/>
      <c r="S3251" s="206"/>
      <c r="T3251" s="204"/>
      <c r="U3251" s="207"/>
      <c r="V3251" s="204"/>
      <c r="W3251" s="204"/>
      <c r="X3251" s="207"/>
      <c r="Y3251" s="207"/>
      <c r="Z3251" s="204"/>
      <c r="AA3251" s="204"/>
      <c r="AB3251" s="204"/>
      <c r="AC3251" s="204"/>
    </row>
    <row r="3252" spans="1:29">
      <c r="A3252" s="204"/>
      <c r="B3252" s="204"/>
      <c r="C3252" s="204"/>
      <c r="D3252" s="204"/>
      <c r="E3252" s="204"/>
      <c r="F3252" s="204"/>
      <c r="G3252" s="204"/>
      <c r="H3252" s="204"/>
      <c r="I3252" s="204"/>
      <c r="J3252" s="204"/>
      <c r="K3252" s="204"/>
      <c r="L3252" s="205"/>
      <c r="M3252" s="205"/>
      <c r="N3252" s="204"/>
      <c r="O3252" s="204"/>
      <c r="P3252" s="206"/>
      <c r="Q3252" s="206"/>
      <c r="R3252" s="206"/>
      <c r="S3252" s="206"/>
      <c r="T3252" s="204"/>
      <c r="U3252" s="207"/>
      <c r="V3252" s="204"/>
      <c r="W3252" s="204"/>
      <c r="X3252" s="207"/>
      <c r="Y3252" s="207"/>
      <c r="Z3252" s="204"/>
      <c r="AA3252" s="204"/>
      <c r="AB3252" s="204"/>
      <c r="AC3252" s="204"/>
    </row>
    <row r="3253" spans="1:29">
      <c r="A3253" s="204"/>
      <c r="B3253" s="204"/>
      <c r="C3253" s="204"/>
      <c r="D3253" s="204"/>
      <c r="E3253" s="204"/>
      <c r="F3253" s="204"/>
      <c r="G3253" s="204"/>
      <c r="H3253" s="204"/>
      <c r="I3253" s="204"/>
      <c r="J3253" s="204"/>
      <c r="K3253" s="204"/>
      <c r="L3253" s="205"/>
      <c r="M3253" s="205"/>
      <c r="N3253" s="204"/>
      <c r="O3253" s="204"/>
      <c r="P3253" s="206"/>
      <c r="Q3253" s="206"/>
      <c r="R3253" s="206"/>
      <c r="S3253" s="206"/>
      <c r="T3253" s="204"/>
      <c r="U3253" s="207"/>
      <c r="V3253" s="204"/>
      <c r="W3253" s="204"/>
      <c r="X3253" s="207"/>
      <c r="Y3253" s="207"/>
      <c r="Z3253" s="204"/>
      <c r="AA3253" s="204"/>
      <c r="AB3253" s="204"/>
      <c r="AC3253" s="204"/>
    </row>
    <row r="3254" spans="1:29">
      <c r="A3254" s="204"/>
      <c r="B3254" s="204"/>
      <c r="C3254" s="204"/>
      <c r="D3254" s="204"/>
      <c r="E3254" s="204"/>
      <c r="F3254" s="204"/>
      <c r="G3254" s="204"/>
      <c r="H3254" s="204"/>
      <c r="I3254" s="204"/>
      <c r="J3254" s="204"/>
      <c r="K3254" s="204"/>
      <c r="L3254" s="205"/>
      <c r="M3254" s="205"/>
      <c r="N3254" s="204"/>
      <c r="O3254" s="204"/>
      <c r="P3254" s="206"/>
      <c r="Q3254" s="206"/>
      <c r="R3254" s="206"/>
      <c r="S3254" s="206"/>
      <c r="T3254" s="204"/>
      <c r="U3254" s="207"/>
      <c r="V3254" s="204"/>
      <c r="W3254" s="204"/>
      <c r="X3254" s="207"/>
      <c r="Y3254" s="207"/>
      <c r="Z3254" s="204"/>
      <c r="AA3254" s="204"/>
      <c r="AB3254" s="204"/>
      <c r="AC3254" s="204"/>
    </row>
    <row r="3255" spans="1:29">
      <c r="A3255" s="204"/>
      <c r="B3255" s="204"/>
      <c r="C3255" s="204"/>
      <c r="D3255" s="204"/>
      <c r="E3255" s="204"/>
      <c r="F3255" s="204"/>
      <c r="G3255" s="204"/>
      <c r="H3255" s="204"/>
      <c r="I3255" s="204"/>
      <c r="J3255" s="204"/>
      <c r="K3255" s="204"/>
      <c r="L3255" s="205"/>
      <c r="M3255" s="205"/>
      <c r="N3255" s="204"/>
      <c r="O3255" s="204"/>
      <c r="P3255" s="206"/>
      <c r="Q3255" s="206"/>
      <c r="R3255" s="206"/>
      <c r="S3255" s="206"/>
      <c r="T3255" s="204"/>
      <c r="U3255" s="207"/>
      <c r="V3255" s="204"/>
      <c r="W3255" s="204"/>
      <c r="X3255" s="207"/>
      <c r="Y3255" s="207"/>
      <c r="Z3255" s="204"/>
      <c r="AA3255" s="204"/>
      <c r="AB3255" s="204"/>
      <c r="AC3255" s="204"/>
    </row>
    <row r="3256" spans="1:29">
      <c r="A3256" s="204"/>
      <c r="B3256" s="204"/>
      <c r="C3256" s="204"/>
      <c r="D3256" s="204"/>
      <c r="E3256" s="204"/>
      <c r="F3256" s="204"/>
      <c r="G3256" s="204"/>
      <c r="H3256" s="204"/>
      <c r="I3256" s="204"/>
      <c r="J3256" s="204"/>
      <c r="K3256" s="204"/>
      <c r="L3256" s="205"/>
      <c r="M3256" s="205"/>
      <c r="N3256" s="204"/>
      <c r="O3256" s="204"/>
      <c r="P3256" s="206"/>
      <c r="Q3256" s="206"/>
      <c r="R3256" s="206"/>
      <c r="S3256" s="206"/>
      <c r="T3256" s="204"/>
      <c r="U3256" s="207"/>
      <c r="V3256" s="204"/>
      <c r="W3256" s="204"/>
      <c r="X3256" s="207"/>
      <c r="Y3256" s="207"/>
      <c r="Z3256" s="204"/>
      <c r="AA3256" s="204"/>
      <c r="AB3256" s="204"/>
      <c r="AC3256" s="204"/>
    </row>
    <row r="3257" spans="1:29">
      <c r="A3257" s="204"/>
      <c r="B3257" s="204"/>
      <c r="C3257" s="204"/>
      <c r="D3257" s="204"/>
      <c r="E3257" s="204"/>
      <c r="F3257" s="204"/>
      <c r="G3257" s="204"/>
      <c r="H3257" s="204"/>
      <c r="I3257" s="204"/>
      <c r="J3257" s="204"/>
      <c r="K3257" s="204"/>
      <c r="L3257" s="205"/>
      <c r="M3257" s="205"/>
      <c r="N3257" s="204"/>
      <c r="O3257" s="204"/>
      <c r="P3257" s="206"/>
      <c r="Q3257" s="206"/>
      <c r="R3257" s="206"/>
      <c r="S3257" s="206"/>
      <c r="T3257" s="204"/>
      <c r="U3257" s="207"/>
      <c r="V3257" s="204"/>
      <c r="W3257" s="204"/>
      <c r="X3257" s="207"/>
      <c r="Y3257" s="207"/>
      <c r="Z3257" s="204"/>
      <c r="AA3257" s="204"/>
      <c r="AB3257" s="204"/>
      <c r="AC3257" s="204"/>
    </row>
    <row r="3258" spans="1:29">
      <c r="A3258" s="204"/>
      <c r="B3258" s="204"/>
      <c r="C3258" s="204"/>
      <c r="D3258" s="204"/>
      <c r="E3258" s="204"/>
      <c r="F3258" s="204"/>
      <c r="G3258" s="204"/>
      <c r="H3258" s="204"/>
      <c r="I3258" s="204"/>
      <c r="J3258" s="204"/>
      <c r="K3258" s="204"/>
      <c r="L3258" s="205"/>
      <c r="M3258" s="205"/>
      <c r="N3258" s="204"/>
      <c r="O3258" s="204"/>
      <c r="P3258" s="206"/>
      <c r="Q3258" s="206"/>
      <c r="R3258" s="206"/>
      <c r="S3258" s="206"/>
      <c r="T3258" s="204"/>
      <c r="U3258" s="207"/>
      <c r="V3258" s="204"/>
      <c r="W3258" s="204"/>
      <c r="X3258" s="207"/>
      <c r="Y3258" s="207"/>
      <c r="Z3258" s="204"/>
      <c r="AA3258" s="204"/>
      <c r="AB3258" s="204"/>
      <c r="AC3258" s="204"/>
    </row>
    <row r="3259" spans="1:29">
      <c r="A3259" s="204"/>
      <c r="B3259" s="204"/>
      <c r="C3259" s="204"/>
      <c r="D3259" s="204"/>
      <c r="E3259" s="204"/>
      <c r="F3259" s="204"/>
      <c r="G3259" s="204"/>
      <c r="H3259" s="204"/>
      <c r="I3259" s="204"/>
      <c r="J3259" s="204"/>
      <c r="K3259" s="204"/>
      <c r="L3259" s="205"/>
      <c r="M3259" s="205"/>
      <c r="N3259" s="204"/>
      <c r="O3259" s="204"/>
      <c r="P3259" s="206"/>
      <c r="Q3259" s="206"/>
      <c r="R3259" s="206"/>
      <c r="S3259" s="206"/>
      <c r="T3259" s="204"/>
      <c r="U3259" s="207"/>
      <c r="V3259" s="204"/>
      <c r="W3259" s="204"/>
      <c r="X3259" s="207"/>
      <c r="Y3259" s="207"/>
      <c r="Z3259" s="204"/>
      <c r="AA3259" s="204"/>
      <c r="AB3259" s="204"/>
      <c r="AC3259" s="204"/>
    </row>
    <row r="3260" spans="1:29">
      <c r="A3260" s="204"/>
      <c r="B3260" s="204"/>
      <c r="C3260" s="204"/>
      <c r="D3260" s="204"/>
      <c r="E3260" s="204"/>
      <c r="F3260" s="204"/>
      <c r="G3260" s="204"/>
      <c r="H3260" s="204"/>
      <c r="I3260" s="204"/>
      <c r="J3260" s="204"/>
      <c r="K3260" s="204"/>
      <c r="L3260" s="205"/>
      <c r="M3260" s="205"/>
      <c r="N3260" s="204"/>
      <c r="O3260" s="204"/>
      <c r="P3260" s="206"/>
      <c r="Q3260" s="206"/>
      <c r="R3260" s="206"/>
      <c r="S3260" s="206"/>
      <c r="T3260" s="204"/>
      <c r="U3260" s="207"/>
      <c r="V3260" s="204"/>
      <c r="W3260" s="204"/>
      <c r="X3260" s="207"/>
      <c r="Y3260" s="207"/>
      <c r="Z3260" s="204"/>
      <c r="AA3260" s="204"/>
      <c r="AB3260" s="204"/>
      <c r="AC3260" s="204"/>
    </row>
    <row r="3261" spans="1:29">
      <c r="A3261" s="204"/>
      <c r="B3261" s="204"/>
      <c r="C3261" s="204"/>
      <c r="D3261" s="204"/>
      <c r="E3261" s="204"/>
      <c r="F3261" s="204"/>
      <c r="G3261" s="204"/>
      <c r="H3261" s="204"/>
      <c r="I3261" s="204"/>
      <c r="J3261" s="204"/>
      <c r="K3261" s="204"/>
      <c r="L3261" s="205"/>
      <c r="M3261" s="205"/>
      <c r="N3261" s="204"/>
      <c r="O3261" s="204"/>
      <c r="P3261" s="206"/>
      <c r="Q3261" s="206"/>
      <c r="R3261" s="206"/>
      <c r="S3261" s="206"/>
      <c r="T3261" s="204"/>
      <c r="U3261" s="207"/>
      <c r="V3261" s="204"/>
      <c r="W3261" s="204"/>
      <c r="X3261" s="207"/>
      <c r="Y3261" s="207"/>
      <c r="Z3261" s="204"/>
      <c r="AA3261" s="204"/>
      <c r="AB3261" s="204"/>
      <c r="AC3261" s="204"/>
    </row>
    <row r="3262" spans="1:29">
      <c r="A3262" s="204"/>
      <c r="B3262" s="204"/>
      <c r="C3262" s="204"/>
      <c r="D3262" s="204"/>
      <c r="E3262" s="204"/>
      <c r="F3262" s="204"/>
      <c r="G3262" s="204"/>
      <c r="H3262" s="204"/>
      <c r="I3262" s="204"/>
      <c r="J3262" s="204"/>
      <c r="K3262" s="204"/>
      <c r="L3262" s="205"/>
      <c r="M3262" s="205"/>
      <c r="N3262" s="204"/>
      <c r="O3262" s="204"/>
      <c r="P3262" s="206"/>
      <c r="Q3262" s="206"/>
      <c r="R3262" s="206"/>
      <c r="S3262" s="206"/>
      <c r="T3262" s="204"/>
      <c r="U3262" s="207"/>
      <c r="V3262" s="204"/>
      <c r="W3262" s="204"/>
      <c r="X3262" s="207"/>
      <c r="Y3262" s="207"/>
      <c r="Z3262" s="204"/>
      <c r="AA3262" s="204"/>
      <c r="AB3262" s="204"/>
      <c r="AC3262" s="204"/>
    </row>
    <row r="3263" spans="1:29">
      <c r="A3263" s="204"/>
      <c r="B3263" s="204"/>
      <c r="C3263" s="204"/>
      <c r="D3263" s="204"/>
      <c r="E3263" s="204"/>
      <c r="F3263" s="204"/>
      <c r="G3263" s="204"/>
      <c r="H3263" s="204"/>
      <c r="I3263" s="204"/>
      <c r="J3263" s="204"/>
      <c r="K3263" s="204"/>
      <c r="L3263" s="205"/>
      <c r="M3263" s="205"/>
      <c r="N3263" s="204"/>
      <c r="O3263" s="204"/>
      <c r="P3263" s="206"/>
      <c r="Q3263" s="206"/>
      <c r="R3263" s="206"/>
      <c r="S3263" s="206"/>
      <c r="T3263" s="204"/>
      <c r="U3263" s="207"/>
      <c r="V3263" s="204"/>
      <c r="W3263" s="204"/>
      <c r="X3263" s="207"/>
      <c r="Y3263" s="207"/>
      <c r="Z3263" s="204"/>
      <c r="AA3263" s="204"/>
      <c r="AB3263" s="204"/>
      <c r="AC3263" s="204"/>
    </row>
    <row r="3264" spans="1:29">
      <c r="A3264" s="204"/>
      <c r="B3264" s="204"/>
      <c r="C3264" s="204"/>
      <c r="D3264" s="204"/>
      <c r="E3264" s="204"/>
      <c r="F3264" s="204"/>
      <c r="G3264" s="204"/>
      <c r="H3264" s="204"/>
      <c r="I3264" s="204"/>
      <c r="J3264" s="204"/>
      <c r="K3264" s="204"/>
      <c r="L3264" s="205"/>
      <c r="M3264" s="205"/>
      <c r="N3264" s="204"/>
      <c r="O3264" s="204"/>
      <c r="P3264" s="206"/>
      <c r="Q3264" s="206"/>
      <c r="R3264" s="206"/>
      <c r="S3264" s="206"/>
      <c r="T3264" s="204"/>
      <c r="U3264" s="207"/>
      <c r="V3264" s="204"/>
      <c r="W3264" s="204"/>
      <c r="X3264" s="207"/>
      <c r="Y3264" s="207"/>
      <c r="Z3264" s="204"/>
      <c r="AA3264" s="204"/>
      <c r="AB3264" s="204"/>
      <c r="AC3264" s="204"/>
    </row>
    <row r="3265" spans="1:29">
      <c r="A3265" s="204"/>
      <c r="B3265" s="204"/>
      <c r="C3265" s="204"/>
      <c r="D3265" s="204"/>
      <c r="E3265" s="204"/>
      <c r="F3265" s="204"/>
      <c r="G3265" s="204"/>
      <c r="H3265" s="204"/>
      <c r="I3265" s="204"/>
      <c r="J3265" s="204"/>
      <c r="K3265" s="204"/>
      <c r="L3265" s="205"/>
      <c r="M3265" s="205"/>
      <c r="N3265" s="204"/>
      <c r="O3265" s="204"/>
      <c r="P3265" s="206"/>
      <c r="Q3265" s="206"/>
      <c r="R3265" s="206"/>
      <c r="S3265" s="206"/>
      <c r="T3265" s="204"/>
      <c r="U3265" s="207"/>
      <c r="V3265" s="204"/>
      <c r="W3265" s="204"/>
      <c r="X3265" s="207"/>
      <c r="Y3265" s="207"/>
      <c r="Z3265" s="204"/>
      <c r="AA3265" s="204"/>
      <c r="AB3265" s="204"/>
      <c r="AC3265" s="204"/>
    </row>
    <row r="3266" spans="1:29">
      <c r="A3266" s="204"/>
      <c r="B3266" s="204"/>
      <c r="C3266" s="204"/>
      <c r="D3266" s="204"/>
      <c r="E3266" s="204"/>
      <c r="F3266" s="204"/>
      <c r="G3266" s="204"/>
      <c r="H3266" s="204"/>
      <c r="I3266" s="204"/>
      <c r="J3266" s="204"/>
      <c r="K3266" s="204"/>
      <c r="L3266" s="205"/>
      <c r="M3266" s="205"/>
      <c r="N3266" s="204"/>
      <c r="O3266" s="204"/>
      <c r="P3266" s="206"/>
      <c r="Q3266" s="206"/>
      <c r="R3266" s="206"/>
      <c r="S3266" s="206"/>
      <c r="T3266" s="204"/>
      <c r="U3266" s="207"/>
      <c r="V3266" s="204"/>
      <c r="W3266" s="204"/>
      <c r="X3266" s="207"/>
      <c r="Y3266" s="207"/>
      <c r="Z3266" s="204"/>
      <c r="AA3266" s="204"/>
      <c r="AB3266" s="204"/>
      <c r="AC3266" s="204"/>
    </row>
    <row r="3267" spans="1:29">
      <c r="A3267" s="204"/>
      <c r="B3267" s="204"/>
      <c r="C3267" s="204"/>
      <c r="D3267" s="204"/>
      <c r="E3267" s="204"/>
      <c r="F3267" s="204"/>
      <c r="G3267" s="204"/>
      <c r="H3267" s="204"/>
      <c r="I3267" s="204"/>
      <c r="J3267" s="204"/>
      <c r="K3267" s="204"/>
      <c r="L3267" s="205"/>
      <c r="M3267" s="205"/>
      <c r="N3267" s="204"/>
      <c r="O3267" s="204"/>
      <c r="P3267" s="206"/>
      <c r="Q3267" s="206"/>
      <c r="R3267" s="206"/>
      <c r="S3267" s="206"/>
      <c r="T3267" s="204"/>
      <c r="U3267" s="207"/>
      <c r="V3267" s="204"/>
      <c r="W3267" s="204"/>
      <c r="X3267" s="207"/>
      <c r="Y3267" s="207"/>
      <c r="Z3267" s="204"/>
      <c r="AA3267" s="204"/>
      <c r="AB3267" s="204"/>
      <c r="AC3267" s="204"/>
    </row>
    <row r="3268" spans="1:29">
      <c r="A3268" s="204"/>
      <c r="B3268" s="204"/>
      <c r="C3268" s="204"/>
      <c r="D3268" s="204"/>
      <c r="E3268" s="204"/>
      <c r="F3268" s="204"/>
      <c r="G3268" s="204"/>
      <c r="H3268" s="204"/>
      <c r="I3268" s="204"/>
      <c r="J3268" s="204"/>
      <c r="K3268" s="204"/>
      <c r="L3268" s="205"/>
      <c r="M3268" s="205"/>
      <c r="N3268" s="204"/>
      <c r="O3268" s="204"/>
      <c r="P3268" s="206"/>
      <c r="Q3268" s="206"/>
      <c r="R3268" s="206"/>
      <c r="S3268" s="206"/>
      <c r="T3268" s="204"/>
      <c r="U3268" s="207"/>
      <c r="V3268" s="204"/>
      <c r="W3268" s="204"/>
      <c r="X3268" s="207"/>
      <c r="Y3268" s="207"/>
      <c r="Z3268" s="204"/>
      <c r="AA3268" s="204"/>
      <c r="AB3268" s="204"/>
      <c r="AC3268" s="204"/>
    </row>
    <row r="3269" spans="1:29">
      <c r="A3269" s="204"/>
      <c r="B3269" s="204"/>
      <c r="C3269" s="204"/>
      <c r="D3269" s="204"/>
      <c r="E3269" s="204"/>
      <c r="F3269" s="204"/>
      <c r="G3269" s="204"/>
      <c r="H3269" s="204"/>
      <c r="I3269" s="204"/>
      <c r="J3269" s="204"/>
      <c r="K3269" s="204"/>
      <c r="L3269" s="205"/>
      <c r="M3269" s="205"/>
      <c r="N3269" s="204"/>
      <c r="O3269" s="204"/>
      <c r="P3269" s="206"/>
      <c r="Q3269" s="206"/>
      <c r="R3269" s="206"/>
      <c r="S3269" s="206"/>
      <c r="T3269" s="204"/>
      <c r="U3269" s="207"/>
      <c r="V3269" s="204"/>
      <c r="W3269" s="204"/>
      <c r="X3269" s="207"/>
      <c r="Y3269" s="207"/>
      <c r="Z3269" s="204"/>
      <c r="AA3269" s="204"/>
      <c r="AB3269" s="204"/>
      <c r="AC3269" s="204"/>
    </row>
    <row r="3270" spans="1:29">
      <c r="A3270" s="204"/>
      <c r="B3270" s="204"/>
      <c r="C3270" s="204"/>
      <c r="D3270" s="204"/>
      <c r="E3270" s="204"/>
      <c r="F3270" s="204"/>
      <c r="G3270" s="204"/>
      <c r="H3270" s="204"/>
      <c r="I3270" s="204"/>
      <c r="J3270" s="204"/>
      <c r="K3270" s="204"/>
      <c r="L3270" s="205"/>
      <c r="M3270" s="205"/>
      <c r="N3270" s="204"/>
      <c r="O3270" s="204"/>
      <c r="P3270" s="206"/>
      <c r="Q3270" s="206"/>
      <c r="R3270" s="206"/>
      <c r="S3270" s="206"/>
      <c r="T3270" s="204"/>
      <c r="U3270" s="207"/>
      <c r="V3270" s="204"/>
      <c r="W3270" s="204"/>
      <c r="X3270" s="207"/>
      <c r="Y3270" s="207"/>
      <c r="Z3270" s="204"/>
      <c r="AA3270" s="204"/>
      <c r="AB3270" s="204"/>
      <c r="AC3270" s="204"/>
    </row>
    <row r="3271" spans="1:29">
      <c r="A3271" s="204"/>
      <c r="B3271" s="204"/>
      <c r="C3271" s="204"/>
      <c r="D3271" s="204"/>
      <c r="E3271" s="204"/>
      <c r="F3271" s="204"/>
      <c r="G3271" s="204"/>
      <c r="H3271" s="204"/>
      <c r="I3271" s="204"/>
      <c r="J3271" s="204"/>
      <c r="K3271" s="204"/>
      <c r="L3271" s="205"/>
      <c r="M3271" s="205"/>
      <c r="N3271" s="204"/>
      <c r="O3271" s="204"/>
      <c r="P3271" s="206"/>
      <c r="Q3271" s="206"/>
      <c r="R3271" s="206"/>
      <c r="S3271" s="206"/>
      <c r="T3271" s="204"/>
      <c r="U3271" s="207"/>
      <c r="V3271" s="204"/>
      <c r="W3271" s="204"/>
      <c r="X3271" s="207"/>
      <c r="Y3271" s="207"/>
      <c r="Z3271" s="204"/>
      <c r="AA3271" s="204"/>
      <c r="AB3271" s="204"/>
      <c r="AC3271" s="204"/>
    </row>
    <row r="3272" spans="1:29">
      <c r="A3272" s="204"/>
      <c r="B3272" s="204"/>
      <c r="C3272" s="204"/>
      <c r="D3272" s="204"/>
      <c r="E3272" s="204"/>
      <c r="F3272" s="204"/>
      <c r="G3272" s="204"/>
      <c r="H3272" s="204"/>
      <c r="I3272" s="204"/>
      <c r="J3272" s="204"/>
      <c r="K3272" s="204"/>
      <c r="L3272" s="205"/>
      <c r="M3272" s="205"/>
      <c r="N3272" s="204"/>
      <c r="O3272" s="204"/>
      <c r="P3272" s="206"/>
      <c r="Q3272" s="206"/>
      <c r="R3272" s="206"/>
      <c r="S3272" s="206"/>
      <c r="T3272" s="204"/>
      <c r="U3272" s="207"/>
      <c r="V3272" s="204"/>
      <c r="W3272" s="204"/>
      <c r="X3272" s="207"/>
      <c r="Y3272" s="207"/>
      <c r="Z3272" s="204"/>
      <c r="AA3272" s="204"/>
      <c r="AB3272" s="204"/>
      <c r="AC3272" s="204"/>
    </row>
    <row r="3273" spans="1:29">
      <c r="A3273" s="204"/>
      <c r="B3273" s="204"/>
      <c r="C3273" s="204"/>
      <c r="D3273" s="204"/>
      <c r="E3273" s="204"/>
      <c r="F3273" s="204"/>
      <c r="G3273" s="204"/>
      <c r="H3273" s="204"/>
      <c r="I3273" s="204"/>
      <c r="J3273" s="204"/>
      <c r="K3273" s="204"/>
      <c r="L3273" s="205"/>
      <c r="M3273" s="205"/>
      <c r="N3273" s="204"/>
      <c r="O3273" s="204"/>
      <c r="P3273" s="206"/>
      <c r="Q3273" s="206"/>
      <c r="R3273" s="206"/>
      <c r="S3273" s="206"/>
      <c r="T3273" s="204"/>
      <c r="U3273" s="207"/>
      <c r="V3273" s="204"/>
      <c r="W3273" s="204"/>
      <c r="X3273" s="207"/>
      <c r="Y3273" s="207"/>
      <c r="Z3273" s="204"/>
      <c r="AA3273" s="204"/>
      <c r="AB3273" s="204"/>
      <c r="AC3273" s="204"/>
    </row>
    <row r="3274" spans="1:29">
      <c r="A3274" s="204"/>
      <c r="B3274" s="204"/>
      <c r="C3274" s="204"/>
      <c r="D3274" s="204"/>
      <c r="E3274" s="204"/>
      <c r="F3274" s="204"/>
      <c r="G3274" s="204"/>
      <c r="H3274" s="204"/>
      <c r="I3274" s="204"/>
      <c r="J3274" s="204"/>
      <c r="K3274" s="204"/>
      <c r="L3274" s="205"/>
      <c r="M3274" s="205"/>
      <c r="N3274" s="204"/>
      <c r="O3274" s="204"/>
      <c r="P3274" s="206"/>
      <c r="Q3274" s="206"/>
      <c r="R3274" s="206"/>
      <c r="S3274" s="206"/>
      <c r="T3274" s="204"/>
      <c r="U3274" s="207"/>
      <c r="V3274" s="204"/>
      <c r="W3274" s="204"/>
      <c r="X3274" s="207"/>
      <c r="Y3274" s="207"/>
      <c r="Z3274" s="204"/>
      <c r="AA3274" s="204"/>
      <c r="AB3274" s="204"/>
      <c r="AC3274" s="204"/>
    </row>
    <row r="3275" spans="1:29">
      <c r="A3275" s="204"/>
      <c r="B3275" s="204"/>
      <c r="C3275" s="204"/>
      <c r="D3275" s="204"/>
      <c r="E3275" s="204"/>
      <c r="F3275" s="204"/>
      <c r="G3275" s="204"/>
      <c r="H3275" s="204"/>
      <c r="I3275" s="204"/>
      <c r="J3275" s="204"/>
      <c r="K3275" s="204"/>
      <c r="L3275" s="205"/>
      <c r="M3275" s="205"/>
      <c r="N3275" s="204"/>
      <c r="O3275" s="204"/>
      <c r="P3275" s="206"/>
      <c r="Q3275" s="206"/>
      <c r="R3275" s="206"/>
      <c r="S3275" s="206"/>
      <c r="T3275" s="204"/>
      <c r="U3275" s="207"/>
      <c r="V3275" s="204"/>
      <c r="W3275" s="204"/>
      <c r="X3275" s="207"/>
      <c r="Y3275" s="207"/>
      <c r="Z3275" s="204"/>
      <c r="AA3275" s="204"/>
      <c r="AB3275" s="204"/>
      <c r="AC3275" s="204"/>
    </row>
    <row r="3276" spans="1:29">
      <c r="A3276" s="204"/>
      <c r="B3276" s="204"/>
      <c r="C3276" s="204"/>
      <c r="D3276" s="204"/>
      <c r="E3276" s="204"/>
      <c r="F3276" s="204"/>
      <c r="G3276" s="204"/>
      <c r="H3276" s="204"/>
      <c r="I3276" s="204"/>
      <c r="J3276" s="204"/>
      <c r="K3276" s="204"/>
      <c r="L3276" s="205"/>
      <c r="M3276" s="205"/>
      <c r="N3276" s="204"/>
      <c r="O3276" s="204"/>
      <c r="P3276" s="206"/>
      <c r="Q3276" s="206"/>
      <c r="R3276" s="206"/>
      <c r="S3276" s="206"/>
      <c r="T3276" s="204"/>
      <c r="U3276" s="207"/>
      <c r="V3276" s="204"/>
      <c r="W3276" s="204"/>
      <c r="X3276" s="207"/>
      <c r="Y3276" s="207"/>
      <c r="Z3276" s="204"/>
      <c r="AA3276" s="204"/>
      <c r="AB3276" s="204"/>
      <c r="AC3276" s="204"/>
    </row>
    <row r="3277" spans="1:29">
      <c r="A3277" s="204"/>
      <c r="B3277" s="204"/>
      <c r="C3277" s="204"/>
      <c r="D3277" s="204"/>
      <c r="E3277" s="204"/>
      <c r="F3277" s="204"/>
      <c r="G3277" s="204"/>
      <c r="H3277" s="204"/>
      <c r="I3277" s="204"/>
      <c r="J3277" s="204"/>
      <c r="K3277" s="204"/>
      <c r="L3277" s="205"/>
      <c r="M3277" s="205"/>
      <c r="N3277" s="204"/>
      <c r="O3277" s="204"/>
      <c r="P3277" s="206"/>
      <c r="Q3277" s="206"/>
      <c r="R3277" s="206"/>
      <c r="S3277" s="206"/>
      <c r="T3277" s="204"/>
      <c r="U3277" s="207"/>
      <c r="V3277" s="204"/>
      <c r="W3277" s="204"/>
      <c r="X3277" s="207"/>
      <c r="Y3277" s="207"/>
      <c r="Z3277" s="204"/>
      <c r="AA3277" s="204"/>
      <c r="AB3277" s="204"/>
      <c r="AC3277" s="204"/>
    </row>
    <row r="3278" spans="1:29">
      <c r="A3278" s="204"/>
      <c r="B3278" s="204"/>
      <c r="C3278" s="204"/>
      <c r="D3278" s="204"/>
      <c r="E3278" s="204"/>
      <c r="F3278" s="204"/>
      <c r="G3278" s="204"/>
      <c r="H3278" s="204"/>
      <c r="I3278" s="204"/>
      <c r="J3278" s="204"/>
      <c r="K3278" s="204"/>
      <c r="L3278" s="205"/>
      <c r="M3278" s="205"/>
      <c r="N3278" s="204"/>
      <c r="O3278" s="204"/>
      <c r="P3278" s="206"/>
      <c r="Q3278" s="206"/>
      <c r="R3278" s="206"/>
      <c r="S3278" s="206"/>
      <c r="T3278" s="204"/>
      <c r="U3278" s="207"/>
      <c r="V3278" s="204"/>
      <c r="W3278" s="204"/>
      <c r="X3278" s="207"/>
      <c r="Y3278" s="207"/>
      <c r="Z3278" s="204"/>
      <c r="AA3278" s="204"/>
      <c r="AB3278" s="204"/>
      <c r="AC3278" s="204"/>
    </row>
    <row r="3279" spans="1:29">
      <c r="A3279" s="204"/>
      <c r="B3279" s="204"/>
      <c r="C3279" s="204"/>
      <c r="D3279" s="204"/>
      <c r="E3279" s="204"/>
      <c r="F3279" s="204"/>
      <c r="G3279" s="204"/>
      <c r="H3279" s="204"/>
      <c r="I3279" s="204"/>
      <c r="J3279" s="204"/>
      <c r="K3279" s="204"/>
      <c r="L3279" s="205"/>
      <c r="M3279" s="205"/>
      <c r="N3279" s="204"/>
      <c r="O3279" s="204"/>
      <c r="P3279" s="206"/>
      <c r="Q3279" s="206"/>
      <c r="R3279" s="206"/>
      <c r="S3279" s="206"/>
      <c r="T3279" s="204"/>
      <c r="U3279" s="207"/>
      <c r="V3279" s="204"/>
      <c r="W3279" s="204"/>
      <c r="X3279" s="207"/>
      <c r="Y3279" s="207"/>
      <c r="Z3279" s="204"/>
      <c r="AA3279" s="204"/>
      <c r="AB3279" s="204"/>
      <c r="AC3279" s="204"/>
    </row>
    <row r="3280" spans="1:29">
      <c r="A3280" s="204"/>
      <c r="B3280" s="204"/>
      <c r="C3280" s="204"/>
      <c r="D3280" s="204"/>
      <c r="E3280" s="204"/>
      <c r="F3280" s="204"/>
      <c r="G3280" s="204"/>
      <c r="H3280" s="204"/>
      <c r="I3280" s="204"/>
      <c r="J3280" s="204"/>
      <c r="K3280" s="204"/>
      <c r="L3280" s="205"/>
      <c r="M3280" s="205"/>
      <c r="N3280" s="204"/>
      <c r="O3280" s="204"/>
      <c r="P3280" s="206"/>
      <c r="Q3280" s="206"/>
      <c r="R3280" s="206"/>
      <c r="S3280" s="206"/>
      <c r="T3280" s="204"/>
      <c r="U3280" s="207"/>
      <c r="V3280" s="204"/>
      <c r="W3280" s="204"/>
      <c r="X3280" s="207"/>
      <c r="Y3280" s="207"/>
      <c r="Z3280" s="204"/>
      <c r="AA3280" s="204"/>
      <c r="AB3280" s="204"/>
      <c r="AC3280" s="204"/>
    </row>
    <row r="3281" spans="1:29">
      <c r="A3281" s="204"/>
      <c r="B3281" s="204"/>
      <c r="C3281" s="204"/>
      <c r="D3281" s="204"/>
      <c r="E3281" s="204"/>
      <c r="F3281" s="204"/>
      <c r="G3281" s="204"/>
      <c r="H3281" s="204"/>
      <c r="I3281" s="204"/>
      <c r="J3281" s="204"/>
      <c r="K3281" s="204"/>
      <c r="L3281" s="205"/>
      <c r="M3281" s="205"/>
      <c r="N3281" s="204"/>
      <c r="O3281" s="204"/>
      <c r="P3281" s="206"/>
      <c r="Q3281" s="206"/>
      <c r="R3281" s="206"/>
      <c r="S3281" s="206"/>
      <c r="T3281" s="204"/>
      <c r="U3281" s="207"/>
      <c r="V3281" s="204"/>
      <c r="W3281" s="204"/>
      <c r="X3281" s="207"/>
      <c r="Y3281" s="207"/>
      <c r="Z3281" s="204"/>
      <c r="AA3281" s="204"/>
      <c r="AB3281" s="204"/>
      <c r="AC3281" s="204"/>
    </row>
    <row r="3282" spans="1:29">
      <c r="A3282" s="204"/>
      <c r="B3282" s="204"/>
      <c r="C3282" s="204"/>
      <c r="D3282" s="204"/>
      <c r="E3282" s="204"/>
      <c r="F3282" s="204"/>
      <c r="G3282" s="204"/>
      <c r="H3282" s="204"/>
      <c r="I3282" s="204"/>
      <c r="J3282" s="204"/>
      <c r="K3282" s="204"/>
      <c r="L3282" s="205"/>
      <c r="M3282" s="205"/>
      <c r="N3282" s="204"/>
      <c r="O3282" s="204"/>
      <c r="P3282" s="206"/>
      <c r="Q3282" s="206"/>
      <c r="R3282" s="206"/>
      <c r="S3282" s="206"/>
      <c r="T3282" s="204"/>
      <c r="U3282" s="207"/>
      <c r="V3282" s="204"/>
      <c r="W3282" s="204"/>
      <c r="X3282" s="207"/>
      <c r="Y3282" s="207"/>
      <c r="Z3282" s="204"/>
      <c r="AA3282" s="204"/>
      <c r="AB3282" s="204"/>
      <c r="AC3282" s="204"/>
    </row>
    <row r="3283" spans="1:29">
      <c r="A3283" s="204"/>
      <c r="B3283" s="204"/>
      <c r="C3283" s="204"/>
      <c r="D3283" s="204"/>
      <c r="E3283" s="204"/>
      <c r="F3283" s="204"/>
      <c r="G3283" s="204"/>
      <c r="H3283" s="204"/>
      <c r="I3283" s="204"/>
      <c r="J3283" s="204"/>
      <c r="K3283" s="204"/>
      <c r="L3283" s="205"/>
      <c r="M3283" s="205"/>
      <c r="N3283" s="204"/>
      <c r="O3283" s="204"/>
      <c r="P3283" s="206"/>
      <c r="Q3283" s="206"/>
      <c r="R3283" s="206"/>
      <c r="S3283" s="206"/>
      <c r="T3283" s="204"/>
      <c r="U3283" s="207"/>
      <c r="V3283" s="204"/>
      <c r="W3283" s="204"/>
      <c r="X3283" s="207"/>
      <c r="Y3283" s="207"/>
      <c r="Z3283" s="204"/>
      <c r="AA3283" s="204"/>
      <c r="AB3283" s="204"/>
      <c r="AC3283" s="204"/>
    </row>
    <row r="3284" spans="1:29">
      <c r="A3284" s="204"/>
      <c r="B3284" s="204"/>
      <c r="C3284" s="204"/>
      <c r="D3284" s="204"/>
      <c r="E3284" s="204"/>
      <c r="F3284" s="204"/>
      <c r="G3284" s="204"/>
      <c r="H3284" s="204"/>
      <c r="I3284" s="204"/>
      <c r="J3284" s="204"/>
      <c r="K3284" s="204"/>
      <c r="L3284" s="205"/>
      <c r="M3284" s="205"/>
      <c r="N3284" s="204"/>
      <c r="O3284" s="204"/>
      <c r="P3284" s="206"/>
      <c r="Q3284" s="206"/>
      <c r="R3284" s="206"/>
      <c r="S3284" s="206"/>
      <c r="T3284" s="204"/>
      <c r="U3284" s="207"/>
      <c r="V3284" s="204"/>
      <c r="W3284" s="204"/>
      <c r="X3284" s="207"/>
      <c r="Y3284" s="207"/>
      <c r="Z3284" s="204"/>
      <c r="AA3284" s="204"/>
      <c r="AB3284" s="204"/>
      <c r="AC3284" s="204"/>
    </row>
    <row r="3285" spans="1:29">
      <c r="A3285" s="204"/>
      <c r="B3285" s="204"/>
      <c r="C3285" s="204"/>
      <c r="D3285" s="204"/>
      <c r="E3285" s="204"/>
      <c r="F3285" s="204"/>
      <c r="G3285" s="204"/>
      <c r="H3285" s="204"/>
      <c r="I3285" s="204"/>
      <c r="J3285" s="204"/>
      <c r="K3285" s="204"/>
      <c r="L3285" s="205"/>
      <c r="M3285" s="205"/>
      <c r="N3285" s="204"/>
      <c r="O3285" s="204"/>
      <c r="P3285" s="206"/>
      <c r="Q3285" s="206"/>
      <c r="R3285" s="206"/>
      <c r="S3285" s="206"/>
      <c r="T3285" s="204"/>
      <c r="U3285" s="207"/>
      <c r="V3285" s="204"/>
      <c r="W3285" s="204"/>
      <c r="X3285" s="207"/>
      <c r="Y3285" s="207"/>
      <c r="Z3285" s="204"/>
      <c r="AA3285" s="204"/>
      <c r="AB3285" s="204"/>
      <c r="AC3285" s="204"/>
    </row>
    <row r="3286" spans="1:29">
      <c r="A3286" s="204"/>
      <c r="B3286" s="204"/>
      <c r="C3286" s="204"/>
      <c r="D3286" s="204"/>
      <c r="E3286" s="204"/>
      <c r="F3286" s="204"/>
      <c r="G3286" s="204"/>
      <c r="H3286" s="204"/>
      <c r="I3286" s="204"/>
      <c r="J3286" s="204"/>
      <c r="K3286" s="204"/>
      <c r="L3286" s="205"/>
      <c r="M3286" s="205"/>
      <c r="N3286" s="204"/>
      <c r="O3286" s="204"/>
      <c r="P3286" s="206"/>
      <c r="Q3286" s="206"/>
      <c r="R3286" s="206"/>
      <c r="S3286" s="206"/>
      <c r="T3286" s="204"/>
      <c r="U3286" s="207"/>
      <c r="V3286" s="204"/>
      <c r="W3286" s="204"/>
      <c r="X3286" s="207"/>
      <c r="Y3286" s="207"/>
      <c r="Z3286" s="204"/>
      <c r="AA3286" s="204"/>
      <c r="AB3286" s="204"/>
      <c r="AC3286" s="204"/>
    </row>
    <row r="3287" spans="1:29">
      <c r="A3287" s="204"/>
      <c r="B3287" s="204"/>
      <c r="C3287" s="204"/>
      <c r="D3287" s="204"/>
      <c r="E3287" s="204"/>
      <c r="F3287" s="204"/>
      <c r="G3287" s="204"/>
      <c r="H3287" s="204"/>
      <c r="I3287" s="204"/>
      <c r="J3287" s="204"/>
      <c r="K3287" s="204"/>
      <c r="L3287" s="205"/>
      <c r="M3287" s="205"/>
      <c r="N3287" s="204"/>
      <c r="O3287" s="204"/>
      <c r="P3287" s="206"/>
      <c r="Q3287" s="206"/>
      <c r="R3287" s="206"/>
      <c r="S3287" s="206"/>
      <c r="T3287" s="204"/>
      <c r="U3287" s="207"/>
      <c r="V3287" s="204"/>
      <c r="W3287" s="204"/>
      <c r="X3287" s="207"/>
      <c r="Y3287" s="207"/>
      <c r="Z3287" s="204"/>
      <c r="AA3287" s="204"/>
      <c r="AB3287" s="204"/>
      <c r="AC3287" s="204"/>
    </row>
    <row r="3288" spans="1:29">
      <c r="A3288" s="204"/>
      <c r="B3288" s="204"/>
      <c r="C3288" s="204"/>
      <c r="D3288" s="204"/>
      <c r="E3288" s="204"/>
      <c r="F3288" s="204"/>
      <c r="G3288" s="204"/>
      <c r="H3288" s="204"/>
      <c r="I3288" s="204"/>
      <c r="J3288" s="204"/>
      <c r="K3288" s="204"/>
      <c r="L3288" s="205"/>
      <c r="M3288" s="205"/>
      <c r="N3288" s="204"/>
      <c r="O3288" s="204"/>
      <c r="P3288" s="206"/>
      <c r="Q3288" s="206"/>
      <c r="R3288" s="206"/>
      <c r="S3288" s="206"/>
      <c r="T3288" s="204"/>
      <c r="U3288" s="207"/>
      <c r="V3288" s="204"/>
      <c r="W3288" s="204"/>
      <c r="X3288" s="207"/>
      <c r="Y3288" s="207"/>
      <c r="Z3288" s="204"/>
      <c r="AA3288" s="204"/>
      <c r="AB3288" s="204"/>
      <c r="AC3288" s="204"/>
    </row>
    <row r="3289" spans="1:29">
      <c r="A3289" s="204"/>
      <c r="B3289" s="204"/>
      <c r="C3289" s="204"/>
      <c r="D3289" s="204"/>
      <c r="E3289" s="204"/>
      <c r="F3289" s="204"/>
      <c r="G3289" s="204"/>
      <c r="H3289" s="204"/>
      <c r="I3289" s="204"/>
      <c r="J3289" s="204"/>
      <c r="K3289" s="204"/>
      <c r="L3289" s="205"/>
      <c r="M3289" s="205"/>
      <c r="N3289" s="204"/>
      <c r="O3289" s="204"/>
      <c r="P3289" s="206"/>
      <c r="Q3289" s="206"/>
      <c r="R3289" s="206"/>
      <c r="S3289" s="206"/>
      <c r="T3289" s="204"/>
      <c r="U3289" s="207"/>
      <c r="V3289" s="204"/>
      <c r="W3289" s="204"/>
      <c r="X3289" s="207"/>
      <c r="Y3289" s="207"/>
      <c r="Z3289" s="204"/>
      <c r="AA3289" s="204"/>
      <c r="AB3289" s="204"/>
      <c r="AC3289" s="204"/>
    </row>
    <row r="3290" spans="1:29">
      <c r="A3290" s="204"/>
      <c r="B3290" s="204"/>
      <c r="C3290" s="204"/>
      <c r="D3290" s="204"/>
      <c r="E3290" s="204"/>
      <c r="F3290" s="204"/>
      <c r="G3290" s="204"/>
      <c r="H3290" s="204"/>
      <c r="I3290" s="204"/>
      <c r="J3290" s="204"/>
      <c r="K3290" s="204"/>
      <c r="L3290" s="205"/>
      <c r="M3290" s="205"/>
      <c r="N3290" s="204"/>
      <c r="O3290" s="204"/>
      <c r="P3290" s="206"/>
      <c r="Q3290" s="206"/>
      <c r="R3290" s="206"/>
      <c r="S3290" s="206"/>
      <c r="T3290" s="204"/>
      <c r="U3290" s="207"/>
      <c r="V3290" s="204"/>
      <c r="W3290" s="204"/>
      <c r="X3290" s="207"/>
      <c r="Y3290" s="207"/>
      <c r="Z3290" s="204"/>
      <c r="AA3290" s="204"/>
      <c r="AB3290" s="204"/>
      <c r="AC3290" s="204"/>
    </row>
    <row r="3291" spans="1:29">
      <c r="A3291" s="204"/>
      <c r="B3291" s="204"/>
      <c r="C3291" s="204"/>
      <c r="D3291" s="204"/>
      <c r="E3291" s="204"/>
      <c r="F3291" s="204"/>
      <c r="G3291" s="204"/>
      <c r="H3291" s="204"/>
      <c r="I3291" s="204"/>
      <c r="J3291" s="204"/>
      <c r="K3291" s="204"/>
      <c r="L3291" s="205"/>
      <c r="M3291" s="205"/>
      <c r="N3291" s="204"/>
      <c r="O3291" s="204"/>
      <c r="P3291" s="206"/>
      <c r="Q3291" s="206"/>
      <c r="R3291" s="206"/>
      <c r="S3291" s="206"/>
      <c r="T3291" s="204"/>
      <c r="U3291" s="207"/>
      <c r="V3291" s="204"/>
      <c r="W3291" s="204"/>
      <c r="X3291" s="207"/>
      <c r="Y3291" s="207"/>
      <c r="Z3291" s="204"/>
      <c r="AA3291" s="204"/>
      <c r="AB3291" s="204"/>
      <c r="AC3291" s="204"/>
    </row>
    <row r="3292" spans="1:29">
      <c r="A3292" s="204"/>
      <c r="B3292" s="204"/>
      <c r="C3292" s="204"/>
      <c r="D3292" s="204"/>
      <c r="E3292" s="204"/>
      <c r="F3292" s="204"/>
      <c r="G3292" s="204"/>
      <c r="H3292" s="204"/>
      <c r="I3292" s="204"/>
      <c r="J3292" s="204"/>
      <c r="K3292" s="204"/>
      <c r="L3292" s="205"/>
      <c r="M3292" s="205"/>
      <c r="N3292" s="204"/>
      <c r="O3292" s="204"/>
      <c r="P3292" s="206"/>
      <c r="Q3292" s="206"/>
      <c r="R3292" s="206"/>
      <c r="S3292" s="206"/>
      <c r="T3292" s="204"/>
      <c r="U3292" s="207"/>
      <c r="V3292" s="204"/>
      <c r="W3292" s="204"/>
      <c r="X3292" s="207"/>
      <c r="Y3292" s="207"/>
      <c r="Z3292" s="204"/>
      <c r="AA3292" s="204"/>
      <c r="AB3292" s="204"/>
      <c r="AC3292" s="204"/>
    </row>
    <row r="3293" spans="1:29">
      <c r="A3293" s="204"/>
      <c r="B3293" s="204"/>
      <c r="C3293" s="204"/>
      <c r="D3293" s="204"/>
      <c r="E3293" s="204"/>
      <c r="F3293" s="204"/>
      <c r="G3293" s="204"/>
      <c r="H3293" s="204"/>
      <c r="I3293" s="204"/>
      <c r="J3293" s="204"/>
      <c r="K3293" s="204"/>
      <c r="L3293" s="205"/>
      <c r="M3293" s="205"/>
      <c r="N3293" s="204"/>
      <c r="O3293" s="204"/>
      <c r="P3293" s="206"/>
      <c r="Q3293" s="206"/>
      <c r="R3293" s="206"/>
      <c r="S3293" s="206"/>
      <c r="T3293" s="204"/>
      <c r="U3293" s="207"/>
      <c r="V3293" s="204"/>
      <c r="W3293" s="204"/>
      <c r="X3293" s="207"/>
      <c r="Y3293" s="207"/>
      <c r="Z3293" s="204"/>
      <c r="AA3293" s="204"/>
      <c r="AB3293" s="204"/>
      <c r="AC3293" s="204"/>
    </row>
    <row r="3294" spans="1:29">
      <c r="A3294" s="204"/>
      <c r="B3294" s="204"/>
      <c r="C3294" s="204"/>
      <c r="D3294" s="204"/>
      <c r="E3294" s="204"/>
      <c r="F3294" s="204"/>
      <c r="G3294" s="204"/>
      <c r="H3294" s="204"/>
      <c r="I3294" s="204"/>
      <c r="J3294" s="204"/>
      <c r="K3294" s="204"/>
      <c r="L3294" s="205"/>
      <c r="M3294" s="205"/>
      <c r="N3294" s="204"/>
      <c r="O3294" s="204"/>
      <c r="P3294" s="206"/>
      <c r="Q3294" s="206"/>
      <c r="R3294" s="206"/>
      <c r="S3294" s="206"/>
      <c r="T3294" s="204"/>
      <c r="U3294" s="207"/>
      <c r="V3294" s="204"/>
      <c r="W3294" s="204"/>
      <c r="X3294" s="207"/>
      <c r="Y3294" s="207"/>
      <c r="Z3294" s="204"/>
      <c r="AA3294" s="204"/>
      <c r="AB3294" s="204"/>
      <c r="AC3294" s="204"/>
    </row>
    <row r="3295" spans="1:29">
      <c r="A3295" s="204"/>
      <c r="B3295" s="204"/>
      <c r="C3295" s="204"/>
      <c r="D3295" s="204"/>
      <c r="E3295" s="204"/>
      <c r="F3295" s="204"/>
      <c r="G3295" s="204"/>
      <c r="H3295" s="204"/>
      <c r="I3295" s="204"/>
      <c r="J3295" s="204"/>
      <c r="K3295" s="204"/>
      <c r="L3295" s="205"/>
      <c r="M3295" s="205"/>
      <c r="N3295" s="204"/>
      <c r="O3295" s="204"/>
      <c r="P3295" s="206"/>
      <c r="Q3295" s="206"/>
      <c r="R3295" s="206"/>
      <c r="S3295" s="206"/>
      <c r="T3295" s="204"/>
      <c r="U3295" s="207"/>
      <c r="V3295" s="204"/>
      <c r="W3295" s="204"/>
      <c r="X3295" s="207"/>
      <c r="Y3295" s="207"/>
      <c r="Z3295" s="204"/>
      <c r="AA3295" s="204"/>
      <c r="AB3295" s="204"/>
      <c r="AC3295" s="204"/>
    </row>
    <row r="3296" spans="1:29">
      <c r="A3296" s="204"/>
      <c r="B3296" s="204"/>
      <c r="C3296" s="204"/>
      <c r="D3296" s="204"/>
      <c r="E3296" s="204"/>
      <c r="F3296" s="204"/>
      <c r="G3296" s="204"/>
      <c r="H3296" s="204"/>
      <c r="I3296" s="204"/>
      <c r="J3296" s="204"/>
      <c r="K3296" s="204"/>
      <c r="L3296" s="205"/>
      <c r="M3296" s="205"/>
      <c r="N3296" s="204"/>
      <c r="O3296" s="204"/>
      <c r="P3296" s="206"/>
      <c r="Q3296" s="206"/>
      <c r="R3296" s="206"/>
      <c r="S3296" s="206"/>
      <c r="T3296" s="204"/>
      <c r="U3296" s="207"/>
      <c r="V3296" s="204"/>
      <c r="W3296" s="204"/>
      <c r="X3296" s="207"/>
      <c r="Y3296" s="207"/>
      <c r="Z3296" s="204"/>
      <c r="AA3296" s="204"/>
      <c r="AB3296" s="204"/>
      <c r="AC3296" s="204"/>
    </row>
    <row r="3297" spans="1:29">
      <c r="A3297" s="204"/>
      <c r="B3297" s="204"/>
      <c r="C3297" s="204"/>
      <c r="D3297" s="204"/>
      <c r="E3297" s="204"/>
      <c r="F3297" s="204"/>
      <c r="G3297" s="204"/>
      <c r="H3297" s="204"/>
      <c r="I3297" s="204"/>
      <c r="J3297" s="204"/>
      <c r="K3297" s="204"/>
      <c r="L3297" s="205"/>
      <c r="M3297" s="205"/>
      <c r="N3297" s="204"/>
      <c r="O3297" s="204"/>
      <c r="P3297" s="206"/>
      <c r="Q3297" s="206"/>
      <c r="R3297" s="206"/>
      <c r="S3297" s="206"/>
      <c r="T3297" s="204"/>
      <c r="U3297" s="207"/>
      <c r="V3297" s="204"/>
      <c r="W3297" s="204"/>
      <c r="X3297" s="207"/>
      <c r="Y3297" s="207"/>
      <c r="Z3297" s="204"/>
      <c r="AA3297" s="204"/>
      <c r="AB3297" s="204"/>
      <c r="AC3297" s="204"/>
    </row>
    <row r="3298" spans="1:29">
      <c r="A3298" s="204"/>
      <c r="B3298" s="204"/>
      <c r="C3298" s="204"/>
      <c r="D3298" s="204"/>
      <c r="E3298" s="204"/>
      <c r="F3298" s="204"/>
      <c r="G3298" s="204"/>
      <c r="H3298" s="204"/>
      <c r="I3298" s="204"/>
      <c r="J3298" s="204"/>
      <c r="K3298" s="204"/>
      <c r="L3298" s="205"/>
      <c r="M3298" s="205"/>
      <c r="N3298" s="204"/>
      <c r="O3298" s="204"/>
      <c r="P3298" s="206"/>
      <c r="Q3298" s="206"/>
      <c r="R3298" s="206"/>
      <c r="S3298" s="206"/>
      <c r="T3298" s="204"/>
      <c r="U3298" s="207"/>
      <c r="V3298" s="204"/>
      <c r="W3298" s="204"/>
      <c r="X3298" s="207"/>
      <c r="Y3298" s="207"/>
      <c r="Z3298" s="204"/>
      <c r="AA3298" s="204"/>
      <c r="AB3298" s="204"/>
      <c r="AC3298" s="204"/>
    </row>
    <row r="3299" spans="1:29">
      <c r="A3299" s="204"/>
      <c r="B3299" s="204"/>
      <c r="C3299" s="204"/>
      <c r="D3299" s="204"/>
      <c r="E3299" s="204"/>
      <c r="F3299" s="204"/>
      <c r="G3299" s="204"/>
      <c r="H3299" s="204"/>
      <c r="I3299" s="204"/>
      <c r="J3299" s="204"/>
      <c r="K3299" s="204"/>
      <c r="L3299" s="205"/>
      <c r="M3299" s="205"/>
      <c r="N3299" s="204"/>
      <c r="O3299" s="204"/>
      <c r="P3299" s="206"/>
      <c r="Q3299" s="206"/>
      <c r="R3299" s="206"/>
      <c r="S3299" s="206"/>
      <c r="T3299" s="204"/>
      <c r="U3299" s="207"/>
      <c r="V3299" s="204"/>
      <c r="W3299" s="204"/>
      <c r="X3299" s="207"/>
      <c r="Y3299" s="207"/>
      <c r="Z3299" s="204"/>
      <c r="AA3299" s="204"/>
      <c r="AB3299" s="204"/>
      <c r="AC3299" s="204"/>
    </row>
    <row r="3300" spans="1:29">
      <c r="A3300" s="204"/>
      <c r="B3300" s="204"/>
      <c r="C3300" s="204"/>
      <c r="D3300" s="204"/>
      <c r="E3300" s="204"/>
      <c r="F3300" s="204"/>
      <c r="G3300" s="204"/>
      <c r="H3300" s="204"/>
      <c r="I3300" s="204"/>
      <c r="J3300" s="204"/>
      <c r="K3300" s="204"/>
      <c r="L3300" s="205"/>
      <c r="M3300" s="205"/>
      <c r="N3300" s="204"/>
      <c r="O3300" s="204"/>
      <c r="P3300" s="206"/>
      <c r="Q3300" s="206"/>
      <c r="R3300" s="206"/>
      <c r="S3300" s="206"/>
      <c r="T3300" s="204"/>
      <c r="U3300" s="207"/>
      <c r="V3300" s="204"/>
      <c r="W3300" s="204"/>
      <c r="X3300" s="207"/>
      <c r="Y3300" s="207"/>
      <c r="Z3300" s="204"/>
      <c r="AA3300" s="204"/>
      <c r="AB3300" s="204"/>
      <c r="AC3300" s="204"/>
    </row>
    <row r="3301" spans="1:29">
      <c r="A3301" s="204"/>
      <c r="B3301" s="204"/>
      <c r="C3301" s="204"/>
      <c r="D3301" s="204"/>
      <c r="E3301" s="204"/>
      <c r="F3301" s="204"/>
      <c r="G3301" s="204"/>
      <c r="H3301" s="204"/>
      <c r="I3301" s="204"/>
      <c r="J3301" s="204"/>
      <c r="K3301" s="204"/>
      <c r="L3301" s="205"/>
      <c r="M3301" s="205"/>
      <c r="N3301" s="204"/>
      <c r="O3301" s="204"/>
      <c r="P3301" s="206"/>
      <c r="Q3301" s="206"/>
      <c r="R3301" s="206"/>
      <c r="S3301" s="206"/>
      <c r="T3301" s="204"/>
      <c r="U3301" s="207"/>
      <c r="V3301" s="204"/>
      <c r="W3301" s="204"/>
      <c r="X3301" s="207"/>
      <c r="Y3301" s="207"/>
      <c r="Z3301" s="204"/>
      <c r="AA3301" s="204"/>
      <c r="AB3301" s="204"/>
      <c r="AC3301" s="204"/>
    </row>
    <row r="3302" spans="1:29">
      <c r="A3302" s="204"/>
      <c r="B3302" s="204"/>
      <c r="C3302" s="204"/>
      <c r="D3302" s="204"/>
      <c r="E3302" s="204"/>
      <c r="F3302" s="204"/>
      <c r="G3302" s="204"/>
      <c r="H3302" s="204"/>
      <c r="I3302" s="204"/>
      <c r="J3302" s="204"/>
      <c r="K3302" s="204"/>
      <c r="L3302" s="205"/>
      <c r="M3302" s="205"/>
      <c r="N3302" s="204"/>
      <c r="O3302" s="204"/>
      <c r="P3302" s="206"/>
      <c r="Q3302" s="206"/>
      <c r="R3302" s="206"/>
      <c r="S3302" s="206"/>
      <c r="T3302" s="204"/>
      <c r="U3302" s="207"/>
      <c r="V3302" s="204"/>
      <c r="W3302" s="204"/>
      <c r="X3302" s="207"/>
      <c r="Y3302" s="207"/>
      <c r="Z3302" s="204"/>
      <c r="AA3302" s="204"/>
      <c r="AB3302" s="204"/>
      <c r="AC3302" s="204"/>
    </row>
    <row r="3303" spans="1:29">
      <c r="A3303" s="204"/>
      <c r="B3303" s="204"/>
      <c r="C3303" s="204"/>
      <c r="D3303" s="204"/>
      <c r="E3303" s="204"/>
      <c r="F3303" s="204"/>
      <c r="G3303" s="204"/>
      <c r="H3303" s="204"/>
      <c r="I3303" s="204"/>
      <c r="J3303" s="204"/>
      <c r="K3303" s="204"/>
      <c r="L3303" s="205"/>
      <c r="M3303" s="205"/>
      <c r="N3303" s="204"/>
      <c r="O3303" s="204"/>
      <c r="P3303" s="206"/>
      <c r="Q3303" s="206"/>
      <c r="R3303" s="206"/>
      <c r="S3303" s="206"/>
      <c r="T3303" s="204"/>
      <c r="U3303" s="207"/>
      <c r="V3303" s="204"/>
      <c r="W3303" s="204"/>
      <c r="X3303" s="207"/>
      <c r="Y3303" s="207"/>
      <c r="Z3303" s="204"/>
      <c r="AA3303" s="204"/>
      <c r="AB3303" s="204"/>
      <c r="AC3303" s="204"/>
    </row>
    <row r="3304" spans="1:29">
      <c r="A3304" s="204"/>
      <c r="B3304" s="204"/>
      <c r="C3304" s="204"/>
      <c r="D3304" s="204"/>
      <c r="E3304" s="204"/>
      <c r="F3304" s="204"/>
      <c r="G3304" s="204"/>
      <c r="H3304" s="204"/>
      <c r="I3304" s="204"/>
      <c r="J3304" s="204"/>
      <c r="K3304" s="204"/>
      <c r="L3304" s="205"/>
      <c r="M3304" s="205"/>
      <c r="N3304" s="204"/>
      <c r="O3304" s="204"/>
      <c r="P3304" s="206"/>
      <c r="Q3304" s="206"/>
      <c r="R3304" s="206"/>
      <c r="S3304" s="206"/>
      <c r="T3304" s="204"/>
      <c r="U3304" s="207"/>
      <c r="V3304" s="204"/>
      <c r="W3304" s="204"/>
      <c r="X3304" s="207"/>
      <c r="Y3304" s="207"/>
      <c r="Z3304" s="204"/>
      <c r="AA3304" s="204"/>
      <c r="AB3304" s="204"/>
      <c r="AC3304" s="204"/>
    </row>
    <row r="3305" spans="1:29">
      <c r="A3305" s="204"/>
      <c r="B3305" s="204"/>
      <c r="C3305" s="204"/>
      <c r="D3305" s="204"/>
      <c r="E3305" s="204"/>
      <c r="F3305" s="204"/>
      <c r="G3305" s="204"/>
      <c r="H3305" s="204"/>
      <c r="I3305" s="204"/>
      <c r="J3305" s="204"/>
      <c r="K3305" s="204"/>
      <c r="L3305" s="205"/>
      <c r="M3305" s="205"/>
      <c r="N3305" s="204"/>
      <c r="O3305" s="204"/>
      <c r="P3305" s="206"/>
      <c r="Q3305" s="206"/>
      <c r="R3305" s="206"/>
      <c r="S3305" s="206"/>
      <c r="T3305" s="204"/>
      <c r="U3305" s="207"/>
      <c r="V3305" s="204"/>
      <c r="W3305" s="204"/>
      <c r="X3305" s="207"/>
      <c r="Y3305" s="207"/>
      <c r="Z3305" s="204"/>
      <c r="AA3305" s="204"/>
      <c r="AB3305" s="204"/>
      <c r="AC3305" s="204"/>
    </row>
    <row r="3306" spans="1:29">
      <c r="A3306" s="204"/>
      <c r="B3306" s="204"/>
      <c r="C3306" s="204"/>
      <c r="D3306" s="204"/>
      <c r="E3306" s="204"/>
      <c r="F3306" s="204"/>
      <c r="G3306" s="204"/>
      <c r="H3306" s="204"/>
      <c r="I3306" s="204"/>
      <c r="J3306" s="204"/>
      <c r="K3306" s="204"/>
      <c r="L3306" s="205"/>
      <c r="M3306" s="205"/>
      <c r="N3306" s="204"/>
      <c r="O3306" s="204"/>
      <c r="P3306" s="206"/>
      <c r="Q3306" s="206"/>
      <c r="R3306" s="206"/>
      <c r="S3306" s="206"/>
      <c r="T3306" s="204"/>
      <c r="U3306" s="207"/>
      <c r="V3306" s="204"/>
      <c r="W3306" s="204"/>
      <c r="X3306" s="207"/>
      <c r="Y3306" s="207"/>
      <c r="Z3306" s="204"/>
      <c r="AA3306" s="204"/>
      <c r="AB3306" s="204"/>
      <c r="AC3306" s="204"/>
    </row>
    <row r="3307" spans="1:29">
      <c r="A3307" s="204"/>
      <c r="B3307" s="204"/>
      <c r="C3307" s="204"/>
      <c r="D3307" s="204"/>
      <c r="E3307" s="204"/>
      <c r="F3307" s="204"/>
      <c r="G3307" s="204"/>
      <c r="H3307" s="204"/>
      <c r="I3307" s="204"/>
      <c r="J3307" s="204"/>
      <c r="K3307" s="204"/>
      <c r="L3307" s="205"/>
      <c r="M3307" s="205"/>
      <c r="N3307" s="204"/>
      <c r="O3307" s="204"/>
      <c r="P3307" s="206"/>
      <c r="Q3307" s="206"/>
      <c r="R3307" s="206"/>
      <c r="S3307" s="206"/>
      <c r="T3307" s="204"/>
      <c r="U3307" s="207"/>
      <c r="V3307" s="204"/>
      <c r="W3307" s="204"/>
      <c r="X3307" s="207"/>
      <c r="Y3307" s="207"/>
      <c r="Z3307" s="204"/>
      <c r="AA3307" s="204"/>
      <c r="AB3307" s="204"/>
      <c r="AC3307" s="204"/>
    </row>
    <row r="3308" spans="1:29">
      <c r="A3308" s="204"/>
      <c r="B3308" s="204"/>
      <c r="C3308" s="204"/>
      <c r="D3308" s="204"/>
      <c r="E3308" s="204"/>
      <c r="F3308" s="204"/>
      <c r="G3308" s="204"/>
      <c r="H3308" s="204"/>
      <c r="I3308" s="204"/>
      <c r="J3308" s="204"/>
      <c r="K3308" s="204"/>
      <c r="L3308" s="205"/>
      <c r="M3308" s="205"/>
      <c r="N3308" s="204"/>
      <c r="O3308" s="204"/>
      <c r="P3308" s="206"/>
      <c r="Q3308" s="206"/>
      <c r="R3308" s="206"/>
      <c r="S3308" s="206"/>
      <c r="T3308" s="204"/>
      <c r="U3308" s="207"/>
      <c r="V3308" s="204"/>
      <c r="W3308" s="204"/>
      <c r="X3308" s="207"/>
      <c r="Y3308" s="207"/>
      <c r="Z3308" s="204"/>
      <c r="AA3308" s="204"/>
      <c r="AB3308" s="204"/>
      <c r="AC3308" s="204"/>
    </row>
    <row r="3309" spans="1:29">
      <c r="A3309" s="204"/>
      <c r="B3309" s="204"/>
      <c r="C3309" s="204"/>
      <c r="D3309" s="204"/>
      <c r="E3309" s="204"/>
      <c r="F3309" s="204"/>
      <c r="G3309" s="204"/>
      <c r="H3309" s="204"/>
      <c r="I3309" s="204"/>
      <c r="J3309" s="204"/>
      <c r="K3309" s="204"/>
      <c r="L3309" s="205"/>
      <c r="M3309" s="205"/>
      <c r="N3309" s="204"/>
      <c r="O3309" s="204"/>
      <c r="P3309" s="206"/>
      <c r="Q3309" s="206"/>
      <c r="R3309" s="206"/>
      <c r="S3309" s="206"/>
      <c r="T3309" s="204"/>
      <c r="U3309" s="207"/>
      <c r="V3309" s="204"/>
      <c r="W3309" s="204"/>
      <c r="X3309" s="207"/>
      <c r="Y3309" s="207"/>
      <c r="Z3309" s="204"/>
      <c r="AA3309" s="204"/>
      <c r="AB3309" s="204"/>
      <c r="AC3309" s="204"/>
    </row>
    <row r="3310" spans="1:29">
      <c r="A3310" s="204"/>
      <c r="B3310" s="204"/>
      <c r="C3310" s="204"/>
      <c r="D3310" s="204"/>
      <c r="E3310" s="204"/>
      <c r="F3310" s="204"/>
      <c r="G3310" s="204"/>
      <c r="H3310" s="204"/>
      <c r="I3310" s="204"/>
      <c r="J3310" s="204"/>
      <c r="K3310" s="204"/>
      <c r="L3310" s="205"/>
      <c r="M3310" s="205"/>
      <c r="N3310" s="204"/>
      <c r="O3310" s="204"/>
      <c r="P3310" s="206"/>
      <c r="Q3310" s="206"/>
      <c r="R3310" s="206"/>
      <c r="S3310" s="206"/>
      <c r="T3310" s="204"/>
      <c r="U3310" s="207"/>
      <c r="V3310" s="204"/>
      <c r="W3310" s="204"/>
      <c r="X3310" s="207"/>
      <c r="Y3310" s="207"/>
      <c r="Z3310" s="204"/>
      <c r="AA3310" s="204"/>
      <c r="AB3310" s="204"/>
      <c r="AC3310" s="204"/>
    </row>
    <row r="3311" spans="1:29">
      <c r="A3311" s="204"/>
      <c r="B3311" s="204"/>
      <c r="C3311" s="204"/>
      <c r="D3311" s="204"/>
      <c r="E3311" s="204"/>
      <c r="F3311" s="204"/>
      <c r="G3311" s="204"/>
      <c r="H3311" s="204"/>
      <c r="I3311" s="204"/>
      <c r="J3311" s="204"/>
      <c r="K3311" s="204"/>
      <c r="L3311" s="205"/>
      <c r="M3311" s="205"/>
      <c r="N3311" s="204"/>
      <c r="O3311" s="204"/>
      <c r="P3311" s="206"/>
      <c r="Q3311" s="206"/>
      <c r="R3311" s="206"/>
      <c r="S3311" s="206"/>
      <c r="T3311" s="204"/>
      <c r="U3311" s="207"/>
      <c r="V3311" s="204"/>
      <c r="W3311" s="204"/>
      <c r="X3311" s="207"/>
      <c r="Y3311" s="207"/>
      <c r="Z3311" s="204"/>
      <c r="AA3311" s="204"/>
      <c r="AB3311" s="204"/>
      <c r="AC3311" s="204"/>
    </row>
    <row r="3312" spans="1:29">
      <c r="A3312" s="204"/>
      <c r="B3312" s="204"/>
      <c r="C3312" s="204"/>
      <c r="D3312" s="204"/>
      <c r="E3312" s="204"/>
      <c r="F3312" s="204"/>
      <c r="G3312" s="204"/>
      <c r="H3312" s="204"/>
      <c r="I3312" s="204"/>
      <c r="J3312" s="204"/>
      <c r="K3312" s="204"/>
      <c r="L3312" s="205"/>
      <c r="M3312" s="205"/>
      <c r="N3312" s="204"/>
      <c r="O3312" s="204"/>
      <c r="P3312" s="206"/>
      <c r="Q3312" s="206"/>
      <c r="R3312" s="206"/>
      <c r="S3312" s="206"/>
      <c r="T3312" s="204"/>
      <c r="U3312" s="207"/>
      <c r="V3312" s="204"/>
      <c r="W3312" s="204"/>
      <c r="X3312" s="207"/>
      <c r="Y3312" s="207"/>
      <c r="Z3312" s="204"/>
      <c r="AA3312" s="204"/>
      <c r="AB3312" s="204"/>
      <c r="AC3312" s="204"/>
    </row>
    <row r="3313" spans="1:29">
      <c r="A3313" s="204"/>
      <c r="B3313" s="204"/>
      <c r="C3313" s="204"/>
      <c r="D3313" s="204"/>
      <c r="E3313" s="204"/>
      <c r="F3313" s="204"/>
      <c r="G3313" s="204"/>
      <c r="H3313" s="204"/>
      <c r="I3313" s="204"/>
      <c r="J3313" s="204"/>
      <c r="K3313" s="204"/>
      <c r="L3313" s="205"/>
      <c r="M3313" s="205"/>
      <c r="N3313" s="204"/>
      <c r="O3313" s="204"/>
      <c r="P3313" s="206"/>
      <c r="Q3313" s="206"/>
      <c r="R3313" s="206"/>
      <c r="S3313" s="206"/>
      <c r="T3313" s="204"/>
      <c r="U3313" s="207"/>
      <c r="V3313" s="204"/>
      <c r="W3313" s="204"/>
      <c r="X3313" s="207"/>
      <c r="Y3313" s="207"/>
      <c r="Z3313" s="204"/>
      <c r="AA3313" s="204"/>
      <c r="AB3313" s="204"/>
      <c r="AC3313" s="204"/>
    </row>
    <row r="3314" spans="1:29">
      <c r="A3314" s="204"/>
      <c r="B3314" s="204"/>
      <c r="C3314" s="204"/>
      <c r="D3314" s="204"/>
      <c r="E3314" s="204"/>
      <c r="F3314" s="204"/>
      <c r="G3314" s="204"/>
      <c r="H3314" s="204"/>
      <c r="I3314" s="204"/>
      <c r="J3314" s="204"/>
      <c r="K3314" s="204"/>
      <c r="L3314" s="205"/>
      <c r="M3314" s="205"/>
      <c r="N3314" s="204"/>
      <c r="O3314" s="204"/>
      <c r="P3314" s="206"/>
      <c r="Q3314" s="206"/>
      <c r="R3314" s="206"/>
      <c r="S3314" s="206"/>
      <c r="T3314" s="204"/>
      <c r="U3314" s="207"/>
      <c r="V3314" s="204"/>
      <c r="W3314" s="204"/>
      <c r="X3314" s="207"/>
      <c r="Y3314" s="207"/>
      <c r="Z3314" s="204"/>
      <c r="AA3314" s="204"/>
      <c r="AB3314" s="204"/>
      <c r="AC3314" s="204"/>
    </row>
    <row r="3315" spans="1:29">
      <c r="A3315" s="204"/>
      <c r="B3315" s="204"/>
      <c r="C3315" s="204"/>
      <c r="D3315" s="204"/>
      <c r="E3315" s="204"/>
      <c r="F3315" s="204"/>
      <c r="G3315" s="204"/>
      <c r="H3315" s="204"/>
      <c r="I3315" s="204"/>
      <c r="J3315" s="204"/>
      <c r="K3315" s="204"/>
      <c r="L3315" s="205"/>
      <c r="M3315" s="205"/>
      <c r="N3315" s="204"/>
      <c r="O3315" s="204"/>
      <c r="P3315" s="206"/>
      <c r="Q3315" s="206"/>
      <c r="R3315" s="206"/>
      <c r="S3315" s="206"/>
      <c r="T3315" s="204"/>
      <c r="U3315" s="207"/>
      <c r="V3315" s="204"/>
      <c r="W3315" s="204"/>
      <c r="X3315" s="207"/>
      <c r="Y3315" s="207"/>
      <c r="Z3315" s="204"/>
      <c r="AA3315" s="204"/>
      <c r="AB3315" s="204"/>
      <c r="AC3315" s="204"/>
    </row>
    <row r="3316" spans="1:29">
      <c r="A3316" s="204"/>
      <c r="B3316" s="204"/>
      <c r="C3316" s="204"/>
      <c r="D3316" s="204"/>
      <c r="E3316" s="204"/>
      <c r="F3316" s="204"/>
      <c r="G3316" s="204"/>
      <c r="H3316" s="204"/>
      <c r="I3316" s="204"/>
      <c r="J3316" s="204"/>
      <c r="K3316" s="204"/>
      <c r="L3316" s="205"/>
      <c r="M3316" s="205"/>
      <c r="N3316" s="204"/>
      <c r="O3316" s="204"/>
      <c r="P3316" s="206"/>
      <c r="Q3316" s="206"/>
      <c r="R3316" s="206"/>
      <c r="S3316" s="206"/>
      <c r="T3316" s="204"/>
      <c r="U3316" s="207"/>
      <c r="V3316" s="204"/>
      <c r="W3316" s="204"/>
      <c r="X3316" s="207"/>
      <c r="Y3316" s="207"/>
      <c r="Z3316" s="204"/>
      <c r="AA3316" s="204"/>
      <c r="AB3316" s="204"/>
      <c r="AC3316" s="204"/>
    </row>
    <row r="3317" spans="1:29">
      <c r="A3317" s="204"/>
      <c r="B3317" s="204"/>
      <c r="C3317" s="204"/>
      <c r="D3317" s="204"/>
      <c r="E3317" s="204"/>
      <c r="F3317" s="204"/>
      <c r="G3317" s="204"/>
      <c r="H3317" s="204"/>
      <c r="I3317" s="204"/>
      <c r="J3317" s="204"/>
      <c r="K3317" s="204"/>
      <c r="L3317" s="205"/>
      <c r="M3317" s="205"/>
      <c r="N3317" s="204"/>
      <c r="O3317" s="204"/>
      <c r="P3317" s="206"/>
      <c r="Q3317" s="206"/>
      <c r="R3317" s="206"/>
      <c r="S3317" s="206"/>
      <c r="T3317" s="204"/>
      <c r="U3317" s="207"/>
      <c r="V3317" s="204"/>
      <c r="W3317" s="204"/>
      <c r="X3317" s="207"/>
      <c r="Y3317" s="207"/>
      <c r="Z3317" s="204"/>
      <c r="AA3317" s="204"/>
      <c r="AB3317" s="204"/>
      <c r="AC3317" s="204"/>
    </row>
    <row r="3318" spans="1:29">
      <c r="A3318" s="204"/>
      <c r="B3318" s="204"/>
      <c r="C3318" s="204"/>
      <c r="D3318" s="204"/>
      <c r="E3318" s="204"/>
      <c r="F3318" s="204"/>
      <c r="G3318" s="204"/>
      <c r="H3318" s="204"/>
      <c r="I3318" s="204"/>
      <c r="J3318" s="204"/>
      <c r="K3318" s="204"/>
      <c r="L3318" s="205"/>
      <c r="M3318" s="205"/>
      <c r="N3318" s="204"/>
      <c r="O3318" s="204"/>
      <c r="P3318" s="206"/>
      <c r="Q3318" s="206"/>
      <c r="R3318" s="206"/>
      <c r="S3318" s="206"/>
      <c r="T3318" s="204"/>
      <c r="U3318" s="207"/>
      <c r="V3318" s="204"/>
      <c r="W3318" s="204"/>
      <c r="X3318" s="207"/>
      <c r="Y3318" s="207"/>
      <c r="Z3318" s="204"/>
      <c r="AA3318" s="204"/>
      <c r="AB3318" s="204"/>
      <c r="AC3318" s="204"/>
    </row>
    <row r="3319" spans="1:29">
      <c r="A3319" s="204"/>
      <c r="B3319" s="204"/>
      <c r="C3319" s="204"/>
      <c r="D3319" s="204"/>
      <c r="E3319" s="204"/>
      <c r="F3319" s="204"/>
      <c r="G3319" s="204"/>
      <c r="H3319" s="204"/>
      <c r="I3319" s="204"/>
      <c r="J3319" s="204"/>
      <c r="K3319" s="204"/>
      <c r="L3319" s="205"/>
      <c r="M3319" s="205"/>
      <c r="N3319" s="204"/>
      <c r="O3319" s="204"/>
      <c r="P3319" s="206"/>
      <c r="Q3319" s="206"/>
      <c r="R3319" s="206"/>
      <c r="S3319" s="206"/>
      <c r="T3319" s="204"/>
      <c r="U3319" s="207"/>
      <c r="V3319" s="204"/>
      <c r="W3319" s="204"/>
      <c r="X3319" s="207"/>
      <c r="Y3319" s="207"/>
      <c r="Z3319" s="204"/>
      <c r="AA3319" s="204"/>
      <c r="AB3319" s="204"/>
      <c r="AC3319" s="204"/>
    </row>
    <row r="3320" spans="1:29">
      <c r="A3320" s="204"/>
      <c r="B3320" s="204"/>
      <c r="C3320" s="204"/>
      <c r="D3320" s="204"/>
      <c r="E3320" s="204"/>
      <c r="F3320" s="204"/>
      <c r="G3320" s="204"/>
      <c r="H3320" s="204"/>
      <c r="I3320" s="204"/>
      <c r="J3320" s="204"/>
      <c r="K3320" s="204"/>
      <c r="L3320" s="205"/>
      <c r="M3320" s="205"/>
      <c r="N3320" s="204"/>
      <c r="O3320" s="204"/>
      <c r="P3320" s="206"/>
      <c r="Q3320" s="206"/>
      <c r="R3320" s="206"/>
      <c r="S3320" s="206"/>
      <c r="T3320" s="204"/>
      <c r="U3320" s="207"/>
      <c r="V3320" s="204"/>
      <c r="W3320" s="204"/>
      <c r="X3320" s="207"/>
      <c r="Y3320" s="207"/>
      <c r="Z3320" s="204"/>
      <c r="AA3320" s="204"/>
      <c r="AB3320" s="204"/>
      <c r="AC3320" s="204"/>
    </row>
    <row r="3321" spans="1:29">
      <c r="A3321" s="204"/>
      <c r="B3321" s="204"/>
      <c r="C3321" s="204"/>
      <c r="D3321" s="204"/>
      <c r="E3321" s="204"/>
      <c r="F3321" s="204"/>
      <c r="G3321" s="204"/>
      <c r="H3321" s="204"/>
      <c r="I3321" s="204"/>
      <c r="J3321" s="204"/>
      <c r="K3321" s="204"/>
      <c r="L3321" s="205"/>
      <c r="M3321" s="205"/>
      <c r="N3321" s="204"/>
      <c r="O3321" s="204"/>
      <c r="P3321" s="206"/>
      <c r="Q3321" s="206"/>
      <c r="R3321" s="206"/>
      <c r="S3321" s="206"/>
      <c r="T3321" s="204"/>
      <c r="U3321" s="207"/>
      <c r="V3321" s="204"/>
      <c r="W3321" s="204"/>
      <c r="X3321" s="207"/>
      <c r="Y3321" s="207"/>
      <c r="Z3321" s="204"/>
      <c r="AA3321" s="204"/>
      <c r="AB3321" s="204"/>
      <c r="AC3321" s="204"/>
    </row>
    <row r="3322" spans="1:29">
      <c r="A3322" s="204"/>
      <c r="B3322" s="204"/>
      <c r="C3322" s="204"/>
      <c r="D3322" s="204"/>
      <c r="E3322" s="204"/>
      <c r="F3322" s="204"/>
      <c r="G3322" s="204"/>
      <c r="H3322" s="204"/>
      <c r="I3322" s="204"/>
      <c r="J3322" s="204"/>
      <c r="K3322" s="204"/>
      <c r="L3322" s="205"/>
      <c r="M3322" s="205"/>
      <c r="N3322" s="204"/>
      <c r="O3322" s="204"/>
      <c r="P3322" s="206"/>
      <c r="Q3322" s="206"/>
      <c r="R3322" s="206"/>
      <c r="S3322" s="206"/>
      <c r="T3322" s="204"/>
      <c r="U3322" s="207"/>
      <c r="V3322" s="204"/>
      <c r="W3322" s="204"/>
      <c r="X3322" s="207"/>
      <c r="Y3322" s="207"/>
      <c r="Z3322" s="204"/>
      <c r="AA3322" s="204"/>
      <c r="AB3322" s="204"/>
      <c r="AC3322" s="204"/>
    </row>
    <row r="3323" spans="1:29">
      <c r="A3323" s="204"/>
      <c r="B3323" s="204"/>
      <c r="C3323" s="204"/>
      <c r="D3323" s="204"/>
      <c r="E3323" s="204"/>
      <c r="F3323" s="204"/>
      <c r="G3323" s="204"/>
      <c r="H3323" s="204"/>
      <c r="I3323" s="204"/>
      <c r="J3323" s="204"/>
      <c r="K3323" s="204"/>
      <c r="L3323" s="205"/>
      <c r="M3323" s="205"/>
      <c r="N3323" s="204"/>
      <c r="O3323" s="204"/>
      <c r="P3323" s="206"/>
      <c r="Q3323" s="206"/>
      <c r="R3323" s="206"/>
      <c r="S3323" s="206"/>
      <c r="T3323" s="204"/>
      <c r="U3323" s="207"/>
      <c r="V3323" s="204"/>
      <c r="W3323" s="204"/>
      <c r="X3323" s="207"/>
      <c r="Y3323" s="207"/>
      <c r="Z3323" s="204"/>
      <c r="AA3323" s="204"/>
      <c r="AB3323" s="204"/>
      <c r="AC3323" s="204"/>
    </row>
    <row r="3324" spans="1:29">
      <c r="A3324" s="204"/>
      <c r="B3324" s="204"/>
      <c r="C3324" s="204"/>
      <c r="D3324" s="204"/>
      <c r="E3324" s="204"/>
      <c r="F3324" s="204"/>
      <c r="G3324" s="204"/>
      <c r="H3324" s="204"/>
      <c r="I3324" s="204"/>
      <c r="J3324" s="204"/>
      <c r="K3324" s="204"/>
      <c r="L3324" s="205"/>
      <c r="M3324" s="205"/>
      <c r="N3324" s="204"/>
      <c r="O3324" s="204"/>
      <c r="P3324" s="206"/>
      <c r="Q3324" s="206"/>
      <c r="R3324" s="206"/>
      <c r="S3324" s="206"/>
      <c r="T3324" s="204"/>
      <c r="U3324" s="207"/>
      <c r="V3324" s="204"/>
      <c r="W3324" s="204"/>
      <c r="X3324" s="207"/>
      <c r="Y3324" s="207"/>
      <c r="Z3324" s="204"/>
      <c r="AA3324" s="204"/>
      <c r="AB3324" s="204"/>
      <c r="AC3324" s="204"/>
    </row>
    <row r="3325" spans="1:29">
      <c r="A3325" s="204"/>
      <c r="B3325" s="204"/>
      <c r="C3325" s="204"/>
      <c r="D3325" s="204"/>
      <c r="E3325" s="204"/>
      <c r="F3325" s="204"/>
      <c r="G3325" s="204"/>
      <c r="H3325" s="204"/>
      <c r="I3325" s="204"/>
      <c r="J3325" s="204"/>
      <c r="K3325" s="204"/>
      <c r="L3325" s="205"/>
      <c r="M3325" s="205"/>
      <c r="N3325" s="204"/>
      <c r="O3325" s="204"/>
      <c r="P3325" s="206"/>
      <c r="Q3325" s="206"/>
      <c r="R3325" s="206"/>
      <c r="S3325" s="206"/>
      <c r="T3325" s="204"/>
      <c r="U3325" s="207"/>
      <c r="V3325" s="204"/>
      <c r="W3325" s="204"/>
      <c r="X3325" s="207"/>
      <c r="Y3325" s="207"/>
      <c r="Z3325" s="204"/>
      <c r="AA3325" s="204"/>
      <c r="AB3325" s="204"/>
      <c r="AC3325" s="204"/>
    </row>
    <row r="3326" spans="1:29">
      <c r="A3326" s="204"/>
      <c r="B3326" s="204"/>
      <c r="C3326" s="204"/>
      <c r="D3326" s="204"/>
      <c r="E3326" s="204"/>
      <c r="F3326" s="204"/>
      <c r="G3326" s="204"/>
      <c r="H3326" s="204"/>
      <c r="I3326" s="204"/>
      <c r="J3326" s="204"/>
      <c r="K3326" s="204"/>
      <c r="L3326" s="205"/>
      <c r="M3326" s="205"/>
      <c r="N3326" s="204"/>
      <c r="O3326" s="204"/>
      <c r="P3326" s="206"/>
      <c r="Q3326" s="206"/>
      <c r="R3326" s="206"/>
      <c r="S3326" s="206"/>
      <c r="T3326" s="204"/>
      <c r="U3326" s="207"/>
      <c r="V3326" s="204"/>
      <c r="W3326" s="204"/>
      <c r="X3326" s="207"/>
      <c r="Y3326" s="207"/>
      <c r="Z3326" s="204"/>
      <c r="AA3326" s="204"/>
      <c r="AB3326" s="204"/>
      <c r="AC3326" s="204"/>
    </row>
    <row r="3327" spans="1:29">
      <c r="A3327" s="204"/>
      <c r="B3327" s="204"/>
      <c r="C3327" s="204"/>
      <c r="D3327" s="204"/>
      <c r="E3327" s="204"/>
      <c r="F3327" s="204"/>
      <c r="G3327" s="204"/>
      <c r="H3327" s="204"/>
      <c r="I3327" s="204"/>
      <c r="J3327" s="204"/>
      <c r="K3327" s="204"/>
      <c r="L3327" s="205"/>
      <c r="M3327" s="205"/>
      <c r="N3327" s="204"/>
      <c r="O3327" s="204"/>
      <c r="P3327" s="206"/>
      <c r="Q3327" s="206"/>
      <c r="R3327" s="206"/>
      <c r="S3327" s="206"/>
      <c r="T3327" s="204"/>
      <c r="U3327" s="207"/>
      <c r="V3327" s="204"/>
      <c r="W3327" s="204"/>
      <c r="X3327" s="207"/>
      <c r="Y3327" s="207"/>
      <c r="Z3327" s="204"/>
      <c r="AA3327" s="204"/>
      <c r="AB3327" s="204"/>
      <c r="AC3327" s="204"/>
    </row>
    <row r="3328" spans="1:29">
      <c r="A3328" s="204"/>
      <c r="B3328" s="204"/>
      <c r="C3328" s="204"/>
      <c r="D3328" s="204"/>
      <c r="E3328" s="204"/>
      <c r="F3328" s="204"/>
      <c r="G3328" s="204"/>
      <c r="H3328" s="204"/>
      <c r="I3328" s="204"/>
      <c r="J3328" s="204"/>
      <c r="K3328" s="204"/>
      <c r="L3328" s="205"/>
      <c r="M3328" s="205"/>
      <c r="N3328" s="204"/>
      <c r="O3328" s="204"/>
      <c r="P3328" s="206"/>
      <c r="Q3328" s="206"/>
      <c r="R3328" s="206"/>
      <c r="S3328" s="206"/>
      <c r="T3328" s="204"/>
      <c r="U3328" s="207"/>
      <c r="V3328" s="204"/>
      <c r="W3328" s="204"/>
      <c r="X3328" s="207"/>
      <c r="Y3328" s="207"/>
      <c r="Z3328" s="204"/>
      <c r="AA3328" s="204"/>
      <c r="AB3328" s="204"/>
      <c r="AC3328" s="204"/>
    </row>
    <row r="3329" spans="1:29">
      <c r="A3329" s="204"/>
      <c r="B3329" s="204"/>
      <c r="C3329" s="204"/>
      <c r="D3329" s="204"/>
      <c r="E3329" s="204"/>
      <c r="F3329" s="204"/>
      <c r="G3329" s="204"/>
      <c r="H3329" s="204"/>
      <c r="I3329" s="204"/>
      <c r="J3329" s="204"/>
      <c r="K3329" s="204"/>
      <c r="L3329" s="205"/>
      <c r="M3329" s="205"/>
      <c r="N3329" s="204"/>
      <c r="O3329" s="204"/>
      <c r="P3329" s="206"/>
      <c r="Q3329" s="206"/>
      <c r="R3329" s="206"/>
      <c r="S3329" s="206"/>
      <c r="T3329" s="204"/>
      <c r="U3329" s="207"/>
      <c r="V3329" s="204"/>
      <c r="W3329" s="204"/>
      <c r="X3329" s="207"/>
      <c r="Y3329" s="207"/>
      <c r="Z3329" s="204"/>
      <c r="AA3329" s="204"/>
      <c r="AB3329" s="204"/>
      <c r="AC3329" s="204"/>
    </row>
    <row r="3330" spans="1:29">
      <c r="A3330" s="204"/>
      <c r="B3330" s="204"/>
      <c r="C3330" s="204"/>
      <c r="D3330" s="204"/>
      <c r="E3330" s="204"/>
      <c r="F3330" s="204"/>
      <c r="G3330" s="204"/>
      <c r="H3330" s="204"/>
      <c r="I3330" s="204"/>
      <c r="J3330" s="204"/>
      <c r="K3330" s="204"/>
      <c r="L3330" s="205"/>
      <c r="M3330" s="205"/>
      <c r="N3330" s="204"/>
      <c r="O3330" s="204"/>
      <c r="P3330" s="206"/>
      <c r="Q3330" s="206"/>
      <c r="R3330" s="206"/>
      <c r="S3330" s="206"/>
      <c r="T3330" s="204"/>
      <c r="U3330" s="207"/>
      <c r="V3330" s="204"/>
      <c r="W3330" s="204"/>
      <c r="X3330" s="207"/>
      <c r="Y3330" s="207"/>
      <c r="Z3330" s="204"/>
      <c r="AA3330" s="204"/>
      <c r="AB3330" s="204"/>
      <c r="AC3330" s="204"/>
    </row>
    <row r="3331" spans="1:29">
      <c r="A3331" s="204"/>
      <c r="B3331" s="204"/>
      <c r="C3331" s="204"/>
      <c r="D3331" s="204"/>
      <c r="E3331" s="204"/>
      <c r="F3331" s="204"/>
      <c r="G3331" s="204"/>
      <c r="H3331" s="204"/>
      <c r="I3331" s="204"/>
      <c r="J3331" s="204"/>
      <c r="K3331" s="204"/>
      <c r="L3331" s="205"/>
      <c r="M3331" s="205"/>
      <c r="N3331" s="204"/>
      <c r="O3331" s="204"/>
      <c r="P3331" s="206"/>
      <c r="Q3331" s="206"/>
      <c r="R3331" s="206"/>
      <c r="S3331" s="206"/>
      <c r="T3331" s="204"/>
      <c r="U3331" s="207"/>
      <c r="V3331" s="204"/>
      <c r="W3331" s="204"/>
      <c r="X3331" s="207"/>
      <c r="Y3331" s="207"/>
      <c r="Z3331" s="204"/>
      <c r="AA3331" s="204"/>
      <c r="AB3331" s="204"/>
      <c r="AC3331" s="204"/>
    </row>
    <row r="3332" spans="1:29">
      <c r="A3332" s="204"/>
      <c r="B3332" s="204"/>
      <c r="C3332" s="204"/>
      <c r="D3332" s="204"/>
      <c r="E3332" s="204"/>
      <c r="F3332" s="204"/>
      <c r="G3332" s="204"/>
      <c r="H3332" s="204"/>
      <c r="I3332" s="204"/>
      <c r="J3332" s="204"/>
      <c r="K3332" s="204"/>
      <c r="L3332" s="205"/>
      <c r="M3332" s="205"/>
      <c r="N3332" s="204"/>
      <c r="O3332" s="204"/>
      <c r="P3332" s="206"/>
      <c r="Q3332" s="206"/>
      <c r="R3332" s="206"/>
      <c r="S3332" s="206"/>
      <c r="T3332" s="204"/>
      <c r="U3332" s="207"/>
      <c r="V3332" s="204"/>
      <c r="W3332" s="204"/>
      <c r="X3332" s="207"/>
      <c r="Y3332" s="207"/>
      <c r="Z3332" s="204"/>
      <c r="AA3332" s="204"/>
      <c r="AB3332" s="204"/>
      <c r="AC3332" s="204"/>
    </row>
    <row r="3333" spans="1:29">
      <c r="A3333" s="204"/>
      <c r="B3333" s="204"/>
      <c r="C3333" s="204"/>
      <c r="D3333" s="204"/>
      <c r="E3333" s="204"/>
      <c r="F3333" s="204"/>
      <c r="G3333" s="204"/>
      <c r="H3333" s="204"/>
      <c r="I3333" s="204"/>
      <c r="J3333" s="204"/>
      <c r="K3333" s="204"/>
      <c r="L3333" s="205"/>
      <c r="M3333" s="205"/>
      <c r="N3333" s="204"/>
      <c r="O3333" s="204"/>
      <c r="P3333" s="206"/>
      <c r="Q3333" s="206"/>
      <c r="R3333" s="206"/>
      <c r="S3333" s="206"/>
      <c r="T3333" s="204"/>
      <c r="U3333" s="207"/>
      <c r="V3333" s="204"/>
      <c r="W3333" s="204"/>
      <c r="X3333" s="207"/>
      <c r="Y3333" s="207"/>
      <c r="Z3333" s="204"/>
      <c r="AA3333" s="204"/>
      <c r="AB3333" s="204"/>
      <c r="AC3333" s="204"/>
    </row>
    <row r="3334" spans="1:29">
      <c r="A3334" s="204"/>
      <c r="B3334" s="204"/>
      <c r="C3334" s="204"/>
      <c r="D3334" s="204"/>
      <c r="E3334" s="204"/>
      <c r="F3334" s="204"/>
      <c r="G3334" s="204"/>
      <c r="H3334" s="204"/>
      <c r="I3334" s="204"/>
      <c r="J3334" s="204"/>
      <c r="K3334" s="204"/>
      <c r="L3334" s="205"/>
      <c r="M3334" s="205"/>
      <c r="N3334" s="204"/>
      <c r="O3334" s="204"/>
      <c r="P3334" s="206"/>
      <c r="Q3334" s="206"/>
      <c r="R3334" s="206"/>
      <c r="S3334" s="206"/>
      <c r="T3334" s="204"/>
      <c r="U3334" s="207"/>
      <c r="V3334" s="204"/>
      <c r="W3334" s="204"/>
      <c r="X3334" s="207"/>
      <c r="Y3334" s="207"/>
      <c r="Z3334" s="204"/>
      <c r="AA3334" s="204"/>
      <c r="AB3334" s="204"/>
      <c r="AC3334" s="204"/>
    </row>
    <row r="3335" spans="1:29">
      <c r="A3335" s="204"/>
      <c r="B3335" s="204"/>
      <c r="C3335" s="204"/>
      <c r="D3335" s="204"/>
      <c r="E3335" s="204"/>
      <c r="F3335" s="204"/>
      <c r="G3335" s="204"/>
      <c r="H3335" s="204"/>
      <c r="I3335" s="204"/>
      <c r="J3335" s="204"/>
      <c r="K3335" s="204"/>
      <c r="L3335" s="205"/>
      <c r="M3335" s="205"/>
      <c r="N3335" s="204"/>
      <c r="O3335" s="204"/>
      <c r="P3335" s="206"/>
      <c r="Q3335" s="206"/>
      <c r="R3335" s="206"/>
      <c r="S3335" s="206"/>
      <c r="T3335" s="204"/>
      <c r="U3335" s="207"/>
      <c r="V3335" s="204"/>
      <c r="W3335" s="204"/>
      <c r="X3335" s="207"/>
      <c r="Y3335" s="207"/>
      <c r="Z3335" s="204"/>
      <c r="AA3335" s="204"/>
      <c r="AB3335" s="204"/>
      <c r="AC3335" s="204"/>
    </row>
    <row r="3336" spans="1:29">
      <c r="A3336" s="204"/>
      <c r="B3336" s="204"/>
      <c r="C3336" s="204"/>
      <c r="D3336" s="204"/>
      <c r="E3336" s="204"/>
      <c r="F3336" s="204"/>
      <c r="G3336" s="204"/>
      <c r="H3336" s="204"/>
      <c r="I3336" s="204"/>
      <c r="J3336" s="204"/>
      <c r="K3336" s="204"/>
      <c r="L3336" s="205"/>
      <c r="M3336" s="205"/>
      <c r="N3336" s="204"/>
      <c r="O3336" s="204"/>
      <c r="P3336" s="206"/>
      <c r="Q3336" s="206"/>
      <c r="R3336" s="206"/>
      <c r="S3336" s="206"/>
      <c r="T3336" s="204"/>
      <c r="U3336" s="207"/>
      <c r="V3336" s="204"/>
      <c r="W3336" s="204"/>
      <c r="X3336" s="207"/>
      <c r="Y3336" s="207"/>
      <c r="Z3336" s="204"/>
      <c r="AA3336" s="204"/>
      <c r="AB3336" s="204"/>
      <c r="AC3336" s="204"/>
    </row>
    <row r="3337" spans="1:29">
      <c r="A3337" s="204"/>
      <c r="B3337" s="204"/>
      <c r="C3337" s="204"/>
      <c r="D3337" s="204"/>
      <c r="E3337" s="204"/>
      <c r="F3337" s="204"/>
      <c r="G3337" s="204"/>
      <c r="H3337" s="204"/>
      <c r="I3337" s="204"/>
      <c r="J3337" s="204"/>
      <c r="K3337" s="204"/>
      <c r="L3337" s="205"/>
      <c r="M3337" s="205"/>
      <c r="N3337" s="204"/>
      <c r="O3337" s="204"/>
      <c r="P3337" s="206"/>
      <c r="Q3337" s="206"/>
      <c r="R3337" s="206"/>
      <c r="S3337" s="206"/>
      <c r="T3337" s="204"/>
      <c r="U3337" s="207"/>
      <c r="V3337" s="204"/>
      <c r="W3337" s="204"/>
      <c r="X3337" s="207"/>
      <c r="Y3337" s="207"/>
      <c r="Z3337" s="204"/>
      <c r="AA3337" s="204"/>
      <c r="AB3337" s="204"/>
      <c r="AC3337" s="204"/>
    </row>
    <row r="3338" spans="1:29">
      <c r="A3338" s="204"/>
      <c r="B3338" s="204"/>
      <c r="C3338" s="204"/>
      <c r="D3338" s="204"/>
      <c r="E3338" s="204"/>
      <c r="F3338" s="204"/>
      <c r="G3338" s="204"/>
      <c r="H3338" s="204"/>
      <c r="I3338" s="204"/>
      <c r="J3338" s="204"/>
      <c r="K3338" s="204"/>
      <c r="L3338" s="205"/>
      <c r="M3338" s="205"/>
      <c r="N3338" s="204"/>
      <c r="O3338" s="204"/>
      <c r="P3338" s="206"/>
      <c r="Q3338" s="206"/>
      <c r="R3338" s="206"/>
      <c r="S3338" s="206"/>
      <c r="T3338" s="204"/>
      <c r="U3338" s="207"/>
      <c r="V3338" s="204"/>
      <c r="W3338" s="204"/>
      <c r="X3338" s="207"/>
      <c r="Y3338" s="207"/>
      <c r="Z3338" s="204"/>
      <c r="AA3338" s="204"/>
      <c r="AB3338" s="204"/>
      <c r="AC3338" s="204"/>
    </row>
    <row r="3339" spans="1:29">
      <c r="A3339" s="204"/>
      <c r="B3339" s="204"/>
      <c r="C3339" s="204"/>
      <c r="D3339" s="204"/>
      <c r="E3339" s="204"/>
      <c r="F3339" s="204"/>
      <c r="G3339" s="204"/>
      <c r="H3339" s="204"/>
      <c r="I3339" s="204"/>
      <c r="J3339" s="204"/>
      <c r="K3339" s="204"/>
      <c r="L3339" s="205"/>
      <c r="M3339" s="205"/>
      <c r="N3339" s="204"/>
      <c r="O3339" s="204"/>
      <c r="P3339" s="206"/>
      <c r="Q3339" s="206"/>
      <c r="R3339" s="206"/>
      <c r="S3339" s="206"/>
      <c r="T3339" s="204"/>
      <c r="U3339" s="207"/>
      <c r="V3339" s="204"/>
      <c r="W3339" s="204"/>
      <c r="X3339" s="207"/>
      <c r="Y3339" s="207"/>
      <c r="Z3339" s="204"/>
      <c r="AA3339" s="204"/>
      <c r="AB3339" s="204"/>
      <c r="AC3339" s="204"/>
    </row>
    <row r="3340" spans="1:29">
      <c r="A3340" s="204"/>
      <c r="B3340" s="204"/>
      <c r="C3340" s="204"/>
      <c r="D3340" s="204"/>
      <c r="E3340" s="204"/>
      <c r="F3340" s="204"/>
      <c r="G3340" s="204"/>
      <c r="H3340" s="204"/>
      <c r="I3340" s="204"/>
      <c r="J3340" s="204"/>
      <c r="K3340" s="204"/>
      <c r="L3340" s="205"/>
      <c r="M3340" s="205"/>
      <c r="N3340" s="204"/>
      <c r="O3340" s="204"/>
      <c r="P3340" s="206"/>
      <c r="Q3340" s="206"/>
      <c r="R3340" s="206"/>
      <c r="S3340" s="206"/>
      <c r="T3340" s="204"/>
      <c r="U3340" s="207"/>
      <c r="V3340" s="204"/>
      <c r="W3340" s="204"/>
      <c r="X3340" s="207"/>
      <c r="Y3340" s="207"/>
      <c r="Z3340" s="204"/>
      <c r="AA3340" s="204"/>
      <c r="AB3340" s="204"/>
      <c r="AC3340" s="204"/>
    </row>
    <row r="3341" spans="1:29">
      <c r="A3341" s="204"/>
      <c r="B3341" s="204"/>
      <c r="C3341" s="204"/>
      <c r="D3341" s="204"/>
      <c r="E3341" s="204"/>
      <c r="F3341" s="204"/>
      <c r="G3341" s="204"/>
      <c r="H3341" s="204"/>
      <c r="I3341" s="204"/>
      <c r="J3341" s="204"/>
      <c r="K3341" s="204"/>
      <c r="L3341" s="205"/>
      <c r="M3341" s="205"/>
      <c r="N3341" s="204"/>
      <c r="O3341" s="204"/>
      <c r="P3341" s="206"/>
      <c r="Q3341" s="206"/>
      <c r="R3341" s="206"/>
      <c r="S3341" s="206"/>
      <c r="T3341" s="204"/>
      <c r="U3341" s="207"/>
      <c r="V3341" s="204"/>
      <c r="W3341" s="204"/>
      <c r="X3341" s="207"/>
      <c r="Y3341" s="207"/>
      <c r="Z3341" s="204"/>
      <c r="AA3341" s="204"/>
      <c r="AB3341" s="204"/>
      <c r="AC3341" s="204"/>
    </row>
    <row r="3342" spans="1:29">
      <c r="A3342" s="204"/>
      <c r="B3342" s="204"/>
      <c r="C3342" s="204"/>
      <c r="D3342" s="204"/>
      <c r="E3342" s="204"/>
      <c r="F3342" s="204"/>
      <c r="G3342" s="204"/>
      <c r="H3342" s="204"/>
      <c r="I3342" s="204"/>
      <c r="J3342" s="204"/>
      <c r="K3342" s="204"/>
      <c r="L3342" s="205"/>
      <c r="M3342" s="205"/>
      <c r="N3342" s="204"/>
      <c r="O3342" s="204"/>
      <c r="P3342" s="206"/>
      <c r="Q3342" s="206"/>
      <c r="R3342" s="206"/>
      <c r="S3342" s="206"/>
      <c r="T3342" s="204"/>
      <c r="U3342" s="207"/>
      <c r="V3342" s="204"/>
      <c r="W3342" s="204"/>
      <c r="X3342" s="207"/>
      <c r="Y3342" s="207"/>
      <c r="Z3342" s="204"/>
      <c r="AA3342" s="204"/>
      <c r="AB3342" s="204"/>
      <c r="AC3342" s="204"/>
    </row>
    <row r="3343" spans="1:29">
      <c r="A3343" s="204"/>
      <c r="B3343" s="204"/>
      <c r="C3343" s="204"/>
      <c r="D3343" s="204"/>
      <c r="E3343" s="204"/>
      <c r="F3343" s="204"/>
      <c r="G3343" s="204"/>
      <c r="H3343" s="204"/>
      <c r="I3343" s="204"/>
      <c r="J3343" s="204"/>
      <c r="K3343" s="204"/>
      <c r="L3343" s="205"/>
      <c r="M3343" s="205"/>
      <c r="N3343" s="204"/>
      <c r="O3343" s="204"/>
      <c r="P3343" s="206"/>
      <c r="Q3343" s="206"/>
      <c r="R3343" s="206"/>
      <c r="S3343" s="206"/>
      <c r="T3343" s="204"/>
      <c r="U3343" s="207"/>
      <c r="V3343" s="204"/>
      <c r="W3343" s="204"/>
      <c r="X3343" s="207"/>
      <c r="Y3343" s="207"/>
      <c r="Z3343" s="204"/>
      <c r="AA3343" s="204"/>
      <c r="AB3343" s="204"/>
      <c r="AC3343" s="204"/>
    </row>
    <row r="3344" spans="1:29">
      <c r="A3344" s="204"/>
      <c r="B3344" s="204"/>
      <c r="C3344" s="204"/>
      <c r="D3344" s="204"/>
      <c r="E3344" s="204"/>
      <c r="F3344" s="204"/>
      <c r="G3344" s="204"/>
      <c r="H3344" s="204"/>
      <c r="I3344" s="204"/>
      <c r="J3344" s="204"/>
      <c r="K3344" s="204"/>
      <c r="L3344" s="205"/>
      <c r="M3344" s="205"/>
      <c r="N3344" s="204"/>
      <c r="O3344" s="204"/>
      <c r="P3344" s="206"/>
      <c r="Q3344" s="206"/>
      <c r="R3344" s="206"/>
      <c r="S3344" s="206"/>
      <c r="T3344" s="204"/>
      <c r="U3344" s="207"/>
      <c r="V3344" s="204"/>
      <c r="W3344" s="204"/>
      <c r="X3344" s="207"/>
      <c r="Y3344" s="207"/>
      <c r="Z3344" s="204"/>
      <c r="AA3344" s="204"/>
      <c r="AB3344" s="204"/>
      <c r="AC3344" s="204"/>
    </row>
    <row r="3345" spans="1:29">
      <c r="A3345" s="204"/>
      <c r="B3345" s="204"/>
      <c r="C3345" s="204"/>
      <c r="D3345" s="204"/>
      <c r="E3345" s="204"/>
      <c r="F3345" s="204"/>
      <c r="G3345" s="204"/>
      <c r="H3345" s="204"/>
      <c r="I3345" s="204"/>
      <c r="J3345" s="204"/>
      <c r="K3345" s="204"/>
      <c r="L3345" s="205"/>
      <c r="M3345" s="205"/>
      <c r="N3345" s="204"/>
      <c r="O3345" s="204"/>
      <c r="P3345" s="206"/>
      <c r="Q3345" s="206"/>
      <c r="R3345" s="206"/>
      <c r="S3345" s="206"/>
      <c r="T3345" s="204"/>
      <c r="U3345" s="207"/>
      <c r="V3345" s="204"/>
      <c r="W3345" s="204"/>
      <c r="X3345" s="207"/>
      <c r="Y3345" s="207"/>
      <c r="Z3345" s="204"/>
      <c r="AA3345" s="204"/>
      <c r="AB3345" s="204"/>
      <c r="AC3345" s="204"/>
    </row>
    <row r="3346" spans="1:29">
      <c r="A3346" s="204"/>
      <c r="B3346" s="204"/>
      <c r="C3346" s="204"/>
      <c r="D3346" s="204"/>
      <c r="E3346" s="204"/>
      <c r="F3346" s="204"/>
      <c r="G3346" s="204"/>
      <c r="H3346" s="204"/>
      <c r="I3346" s="204"/>
      <c r="J3346" s="204"/>
      <c r="K3346" s="204"/>
      <c r="L3346" s="205"/>
      <c r="M3346" s="205"/>
      <c r="N3346" s="204"/>
      <c r="O3346" s="204"/>
      <c r="P3346" s="206"/>
      <c r="Q3346" s="206"/>
      <c r="R3346" s="206"/>
      <c r="S3346" s="206"/>
      <c r="T3346" s="204"/>
      <c r="U3346" s="207"/>
      <c r="V3346" s="204"/>
      <c r="W3346" s="204"/>
      <c r="X3346" s="207"/>
      <c r="Y3346" s="207"/>
      <c r="Z3346" s="204"/>
      <c r="AA3346" s="204"/>
      <c r="AB3346" s="204"/>
      <c r="AC3346" s="204"/>
    </row>
    <row r="3347" spans="1:29">
      <c r="A3347" s="204"/>
      <c r="B3347" s="204"/>
      <c r="C3347" s="204"/>
      <c r="D3347" s="204"/>
      <c r="E3347" s="204"/>
      <c r="F3347" s="204"/>
      <c r="G3347" s="204"/>
      <c r="H3347" s="204"/>
      <c r="I3347" s="204"/>
      <c r="J3347" s="204"/>
      <c r="K3347" s="204"/>
      <c r="L3347" s="205"/>
      <c r="M3347" s="205"/>
      <c r="N3347" s="204"/>
      <c r="O3347" s="204"/>
      <c r="P3347" s="206"/>
      <c r="Q3347" s="206"/>
      <c r="R3347" s="206"/>
      <c r="S3347" s="206"/>
      <c r="T3347" s="204"/>
      <c r="U3347" s="207"/>
      <c r="V3347" s="204"/>
      <c r="W3347" s="204"/>
      <c r="X3347" s="207"/>
      <c r="Y3347" s="207"/>
      <c r="Z3347" s="204"/>
      <c r="AA3347" s="204"/>
      <c r="AB3347" s="204"/>
      <c r="AC3347" s="204"/>
    </row>
    <row r="3348" spans="1:29">
      <c r="A3348" s="204"/>
      <c r="B3348" s="204"/>
      <c r="C3348" s="204"/>
      <c r="D3348" s="204"/>
      <c r="E3348" s="204"/>
      <c r="F3348" s="204"/>
      <c r="G3348" s="204"/>
      <c r="H3348" s="204"/>
      <c r="I3348" s="204"/>
      <c r="J3348" s="204"/>
      <c r="K3348" s="204"/>
      <c r="L3348" s="205"/>
      <c r="M3348" s="205"/>
      <c r="N3348" s="204"/>
      <c r="O3348" s="204"/>
      <c r="P3348" s="206"/>
      <c r="Q3348" s="206"/>
      <c r="R3348" s="206"/>
      <c r="S3348" s="206"/>
      <c r="T3348" s="204"/>
      <c r="U3348" s="207"/>
      <c r="V3348" s="204"/>
      <c r="W3348" s="204"/>
      <c r="X3348" s="207"/>
      <c r="Y3348" s="207"/>
      <c r="Z3348" s="204"/>
      <c r="AA3348" s="204"/>
      <c r="AB3348" s="204"/>
      <c r="AC3348" s="204"/>
    </row>
    <row r="3349" spans="1:29">
      <c r="A3349" s="204"/>
      <c r="B3349" s="204"/>
      <c r="C3349" s="204"/>
      <c r="D3349" s="204"/>
      <c r="E3349" s="204"/>
      <c r="F3349" s="204"/>
      <c r="G3349" s="204"/>
      <c r="H3349" s="204"/>
      <c r="I3349" s="204"/>
      <c r="J3349" s="204"/>
      <c r="K3349" s="204"/>
      <c r="L3349" s="205"/>
      <c r="M3349" s="205"/>
      <c r="N3349" s="204"/>
      <c r="O3349" s="204"/>
      <c r="P3349" s="206"/>
      <c r="Q3349" s="206"/>
      <c r="R3349" s="206"/>
      <c r="S3349" s="206"/>
      <c r="T3349" s="204"/>
      <c r="U3349" s="207"/>
      <c r="V3349" s="204"/>
      <c r="W3349" s="204"/>
      <c r="X3349" s="207"/>
      <c r="Y3349" s="207"/>
      <c r="Z3349" s="204"/>
      <c r="AA3349" s="204"/>
      <c r="AB3349" s="204"/>
      <c r="AC3349" s="204"/>
    </row>
    <row r="3350" spans="1:29">
      <c r="A3350" s="204"/>
      <c r="B3350" s="204"/>
      <c r="C3350" s="204"/>
      <c r="D3350" s="204"/>
      <c r="E3350" s="204"/>
      <c r="F3350" s="204"/>
      <c r="G3350" s="204"/>
      <c r="H3350" s="204"/>
      <c r="I3350" s="204"/>
      <c r="J3350" s="204"/>
      <c r="K3350" s="204"/>
      <c r="L3350" s="205"/>
      <c r="M3350" s="205"/>
      <c r="N3350" s="204"/>
      <c r="O3350" s="204"/>
      <c r="P3350" s="206"/>
      <c r="Q3350" s="206"/>
      <c r="R3350" s="206"/>
      <c r="S3350" s="206"/>
      <c r="T3350" s="204"/>
      <c r="U3350" s="207"/>
      <c r="V3350" s="204"/>
      <c r="W3350" s="204"/>
      <c r="X3350" s="207"/>
      <c r="Y3350" s="207"/>
      <c r="Z3350" s="204"/>
      <c r="AA3350" s="204"/>
      <c r="AB3350" s="204"/>
      <c r="AC3350" s="204"/>
    </row>
    <row r="3351" spans="1:29">
      <c r="A3351" s="204"/>
      <c r="B3351" s="204"/>
      <c r="C3351" s="204"/>
      <c r="D3351" s="204"/>
      <c r="E3351" s="204"/>
      <c r="F3351" s="204"/>
      <c r="G3351" s="204"/>
      <c r="H3351" s="204"/>
      <c r="I3351" s="204"/>
      <c r="J3351" s="204"/>
      <c r="K3351" s="204"/>
      <c r="L3351" s="205"/>
      <c r="M3351" s="205"/>
      <c r="N3351" s="204"/>
      <c r="O3351" s="204"/>
      <c r="P3351" s="206"/>
      <c r="Q3351" s="206"/>
      <c r="R3351" s="206"/>
      <c r="S3351" s="206"/>
      <c r="T3351" s="204"/>
      <c r="U3351" s="207"/>
      <c r="V3351" s="204"/>
      <c r="W3351" s="204"/>
      <c r="X3351" s="207"/>
      <c r="Y3351" s="207"/>
      <c r="Z3351" s="204"/>
      <c r="AA3351" s="204"/>
      <c r="AB3351" s="204"/>
      <c r="AC3351" s="204"/>
    </row>
    <row r="3352" spans="1:29">
      <c r="A3352" s="204"/>
      <c r="B3352" s="204"/>
      <c r="C3352" s="204"/>
      <c r="D3352" s="204"/>
      <c r="E3352" s="204"/>
      <c r="F3352" s="204"/>
      <c r="G3352" s="204"/>
      <c r="H3352" s="204"/>
      <c r="I3352" s="204"/>
      <c r="J3352" s="204"/>
      <c r="K3352" s="204"/>
      <c r="L3352" s="205"/>
      <c r="M3352" s="205"/>
      <c r="N3352" s="204"/>
      <c r="O3352" s="204"/>
      <c r="P3352" s="206"/>
      <c r="Q3352" s="206"/>
      <c r="R3352" s="206"/>
      <c r="S3352" s="206"/>
      <c r="T3352" s="204"/>
      <c r="U3352" s="207"/>
      <c r="V3352" s="204"/>
      <c r="W3352" s="204"/>
      <c r="X3352" s="207"/>
      <c r="Y3352" s="207"/>
      <c r="Z3352" s="204"/>
      <c r="AA3352" s="204"/>
      <c r="AB3352" s="204"/>
      <c r="AC3352" s="204"/>
    </row>
    <row r="3353" spans="1:29">
      <c r="A3353" s="204"/>
      <c r="B3353" s="204"/>
      <c r="C3353" s="204"/>
      <c r="D3353" s="204"/>
      <c r="E3353" s="204"/>
      <c r="F3353" s="204"/>
      <c r="G3353" s="204"/>
      <c r="H3353" s="204"/>
      <c r="I3353" s="204"/>
      <c r="J3353" s="204"/>
      <c r="K3353" s="204"/>
      <c r="L3353" s="205"/>
      <c r="M3353" s="205"/>
      <c r="N3353" s="204"/>
      <c r="O3353" s="204"/>
      <c r="P3353" s="206"/>
      <c r="Q3353" s="206"/>
      <c r="R3353" s="206"/>
      <c r="S3353" s="206"/>
      <c r="T3353" s="204"/>
      <c r="U3353" s="207"/>
      <c r="V3353" s="204"/>
      <c r="W3353" s="204"/>
      <c r="X3353" s="207"/>
      <c r="Y3353" s="207"/>
      <c r="Z3353" s="204"/>
      <c r="AA3353" s="204"/>
      <c r="AB3353" s="204"/>
      <c r="AC3353" s="204"/>
    </row>
    <row r="3354" spans="1:29">
      <c r="A3354" s="204"/>
      <c r="B3354" s="204"/>
      <c r="C3354" s="204"/>
      <c r="D3354" s="204"/>
      <c r="E3354" s="204"/>
      <c r="F3354" s="204"/>
      <c r="G3354" s="204"/>
      <c r="H3354" s="204"/>
      <c r="I3354" s="204"/>
      <c r="J3354" s="204"/>
      <c r="K3354" s="204"/>
      <c r="L3354" s="205"/>
      <c r="M3354" s="205"/>
      <c r="N3354" s="204"/>
      <c r="O3354" s="204"/>
      <c r="P3354" s="206"/>
      <c r="Q3354" s="206"/>
      <c r="R3354" s="206"/>
      <c r="S3354" s="206"/>
      <c r="T3354" s="204"/>
      <c r="U3354" s="207"/>
      <c r="V3354" s="204"/>
      <c r="W3354" s="204"/>
      <c r="X3354" s="207"/>
      <c r="Y3354" s="207"/>
      <c r="Z3354" s="204"/>
      <c r="AA3354" s="204"/>
      <c r="AB3354" s="204"/>
      <c r="AC3354" s="204"/>
    </row>
    <row r="3355" spans="1:29">
      <c r="A3355" s="204"/>
      <c r="B3355" s="204"/>
      <c r="C3355" s="204"/>
      <c r="D3355" s="204"/>
      <c r="E3355" s="204"/>
      <c r="F3355" s="204"/>
      <c r="G3355" s="204"/>
      <c r="H3355" s="204"/>
      <c r="I3355" s="204"/>
      <c r="J3355" s="204"/>
      <c r="K3355" s="204"/>
      <c r="L3355" s="205"/>
      <c r="M3355" s="205"/>
      <c r="N3355" s="204"/>
      <c r="O3355" s="204"/>
      <c r="P3355" s="206"/>
      <c r="Q3355" s="206"/>
      <c r="R3355" s="206"/>
      <c r="S3355" s="206"/>
      <c r="T3355" s="204"/>
      <c r="U3355" s="207"/>
      <c r="V3355" s="204"/>
      <c r="W3355" s="204"/>
      <c r="X3355" s="207"/>
      <c r="Y3355" s="207"/>
      <c r="Z3355" s="204"/>
      <c r="AA3355" s="204"/>
      <c r="AB3355" s="204"/>
      <c r="AC3355" s="204"/>
    </row>
    <row r="3356" spans="1:29">
      <c r="A3356" s="204"/>
      <c r="B3356" s="204"/>
      <c r="C3356" s="204"/>
      <c r="D3356" s="204"/>
      <c r="E3356" s="204"/>
      <c r="F3356" s="204"/>
      <c r="G3356" s="204"/>
      <c r="H3356" s="204"/>
      <c r="I3356" s="204"/>
      <c r="J3356" s="204"/>
      <c r="K3356" s="204"/>
      <c r="L3356" s="205"/>
      <c r="M3356" s="205"/>
      <c r="N3356" s="204"/>
      <c r="O3356" s="204"/>
      <c r="P3356" s="206"/>
      <c r="Q3356" s="206"/>
      <c r="R3356" s="206"/>
      <c r="S3356" s="206"/>
      <c r="T3356" s="204"/>
      <c r="U3356" s="207"/>
      <c r="V3356" s="204"/>
      <c r="W3356" s="204"/>
      <c r="X3356" s="207"/>
      <c r="Y3356" s="207"/>
      <c r="Z3356" s="204"/>
      <c r="AA3356" s="204"/>
      <c r="AB3356" s="204"/>
      <c r="AC3356" s="204"/>
    </row>
    <row r="3357" spans="1:29">
      <c r="A3357" s="204"/>
      <c r="B3357" s="204"/>
      <c r="C3357" s="204"/>
      <c r="D3357" s="204"/>
      <c r="E3357" s="204"/>
      <c r="F3357" s="204"/>
      <c r="G3357" s="204"/>
      <c r="H3357" s="204"/>
      <c r="I3357" s="204"/>
      <c r="J3357" s="204"/>
      <c r="K3357" s="204"/>
      <c r="L3357" s="205"/>
      <c r="M3357" s="205"/>
      <c r="N3357" s="204"/>
      <c r="O3357" s="204"/>
      <c r="P3357" s="206"/>
      <c r="Q3357" s="206"/>
      <c r="R3357" s="206"/>
      <c r="S3357" s="206"/>
      <c r="T3357" s="204"/>
      <c r="U3357" s="207"/>
      <c r="V3357" s="204"/>
      <c r="W3357" s="204"/>
      <c r="X3357" s="207"/>
      <c r="Y3357" s="207"/>
      <c r="Z3357" s="204"/>
      <c r="AA3357" s="204"/>
      <c r="AB3357" s="204"/>
      <c r="AC3357" s="204"/>
    </row>
    <row r="3358" spans="1:29">
      <c r="A3358" s="204"/>
      <c r="B3358" s="204"/>
      <c r="C3358" s="204"/>
      <c r="D3358" s="204"/>
      <c r="E3358" s="204"/>
      <c r="F3358" s="204"/>
      <c r="G3358" s="204"/>
      <c r="H3358" s="204"/>
      <c r="I3358" s="204"/>
      <c r="J3358" s="204"/>
      <c r="K3358" s="204"/>
      <c r="L3358" s="205"/>
      <c r="M3358" s="205"/>
      <c r="N3358" s="204"/>
      <c r="O3358" s="204"/>
      <c r="P3358" s="206"/>
      <c r="Q3358" s="206"/>
      <c r="R3358" s="206"/>
      <c r="S3358" s="206"/>
      <c r="T3358" s="204"/>
      <c r="U3358" s="207"/>
      <c r="V3358" s="204"/>
      <c r="W3358" s="204"/>
      <c r="X3358" s="207"/>
      <c r="Y3358" s="207"/>
      <c r="Z3358" s="204"/>
      <c r="AA3358" s="204"/>
      <c r="AB3358" s="204"/>
      <c r="AC3358" s="204"/>
    </row>
    <row r="3359" spans="1:29">
      <c r="A3359" s="204"/>
      <c r="B3359" s="204"/>
      <c r="C3359" s="204"/>
      <c r="D3359" s="204"/>
      <c r="E3359" s="204"/>
      <c r="F3359" s="204"/>
      <c r="G3359" s="204"/>
      <c r="H3359" s="204"/>
      <c r="I3359" s="204"/>
      <c r="J3359" s="204"/>
      <c r="K3359" s="204"/>
      <c r="L3359" s="205"/>
      <c r="M3359" s="205"/>
      <c r="N3359" s="204"/>
      <c r="O3359" s="204"/>
      <c r="P3359" s="206"/>
      <c r="Q3359" s="206"/>
      <c r="R3359" s="206"/>
      <c r="S3359" s="206"/>
      <c r="T3359" s="204"/>
      <c r="U3359" s="207"/>
      <c r="V3359" s="204"/>
      <c r="W3359" s="204"/>
      <c r="X3359" s="207"/>
      <c r="Y3359" s="207"/>
      <c r="Z3359" s="204"/>
      <c r="AA3359" s="204"/>
      <c r="AB3359" s="204"/>
      <c r="AC3359" s="204"/>
    </row>
    <row r="3360" spans="1:29">
      <c r="A3360" s="204"/>
      <c r="B3360" s="204"/>
      <c r="C3360" s="204"/>
      <c r="D3360" s="204"/>
      <c r="E3360" s="204"/>
      <c r="F3360" s="204"/>
      <c r="G3360" s="204"/>
      <c r="H3360" s="204"/>
      <c r="I3360" s="204"/>
      <c r="J3360" s="204"/>
      <c r="K3360" s="204"/>
      <c r="L3360" s="205"/>
      <c r="M3360" s="205"/>
      <c r="N3360" s="204"/>
      <c r="O3360" s="204"/>
      <c r="P3360" s="206"/>
      <c r="Q3360" s="206"/>
      <c r="R3360" s="206"/>
      <c r="S3360" s="206"/>
      <c r="T3360" s="204"/>
      <c r="U3360" s="207"/>
      <c r="V3360" s="204"/>
      <c r="W3360" s="204"/>
      <c r="X3360" s="207"/>
      <c r="Y3360" s="207"/>
      <c r="Z3360" s="204"/>
      <c r="AA3360" s="204"/>
      <c r="AB3360" s="204"/>
      <c r="AC3360" s="204"/>
    </row>
    <row r="3361" spans="1:29">
      <c r="A3361" s="204"/>
      <c r="B3361" s="204"/>
      <c r="C3361" s="204"/>
      <c r="D3361" s="204"/>
      <c r="E3361" s="204"/>
      <c r="F3361" s="204"/>
      <c r="G3361" s="204"/>
      <c r="H3361" s="204"/>
      <c r="I3361" s="204"/>
      <c r="J3361" s="204"/>
      <c r="K3361" s="204"/>
      <c r="L3361" s="205"/>
      <c r="M3361" s="205"/>
      <c r="N3361" s="204"/>
      <c r="O3361" s="204"/>
      <c r="P3361" s="206"/>
      <c r="Q3361" s="206"/>
      <c r="R3361" s="206"/>
      <c r="S3361" s="206"/>
      <c r="T3361" s="204"/>
      <c r="U3361" s="207"/>
      <c r="V3361" s="204"/>
      <c r="W3361" s="204"/>
      <c r="X3361" s="207"/>
      <c r="Y3361" s="207"/>
      <c r="Z3361" s="204"/>
      <c r="AA3361" s="204"/>
      <c r="AB3361" s="204"/>
      <c r="AC3361" s="204"/>
    </row>
    <row r="3362" spans="1:29">
      <c r="A3362" s="204"/>
      <c r="B3362" s="204"/>
      <c r="C3362" s="204"/>
      <c r="D3362" s="204"/>
      <c r="E3362" s="204"/>
      <c r="F3362" s="204"/>
      <c r="G3362" s="204"/>
      <c r="H3362" s="204"/>
      <c r="I3362" s="204"/>
      <c r="J3362" s="204"/>
      <c r="K3362" s="204"/>
      <c r="L3362" s="205"/>
      <c r="M3362" s="205"/>
      <c r="N3362" s="204"/>
      <c r="O3362" s="204"/>
      <c r="P3362" s="206"/>
      <c r="Q3362" s="206"/>
      <c r="R3362" s="206"/>
      <c r="S3362" s="206"/>
      <c r="T3362" s="204"/>
      <c r="U3362" s="207"/>
      <c r="V3362" s="204"/>
      <c r="W3362" s="204"/>
      <c r="X3362" s="207"/>
      <c r="Y3362" s="207"/>
      <c r="Z3362" s="204"/>
      <c r="AA3362" s="204"/>
      <c r="AB3362" s="204"/>
      <c r="AC3362" s="204"/>
    </row>
    <row r="3363" spans="1:29">
      <c r="A3363" s="204"/>
      <c r="B3363" s="204"/>
      <c r="C3363" s="204"/>
      <c r="D3363" s="204"/>
      <c r="E3363" s="204"/>
      <c r="F3363" s="204"/>
      <c r="G3363" s="204"/>
      <c r="H3363" s="204"/>
      <c r="I3363" s="204"/>
      <c r="J3363" s="204"/>
      <c r="K3363" s="204"/>
      <c r="L3363" s="205"/>
      <c r="M3363" s="205"/>
      <c r="N3363" s="204"/>
      <c r="O3363" s="204"/>
      <c r="P3363" s="206"/>
      <c r="Q3363" s="206"/>
      <c r="R3363" s="206"/>
      <c r="S3363" s="206"/>
      <c r="T3363" s="204"/>
      <c r="U3363" s="207"/>
      <c r="V3363" s="204"/>
      <c r="W3363" s="204"/>
      <c r="X3363" s="207"/>
      <c r="Y3363" s="207"/>
      <c r="Z3363" s="204"/>
      <c r="AA3363" s="204"/>
      <c r="AB3363" s="204"/>
      <c r="AC3363" s="204"/>
    </row>
    <row r="3364" spans="1:29">
      <c r="A3364" s="204"/>
      <c r="B3364" s="204"/>
      <c r="C3364" s="204"/>
      <c r="D3364" s="204"/>
      <c r="E3364" s="204"/>
      <c r="F3364" s="204"/>
      <c r="G3364" s="204"/>
      <c r="H3364" s="204"/>
      <c r="I3364" s="204"/>
      <c r="J3364" s="204"/>
      <c r="K3364" s="204"/>
      <c r="L3364" s="205"/>
      <c r="M3364" s="205"/>
      <c r="N3364" s="204"/>
      <c r="O3364" s="204"/>
      <c r="P3364" s="206"/>
      <c r="Q3364" s="206"/>
      <c r="R3364" s="206"/>
      <c r="S3364" s="206"/>
      <c r="T3364" s="204"/>
      <c r="U3364" s="207"/>
      <c r="V3364" s="204"/>
      <c r="W3364" s="204"/>
      <c r="X3364" s="207"/>
      <c r="Y3364" s="207"/>
      <c r="Z3364" s="204"/>
      <c r="AA3364" s="204"/>
      <c r="AB3364" s="204"/>
      <c r="AC3364" s="204"/>
    </row>
    <row r="3365" spans="1:29">
      <c r="A3365" s="204"/>
      <c r="B3365" s="204"/>
      <c r="C3365" s="204"/>
      <c r="D3365" s="204"/>
      <c r="E3365" s="204"/>
      <c r="F3365" s="204"/>
      <c r="G3365" s="204"/>
      <c r="H3365" s="204"/>
      <c r="I3365" s="204"/>
      <c r="J3365" s="204"/>
      <c r="K3365" s="204"/>
      <c r="L3365" s="205"/>
      <c r="M3365" s="205"/>
      <c r="N3365" s="204"/>
      <c r="O3365" s="204"/>
      <c r="P3365" s="206"/>
      <c r="Q3365" s="206"/>
      <c r="R3365" s="206"/>
      <c r="S3365" s="206"/>
      <c r="T3365" s="204"/>
      <c r="U3365" s="207"/>
      <c r="V3365" s="204"/>
      <c r="W3365" s="204"/>
      <c r="X3365" s="207"/>
      <c r="Y3365" s="207"/>
      <c r="Z3365" s="204"/>
      <c r="AA3365" s="204"/>
      <c r="AB3365" s="204"/>
      <c r="AC3365" s="204"/>
    </row>
    <row r="3366" spans="1:29">
      <c r="A3366" s="204"/>
      <c r="B3366" s="204"/>
      <c r="C3366" s="204"/>
      <c r="D3366" s="204"/>
      <c r="E3366" s="204"/>
      <c r="F3366" s="204"/>
      <c r="G3366" s="204"/>
      <c r="H3366" s="204"/>
      <c r="I3366" s="204"/>
      <c r="J3366" s="204"/>
      <c r="K3366" s="204"/>
      <c r="L3366" s="205"/>
      <c r="M3366" s="205"/>
      <c r="N3366" s="204"/>
      <c r="O3366" s="204"/>
      <c r="P3366" s="206"/>
      <c r="Q3366" s="206"/>
      <c r="R3366" s="206"/>
      <c r="S3366" s="206"/>
      <c r="T3366" s="204"/>
      <c r="U3366" s="207"/>
      <c r="V3366" s="204"/>
      <c r="W3366" s="204"/>
      <c r="X3366" s="207"/>
      <c r="Y3366" s="207"/>
      <c r="Z3366" s="204"/>
      <c r="AA3366" s="204"/>
      <c r="AB3366" s="204"/>
      <c r="AC3366" s="204"/>
    </row>
    <row r="3367" spans="1:29">
      <c r="A3367" s="204"/>
      <c r="B3367" s="204"/>
      <c r="C3367" s="204"/>
      <c r="D3367" s="204"/>
      <c r="E3367" s="204"/>
      <c r="F3367" s="204"/>
      <c r="G3367" s="204"/>
      <c r="H3367" s="204"/>
      <c r="I3367" s="204"/>
      <c r="J3367" s="204"/>
      <c r="K3367" s="204"/>
      <c r="L3367" s="205"/>
      <c r="M3367" s="205"/>
      <c r="N3367" s="204"/>
      <c r="O3367" s="204"/>
      <c r="P3367" s="206"/>
      <c r="Q3367" s="206"/>
      <c r="R3367" s="206"/>
      <c r="S3367" s="206"/>
      <c r="T3367" s="204"/>
      <c r="U3367" s="207"/>
      <c r="V3367" s="204"/>
      <c r="W3367" s="204"/>
      <c r="X3367" s="207"/>
      <c r="Y3367" s="207"/>
      <c r="Z3367" s="204"/>
      <c r="AA3367" s="204"/>
      <c r="AB3367" s="204"/>
      <c r="AC3367" s="204"/>
    </row>
    <row r="3368" spans="1:29">
      <c r="A3368" s="204"/>
      <c r="B3368" s="204"/>
      <c r="C3368" s="204"/>
      <c r="D3368" s="204"/>
      <c r="E3368" s="204"/>
      <c r="F3368" s="204"/>
      <c r="G3368" s="204"/>
      <c r="H3368" s="204"/>
      <c r="I3368" s="204"/>
      <c r="J3368" s="204"/>
      <c r="K3368" s="204"/>
      <c r="L3368" s="205"/>
      <c r="M3368" s="205"/>
      <c r="N3368" s="204"/>
      <c r="O3368" s="204"/>
      <c r="P3368" s="206"/>
      <c r="Q3368" s="206"/>
      <c r="R3368" s="206"/>
      <c r="S3368" s="206"/>
      <c r="T3368" s="204"/>
      <c r="U3368" s="207"/>
      <c r="V3368" s="204"/>
      <c r="W3368" s="204"/>
      <c r="X3368" s="207"/>
      <c r="Y3368" s="207"/>
      <c r="Z3368" s="204"/>
      <c r="AA3368" s="204"/>
      <c r="AB3368" s="204"/>
      <c r="AC3368" s="204"/>
    </row>
    <row r="3369" spans="1:29">
      <c r="A3369" s="204"/>
      <c r="B3369" s="204"/>
      <c r="C3369" s="204"/>
      <c r="D3369" s="204"/>
      <c r="E3369" s="204"/>
      <c r="F3369" s="204"/>
      <c r="G3369" s="204"/>
      <c r="H3369" s="204"/>
      <c r="I3369" s="204"/>
      <c r="J3369" s="204"/>
      <c r="K3369" s="204"/>
      <c r="L3369" s="205"/>
      <c r="M3369" s="205"/>
      <c r="N3369" s="204"/>
      <c r="O3369" s="204"/>
      <c r="P3369" s="206"/>
      <c r="Q3369" s="206"/>
      <c r="R3369" s="206"/>
      <c r="S3369" s="206"/>
      <c r="T3369" s="204"/>
      <c r="U3369" s="207"/>
      <c r="V3369" s="204"/>
      <c r="W3369" s="204"/>
      <c r="X3369" s="207"/>
      <c r="Y3369" s="207"/>
      <c r="Z3369" s="204"/>
      <c r="AA3369" s="204"/>
      <c r="AB3369" s="204"/>
      <c r="AC3369" s="204"/>
    </row>
    <row r="3370" spans="1:29">
      <c r="A3370" s="204"/>
      <c r="B3370" s="204"/>
      <c r="C3370" s="204"/>
      <c r="D3370" s="204"/>
      <c r="E3370" s="204"/>
      <c r="F3370" s="204"/>
      <c r="G3370" s="204"/>
      <c r="H3370" s="204"/>
      <c r="I3370" s="204"/>
      <c r="J3370" s="204"/>
      <c r="K3370" s="204"/>
      <c r="L3370" s="205"/>
      <c r="M3370" s="205"/>
      <c r="N3370" s="204"/>
      <c r="O3370" s="204"/>
      <c r="P3370" s="206"/>
      <c r="Q3370" s="206"/>
      <c r="R3370" s="206"/>
      <c r="S3370" s="206"/>
      <c r="T3370" s="204"/>
      <c r="U3370" s="207"/>
      <c r="V3370" s="204"/>
      <c r="W3370" s="204"/>
      <c r="X3370" s="207"/>
      <c r="Y3370" s="207"/>
      <c r="Z3370" s="204"/>
      <c r="AA3370" s="204"/>
      <c r="AB3370" s="204"/>
      <c r="AC3370" s="204"/>
    </row>
    <row r="3371" spans="1:29">
      <c r="A3371" s="204"/>
      <c r="B3371" s="204"/>
      <c r="C3371" s="204"/>
      <c r="D3371" s="204"/>
      <c r="E3371" s="204"/>
      <c r="F3371" s="204"/>
      <c r="G3371" s="204"/>
      <c r="H3371" s="204"/>
      <c r="I3371" s="204"/>
      <c r="J3371" s="204"/>
      <c r="K3371" s="204"/>
      <c r="L3371" s="205"/>
      <c r="M3371" s="205"/>
      <c r="N3371" s="204"/>
      <c r="O3371" s="204"/>
      <c r="P3371" s="206"/>
      <c r="Q3371" s="206"/>
      <c r="R3371" s="206"/>
      <c r="S3371" s="206"/>
      <c r="T3371" s="204"/>
      <c r="U3371" s="207"/>
      <c r="V3371" s="204"/>
      <c r="W3371" s="204"/>
      <c r="X3371" s="207"/>
      <c r="Y3371" s="207"/>
      <c r="Z3371" s="204"/>
      <c r="AA3371" s="204"/>
      <c r="AB3371" s="204"/>
      <c r="AC3371" s="204"/>
    </row>
    <row r="3372" spans="1:29">
      <c r="A3372" s="204"/>
      <c r="B3372" s="204"/>
      <c r="C3372" s="204"/>
      <c r="D3372" s="204"/>
      <c r="E3372" s="204"/>
      <c r="F3372" s="204"/>
      <c r="G3372" s="204"/>
      <c r="H3372" s="204"/>
      <c r="I3372" s="204"/>
      <c r="J3372" s="204"/>
      <c r="K3372" s="204"/>
      <c r="L3372" s="205"/>
      <c r="M3372" s="205"/>
      <c r="N3372" s="204"/>
      <c r="O3372" s="204"/>
      <c r="P3372" s="206"/>
      <c r="Q3372" s="206"/>
      <c r="R3372" s="206"/>
      <c r="S3372" s="206"/>
      <c r="T3372" s="204"/>
      <c r="U3372" s="207"/>
      <c r="V3372" s="204"/>
      <c r="W3372" s="204"/>
      <c r="X3372" s="207"/>
      <c r="Y3372" s="207"/>
      <c r="Z3372" s="204"/>
      <c r="AA3372" s="204"/>
      <c r="AB3372" s="204"/>
      <c r="AC3372" s="204"/>
    </row>
    <row r="3373" spans="1:29">
      <c r="A3373" s="204"/>
      <c r="B3373" s="204"/>
      <c r="C3373" s="204"/>
      <c r="D3373" s="204"/>
      <c r="E3373" s="204"/>
      <c r="F3373" s="204"/>
      <c r="G3373" s="204"/>
      <c r="H3373" s="204"/>
      <c r="I3373" s="204"/>
      <c r="J3373" s="204"/>
      <c r="K3373" s="204"/>
      <c r="L3373" s="205"/>
      <c r="M3373" s="205"/>
      <c r="N3373" s="204"/>
      <c r="O3373" s="204"/>
      <c r="P3373" s="206"/>
      <c r="Q3373" s="206"/>
      <c r="R3373" s="206"/>
      <c r="S3373" s="206"/>
      <c r="T3373" s="204"/>
      <c r="U3373" s="207"/>
      <c r="V3373" s="204"/>
      <c r="W3373" s="204"/>
      <c r="X3373" s="207"/>
      <c r="Y3373" s="207"/>
      <c r="Z3373" s="204"/>
      <c r="AA3373" s="204"/>
      <c r="AB3373" s="204"/>
      <c r="AC3373" s="204"/>
    </row>
    <row r="3374" spans="1:29">
      <c r="A3374" s="204"/>
      <c r="B3374" s="204"/>
      <c r="C3374" s="204"/>
      <c r="D3374" s="204"/>
      <c r="E3374" s="204"/>
      <c r="F3374" s="204"/>
      <c r="G3374" s="204"/>
      <c r="H3374" s="204"/>
      <c r="I3374" s="204"/>
      <c r="J3374" s="204"/>
      <c r="K3374" s="204"/>
      <c r="L3374" s="205"/>
      <c r="M3374" s="205"/>
      <c r="N3374" s="204"/>
      <c r="O3374" s="204"/>
      <c r="P3374" s="206"/>
      <c r="Q3374" s="206"/>
      <c r="R3374" s="206"/>
      <c r="S3374" s="206"/>
      <c r="T3374" s="204"/>
      <c r="U3374" s="207"/>
      <c r="V3374" s="204"/>
      <c r="W3374" s="204"/>
      <c r="X3374" s="207"/>
      <c r="Y3374" s="207"/>
      <c r="Z3374" s="204"/>
      <c r="AA3374" s="204"/>
      <c r="AB3374" s="204"/>
      <c r="AC3374" s="204"/>
    </row>
    <row r="3375" spans="1:29">
      <c r="A3375" s="204"/>
      <c r="B3375" s="204"/>
      <c r="C3375" s="204"/>
      <c r="D3375" s="204"/>
      <c r="E3375" s="204"/>
      <c r="F3375" s="204"/>
      <c r="G3375" s="204"/>
      <c r="H3375" s="204"/>
      <c r="I3375" s="204"/>
      <c r="J3375" s="204"/>
      <c r="K3375" s="204"/>
      <c r="L3375" s="205"/>
      <c r="M3375" s="205"/>
      <c r="N3375" s="204"/>
      <c r="O3375" s="204"/>
      <c r="P3375" s="206"/>
      <c r="Q3375" s="206"/>
      <c r="R3375" s="206"/>
      <c r="S3375" s="206"/>
      <c r="T3375" s="204"/>
      <c r="U3375" s="207"/>
      <c r="V3375" s="204"/>
      <c r="W3375" s="204"/>
      <c r="X3375" s="207"/>
      <c r="Y3375" s="207"/>
      <c r="Z3375" s="204"/>
      <c r="AA3375" s="204"/>
      <c r="AB3375" s="204"/>
      <c r="AC3375" s="204"/>
    </row>
    <row r="3376" spans="1:29">
      <c r="A3376" s="204"/>
      <c r="B3376" s="204"/>
      <c r="C3376" s="204"/>
      <c r="D3376" s="204"/>
      <c r="E3376" s="204"/>
      <c r="F3376" s="204"/>
      <c r="G3376" s="204"/>
      <c r="H3376" s="204"/>
      <c r="I3376" s="204"/>
      <c r="J3376" s="204"/>
      <c r="K3376" s="204"/>
      <c r="L3376" s="205"/>
      <c r="M3376" s="205"/>
      <c r="N3376" s="204"/>
      <c r="O3376" s="204"/>
      <c r="P3376" s="206"/>
      <c r="Q3376" s="206"/>
      <c r="R3376" s="206"/>
      <c r="S3376" s="206"/>
      <c r="T3376" s="204"/>
      <c r="U3376" s="207"/>
      <c r="V3376" s="204"/>
      <c r="W3376" s="204"/>
      <c r="X3376" s="207"/>
      <c r="Y3376" s="207"/>
      <c r="Z3376" s="204"/>
      <c r="AA3376" s="204"/>
      <c r="AB3376" s="204"/>
      <c r="AC3376" s="204"/>
    </row>
    <row r="3377" spans="1:29">
      <c r="A3377" s="204"/>
      <c r="B3377" s="204"/>
      <c r="C3377" s="204"/>
      <c r="D3377" s="204"/>
      <c r="E3377" s="204"/>
      <c r="F3377" s="204"/>
      <c r="G3377" s="204"/>
      <c r="H3377" s="204"/>
      <c r="I3377" s="204"/>
      <c r="J3377" s="204"/>
      <c r="K3377" s="204"/>
      <c r="L3377" s="205"/>
      <c r="M3377" s="205"/>
      <c r="N3377" s="204"/>
      <c r="O3377" s="204"/>
      <c r="P3377" s="206"/>
      <c r="Q3377" s="206"/>
      <c r="R3377" s="206"/>
      <c r="S3377" s="206"/>
      <c r="T3377" s="204"/>
      <c r="U3377" s="207"/>
      <c r="V3377" s="204"/>
      <c r="W3377" s="204"/>
      <c r="X3377" s="207"/>
      <c r="Y3377" s="207"/>
      <c r="Z3377" s="204"/>
      <c r="AA3377" s="204"/>
      <c r="AB3377" s="204"/>
      <c r="AC3377" s="204"/>
    </row>
    <row r="3378" spans="1:29">
      <c r="A3378" s="204"/>
      <c r="B3378" s="204"/>
      <c r="C3378" s="204"/>
      <c r="D3378" s="204"/>
      <c r="E3378" s="204"/>
      <c r="F3378" s="204"/>
      <c r="G3378" s="204"/>
      <c r="H3378" s="204"/>
      <c r="I3378" s="204"/>
      <c r="J3378" s="204"/>
      <c r="K3378" s="204"/>
      <c r="L3378" s="205"/>
      <c r="M3378" s="205"/>
      <c r="N3378" s="204"/>
      <c r="O3378" s="204"/>
      <c r="P3378" s="206"/>
      <c r="Q3378" s="206"/>
      <c r="R3378" s="206"/>
      <c r="S3378" s="206"/>
      <c r="T3378" s="204"/>
      <c r="U3378" s="207"/>
      <c r="V3378" s="204"/>
      <c r="W3378" s="204"/>
      <c r="X3378" s="207"/>
      <c r="Y3378" s="207"/>
      <c r="Z3378" s="204"/>
      <c r="AA3378" s="204"/>
      <c r="AB3378" s="204"/>
      <c r="AC3378" s="204"/>
    </row>
    <row r="3379" spans="1:29">
      <c r="A3379" s="204"/>
      <c r="B3379" s="204"/>
      <c r="C3379" s="204"/>
      <c r="D3379" s="204"/>
      <c r="E3379" s="204"/>
      <c r="F3379" s="204"/>
      <c r="G3379" s="204"/>
      <c r="H3379" s="204"/>
      <c r="I3379" s="204"/>
      <c r="J3379" s="204"/>
      <c r="K3379" s="204"/>
      <c r="L3379" s="205"/>
      <c r="M3379" s="205"/>
      <c r="N3379" s="204"/>
      <c r="O3379" s="204"/>
      <c r="P3379" s="206"/>
      <c r="Q3379" s="206"/>
      <c r="R3379" s="206"/>
      <c r="S3379" s="206"/>
      <c r="T3379" s="204"/>
      <c r="U3379" s="207"/>
      <c r="V3379" s="204"/>
      <c r="W3379" s="204"/>
      <c r="X3379" s="207"/>
      <c r="Y3379" s="207"/>
      <c r="Z3379" s="204"/>
      <c r="AA3379" s="204"/>
      <c r="AB3379" s="204"/>
      <c r="AC3379" s="204"/>
    </row>
    <row r="3380" spans="1:29">
      <c r="A3380" s="204"/>
      <c r="B3380" s="204"/>
      <c r="C3380" s="204"/>
      <c r="D3380" s="204"/>
      <c r="E3380" s="204"/>
      <c r="F3380" s="204"/>
      <c r="G3380" s="204"/>
      <c r="H3380" s="204"/>
      <c r="I3380" s="204"/>
      <c r="J3380" s="204"/>
      <c r="K3380" s="204"/>
      <c r="L3380" s="205"/>
      <c r="M3380" s="205"/>
      <c r="N3380" s="204"/>
      <c r="O3380" s="204"/>
      <c r="P3380" s="206"/>
      <c r="Q3380" s="206"/>
      <c r="R3380" s="206"/>
      <c r="S3380" s="206"/>
      <c r="T3380" s="204"/>
      <c r="U3380" s="207"/>
      <c r="V3380" s="204"/>
      <c r="W3380" s="204"/>
      <c r="X3380" s="207"/>
      <c r="Y3380" s="207"/>
      <c r="Z3380" s="204"/>
      <c r="AA3380" s="204"/>
      <c r="AB3380" s="204"/>
      <c r="AC3380" s="204"/>
    </row>
    <row r="3381" spans="1:29">
      <c r="A3381" s="204"/>
      <c r="B3381" s="204"/>
      <c r="C3381" s="204"/>
      <c r="D3381" s="204"/>
      <c r="E3381" s="204"/>
      <c r="F3381" s="204"/>
      <c r="G3381" s="204"/>
      <c r="H3381" s="204"/>
      <c r="I3381" s="204"/>
      <c r="J3381" s="204"/>
      <c r="K3381" s="204"/>
      <c r="L3381" s="205"/>
      <c r="M3381" s="205"/>
      <c r="N3381" s="204"/>
      <c r="O3381" s="204"/>
      <c r="P3381" s="206"/>
      <c r="Q3381" s="206"/>
      <c r="R3381" s="206"/>
      <c r="S3381" s="206"/>
      <c r="T3381" s="204"/>
      <c r="U3381" s="207"/>
      <c r="V3381" s="204"/>
      <c r="W3381" s="204"/>
      <c r="X3381" s="207"/>
      <c r="Y3381" s="207"/>
      <c r="Z3381" s="204"/>
      <c r="AA3381" s="204"/>
      <c r="AB3381" s="204"/>
      <c r="AC3381" s="204"/>
    </row>
    <row r="3382" spans="1:29">
      <c r="A3382" s="204"/>
      <c r="B3382" s="204"/>
      <c r="C3382" s="204"/>
      <c r="D3382" s="204"/>
      <c r="E3382" s="204"/>
      <c r="F3382" s="204"/>
      <c r="G3382" s="204"/>
      <c r="H3382" s="204"/>
      <c r="I3382" s="204"/>
      <c r="J3382" s="204"/>
      <c r="K3382" s="204"/>
      <c r="L3382" s="205"/>
      <c r="M3382" s="205"/>
      <c r="N3382" s="204"/>
      <c r="O3382" s="204"/>
      <c r="P3382" s="206"/>
      <c r="Q3382" s="206"/>
      <c r="R3382" s="206"/>
      <c r="S3382" s="206"/>
      <c r="T3382" s="204"/>
      <c r="U3382" s="207"/>
      <c r="V3382" s="204"/>
      <c r="W3382" s="204"/>
      <c r="X3382" s="207"/>
      <c r="Y3382" s="207"/>
      <c r="Z3382" s="204"/>
      <c r="AA3382" s="204"/>
      <c r="AB3382" s="204"/>
      <c r="AC3382" s="204"/>
    </row>
    <row r="3383" spans="1:29">
      <c r="A3383" s="204"/>
      <c r="B3383" s="204"/>
      <c r="C3383" s="204"/>
      <c r="D3383" s="204"/>
      <c r="E3383" s="204"/>
      <c r="F3383" s="204"/>
      <c r="G3383" s="204"/>
      <c r="H3383" s="204"/>
      <c r="I3383" s="204"/>
      <c r="J3383" s="204"/>
      <c r="K3383" s="204"/>
      <c r="L3383" s="205"/>
      <c r="M3383" s="205"/>
      <c r="N3383" s="204"/>
      <c r="O3383" s="204"/>
      <c r="P3383" s="206"/>
      <c r="Q3383" s="206"/>
      <c r="R3383" s="206"/>
      <c r="S3383" s="206"/>
      <c r="T3383" s="204"/>
      <c r="U3383" s="207"/>
      <c r="V3383" s="204"/>
      <c r="W3383" s="204"/>
      <c r="X3383" s="207"/>
      <c r="Y3383" s="207"/>
      <c r="Z3383" s="204"/>
      <c r="AA3383" s="204"/>
      <c r="AB3383" s="204"/>
      <c r="AC3383" s="204"/>
    </row>
    <row r="3384" spans="1:29">
      <c r="A3384" s="204"/>
      <c r="B3384" s="204"/>
      <c r="C3384" s="204"/>
      <c r="D3384" s="204"/>
      <c r="E3384" s="204"/>
      <c r="F3384" s="204"/>
      <c r="G3384" s="204"/>
      <c r="H3384" s="204"/>
      <c r="I3384" s="204"/>
      <c r="J3384" s="204"/>
      <c r="K3384" s="204"/>
      <c r="L3384" s="205"/>
      <c r="M3384" s="205"/>
      <c r="N3384" s="204"/>
      <c r="O3384" s="204"/>
      <c r="P3384" s="206"/>
      <c r="Q3384" s="206"/>
      <c r="R3384" s="206"/>
      <c r="S3384" s="206"/>
      <c r="T3384" s="204"/>
      <c r="U3384" s="207"/>
      <c r="V3384" s="204"/>
      <c r="W3384" s="204"/>
      <c r="X3384" s="207"/>
      <c r="Y3384" s="207"/>
      <c r="Z3384" s="204"/>
      <c r="AA3384" s="204"/>
      <c r="AB3384" s="204"/>
      <c r="AC3384" s="204"/>
    </row>
    <row r="3385" spans="1:29">
      <c r="A3385" s="204"/>
      <c r="B3385" s="204"/>
      <c r="C3385" s="204"/>
      <c r="D3385" s="204"/>
      <c r="E3385" s="204"/>
      <c r="F3385" s="204"/>
      <c r="G3385" s="204"/>
      <c r="H3385" s="204"/>
      <c r="I3385" s="204"/>
      <c r="J3385" s="204"/>
      <c r="K3385" s="204"/>
      <c r="L3385" s="205"/>
      <c r="M3385" s="205"/>
      <c r="N3385" s="204"/>
      <c r="O3385" s="204"/>
      <c r="P3385" s="206"/>
      <c r="Q3385" s="206"/>
      <c r="R3385" s="206"/>
      <c r="S3385" s="206"/>
      <c r="T3385" s="204"/>
      <c r="U3385" s="207"/>
      <c r="V3385" s="204"/>
      <c r="W3385" s="204"/>
      <c r="X3385" s="207"/>
      <c r="Y3385" s="207"/>
      <c r="Z3385" s="204"/>
      <c r="AA3385" s="204"/>
      <c r="AB3385" s="204"/>
      <c r="AC3385" s="204"/>
    </row>
    <row r="3386" spans="1:29">
      <c r="A3386" s="204"/>
      <c r="B3386" s="204"/>
      <c r="C3386" s="204"/>
      <c r="D3386" s="204"/>
      <c r="E3386" s="204"/>
      <c r="F3386" s="204"/>
      <c r="G3386" s="204"/>
      <c r="H3386" s="204"/>
      <c r="I3386" s="204"/>
      <c r="J3386" s="204"/>
      <c r="K3386" s="204"/>
      <c r="L3386" s="205"/>
      <c r="M3386" s="205"/>
      <c r="N3386" s="204"/>
      <c r="O3386" s="204"/>
      <c r="P3386" s="206"/>
      <c r="Q3386" s="206"/>
      <c r="R3386" s="206"/>
      <c r="S3386" s="206"/>
      <c r="T3386" s="204"/>
      <c r="U3386" s="207"/>
      <c r="V3386" s="204"/>
      <c r="W3386" s="204"/>
      <c r="X3386" s="207"/>
      <c r="Y3386" s="207"/>
      <c r="Z3386" s="204"/>
      <c r="AA3386" s="204"/>
      <c r="AB3386" s="204"/>
      <c r="AC3386" s="204"/>
    </row>
    <row r="3387" spans="1:29">
      <c r="A3387" s="204"/>
      <c r="B3387" s="204"/>
      <c r="C3387" s="204"/>
      <c r="D3387" s="204"/>
      <c r="E3387" s="204"/>
      <c r="F3387" s="204"/>
      <c r="G3387" s="204"/>
      <c r="H3387" s="204"/>
      <c r="I3387" s="204"/>
      <c r="J3387" s="204"/>
      <c r="K3387" s="204"/>
      <c r="L3387" s="205"/>
      <c r="M3387" s="205"/>
      <c r="N3387" s="204"/>
      <c r="O3387" s="204"/>
      <c r="P3387" s="206"/>
      <c r="Q3387" s="206"/>
      <c r="R3387" s="206"/>
      <c r="S3387" s="206"/>
      <c r="T3387" s="204"/>
      <c r="U3387" s="207"/>
      <c r="V3387" s="204"/>
      <c r="W3387" s="204"/>
      <c r="X3387" s="207"/>
      <c r="Y3387" s="207"/>
      <c r="Z3387" s="204"/>
      <c r="AA3387" s="204"/>
      <c r="AB3387" s="204"/>
      <c r="AC3387" s="204"/>
    </row>
    <row r="3388" spans="1:29">
      <c r="A3388" s="204"/>
      <c r="B3388" s="204"/>
      <c r="C3388" s="204"/>
      <c r="D3388" s="204"/>
      <c r="E3388" s="204"/>
      <c r="F3388" s="204"/>
      <c r="G3388" s="204"/>
      <c r="H3388" s="204"/>
      <c r="I3388" s="204"/>
      <c r="J3388" s="204"/>
      <c r="K3388" s="204"/>
      <c r="L3388" s="205"/>
      <c r="M3388" s="205"/>
      <c r="N3388" s="204"/>
      <c r="O3388" s="204"/>
      <c r="P3388" s="206"/>
      <c r="Q3388" s="206"/>
      <c r="R3388" s="206"/>
      <c r="S3388" s="206"/>
      <c r="T3388" s="204"/>
      <c r="U3388" s="207"/>
      <c r="V3388" s="204"/>
      <c r="W3388" s="204"/>
      <c r="X3388" s="207"/>
      <c r="Y3388" s="207"/>
      <c r="Z3388" s="204"/>
      <c r="AA3388" s="204"/>
      <c r="AB3388" s="204"/>
      <c r="AC3388" s="204"/>
    </row>
    <row r="3389" spans="1:29">
      <c r="A3389" s="204"/>
      <c r="B3389" s="204"/>
      <c r="C3389" s="204"/>
      <c r="D3389" s="204"/>
      <c r="E3389" s="204"/>
      <c r="F3389" s="204"/>
      <c r="G3389" s="204"/>
      <c r="H3389" s="204"/>
      <c r="I3389" s="204"/>
      <c r="J3389" s="204"/>
      <c r="K3389" s="204"/>
      <c r="L3389" s="205"/>
      <c r="M3389" s="205"/>
      <c r="N3389" s="204"/>
      <c r="O3389" s="204"/>
      <c r="P3389" s="206"/>
      <c r="Q3389" s="206"/>
      <c r="R3389" s="206"/>
      <c r="S3389" s="206"/>
      <c r="T3389" s="204"/>
      <c r="U3389" s="207"/>
      <c r="V3389" s="204"/>
      <c r="W3389" s="204"/>
      <c r="X3389" s="207"/>
      <c r="Y3389" s="207"/>
      <c r="Z3389" s="204"/>
      <c r="AA3389" s="204"/>
      <c r="AB3389" s="204"/>
      <c r="AC3389" s="204"/>
    </row>
    <row r="3390" spans="1:29">
      <c r="A3390" s="204"/>
      <c r="B3390" s="204"/>
      <c r="C3390" s="204"/>
      <c r="D3390" s="204"/>
      <c r="E3390" s="204"/>
      <c r="F3390" s="204"/>
      <c r="G3390" s="204"/>
      <c r="H3390" s="204"/>
      <c r="I3390" s="204"/>
      <c r="J3390" s="204"/>
      <c r="K3390" s="204"/>
      <c r="L3390" s="205"/>
      <c r="M3390" s="205"/>
      <c r="N3390" s="204"/>
      <c r="O3390" s="204"/>
      <c r="P3390" s="206"/>
      <c r="Q3390" s="206"/>
      <c r="R3390" s="206"/>
      <c r="S3390" s="206"/>
      <c r="T3390" s="204"/>
      <c r="U3390" s="207"/>
      <c r="V3390" s="204"/>
      <c r="W3390" s="204"/>
      <c r="X3390" s="207"/>
      <c r="Y3390" s="207"/>
      <c r="Z3390" s="204"/>
      <c r="AA3390" s="204"/>
      <c r="AB3390" s="204"/>
      <c r="AC3390" s="204"/>
    </row>
    <row r="3391" spans="1:29">
      <c r="A3391" s="204"/>
      <c r="B3391" s="204"/>
      <c r="C3391" s="204"/>
      <c r="D3391" s="204"/>
      <c r="E3391" s="204"/>
      <c r="F3391" s="204"/>
      <c r="G3391" s="204"/>
      <c r="H3391" s="204"/>
      <c r="I3391" s="204"/>
      <c r="J3391" s="204"/>
      <c r="K3391" s="204"/>
      <c r="L3391" s="205"/>
      <c r="M3391" s="205"/>
      <c r="N3391" s="204"/>
      <c r="O3391" s="204"/>
      <c r="P3391" s="206"/>
      <c r="Q3391" s="206"/>
      <c r="R3391" s="206"/>
      <c r="S3391" s="206"/>
      <c r="T3391" s="204"/>
      <c r="U3391" s="207"/>
      <c r="V3391" s="204"/>
      <c r="W3391" s="204"/>
      <c r="X3391" s="207"/>
      <c r="Y3391" s="207"/>
      <c r="Z3391" s="204"/>
      <c r="AA3391" s="204"/>
      <c r="AB3391" s="204"/>
      <c r="AC3391" s="204"/>
    </row>
    <row r="3392" spans="1:29">
      <c r="A3392" s="204"/>
      <c r="B3392" s="204"/>
      <c r="C3392" s="204"/>
      <c r="D3392" s="204"/>
      <c r="E3392" s="204"/>
      <c r="F3392" s="204"/>
      <c r="G3392" s="204"/>
      <c r="H3392" s="204"/>
      <c r="I3392" s="204"/>
      <c r="J3392" s="204"/>
      <c r="K3392" s="204"/>
      <c r="L3392" s="205"/>
      <c r="M3392" s="205"/>
      <c r="N3392" s="204"/>
      <c r="O3392" s="204"/>
      <c r="P3392" s="206"/>
      <c r="Q3392" s="206"/>
      <c r="R3392" s="206"/>
      <c r="S3392" s="206"/>
      <c r="T3392" s="204"/>
      <c r="U3392" s="207"/>
      <c r="V3392" s="204"/>
      <c r="W3392" s="204"/>
      <c r="X3392" s="207"/>
      <c r="Y3392" s="207"/>
      <c r="Z3392" s="204"/>
      <c r="AA3392" s="204"/>
      <c r="AB3392" s="204"/>
      <c r="AC3392" s="204"/>
    </row>
    <row r="3393" spans="1:29">
      <c r="A3393" s="204"/>
      <c r="B3393" s="204"/>
      <c r="C3393" s="204"/>
      <c r="D3393" s="204"/>
      <c r="E3393" s="204"/>
      <c r="F3393" s="204"/>
      <c r="G3393" s="204"/>
      <c r="H3393" s="204"/>
      <c r="I3393" s="204"/>
      <c r="J3393" s="204"/>
      <c r="K3393" s="204"/>
      <c r="L3393" s="205"/>
      <c r="M3393" s="205"/>
      <c r="N3393" s="204"/>
      <c r="O3393" s="204"/>
      <c r="P3393" s="206"/>
      <c r="Q3393" s="206"/>
      <c r="R3393" s="206"/>
      <c r="S3393" s="206"/>
      <c r="T3393" s="204"/>
      <c r="U3393" s="207"/>
      <c r="V3393" s="204"/>
      <c r="W3393" s="204"/>
      <c r="X3393" s="207"/>
      <c r="Y3393" s="207"/>
      <c r="Z3393" s="204"/>
      <c r="AA3393" s="204"/>
      <c r="AB3393" s="204"/>
      <c r="AC3393" s="204"/>
    </row>
    <row r="3394" spans="1:29">
      <c r="A3394" s="204"/>
      <c r="B3394" s="204"/>
      <c r="C3394" s="204"/>
      <c r="D3394" s="204"/>
      <c r="E3394" s="204"/>
      <c r="F3394" s="204"/>
      <c r="G3394" s="204"/>
      <c r="H3394" s="204"/>
      <c r="I3394" s="204"/>
      <c r="J3394" s="204"/>
      <c r="K3394" s="204"/>
      <c r="L3394" s="205"/>
      <c r="M3394" s="205"/>
      <c r="N3394" s="204"/>
      <c r="O3394" s="204"/>
      <c r="P3394" s="206"/>
      <c r="Q3394" s="206"/>
      <c r="R3394" s="206"/>
      <c r="S3394" s="206"/>
      <c r="T3394" s="204"/>
      <c r="U3394" s="207"/>
      <c r="V3394" s="204"/>
      <c r="W3394" s="204"/>
      <c r="X3394" s="207"/>
      <c r="Y3394" s="207"/>
      <c r="Z3394" s="204"/>
      <c r="AA3394" s="204"/>
      <c r="AB3394" s="204"/>
      <c r="AC3394" s="204"/>
    </row>
    <row r="3395" spans="1:29">
      <c r="A3395" s="204"/>
      <c r="B3395" s="204"/>
      <c r="C3395" s="204"/>
      <c r="D3395" s="204"/>
      <c r="E3395" s="204"/>
      <c r="F3395" s="204"/>
      <c r="G3395" s="204"/>
      <c r="H3395" s="204"/>
      <c r="I3395" s="204"/>
      <c r="J3395" s="204"/>
      <c r="K3395" s="204"/>
      <c r="L3395" s="205"/>
      <c r="M3395" s="205"/>
      <c r="N3395" s="204"/>
      <c r="O3395" s="204"/>
      <c r="P3395" s="206"/>
      <c r="Q3395" s="206"/>
      <c r="R3395" s="206"/>
      <c r="S3395" s="206"/>
      <c r="T3395" s="204"/>
      <c r="U3395" s="207"/>
      <c r="V3395" s="204"/>
      <c r="W3395" s="204"/>
      <c r="X3395" s="207"/>
      <c r="Y3395" s="207"/>
      <c r="Z3395" s="204"/>
      <c r="AA3395" s="204"/>
      <c r="AB3395" s="204"/>
      <c r="AC3395" s="204"/>
    </row>
    <row r="3396" spans="1:29">
      <c r="A3396" s="204"/>
      <c r="B3396" s="204"/>
      <c r="C3396" s="204"/>
      <c r="D3396" s="204"/>
      <c r="E3396" s="204"/>
      <c r="F3396" s="204"/>
      <c r="G3396" s="204"/>
      <c r="H3396" s="204"/>
      <c r="I3396" s="204"/>
      <c r="J3396" s="204"/>
      <c r="K3396" s="204"/>
      <c r="L3396" s="205"/>
      <c r="M3396" s="205"/>
      <c r="N3396" s="204"/>
      <c r="O3396" s="204"/>
      <c r="P3396" s="206"/>
      <c r="Q3396" s="206"/>
      <c r="R3396" s="206"/>
      <c r="S3396" s="206"/>
      <c r="T3396" s="204"/>
      <c r="U3396" s="207"/>
      <c r="V3396" s="204"/>
      <c r="W3396" s="204"/>
      <c r="X3396" s="207"/>
      <c r="Y3396" s="207"/>
      <c r="Z3396" s="204"/>
      <c r="AA3396" s="204"/>
      <c r="AB3396" s="204"/>
      <c r="AC3396" s="204"/>
    </row>
    <row r="3397" spans="1:29">
      <c r="A3397" s="204"/>
      <c r="B3397" s="204"/>
      <c r="C3397" s="204"/>
      <c r="D3397" s="204"/>
      <c r="E3397" s="204"/>
      <c r="F3397" s="204"/>
      <c r="G3397" s="204"/>
      <c r="H3397" s="204"/>
      <c r="I3397" s="204"/>
      <c r="J3397" s="204"/>
      <c r="K3397" s="204"/>
      <c r="L3397" s="205"/>
      <c r="M3397" s="205"/>
      <c r="N3397" s="204"/>
      <c r="O3397" s="204"/>
      <c r="P3397" s="206"/>
      <c r="Q3397" s="206"/>
      <c r="R3397" s="206"/>
      <c r="S3397" s="206"/>
      <c r="T3397" s="204"/>
      <c r="U3397" s="207"/>
      <c r="V3397" s="204"/>
      <c r="W3397" s="204"/>
      <c r="X3397" s="207"/>
      <c r="Y3397" s="207"/>
      <c r="Z3397" s="204"/>
      <c r="AA3397" s="204"/>
      <c r="AB3397" s="204"/>
      <c r="AC3397" s="204"/>
    </row>
    <row r="3398" spans="1:29">
      <c r="A3398" s="204"/>
      <c r="B3398" s="204"/>
      <c r="C3398" s="204"/>
      <c r="D3398" s="204"/>
      <c r="E3398" s="204"/>
      <c r="F3398" s="204"/>
      <c r="G3398" s="204"/>
      <c r="H3398" s="204"/>
      <c r="I3398" s="204"/>
      <c r="J3398" s="204"/>
      <c r="K3398" s="204"/>
      <c r="L3398" s="205"/>
      <c r="M3398" s="205"/>
      <c r="N3398" s="204"/>
      <c r="O3398" s="204"/>
      <c r="P3398" s="206"/>
      <c r="Q3398" s="206"/>
      <c r="R3398" s="206"/>
      <c r="S3398" s="206"/>
      <c r="T3398" s="204"/>
      <c r="U3398" s="207"/>
      <c r="V3398" s="204"/>
      <c r="W3398" s="204"/>
      <c r="X3398" s="207"/>
      <c r="Y3398" s="207"/>
      <c r="Z3398" s="204"/>
      <c r="AA3398" s="204"/>
      <c r="AB3398" s="204"/>
      <c r="AC3398" s="204"/>
    </row>
    <row r="3399" spans="1:29">
      <c r="A3399" s="204"/>
      <c r="B3399" s="204"/>
      <c r="C3399" s="204"/>
      <c r="D3399" s="204"/>
      <c r="E3399" s="204"/>
      <c r="F3399" s="204"/>
      <c r="G3399" s="204"/>
      <c r="H3399" s="204"/>
      <c r="I3399" s="204"/>
      <c r="J3399" s="204"/>
      <c r="K3399" s="204"/>
      <c r="L3399" s="205"/>
      <c r="M3399" s="205"/>
      <c r="N3399" s="204"/>
      <c r="O3399" s="204"/>
      <c r="P3399" s="206"/>
      <c r="Q3399" s="206"/>
      <c r="R3399" s="206"/>
      <c r="S3399" s="206"/>
      <c r="T3399" s="204"/>
      <c r="U3399" s="207"/>
      <c r="V3399" s="204"/>
      <c r="W3399" s="204"/>
      <c r="X3399" s="207"/>
      <c r="Y3399" s="207"/>
      <c r="Z3399" s="204"/>
      <c r="AA3399" s="204"/>
      <c r="AB3399" s="204"/>
      <c r="AC3399" s="204"/>
    </row>
    <row r="3400" spans="1:29">
      <c r="A3400" s="204"/>
      <c r="B3400" s="204"/>
      <c r="C3400" s="204"/>
      <c r="D3400" s="204"/>
      <c r="E3400" s="204"/>
      <c r="F3400" s="204"/>
      <c r="G3400" s="204"/>
      <c r="H3400" s="204"/>
      <c r="I3400" s="204"/>
      <c r="J3400" s="204"/>
      <c r="K3400" s="204"/>
      <c r="L3400" s="205"/>
      <c r="M3400" s="205"/>
      <c r="N3400" s="204"/>
      <c r="O3400" s="204"/>
      <c r="P3400" s="206"/>
      <c r="Q3400" s="206"/>
      <c r="R3400" s="206"/>
      <c r="S3400" s="206"/>
      <c r="T3400" s="204"/>
      <c r="U3400" s="207"/>
      <c r="V3400" s="204"/>
      <c r="W3400" s="204"/>
      <c r="X3400" s="207"/>
      <c r="Y3400" s="207"/>
      <c r="Z3400" s="204"/>
      <c r="AA3400" s="204"/>
      <c r="AB3400" s="204"/>
      <c r="AC3400" s="204"/>
    </row>
    <row r="3401" spans="1:29">
      <c r="A3401" s="204"/>
      <c r="B3401" s="204"/>
      <c r="C3401" s="204"/>
      <c r="D3401" s="204"/>
      <c r="E3401" s="204"/>
      <c r="F3401" s="204"/>
      <c r="G3401" s="204"/>
      <c r="H3401" s="204"/>
      <c r="I3401" s="204"/>
      <c r="J3401" s="204"/>
      <c r="K3401" s="204"/>
      <c r="L3401" s="205"/>
      <c r="M3401" s="205"/>
      <c r="N3401" s="204"/>
      <c r="O3401" s="204"/>
      <c r="P3401" s="206"/>
      <c r="Q3401" s="206"/>
      <c r="R3401" s="206"/>
      <c r="S3401" s="206"/>
      <c r="T3401" s="204"/>
      <c r="U3401" s="207"/>
      <c r="V3401" s="204"/>
      <c r="W3401" s="204"/>
      <c r="X3401" s="207"/>
      <c r="Y3401" s="207"/>
      <c r="Z3401" s="204"/>
      <c r="AA3401" s="204"/>
      <c r="AB3401" s="204"/>
      <c r="AC3401" s="204"/>
    </row>
    <row r="3402" spans="1:29">
      <c r="A3402" s="204"/>
      <c r="B3402" s="204"/>
      <c r="C3402" s="204"/>
      <c r="D3402" s="204"/>
      <c r="E3402" s="204"/>
      <c r="F3402" s="204"/>
      <c r="G3402" s="204"/>
      <c r="H3402" s="204"/>
      <c r="I3402" s="204"/>
      <c r="J3402" s="204"/>
      <c r="K3402" s="204"/>
      <c r="L3402" s="205"/>
      <c r="M3402" s="205"/>
      <c r="N3402" s="204"/>
      <c r="O3402" s="204"/>
      <c r="P3402" s="206"/>
      <c r="Q3402" s="206"/>
      <c r="R3402" s="206"/>
      <c r="S3402" s="206"/>
      <c r="T3402" s="204"/>
      <c r="U3402" s="207"/>
      <c r="V3402" s="204"/>
      <c r="W3402" s="204"/>
      <c r="X3402" s="207"/>
      <c r="Y3402" s="207"/>
      <c r="Z3402" s="204"/>
      <c r="AA3402" s="204"/>
      <c r="AB3402" s="204"/>
      <c r="AC3402" s="204"/>
    </row>
    <row r="3403" spans="1:29">
      <c r="A3403" s="204"/>
      <c r="B3403" s="204"/>
      <c r="C3403" s="204"/>
      <c r="D3403" s="204"/>
      <c r="E3403" s="204"/>
      <c r="F3403" s="204"/>
      <c r="G3403" s="204"/>
      <c r="H3403" s="204"/>
      <c r="I3403" s="204"/>
      <c r="J3403" s="204"/>
      <c r="K3403" s="204"/>
      <c r="L3403" s="205"/>
      <c r="M3403" s="205"/>
      <c r="N3403" s="204"/>
      <c r="O3403" s="204"/>
      <c r="P3403" s="206"/>
      <c r="Q3403" s="206"/>
      <c r="R3403" s="206"/>
      <c r="S3403" s="206"/>
      <c r="T3403" s="204"/>
      <c r="U3403" s="207"/>
      <c r="V3403" s="204"/>
      <c r="W3403" s="204"/>
      <c r="X3403" s="207"/>
      <c r="Y3403" s="207"/>
      <c r="Z3403" s="204"/>
      <c r="AA3403" s="204"/>
      <c r="AB3403" s="204"/>
      <c r="AC3403" s="204"/>
    </row>
    <row r="3404" spans="1:29">
      <c r="A3404" s="204"/>
      <c r="B3404" s="204"/>
      <c r="C3404" s="204"/>
      <c r="D3404" s="204"/>
      <c r="E3404" s="204"/>
      <c r="F3404" s="204"/>
      <c r="G3404" s="204"/>
      <c r="H3404" s="204"/>
      <c r="I3404" s="204"/>
      <c r="J3404" s="204"/>
      <c r="K3404" s="204"/>
      <c r="L3404" s="205"/>
      <c r="M3404" s="205"/>
      <c r="N3404" s="204"/>
      <c r="O3404" s="204"/>
      <c r="P3404" s="206"/>
      <c r="Q3404" s="206"/>
      <c r="R3404" s="206"/>
      <c r="S3404" s="206"/>
      <c r="T3404" s="204"/>
      <c r="U3404" s="207"/>
      <c r="V3404" s="204"/>
      <c r="W3404" s="204"/>
      <c r="X3404" s="207"/>
      <c r="Y3404" s="207"/>
      <c r="Z3404" s="204"/>
      <c r="AA3404" s="204"/>
      <c r="AB3404" s="204"/>
      <c r="AC3404" s="204"/>
    </row>
    <row r="3405" spans="1:29">
      <c r="A3405" s="204"/>
      <c r="B3405" s="204"/>
      <c r="C3405" s="204"/>
      <c r="D3405" s="204"/>
      <c r="E3405" s="204"/>
      <c r="F3405" s="204"/>
      <c r="G3405" s="204"/>
      <c r="H3405" s="204"/>
      <c r="I3405" s="204"/>
      <c r="J3405" s="204"/>
      <c r="K3405" s="204"/>
      <c r="L3405" s="205"/>
      <c r="M3405" s="205"/>
      <c r="N3405" s="204"/>
      <c r="O3405" s="204"/>
      <c r="P3405" s="206"/>
      <c r="Q3405" s="206"/>
      <c r="R3405" s="206"/>
      <c r="S3405" s="206"/>
      <c r="T3405" s="204"/>
      <c r="U3405" s="207"/>
      <c r="V3405" s="204"/>
      <c r="W3405" s="204"/>
      <c r="X3405" s="207"/>
      <c r="Y3405" s="207"/>
      <c r="Z3405" s="204"/>
      <c r="AA3405" s="204"/>
      <c r="AB3405" s="204"/>
      <c r="AC3405" s="204"/>
    </row>
    <row r="3406" spans="1:29">
      <c r="A3406" s="204"/>
      <c r="B3406" s="204"/>
      <c r="C3406" s="204"/>
      <c r="D3406" s="204"/>
      <c r="E3406" s="204"/>
      <c r="F3406" s="204"/>
      <c r="G3406" s="204"/>
      <c r="H3406" s="204"/>
      <c r="I3406" s="204"/>
      <c r="J3406" s="204"/>
      <c r="K3406" s="204"/>
      <c r="L3406" s="205"/>
      <c r="M3406" s="205"/>
      <c r="N3406" s="204"/>
      <c r="O3406" s="204"/>
      <c r="P3406" s="206"/>
      <c r="Q3406" s="206"/>
      <c r="R3406" s="206"/>
      <c r="S3406" s="206"/>
      <c r="T3406" s="204"/>
      <c r="U3406" s="207"/>
      <c r="V3406" s="204"/>
      <c r="W3406" s="204"/>
      <c r="X3406" s="207"/>
      <c r="Y3406" s="207"/>
      <c r="Z3406" s="204"/>
      <c r="AA3406" s="204"/>
      <c r="AB3406" s="204"/>
      <c r="AC3406" s="204"/>
    </row>
    <row r="3407" spans="1:29">
      <c r="A3407" s="204"/>
      <c r="B3407" s="204"/>
      <c r="C3407" s="204"/>
      <c r="D3407" s="204"/>
      <c r="E3407" s="204"/>
      <c r="F3407" s="204"/>
      <c r="G3407" s="204"/>
      <c r="H3407" s="204"/>
      <c r="I3407" s="204"/>
      <c r="J3407" s="204"/>
      <c r="K3407" s="204"/>
      <c r="L3407" s="205"/>
      <c r="M3407" s="205"/>
      <c r="N3407" s="204"/>
      <c r="O3407" s="204"/>
      <c r="P3407" s="206"/>
      <c r="Q3407" s="206"/>
      <c r="R3407" s="206"/>
      <c r="S3407" s="206"/>
      <c r="T3407" s="204"/>
      <c r="U3407" s="207"/>
      <c r="V3407" s="204"/>
      <c r="W3407" s="204"/>
      <c r="X3407" s="207"/>
      <c r="Y3407" s="207"/>
      <c r="Z3407" s="204"/>
      <c r="AA3407" s="204"/>
      <c r="AB3407" s="204"/>
      <c r="AC3407" s="204"/>
    </row>
    <row r="3408" spans="1:29">
      <c r="A3408" s="204"/>
      <c r="B3408" s="204"/>
      <c r="C3408" s="204"/>
      <c r="D3408" s="204"/>
      <c r="E3408" s="204"/>
      <c r="F3408" s="204"/>
      <c r="G3408" s="204"/>
      <c r="H3408" s="204"/>
      <c r="I3408" s="204"/>
      <c r="J3408" s="204"/>
      <c r="K3408" s="204"/>
      <c r="L3408" s="205"/>
      <c r="M3408" s="205"/>
      <c r="N3408" s="204"/>
      <c r="O3408" s="204"/>
      <c r="P3408" s="206"/>
      <c r="Q3408" s="206"/>
      <c r="R3408" s="206"/>
      <c r="S3408" s="206"/>
      <c r="T3408" s="204"/>
      <c r="U3408" s="207"/>
      <c r="V3408" s="204"/>
      <c r="W3408" s="204"/>
      <c r="X3408" s="207"/>
      <c r="Y3408" s="207"/>
      <c r="Z3408" s="204"/>
      <c r="AA3408" s="204"/>
      <c r="AB3408" s="204"/>
      <c r="AC3408" s="204"/>
    </row>
    <row r="3409" spans="1:29">
      <c r="A3409" s="204"/>
      <c r="B3409" s="204"/>
      <c r="C3409" s="204"/>
      <c r="D3409" s="204"/>
      <c r="E3409" s="204"/>
      <c r="F3409" s="204"/>
      <c r="G3409" s="204"/>
      <c r="H3409" s="204"/>
      <c r="I3409" s="204"/>
      <c r="J3409" s="204"/>
      <c r="K3409" s="204"/>
      <c r="L3409" s="205"/>
      <c r="M3409" s="205"/>
      <c r="N3409" s="204"/>
      <c r="O3409" s="204"/>
      <c r="P3409" s="206"/>
      <c r="Q3409" s="206"/>
      <c r="R3409" s="206"/>
      <c r="S3409" s="206"/>
      <c r="T3409" s="204"/>
      <c r="U3409" s="207"/>
      <c r="V3409" s="204"/>
      <c r="W3409" s="204"/>
      <c r="X3409" s="207"/>
      <c r="Y3409" s="207"/>
      <c r="Z3409" s="204"/>
      <c r="AA3409" s="204"/>
      <c r="AB3409" s="204"/>
      <c r="AC3409" s="204"/>
    </row>
    <row r="3410" spans="1:29">
      <c r="A3410" s="204"/>
      <c r="B3410" s="204"/>
      <c r="C3410" s="204"/>
      <c r="D3410" s="204"/>
      <c r="E3410" s="204"/>
      <c r="F3410" s="204"/>
      <c r="G3410" s="204"/>
      <c r="H3410" s="204"/>
      <c r="I3410" s="204"/>
      <c r="J3410" s="204"/>
      <c r="K3410" s="204"/>
      <c r="L3410" s="205"/>
      <c r="M3410" s="205"/>
      <c r="N3410" s="204"/>
      <c r="O3410" s="204"/>
      <c r="P3410" s="206"/>
      <c r="Q3410" s="206"/>
      <c r="R3410" s="206"/>
      <c r="S3410" s="206"/>
      <c r="T3410" s="204"/>
      <c r="U3410" s="207"/>
      <c r="V3410" s="204"/>
      <c r="W3410" s="204"/>
      <c r="X3410" s="207"/>
      <c r="Y3410" s="207"/>
      <c r="Z3410" s="204"/>
      <c r="AA3410" s="204"/>
      <c r="AB3410" s="204"/>
      <c r="AC3410" s="204"/>
    </row>
    <row r="3411" spans="1:29">
      <c r="A3411" s="204"/>
      <c r="B3411" s="204"/>
      <c r="C3411" s="204"/>
      <c r="D3411" s="204"/>
      <c r="E3411" s="204"/>
      <c r="F3411" s="204"/>
      <c r="G3411" s="204"/>
      <c r="H3411" s="204"/>
      <c r="I3411" s="204"/>
      <c r="J3411" s="204"/>
      <c r="K3411" s="204"/>
      <c r="L3411" s="205"/>
      <c r="M3411" s="205"/>
      <c r="N3411" s="204"/>
      <c r="O3411" s="204"/>
      <c r="P3411" s="206"/>
      <c r="Q3411" s="206"/>
      <c r="R3411" s="206"/>
      <c r="S3411" s="206"/>
      <c r="T3411" s="204"/>
      <c r="U3411" s="207"/>
      <c r="V3411" s="204"/>
      <c r="W3411" s="204"/>
      <c r="X3411" s="207"/>
      <c r="Y3411" s="207"/>
      <c r="Z3411" s="204"/>
      <c r="AA3411" s="204"/>
      <c r="AB3411" s="204"/>
      <c r="AC3411" s="204"/>
    </row>
    <row r="3412" spans="1:29">
      <c r="A3412" s="204"/>
      <c r="B3412" s="204"/>
      <c r="C3412" s="204"/>
      <c r="D3412" s="204"/>
      <c r="E3412" s="204"/>
      <c r="F3412" s="204"/>
      <c r="G3412" s="204"/>
      <c r="H3412" s="204"/>
      <c r="I3412" s="204"/>
      <c r="J3412" s="204"/>
      <c r="K3412" s="204"/>
      <c r="L3412" s="205"/>
      <c r="M3412" s="205"/>
      <c r="N3412" s="204"/>
      <c r="O3412" s="204"/>
      <c r="P3412" s="206"/>
      <c r="Q3412" s="206"/>
      <c r="R3412" s="206"/>
      <c r="S3412" s="206"/>
      <c r="T3412" s="204"/>
      <c r="U3412" s="207"/>
      <c r="V3412" s="204"/>
      <c r="W3412" s="204"/>
      <c r="X3412" s="207"/>
      <c r="Y3412" s="207"/>
      <c r="Z3412" s="204"/>
      <c r="AA3412" s="204"/>
      <c r="AB3412" s="204"/>
      <c r="AC3412" s="204"/>
    </row>
    <row r="3413" spans="1:29">
      <c r="A3413" s="204"/>
      <c r="B3413" s="204"/>
      <c r="C3413" s="204"/>
      <c r="D3413" s="204"/>
      <c r="E3413" s="204"/>
      <c r="F3413" s="204"/>
      <c r="G3413" s="204"/>
      <c r="H3413" s="204"/>
      <c r="I3413" s="204"/>
      <c r="J3413" s="204"/>
      <c r="K3413" s="204"/>
      <c r="L3413" s="205"/>
      <c r="M3413" s="205"/>
      <c r="N3413" s="204"/>
      <c r="O3413" s="204"/>
      <c r="P3413" s="206"/>
      <c r="Q3413" s="206"/>
      <c r="R3413" s="206"/>
      <c r="S3413" s="206"/>
      <c r="T3413" s="204"/>
      <c r="U3413" s="207"/>
      <c r="V3413" s="204"/>
      <c r="W3413" s="204"/>
      <c r="X3413" s="207"/>
      <c r="Y3413" s="207"/>
      <c r="Z3413" s="204"/>
      <c r="AA3413" s="204"/>
      <c r="AB3413" s="204"/>
      <c r="AC3413" s="204"/>
    </row>
    <row r="3414" spans="1:29">
      <c r="A3414" s="204"/>
      <c r="B3414" s="204"/>
      <c r="C3414" s="204"/>
      <c r="D3414" s="204"/>
      <c r="E3414" s="204"/>
      <c r="F3414" s="204"/>
      <c r="G3414" s="204"/>
      <c r="H3414" s="204"/>
      <c r="I3414" s="204"/>
      <c r="J3414" s="204"/>
      <c r="K3414" s="204"/>
      <c r="L3414" s="205"/>
      <c r="M3414" s="205"/>
      <c r="N3414" s="204"/>
      <c r="O3414" s="204"/>
      <c r="P3414" s="206"/>
      <c r="Q3414" s="206"/>
      <c r="R3414" s="206"/>
      <c r="S3414" s="206"/>
      <c r="T3414" s="204"/>
      <c r="U3414" s="207"/>
      <c r="V3414" s="204"/>
      <c r="W3414" s="204"/>
      <c r="X3414" s="207"/>
      <c r="Y3414" s="207"/>
      <c r="Z3414" s="204"/>
      <c r="AA3414" s="204"/>
      <c r="AB3414" s="204"/>
      <c r="AC3414" s="204"/>
    </row>
    <row r="3415" spans="1:29">
      <c r="A3415" s="204"/>
      <c r="B3415" s="204"/>
      <c r="C3415" s="204"/>
      <c r="D3415" s="204"/>
      <c r="E3415" s="204"/>
      <c r="F3415" s="204"/>
      <c r="G3415" s="204"/>
      <c r="H3415" s="204"/>
      <c r="I3415" s="204"/>
      <c r="J3415" s="204"/>
      <c r="K3415" s="204"/>
      <c r="L3415" s="205"/>
      <c r="M3415" s="205"/>
      <c r="N3415" s="204"/>
      <c r="O3415" s="204"/>
      <c r="P3415" s="206"/>
      <c r="Q3415" s="206"/>
      <c r="R3415" s="206"/>
      <c r="S3415" s="206"/>
      <c r="T3415" s="204"/>
      <c r="U3415" s="207"/>
      <c r="V3415" s="204"/>
      <c r="W3415" s="204"/>
      <c r="X3415" s="207"/>
      <c r="Y3415" s="207"/>
      <c r="Z3415" s="204"/>
      <c r="AA3415" s="204"/>
      <c r="AB3415" s="204"/>
      <c r="AC3415" s="204"/>
    </row>
    <row r="3416" spans="1:29">
      <c r="A3416" s="204"/>
      <c r="B3416" s="204"/>
      <c r="C3416" s="204"/>
      <c r="D3416" s="204"/>
      <c r="E3416" s="204"/>
      <c r="F3416" s="204"/>
      <c r="G3416" s="204"/>
      <c r="H3416" s="204"/>
      <c r="I3416" s="204"/>
      <c r="J3416" s="204"/>
      <c r="K3416" s="204"/>
      <c r="L3416" s="205"/>
      <c r="M3416" s="205"/>
      <c r="N3416" s="204"/>
      <c r="O3416" s="204"/>
      <c r="P3416" s="206"/>
      <c r="Q3416" s="206"/>
      <c r="R3416" s="206"/>
      <c r="S3416" s="206"/>
      <c r="T3416" s="204"/>
      <c r="U3416" s="207"/>
      <c r="V3416" s="204"/>
      <c r="W3416" s="204"/>
      <c r="X3416" s="207"/>
      <c r="Y3416" s="207"/>
      <c r="Z3416" s="204"/>
      <c r="AA3416" s="204"/>
      <c r="AB3416" s="204"/>
      <c r="AC3416" s="204"/>
    </row>
    <row r="3417" spans="1:29">
      <c r="A3417" s="204"/>
      <c r="B3417" s="204"/>
      <c r="C3417" s="204"/>
      <c r="D3417" s="204"/>
      <c r="E3417" s="204"/>
      <c r="F3417" s="204"/>
      <c r="G3417" s="204"/>
      <c r="H3417" s="204"/>
      <c r="I3417" s="204"/>
      <c r="J3417" s="204"/>
      <c r="K3417" s="204"/>
      <c r="L3417" s="205"/>
      <c r="M3417" s="205"/>
      <c r="N3417" s="204"/>
      <c r="O3417" s="204"/>
      <c r="P3417" s="206"/>
      <c r="Q3417" s="206"/>
      <c r="R3417" s="206"/>
      <c r="S3417" s="206"/>
      <c r="T3417" s="204"/>
      <c r="U3417" s="207"/>
      <c r="V3417" s="204"/>
      <c r="W3417" s="204"/>
      <c r="X3417" s="207"/>
      <c r="Y3417" s="207"/>
      <c r="Z3417" s="204"/>
      <c r="AA3417" s="204"/>
      <c r="AB3417" s="204"/>
      <c r="AC3417" s="204"/>
    </row>
    <row r="3418" spans="1:29">
      <c r="A3418" s="204"/>
      <c r="B3418" s="204"/>
      <c r="C3418" s="204"/>
      <c r="D3418" s="204"/>
      <c r="E3418" s="204"/>
      <c r="F3418" s="204"/>
      <c r="G3418" s="204"/>
      <c r="H3418" s="204"/>
      <c r="I3418" s="204"/>
      <c r="J3418" s="204"/>
      <c r="K3418" s="204"/>
      <c r="L3418" s="205"/>
      <c r="M3418" s="205"/>
      <c r="N3418" s="204"/>
      <c r="O3418" s="204"/>
      <c r="P3418" s="206"/>
      <c r="Q3418" s="206"/>
      <c r="R3418" s="206"/>
      <c r="S3418" s="206"/>
      <c r="T3418" s="204"/>
      <c r="U3418" s="207"/>
      <c r="V3418" s="204"/>
      <c r="W3418" s="204"/>
      <c r="X3418" s="207"/>
      <c r="Y3418" s="207"/>
      <c r="Z3418" s="204"/>
      <c r="AA3418" s="204"/>
      <c r="AB3418" s="204"/>
      <c r="AC3418" s="204"/>
    </row>
    <row r="3419" spans="1:29">
      <c r="A3419" s="204"/>
      <c r="B3419" s="204"/>
      <c r="C3419" s="204"/>
      <c r="D3419" s="204"/>
      <c r="E3419" s="204"/>
      <c r="F3419" s="204"/>
      <c r="G3419" s="204"/>
      <c r="H3419" s="204"/>
      <c r="I3419" s="204"/>
      <c r="J3419" s="204"/>
      <c r="K3419" s="204"/>
      <c r="L3419" s="205"/>
      <c r="M3419" s="205"/>
      <c r="N3419" s="204"/>
      <c r="O3419" s="204"/>
      <c r="P3419" s="206"/>
      <c r="Q3419" s="206"/>
      <c r="R3419" s="206"/>
      <c r="S3419" s="206"/>
      <c r="T3419" s="204"/>
      <c r="U3419" s="207"/>
      <c r="V3419" s="204"/>
      <c r="W3419" s="204"/>
      <c r="X3419" s="207"/>
      <c r="Y3419" s="207"/>
      <c r="Z3419" s="204"/>
      <c r="AA3419" s="204"/>
      <c r="AB3419" s="204"/>
      <c r="AC3419" s="204"/>
    </row>
    <row r="3420" spans="1:29">
      <c r="A3420" s="204"/>
      <c r="B3420" s="204"/>
      <c r="C3420" s="204"/>
      <c r="D3420" s="204"/>
      <c r="E3420" s="204"/>
      <c r="F3420" s="204"/>
      <c r="G3420" s="204"/>
      <c r="H3420" s="204"/>
      <c r="I3420" s="204"/>
      <c r="J3420" s="204"/>
      <c r="K3420" s="204"/>
      <c r="L3420" s="205"/>
      <c r="M3420" s="205"/>
      <c r="N3420" s="204"/>
      <c r="O3420" s="204"/>
      <c r="P3420" s="206"/>
      <c r="Q3420" s="206"/>
      <c r="R3420" s="206"/>
      <c r="S3420" s="206"/>
      <c r="T3420" s="204"/>
      <c r="U3420" s="207"/>
      <c r="V3420" s="204"/>
      <c r="W3420" s="204"/>
      <c r="X3420" s="207"/>
      <c r="Y3420" s="207"/>
      <c r="Z3420" s="204"/>
      <c r="AA3420" s="204"/>
      <c r="AB3420" s="204"/>
      <c r="AC3420" s="204"/>
    </row>
    <row r="3421" spans="1:29">
      <c r="A3421" s="204"/>
      <c r="B3421" s="204"/>
      <c r="C3421" s="204"/>
      <c r="D3421" s="204"/>
      <c r="E3421" s="204"/>
      <c r="F3421" s="204"/>
      <c r="G3421" s="204"/>
      <c r="H3421" s="204"/>
      <c r="I3421" s="204"/>
      <c r="J3421" s="204"/>
      <c r="K3421" s="204"/>
      <c r="L3421" s="205"/>
      <c r="M3421" s="205"/>
      <c r="N3421" s="204"/>
      <c r="O3421" s="204"/>
      <c r="P3421" s="206"/>
      <c r="Q3421" s="206"/>
      <c r="R3421" s="206"/>
      <c r="S3421" s="206"/>
      <c r="T3421" s="204"/>
      <c r="U3421" s="207"/>
      <c r="V3421" s="204"/>
      <c r="W3421" s="204"/>
      <c r="X3421" s="207"/>
      <c r="Y3421" s="207"/>
      <c r="Z3421" s="204"/>
      <c r="AA3421" s="204"/>
      <c r="AB3421" s="204"/>
      <c r="AC3421" s="204"/>
    </row>
    <row r="3422" spans="1:29">
      <c r="A3422" s="204"/>
      <c r="B3422" s="204"/>
      <c r="C3422" s="204"/>
      <c r="D3422" s="204"/>
      <c r="E3422" s="204"/>
      <c r="F3422" s="204"/>
      <c r="G3422" s="204"/>
      <c r="H3422" s="204"/>
      <c r="I3422" s="204"/>
      <c r="J3422" s="204"/>
      <c r="K3422" s="204"/>
      <c r="L3422" s="205"/>
      <c r="M3422" s="205"/>
      <c r="N3422" s="204"/>
      <c r="O3422" s="204"/>
      <c r="P3422" s="206"/>
      <c r="Q3422" s="206"/>
      <c r="R3422" s="206"/>
      <c r="S3422" s="206"/>
      <c r="T3422" s="204"/>
      <c r="U3422" s="207"/>
      <c r="V3422" s="204"/>
      <c r="W3422" s="204"/>
      <c r="X3422" s="207"/>
      <c r="Y3422" s="207"/>
      <c r="Z3422" s="204"/>
      <c r="AA3422" s="204"/>
      <c r="AB3422" s="204"/>
      <c r="AC3422" s="204"/>
    </row>
    <row r="3423" spans="1:29">
      <c r="A3423" s="204"/>
      <c r="B3423" s="204"/>
      <c r="C3423" s="204"/>
      <c r="D3423" s="204"/>
      <c r="E3423" s="204"/>
      <c r="F3423" s="204"/>
      <c r="G3423" s="204"/>
      <c r="H3423" s="204"/>
      <c r="I3423" s="204"/>
      <c r="J3423" s="204"/>
      <c r="K3423" s="204"/>
      <c r="L3423" s="205"/>
      <c r="M3423" s="205"/>
      <c r="N3423" s="204"/>
      <c r="O3423" s="204"/>
      <c r="P3423" s="206"/>
      <c r="Q3423" s="206"/>
      <c r="R3423" s="206"/>
      <c r="S3423" s="206"/>
      <c r="T3423" s="204"/>
      <c r="U3423" s="207"/>
      <c r="V3423" s="204"/>
      <c r="W3423" s="204"/>
      <c r="X3423" s="207"/>
      <c r="Y3423" s="207"/>
      <c r="Z3423" s="204"/>
      <c r="AA3423" s="204"/>
      <c r="AB3423" s="204"/>
      <c r="AC3423" s="204"/>
    </row>
    <row r="3424" spans="1:29">
      <c r="A3424" s="204"/>
      <c r="B3424" s="204"/>
      <c r="C3424" s="204"/>
      <c r="D3424" s="204"/>
      <c r="E3424" s="204"/>
      <c r="F3424" s="204"/>
      <c r="G3424" s="204"/>
      <c r="H3424" s="204"/>
      <c r="I3424" s="204"/>
      <c r="J3424" s="204"/>
      <c r="K3424" s="204"/>
      <c r="L3424" s="205"/>
      <c r="M3424" s="205"/>
      <c r="N3424" s="204"/>
      <c r="O3424" s="204"/>
      <c r="P3424" s="206"/>
      <c r="Q3424" s="206"/>
      <c r="R3424" s="206"/>
      <c r="S3424" s="206"/>
      <c r="T3424" s="204"/>
      <c r="U3424" s="207"/>
      <c r="V3424" s="204"/>
      <c r="W3424" s="204"/>
      <c r="X3424" s="207"/>
      <c r="Y3424" s="207"/>
      <c r="Z3424" s="204"/>
      <c r="AA3424" s="204"/>
      <c r="AB3424" s="204"/>
      <c r="AC3424" s="204"/>
    </row>
    <row r="3425" spans="1:29">
      <c r="A3425" s="204"/>
      <c r="B3425" s="204"/>
      <c r="C3425" s="204"/>
      <c r="D3425" s="204"/>
      <c r="E3425" s="204"/>
      <c r="F3425" s="204"/>
      <c r="G3425" s="204"/>
      <c r="H3425" s="204"/>
      <c r="I3425" s="204"/>
      <c r="J3425" s="204"/>
      <c r="K3425" s="204"/>
      <c r="L3425" s="205"/>
      <c r="M3425" s="205"/>
      <c r="N3425" s="204"/>
      <c r="O3425" s="204"/>
      <c r="P3425" s="206"/>
      <c r="Q3425" s="206"/>
      <c r="R3425" s="206"/>
      <c r="S3425" s="206"/>
      <c r="T3425" s="204"/>
      <c r="U3425" s="207"/>
      <c r="V3425" s="204"/>
      <c r="W3425" s="204"/>
      <c r="X3425" s="207"/>
      <c r="Y3425" s="207"/>
      <c r="Z3425" s="204"/>
      <c r="AA3425" s="204"/>
      <c r="AB3425" s="204"/>
      <c r="AC3425" s="204"/>
    </row>
    <row r="3426" spans="1:29">
      <c r="A3426" s="204"/>
      <c r="B3426" s="204"/>
      <c r="C3426" s="204"/>
      <c r="D3426" s="204"/>
      <c r="E3426" s="204"/>
      <c r="F3426" s="204"/>
      <c r="G3426" s="204"/>
      <c r="H3426" s="204"/>
      <c r="I3426" s="204"/>
      <c r="J3426" s="204"/>
      <c r="K3426" s="204"/>
      <c r="L3426" s="205"/>
      <c r="M3426" s="205"/>
      <c r="N3426" s="204"/>
      <c r="O3426" s="204"/>
      <c r="P3426" s="206"/>
      <c r="Q3426" s="206"/>
      <c r="R3426" s="206"/>
      <c r="S3426" s="206"/>
      <c r="T3426" s="204"/>
      <c r="U3426" s="207"/>
      <c r="V3426" s="204"/>
      <c r="W3426" s="204"/>
      <c r="X3426" s="207"/>
      <c r="Y3426" s="207"/>
      <c r="Z3426" s="204"/>
      <c r="AA3426" s="204"/>
      <c r="AB3426" s="204"/>
      <c r="AC3426" s="204"/>
    </row>
    <row r="3427" spans="1:29">
      <c r="A3427" s="204"/>
      <c r="B3427" s="204"/>
      <c r="C3427" s="204"/>
      <c r="D3427" s="204"/>
      <c r="E3427" s="204"/>
      <c r="F3427" s="204"/>
      <c r="G3427" s="204"/>
      <c r="H3427" s="204"/>
      <c r="I3427" s="204"/>
      <c r="J3427" s="204"/>
      <c r="K3427" s="204"/>
      <c r="L3427" s="205"/>
      <c r="M3427" s="205"/>
      <c r="N3427" s="204"/>
      <c r="O3427" s="204"/>
      <c r="P3427" s="206"/>
      <c r="Q3427" s="206"/>
      <c r="R3427" s="206"/>
      <c r="S3427" s="206"/>
      <c r="T3427" s="204"/>
      <c r="U3427" s="207"/>
      <c r="V3427" s="204"/>
      <c r="W3427" s="204"/>
      <c r="X3427" s="207"/>
      <c r="Y3427" s="207"/>
      <c r="Z3427" s="204"/>
      <c r="AA3427" s="204"/>
      <c r="AB3427" s="204"/>
      <c r="AC3427" s="204"/>
    </row>
    <row r="3428" spans="1:29">
      <c r="A3428" s="204"/>
      <c r="B3428" s="204"/>
      <c r="C3428" s="204"/>
      <c r="D3428" s="204"/>
      <c r="E3428" s="204"/>
      <c r="F3428" s="204"/>
      <c r="G3428" s="204"/>
      <c r="H3428" s="204"/>
      <c r="I3428" s="204"/>
      <c r="J3428" s="204"/>
      <c r="K3428" s="204"/>
      <c r="L3428" s="205"/>
      <c r="M3428" s="205"/>
      <c r="N3428" s="204"/>
      <c r="O3428" s="204"/>
      <c r="P3428" s="206"/>
      <c r="Q3428" s="206"/>
      <c r="R3428" s="206"/>
      <c r="S3428" s="206"/>
      <c r="T3428" s="204"/>
      <c r="U3428" s="207"/>
      <c r="V3428" s="204"/>
      <c r="W3428" s="204"/>
      <c r="X3428" s="207"/>
      <c r="Y3428" s="207"/>
      <c r="Z3428" s="204"/>
      <c r="AA3428" s="204"/>
      <c r="AB3428" s="204"/>
      <c r="AC3428" s="204"/>
    </row>
    <row r="3429" spans="1:29">
      <c r="A3429" s="204"/>
      <c r="B3429" s="204"/>
      <c r="C3429" s="204"/>
      <c r="D3429" s="204"/>
      <c r="E3429" s="204"/>
      <c r="F3429" s="204"/>
      <c r="G3429" s="204"/>
      <c r="H3429" s="204"/>
      <c r="I3429" s="204"/>
      <c r="J3429" s="204"/>
      <c r="K3429" s="204"/>
      <c r="L3429" s="205"/>
      <c r="M3429" s="205"/>
      <c r="N3429" s="204"/>
      <c r="O3429" s="204"/>
      <c r="P3429" s="206"/>
      <c r="Q3429" s="206"/>
      <c r="R3429" s="206"/>
      <c r="S3429" s="206"/>
      <c r="T3429" s="204"/>
      <c r="U3429" s="207"/>
      <c r="V3429" s="204"/>
      <c r="W3429" s="204"/>
      <c r="X3429" s="207"/>
      <c r="Y3429" s="207"/>
      <c r="Z3429" s="204"/>
      <c r="AA3429" s="204"/>
      <c r="AB3429" s="204"/>
      <c r="AC3429" s="204"/>
    </row>
    <row r="3430" spans="1:29">
      <c r="A3430" s="204"/>
      <c r="B3430" s="204"/>
      <c r="C3430" s="204"/>
      <c r="D3430" s="204"/>
      <c r="E3430" s="204"/>
      <c r="F3430" s="204"/>
      <c r="G3430" s="204"/>
      <c r="H3430" s="204"/>
      <c r="I3430" s="204"/>
      <c r="J3430" s="204"/>
      <c r="K3430" s="204"/>
      <c r="L3430" s="205"/>
      <c r="M3430" s="205"/>
      <c r="N3430" s="204"/>
      <c r="O3430" s="204"/>
      <c r="P3430" s="206"/>
      <c r="Q3430" s="206"/>
      <c r="R3430" s="206"/>
      <c r="S3430" s="206"/>
      <c r="T3430" s="204"/>
      <c r="U3430" s="207"/>
      <c r="V3430" s="204"/>
      <c r="W3430" s="204"/>
      <c r="X3430" s="207"/>
      <c r="Y3430" s="207"/>
      <c r="Z3430" s="204"/>
      <c r="AA3430" s="204"/>
      <c r="AB3430" s="204"/>
      <c r="AC3430" s="204"/>
    </row>
    <row r="3431" spans="1:29">
      <c r="A3431" s="204"/>
      <c r="B3431" s="204"/>
      <c r="C3431" s="204"/>
      <c r="D3431" s="204"/>
      <c r="E3431" s="204"/>
      <c r="F3431" s="204"/>
      <c r="G3431" s="204"/>
      <c r="H3431" s="204"/>
      <c r="I3431" s="204"/>
      <c r="J3431" s="204"/>
      <c r="K3431" s="204"/>
      <c r="L3431" s="205"/>
      <c r="M3431" s="205"/>
      <c r="N3431" s="204"/>
      <c r="O3431" s="204"/>
      <c r="P3431" s="206"/>
      <c r="Q3431" s="206"/>
      <c r="R3431" s="206"/>
      <c r="S3431" s="206"/>
      <c r="T3431" s="204"/>
      <c r="U3431" s="207"/>
      <c r="V3431" s="204"/>
      <c r="W3431" s="204"/>
      <c r="X3431" s="207"/>
      <c r="Y3431" s="207"/>
      <c r="Z3431" s="204"/>
      <c r="AA3431" s="204"/>
      <c r="AB3431" s="204"/>
      <c r="AC3431" s="204"/>
    </row>
    <row r="3432" spans="1:29">
      <c r="A3432" s="204"/>
      <c r="B3432" s="204"/>
      <c r="C3432" s="204"/>
      <c r="D3432" s="204"/>
      <c r="E3432" s="204"/>
      <c r="F3432" s="204"/>
      <c r="G3432" s="204"/>
      <c r="H3432" s="204"/>
      <c r="I3432" s="204"/>
      <c r="J3432" s="204"/>
      <c r="K3432" s="204"/>
      <c r="L3432" s="205"/>
      <c r="M3432" s="205"/>
      <c r="N3432" s="204"/>
      <c r="O3432" s="204"/>
      <c r="P3432" s="206"/>
      <c r="Q3432" s="206"/>
      <c r="R3432" s="206"/>
      <c r="S3432" s="206"/>
      <c r="T3432" s="204"/>
      <c r="U3432" s="207"/>
      <c r="V3432" s="204"/>
      <c r="W3432" s="204"/>
      <c r="X3432" s="207"/>
      <c r="Y3432" s="207"/>
      <c r="Z3432" s="204"/>
      <c r="AA3432" s="204"/>
      <c r="AB3432" s="204"/>
      <c r="AC3432" s="204"/>
    </row>
    <row r="3433" spans="1:29">
      <c r="A3433" s="204"/>
      <c r="B3433" s="204"/>
      <c r="C3433" s="204"/>
      <c r="D3433" s="204"/>
      <c r="E3433" s="204"/>
      <c r="F3433" s="204"/>
      <c r="G3433" s="204"/>
      <c r="H3433" s="204"/>
      <c r="I3433" s="204"/>
      <c r="J3433" s="204"/>
      <c r="K3433" s="204"/>
      <c r="L3433" s="205"/>
      <c r="M3433" s="205"/>
      <c r="N3433" s="204"/>
      <c r="O3433" s="204"/>
      <c r="P3433" s="206"/>
      <c r="Q3433" s="206"/>
      <c r="R3433" s="206"/>
      <c r="S3433" s="206"/>
      <c r="T3433" s="204"/>
      <c r="U3433" s="207"/>
      <c r="V3433" s="204"/>
      <c r="W3433" s="204"/>
      <c r="X3433" s="207"/>
      <c r="Y3433" s="207"/>
      <c r="Z3433" s="204"/>
      <c r="AA3433" s="204"/>
      <c r="AB3433" s="204"/>
      <c r="AC3433" s="204"/>
    </row>
    <row r="3434" spans="1:29">
      <c r="A3434" s="204"/>
      <c r="B3434" s="204"/>
      <c r="C3434" s="204"/>
      <c r="D3434" s="204"/>
      <c r="E3434" s="204"/>
      <c r="F3434" s="204"/>
      <c r="G3434" s="204"/>
      <c r="H3434" s="204"/>
      <c r="I3434" s="204"/>
      <c r="J3434" s="204"/>
      <c r="K3434" s="204"/>
      <c r="L3434" s="205"/>
      <c r="M3434" s="205"/>
      <c r="N3434" s="204"/>
      <c r="O3434" s="204"/>
      <c r="P3434" s="206"/>
      <c r="Q3434" s="206"/>
      <c r="R3434" s="206"/>
      <c r="S3434" s="206"/>
      <c r="T3434" s="204"/>
      <c r="U3434" s="207"/>
      <c r="V3434" s="204"/>
      <c r="W3434" s="204"/>
      <c r="X3434" s="207"/>
      <c r="Y3434" s="207"/>
      <c r="Z3434" s="204"/>
      <c r="AA3434" s="204"/>
      <c r="AB3434" s="204"/>
      <c r="AC3434" s="204"/>
    </row>
    <row r="3435" spans="1:29">
      <c r="A3435" s="204"/>
      <c r="B3435" s="204"/>
      <c r="C3435" s="204"/>
      <c r="D3435" s="204"/>
      <c r="E3435" s="204"/>
      <c r="F3435" s="204"/>
      <c r="G3435" s="204"/>
      <c r="H3435" s="204"/>
      <c r="I3435" s="204"/>
      <c r="J3435" s="204"/>
      <c r="K3435" s="204"/>
      <c r="L3435" s="205"/>
      <c r="M3435" s="205"/>
      <c r="N3435" s="204"/>
      <c r="O3435" s="204"/>
      <c r="P3435" s="206"/>
      <c r="Q3435" s="206"/>
      <c r="R3435" s="206"/>
      <c r="S3435" s="206"/>
      <c r="T3435" s="204"/>
      <c r="U3435" s="207"/>
      <c r="V3435" s="204"/>
      <c r="W3435" s="204"/>
      <c r="X3435" s="207"/>
      <c r="Y3435" s="207"/>
      <c r="Z3435" s="204"/>
      <c r="AA3435" s="204"/>
      <c r="AB3435" s="204"/>
      <c r="AC3435" s="204"/>
    </row>
    <row r="3436" spans="1:29">
      <c r="A3436" s="204"/>
      <c r="B3436" s="204"/>
      <c r="C3436" s="204"/>
      <c r="D3436" s="204"/>
      <c r="E3436" s="204"/>
      <c r="F3436" s="204"/>
      <c r="G3436" s="204"/>
      <c r="H3436" s="204"/>
      <c r="I3436" s="204"/>
      <c r="J3436" s="204"/>
      <c r="K3436" s="204"/>
      <c r="L3436" s="205"/>
      <c r="M3436" s="205"/>
      <c r="N3436" s="204"/>
      <c r="O3436" s="204"/>
      <c r="P3436" s="206"/>
      <c r="Q3436" s="206"/>
      <c r="R3436" s="206"/>
      <c r="S3436" s="206"/>
      <c r="T3436" s="204"/>
      <c r="U3436" s="207"/>
      <c r="V3436" s="204"/>
      <c r="W3436" s="204"/>
      <c r="X3436" s="207"/>
      <c r="Y3436" s="207"/>
      <c r="Z3436" s="204"/>
      <c r="AA3436" s="204"/>
      <c r="AB3436" s="204"/>
      <c r="AC3436" s="204"/>
    </row>
    <row r="3437" spans="1:29">
      <c r="A3437" s="204"/>
      <c r="B3437" s="204"/>
      <c r="C3437" s="204"/>
      <c r="D3437" s="204"/>
      <c r="E3437" s="204"/>
      <c r="F3437" s="204"/>
      <c r="G3437" s="204"/>
      <c r="H3437" s="204"/>
      <c r="I3437" s="204"/>
      <c r="J3437" s="204"/>
      <c r="K3437" s="204"/>
      <c r="L3437" s="205"/>
      <c r="M3437" s="205"/>
      <c r="N3437" s="204"/>
      <c r="O3437" s="204"/>
      <c r="P3437" s="206"/>
      <c r="Q3437" s="206"/>
      <c r="R3437" s="206"/>
      <c r="S3437" s="206"/>
      <c r="T3437" s="204"/>
      <c r="U3437" s="207"/>
      <c r="V3437" s="204"/>
      <c r="W3437" s="204"/>
      <c r="X3437" s="207"/>
      <c r="Y3437" s="207"/>
      <c r="Z3437" s="204"/>
      <c r="AA3437" s="204"/>
      <c r="AB3437" s="204"/>
      <c r="AC3437" s="204"/>
    </row>
    <row r="3438" spans="1:29">
      <c r="A3438" s="204"/>
      <c r="B3438" s="204"/>
      <c r="C3438" s="204"/>
      <c r="D3438" s="204"/>
      <c r="E3438" s="204"/>
      <c r="F3438" s="204"/>
      <c r="G3438" s="204"/>
      <c r="H3438" s="204"/>
      <c r="I3438" s="204"/>
      <c r="J3438" s="204"/>
      <c r="K3438" s="204"/>
      <c r="L3438" s="205"/>
      <c r="M3438" s="205"/>
      <c r="N3438" s="204"/>
      <c r="O3438" s="204"/>
      <c r="P3438" s="206"/>
      <c r="Q3438" s="206"/>
      <c r="R3438" s="206"/>
      <c r="S3438" s="206"/>
      <c r="T3438" s="204"/>
      <c r="U3438" s="207"/>
      <c r="V3438" s="204"/>
      <c r="W3438" s="204"/>
      <c r="X3438" s="207"/>
      <c r="Y3438" s="207"/>
      <c r="Z3438" s="204"/>
      <c r="AA3438" s="204"/>
      <c r="AB3438" s="204"/>
      <c r="AC3438" s="204"/>
    </row>
    <row r="3439" spans="1:29">
      <c r="A3439" s="204"/>
      <c r="B3439" s="204"/>
      <c r="C3439" s="204"/>
      <c r="D3439" s="204"/>
      <c r="E3439" s="204"/>
      <c r="F3439" s="204"/>
      <c r="G3439" s="204"/>
      <c r="H3439" s="204"/>
      <c r="I3439" s="204"/>
      <c r="J3439" s="204"/>
      <c r="K3439" s="204"/>
      <c r="L3439" s="205"/>
      <c r="M3439" s="205"/>
      <c r="N3439" s="204"/>
      <c r="O3439" s="204"/>
      <c r="P3439" s="206"/>
      <c r="Q3439" s="206"/>
      <c r="R3439" s="206"/>
      <c r="S3439" s="206"/>
      <c r="T3439" s="204"/>
      <c r="U3439" s="207"/>
      <c r="V3439" s="204"/>
      <c r="W3439" s="204"/>
      <c r="X3439" s="207"/>
      <c r="Y3439" s="207"/>
      <c r="Z3439" s="204"/>
      <c r="AA3439" s="204"/>
      <c r="AB3439" s="204"/>
      <c r="AC3439" s="204"/>
    </row>
    <row r="3440" spans="1:29">
      <c r="A3440" s="204"/>
      <c r="B3440" s="204"/>
      <c r="C3440" s="204"/>
      <c r="D3440" s="204"/>
      <c r="E3440" s="204"/>
      <c r="F3440" s="204"/>
      <c r="G3440" s="204"/>
      <c r="H3440" s="204"/>
      <c r="I3440" s="204"/>
      <c r="J3440" s="204"/>
      <c r="K3440" s="204"/>
      <c r="L3440" s="205"/>
      <c r="M3440" s="205"/>
      <c r="N3440" s="204"/>
      <c r="O3440" s="204"/>
      <c r="P3440" s="206"/>
      <c r="Q3440" s="206"/>
      <c r="R3440" s="206"/>
      <c r="S3440" s="206"/>
      <c r="T3440" s="204"/>
      <c r="U3440" s="207"/>
      <c r="V3440" s="204"/>
      <c r="W3440" s="204"/>
      <c r="X3440" s="207"/>
      <c r="Y3440" s="207"/>
      <c r="Z3440" s="204"/>
      <c r="AA3440" s="204"/>
      <c r="AB3440" s="204"/>
      <c r="AC3440" s="204"/>
    </row>
    <row r="3441" spans="1:29">
      <c r="A3441" s="204"/>
      <c r="B3441" s="204"/>
      <c r="C3441" s="204"/>
      <c r="D3441" s="204"/>
      <c r="E3441" s="204"/>
      <c r="F3441" s="204"/>
      <c r="G3441" s="204"/>
      <c r="H3441" s="204"/>
      <c r="I3441" s="204"/>
      <c r="J3441" s="204"/>
      <c r="K3441" s="204"/>
      <c r="L3441" s="205"/>
      <c r="M3441" s="205"/>
      <c r="N3441" s="204"/>
      <c r="O3441" s="204"/>
      <c r="P3441" s="206"/>
      <c r="Q3441" s="206"/>
      <c r="R3441" s="206"/>
      <c r="S3441" s="206"/>
      <c r="T3441" s="204"/>
      <c r="U3441" s="207"/>
      <c r="V3441" s="204"/>
      <c r="W3441" s="204"/>
      <c r="X3441" s="207"/>
      <c r="Y3441" s="207"/>
      <c r="Z3441" s="204"/>
      <c r="AA3441" s="204"/>
      <c r="AB3441" s="204"/>
      <c r="AC3441" s="204"/>
    </row>
    <row r="3442" spans="1:29">
      <c r="A3442" s="204"/>
      <c r="B3442" s="204"/>
      <c r="C3442" s="204"/>
      <c r="D3442" s="204"/>
      <c r="E3442" s="204"/>
      <c r="F3442" s="204"/>
      <c r="G3442" s="204"/>
      <c r="H3442" s="204"/>
      <c r="I3442" s="204"/>
      <c r="J3442" s="204"/>
      <c r="K3442" s="204"/>
      <c r="L3442" s="205"/>
      <c r="M3442" s="205"/>
      <c r="N3442" s="204"/>
      <c r="O3442" s="204"/>
      <c r="P3442" s="206"/>
      <c r="Q3442" s="206"/>
      <c r="R3442" s="206"/>
      <c r="S3442" s="206"/>
      <c r="T3442" s="204"/>
      <c r="U3442" s="207"/>
      <c r="V3442" s="204"/>
      <c r="W3442" s="204"/>
      <c r="X3442" s="207"/>
      <c r="Y3442" s="207"/>
      <c r="Z3442" s="204"/>
      <c r="AA3442" s="204"/>
      <c r="AB3442" s="204"/>
      <c r="AC3442" s="204"/>
    </row>
    <row r="3443" spans="1:29">
      <c r="A3443" s="204"/>
      <c r="B3443" s="204"/>
      <c r="C3443" s="204"/>
      <c r="D3443" s="204"/>
      <c r="E3443" s="204"/>
      <c r="F3443" s="204"/>
      <c r="G3443" s="204"/>
      <c r="H3443" s="204"/>
      <c r="I3443" s="204"/>
      <c r="J3443" s="204"/>
      <c r="K3443" s="204"/>
      <c r="L3443" s="205"/>
      <c r="M3443" s="205"/>
      <c r="N3443" s="204"/>
      <c r="O3443" s="204"/>
      <c r="P3443" s="206"/>
      <c r="Q3443" s="206"/>
      <c r="R3443" s="206"/>
      <c r="S3443" s="206"/>
      <c r="T3443" s="204"/>
      <c r="U3443" s="207"/>
      <c r="V3443" s="204"/>
      <c r="W3443" s="204"/>
      <c r="X3443" s="207"/>
      <c r="Y3443" s="207"/>
      <c r="Z3443" s="204"/>
      <c r="AA3443" s="204"/>
      <c r="AB3443" s="204"/>
      <c r="AC3443" s="204"/>
    </row>
    <row r="3444" spans="1:29">
      <c r="A3444" s="204"/>
      <c r="B3444" s="204"/>
      <c r="C3444" s="204"/>
      <c r="D3444" s="204"/>
      <c r="E3444" s="204"/>
      <c r="F3444" s="204"/>
      <c r="G3444" s="204"/>
      <c r="H3444" s="204"/>
      <c r="I3444" s="204"/>
      <c r="J3444" s="204"/>
      <c r="K3444" s="204"/>
      <c r="L3444" s="205"/>
      <c r="M3444" s="205"/>
      <c r="N3444" s="204"/>
      <c r="O3444" s="204"/>
      <c r="P3444" s="206"/>
      <c r="Q3444" s="206"/>
      <c r="R3444" s="206"/>
      <c r="S3444" s="206"/>
      <c r="T3444" s="204"/>
      <c r="U3444" s="207"/>
      <c r="V3444" s="204"/>
      <c r="W3444" s="204"/>
      <c r="X3444" s="207"/>
      <c r="Y3444" s="207"/>
      <c r="Z3444" s="204"/>
      <c r="AA3444" s="204"/>
      <c r="AB3444" s="204"/>
      <c r="AC3444" s="204"/>
    </row>
    <row r="3445" spans="1:29">
      <c r="A3445" s="204"/>
      <c r="B3445" s="204"/>
      <c r="C3445" s="204"/>
      <c r="D3445" s="204"/>
      <c r="E3445" s="204"/>
      <c r="F3445" s="204"/>
      <c r="G3445" s="204"/>
      <c r="H3445" s="204"/>
      <c r="I3445" s="204"/>
      <c r="J3445" s="204"/>
      <c r="K3445" s="204"/>
      <c r="L3445" s="205"/>
      <c r="M3445" s="205"/>
      <c r="N3445" s="204"/>
      <c r="O3445" s="204"/>
      <c r="P3445" s="206"/>
      <c r="Q3445" s="206"/>
      <c r="R3445" s="206"/>
      <c r="S3445" s="206"/>
      <c r="T3445" s="204"/>
      <c r="U3445" s="207"/>
      <c r="V3445" s="204"/>
      <c r="W3445" s="204"/>
      <c r="X3445" s="207"/>
      <c r="Y3445" s="207"/>
      <c r="Z3445" s="204"/>
      <c r="AA3445" s="204"/>
      <c r="AB3445" s="204"/>
      <c r="AC3445" s="204"/>
    </row>
    <row r="3446" spans="1:29">
      <c r="A3446" s="204"/>
      <c r="B3446" s="204"/>
      <c r="C3446" s="204"/>
      <c r="D3446" s="204"/>
      <c r="E3446" s="204"/>
      <c r="F3446" s="204"/>
      <c r="G3446" s="204"/>
      <c r="H3446" s="204"/>
      <c r="I3446" s="204"/>
      <c r="J3446" s="204"/>
      <c r="K3446" s="204"/>
      <c r="L3446" s="205"/>
      <c r="M3446" s="205"/>
      <c r="N3446" s="204"/>
      <c r="O3446" s="204"/>
      <c r="P3446" s="206"/>
      <c r="Q3446" s="206"/>
      <c r="R3446" s="206"/>
      <c r="S3446" s="206"/>
      <c r="T3446" s="204"/>
      <c r="U3446" s="207"/>
      <c r="V3446" s="204"/>
      <c r="W3446" s="204"/>
      <c r="X3446" s="207"/>
      <c r="Y3446" s="207"/>
      <c r="Z3446" s="204"/>
      <c r="AA3446" s="204"/>
      <c r="AB3446" s="204"/>
      <c r="AC3446" s="204"/>
    </row>
    <row r="3447" spans="1:29">
      <c r="A3447" s="204"/>
      <c r="B3447" s="204"/>
      <c r="C3447" s="204"/>
      <c r="D3447" s="204"/>
      <c r="E3447" s="204"/>
      <c r="F3447" s="204"/>
      <c r="G3447" s="204"/>
      <c r="H3447" s="204"/>
      <c r="I3447" s="204"/>
      <c r="J3447" s="204"/>
      <c r="K3447" s="204"/>
      <c r="L3447" s="205"/>
      <c r="M3447" s="205"/>
      <c r="N3447" s="204"/>
      <c r="O3447" s="204"/>
      <c r="P3447" s="206"/>
      <c r="Q3447" s="206"/>
      <c r="R3447" s="206"/>
      <c r="S3447" s="206"/>
      <c r="T3447" s="204"/>
      <c r="U3447" s="207"/>
      <c r="V3447" s="204"/>
      <c r="W3447" s="204"/>
      <c r="X3447" s="207"/>
      <c r="Y3447" s="207"/>
      <c r="Z3447" s="204"/>
      <c r="AA3447" s="204"/>
      <c r="AB3447" s="204"/>
      <c r="AC3447" s="204"/>
    </row>
    <row r="3448" spans="1:29">
      <c r="A3448" s="204"/>
      <c r="B3448" s="204"/>
      <c r="C3448" s="204"/>
      <c r="D3448" s="204"/>
      <c r="E3448" s="204"/>
      <c r="F3448" s="204"/>
      <c r="G3448" s="204"/>
      <c r="H3448" s="204"/>
      <c r="I3448" s="204"/>
      <c r="J3448" s="204"/>
      <c r="K3448" s="204"/>
      <c r="L3448" s="205"/>
      <c r="M3448" s="205"/>
      <c r="N3448" s="204"/>
      <c r="O3448" s="204"/>
      <c r="P3448" s="206"/>
      <c r="Q3448" s="206"/>
      <c r="R3448" s="206"/>
      <c r="S3448" s="206"/>
      <c r="T3448" s="204"/>
      <c r="U3448" s="207"/>
      <c r="V3448" s="204"/>
      <c r="W3448" s="204"/>
      <c r="X3448" s="207"/>
      <c r="Y3448" s="207"/>
      <c r="Z3448" s="204"/>
      <c r="AA3448" s="204"/>
      <c r="AB3448" s="204"/>
      <c r="AC3448" s="204"/>
    </row>
    <row r="3449" spans="1:29">
      <c r="A3449" s="204"/>
      <c r="B3449" s="204"/>
      <c r="C3449" s="204"/>
      <c r="D3449" s="204"/>
      <c r="E3449" s="204"/>
      <c r="F3449" s="204"/>
      <c r="G3449" s="204"/>
      <c r="H3449" s="204"/>
      <c r="I3449" s="204"/>
      <c r="J3449" s="204"/>
      <c r="K3449" s="204"/>
      <c r="L3449" s="205"/>
      <c r="M3449" s="205"/>
      <c r="N3449" s="204"/>
      <c r="O3449" s="204"/>
      <c r="P3449" s="206"/>
      <c r="Q3449" s="206"/>
      <c r="R3449" s="206"/>
      <c r="S3449" s="206"/>
      <c r="T3449" s="204"/>
      <c r="U3449" s="207"/>
      <c r="V3449" s="204"/>
      <c r="W3449" s="204"/>
      <c r="X3449" s="207"/>
      <c r="Y3449" s="207"/>
      <c r="Z3449" s="204"/>
      <c r="AA3449" s="204"/>
      <c r="AB3449" s="204"/>
      <c r="AC3449" s="204"/>
    </row>
    <row r="3450" spans="1:29">
      <c r="A3450" s="204"/>
      <c r="B3450" s="204"/>
      <c r="C3450" s="204"/>
      <c r="D3450" s="204"/>
      <c r="E3450" s="204"/>
      <c r="F3450" s="204"/>
      <c r="G3450" s="204"/>
      <c r="H3450" s="204"/>
      <c r="I3450" s="204"/>
      <c r="J3450" s="204"/>
      <c r="K3450" s="204"/>
      <c r="L3450" s="205"/>
      <c r="M3450" s="205"/>
      <c r="N3450" s="204"/>
      <c r="O3450" s="204"/>
      <c r="P3450" s="206"/>
      <c r="Q3450" s="206"/>
      <c r="R3450" s="206"/>
      <c r="S3450" s="206"/>
      <c r="T3450" s="204"/>
      <c r="U3450" s="207"/>
      <c r="V3450" s="204"/>
      <c r="W3450" s="204"/>
      <c r="X3450" s="207"/>
      <c r="Y3450" s="207"/>
      <c r="Z3450" s="204"/>
      <c r="AA3450" s="204"/>
      <c r="AB3450" s="204"/>
      <c r="AC3450" s="204"/>
    </row>
    <row r="3451" spans="1:29">
      <c r="A3451" s="204"/>
      <c r="B3451" s="204"/>
      <c r="C3451" s="204"/>
      <c r="D3451" s="204"/>
      <c r="E3451" s="204"/>
      <c r="F3451" s="204"/>
      <c r="G3451" s="204"/>
      <c r="H3451" s="204"/>
      <c r="I3451" s="204"/>
      <c r="J3451" s="204"/>
      <c r="K3451" s="204"/>
      <c r="L3451" s="205"/>
      <c r="M3451" s="205"/>
      <c r="N3451" s="204"/>
      <c r="O3451" s="204"/>
      <c r="P3451" s="206"/>
      <c r="Q3451" s="206"/>
      <c r="R3451" s="206"/>
      <c r="S3451" s="206"/>
      <c r="T3451" s="204"/>
      <c r="U3451" s="207"/>
      <c r="V3451" s="204"/>
      <c r="W3451" s="204"/>
      <c r="X3451" s="207"/>
      <c r="Y3451" s="207"/>
      <c r="Z3451" s="204"/>
      <c r="AA3451" s="204"/>
      <c r="AB3451" s="204"/>
      <c r="AC3451" s="204"/>
    </row>
    <row r="3452" spans="1:29">
      <c r="A3452" s="204"/>
      <c r="B3452" s="204"/>
      <c r="C3452" s="204"/>
      <c r="D3452" s="204"/>
      <c r="E3452" s="204"/>
      <c r="F3452" s="204"/>
      <c r="G3452" s="204"/>
      <c r="H3452" s="204"/>
      <c r="I3452" s="204"/>
      <c r="J3452" s="204"/>
      <c r="K3452" s="204"/>
      <c r="L3452" s="205"/>
      <c r="M3452" s="205"/>
      <c r="N3452" s="204"/>
      <c r="O3452" s="204"/>
      <c r="P3452" s="206"/>
      <c r="Q3452" s="206"/>
      <c r="R3452" s="206"/>
      <c r="S3452" s="206"/>
      <c r="T3452" s="204"/>
      <c r="U3452" s="207"/>
      <c r="V3452" s="204"/>
      <c r="W3452" s="204"/>
      <c r="X3452" s="207"/>
      <c r="Y3452" s="207"/>
      <c r="Z3452" s="204"/>
      <c r="AA3452" s="204"/>
      <c r="AB3452" s="204"/>
      <c r="AC3452" s="204"/>
    </row>
    <row r="3453" spans="1:29">
      <c r="A3453" s="204"/>
      <c r="B3453" s="204"/>
      <c r="C3453" s="204"/>
      <c r="D3453" s="204"/>
      <c r="E3453" s="204"/>
      <c r="F3453" s="204"/>
      <c r="G3453" s="204"/>
      <c r="H3453" s="204"/>
      <c r="I3453" s="204"/>
      <c r="J3453" s="204"/>
      <c r="K3453" s="204"/>
      <c r="L3453" s="205"/>
      <c r="M3453" s="205"/>
      <c r="N3453" s="204"/>
      <c r="O3453" s="204"/>
      <c r="P3453" s="206"/>
      <c r="Q3453" s="206"/>
      <c r="R3453" s="206"/>
      <c r="S3453" s="206"/>
      <c r="T3453" s="204"/>
      <c r="U3453" s="207"/>
      <c r="V3453" s="204"/>
      <c r="W3453" s="204"/>
      <c r="X3453" s="207"/>
      <c r="Y3453" s="207"/>
      <c r="Z3453" s="204"/>
      <c r="AA3453" s="204"/>
      <c r="AB3453" s="204"/>
      <c r="AC3453" s="204"/>
    </row>
    <row r="3454" spans="1:29">
      <c r="A3454" s="204"/>
      <c r="B3454" s="204"/>
      <c r="C3454" s="204"/>
      <c r="D3454" s="204"/>
      <c r="E3454" s="204"/>
      <c r="F3454" s="204"/>
      <c r="G3454" s="204"/>
      <c r="H3454" s="204"/>
      <c r="I3454" s="204"/>
      <c r="J3454" s="204"/>
      <c r="K3454" s="204"/>
      <c r="L3454" s="205"/>
      <c r="M3454" s="205"/>
      <c r="N3454" s="204"/>
      <c r="O3454" s="204"/>
      <c r="P3454" s="206"/>
      <c r="Q3454" s="206"/>
      <c r="R3454" s="206"/>
      <c r="S3454" s="206"/>
      <c r="T3454" s="204"/>
      <c r="U3454" s="207"/>
      <c r="V3454" s="204"/>
      <c r="W3454" s="204"/>
      <c r="X3454" s="207"/>
      <c r="Y3454" s="207"/>
      <c r="Z3454" s="204"/>
      <c r="AA3454" s="204"/>
      <c r="AB3454" s="204"/>
      <c r="AC3454" s="204"/>
    </row>
    <row r="3455" spans="1:29">
      <c r="A3455" s="204"/>
      <c r="B3455" s="204"/>
      <c r="C3455" s="204"/>
      <c r="D3455" s="204"/>
      <c r="E3455" s="204"/>
      <c r="F3455" s="204"/>
      <c r="G3455" s="204"/>
      <c r="H3455" s="204"/>
      <c r="I3455" s="204"/>
      <c r="J3455" s="204"/>
      <c r="K3455" s="204"/>
      <c r="L3455" s="205"/>
      <c r="M3455" s="205"/>
      <c r="N3455" s="204"/>
      <c r="O3455" s="204"/>
      <c r="P3455" s="206"/>
      <c r="Q3455" s="206"/>
      <c r="R3455" s="206"/>
      <c r="S3455" s="206"/>
      <c r="T3455" s="204"/>
      <c r="U3455" s="207"/>
      <c r="V3455" s="204"/>
      <c r="W3455" s="204"/>
      <c r="X3455" s="207"/>
      <c r="Y3455" s="207"/>
      <c r="Z3455" s="204"/>
      <c r="AA3455" s="204"/>
      <c r="AB3455" s="204"/>
      <c r="AC3455" s="204"/>
    </row>
    <row r="3456" spans="1:29">
      <c r="A3456" s="204"/>
      <c r="B3456" s="204"/>
      <c r="C3456" s="204"/>
      <c r="D3456" s="204"/>
      <c r="E3456" s="204"/>
      <c r="F3456" s="204"/>
      <c r="G3456" s="204"/>
      <c r="H3456" s="204"/>
      <c r="I3456" s="204"/>
      <c r="J3456" s="204"/>
      <c r="K3456" s="204"/>
      <c r="L3456" s="205"/>
      <c r="M3456" s="205"/>
      <c r="N3456" s="204"/>
      <c r="O3456" s="204"/>
      <c r="P3456" s="206"/>
      <c r="Q3456" s="206"/>
      <c r="R3456" s="206"/>
      <c r="S3456" s="206"/>
      <c r="T3456" s="204"/>
      <c r="U3456" s="207"/>
      <c r="V3456" s="204"/>
      <c r="W3456" s="204"/>
      <c r="X3456" s="207"/>
      <c r="Y3456" s="207"/>
      <c r="Z3456" s="204"/>
      <c r="AA3456" s="204"/>
      <c r="AB3456" s="204"/>
      <c r="AC3456" s="204"/>
    </row>
    <row r="3457" spans="1:29">
      <c r="A3457" s="204"/>
      <c r="B3457" s="204"/>
      <c r="C3457" s="204"/>
      <c r="D3457" s="204"/>
      <c r="E3457" s="204"/>
      <c r="F3457" s="204"/>
      <c r="G3457" s="204"/>
      <c r="H3457" s="204"/>
      <c r="I3457" s="204"/>
      <c r="J3457" s="204"/>
      <c r="K3457" s="204"/>
      <c r="L3457" s="205"/>
      <c r="M3457" s="205"/>
      <c r="N3457" s="204"/>
      <c r="O3457" s="204"/>
      <c r="P3457" s="206"/>
      <c r="Q3457" s="206"/>
      <c r="R3457" s="206"/>
      <c r="S3457" s="206"/>
      <c r="T3457" s="204"/>
      <c r="U3457" s="207"/>
      <c r="V3457" s="204"/>
      <c r="W3457" s="204"/>
      <c r="X3457" s="207"/>
      <c r="Y3457" s="207"/>
      <c r="Z3457" s="204"/>
      <c r="AA3457" s="204"/>
      <c r="AB3457" s="204"/>
      <c r="AC3457" s="204"/>
    </row>
    <row r="3458" spans="1:29">
      <c r="A3458" s="204"/>
      <c r="B3458" s="204"/>
      <c r="C3458" s="204"/>
      <c r="D3458" s="204"/>
      <c r="E3458" s="204"/>
      <c r="F3458" s="204"/>
      <c r="G3458" s="204"/>
      <c r="H3458" s="204"/>
      <c r="I3458" s="204"/>
      <c r="J3458" s="204"/>
      <c r="K3458" s="204"/>
      <c r="L3458" s="205"/>
      <c r="M3458" s="205"/>
      <c r="N3458" s="204"/>
      <c r="O3458" s="204"/>
      <c r="P3458" s="206"/>
      <c r="Q3458" s="206"/>
      <c r="R3458" s="206"/>
      <c r="S3458" s="206"/>
      <c r="T3458" s="204"/>
      <c r="U3458" s="207"/>
      <c r="V3458" s="204"/>
      <c r="W3458" s="204"/>
      <c r="X3458" s="207"/>
      <c r="Y3458" s="207"/>
      <c r="Z3458" s="204"/>
      <c r="AA3458" s="204"/>
      <c r="AB3458" s="204"/>
      <c r="AC3458" s="204"/>
    </row>
    <row r="3459" spans="1:29">
      <c r="A3459" s="204"/>
      <c r="B3459" s="204"/>
      <c r="C3459" s="204"/>
      <c r="D3459" s="204"/>
      <c r="E3459" s="204"/>
      <c r="F3459" s="204"/>
      <c r="G3459" s="204"/>
      <c r="H3459" s="204"/>
      <c r="I3459" s="204"/>
      <c r="J3459" s="204"/>
      <c r="K3459" s="204"/>
      <c r="L3459" s="205"/>
      <c r="M3459" s="205"/>
      <c r="N3459" s="204"/>
      <c r="O3459" s="204"/>
      <c r="P3459" s="206"/>
      <c r="Q3459" s="206"/>
      <c r="R3459" s="206"/>
      <c r="S3459" s="206"/>
      <c r="T3459" s="204"/>
      <c r="U3459" s="207"/>
      <c r="V3459" s="204"/>
      <c r="W3459" s="204"/>
      <c r="X3459" s="207"/>
      <c r="Y3459" s="207"/>
      <c r="Z3459" s="204"/>
      <c r="AA3459" s="204"/>
      <c r="AB3459" s="204"/>
      <c r="AC3459" s="204"/>
    </row>
    <row r="3460" spans="1:29">
      <c r="A3460" s="204"/>
      <c r="B3460" s="204"/>
      <c r="C3460" s="204"/>
      <c r="D3460" s="204"/>
      <c r="E3460" s="204"/>
      <c r="F3460" s="204"/>
      <c r="G3460" s="204"/>
      <c r="H3460" s="204"/>
      <c r="I3460" s="204"/>
      <c r="J3460" s="204"/>
      <c r="K3460" s="204"/>
      <c r="L3460" s="205"/>
      <c r="M3460" s="205"/>
      <c r="N3460" s="204"/>
      <c r="O3460" s="204"/>
      <c r="P3460" s="206"/>
      <c r="Q3460" s="206"/>
      <c r="R3460" s="206"/>
      <c r="S3460" s="206"/>
      <c r="T3460" s="204"/>
      <c r="U3460" s="207"/>
      <c r="V3460" s="204"/>
      <c r="W3460" s="204"/>
      <c r="X3460" s="207"/>
      <c r="Y3460" s="207"/>
      <c r="Z3460" s="204"/>
      <c r="AA3460" s="204"/>
      <c r="AB3460" s="204"/>
      <c r="AC3460" s="204"/>
    </row>
    <row r="3461" spans="1:29">
      <c r="A3461" s="204"/>
      <c r="B3461" s="204"/>
      <c r="C3461" s="204"/>
      <c r="D3461" s="204"/>
      <c r="E3461" s="204"/>
      <c r="F3461" s="204"/>
      <c r="G3461" s="204"/>
      <c r="H3461" s="204"/>
      <c r="I3461" s="204"/>
      <c r="J3461" s="204"/>
      <c r="K3461" s="204"/>
      <c r="L3461" s="205"/>
      <c r="M3461" s="205"/>
      <c r="N3461" s="204"/>
      <c r="O3461" s="204"/>
      <c r="P3461" s="206"/>
      <c r="Q3461" s="206"/>
      <c r="R3461" s="206"/>
      <c r="S3461" s="206"/>
      <c r="T3461" s="204"/>
      <c r="U3461" s="207"/>
      <c r="V3461" s="204"/>
      <c r="W3461" s="204"/>
      <c r="X3461" s="207"/>
      <c r="Y3461" s="207"/>
      <c r="Z3461" s="204"/>
      <c r="AA3461" s="204"/>
      <c r="AB3461" s="204"/>
      <c r="AC3461" s="204"/>
    </row>
    <row r="3462" spans="1:29">
      <c r="A3462" s="204"/>
      <c r="B3462" s="204"/>
      <c r="C3462" s="204"/>
      <c r="D3462" s="204"/>
      <c r="E3462" s="204"/>
      <c r="F3462" s="204"/>
      <c r="G3462" s="204"/>
      <c r="H3462" s="204"/>
      <c r="I3462" s="204"/>
      <c r="J3462" s="204"/>
      <c r="K3462" s="204"/>
      <c r="L3462" s="205"/>
      <c r="M3462" s="205"/>
      <c r="N3462" s="204"/>
      <c r="O3462" s="204"/>
      <c r="P3462" s="206"/>
      <c r="Q3462" s="206"/>
      <c r="R3462" s="206"/>
      <c r="S3462" s="206"/>
      <c r="T3462" s="204"/>
      <c r="U3462" s="207"/>
      <c r="V3462" s="204"/>
      <c r="W3462" s="204"/>
      <c r="X3462" s="207"/>
      <c r="Y3462" s="207"/>
      <c r="Z3462" s="204"/>
      <c r="AA3462" s="204"/>
      <c r="AB3462" s="204"/>
      <c r="AC3462" s="204"/>
    </row>
    <row r="3463" spans="1:29">
      <c r="A3463" s="204"/>
      <c r="B3463" s="204"/>
      <c r="C3463" s="204"/>
      <c r="D3463" s="204"/>
      <c r="E3463" s="204"/>
      <c r="F3463" s="204"/>
      <c r="G3463" s="204"/>
      <c r="H3463" s="204"/>
      <c r="I3463" s="204"/>
      <c r="J3463" s="204"/>
      <c r="K3463" s="204"/>
      <c r="L3463" s="205"/>
      <c r="M3463" s="205"/>
      <c r="N3463" s="204"/>
      <c r="O3463" s="204"/>
      <c r="P3463" s="206"/>
      <c r="Q3463" s="206"/>
      <c r="R3463" s="206"/>
      <c r="S3463" s="206"/>
      <c r="T3463" s="204"/>
      <c r="U3463" s="207"/>
      <c r="V3463" s="204"/>
      <c r="W3463" s="204"/>
      <c r="X3463" s="207"/>
      <c r="Y3463" s="207"/>
      <c r="Z3463" s="204"/>
      <c r="AA3463" s="204"/>
      <c r="AB3463" s="204"/>
      <c r="AC3463" s="204"/>
    </row>
    <row r="3464" spans="1:29">
      <c r="A3464" s="204"/>
      <c r="B3464" s="204"/>
      <c r="C3464" s="204"/>
      <c r="D3464" s="204"/>
      <c r="E3464" s="204"/>
      <c r="F3464" s="204"/>
      <c r="G3464" s="204"/>
      <c r="H3464" s="204"/>
      <c r="I3464" s="204"/>
      <c r="J3464" s="204"/>
      <c r="K3464" s="204"/>
      <c r="L3464" s="205"/>
      <c r="M3464" s="205"/>
      <c r="N3464" s="204"/>
      <c r="O3464" s="204"/>
      <c r="P3464" s="206"/>
      <c r="Q3464" s="206"/>
      <c r="R3464" s="206"/>
      <c r="S3464" s="206"/>
      <c r="T3464" s="204"/>
      <c r="U3464" s="207"/>
      <c r="V3464" s="204"/>
      <c r="W3464" s="204"/>
      <c r="X3464" s="207"/>
      <c r="Y3464" s="207"/>
      <c r="Z3464" s="204"/>
      <c r="AA3464" s="204"/>
      <c r="AB3464" s="204"/>
      <c r="AC3464" s="204"/>
    </row>
    <row r="3465" spans="1:29">
      <c r="A3465" s="204"/>
      <c r="B3465" s="204"/>
      <c r="C3465" s="204"/>
      <c r="D3465" s="204"/>
      <c r="E3465" s="204"/>
      <c r="F3465" s="204"/>
      <c r="G3465" s="204"/>
      <c r="H3465" s="204"/>
      <c r="I3465" s="204"/>
      <c r="J3465" s="204"/>
      <c r="K3465" s="204"/>
      <c r="L3465" s="205"/>
      <c r="M3465" s="205"/>
      <c r="N3465" s="204"/>
      <c r="O3465" s="204"/>
      <c r="P3465" s="206"/>
      <c r="Q3465" s="206"/>
      <c r="R3465" s="206"/>
      <c r="S3465" s="206"/>
      <c r="T3465" s="204"/>
      <c r="U3465" s="207"/>
      <c r="V3465" s="204"/>
      <c r="W3465" s="204"/>
      <c r="X3465" s="207"/>
      <c r="Y3465" s="207"/>
      <c r="Z3465" s="204"/>
      <c r="AA3465" s="204"/>
      <c r="AB3465" s="204"/>
      <c r="AC3465" s="204"/>
    </row>
    <row r="3466" spans="1:29">
      <c r="A3466" s="204"/>
      <c r="B3466" s="204"/>
      <c r="C3466" s="204"/>
      <c r="D3466" s="204"/>
      <c r="E3466" s="204"/>
      <c r="F3466" s="204"/>
      <c r="G3466" s="204"/>
      <c r="H3466" s="204"/>
      <c r="I3466" s="204"/>
      <c r="J3466" s="204"/>
      <c r="K3466" s="204"/>
      <c r="L3466" s="205"/>
      <c r="M3466" s="205"/>
      <c r="N3466" s="204"/>
      <c r="O3466" s="204"/>
      <c r="P3466" s="206"/>
      <c r="Q3466" s="206"/>
      <c r="R3466" s="206"/>
      <c r="S3466" s="206"/>
      <c r="T3466" s="204"/>
      <c r="U3466" s="207"/>
      <c r="V3466" s="204"/>
      <c r="W3466" s="204"/>
      <c r="X3466" s="207"/>
      <c r="Y3466" s="207"/>
      <c r="Z3466" s="204"/>
      <c r="AA3466" s="204"/>
      <c r="AB3466" s="204"/>
      <c r="AC3466" s="204"/>
    </row>
    <row r="3467" spans="1:29">
      <c r="A3467" s="204"/>
      <c r="B3467" s="204"/>
      <c r="C3467" s="204"/>
      <c r="D3467" s="204"/>
      <c r="E3467" s="204"/>
      <c r="F3467" s="204"/>
      <c r="G3467" s="204"/>
      <c r="H3467" s="204"/>
      <c r="I3467" s="204"/>
      <c r="J3467" s="204"/>
      <c r="K3467" s="204"/>
      <c r="L3467" s="205"/>
      <c r="M3467" s="205"/>
      <c r="N3467" s="204"/>
      <c r="O3467" s="204"/>
      <c r="P3467" s="206"/>
      <c r="Q3467" s="206"/>
      <c r="R3467" s="206"/>
      <c r="S3467" s="206"/>
      <c r="T3467" s="204"/>
      <c r="U3467" s="207"/>
      <c r="V3467" s="204"/>
      <c r="W3467" s="204"/>
      <c r="X3467" s="207"/>
      <c r="Y3467" s="207"/>
      <c r="Z3467" s="204"/>
      <c r="AA3467" s="204"/>
      <c r="AB3467" s="204"/>
      <c r="AC3467" s="204"/>
    </row>
    <row r="3468" spans="1:29">
      <c r="A3468" s="204"/>
      <c r="B3468" s="204"/>
      <c r="C3468" s="204"/>
      <c r="D3468" s="204"/>
      <c r="E3468" s="204"/>
      <c r="F3468" s="204"/>
      <c r="G3468" s="204"/>
      <c r="H3468" s="204"/>
      <c r="I3468" s="204"/>
      <c r="J3468" s="204"/>
      <c r="K3468" s="204"/>
      <c r="L3468" s="205"/>
      <c r="M3468" s="205"/>
      <c r="N3468" s="204"/>
      <c r="O3468" s="204"/>
      <c r="P3468" s="206"/>
      <c r="Q3468" s="206"/>
      <c r="R3468" s="206"/>
      <c r="S3468" s="206"/>
      <c r="T3468" s="204"/>
      <c r="U3468" s="207"/>
      <c r="V3468" s="204"/>
      <c r="W3468" s="204"/>
      <c r="X3468" s="207"/>
      <c r="Y3468" s="207"/>
      <c r="Z3468" s="204"/>
      <c r="AA3468" s="204"/>
      <c r="AB3468" s="204"/>
      <c r="AC3468" s="204"/>
    </row>
    <row r="3469" spans="1:29">
      <c r="A3469" s="204"/>
      <c r="B3469" s="204"/>
      <c r="C3469" s="204"/>
      <c r="D3469" s="204"/>
      <c r="E3469" s="204"/>
      <c r="F3469" s="204"/>
      <c r="G3469" s="204"/>
      <c r="H3469" s="204"/>
      <c r="I3469" s="204"/>
      <c r="J3469" s="204"/>
      <c r="K3469" s="204"/>
      <c r="L3469" s="205"/>
      <c r="M3469" s="205"/>
      <c r="N3469" s="204"/>
      <c r="O3469" s="204"/>
      <c r="P3469" s="206"/>
      <c r="Q3469" s="206"/>
      <c r="R3469" s="206"/>
      <c r="S3469" s="206"/>
      <c r="T3469" s="204"/>
      <c r="U3469" s="207"/>
      <c r="V3469" s="204"/>
      <c r="W3469" s="204"/>
      <c r="X3469" s="207"/>
      <c r="Y3469" s="207"/>
      <c r="Z3469" s="204"/>
      <c r="AA3469" s="204"/>
      <c r="AB3469" s="204"/>
      <c r="AC3469" s="204"/>
    </row>
    <row r="3470" spans="1:29">
      <c r="A3470" s="204"/>
      <c r="B3470" s="204"/>
      <c r="C3470" s="204"/>
      <c r="D3470" s="204"/>
      <c r="E3470" s="204"/>
      <c r="F3470" s="204"/>
      <c r="G3470" s="204"/>
      <c r="H3470" s="204"/>
      <c r="I3470" s="204"/>
      <c r="J3470" s="204"/>
      <c r="K3470" s="204"/>
      <c r="L3470" s="205"/>
      <c r="M3470" s="205"/>
      <c r="N3470" s="204"/>
      <c r="O3470" s="204"/>
      <c r="P3470" s="206"/>
      <c r="Q3470" s="206"/>
      <c r="R3470" s="206"/>
      <c r="S3470" s="206"/>
      <c r="T3470" s="204"/>
      <c r="U3470" s="207"/>
      <c r="V3470" s="204"/>
      <c r="W3470" s="204"/>
      <c r="X3470" s="207"/>
      <c r="Y3470" s="207"/>
      <c r="Z3470" s="204"/>
      <c r="AA3470" s="204"/>
      <c r="AB3470" s="204"/>
      <c r="AC3470" s="204"/>
    </row>
    <row r="3471" spans="1:29">
      <c r="A3471" s="204"/>
      <c r="B3471" s="204"/>
      <c r="C3471" s="204"/>
      <c r="D3471" s="204"/>
      <c r="E3471" s="204"/>
      <c r="F3471" s="204"/>
      <c r="G3471" s="204"/>
      <c r="H3471" s="204"/>
      <c r="I3471" s="204"/>
      <c r="J3471" s="204"/>
      <c r="K3471" s="204"/>
      <c r="L3471" s="205"/>
      <c r="M3471" s="205"/>
      <c r="N3471" s="204"/>
      <c r="O3471" s="204"/>
      <c r="P3471" s="206"/>
      <c r="Q3471" s="206"/>
      <c r="R3471" s="206"/>
      <c r="S3471" s="206"/>
      <c r="T3471" s="204"/>
      <c r="U3471" s="207"/>
      <c r="V3471" s="204"/>
      <c r="W3471" s="204"/>
      <c r="X3471" s="207"/>
      <c r="Y3471" s="207"/>
      <c r="Z3471" s="204"/>
      <c r="AA3471" s="204"/>
      <c r="AB3471" s="204"/>
      <c r="AC3471" s="204"/>
    </row>
    <row r="3472" spans="1:29">
      <c r="A3472" s="204"/>
      <c r="B3472" s="204"/>
      <c r="C3472" s="204"/>
      <c r="D3472" s="204"/>
      <c r="E3472" s="204"/>
      <c r="F3472" s="204"/>
      <c r="G3472" s="204"/>
      <c r="H3472" s="204"/>
      <c r="I3472" s="204"/>
      <c r="J3472" s="204"/>
      <c r="K3472" s="204"/>
      <c r="L3472" s="205"/>
      <c r="M3472" s="205"/>
      <c r="N3472" s="204"/>
      <c r="O3472" s="204"/>
      <c r="P3472" s="206"/>
      <c r="Q3472" s="206"/>
      <c r="R3472" s="206"/>
      <c r="S3472" s="206"/>
      <c r="T3472" s="204"/>
      <c r="U3472" s="207"/>
      <c r="V3472" s="204"/>
      <c r="W3472" s="204"/>
      <c r="X3472" s="207"/>
      <c r="Y3472" s="207"/>
      <c r="Z3472" s="204"/>
      <c r="AA3472" s="204"/>
      <c r="AB3472" s="204"/>
      <c r="AC3472" s="204"/>
    </row>
    <row r="3473" spans="1:29">
      <c r="A3473" s="204"/>
      <c r="B3473" s="204"/>
      <c r="C3473" s="204"/>
      <c r="D3473" s="204"/>
      <c r="E3473" s="204"/>
      <c r="F3473" s="204"/>
      <c r="G3473" s="204"/>
      <c r="H3473" s="204"/>
      <c r="I3473" s="204"/>
      <c r="J3473" s="204"/>
      <c r="K3473" s="204"/>
      <c r="L3473" s="205"/>
      <c r="M3473" s="205"/>
      <c r="N3473" s="204"/>
      <c r="O3473" s="204"/>
      <c r="P3473" s="206"/>
      <c r="Q3473" s="206"/>
      <c r="R3473" s="206"/>
      <c r="S3473" s="206"/>
      <c r="T3473" s="204"/>
      <c r="U3473" s="207"/>
      <c r="V3473" s="204"/>
      <c r="W3473" s="204"/>
      <c r="X3473" s="207"/>
      <c r="Y3473" s="207"/>
      <c r="Z3473" s="204"/>
      <c r="AA3473" s="204"/>
      <c r="AB3473" s="204"/>
      <c r="AC3473" s="204"/>
    </row>
    <row r="3474" spans="1:29">
      <c r="A3474" s="204"/>
      <c r="B3474" s="204"/>
      <c r="C3474" s="204"/>
      <c r="D3474" s="204"/>
      <c r="E3474" s="204"/>
      <c r="F3474" s="204"/>
      <c r="G3474" s="204"/>
      <c r="H3474" s="204"/>
      <c r="I3474" s="204"/>
      <c r="J3474" s="204"/>
      <c r="K3474" s="204"/>
      <c r="L3474" s="205"/>
      <c r="M3474" s="205"/>
      <c r="N3474" s="204"/>
      <c r="O3474" s="204"/>
      <c r="P3474" s="206"/>
      <c r="Q3474" s="206"/>
      <c r="R3474" s="206"/>
      <c r="S3474" s="206"/>
      <c r="T3474" s="204"/>
      <c r="U3474" s="207"/>
      <c r="V3474" s="204"/>
      <c r="W3474" s="204"/>
      <c r="X3474" s="207"/>
      <c r="Y3474" s="207"/>
      <c r="Z3474" s="204"/>
      <c r="AA3474" s="204"/>
      <c r="AB3474" s="204"/>
      <c r="AC3474" s="204"/>
    </row>
    <row r="3475" spans="1:29">
      <c r="A3475" s="204"/>
      <c r="B3475" s="204"/>
      <c r="C3475" s="204"/>
      <c r="D3475" s="204"/>
      <c r="E3475" s="204"/>
      <c r="F3475" s="204"/>
      <c r="G3475" s="204"/>
      <c r="H3475" s="204"/>
      <c r="I3475" s="204"/>
      <c r="J3475" s="204"/>
      <c r="K3475" s="204"/>
      <c r="L3475" s="205"/>
      <c r="M3475" s="205"/>
      <c r="N3475" s="204"/>
      <c r="O3475" s="204"/>
      <c r="P3475" s="206"/>
      <c r="Q3475" s="206"/>
      <c r="R3475" s="206"/>
      <c r="S3475" s="206"/>
      <c r="T3475" s="204"/>
      <c r="U3475" s="207"/>
      <c r="V3475" s="204"/>
      <c r="W3475" s="204"/>
      <c r="X3475" s="207"/>
      <c r="Y3475" s="207"/>
      <c r="Z3475" s="204"/>
      <c r="AA3475" s="204"/>
      <c r="AB3475" s="204"/>
      <c r="AC3475" s="204"/>
    </row>
    <row r="3476" spans="1:29">
      <c r="A3476" s="204"/>
      <c r="B3476" s="204"/>
      <c r="C3476" s="204"/>
      <c r="D3476" s="204"/>
      <c r="E3476" s="204"/>
      <c r="F3476" s="204"/>
      <c r="G3476" s="204"/>
      <c r="H3476" s="204"/>
      <c r="I3476" s="204"/>
      <c r="J3476" s="204"/>
      <c r="K3476" s="204"/>
      <c r="L3476" s="205"/>
      <c r="M3476" s="205"/>
      <c r="N3476" s="204"/>
      <c r="O3476" s="204"/>
      <c r="P3476" s="206"/>
      <c r="Q3476" s="206"/>
      <c r="R3476" s="206"/>
      <c r="S3476" s="206"/>
      <c r="T3476" s="204"/>
      <c r="U3476" s="207"/>
      <c r="V3476" s="204"/>
      <c r="W3476" s="204"/>
      <c r="X3476" s="207"/>
      <c r="Y3476" s="207"/>
      <c r="Z3476" s="204"/>
      <c r="AA3476" s="204"/>
      <c r="AB3476" s="204"/>
      <c r="AC3476" s="204"/>
    </row>
    <row r="3477" spans="1:29">
      <c r="A3477" s="204"/>
      <c r="B3477" s="204"/>
      <c r="C3477" s="204"/>
      <c r="D3477" s="204"/>
      <c r="E3477" s="204"/>
      <c r="F3477" s="204"/>
      <c r="G3477" s="204"/>
      <c r="H3477" s="204"/>
      <c r="I3477" s="204"/>
      <c r="J3477" s="204"/>
      <c r="K3477" s="204"/>
      <c r="L3477" s="205"/>
      <c r="M3477" s="205"/>
      <c r="N3477" s="204"/>
      <c r="O3477" s="204"/>
      <c r="P3477" s="206"/>
      <c r="Q3477" s="206"/>
      <c r="R3477" s="206"/>
      <c r="S3477" s="206"/>
      <c r="T3477" s="204"/>
      <c r="U3477" s="207"/>
      <c r="V3477" s="204"/>
      <c r="W3477" s="204"/>
      <c r="X3477" s="207"/>
      <c r="Y3477" s="207"/>
      <c r="Z3477" s="204"/>
      <c r="AA3477" s="204"/>
      <c r="AB3477" s="204"/>
      <c r="AC3477" s="204"/>
    </row>
    <row r="3478" spans="1:29">
      <c r="A3478" s="204"/>
      <c r="B3478" s="204"/>
      <c r="C3478" s="204"/>
      <c r="D3478" s="204"/>
      <c r="E3478" s="204"/>
      <c r="F3478" s="204"/>
      <c r="G3478" s="204"/>
      <c r="H3478" s="204"/>
      <c r="I3478" s="204"/>
      <c r="J3478" s="204"/>
      <c r="K3478" s="204"/>
      <c r="L3478" s="205"/>
      <c r="M3478" s="205"/>
      <c r="N3478" s="204"/>
      <c r="O3478" s="204"/>
      <c r="P3478" s="206"/>
      <c r="Q3478" s="206"/>
      <c r="R3478" s="206"/>
      <c r="S3478" s="206"/>
      <c r="T3478" s="204"/>
      <c r="U3478" s="207"/>
      <c r="V3478" s="204"/>
      <c r="W3478" s="204"/>
      <c r="X3478" s="207"/>
      <c r="Y3478" s="207"/>
      <c r="Z3478" s="204"/>
      <c r="AA3478" s="204"/>
      <c r="AB3478" s="204"/>
      <c r="AC3478" s="204"/>
    </row>
    <row r="3479" spans="1:29">
      <c r="A3479" s="204"/>
      <c r="B3479" s="204"/>
      <c r="C3479" s="204"/>
      <c r="D3479" s="204"/>
      <c r="E3479" s="204"/>
      <c r="F3479" s="204"/>
      <c r="G3479" s="204"/>
      <c r="H3479" s="204"/>
      <c r="I3479" s="204"/>
      <c r="J3479" s="204"/>
      <c r="K3479" s="204"/>
      <c r="L3479" s="205"/>
      <c r="M3479" s="205"/>
      <c r="N3479" s="204"/>
      <c r="O3479" s="204"/>
      <c r="P3479" s="206"/>
      <c r="Q3479" s="206"/>
      <c r="R3479" s="206"/>
      <c r="S3479" s="206"/>
      <c r="T3479" s="204"/>
      <c r="U3479" s="207"/>
      <c r="V3479" s="204"/>
      <c r="W3479" s="204"/>
      <c r="X3479" s="207"/>
      <c r="Y3479" s="207"/>
      <c r="Z3479" s="204"/>
      <c r="AA3479" s="204"/>
      <c r="AB3479" s="204"/>
      <c r="AC3479" s="204"/>
    </row>
    <row r="3480" spans="1:29">
      <c r="A3480" s="204"/>
      <c r="B3480" s="204"/>
      <c r="C3480" s="204"/>
      <c r="D3480" s="204"/>
      <c r="E3480" s="204"/>
      <c r="F3480" s="204"/>
      <c r="G3480" s="204"/>
      <c r="H3480" s="204"/>
      <c r="I3480" s="204"/>
      <c r="J3480" s="204"/>
      <c r="K3480" s="204"/>
      <c r="L3480" s="205"/>
      <c r="M3480" s="205"/>
      <c r="N3480" s="204"/>
      <c r="O3480" s="204"/>
      <c r="P3480" s="206"/>
      <c r="Q3480" s="206"/>
      <c r="R3480" s="206"/>
      <c r="S3480" s="206"/>
      <c r="T3480" s="204"/>
      <c r="U3480" s="207"/>
      <c r="V3480" s="204"/>
      <c r="W3480" s="204"/>
      <c r="X3480" s="207"/>
      <c r="Y3480" s="207"/>
      <c r="Z3480" s="204"/>
      <c r="AA3480" s="204"/>
      <c r="AB3480" s="204"/>
      <c r="AC3480" s="204"/>
    </row>
    <row r="3481" spans="1:29">
      <c r="A3481" s="204"/>
      <c r="B3481" s="204"/>
      <c r="C3481" s="204"/>
      <c r="D3481" s="204"/>
      <c r="E3481" s="204"/>
      <c r="F3481" s="204"/>
      <c r="G3481" s="204"/>
      <c r="H3481" s="204"/>
      <c r="I3481" s="204"/>
      <c r="J3481" s="204"/>
      <c r="K3481" s="204"/>
      <c r="L3481" s="205"/>
      <c r="M3481" s="205"/>
      <c r="N3481" s="204"/>
      <c r="O3481" s="204"/>
      <c r="P3481" s="206"/>
      <c r="Q3481" s="206"/>
      <c r="R3481" s="206"/>
      <c r="S3481" s="206"/>
      <c r="T3481" s="204"/>
      <c r="U3481" s="207"/>
      <c r="V3481" s="204"/>
      <c r="W3481" s="204"/>
      <c r="X3481" s="207"/>
      <c r="Y3481" s="207"/>
      <c r="Z3481" s="204"/>
      <c r="AA3481" s="204"/>
      <c r="AB3481" s="204"/>
      <c r="AC3481" s="204"/>
    </row>
    <row r="3482" spans="1:29">
      <c r="A3482" s="204"/>
      <c r="B3482" s="204"/>
      <c r="C3482" s="204"/>
      <c r="D3482" s="204"/>
      <c r="E3482" s="204"/>
      <c r="F3482" s="204"/>
      <c r="G3482" s="204"/>
      <c r="H3482" s="204"/>
      <c r="I3482" s="204"/>
      <c r="J3482" s="204"/>
      <c r="K3482" s="204"/>
      <c r="L3482" s="205"/>
      <c r="M3482" s="205"/>
      <c r="N3482" s="204"/>
      <c r="O3482" s="204"/>
      <c r="P3482" s="206"/>
      <c r="Q3482" s="206"/>
      <c r="R3482" s="206"/>
      <c r="S3482" s="206"/>
      <c r="T3482" s="204"/>
      <c r="U3482" s="207"/>
      <c r="V3482" s="204"/>
      <c r="W3482" s="204"/>
      <c r="X3482" s="207"/>
      <c r="Y3482" s="207"/>
      <c r="Z3482" s="204"/>
      <c r="AA3482" s="204"/>
      <c r="AB3482" s="204"/>
      <c r="AC3482" s="204"/>
    </row>
    <row r="3483" spans="1:29">
      <c r="A3483" s="204"/>
      <c r="B3483" s="204"/>
      <c r="C3483" s="204"/>
      <c r="D3483" s="204"/>
      <c r="E3483" s="204"/>
      <c r="F3483" s="204"/>
      <c r="G3483" s="204"/>
      <c r="H3483" s="204"/>
      <c r="I3483" s="204"/>
      <c r="J3483" s="204"/>
      <c r="K3483" s="204"/>
      <c r="L3483" s="205"/>
      <c r="M3483" s="205"/>
      <c r="N3483" s="204"/>
      <c r="O3483" s="204"/>
      <c r="P3483" s="206"/>
      <c r="Q3483" s="206"/>
      <c r="R3483" s="206"/>
      <c r="S3483" s="206"/>
      <c r="T3483" s="204"/>
      <c r="U3483" s="207"/>
      <c r="V3483" s="204"/>
      <c r="W3483" s="204"/>
      <c r="X3483" s="207"/>
      <c r="Y3483" s="207"/>
      <c r="Z3483" s="204"/>
      <c r="AA3483" s="204"/>
      <c r="AB3483" s="204"/>
      <c r="AC3483" s="204"/>
    </row>
    <row r="3484" spans="1:29">
      <c r="A3484" s="204"/>
      <c r="B3484" s="204"/>
      <c r="C3484" s="204"/>
      <c r="D3484" s="204"/>
      <c r="E3484" s="204"/>
      <c r="F3484" s="204"/>
      <c r="G3484" s="204"/>
      <c r="H3484" s="204"/>
      <c r="I3484" s="204"/>
      <c r="J3484" s="204"/>
      <c r="K3484" s="204"/>
      <c r="L3484" s="205"/>
      <c r="M3484" s="205"/>
      <c r="N3484" s="204"/>
      <c r="O3484" s="204"/>
      <c r="P3484" s="206"/>
      <c r="Q3484" s="206"/>
      <c r="R3484" s="206"/>
      <c r="S3484" s="206"/>
      <c r="T3484" s="204"/>
      <c r="U3484" s="207"/>
      <c r="V3484" s="204"/>
      <c r="W3484" s="204"/>
      <c r="X3484" s="207"/>
      <c r="Y3484" s="207"/>
      <c r="Z3484" s="204"/>
      <c r="AA3484" s="204"/>
      <c r="AB3484" s="204"/>
      <c r="AC3484" s="204"/>
    </row>
    <row r="3485" spans="1:29">
      <c r="A3485" s="204"/>
      <c r="B3485" s="204"/>
      <c r="C3485" s="204"/>
      <c r="D3485" s="204"/>
      <c r="E3485" s="204"/>
      <c r="F3485" s="204"/>
      <c r="G3485" s="204"/>
      <c r="H3485" s="204"/>
      <c r="I3485" s="204"/>
      <c r="J3485" s="204"/>
      <c r="K3485" s="204"/>
      <c r="L3485" s="205"/>
      <c r="M3485" s="205"/>
      <c r="N3485" s="204"/>
      <c r="O3485" s="204"/>
      <c r="P3485" s="206"/>
      <c r="Q3485" s="206"/>
      <c r="R3485" s="206"/>
      <c r="S3485" s="206"/>
      <c r="T3485" s="204"/>
      <c r="U3485" s="207"/>
      <c r="V3485" s="204"/>
      <c r="W3485" s="204"/>
      <c r="X3485" s="207"/>
      <c r="Y3485" s="207"/>
      <c r="Z3485" s="204"/>
      <c r="AA3485" s="204"/>
      <c r="AB3485" s="204"/>
      <c r="AC3485" s="204"/>
    </row>
    <row r="3486" spans="1:29">
      <c r="A3486" s="204"/>
      <c r="B3486" s="204"/>
      <c r="C3486" s="204"/>
      <c r="D3486" s="204"/>
      <c r="E3486" s="204"/>
      <c r="F3486" s="204"/>
      <c r="G3486" s="204"/>
      <c r="H3486" s="204"/>
      <c r="I3486" s="204"/>
      <c r="J3486" s="204"/>
      <c r="K3486" s="204"/>
      <c r="L3486" s="205"/>
      <c r="M3486" s="205"/>
      <c r="N3486" s="204"/>
      <c r="O3486" s="204"/>
      <c r="P3486" s="206"/>
      <c r="Q3486" s="206"/>
      <c r="R3486" s="206"/>
      <c r="S3486" s="206"/>
      <c r="T3486" s="204"/>
      <c r="U3486" s="207"/>
      <c r="V3486" s="204"/>
      <c r="W3486" s="204"/>
      <c r="X3486" s="207"/>
      <c r="Y3486" s="207"/>
      <c r="Z3486" s="204"/>
      <c r="AA3486" s="204"/>
      <c r="AB3486" s="204"/>
      <c r="AC3486" s="204"/>
    </row>
    <row r="3487" spans="1:29">
      <c r="A3487" s="204"/>
      <c r="B3487" s="204"/>
      <c r="C3487" s="204"/>
      <c r="D3487" s="204"/>
      <c r="E3487" s="204"/>
      <c r="F3487" s="204"/>
      <c r="G3487" s="204"/>
      <c r="H3487" s="204"/>
      <c r="I3487" s="204"/>
      <c r="J3487" s="204"/>
      <c r="K3487" s="204"/>
      <c r="L3487" s="205"/>
      <c r="M3487" s="205"/>
      <c r="N3487" s="204"/>
      <c r="O3487" s="204"/>
      <c r="P3487" s="206"/>
      <c r="Q3487" s="206"/>
      <c r="R3487" s="206"/>
      <c r="S3487" s="206"/>
      <c r="T3487" s="204"/>
      <c r="U3487" s="207"/>
      <c r="V3487" s="204"/>
      <c r="W3487" s="204"/>
      <c r="X3487" s="207"/>
      <c r="Y3487" s="207"/>
      <c r="Z3487" s="204"/>
      <c r="AA3487" s="204"/>
      <c r="AB3487" s="204"/>
      <c r="AC3487" s="204"/>
    </row>
    <row r="3488" spans="1:29">
      <c r="A3488" s="204"/>
      <c r="B3488" s="204"/>
      <c r="C3488" s="204"/>
      <c r="D3488" s="204"/>
      <c r="E3488" s="204"/>
      <c r="F3488" s="204"/>
      <c r="G3488" s="204"/>
      <c r="H3488" s="204"/>
      <c r="I3488" s="204"/>
      <c r="J3488" s="204"/>
      <c r="K3488" s="204"/>
      <c r="L3488" s="205"/>
      <c r="M3488" s="205"/>
      <c r="N3488" s="204"/>
      <c r="O3488" s="204"/>
      <c r="P3488" s="206"/>
      <c r="Q3488" s="206"/>
      <c r="R3488" s="206"/>
      <c r="S3488" s="206"/>
      <c r="T3488" s="204"/>
      <c r="U3488" s="207"/>
      <c r="V3488" s="204"/>
      <c r="W3488" s="204"/>
      <c r="X3488" s="207"/>
      <c r="Y3488" s="207"/>
      <c r="Z3488" s="204"/>
      <c r="AA3488" s="204"/>
      <c r="AB3488" s="204"/>
      <c r="AC3488" s="204"/>
    </row>
    <row r="3489" spans="1:29">
      <c r="A3489" s="204"/>
      <c r="B3489" s="204"/>
      <c r="C3489" s="204"/>
      <c r="D3489" s="204"/>
      <c r="E3489" s="204"/>
      <c r="F3489" s="204"/>
      <c r="G3489" s="204"/>
      <c r="H3489" s="204"/>
      <c r="I3489" s="204"/>
      <c r="J3489" s="204"/>
      <c r="K3489" s="204"/>
      <c r="L3489" s="205"/>
      <c r="M3489" s="205"/>
      <c r="N3489" s="204"/>
      <c r="O3489" s="204"/>
      <c r="P3489" s="206"/>
      <c r="Q3489" s="206"/>
      <c r="R3489" s="206"/>
      <c r="S3489" s="206"/>
      <c r="T3489" s="204"/>
      <c r="U3489" s="207"/>
      <c r="V3489" s="204"/>
      <c r="W3489" s="204"/>
      <c r="X3489" s="207"/>
      <c r="Y3489" s="207"/>
      <c r="Z3489" s="204"/>
      <c r="AA3489" s="204"/>
      <c r="AB3489" s="204"/>
      <c r="AC3489" s="204"/>
    </row>
    <row r="3490" spans="1:29">
      <c r="A3490" s="204"/>
      <c r="B3490" s="204"/>
      <c r="C3490" s="204"/>
      <c r="D3490" s="204"/>
      <c r="E3490" s="204"/>
      <c r="F3490" s="204"/>
      <c r="G3490" s="204"/>
      <c r="H3490" s="204"/>
      <c r="I3490" s="204"/>
      <c r="J3490" s="204"/>
      <c r="K3490" s="204"/>
      <c r="L3490" s="205"/>
      <c r="M3490" s="205"/>
      <c r="N3490" s="204"/>
      <c r="O3490" s="204"/>
      <c r="P3490" s="206"/>
      <c r="Q3490" s="206"/>
      <c r="R3490" s="206"/>
      <c r="S3490" s="206"/>
      <c r="T3490" s="204"/>
      <c r="U3490" s="207"/>
      <c r="V3490" s="204"/>
      <c r="W3490" s="204"/>
      <c r="X3490" s="207"/>
      <c r="Y3490" s="207"/>
      <c r="Z3490" s="204"/>
      <c r="AA3490" s="204"/>
      <c r="AB3490" s="204"/>
      <c r="AC3490" s="204"/>
    </row>
    <row r="3491" spans="1:29">
      <c r="A3491" s="204"/>
      <c r="B3491" s="204"/>
      <c r="C3491" s="204"/>
      <c r="D3491" s="204"/>
      <c r="E3491" s="204"/>
      <c r="F3491" s="204"/>
      <c r="G3491" s="204"/>
      <c r="H3491" s="204"/>
      <c r="I3491" s="204"/>
      <c r="J3491" s="204"/>
      <c r="K3491" s="204"/>
      <c r="L3491" s="205"/>
      <c r="M3491" s="205"/>
      <c r="N3491" s="204"/>
      <c r="O3491" s="204"/>
      <c r="P3491" s="206"/>
      <c r="Q3491" s="206"/>
      <c r="R3491" s="206"/>
      <c r="S3491" s="206"/>
      <c r="T3491" s="204"/>
      <c r="U3491" s="207"/>
      <c r="V3491" s="204"/>
      <c r="W3491" s="204"/>
      <c r="X3491" s="207"/>
      <c r="Y3491" s="207"/>
      <c r="Z3491" s="204"/>
      <c r="AA3491" s="204"/>
      <c r="AB3491" s="204"/>
      <c r="AC3491" s="204"/>
    </row>
    <row r="3492" spans="1:29">
      <c r="A3492" s="204"/>
      <c r="B3492" s="204"/>
      <c r="C3492" s="204"/>
      <c r="D3492" s="204"/>
      <c r="E3492" s="204"/>
      <c r="F3492" s="204"/>
      <c r="G3492" s="204"/>
      <c r="H3492" s="204"/>
      <c r="I3492" s="204"/>
      <c r="J3492" s="204"/>
      <c r="K3492" s="204"/>
      <c r="L3492" s="205"/>
      <c r="M3492" s="205"/>
      <c r="N3492" s="204"/>
      <c r="O3492" s="204"/>
      <c r="P3492" s="206"/>
      <c r="Q3492" s="206"/>
      <c r="R3492" s="206"/>
      <c r="S3492" s="206"/>
      <c r="T3492" s="204"/>
      <c r="U3492" s="207"/>
      <c r="V3492" s="204"/>
      <c r="W3492" s="204"/>
      <c r="X3492" s="207"/>
      <c r="Y3492" s="207"/>
      <c r="Z3492" s="204"/>
      <c r="AA3492" s="204"/>
      <c r="AB3492" s="204"/>
      <c r="AC3492" s="204"/>
    </row>
    <row r="3493" spans="1:29">
      <c r="A3493" s="204"/>
      <c r="B3493" s="204"/>
      <c r="C3493" s="204"/>
      <c r="D3493" s="204"/>
      <c r="E3493" s="204"/>
      <c r="F3493" s="204"/>
      <c r="G3493" s="204"/>
      <c r="H3493" s="204"/>
      <c r="I3493" s="204"/>
      <c r="J3493" s="204"/>
      <c r="K3493" s="204"/>
      <c r="L3493" s="205"/>
      <c r="M3493" s="205"/>
      <c r="N3493" s="204"/>
      <c r="O3493" s="204"/>
      <c r="P3493" s="206"/>
      <c r="Q3493" s="206"/>
      <c r="R3493" s="206"/>
      <c r="S3493" s="206"/>
      <c r="T3493" s="204"/>
      <c r="U3493" s="207"/>
      <c r="V3493" s="204"/>
      <c r="W3493" s="204"/>
      <c r="X3493" s="207"/>
      <c r="Y3493" s="207"/>
      <c r="Z3493" s="204"/>
      <c r="AA3493" s="204"/>
      <c r="AB3493" s="204"/>
      <c r="AC3493" s="204"/>
    </row>
    <row r="3494" spans="1:29">
      <c r="A3494" s="204"/>
      <c r="B3494" s="204"/>
      <c r="C3494" s="204"/>
      <c r="D3494" s="204"/>
      <c r="E3494" s="204"/>
      <c r="F3494" s="204"/>
      <c r="G3494" s="204"/>
      <c r="H3494" s="204"/>
      <c r="I3494" s="204"/>
      <c r="J3494" s="204"/>
      <c r="K3494" s="204"/>
      <c r="L3494" s="205"/>
      <c r="M3494" s="205"/>
      <c r="N3494" s="204"/>
      <c r="O3494" s="204"/>
      <c r="P3494" s="206"/>
      <c r="Q3494" s="206"/>
      <c r="R3494" s="206"/>
      <c r="S3494" s="206"/>
      <c r="T3494" s="204"/>
      <c r="U3494" s="207"/>
      <c r="V3494" s="204"/>
      <c r="W3494" s="204"/>
      <c r="X3494" s="207"/>
      <c r="Y3494" s="207"/>
      <c r="Z3494" s="204"/>
      <c r="AA3494" s="204"/>
      <c r="AB3494" s="204"/>
      <c r="AC3494" s="204"/>
    </row>
    <row r="3495" spans="1:29">
      <c r="A3495" s="204"/>
      <c r="B3495" s="204"/>
      <c r="C3495" s="204"/>
      <c r="D3495" s="204"/>
      <c r="E3495" s="204"/>
      <c r="F3495" s="204"/>
      <c r="G3495" s="204"/>
      <c r="H3495" s="204"/>
      <c r="I3495" s="204"/>
      <c r="J3495" s="204"/>
      <c r="K3495" s="204"/>
      <c r="L3495" s="205"/>
      <c r="M3495" s="205"/>
      <c r="N3495" s="204"/>
      <c r="O3495" s="204"/>
      <c r="P3495" s="206"/>
      <c r="Q3495" s="206"/>
      <c r="R3495" s="206"/>
      <c r="S3495" s="206"/>
      <c r="T3495" s="204"/>
      <c r="U3495" s="207"/>
      <c r="V3495" s="204"/>
      <c r="W3495" s="204"/>
      <c r="X3495" s="207"/>
      <c r="Y3495" s="207"/>
      <c r="Z3495" s="204"/>
      <c r="AA3495" s="204"/>
      <c r="AB3495" s="204"/>
      <c r="AC3495" s="204"/>
    </row>
    <row r="3496" spans="1:29">
      <c r="A3496" s="204"/>
      <c r="B3496" s="204"/>
      <c r="C3496" s="204"/>
      <c r="D3496" s="204"/>
      <c r="E3496" s="204"/>
      <c r="F3496" s="204"/>
      <c r="G3496" s="204"/>
      <c r="H3496" s="204"/>
      <c r="I3496" s="204"/>
      <c r="J3496" s="204"/>
      <c r="K3496" s="204"/>
      <c r="L3496" s="205"/>
      <c r="M3496" s="205"/>
      <c r="N3496" s="204"/>
      <c r="O3496" s="204"/>
      <c r="P3496" s="206"/>
      <c r="Q3496" s="206"/>
      <c r="R3496" s="206"/>
      <c r="S3496" s="206"/>
      <c r="T3496" s="204"/>
      <c r="U3496" s="207"/>
      <c r="V3496" s="204"/>
      <c r="W3496" s="204"/>
      <c r="X3496" s="207"/>
      <c r="Y3496" s="207"/>
      <c r="Z3496" s="204"/>
      <c r="AA3496" s="204"/>
      <c r="AB3496" s="204"/>
      <c r="AC3496" s="204"/>
    </row>
    <row r="3497" spans="1:29">
      <c r="A3497" s="204"/>
      <c r="B3497" s="204"/>
      <c r="C3497" s="204"/>
      <c r="D3497" s="204"/>
      <c r="E3497" s="204"/>
      <c r="F3497" s="204"/>
      <c r="G3497" s="204"/>
      <c r="H3497" s="204"/>
      <c r="I3497" s="204"/>
      <c r="J3497" s="204"/>
      <c r="K3497" s="204"/>
      <c r="L3497" s="205"/>
      <c r="M3497" s="205"/>
      <c r="N3497" s="204"/>
      <c r="O3497" s="204"/>
      <c r="P3497" s="206"/>
      <c r="Q3497" s="206"/>
      <c r="R3497" s="206"/>
      <c r="S3497" s="206"/>
      <c r="T3497" s="204"/>
      <c r="U3497" s="207"/>
      <c r="V3497" s="204"/>
      <c r="W3497" s="204"/>
      <c r="X3497" s="207"/>
      <c r="Y3497" s="207"/>
      <c r="Z3497" s="204"/>
      <c r="AA3497" s="204"/>
      <c r="AB3497" s="204"/>
      <c r="AC3497" s="204"/>
    </row>
    <row r="3498" spans="1:29">
      <c r="A3498" s="204"/>
      <c r="B3498" s="204"/>
      <c r="C3498" s="204"/>
      <c r="D3498" s="204"/>
      <c r="E3498" s="204"/>
      <c r="F3498" s="204"/>
      <c r="G3498" s="204"/>
      <c r="H3498" s="204"/>
      <c r="I3498" s="204"/>
      <c r="J3498" s="204"/>
      <c r="K3498" s="204"/>
      <c r="L3498" s="205"/>
      <c r="M3498" s="205"/>
      <c r="N3498" s="204"/>
      <c r="O3498" s="204"/>
      <c r="P3498" s="206"/>
      <c r="Q3498" s="206"/>
      <c r="R3498" s="206"/>
      <c r="S3498" s="206"/>
      <c r="T3498" s="204"/>
      <c r="U3498" s="207"/>
      <c r="V3498" s="204"/>
      <c r="W3498" s="204"/>
      <c r="X3498" s="207"/>
      <c r="Y3498" s="207"/>
      <c r="Z3498" s="204"/>
      <c r="AA3498" s="204"/>
      <c r="AB3498" s="204"/>
      <c r="AC3498" s="204"/>
    </row>
    <row r="3499" spans="1:29">
      <c r="A3499" s="204"/>
      <c r="B3499" s="204"/>
      <c r="C3499" s="204"/>
      <c r="D3499" s="204"/>
      <c r="E3499" s="204"/>
      <c r="F3499" s="204"/>
      <c r="G3499" s="204"/>
      <c r="H3499" s="204"/>
      <c r="I3499" s="204"/>
      <c r="J3499" s="204"/>
      <c r="K3499" s="204"/>
      <c r="L3499" s="205"/>
      <c r="M3499" s="205"/>
      <c r="N3499" s="204"/>
      <c r="O3499" s="204"/>
      <c r="P3499" s="206"/>
      <c r="Q3499" s="206"/>
      <c r="R3499" s="206"/>
      <c r="S3499" s="206"/>
      <c r="T3499" s="204"/>
      <c r="U3499" s="207"/>
      <c r="V3499" s="204"/>
      <c r="W3499" s="204"/>
      <c r="X3499" s="207"/>
      <c r="Y3499" s="207"/>
      <c r="Z3499" s="204"/>
      <c r="AA3499" s="204"/>
      <c r="AB3499" s="204"/>
      <c r="AC3499" s="204"/>
    </row>
    <row r="3500" spans="1:29">
      <c r="A3500" s="204"/>
      <c r="B3500" s="204"/>
      <c r="C3500" s="204"/>
      <c r="D3500" s="204"/>
      <c r="E3500" s="204"/>
      <c r="F3500" s="204"/>
      <c r="G3500" s="204"/>
      <c r="H3500" s="204"/>
      <c r="I3500" s="204"/>
      <c r="J3500" s="204"/>
      <c r="K3500" s="204"/>
      <c r="L3500" s="205"/>
      <c r="M3500" s="205"/>
      <c r="N3500" s="204"/>
      <c r="O3500" s="204"/>
      <c r="P3500" s="206"/>
      <c r="Q3500" s="206"/>
      <c r="R3500" s="206"/>
      <c r="S3500" s="206"/>
      <c r="T3500" s="204"/>
      <c r="U3500" s="207"/>
      <c r="V3500" s="204"/>
      <c r="W3500" s="204"/>
      <c r="X3500" s="207"/>
      <c r="Y3500" s="207"/>
      <c r="Z3500" s="204"/>
      <c r="AA3500" s="204"/>
      <c r="AB3500" s="204"/>
      <c r="AC3500" s="204"/>
    </row>
    <row r="3501" spans="1:29">
      <c r="A3501" s="204"/>
      <c r="B3501" s="204"/>
      <c r="C3501" s="204"/>
      <c r="D3501" s="204"/>
      <c r="E3501" s="204"/>
      <c r="F3501" s="204"/>
      <c r="G3501" s="204"/>
      <c r="H3501" s="204"/>
      <c r="I3501" s="204"/>
      <c r="J3501" s="204"/>
      <c r="K3501" s="204"/>
      <c r="L3501" s="205"/>
      <c r="M3501" s="205"/>
      <c r="N3501" s="204"/>
      <c r="O3501" s="204"/>
      <c r="P3501" s="206"/>
      <c r="Q3501" s="206"/>
      <c r="R3501" s="206"/>
      <c r="S3501" s="206"/>
      <c r="T3501" s="204"/>
      <c r="U3501" s="207"/>
      <c r="V3501" s="204"/>
      <c r="W3501" s="204"/>
      <c r="X3501" s="207"/>
      <c r="Y3501" s="207"/>
      <c r="Z3501" s="204"/>
      <c r="AA3501" s="204"/>
      <c r="AB3501" s="204"/>
      <c r="AC3501" s="204"/>
    </row>
    <row r="3502" spans="1:29">
      <c r="A3502" s="204"/>
      <c r="B3502" s="204"/>
      <c r="C3502" s="204"/>
      <c r="D3502" s="204"/>
      <c r="E3502" s="204"/>
      <c r="F3502" s="204"/>
      <c r="G3502" s="204"/>
      <c r="H3502" s="204"/>
      <c r="I3502" s="204"/>
      <c r="J3502" s="204"/>
      <c r="K3502" s="204"/>
      <c r="L3502" s="205"/>
      <c r="M3502" s="205"/>
      <c r="N3502" s="204"/>
      <c r="O3502" s="204"/>
      <c r="P3502" s="206"/>
      <c r="Q3502" s="206"/>
      <c r="R3502" s="206"/>
      <c r="S3502" s="206"/>
      <c r="T3502" s="204"/>
      <c r="U3502" s="207"/>
      <c r="V3502" s="204"/>
      <c r="W3502" s="204"/>
      <c r="X3502" s="207"/>
      <c r="Y3502" s="207"/>
      <c r="Z3502" s="204"/>
      <c r="AA3502" s="204"/>
      <c r="AB3502" s="204"/>
      <c r="AC3502" s="204"/>
    </row>
    <row r="3503" spans="1:29">
      <c r="A3503" s="204"/>
      <c r="B3503" s="204"/>
      <c r="C3503" s="204"/>
      <c r="D3503" s="204"/>
      <c r="E3503" s="204"/>
      <c r="F3503" s="204"/>
      <c r="G3503" s="204"/>
      <c r="H3503" s="204"/>
      <c r="I3503" s="204"/>
      <c r="J3503" s="204"/>
      <c r="K3503" s="204"/>
      <c r="L3503" s="205"/>
      <c r="M3503" s="205"/>
      <c r="N3503" s="204"/>
      <c r="O3503" s="204"/>
      <c r="P3503" s="206"/>
      <c r="Q3503" s="206"/>
      <c r="R3503" s="206"/>
      <c r="S3503" s="206"/>
      <c r="T3503" s="204"/>
      <c r="U3503" s="207"/>
      <c r="V3503" s="204"/>
      <c r="W3503" s="204"/>
      <c r="X3503" s="207"/>
      <c r="Y3503" s="207"/>
      <c r="Z3503" s="204"/>
      <c r="AA3503" s="204"/>
      <c r="AB3503" s="204"/>
      <c r="AC3503" s="204"/>
    </row>
    <row r="3504" spans="1:29">
      <c r="A3504" s="204"/>
      <c r="B3504" s="204"/>
      <c r="C3504" s="204"/>
      <c r="D3504" s="204"/>
      <c r="E3504" s="204"/>
      <c r="F3504" s="204"/>
      <c r="G3504" s="204"/>
      <c r="H3504" s="204"/>
      <c r="I3504" s="204"/>
      <c r="J3504" s="204"/>
      <c r="K3504" s="204"/>
      <c r="L3504" s="205"/>
      <c r="M3504" s="205"/>
      <c r="N3504" s="204"/>
      <c r="O3504" s="204"/>
      <c r="P3504" s="206"/>
      <c r="Q3504" s="206"/>
      <c r="R3504" s="206"/>
      <c r="S3504" s="206"/>
      <c r="T3504" s="204"/>
      <c r="U3504" s="207"/>
      <c r="V3504" s="204"/>
      <c r="W3504" s="204"/>
      <c r="X3504" s="207"/>
      <c r="Y3504" s="207"/>
      <c r="Z3504" s="204"/>
      <c r="AA3504" s="204"/>
      <c r="AB3504" s="204"/>
      <c r="AC3504" s="204"/>
    </row>
    <row r="3505" spans="1:29">
      <c r="A3505" s="204"/>
      <c r="B3505" s="204"/>
      <c r="C3505" s="204"/>
      <c r="D3505" s="204"/>
      <c r="E3505" s="204"/>
      <c r="F3505" s="204"/>
      <c r="G3505" s="204"/>
      <c r="H3505" s="204"/>
      <c r="I3505" s="204"/>
      <c r="J3505" s="204"/>
      <c r="K3505" s="204"/>
      <c r="L3505" s="205"/>
      <c r="M3505" s="205"/>
      <c r="N3505" s="204"/>
      <c r="O3505" s="204"/>
      <c r="P3505" s="206"/>
      <c r="Q3505" s="206"/>
      <c r="R3505" s="206"/>
      <c r="S3505" s="206"/>
      <c r="T3505" s="204"/>
      <c r="U3505" s="207"/>
      <c r="V3505" s="204"/>
      <c r="W3505" s="204"/>
      <c r="X3505" s="207"/>
      <c r="Y3505" s="207"/>
      <c r="Z3505" s="204"/>
      <c r="AA3505" s="204"/>
      <c r="AB3505" s="204"/>
      <c r="AC3505" s="204"/>
    </row>
    <row r="3506" spans="1:29">
      <c r="A3506" s="204"/>
      <c r="B3506" s="204"/>
      <c r="C3506" s="204"/>
      <c r="D3506" s="204"/>
      <c r="E3506" s="204"/>
      <c r="F3506" s="204"/>
      <c r="G3506" s="204"/>
      <c r="H3506" s="204"/>
      <c r="I3506" s="204"/>
      <c r="J3506" s="204"/>
      <c r="K3506" s="204"/>
      <c r="L3506" s="205"/>
      <c r="M3506" s="205"/>
      <c r="N3506" s="204"/>
      <c r="O3506" s="204"/>
      <c r="P3506" s="206"/>
      <c r="Q3506" s="206"/>
      <c r="R3506" s="206"/>
      <c r="S3506" s="206"/>
      <c r="T3506" s="204"/>
      <c r="U3506" s="207"/>
      <c r="V3506" s="204"/>
      <c r="W3506" s="204"/>
      <c r="X3506" s="207"/>
      <c r="Y3506" s="207"/>
      <c r="Z3506" s="204"/>
      <c r="AA3506" s="204"/>
      <c r="AB3506" s="204"/>
      <c r="AC3506" s="204"/>
    </row>
    <row r="3507" spans="1:29">
      <c r="A3507" s="204"/>
      <c r="B3507" s="204"/>
      <c r="C3507" s="204"/>
      <c r="D3507" s="204"/>
      <c r="E3507" s="204"/>
      <c r="F3507" s="204"/>
      <c r="G3507" s="204"/>
      <c r="H3507" s="204"/>
      <c r="I3507" s="204"/>
      <c r="J3507" s="204"/>
      <c r="K3507" s="204"/>
      <c r="L3507" s="205"/>
      <c r="M3507" s="205"/>
      <c r="N3507" s="204"/>
      <c r="O3507" s="204"/>
      <c r="P3507" s="206"/>
      <c r="Q3507" s="206"/>
      <c r="R3507" s="206"/>
      <c r="S3507" s="206"/>
      <c r="T3507" s="204"/>
      <c r="U3507" s="207"/>
      <c r="V3507" s="204"/>
      <c r="W3507" s="204"/>
      <c r="X3507" s="207"/>
      <c r="Y3507" s="207"/>
      <c r="Z3507" s="204"/>
      <c r="AA3507" s="204"/>
      <c r="AB3507" s="204"/>
      <c r="AC3507" s="204"/>
    </row>
    <row r="3508" spans="1:29">
      <c r="A3508" s="204"/>
      <c r="B3508" s="204"/>
      <c r="C3508" s="204"/>
      <c r="D3508" s="204"/>
      <c r="E3508" s="204"/>
      <c r="F3508" s="204"/>
      <c r="G3508" s="204"/>
      <c r="H3508" s="204"/>
      <c r="I3508" s="204"/>
      <c r="J3508" s="204"/>
      <c r="K3508" s="204"/>
      <c r="L3508" s="205"/>
      <c r="M3508" s="205"/>
      <c r="N3508" s="204"/>
      <c r="O3508" s="204"/>
      <c r="P3508" s="206"/>
      <c r="Q3508" s="206"/>
      <c r="R3508" s="206"/>
      <c r="S3508" s="206"/>
      <c r="T3508" s="204"/>
      <c r="U3508" s="207"/>
      <c r="V3508" s="204"/>
      <c r="W3508" s="204"/>
      <c r="X3508" s="207"/>
      <c r="Y3508" s="207"/>
      <c r="Z3508" s="204"/>
      <c r="AA3508" s="204"/>
      <c r="AB3508" s="204"/>
      <c r="AC3508" s="204"/>
    </row>
    <row r="3509" spans="1:29">
      <c r="A3509" s="204"/>
      <c r="B3509" s="204"/>
      <c r="C3509" s="204"/>
      <c r="D3509" s="204"/>
      <c r="E3509" s="204"/>
      <c r="F3509" s="204"/>
      <c r="G3509" s="204"/>
      <c r="H3509" s="204"/>
      <c r="I3509" s="204"/>
      <c r="J3509" s="204"/>
      <c r="K3509" s="204"/>
      <c r="L3509" s="205"/>
      <c r="M3509" s="205"/>
      <c r="N3509" s="204"/>
      <c r="O3509" s="204"/>
      <c r="P3509" s="206"/>
      <c r="Q3509" s="206"/>
      <c r="R3509" s="206"/>
      <c r="S3509" s="206"/>
      <c r="T3509" s="204"/>
      <c r="U3509" s="207"/>
      <c r="V3509" s="204"/>
      <c r="W3509" s="204"/>
      <c r="X3509" s="207"/>
      <c r="Y3509" s="207"/>
      <c r="Z3509" s="204"/>
      <c r="AA3509" s="204"/>
      <c r="AB3509" s="204"/>
      <c r="AC3509" s="204"/>
    </row>
    <row r="3510" spans="1:29">
      <c r="A3510" s="204"/>
      <c r="B3510" s="204"/>
      <c r="C3510" s="204"/>
      <c r="D3510" s="204"/>
      <c r="E3510" s="204"/>
      <c r="F3510" s="204"/>
      <c r="G3510" s="204"/>
      <c r="H3510" s="204"/>
      <c r="I3510" s="204"/>
      <c r="J3510" s="204"/>
      <c r="K3510" s="204"/>
      <c r="L3510" s="205"/>
      <c r="M3510" s="205"/>
      <c r="N3510" s="204"/>
      <c r="O3510" s="204"/>
      <c r="P3510" s="206"/>
      <c r="Q3510" s="206"/>
      <c r="R3510" s="206"/>
      <c r="S3510" s="206"/>
      <c r="T3510" s="204"/>
      <c r="U3510" s="207"/>
      <c r="V3510" s="204"/>
      <c r="W3510" s="204"/>
      <c r="X3510" s="207"/>
      <c r="Y3510" s="207"/>
      <c r="Z3510" s="204"/>
      <c r="AA3510" s="204"/>
      <c r="AB3510" s="204"/>
      <c r="AC3510" s="204"/>
    </row>
    <row r="3511" spans="1:29">
      <c r="A3511" s="204"/>
      <c r="B3511" s="204"/>
      <c r="C3511" s="204"/>
      <c r="D3511" s="204"/>
      <c r="E3511" s="204"/>
      <c r="F3511" s="204"/>
      <c r="G3511" s="204"/>
      <c r="H3511" s="204"/>
      <c r="I3511" s="204"/>
      <c r="J3511" s="204"/>
      <c r="K3511" s="204"/>
      <c r="L3511" s="205"/>
      <c r="M3511" s="205"/>
      <c r="N3511" s="204"/>
      <c r="O3511" s="204"/>
      <c r="P3511" s="206"/>
      <c r="Q3511" s="206"/>
      <c r="R3511" s="206"/>
      <c r="S3511" s="206"/>
      <c r="T3511" s="204"/>
      <c r="U3511" s="207"/>
      <c r="V3511" s="204"/>
      <c r="W3511" s="204"/>
      <c r="X3511" s="207"/>
      <c r="Y3511" s="207"/>
      <c r="Z3511" s="204"/>
      <c r="AA3511" s="204"/>
      <c r="AB3511" s="204"/>
      <c r="AC3511" s="204"/>
    </row>
    <row r="3512" spans="1:29">
      <c r="A3512" s="204"/>
      <c r="B3512" s="204"/>
      <c r="C3512" s="204"/>
      <c r="D3512" s="204"/>
      <c r="E3512" s="204"/>
      <c r="F3512" s="204"/>
      <c r="G3512" s="204"/>
      <c r="H3512" s="204"/>
      <c r="I3512" s="204"/>
      <c r="J3512" s="204"/>
      <c r="K3512" s="204"/>
      <c r="L3512" s="205"/>
      <c r="M3512" s="205"/>
      <c r="N3512" s="204"/>
      <c r="O3512" s="204"/>
      <c r="P3512" s="206"/>
      <c r="Q3512" s="206"/>
      <c r="R3512" s="206"/>
      <c r="S3512" s="206"/>
      <c r="T3512" s="204"/>
      <c r="U3512" s="207"/>
      <c r="V3512" s="204"/>
      <c r="W3512" s="204"/>
      <c r="X3512" s="207"/>
      <c r="Y3512" s="207"/>
      <c r="Z3512" s="204"/>
      <c r="AA3512" s="204"/>
      <c r="AB3512" s="204"/>
      <c r="AC3512" s="204"/>
    </row>
    <row r="3513" spans="1:29">
      <c r="A3513" s="204"/>
      <c r="B3513" s="204"/>
      <c r="C3513" s="204"/>
      <c r="D3513" s="204"/>
      <c r="E3513" s="204"/>
      <c r="F3513" s="204"/>
      <c r="G3513" s="204"/>
      <c r="H3513" s="204"/>
      <c r="I3513" s="204"/>
      <c r="J3513" s="204"/>
      <c r="K3513" s="204"/>
      <c r="L3513" s="205"/>
      <c r="M3513" s="205"/>
      <c r="N3513" s="204"/>
      <c r="O3513" s="204"/>
      <c r="P3513" s="206"/>
      <c r="Q3513" s="206"/>
      <c r="R3513" s="206"/>
      <c r="S3513" s="206"/>
      <c r="T3513" s="204"/>
      <c r="U3513" s="207"/>
      <c r="V3513" s="204"/>
      <c r="W3513" s="204"/>
      <c r="X3513" s="207"/>
      <c r="Y3513" s="207"/>
      <c r="Z3513" s="204"/>
      <c r="AA3513" s="204"/>
      <c r="AB3513" s="204"/>
      <c r="AC3513" s="204"/>
    </row>
    <row r="3514" spans="1:29">
      <c r="A3514" s="204"/>
      <c r="B3514" s="204"/>
      <c r="C3514" s="204"/>
      <c r="D3514" s="204"/>
      <c r="E3514" s="204"/>
      <c r="F3514" s="204"/>
      <c r="G3514" s="204"/>
      <c r="H3514" s="204"/>
      <c r="I3514" s="204"/>
      <c r="J3514" s="204"/>
      <c r="K3514" s="204"/>
      <c r="L3514" s="205"/>
      <c r="M3514" s="205"/>
      <c r="N3514" s="204"/>
      <c r="O3514" s="204"/>
      <c r="P3514" s="206"/>
      <c r="Q3514" s="206"/>
      <c r="R3514" s="206"/>
      <c r="S3514" s="206"/>
      <c r="T3514" s="204"/>
      <c r="U3514" s="207"/>
      <c r="V3514" s="204"/>
      <c r="W3514" s="204"/>
      <c r="X3514" s="207"/>
      <c r="Y3514" s="207"/>
      <c r="Z3514" s="204"/>
      <c r="AA3514" s="204"/>
      <c r="AB3514" s="204"/>
      <c r="AC3514" s="204"/>
    </row>
    <row r="3515" spans="1:29">
      <c r="A3515" s="204"/>
      <c r="B3515" s="204"/>
      <c r="C3515" s="204"/>
      <c r="D3515" s="204"/>
      <c r="E3515" s="204"/>
      <c r="F3515" s="204"/>
      <c r="G3515" s="204"/>
      <c r="H3515" s="204"/>
      <c r="I3515" s="204"/>
      <c r="J3515" s="204"/>
      <c r="K3515" s="204"/>
      <c r="L3515" s="205"/>
      <c r="M3515" s="205"/>
      <c r="N3515" s="204"/>
      <c r="O3515" s="204"/>
      <c r="P3515" s="206"/>
      <c r="Q3515" s="206"/>
      <c r="R3515" s="206"/>
      <c r="S3515" s="206"/>
      <c r="T3515" s="204"/>
      <c r="U3515" s="207"/>
      <c r="V3515" s="204"/>
      <c r="W3515" s="204"/>
      <c r="X3515" s="207"/>
      <c r="Y3515" s="207"/>
      <c r="Z3515" s="204"/>
      <c r="AA3515" s="204"/>
      <c r="AB3515" s="204"/>
      <c r="AC3515" s="204"/>
    </row>
    <row r="3516" spans="1:29">
      <c r="A3516" s="204"/>
      <c r="B3516" s="204"/>
      <c r="C3516" s="204"/>
      <c r="D3516" s="204"/>
      <c r="E3516" s="204"/>
      <c r="F3516" s="204"/>
      <c r="G3516" s="204"/>
      <c r="H3516" s="204"/>
      <c r="I3516" s="204"/>
      <c r="J3516" s="204"/>
      <c r="K3516" s="204"/>
      <c r="L3516" s="205"/>
      <c r="M3516" s="205"/>
      <c r="N3516" s="204"/>
      <c r="O3516" s="204"/>
      <c r="P3516" s="206"/>
      <c r="Q3516" s="206"/>
      <c r="R3516" s="206"/>
      <c r="S3516" s="206"/>
      <c r="T3516" s="204"/>
      <c r="U3516" s="207"/>
      <c r="V3516" s="204"/>
      <c r="W3516" s="204"/>
      <c r="X3516" s="207"/>
      <c r="Y3516" s="207"/>
      <c r="Z3516" s="204"/>
      <c r="AA3516" s="204"/>
      <c r="AB3516" s="204"/>
      <c r="AC3516" s="204"/>
    </row>
    <row r="3517" spans="1:29">
      <c r="A3517" s="204"/>
      <c r="B3517" s="204"/>
      <c r="C3517" s="204"/>
      <c r="D3517" s="204"/>
      <c r="E3517" s="204"/>
      <c r="F3517" s="204"/>
      <c r="G3517" s="204"/>
      <c r="H3517" s="204"/>
      <c r="I3517" s="204"/>
      <c r="J3517" s="204"/>
      <c r="K3517" s="204"/>
      <c r="L3517" s="205"/>
      <c r="M3517" s="205"/>
      <c r="N3517" s="204"/>
      <c r="O3517" s="204"/>
      <c r="P3517" s="206"/>
      <c r="Q3517" s="206"/>
      <c r="R3517" s="206"/>
      <c r="S3517" s="206"/>
      <c r="T3517" s="204"/>
      <c r="U3517" s="207"/>
      <c r="V3517" s="204"/>
      <c r="W3517" s="204"/>
      <c r="X3517" s="207"/>
      <c r="Y3517" s="207"/>
      <c r="Z3517" s="204"/>
      <c r="AA3517" s="204"/>
      <c r="AB3517" s="204"/>
      <c r="AC3517" s="204"/>
    </row>
    <row r="3518" spans="1:29">
      <c r="A3518" s="204"/>
      <c r="B3518" s="204"/>
      <c r="C3518" s="204"/>
      <c r="D3518" s="204"/>
      <c r="E3518" s="204"/>
      <c r="F3518" s="204"/>
      <c r="G3518" s="204"/>
      <c r="H3518" s="204"/>
      <c r="I3518" s="204"/>
      <c r="J3518" s="204"/>
      <c r="K3518" s="204"/>
      <c r="L3518" s="205"/>
      <c r="M3518" s="205"/>
      <c r="N3518" s="204"/>
      <c r="O3518" s="204"/>
      <c r="P3518" s="206"/>
      <c r="Q3518" s="206"/>
      <c r="R3518" s="206"/>
      <c r="S3518" s="206"/>
      <c r="T3518" s="204"/>
      <c r="U3518" s="207"/>
      <c r="V3518" s="204"/>
      <c r="W3518" s="204"/>
      <c r="X3518" s="207"/>
      <c r="Y3518" s="207"/>
      <c r="Z3518" s="204"/>
      <c r="AA3518" s="204"/>
      <c r="AB3518" s="204"/>
      <c r="AC3518" s="204"/>
    </row>
    <row r="3519" spans="1:29">
      <c r="A3519" s="204"/>
      <c r="B3519" s="204"/>
      <c r="C3519" s="204"/>
      <c r="D3519" s="204"/>
      <c r="E3519" s="204"/>
      <c r="F3519" s="204"/>
      <c r="G3519" s="204"/>
      <c r="H3519" s="204"/>
      <c r="I3519" s="204"/>
      <c r="J3519" s="204"/>
      <c r="K3519" s="204"/>
      <c r="L3519" s="205"/>
      <c r="M3519" s="205"/>
      <c r="N3519" s="204"/>
      <c r="O3519" s="204"/>
      <c r="P3519" s="206"/>
      <c r="Q3519" s="206"/>
      <c r="R3519" s="206"/>
      <c r="S3519" s="206"/>
      <c r="T3519" s="204"/>
      <c r="U3519" s="207"/>
      <c r="V3519" s="204"/>
      <c r="W3519" s="204"/>
      <c r="X3519" s="207"/>
      <c r="Y3519" s="207"/>
      <c r="Z3519" s="204"/>
      <c r="AA3519" s="204"/>
      <c r="AB3519" s="204"/>
      <c r="AC3519" s="204"/>
    </row>
    <row r="3520" spans="1:29">
      <c r="A3520" s="204"/>
      <c r="B3520" s="204"/>
      <c r="C3520" s="204"/>
      <c r="D3520" s="204"/>
      <c r="E3520" s="204"/>
      <c r="F3520" s="204"/>
      <c r="G3520" s="204"/>
      <c r="H3520" s="204"/>
      <c r="I3520" s="204"/>
      <c r="J3520" s="204"/>
      <c r="K3520" s="204"/>
      <c r="L3520" s="205"/>
      <c r="M3520" s="205"/>
      <c r="N3520" s="204"/>
      <c r="O3520" s="204"/>
      <c r="P3520" s="206"/>
      <c r="Q3520" s="206"/>
      <c r="R3520" s="206"/>
      <c r="S3520" s="206"/>
      <c r="T3520" s="204"/>
      <c r="U3520" s="207"/>
      <c r="V3520" s="204"/>
      <c r="W3520" s="204"/>
      <c r="X3520" s="207"/>
      <c r="Y3520" s="207"/>
      <c r="Z3520" s="204"/>
      <c r="AA3520" s="204"/>
      <c r="AB3520" s="204"/>
      <c r="AC3520" s="204"/>
    </row>
    <row r="3521" spans="1:29">
      <c r="A3521" s="204"/>
      <c r="B3521" s="204"/>
      <c r="C3521" s="204"/>
      <c r="D3521" s="204"/>
      <c r="E3521" s="204"/>
      <c r="F3521" s="204"/>
      <c r="G3521" s="204"/>
      <c r="H3521" s="204"/>
      <c r="I3521" s="204"/>
      <c r="J3521" s="204"/>
      <c r="K3521" s="204"/>
      <c r="L3521" s="205"/>
      <c r="M3521" s="205"/>
      <c r="N3521" s="204"/>
      <c r="O3521" s="204"/>
      <c r="P3521" s="206"/>
      <c r="Q3521" s="206"/>
      <c r="R3521" s="206"/>
      <c r="S3521" s="206"/>
      <c r="T3521" s="204"/>
      <c r="U3521" s="207"/>
      <c r="V3521" s="204"/>
      <c r="W3521" s="204"/>
      <c r="X3521" s="207"/>
      <c r="Y3521" s="207"/>
      <c r="Z3521" s="204"/>
      <c r="AA3521" s="204"/>
      <c r="AB3521" s="204"/>
      <c r="AC3521" s="204"/>
    </row>
    <row r="3522" spans="1:29">
      <c r="A3522" s="204"/>
      <c r="B3522" s="204"/>
      <c r="C3522" s="204"/>
      <c r="D3522" s="204"/>
      <c r="E3522" s="204"/>
      <c r="F3522" s="204"/>
      <c r="G3522" s="204"/>
      <c r="H3522" s="204"/>
      <c r="I3522" s="204"/>
      <c r="J3522" s="204"/>
      <c r="K3522" s="204"/>
      <c r="L3522" s="205"/>
      <c r="M3522" s="205"/>
      <c r="N3522" s="204"/>
      <c r="O3522" s="204"/>
      <c r="P3522" s="206"/>
      <c r="Q3522" s="206"/>
      <c r="R3522" s="206"/>
      <c r="S3522" s="206"/>
      <c r="T3522" s="204"/>
      <c r="U3522" s="207"/>
      <c r="V3522" s="204"/>
      <c r="W3522" s="204"/>
      <c r="X3522" s="207"/>
      <c r="Y3522" s="207"/>
      <c r="Z3522" s="204"/>
      <c r="AA3522" s="204"/>
      <c r="AB3522" s="204"/>
      <c r="AC3522" s="204"/>
    </row>
    <row r="3523" spans="1:29">
      <c r="A3523" s="204"/>
      <c r="B3523" s="204"/>
      <c r="C3523" s="204"/>
      <c r="D3523" s="204"/>
      <c r="E3523" s="204"/>
      <c r="F3523" s="204"/>
      <c r="G3523" s="204"/>
      <c r="H3523" s="204"/>
      <c r="I3523" s="204"/>
      <c r="J3523" s="204"/>
      <c r="K3523" s="204"/>
      <c r="L3523" s="205"/>
      <c r="M3523" s="205"/>
      <c r="N3523" s="204"/>
      <c r="O3523" s="204"/>
      <c r="P3523" s="206"/>
      <c r="Q3523" s="206"/>
      <c r="R3523" s="206"/>
      <c r="S3523" s="206"/>
      <c r="T3523" s="204"/>
      <c r="U3523" s="207"/>
      <c r="V3523" s="204"/>
      <c r="W3523" s="204"/>
      <c r="X3523" s="207"/>
      <c r="Y3523" s="207"/>
      <c r="Z3523" s="204"/>
      <c r="AA3523" s="204"/>
      <c r="AB3523" s="204"/>
      <c r="AC3523" s="204"/>
    </row>
    <row r="3524" spans="1:29">
      <c r="A3524" s="204"/>
      <c r="B3524" s="204"/>
      <c r="C3524" s="204"/>
      <c r="D3524" s="204"/>
      <c r="E3524" s="204"/>
      <c r="F3524" s="204"/>
      <c r="G3524" s="204"/>
      <c r="H3524" s="204"/>
      <c r="I3524" s="204"/>
      <c r="J3524" s="204"/>
      <c r="K3524" s="204"/>
      <c r="L3524" s="205"/>
      <c r="M3524" s="205"/>
      <c r="N3524" s="204"/>
      <c r="O3524" s="204"/>
      <c r="P3524" s="206"/>
      <c r="Q3524" s="206"/>
      <c r="R3524" s="206"/>
      <c r="S3524" s="206"/>
      <c r="T3524" s="204"/>
      <c r="U3524" s="207"/>
      <c r="V3524" s="204"/>
      <c r="W3524" s="204"/>
      <c r="X3524" s="207"/>
      <c r="Y3524" s="207"/>
      <c r="Z3524" s="204"/>
      <c r="AA3524" s="204"/>
      <c r="AB3524" s="204"/>
      <c r="AC3524" s="204"/>
    </row>
    <row r="3525" spans="1:29">
      <c r="A3525" s="204"/>
      <c r="B3525" s="204"/>
      <c r="C3525" s="204"/>
      <c r="D3525" s="204"/>
      <c r="E3525" s="204"/>
      <c r="F3525" s="204"/>
      <c r="G3525" s="204"/>
      <c r="H3525" s="204"/>
      <c r="I3525" s="204"/>
      <c r="J3525" s="204"/>
      <c r="K3525" s="204"/>
      <c r="L3525" s="205"/>
      <c r="M3525" s="205"/>
      <c r="N3525" s="204"/>
      <c r="O3525" s="204"/>
      <c r="P3525" s="206"/>
      <c r="Q3525" s="206"/>
      <c r="R3525" s="206"/>
      <c r="S3525" s="206"/>
      <c r="T3525" s="204"/>
      <c r="U3525" s="207"/>
      <c r="V3525" s="204"/>
      <c r="W3525" s="204"/>
      <c r="X3525" s="207"/>
      <c r="Y3525" s="207"/>
      <c r="Z3525" s="204"/>
      <c r="AA3525" s="204"/>
      <c r="AB3525" s="204"/>
      <c r="AC3525" s="204"/>
    </row>
    <row r="3526" spans="1:29">
      <c r="A3526" s="204"/>
      <c r="B3526" s="204"/>
      <c r="C3526" s="204"/>
      <c r="D3526" s="204"/>
      <c r="E3526" s="204"/>
      <c r="F3526" s="204"/>
      <c r="G3526" s="204"/>
      <c r="H3526" s="204"/>
      <c r="I3526" s="204"/>
      <c r="J3526" s="204"/>
      <c r="K3526" s="204"/>
      <c r="L3526" s="205"/>
      <c r="M3526" s="205"/>
      <c r="N3526" s="204"/>
      <c r="O3526" s="204"/>
      <c r="P3526" s="206"/>
      <c r="Q3526" s="206"/>
      <c r="R3526" s="206"/>
      <c r="S3526" s="206"/>
      <c r="T3526" s="204"/>
      <c r="U3526" s="207"/>
      <c r="V3526" s="204"/>
      <c r="W3526" s="204"/>
      <c r="X3526" s="207"/>
      <c r="Y3526" s="207"/>
      <c r="Z3526" s="204"/>
      <c r="AA3526" s="204"/>
      <c r="AB3526" s="204"/>
      <c r="AC3526" s="204"/>
    </row>
    <row r="3527" spans="1:29">
      <c r="A3527" s="204"/>
      <c r="B3527" s="204"/>
      <c r="C3527" s="204"/>
      <c r="D3527" s="204"/>
      <c r="E3527" s="204"/>
      <c r="F3527" s="204"/>
      <c r="G3527" s="204"/>
      <c r="H3527" s="204"/>
      <c r="I3527" s="204"/>
      <c r="J3527" s="204"/>
      <c r="K3527" s="204"/>
      <c r="L3527" s="205"/>
      <c r="M3527" s="205"/>
      <c r="N3527" s="204"/>
      <c r="O3527" s="204"/>
      <c r="P3527" s="206"/>
      <c r="Q3527" s="206"/>
      <c r="R3527" s="206"/>
      <c r="S3527" s="206"/>
      <c r="T3527" s="204"/>
      <c r="U3527" s="207"/>
      <c r="V3527" s="204"/>
      <c r="W3527" s="204"/>
      <c r="X3527" s="207"/>
      <c r="Y3527" s="207"/>
      <c r="Z3527" s="204"/>
      <c r="AA3527" s="204"/>
      <c r="AB3527" s="204"/>
      <c r="AC3527" s="204"/>
    </row>
    <row r="3528" spans="1:29">
      <c r="A3528" s="204"/>
      <c r="B3528" s="204"/>
      <c r="C3528" s="204"/>
      <c r="D3528" s="204"/>
      <c r="E3528" s="204"/>
      <c r="F3528" s="204"/>
      <c r="G3528" s="204"/>
      <c r="H3528" s="204"/>
      <c r="I3528" s="204"/>
      <c r="J3528" s="204"/>
      <c r="K3528" s="204"/>
      <c r="L3528" s="205"/>
      <c r="M3528" s="205"/>
      <c r="N3528" s="204"/>
      <c r="O3528" s="204"/>
      <c r="P3528" s="206"/>
      <c r="Q3528" s="206"/>
      <c r="R3528" s="206"/>
      <c r="S3528" s="206"/>
      <c r="T3528" s="204"/>
      <c r="U3528" s="207"/>
      <c r="V3528" s="204"/>
      <c r="W3528" s="204"/>
      <c r="X3528" s="207"/>
      <c r="Y3528" s="207"/>
      <c r="Z3528" s="204"/>
      <c r="AA3528" s="204"/>
      <c r="AB3528" s="204"/>
      <c r="AC3528" s="204"/>
    </row>
    <row r="3529" spans="1:29">
      <c r="A3529" s="204"/>
      <c r="B3529" s="204"/>
      <c r="C3529" s="204"/>
      <c r="D3529" s="204"/>
      <c r="E3529" s="204"/>
      <c r="F3529" s="204"/>
      <c r="G3529" s="204"/>
      <c r="H3529" s="204"/>
      <c r="I3529" s="204"/>
      <c r="J3529" s="204"/>
      <c r="K3529" s="204"/>
      <c r="L3529" s="205"/>
      <c r="M3529" s="205"/>
      <c r="N3529" s="204"/>
      <c r="O3529" s="204"/>
      <c r="P3529" s="206"/>
      <c r="Q3529" s="206"/>
      <c r="R3529" s="206"/>
      <c r="S3529" s="206"/>
      <c r="T3529" s="204"/>
      <c r="U3529" s="207"/>
      <c r="V3529" s="204"/>
      <c r="W3529" s="204"/>
      <c r="X3529" s="207"/>
      <c r="Y3529" s="207"/>
      <c r="Z3529" s="204"/>
      <c r="AA3529" s="204"/>
      <c r="AB3529" s="204"/>
      <c r="AC3529" s="204"/>
    </row>
    <row r="3530" spans="1:29">
      <c r="A3530" s="204"/>
      <c r="B3530" s="204"/>
      <c r="C3530" s="204"/>
      <c r="D3530" s="204"/>
      <c r="E3530" s="204"/>
      <c r="F3530" s="204"/>
      <c r="G3530" s="204"/>
      <c r="H3530" s="204"/>
      <c r="I3530" s="204"/>
      <c r="J3530" s="204"/>
      <c r="K3530" s="204"/>
      <c r="L3530" s="205"/>
      <c r="M3530" s="205"/>
      <c r="N3530" s="204"/>
      <c r="O3530" s="204"/>
      <c r="P3530" s="206"/>
      <c r="Q3530" s="206"/>
      <c r="R3530" s="206"/>
      <c r="S3530" s="206"/>
      <c r="T3530" s="204"/>
      <c r="U3530" s="207"/>
      <c r="V3530" s="204"/>
      <c r="W3530" s="204"/>
      <c r="X3530" s="207"/>
      <c r="Y3530" s="207"/>
      <c r="Z3530" s="204"/>
      <c r="AA3530" s="204"/>
      <c r="AB3530" s="204"/>
      <c r="AC3530" s="204"/>
    </row>
    <row r="3531" spans="1:29">
      <c r="A3531" s="204"/>
      <c r="B3531" s="204"/>
      <c r="C3531" s="204"/>
      <c r="D3531" s="204"/>
      <c r="E3531" s="204"/>
      <c r="F3531" s="204"/>
      <c r="G3531" s="204"/>
      <c r="H3531" s="204"/>
      <c r="I3531" s="204"/>
      <c r="J3531" s="204"/>
      <c r="K3531" s="204"/>
      <c r="L3531" s="205"/>
      <c r="M3531" s="205"/>
      <c r="N3531" s="204"/>
      <c r="O3531" s="204"/>
      <c r="P3531" s="206"/>
      <c r="Q3531" s="206"/>
      <c r="R3531" s="206"/>
      <c r="S3531" s="206"/>
      <c r="T3531" s="204"/>
      <c r="U3531" s="207"/>
      <c r="V3531" s="204"/>
      <c r="W3531" s="204"/>
      <c r="X3531" s="207"/>
      <c r="Y3531" s="207"/>
      <c r="Z3531" s="204"/>
      <c r="AA3531" s="204"/>
      <c r="AB3531" s="204"/>
      <c r="AC3531" s="204"/>
    </row>
    <row r="3532" spans="1:29">
      <c r="A3532" s="204"/>
      <c r="B3532" s="204"/>
      <c r="C3532" s="204"/>
      <c r="D3532" s="204"/>
      <c r="E3532" s="204"/>
      <c r="F3532" s="204"/>
      <c r="G3532" s="204"/>
      <c r="H3532" s="204"/>
      <c r="I3532" s="204"/>
      <c r="J3532" s="204"/>
      <c r="K3532" s="204"/>
      <c r="L3532" s="205"/>
      <c r="M3532" s="205"/>
      <c r="N3532" s="204"/>
      <c r="O3532" s="204"/>
      <c r="P3532" s="206"/>
      <c r="Q3532" s="206"/>
      <c r="R3532" s="206"/>
      <c r="S3532" s="206"/>
      <c r="T3532" s="204"/>
      <c r="U3532" s="207"/>
      <c r="V3532" s="204"/>
      <c r="W3532" s="204"/>
      <c r="X3532" s="207"/>
      <c r="Y3532" s="207"/>
      <c r="Z3532" s="204"/>
      <c r="AA3532" s="204"/>
      <c r="AB3532" s="204"/>
      <c r="AC3532" s="204"/>
    </row>
    <row r="3533" spans="1:29">
      <c r="A3533" s="204"/>
      <c r="B3533" s="204"/>
      <c r="C3533" s="204"/>
      <c r="D3533" s="204"/>
      <c r="E3533" s="204"/>
      <c r="F3533" s="204"/>
      <c r="G3533" s="204"/>
      <c r="H3533" s="204"/>
      <c r="I3533" s="204"/>
      <c r="J3533" s="204"/>
      <c r="K3533" s="204"/>
      <c r="L3533" s="205"/>
      <c r="M3533" s="205"/>
      <c r="N3533" s="204"/>
      <c r="O3533" s="204"/>
      <c r="P3533" s="206"/>
      <c r="Q3533" s="206"/>
      <c r="R3533" s="206"/>
      <c r="S3533" s="206"/>
      <c r="T3533" s="204"/>
      <c r="U3533" s="207"/>
      <c r="V3533" s="204"/>
      <c r="W3533" s="204"/>
      <c r="X3533" s="207"/>
      <c r="Y3533" s="207"/>
      <c r="Z3533" s="204"/>
      <c r="AA3533" s="204"/>
      <c r="AB3533" s="204"/>
      <c r="AC3533" s="204"/>
    </row>
    <row r="3534" spans="1:29">
      <c r="A3534" s="204"/>
      <c r="B3534" s="204"/>
      <c r="C3534" s="204"/>
      <c r="D3534" s="204"/>
      <c r="E3534" s="204"/>
      <c r="F3534" s="204"/>
      <c r="G3534" s="204"/>
      <c r="H3534" s="204"/>
      <c r="I3534" s="204"/>
      <c r="J3534" s="204"/>
      <c r="K3534" s="204"/>
      <c r="L3534" s="205"/>
      <c r="M3534" s="205"/>
      <c r="N3534" s="204"/>
      <c r="O3534" s="204"/>
      <c r="P3534" s="206"/>
      <c r="Q3534" s="206"/>
      <c r="R3534" s="206"/>
      <c r="S3534" s="206"/>
      <c r="T3534" s="204"/>
      <c r="U3534" s="207"/>
      <c r="V3534" s="204"/>
      <c r="W3534" s="204"/>
      <c r="X3534" s="207"/>
      <c r="Y3534" s="207"/>
      <c r="Z3534" s="204"/>
      <c r="AA3534" s="204"/>
      <c r="AB3534" s="204"/>
      <c r="AC3534" s="204"/>
    </row>
    <row r="3535" spans="1:29">
      <c r="A3535" s="204"/>
      <c r="B3535" s="204"/>
      <c r="C3535" s="204"/>
      <c r="D3535" s="204"/>
      <c r="E3535" s="204"/>
      <c r="F3535" s="204"/>
      <c r="G3535" s="204"/>
      <c r="H3535" s="204"/>
      <c r="I3535" s="204"/>
      <c r="J3535" s="204"/>
      <c r="K3535" s="204"/>
      <c r="L3535" s="205"/>
      <c r="M3535" s="205"/>
      <c r="N3535" s="204"/>
      <c r="O3535" s="204"/>
      <c r="P3535" s="206"/>
      <c r="Q3535" s="206"/>
      <c r="R3535" s="206"/>
      <c r="S3535" s="206"/>
      <c r="T3535" s="204"/>
      <c r="U3535" s="207"/>
      <c r="V3535" s="204"/>
      <c r="W3535" s="204"/>
      <c r="X3535" s="207"/>
      <c r="Y3535" s="207"/>
      <c r="Z3535" s="204"/>
      <c r="AA3535" s="204"/>
      <c r="AB3535" s="204"/>
      <c r="AC3535" s="204"/>
    </row>
    <row r="3536" spans="1:29">
      <c r="A3536" s="204"/>
      <c r="B3536" s="204"/>
      <c r="C3536" s="204"/>
      <c r="D3536" s="204"/>
      <c r="E3536" s="204"/>
      <c r="F3536" s="204"/>
      <c r="G3536" s="204"/>
      <c r="H3536" s="204"/>
      <c r="I3536" s="204"/>
      <c r="J3536" s="204"/>
      <c r="K3536" s="204"/>
      <c r="L3536" s="205"/>
      <c r="M3536" s="205"/>
      <c r="N3536" s="204"/>
      <c r="O3536" s="204"/>
      <c r="P3536" s="206"/>
      <c r="Q3536" s="206"/>
      <c r="R3536" s="206"/>
      <c r="S3536" s="206"/>
      <c r="T3536" s="204"/>
      <c r="U3536" s="207"/>
      <c r="V3536" s="204"/>
      <c r="W3536" s="204"/>
      <c r="X3536" s="207"/>
      <c r="Y3536" s="207"/>
      <c r="Z3536" s="204"/>
      <c r="AA3536" s="204"/>
      <c r="AB3536" s="204"/>
      <c r="AC3536" s="204"/>
    </row>
    <row r="3537" spans="1:29">
      <c r="A3537" s="204"/>
      <c r="B3537" s="204"/>
      <c r="C3537" s="204"/>
      <c r="D3537" s="204"/>
      <c r="E3537" s="204"/>
      <c r="F3537" s="204"/>
      <c r="G3537" s="204"/>
      <c r="H3537" s="204"/>
      <c r="I3537" s="204"/>
      <c r="J3537" s="204"/>
      <c r="K3537" s="204"/>
      <c r="L3537" s="205"/>
      <c r="M3537" s="205"/>
      <c r="N3537" s="204"/>
      <c r="O3537" s="204"/>
      <c r="P3537" s="206"/>
      <c r="Q3537" s="206"/>
      <c r="R3537" s="206"/>
      <c r="S3537" s="206"/>
      <c r="T3537" s="204"/>
      <c r="U3537" s="207"/>
      <c r="V3537" s="204"/>
      <c r="W3537" s="204"/>
      <c r="X3537" s="207"/>
      <c r="Y3537" s="207"/>
      <c r="Z3537" s="204"/>
      <c r="AA3537" s="204"/>
      <c r="AB3537" s="204"/>
      <c r="AC3537" s="204"/>
    </row>
    <row r="3538" spans="1:29">
      <c r="A3538" s="204"/>
      <c r="B3538" s="204"/>
      <c r="C3538" s="204"/>
      <c r="D3538" s="204"/>
      <c r="E3538" s="204"/>
      <c r="F3538" s="204"/>
      <c r="G3538" s="204"/>
      <c r="H3538" s="204"/>
      <c r="I3538" s="204"/>
      <c r="J3538" s="204"/>
      <c r="K3538" s="204"/>
      <c r="L3538" s="205"/>
      <c r="M3538" s="205"/>
      <c r="N3538" s="204"/>
      <c r="O3538" s="204"/>
      <c r="P3538" s="206"/>
      <c r="Q3538" s="206"/>
      <c r="R3538" s="206"/>
      <c r="S3538" s="206"/>
      <c r="T3538" s="204"/>
      <c r="U3538" s="207"/>
      <c r="V3538" s="204"/>
      <c r="W3538" s="204"/>
      <c r="X3538" s="207"/>
      <c r="Y3538" s="207"/>
      <c r="Z3538" s="204"/>
      <c r="AA3538" s="204"/>
      <c r="AB3538" s="204"/>
      <c r="AC3538" s="204"/>
    </row>
    <row r="3539" spans="1:29">
      <c r="A3539" s="204"/>
      <c r="B3539" s="204"/>
      <c r="C3539" s="204"/>
      <c r="D3539" s="204"/>
      <c r="E3539" s="204"/>
      <c r="F3539" s="204"/>
      <c r="G3539" s="204"/>
      <c r="H3539" s="204"/>
      <c r="I3539" s="204"/>
      <c r="J3539" s="204"/>
      <c r="K3539" s="204"/>
      <c r="L3539" s="205"/>
      <c r="M3539" s="205"/>
      <c r="N3539" s="204"/>
      <c r="O3539" s="204"/>
      <c r="P3539" s="206"/>
      <c r="Q3539" s="206"/>
      <c r="R3539" s="206"/>
      <c r="S3539" s="206"/>
      <c r="T3539" s="204"/>
      <c r="U3539" s="207"/>
      <c r="V3539" s="204"/>
      <c r="W3539" s="204"/>
      <c r="X3539" s="207"/>
      <c r="Y3539" s="207"/>
      <c r="Z3539" s="204"/>
      <c r="AA3539" s="204"/>
      <c r="AB3539" s="204"/>
      <c r="AC3539" s="204"/>
    </row>
    <row r="3540" spans="1:29">
      <c r="A3540" s="204"/>
      <c r="B3540" s="204"/>
      <c r="C3540" s="204"/>
      <c r="D3540" s="204"/>
      <c r="E3540" s="204"/>
      <c r="F3540" s="204"/>
      <c r="G3540" s="204"/>
      <c r="H3540" s="204"/>
      <c r="I3540" s="204"/>
      <c r="J3540" s="204"/>
      <c r="K3540" s="204"/>
      <c r="L3540" s="205"/>
      <c r="M3540" s="205"/>
      <c r="N3540" s="204"/>
      <c r="O3540" s="204"/>
      <c r="P3540" s="206"/>
      <c r="Q3540" s="206"/>
      <c r="R3540" s="206"/>
      <c r="S3540" s="206"/>
      <c r="T3540" s="204"/>
      <c r="U3540" s="207"/>
      <c r="V3540" s="204"/>
      <c r="W3540" s="204"/>
      <c r="X3540" s="207"/>
      <c r="Y3540" s="207"/>
      <c r="Z3540" s="204"/>
      <c r="AA3540" s="204"/>
      <c r="AB3540" s="204"/>
      <c r="AC3540" s="204"/>
    </row>
    <row r="3541" spans="1:29">
      <c r="A3541" s="204"/>
      <c r="B3541" s="204"/>
      <c r="C3541" s="204"/>
      <c r="D3541" s="204"/>
      <c r="E3541" s="204"/>
      <c r="F3541" s="204"/>
      <c r="G3541" s="204"/>
      <c r="H3541" s="204"/>
      <c r="I3541" s="204"/>
      <c r="J3541" s="204"/>
      <c r="K3541" s="204"/>
      <c r="L3541" s="205"/>
      <c r="M3541" s="205"/>
      <c r="N3541" s="204"/>
      <c r="O3541" s="204"/>
      <c r="P3541" s="206"/>
      <c r="Q3541" s="206"/>
      <c r="R3541" s="206"/>
      <c r="S3541" s="206"/>
      <c r="T3541" s="204"/>
      <c r="U3541" s="207"/>
      <c r="V3541" s="204"/>
      <c r="W3541" s="204"/>
      <c r="X3541" s="207"/>
      <c r="Y3541" s="207"/>
      <c r="Z3541" s="204"/>
      <c r="AA3541" s="204"/>
      <c r="AB3541" s="204"/>
      <c r="AC3541" s="204"/>
    </row>
    <row r="3542" spans="1:29">
      <c r="A3542" s="204"/>
      <c r="B3542" s="204"/>
      <c r="C3542" s="204"/>
      <c r="D3542" s="204"/>
      <c r="E3542" s="204"/>
      <c r="F3542" s="204"/>
      <c r="G3542" s="204"/>
      <c r="H3542" s="204"/>
      <c r="I3542" s="204"/>
      <c r="J3542" s="204"/>
      <c r="K3542" s="204"/>
      <c r="L3542" s="205"/>
      <c r="M3542" s="205"/>
      <c r="N3542" s="204"/>
      <c r="O3542" s="204"/>
      <c r="P3542" s="206"/>
      <c r="Q3542" s="206"/>
      <c r="R3542" s="206"/>
      <c r="S3542" s="206"/>
      <c r="T3542" s="204"/>
      <c r="U3542" s="207"/>
      <c r="V3542" s="204"/>
      <c r="W3542" s="204"/>
      <c r="X3542" s="207"/>
      <c r="Y3542" s="207"/>
      <c r="Z3542" s="204"/>
      <c r="AA3542" s="204"/>
      <c r="AB3542" s="204"/>
      <c r="AC3542" s="204"/>
    </row>
    <row r="3543" spans="1:29">
      <c r="A3543" s="204"/>
      <c r="B3543" s="204"/>
      <c r="C3543" s="204"/>
      <c r="D3543" s="204"/>
      <c r="E3543" s="204"/>
      <c r="F3543" s="204"/>
      <c r="G3543" s="204"/>
      <c r="H3543" s="204"/>
      <c r="I3543" s="204"/>
      <c r="J3543" s="204"/>
      <c r="K3543" s="204"/>
      <c r="L3543" s="205"/>
      <c r="M3543" s="205"/>
      <c r="N3543" s="204"/>
      <c r="O3543" s="204"/>
      <c r="P3543" s="206"/>
      <c r="Q3543" s="206"/>
      <c r="R3543" s="206"/>
      <c r="S3543" s="206"/>
      <c r="T3543" s="204"/>
      <c r="U3543" s="207"/>
      <c r="V3543" s="204"/>
      <c r="W3543" s="204"/>
      <c r="X3543" s="207"/>
      <c r="Y3543" s="207"/>
      <c r="Z3543" s="204"/>
      <c r="AA3543" s="204"/>
      <c r="AB3543" s="204"/>
      <c r="AC3543" s="204"/>
    </row>
    <row r="3544" spans="1:29">
      <c r="A3544" s="204"/>
      <c r="B3544" s="204"/>
      <c r="C3544" s="204"/>
      <c r="D3544" s="204"/>
      <c r="E3544" s="204"/>
      <c r="F3544" s="204"/>
      <c r="G3544" s="204"/>
      <c r="H3544" s="204"/>
      <c r="I3544" s="204"/>
      <c r="J3544" s="204"/>
      <c r="K3544" s="204"/>
      <c r="L3544" s="205"/>
      <c r="M3544" s="205"/>
      <c r="N3544" s="204"/>
      <c r="O3544" s="204"/>
      <c r="P3544" s="206"/>
      <c r="Q3544" s="206"/>
      <c r="R3544" s="206"/>
      <c r="S3544" s="206"/>
      <c r="T3544" s="204"/>
      <c r="U3544" s="207"/>
      <c r="V3544" s="204"/>
      <c r="W3544" s="204"/>
      <c r="X3544" s="207"/>
      <c r="Y3544" s="207"/>
      <c r="Z3544" s="204"/>
      <c r="AA3544" s="204"/>
      <c r="AB3544" s="204"/>
      <c r="AC3544" s="204"/>
    </row>
    <row r="3545" spans="1:29">
      <c r="A3545" s="204"/>
      <c r="B3545" s="204"/>
      <c r="C3545" s="204"/>
      <c r="D3545" s="204"/>
      <c r="E3545" s="204"/>
      <c r="F3545" s="204"/>
      <c r="G3545" s="204"/>
      <c r="H3545" s="204"/>
      <c r="I3545" s="204"/>
      <c r="J3545" s="204"/>
      <c r="K3545" s="204"/>
      <c r="L3545" s="205"/>
      <c r="M3545" s="205"/>
      <c r="N3545" s="204"/>
      <c r="O3545" s="204"/>
      <c r="P3545" s="206"/>
      <c r="Q3545" s="206"/>
      <c r="R3545" s="206"/>
      <c r="S3545" s="206"/>
      <c r="T3545" s="204"/>
      <c r="U3545" s="207"/>
      <c r="V3545" s="204"/>
      <c r="W3545" s="204"/>
      <c r="X3545" s="207"/>
      <c r="Y3545" s="207"/>
      <c r="Z3545" s="204"/>
      <c r="AA3545" s="204"/>
      <c r="AB3545" s="204"/>
      <c r="AC3545" s="204"/>
    </row>
    <row r="3546" spans="1:29">
      <c r="A3546" s="204"/>
      <c r="B3546" s="204"/>
      <c r="C3546" s="204"/>
      <c r="D3546" s="204"/>
      <c r="E3546" s="204"/>
      <c r="F3546" s="204"/>
      <c r="G3546" s="204"/>
      <c r="H3546" s="204"/>
      <c r="I3546" s="204"/>
      <c r="J3546" s="204"/>
      <c r="K3546" s="204"/>
      <c r="L3546" s="205"/>
      <c r="M3546" s="205"/>
      <c r="N3546" s="204"/>
      <c r="O3546" s="204"/>
      <c r="P3546" s="206"/>
      <c r="Q3546" s="206"/>
      <c r="R3546" s="206"/>
      <c r="S3546" s="206"/>
      <c r="T3546" s="204"/>
      <c r="U3546" s="207"/>
      <c r="V3546" s="204"/>
      <c r="W3546" s="204"/>
      <c r="X3546" s="207"/>
      <c r="Y3546" s="207"/>
      <c r="Z3546" s="204"/>
      <c r="AA3546" s="204"/>
      <c r="AB3546" s="204"/>
      <c r="AC3546" s="204"/>
    </row>
    <row r="3547" spans="1:29">
      <c r="A3547" s="204"/>
      <c r="B3547" s="204"/>
      <c r="C3547" s="204"/>
      <c r="D3547" s="204"/>
      <c r="E3547" s="204"/>
      <c r="F3547" s="204"/>
      <c r="G3547" s="204"/>
      <c r="H3547" s="204"/>
      <c r="I3547" s="204"/>
      <c r="J3547" s="204"/>
      <c r="K3547" s="204"/>
      <c r="L3547" s="205"/>
      <c r="M3547" s="205"/>
      <c r="N3547" s="204"/>
      <c r="O3547" s="204"/>
      <c r="P3547" s="206"/>
      <c r="Q3547" s="206"/>
      <c r="R3547" s="206"/>
      <c r="S3547" s="206"/>
      <c r="T3547" s="204"/>
      <c r="U3547" s="207"/>
      <c r="V3547" s="204"/>
      <c r="W3547" s="204"/>
      <c r="X3547" s="207"/>
      <c r="Y3547" s="207"/>
      <c r="Z3547" s="204"/>
      <c r="AA3547" s="204"/>
      <c r="AB3547" s="204"/>
      <c r="AC3547" s="204"/>
    </row>
    <row r="3548" spans="1:29">
      <c r="A3548" s="204"/>
      <c r="B3548" s="204"/>
      <c r="C3548" s="204"/>
      <c r="D3548" s="204"/>
      <c r="E3548" s="204"/>
      <c r="F3548" s="204"/>
      <c r="G3548" s="204"/>
      <c r="H3548" s="204"/>
      <c r="I3548" s="204"/>
      <c r="J3548" s="204"/>
      <c r="K3548" s="204"/>
      <c r="L3548" s="205"/>
      <c r="M3548" s="205"/>
      <c r="N3548" s="204"/>
      <c r="O3548" s="204"/>
      <c r="P3548" s="206"/>
      <c r="Q3548" s="206"/>
      <c r="R3548" s="206"/>
      <c r="S3548" s="206"/>
      <c r="T3548" s="204"/>
      <c r="U3548" s="207"/>
      <c r="V3548" s="204"/>
      <c r="W3548" s="204"/>
      <c r="X3548" s="207"/>
      <c r="Y3548" s="207"/>
      <c r="Z3548" s="204"/>
      <c r="AA3548" s="204"/>
      <c r="AB3548" s="204"/>
      <c r="AC3548" s="204"/>
    </row>
    <row r="3549" spans="1:29">
      <c r="A3549" s="204"/>
      <c r="B3549" s="204"/>
      <c r="C3549" s="204"/>
      <c r="D3549" s="204"/>
      <c r="E3549" s="204"/>
      <c r="F3549" s="204"/>
      <c r="G3549" s="204"/>
      <c r="H3549" s="204"/>
      <c r="I3549" s="204"/>
      <c r="J3549" s="204"/>
      <c r="K3549" s="204"/>
      <c r="L3549" s="205"/>
      <c r="M3549" s="205"/>
      <c r="N3549" s="204"/>
      <c r="O3549" s="204"/>
      <c r="P3549" s="206"/>
      <c r="Q3549" s="206"/>
      <c r="R3549" s="206"/>
      <c r="S3549" s="206"/>
      <c r="T3549" s="204"/>
      <c r="U3549" s="207"/>
      <c r="V3549" s="204"/>
      <c r="W3549" s="204"/>
      <c r="X3549" s="207"/>
      <c r="Y3549" s="207"/>
      <c r="Z3549" s="204"/>
      <c r="AA3549" s="204"/>
      <c r="AB3549" s="204"/>
      <c r="AC3549" s="204"/>
    </row>
    <row r="3550" spans="1:29">
      <c r="A3550" s="204"/>
      <c r="B3550" s="204"/>
      <c r="C3550" s="204"/>
      <c r="D3550" s="204"/>
      <c r="E3550" s="204"/>
      <c r="F3550" s="204"/>
      <c r="G3550" s="204"/>
      <c r="H3550" s="204"/>
      <c r="I3550" s="204"/>
      <c r="J3550" s="204"/>
      <c r="K3550" s="204"/>
      <c r="L3550" s="205"/>
      <c r="M3550" s="205"/>
      <c r="N3550" s="204"/>
      <c r="O3550" s="204"/>
      <c r="P3550" s="206"/>
      <c r="Q3550" s="206"/>
      <c r="R3550" s="206"/>
      <c r="S3550" s="206"/>
      <c r="T3550" s="204"/>
      <c r="U3550" s="207"/>
      <c r="V3550" s="204"/>
      <c r="W3550" s="204"/>
      <c r="X3550" s="207"/>
      <c r="Y3550" s="207"/>
      <c r="Z3550" s="204"/>
      <c r="AA3550" s="204"/>
      <c r="AB3550" s="204"/>
      <c r="AC3550" s="204"/>
    </row>
    <row r="3551" spans="1:29">
      <c r="A3551" s="204"/>
      <c r="B3551" s="204"/>
      <c r="C3551" s="204"/>
      <c r="D3551" s="204"/>
      <c r="E3551" s="204"/>
      <c r="F3551" s="204"/>
      <c r="G3551" s="204"/>
      <c r="H3551" s="204"/>
      <c r="I3551" s="204"/>
      <c r="J3551" s="204"/>
      <c r="K3551" s="204"/>
      <c r="L3551" s="205"/>
      <c r="M3551" s="205"/>
      <c r="N3551" s="204"/>
      <c r="O3551" s="204"/>
      <c r="P3551" s="206"/>
      <c r="Q3551" s="206"/>
      <c r="R3551" s="206"/>
      <c r="S3551" s="206"/>
      <c r="T3551" s="204"/>
      <c r="U3551" s="207"/>
      <c r="V3551" s="204"/>
      <c r="W3551" s="204"/>
      <c r="X3551" s="207"/>
      <c r="Y3551" s="207"/>
      <c r="Z3551" s="204"/>
      <c r="AA3551" s="204"/>
      <c r="AB3551" s="204"/>
      <c r="AC3551" s="204"/>
    </row>
    <row r="3552" spans="1:29">
      <c r="A3552" s="204"/>
      <c r="B3552" s="204"/>
      <c r="C3552" s="204"/>
      <c r="D3552" s="204"/>
      <c r="E3552" s="204"/>
      <c r="F3552" s="204"/>
      <c r="G3552" s="204"/>
      <c r="H3552" s="204"/>
      <c r="I3552" s="204"/>
      <c r="J3552" s="204"/>
      <c r="K3552" s="204"/>
      <c r="L3552" s="205"/>
      <c r="M3552" s="205"/>
      <c r="N3552" s="204"/>
      <c r="O3552" s="204"/>
      <c r="P3552" s="206"/>
      <c r="Q3552" s="206"/>
      <c r="R3552" s="206"/>
      <c r="S3552" s="206"/>
      <c r="T3552" s="204"/>
      <c r="U3552" s="207"/>
      <c r="V3552" s="204"/>
      <c r="W3552" s="204"/>
      <c r="X3552" s="207"/>
      <c r="Y3552" s="207"/>
      <c r="Z3552" s="204"/>
      <c r="AA3552" s="204"/>
      <c r="AB3552" s="204"/>
      <c r="AC3552" s="204"/>
    </row>
    <row r="3553" spans="1:29">
      <c r="A3553" s="204"/>
      <c r="B3553" s="204"/>
      <c r="C3553" s="204"/>
      <c r="D3553" s="204"/>
      <c r="E3553" s="204"/>
      <c r="F3553" s="204"/>
      <c r="G3553" s="204"/>
      <c r="H3553" s="204"/>
      <c r="I3553" s="204"/>
      <c r="J3553" s="204"/>
      <c r="K3553" s="204"/>
      <c r="L3553" s="205"/>
      <c r="M3553" s="205"/>
      <c r="N3553" s="204"/>
      <c r="O3553" s="204"/>
      <c r="P3553" s="206"/>
      <c r="Q3553" s="206"/>
      <c r="R3553" s="206"/>
      <c r="S3553" s="206"/>
      <c r="T3553" s="204"/>
      <c r="U3553" s="207"/>
      <c r="V3553" s="204"/>
      <c r="W3553" s="204"/>
      <c r="X3553" s="207"/>
      <c r="Y3553" s="207"/>
      <c r="Z3553" s="204"/>
      <c r="AA3553" s="204"/>
      <c r="AB3553" s="204"/>
      <c r="AC3553" s="204"/>
    </row>
    <row r="3554" spans="1:29">
      <c r="A3554" s="204"/>
      <c r="B3554" s="204"/>
      <c r="C3554" s="204"/>
      <c r="D3554" s="204"/>
      <c r="E3554" s="204"/>
      <c r="F3554" s="204"/>
      <c r="G3554" s="204"/>
      <c r="H3554" s="204"/>
      <c r="I3554" s="204"/>
      <c r="J3554" s="204"/>
      <c r="K3554" s="204"/>
      <c r="L3554" s="205"/>
      <c r="M3554" s="205"/>
      <c r="N3554" s="204"/>
      <c r="O3554" s="204"/>
      <c r="P3554" s="206"/>
      <c r="Q3554" s="206"/>
      <c r="R3554" s="206"/>
      <c r="S3554" s="206"/>
      <c r="T3554" s="204"/>
      <c r="U3554" s="207"/>
      <c r="V3554" s="204"/>
      <c r="W3554" s="204"/>
      <c r="X3554" s="207"/>
      <c r="Y3554" s="207"/>
      <c r="Z3554" s="204"/>
      <c r="AA3554" s="204"/>
      <c r="AB3554" s="204"/>
      <c r="AC3554" s="204"/>
    </row>
    <row r="3555" spans="1:29">
      <c r="A3555" s="204"/>
      <c r="B3555" s="204"/>
      <c r="C3555" s="204"/>
      <c r="D3555" s="204"/>
      <c r="E3555" s="204"/>
      <c r="F3555" s="204"/>
      <c r="G3555" s="204"/>
      <c r="H3555" s="204"/>
      <c r="I3555" s="204"/>
      <c r="J3555" s="204"/>
      <c r="K3555" s="204"/>
      <c r="L3555" s="205"/>
      <c r="M3555" s="205"/>
      <c r="N3555" s="204"/>
      <c r="O3555" s="204"/>
      <c r="P3555" s="206"/>
      <c r="Q3555" s="206"/>
      <c r="R3555" s="206"/>
      <c r="S3555" s="206"/>
      <c r="T3555" s="204"/>
      <c r="U3555" s="207"/>
      <c r="V3555" s="204"/>
      <c r="W3555" s="204"/>
      <c r="X3555" s="207"/>
      <c r="Y3555" s="207"/>
      <c r="Z3555" s="204"/>
      <c r="AA3555" s="204"/>
      <c r="AB3555" s="204"/>
      <c r="AC3555" s="204"/>
    </row>
    <row r="3556" spans="1:29">
      <c r="A3556" s="204"/>
      <c r="B3556" s="204"/>
      <c r="C3556" s="204"/>
      <c r="D3556" s="204"/>
      <c r="E3556" s="204"/>
      <c r="F3556" s="204"/>
      <c r="G3556" s="204"/>
      <c r="H3556" s="204"/>
      <c r="I3556" s="204"/>
      <c r="J3556" s="204"/>
      <c r="K3556" s="204"/>
      <c r="L3556" s="205"/>
      <c r="M3556" s="205"/>
      <c r="N3556" s="204"/>
      <c r="O3556" s="204"/>
      <c r="P3556" s="206"/>
      <c r="Q3556" s="206"/>
      <c r="R3556" s="206"/>
      <c r="S3556" s="206"/>
      <c r="T3556" s="204"/>
      <c r="U3556" s="207"/>
      <c r="V3556" s="204"/>
      <c r="W3556" s="204"/>
      <c r="X3556" s="207"/>
      <c r="Y3556" s="207"/>
      <c r="Z3556" s="204"/>
      <c r="AA3556" s="204"/>
      <c r="AB3556" s="204"/>
      <c r="AC3556" s="204"/>
    </row>
    <row r="3557" spans="1:29">
      <c r="A3557" s="204"/>
      <c r="B3557" s="204"/>
      <c r="C3557" s="204"/>
      <c r="D3557" s="204"/>
      <c r="E3557" s="204"/>
      <c r="F3557" s="204"/>
      <c r="G3557" s="204"/>
      <c r="H3557" s="204"/>
      <c r="I3557" s="204"/>
      <c r="J3557" s="204"/>
      <c r="K3557" s="204"/>
      <c r="L3557" s="205"/>
      <c r="M3557" s="205"/>
      <c r="N3557" s="204"/>
      <c r="O3557" s="204"/>
      <c r="P3557" s="206"/>
      <c r="Q3557" s="206"/>
      <c r="R3557" s="206"/>
      <c r="S3557" s="206"/>
      <c r="T3557" s="204"/>
      <c r="U3557" s="207"/>
      <c r="V3557" s="204"/>
      <c r="W3557" s="204"/>
      <c r="X3557" s="207"/>
      <c r="Y3557" s="207"/>
      <c r="Z3557" s="204"/>
      <c r="AA3557" s="204"/>
      <c r="AB3557" s="204"/>
      <c r="AC3557" s="204"/>
    </row>
    <row r="3558" spans="1:29">
      <c r="A3558" s="204"/>
      <c r="B3558" s="204"/>
      <c r="C3558" s="204"/>
      <c r="D3558" s="204"/>
      <c r="E3558" s="204"/>
      <c r="F3558" s="204"/>
      <c r="G3558" s="204"/>
      <c r="H3558" s="204"/>
      <c r="I3558" s="204"/>
      <c r="J3558" s="204"/>
      <c r="K3558" s="204"/>
      <c r="L3558" s="205"/>
      <c r="M3558" s="205"/>
      <c r="N3558" s="204"/>
      <c r="O3558" s="204"/>
      <c r="P3558" s="206"/>
      <c r="Q3558" s="206"/>
      <c r="R3558" s="206"/>
      <c r="S3558" s="206"/>
      <c r="T3558" s="204"/>
      <c r="U3558" s="207"/>
      <c r="V3558" s="204"/>
      <c r="W3558" s="204"/>
      <c r="X3558" s="207"/>
      <c r="Y3558" s="207"/>
      <c r="Z3558" s="204"/>
      <c r="AA3558" s="204"/>
      <c r="AB3558" s="204"/>
      <c r="AC3558" s="204"/>
    </row>
    <row r="3559" spans="1:29">
      <c r="A3559" s="204"/>
      <c r="B3559" s="204"/>
      <c r="C3559" s="204"/>
      <c r="D3559" s="204"/>
      <c r="E3559" s="204"/>
      <c r="F3559" s="204"/>
      <c r="G3559" s="204"/>
      <c r="H3559" s="204"/>
      <c r="I3559" s="204"/>
      <c r="J3559" s="204"/>
      <c r="K3559" s="204"/>
      <c r="L3559" s="205"/>
      <c r="M3559" s="205"/>
      <c r="N3559" s="204"/>
      <c r="O3559" s="204"/>
      <c r="P3559" s="206"/>
      <c r="Q3559" s="206"/>
      <c r="R3559" s="206"/>
      <c r="S3559" s="206"/>
      <c r="T3559" s="204"/>
      <c r="U3559" s="207"/>
      <c r="V3559" s="204"/>
      <c r="W3559" s="204"/>
      <c r="X3559" s="207"/>
      <c r="Y3559" s="207"/>
      <c r="Z3559" s="204"/>
      <c r="AA3559" s="204"/>
      <c r="AB3559" s="204"/>
      <c r="AC3559" s="204"/>
    </row>
    <row r="3560" spans="1:29">
      <c r="A3560" s="204"/>
      <c r="B3560" s="204"/>
      <c r="C3560" s="204"/>
      <c r="D3560" s="204"/>
      <c r="E3560" s="204"/>
      <c r="F3560" s="204"/>
      <c r="G3560" s="204"/>
      <c r="H3560" s="204"/>
      <c r="I3560" s="204"/>
      <c r="J3560" s="204"/>
      <c r="K3560" s="204"/>
      <c r="L3560" s="205"/>
      <c r="M3560" s="205"/>
      <c r="N3560" s="204"/>
      <c r="O3560" s="204"/>
      <c r="P3560" s="206"/>
      <c r="Q3560" s="206"/>
      <c r="R3560" s="206"/>
      <c r="S3560" s="206"/>
      <c r="T3560" s="204"/>
      <c r="U3560" s="207"/>
      <c r="V3560" s="204"/>
      <c r="W3560" s="204"/>
      <c r="X3560" s="207"/>
      <c r="Y3560" s="207"/>
      <c r="Z3560" s="204"/>
      <c r="AA3560" s="204"/>
      <c r="AB3560" s="204"/>
      <c r="AC3560" s="204"/>
    </row>
    <row r="3561" spans="1:29">
      <c r="A3561" s="204"/>
      <c r="B3561" s="204"/>
      <c r="C3561" s="204"/>
      <c r="D3561" s="204"/>
      <c r="E3561" s="204"/>
      <c r="F3561" s="204"/>
      <c r="G3561" s="204"/>
      <c r="H3561" s="204"/>
      <c r="I3561" s="204"/>
      <c r="J3561" s="204"/>
      <c r="K3561" s="204"/>
      <c r="L3561" s="205"/>
      <c r="M3561" s="205"/>
      <c r="N3561" s="204"/>
      <c r="O3561" s="204"/>
      <c r="P3561" s="206"/>
      <c r="Q3561" s="206"/>
      <c r="R3561" s="206"/>
      <c r="S3561" s="206"/>
      <c r="T3561" s="204"/>
      <c r="U3561" s="207"/>
      <c r="V3561" s="204"/>
      <c r="W3561" s="204"/>
      <c r="X3561" s="207"/>
      <c r="Y3561" s="207"/>
      <c r="Z3561" s="204"/>
      <c r="AA3561" s="204"/>
      <c r="AB3561" s="204"/>
      <c r="AC3561" s="204"/>
    </row>
    <row r="3562" spans="1:29">
      <c r="A3562" s="204"/>
      <c r="B3562" s="204"/>
      <c r="C3562" s="204"/>
      <c r="D3562" s="204"/>
      <c r="E3562" s="204"/>
      <c r="F3562" s="204"/>
      <c r="G3562" s="204"/>
      <c r="H3562" s="204"/>
      <c r="I3562" s="204"/>
      <c r="J3562" s="204"/>
      <c r="K3562" s="204"/>
      <c r="L3562" s="205"/>
      <c r="M3562" s="205"/>
      <c r="N3562" s="204"/>
      <c r="O3562" s="204"/>
      <c r="P3562" s="206"/>
      <c r="Q3562" s="206"/>
      <c r="R3562" s="206"/>
      <c r="S3562" s="206"/>
      <c r="T3562" s="204"/>
      <c r="U3562" s="207"/>
      <c r="V3562" s="204"/>
      <c r="W3562" s="204"/>
      <c r="X3562" s="207"/>
      <c r="Y3562" s="207"/>
      <c r="Z3562" s="204"/>
      <c r="AA3562" s="204"/>
      <c r="AB3562" s="204"/>
      <c r="AC3562" s="204"/>
    </row>
    <row r="3563" spans="1:29">
      <c r="A3563" s="204"/>
      <c r="B3563" s="204"/>
      <c r="C3563" s="204"/>
      <c r="D3563" s="204"/>
      <c r="E3563" s="204"/>
      <c r="F3563" s="204"/>
      <c r="G3563" s="204"/>
      <c r="H3563" s="204"/>
      <c r="I3563" s="204"/>
      <c r="J3563" s="204"/>
      <c r="K3563" s="204"/>
      <c r="L3563" s="205"/>
      <c r="M3563" s="205"/>
      <c r="N3563" s="204"/>
      <c r="O3563" s="204"/>
      <c r="P3563" s="206"/>
      <c r="Q3563" s="206"/>
      <c r="R3563" s="206"/>
      <c r="S3563" s="206"/>
      <c r="T3563" s="204"/>
      <c r="U3563" s="207"/>
      <c r="V3563" s="204"/>
      <c r="W3563" s="204"/>
      <c r="X3563" s="207"/>
      <c r="Y3563" s="207"/>
      <c r="Z3563" s="204"/>
      <c r="AA3563" s="204"/>
      <c r="AB3563" s="204"/>
      <c r="AC3563" s="204"/>
    </row>
    <row r="3564" spans="1:29">
      <c r="A3564" s="204"/>
      <c r="B3564" s="204"/>
      <c r="C3564" s="204"/>
      <c r="D3564" s="204"/>
      <c r="E3564" s="204"/>
      <c r="F3564" s="204"/>
      <c r="G3564" s="204"/>
      <c r="H3564" s="204"/>
      <c r="I3564" s="204"/>
      <c r="J3564" s="204"/>
      <c r="K3564" s="204"/>
      <c r="L3564" s="205"/>
      <c r="M3564" s="205"/>
      <c r="N3564" s="204"/>
      <c r="O3564" s="204"/>
      <c r="P3564" s="206"/>
      <c r="Q3564" s="206"/>
      <c r="R3564" s="206"/>
      <c r="S3564" s="206"/>
      <c r="T3564" s="204"/>
      <c r="U3564" s="207"/>
      <c r="V3564" s="204"/>
      <c r="W3564" s="204"/>
      <c r="X3564" s="207"/>
      <c r="Y3564" s="207"/>
      <c r="Z3564" s="204"/>
      <c r="AA3564" s="204"/>
      <c r="AB3564" s="204"/>
      <c r="AC3564" s="204"/>
    </row>
    <row r="3565" spans="1:29">
      <c r="A3565" s="204"/>
      <c r="B3565" s="204"/>
      <c r="C3565" s="204"/>
      <c r="D3565" s="204"/>
      <c r="E3565" s="204"/>
      <c r="F3565" s="204"/>
      <c r="G3565" s="204"/>
      <c r="H3565" s="204"/>
      <c r="I3565" s="204"/>
      <c r="J3565" s="204"/>
      <c r="K3565" s="204"/>
      <c r="L3565" s="205"/>
      <c r="M3565" s="205"/>
      <c r="N3565" s="204"/>
      <c r="O3565" s="204"/>
      <c r="P3565" s="206"/>
      <c r="Q3565" s="206"/>
      <c r="R3565" s="206"/>
      <c r="S3565" s="206"/>
      <c r="T3565" s="204"/>
      <c r="U3565" s="207"/>
      <c r="V3565" s="204"/>
      <c r="W3565" s="204"/>
      <c r="X3565" s="207"/>
      <c r="Y3565" s="207"/>
      <c r="Z3565" s="204"/>
      <c r="AA3565" s="204"/>
      <c r="AB3565" s="204"/>
      <c r="AC3565" s="204"/>
    </row>
    <row r="3566" spans="1:29">
      <c r="A3566" s="204"/>
      <c r="B3566" s="204"/>
      <c r="C3566" s="204"/>
      <c r="D3566" s="204"/>
      <c r="E3566" s="204"/>
      <c r="F3566" s="204"/>
      <c r="G3566" s="204"/>
      <c r="H3566" s="204"/>
      <c r="I3566" s="204"/>
      <c r="J3566" s="204"/>
      <c r="K3566" s="204"/>
      <c r="L3566" s="205"/>
      <c r="M3566" s="205"/>
      <c r="N3566" s="204"/>
      <c r="O3566" s="204"/>
      <c r="P3566" s="206"/>
      <c r="Q3566" s="206"/>
      <c r="R3566" s="206"/>
      <c r="S3566" s="206"/>
      <c r="T3566" s="204"/>
      <c r="U3566" s="207"/>
      <c r="V3566" s="204"/>
      <c r="W3566" s="204"/>
      <c r="X3566" s="207"/>
      <c r="Y3566" s="207"/>
      <c r="Z3566" s="204"/>
      <c r="AA3566" s="204"/>
      <c r="AB3566" s="204"/>
      <c r="AC3566" s="204"/>
    </row>
    <row r="3567" spans="1:29">
      <c r="A3567" s="204"/>
      <c r="B3567" s="204"/>
      <c r="C3567" s="204"/>
      <c r="D3567" s="204"/>
      <c r="E3567" s="204"/>
      <c r="F3567" s="204"/>
      <c r="G3567" s="204"/>
      <c r="H3567" s="204"/>
      <c r="I3567" s="204"/>
      <c r="J3567" s="204"/>
      <c r="K3567" s="204"/>
      <c r="L3567" s="205"/>
      <c r="M3567" s="205"/>
      <c r="N3567" s="204"/>
      <c r="O3567" s="204"/>
      <c r="P3567" s="206"/>
      <c r="Q3567" s="206"/>
      <c r="R3567" s="206"/>
      <c r="S3567" s="206"/>
      <c r="T3567" s="204"/>
      <c r="U3567" s="207"/>
      <c r="V3567" s="204"/>
      <c r="W3567" s="204"/>
      <c r="X3567" s="207"/>
      <c r="Y3567" s="207"/>
      <c r="Z3567" s="204"/>
      <c r="AA3567" s="204"/>
      <c r="AB3567" s="204"/>
      <c r="AC3567" s="204"/>
    </row>
    <row r="3568" spans="1:29">
      <c r="A3568" s="204"/>
      <c r="B3568" s="204"/>
      <c r="C3568" s="204"/>
      <c r="D3568" s="204"/>
      <c r="E3568" s="204"/>
      <c r="F3568" s="204"/>
      <c r="G3568" s="204"/>
      <c r="H3568" s="204"/>
      <c r="I3568" s="204"/>
      <c r="J3568" s="204"/>
      <c r="K3568" s="204"/>
      <c r="L3568" s="205"/>
      <c r="M3568" s="205"/>
      <c r="N3568" s="204"/>
      <c r="O3568" s="204"/>
      <c r="P3568" s="206"/>
      <c r="Q3568" s="206"/>
      <c r="R3568" s="206"/>
      <c r="S3568" s="206"/>
      <c r="T3568" s="204"/>
      <c r="U3568" s="207"/>
      <c r="V3568" s="204"/>
      <c r="W3568" s="204"/>
      <c r="X3568" s="207"/>
      <c r="Y3568" s="207"/>
      <c r="Z3568" s="204"/>
      <c r="AA3568" s="204"/>
      <c r="AB3568" s="204"/>
      <c r="AC3568" s="204"/>
    </row>
    <row r="3569" spans="1:29">
      <c r="A3569" s="204"/>
      <c r="B3569" s="204"/>
      <c r="C3569" s="204"/>
      <c r="D3569" s="204"/>
      <c r="E3569" s="204"/>
      <c r="F3569" s="204"/>
      <c r="G3569" s="204"/>
      <c r="H3569" s="204"/>
      <c r="I3569" s="204"/>
      <c r="J3569" s="204"/>
      <c r="K3569" s="204"/>
      <c r="L3569" s="205"/>
      <c r="M3569" s="205"/>
      <c r="N3569" s="204"/>
      <c r="O3569" s="204"/>
      <c r="P3569" s="206"/>
      <c r="Q3569" s="206"/>
      <c r="R3569" s="206"/>
      <c r="S3569" s="206"/>
      <c r="T3569" s="204"/>
      <c r="U3569" s="207"/>
      <c r="V3569" s="204"/>
      <c r="W3569" s="204"/>
      <c r="X3569" s="207"/>
      <c r="Y3569" s="207"/>
      <c r="Z3569" s="204"/>
      <c r="AA3569" s="204"/>
      <c r="AB3569" s="204"/>
      <c r="AC3569" s="204"/>
    </row>
    <row r="3570" spans="1:29">
      <c r="A3570" s="204"/>
      <c r="B3570" s="204"/>
      <c r="C3570" s="204"/>
      <c r="D3570" s="204"/>
      <c r="E3570" s="204"/>
      <c r="F3570" s="204"/>
      <c r="G3570" s="204"/>
      <c r="H3570" s="204"/>
      <c r="I3570" s="204"/>
      <c r="J3570" s="204"/>
      <c r="K3570" s="204"/>
      <c r="L3570" s="205"/>
      <c r="M3570" s="205"/>
      <c r="N3570" s="204"/>
      <c r="O3570" s="204"/>
      <c r="P3570" s="206"/>
      <c r="Q3570" s="206"/>
      <c r="R3570" s="206"/>
      <c r="S3570" s="206"/>
      <c r="T3570" s="204"/>
      <c r="U3570" s="207"/>
      <c r="V3570" s="204"/>
      <c r="W3570" s="204"/>
      <c r="X3570" s="207"/>
      <c r="Y3570" s="207"/>
      <c r="Z3570" s="204"/>
      <c r="AA3570" s="204"/>
      <c r="AB3570" s="204"/>
      <c r="AC3570" s="204"/>
    </row>
    <row r="3571" spans="1:29">
      <c r="A3571" s="204"/>
      <c r="B3571" s="204"/>
      <c r="C3571" s="204"/>
      <c r="D3571" s="204"/>
      <c r="E3571" s="204"/>
      <c r="F3571" s="204"/>
      <c r="G3571" s="204"/>
      <c r="H3571" s="204"/>
      <c r="I3571" s="204"/>
      <c r="J3571" s="204"/>
      <c r="K3571" s="204"/>
      <c r="L3571" s="205"/>
      <c r="M3571" s="205"/>
      <c r="N3571" s="204"/>
      <c r="O3571" s="204"/>
      <c r="P3571" s="206"/>
      <c r="Q3571" s="206"/>
      <c r="R3571" s="206"/>
      <c r="S3571" s="206"/>
      <c r="T3571" s="204"/>
      <c r="U3571" s="207"/>
      <c r="V3571" s="204"/>
      <c r="W3571" s="204"/>
      <c r="X3571" s="207"/>
      <c r="Y3571" s="207"/>
      <c r="Z3571" s="204"/>
      <c r="AA3571" s="204"/>
      <c r="AB3571" s="204"/>
      <c r="AC3571" s="204"/>
    </row>
    <row r="3572" spans="1:29">
      <c r="A3572" s="204"/>
      <c r="B3572" s="204"/>
      <c r="C3572" s="204"/>
      <c r="D3572" s="204"/>
      <c r="E3572" s="204"/>
      <c r="F3572" s="204"/>
      <c r="G3572" s="204"/>
      <c r="H3572" s="204"/>
      <c r="I3572" s="204"/>
      <c r="J3572" s="204"/>
      <c r="K3572" s="204"/>
      <c r="L3572" s="205"/>
      <c r="M3572" s="205"/>
      <c r="N3572" s="204"/>
      <c r="O3572" s="204"/>
      <c r="P3572" s="206"/>
      <c r="Q3572" s="206"/>
      <c r="R3572" s="206"/>
      <c r="S3572" s="206"/>
      <c r="T3572" s="204"/>
      <c r="U3572" s="207"/>
      <c r="V3572" s="204"/>
      <c r="W3572" s="204"/>
      <c r="X3572" s="207"/>
      <c r="Y3572" s="207"/>
      <c r="Z3572" s="204"/>
      <c r="AA3572" s="204"/>
      <c r="AB3572" s="204"/>
      <c r="AC3572" s="204"/>
    </row>
    <row r="3573" spans="1:29">
      <c r="A3573" s="204"/>
      <c r="B3573" s="204"/>
      <c r="C3573" s="204"/>
      <c r="D3573" s="204"/>
      <c r="E3573" s="204"/>
      <c r="F3573" s="204"/>
      <c r="G3573" s="204"/>
      <c r="H3573" s="204"/>
      <c r="I3573" s="204"/>
      <c r="J3573" s="204"/>
      <c r="K3573" s="204"/>
      <c r="L3573" s="205"/>
      <c r="M3573" s="205"/>
      <c r="N3573" s="204"/>
      <c r="O3573" s="204"/>
      <c r="P3573" s="206"/>
      <c r="Q3573" s="206"/>
      <c r="R3573" s="206"/>
      <c r="S3573" s="206"/>
      <c r="T3573" s="204"/>
      <c r="U3573" s="207"/>
      <c r="V3573" s="204"/>
      <c r="W3573" s="204"/>
      <c r="X3573" s="207"/>
      <c r="Y3573" s="207"/>
      <c r="Z3573" s="204"/>
      <c r="AA3573" s="204"/>
      <c r="AB3573" s="204"/>
      <c r="AC3573" s="204"/>
    </row>
    <row r="3574" spans="1:29">
      <c r="A3574" s="204"/>
      <c r="B3574" s="204"/>
      <c r="C3574" s="204"/>
      <c r="D3574" s="204"/>
      <c r="E3574" s="204"/>
      <c r="F3574" s="204"/>
      <c r="G3574" s="204"/>
      <c r="H3574" s="204"/>
      <c r="I3574" s="204"/>
      <c r="J3574" s="204"/>
      <c r="K3574" s="204"/>
      <c r="L3574" s="205"/>
      <c r="M3574" s="205"/>
      <c r="N3574" s="204"/>
      <c r="O3574" s="204"/>
      <c r="P3574" s="206"/>
      <c r="Q3574" s="206"/>
      <c r="R3574" s="206"/>
      <c r="S3574" s="206"/>
      <c r="T3574" s="204"/>
      <c r="U3574" s="207"/>
      <c r="V3574" s="204"/>
      <c r="W3574" s="204"/>
      <c r="X3574" s="207"/>
      <c r="Y3574" s="207"/>
      <c r="Z3574" s="204"/>
      <c r="AA3574" s="204"/>
      <c r="AB3574" s="204"/>
      <c r="AC3574" s="204"/>
    </row>
    <row r="3575" spans="1:29">
      <c r="A3575" s="204"/>
      <c r="B3575" s="204"/>
      <c r="C3575" s="204"/>
      <c r="D3575" s="204"/>
      <c r="E3575" s="204"/>
      <c r="F3575" s="204"/>
      <c r="G3575" s="204"/>
      <c r="H3575" s="204"/>
      <c r="I3575" s="204"/>
      <c r="J3575" s="204"/>
      <c r="K3575" s="204"/>
      <c r="L3575" s="205"/>
      <c r="M3575" s="205"/>
      <c r="N3575" s="204"/>
      <c r="O3575" s="204"/>
      <c r="P3575" s="206"/>
      <c r="Q3575" s="206"/>
      <c r="R3575" s="206"/>
      <c r="S3575" s="206"/>
      <c r="T3575" s="204"/>
      <c r="U3575" s="207"/>
      <c r="V3575" s="204"/>
      <c r="W3575" s="204"/>
      <c r="X3575" s="207"/>
      <c r="Y3575" s="207"/>
      <c r="Z3575" s="204"/>
      <c r="AA3575" s="204"/>
      <c r="AB3575" s="204"/>
      <c r="AC3575" s="204"/>
    </row>
    <row r="3576" spans="1:29">
      <c r="A3576" s="204"/>
      <c r="B3576" s="204"/>
      <c r="C3576" s="204"/>
      <c r="D3576" s="204"/>
      <c r="E3576" s="204"/>
      <c r="F3576" s="204"/>
      <c r="G3576" s="204"/>
      <c r="H3576" s="204"/>
      <c r="I3576" s="204"/>
      <c r="J3576" s="204"/>
      <c r="K3576" s="204"/>
      <c r="L3576" s="205"/>
      <c r="M3576" s="205"/>
      <c r="N3576" s="204"/>
      <c r="O3576" s="204"/>
      <c r="P3576" s="206"/>
      <c r="Q3576" s="206"/>
      <c r="R3576" s="206"/>
      <c r="S3576" s="206"/>
      <c r="T3576" s="204"/>
      <c r="U3576" s="207"/>
      <c r="V3576" s="204"/>
      <c r="W3576" s="204"/>
      <c r="X3576" s="207"/>
      <c r="Y3576" s="207"/>
      <c r="Z3576" s="204"/>
      <c r="AA3576" s="204"/>
      <c r="AB3576" s="204"/>
      <c r="AC3576" s="204"/>
    </row>
    <row r="3577" spans="1:29">
      <c r="A3577" s="204"/>
      <c r="B3577" s="204"/>
      <c r="C3577" s="204"/>
      <c r="D3577" s="204"/>
      <c r="E3577" s="204"/>
      <c r="F3577" s="204"/>
      <c r="G3577" s="204"/>
      <c r="H3577" s="204"/>
      <c r="I3577" s="204"/>
      <c r="J3577" s="204"/>
      <c r="K3577" s="204"/>
      <c r="L3577" s="205"/>
      <c r="M3577" s="205"/>
      <c r="N3577" s="204"/>
      <c r="O3577" s="204"/>
      <c r="P3577" s="206"/>
      <c r="Q3577" s="206"/>
      <c r="R3577" s="206"/>
      <c r="S3577" s="206"/>
      <c r="T3577" s="204"/>
      <c r="U3577" s="207"/>
      <c r="V3577" s="204"/>
      <c r="W3577" s="204"/>
      <c r="X3577" s="207"/>
      <c r="Y3577" s="207"/>
      <c r="Z3577" s="204"/>
      <c r="AA3577" s="204"/>
      <c r="AB3577" s="204"/>
      <c r="AC3577" s="204"/>
    </row>
    <row r="3578" spans="1:29">
      <c r="A3578" s="204"/>
      <c r="B3578" s="204"/>
      <c r="C3578" s="204"/>
      <c r="D3578" s="204"/>
      <c r="E3578" s="204"/>
      <c r="F3578" s="204"/>
      <c r="G3578" s="204"/>
      <c r="H3578" s="204"/>
      <c r="I3578" s="204"/>
      <c r="J3578" s="204"/>
      <c r="K3578" s="204"/>
      <c r="L3578" s="205"/>
      <c r="M3578" s="205"/>
      <c r="N3578" s="204"/>
      <c r="O3578" s="204"/>
      <c r="P3578" s="206"/>
      <c r="Q3578" s="206"/>
      <c r="R3578" s="206"/>
      <c r="S3578" s="206"/>
      <c r="T3578" s="204"/>
      <c r="U3578" s="207"/>
      <c r="V3578" s="204"/>
      <c r="W3578" s="204"/>
      <c r="X3578" s="207"/>
      <c r="Y3578" s="207"/>
      <c r="Z3578" s="204"/>
      <c r="AA3578" s="204"/>
      <c r="AB3578" s="204"/>
      <c r="AC3578" s="204"/>
    </row>
    <row r="3579" spans="1:29">
      <c r="A3579" s="204"/>
      <c r="B3579" s="204"/>
      <c r="C3579" s="204"/>
      <c r="D3579" s="204"/>
      <c r="E3579" s="204"/>
      <c r="F3579" s="204"/>
      <c r="G3579" s="204"/>
      <c r="H3579" s="204"/>
      <c r="I3579" s="204"/>
      <c r="J3579" s="204"/>
      <c r="K3579" s="204"/>
      <c r="L3579" s="205"/>
      <c r="M3579" s="205"/>
      <c r="N3579" s="204"/>
      <c r="O3579" s="204"/>
      <c r="P3579" s="206"/>
      <c r="Q3579" s="206"/>
      <c r="R3579" s="206"/>
      <c r="S3579" s="206"/>
      <c r="T3579" s="204"/>
      <c r="U3579" s="207"/>
      <c r="V3579" s="204"/>
      <c r="W3579" s="204"/>
      <c r="X3579" s="207"/>
      <c r="Y3579" s="207"/>
      <c r="Z3579" s="204"/>
      <c r="AA3579" s="204"/>
      <c r="AB3579" s="204"/>
      <c r="AC3579" s="204"/>
    </row>
    <row r="3580" spans="1:29">
      <c r="A3580" s="204"/>
      <c r="B3580" s="204"/>
      <c r="C3580" s="204"/>
      <c r="D3580" s="204"/>
      <c r="E3580" s="204"/>
      <c r="F3580" s="204"/>
      <c r="G3580" s="204"/>
      <c r="H3580" s="204"/>
      <c r="I3580" s="204"/>
      <c r="J3580" s="204"/>
      <c r="K3580" s="204"/>
      <c r="L3580" s="205"/>
      <c r="M3580" s="205"/>
      <c r="N3580" s="204"/>
      <c r="O3580" s="204"/>
      <c r="P3580" s="206"/>
      <c r="Q3580" s="206"/>
      <c r="R3580" s="206"/>
      <c r="S3580" s="206"/>
      <c r="T3580" s="204"/>
      <c r="U3580" s="207"/>
      <c r="V3580" s="204"/>
      <c r="W3580" s="204"/>
      <c r="X3580" s="207"/>
      <c r="Y3580" s="207"/>
      <c r="Z3580" s="204"/>
      <c r="AA3580" s="204"/>
      <c r="AB3580" s="204"/>
      <c r="AC3580" s="204"/>
    </row>
    <row r="3581" spans="1:29">
      <c r="A3581" s="204"/>
      <c r="B3581" s="204"/>
      <c r="C3581" s="204"/>
      <c r="D3581" s="204"/>
      <c r="E3581" s="204"/>
      <c r="F3581" s="204"/>
      <c r="G3581" s="204"/>
      <c r="H3581" s="204"/>
      <c r="I3581" s="204"/>
      <c r="J3581" s="204"/>
      <c r="K3581" s="204"/>
      <c r="L3581" s="205"/>
      <c r="M3581" s="205"/>
      <c r="N3581" s="204"/>
      <c r="O3581" s="204"/>
      <c r="P3581" s="206"/>
      <c r="Q3581" s="206"/>
      <c r="R3581" s="206"/>
      <c r="S3581" s="206"/>
      <c r="T3581" s="204"/>
      <c r="U3581" s="207"/>
      <c r="V3581" s="204"/>
      <c r="W3581" s="204"/>
      <c r="X3581" s="207"/>
      <c r="Y3581" s="207"/>
      <c r="Z3581" s="204"/>
      <c r="AA3581" s="204"/>
      <c r="AB3581" s="204"/>
      <c r="AC3581" s="204"/>
    </row>
    <row r="3582" spans="1:29">
      <c r="A3582" s="204"/>
      <c r="B3582" s="204"/>
      <c r="C3582" s="204"/>
      <c r="D3582" s="204"/>
      <c r="E3582" s="204"/>
      <c r="F3582" s="204"/>
      <c r="G3582" s="204"/>
      <c r="H3582" s="204"/>
      <c r="I3582" s="204"/>
      <c r="J3582" s="204"/>
      <c r="K3582" s="204"/>
      <c r="L3582" s="205"/>
      <c r="M3582" s="205"/>
      <c r="N3582" s="204"/>
      <c r="O3582" s="204"/>
      <c r="P3582" s="206"/>
      <c r="Q3582" s="206"/>
      <c r="R3582" s="206"/>
      <c r="S3582" s="206"/>
      <c r="T3582" s="204"/>
      <c r="U3582" s="207"/>
      <c r="V3582" s="204"/>
      <c r="W3582" s="204"/>
      <c r="X3582" s="207"/>
      <c r="Y3582" s="207"/>
      <c r="Z3582" s="204"/>
      <c r="AA3582" s="204"/>
      <c r="AB3582" s="204"/>
      <c r="AC3582" s="204"/>
    </row>
    <row r="3583" spans="1:29">
      <c r="A3583" s="204"/>
      <c r="B3583" s="204"/>
      <c r="C3583" s="204"/>
      <c r="D3583" s="204"/>
      <c r="E3583" s="204"/>
      <c r="F3583" s="204"/>
      <c r="G3583" s="204"/>
      <c r="H3583" s="204"/>
      <c r="I3583" s="204"/>
      <c r="J3583" s="204"/>
      <c r="K3583" s="204"/>
      <c r="L3583" s="205"/>
      <c r="M3583" s="205"/>
      <c r="N3583" s="204"/>
      <c r="O3583" s="204"/>
      <c r="P3583" s="206"/>
      <c r="Q3583" s="206"/>
      <c r="R3583" s="206"/>
      <c r="S3583" s="206"/>
      <c r="T3583" s="204"/>
      <c r="U3583" s="207"/>
      <c r="V3583" s="204"/>
      <c r="W3583" s="204"/>
      <c r="X3583" s="207"/>
      <c r="Y3583" s="207"/>
      <c r="Z3583" s="204"/>
      <c r="AA3583" s="204"/>
      <c r="AB3583" s="204"/>
      <c r="AC3583" s="204"/>
    </row>
    <row r="3584" spans="1:29">
      <c r="A3584" s="204"/>
      <c r="B3584" s="204"/>
      <c r="C3584" s="204"/>
      <c r="D3584" s="204"/>
      <c r="E3584" s="204"/>
      <c r="F3584" s="204"/>
      <c r="G3584" s="204"/>
      <c r="H3584" s="204"/>
      <c r="I3584" s="204"/>
      <c r="J3584" s="204"/>
      <c r="K3584" s="204"/>
      <c r="L3584" s="205"/>
      <c r="M3584" s="205"/>
      <c r="N3584" s="204"/>
      <c r="O3584" s="204"/>
      <c r="P3584" s="206"/>
      <c r="Q3584" s="206"/>
      <c r="R3584" s="206"/>
      <c r="S3584" s="206"/>
      <c r="T3584" s="204"/>
      <c r="U3584" s="207"/>
      <c r="V3584" s="204"/>
      <c r="W3584" s="204"/>
      <c r="X3584" s="207"/>
      <c r="Y3584" s="207"/>
      <c r="Z3584" s="204"/>
      <c r="AA3584" s="204"/>
      <c r="AB3584" s="204"/>
      <c r="AC3584" s="204"/>
    </row>
    <row r="3585" spans="1:29">
      <c r="A3585" s="204"/>
      <c r="B3585" s="204"/>
      <c r="C3585" s="204"/>
      <c r="D3585" s="204"/>
      <c r="E3585" s="204"/>
      <c r="F3585" s="204"/>
      <c r="G3585" s="204"/>
      <c r="H3585" s="204"/>
      <c r="I3585" s="204"/>
      <c r="J3585" s="204"/>
      <c r="K3585" s="204"/>
      <c r="L3585" s="205"/>
      <c r="M3585" s="205"/>
      <c r="N3585" s="204"/>
      <c r="O3585" s="204"/>
      <c r="P3585" s="206"/>
      <c r="Q3585" s="206"/>
      <c r="R3585" s="206"/>
      <c r="S3585" s="206"/>
      <c r="T3585" s="204"/>
      <c r="U3585" s="207"/>
      <c r="V3585" s="204"/>
      <c r="W3585" s="204"/>
      <c r="X3585" s="207"/>
      <c r="Y3585" s="207"/>
      <c r="Z3585" s="204"/>
      <c r="AA3585" s="204"/>
      <c r="AB3585" s="204"/>
      <c r="AC3585" s="204"/>
    </row>
    <row r="3586" spans="1:29">
      <c r="A3586" s="204"/>
      <c r="B3586" s="204"/>
      <c r="C3586" s="204"/>
      <c r="D3586" s="204"/>
      <c r="E3586" s="204"/>
      <c r="F3586" s="204"/>
      <c r="G3586" s="204"/>
      <c r="H3586" s="204"/>
      <c r="I3586" s="204"/>
      <c r="J3586" s="204"/>
      <c r="K3586" s="204"/>
      <c r="L3586" s="205"/>
      <c r="M3586" s="205"/>
      <c r="N3586" s="204"/>
      <c r="O3586" s="204"/>
      <c r="P3586" s="206"/>
      <c r="Q3586" s="206"/>
      <c r="R3586" s="206"/>
      <c r="S3586" s="206"/>
      <c r="T3586" s="204"/>
      <c r="U3586" s="207"/>
      <c r="V3586" s="204"/>
      <c r="W3586" s="204"/>
      <c r="X3586" s="207"/>
      <c r="Y3586" s="207"/>
      <c r="Z3586" s="204"/>
      <c r="AA3586" s="204"/>
      <c r="AB3586" s="204"/>
      <c r="AC3586" s="204"/>
    </row>
    <row r="3587" spans="1:29">
      <c r="A3587" s="204"/>
      <c r="B3587" s="204"/>
      <c r="C3587" s="204"/>
      <c r="D3587" s="204"/>
      <c r="E3587" s="204"/>
      <c r="F3587" s="204"/>
      <c r="G3587" s="204"/>
      <c r="H3587" s="204"/>
      <c r="I3587" s="204"/>
      <c r="J3587" s="204"/>
      <c r="K3587" s="204"/>
      <c r="L3587" s="205"/>
      <c r="M3587" s="205"/>
      <c r="N3587" s="204"/>
      <c r="O3587" s="204"/>
      <c r="P3587" s="206"/>
      <c r="Q3587" s="206"/>
      <c r="R3587" s="206"/>
      <c r="S3587" s="206"/>
      <c r="T3587" s="204"/>
      <c r="U3587" s="207"/>
      <c r="V3587" s="204"/>
      <c r="W3587" s="204"/>
      <c r="X3587" s="207"/>
      <c r="Y3587" s="207"/>
      <c r="Z3587" s="204"/>
      <c r="AA3587" s="204"/>
      <c r="AB3587" s="204"/>
      <c r="AC3587" s="204"/>
    </row>
    <row r="3588" spans="1:29">
      <c r="A3588" s="204"/>
      <c r="B3588" s="204"/>
      <c r="C3588" s="204"/>
      <c r="D3588" s="204"/>
      <c r="E3588" s="204"/>
      <c r="F3588" s="204"/>
      <c r="G3588" s="204"/>
      <c r="H3588" s="204"/>
      <c r="I3588" s="204"/>
      <c r="J3588" s="204"/>
      <c r="K3588" s="204"/>
      <c r="L3588" s="205"/>
      <c r="M3588" s="205"/>
      <c r="N3588" s="204"/>
      <c r="O3588" s="204"/>
      <c r="P3588" s="206"/>
      <c r="Q3588" s="206"/>
      <c r="R3588" s="206"/>
      <c r="S3588" s="206"/>
      <c r="T3588" s="204"/>
      <c r="U3588" s="207"/>
      <c r="V3588" s="204"/>
      <c r="W3588" s="204"/>
      <c r="X3588" s="207"/>
      <c r="Y3588" s="207"/>
      <c r="Z3588" s="204"/>
      <c r="AA3588" s="204"/>
      <c r="AB3588" s="204"/>
      <c r="AC3588" s="204"/>
    </row>
    <row r="3589" spans="1:29">
      <c r="A3589" s="204"/>
      <c r="B3589" s="204"/>
      <c r="C3589" s="204"/>
      <c r="D3589" s="204"/>
      <c r="E3589" s="204"/>
      <c r="F3589" s="204"/>
      <c r="G3589" s="204"/>
      <c r="H3589" s="204"/>
      <c r="I3589" s="204"/>
      <c r="J3589" s="204"/>
      <c r="K3589" s="204"/>
      <c r="L3589" s="205"/>
      <c r="M3589" s="205"/>
      <c r="N3589" s="204"/>
      <c r="O3589" s="204"/>
      <c r="P3589" s="206"/>
      <c r="Q3589" s="206"/>
      <c r="R3589" s="206"/>
      <c r="S3589" s="206"/>
      <c r="T3589" s="204"/>
      <c r="U3589" s="207"/>
      <c r="V3589" s="204"/>
      <c r="W3589" s="204"/>
      <c r="X3589" s="207"/>
      <c r="Y3589" s="207"/>
      <c r="Z3589" s="204"/>
      <c r="AA3589" s="204"/>
      <c r="AB3589" s="204"/>
      <c r="AC3589" s="204"/>
    </row>
    <row r="3590" spans="1:29">
      <c r="A3590" s="204"/>
      <c r="B3590" s="204"/>
      <c r="C3590" s="204"/>
      <c r="D3590" s="204"/>
      <c r="E3590" s="204"/>
      <c r="F3590" s="204"/>
      <c r="G3590" s="204"/>
      <c r="H3590" s="204"/>
      <c r="I3590" s="204"/>
      <c r="J3590" s="204"/>
      <c r="K3590" s="204"/>
      <c r="L3590" s="205"/>
      <c r="M3590" s="205"/>
      <c r="N3590" s="204"/>
      <c r="O3590" s="204"/>
      <c r="P3590" s="206"/>
      <c r="Q3590" s="206"/>
      <c r="R3590" s="206"/>
      <c r="S3590" s="206"/>
      <c r="T3590" s="204"/>
      <c r="U3590" s="207"/>
      <c r="V3590" s="204"/>
      <c r="W3590" s="204"/>
      <c r="X3590" s="207"/>
      <c r="Y3590" s="207"/>
      <c r="Z3590" s="204"/>
      <c r="AA3590" s="204"/>
      <c r="AB3590" s="204"/>
      <c r="AC3590" s="204"/>
    </row>
    <row r="3591" spans="1:29">
      <c r="A3591" s="204"/>
      <c r="B3591" s="204"/>
      <c r="C3591" s="204"/>
      <c r="D3591" s="204"/>
      <c r="E3591" s="204"/>
      <c r="F3591" s="204"/>
      <c r="G3591" s="204"/>
      <c r="H3591" s="204"/>
      <c r="I3591" s="204"/>
      <c r="J3591" s="204"/>
      <c r="K3591" s="204"/>
      <c r="L3591" s="205"/>
      <c r="M3591" s="205"/>
      <c r="N3591" s="204"/>
      <c r="O3591" s="204"/>
      <c r="P3591" s="206"/>
      <c r="Q3591" s="206"/>
      <c r="R3591" s="206"/>
      <c r="S3591" s="206"/>
      <c r="T3591" s="204"/>
      <c r="U3591" s="207"/>
      <c r="V3591" s="204"/>
      <c r="W3591" s="204"/>
      <c r="X3591" s="207"/>
      <c r="Y3591" s="207"/>
      <c r="Z3591" s="204"/>
      <c r="AA3591" s="204"/>
      <c r="AB3591" s="204"/>
      <c r="AC3591" s="204"/>
    </row>
    <row r="3592" spans="1:29">
      <c r="A3592" s="204"/>
      <c r="B3592" s="204"/>
      <c r="C3592" s="204"/>
      <c r="D3592" s="204"/>
      <c r="E3592" s="204"/>
      <c r="F3592" s="204"/>
      <c r="G3592" s="204"/>
      <c r="H3592" s="204"/>
      <c r="I3592" s="204"/>
      <c r="J3592" s="204"/>
      <c r="K3592" s="204"/>
      <c r="L3592" s="205"/>
      <c r="M3592" s="205"/>
      <c r="N3592" s="204"/>
      <c r="O3592" s="204"/>
      <c r="P3592" s="206"/>
      <c r="Q3592" s="206"/>
      <c r="R3592" s="206"/>
      <c r="S3592" s="206"/>
      <c r="T3592" s="204"/>
      <c r="U3592" s="207"/>
      <c r="V3592" s="204"/>
      <c r="W3592" s="204"/>
      <c r="X3592" s="207"/>
      <c r="Y3592" s="207"/>
      <c r="Z3592" s="204"/>
      <c r="AA3592" s="204"/>
      <c r="AB3592" s="204"/>
      <c r="AC3592" s="204"/>
    </row>
    <row r="3593" spans="1:29">
      <c r="A3593" s="204"/>
      <c r="B3593" s="204"/>
      <c r="C3593" s="204"/>
      <c r="D3593" s="204"/>
      <c r="E3593" s="204"/>
      <c r="F3593" s="204"/>
      <c r="G3593" s="204"/>
      <c r="H3593" s="204"/>
      <c r="I3593" s="204"/>
      <c r="J3593" s="204"/>
      <c r="K3593" s="204"/>
      <c r="L3593" s="205"/>
      <c r="M3593" s="205"/>
      <c r="N3593" s="204"/>
      <c r="O3593" s="204"/>
      <c r="P3593" s="206"/>
      <c r="Q3593" s="206"/>
      <c r="R3593" s="206"/>
      <c r="S3593" s="206"/>
      <c r="T3593" s="204"/>
      <c r="U3593" s="207"/>
      <c r="V3593" s="204"/>
      <c r="W3593" s="204"/>
      <c r="X3593" s="207"/>
      <c r="Y3593" s="207"/>
      <c r="Z3593" s="204"/>
      <c r="AA3593" s="204"/>
      <c r="AB3593" s="204"/>
      <c r="AC3593" s="204"/>
    </row>
    <row r="3594" spans="1:29">
      <c r="A3594" s="204"/>
      <c r="B3594" s="204"/>
      <c r="C3594" s="204"/>
      <c r="D3594" s="204"/>
      <c r="E3594" s="204"/>
      <c r="F3594" s="204"/>
      <c r="G3594" s="204"/>
      <c r="H3594" s="204"/>
      <c r="I3594" s="204"/>
      <c r="J3594" s="204"/>
      <c r="K3594" s="204"/>
      <c r="L3594" s="205"/>
      <c r="M3594" s="205"/>
      <c r="N3594" s="204"/>
      <c r="O3594" s="204"/>
      <c r="P3594" s="206"/>
      <c r="Q3594" s="206"/>
      <c r="R3594" s="206"/>
      <c r="S3594" s="206"/>
      <c r="T3594" s="204"/>
      <c r="U3594" s="207"/>
      <c r="V3594" s="204"/>
      <c r="W3594" s="204"/>
      <c r="X3594" s="207"/>
      <c r="Y3594" s="207"/>
      <c r="Z3594" s="204"/>
      <c r="AA3594" s="204"/>
      <c r="AB3594" s="204"/>
      <c r="AC3594" s="204"/>
    </row>
    <row r="3595" spans="1:29">
      <c r="A3595" s="204"/>
      <c r="B3595" s="204"/>
      <c r="C3595" s="204"/>
      <c r="D3595" s="204"/>
      <c r="E3595" s="204"/>
      <c r="F3595" s="204"/>
      <c r="G3595" s="204"/>
      <c r="H3595" s="204"/>
      <c r="I3595" s="204"/>
      <c r="J3595" s="204"/>
      <c r="K3595" s="204"/>
      <c r="L3595" s="205"/>
      <c r="M3595" s="205"/>
      <c r="N3595" s="204"/>
      <c r="O3595" s="204"/>
      <c r="P3595" s="206"/>
      <c r="Q3595" s="206"/>
      <c r="R3595" s="206"/>
      <c r="S3595" s="206"/>
      <c r="T3595" s="204"/>
      <c r="U3595" s="207"/>
      <c r="V3595" s="204"/>
      <c r="W3595" s="204"/>
      <c r="X3595" s="207"/>
      <c r="Y3595" s="207"/>
      <c r="Z3595" s="204"/>
      <c r="AA3595" s="204"/>
      <c r="AB3595" s="204"/>
      <c r="AC3595" s="204"/>
    </row>
    <row r="3596" spans="1:29">
      <c r="A3596" s="204"/>
      <c r="B3596" s="204"/>
      <c r="C3596" s="204"/>
      <c r="D3596" s="204"/>
      <c r="E3596" s="204"/>
      <c r="F3596" s="204"/>
      <c r="G3596" s="204"/>
      <c r="H3596" s="204"/>
      <c r="I3596" s="204"/>
      <c r="J3596" s="204"/>
      <c r="K3596" s="204"/>
      <c r="L3596" s="205"/>
      <c r="M3596" s="205"/>
      <c r="N3596" s="204"/>
      <c r="O3596" s="204"/>
      <c r="P3596" s="206"/>
      <c r="Q3596" s="206"/>
      <c r="R3596" s="206"/>
      <c r="S3596" s="206"/>
      <c r="T3596" s="204"/>
      <c r="U3596" s="207"/>
      <c r="V3596" s="204"/>
      <c r="W3596" s="204"/>
      <c r="X3596" s="207"/>
      <c r="Y3596" s="207"/>
      <c r="Z3596" s="204"/>
      <c r="AA3596" s="204"/>
      <c r="AB3596" s="204"/>
      <c r="AC3596" s="204"/>
    </row>
    <row r="3597" spans="1:29">
      <c r="A3597" s="204"/>
      <c r="B3597" s="204"/>
      <c r="C3597" s="204"/>
      <c r="D3597" s="204"/>
      <c r="E3597" s="204"/>
      <c r="F3597" s="204"/>
      <c r="G3597" s="204"/>
      <c r="H3597" s="204"/>
      <c r="I3597" s="204"/>
      <c r="J3597" s="204"/>
      <c r="K3597" s="204"/>
      <c r="L3597" s="205"/>
      <c r="M3597" s="205"/>
      <c r="N3597" s="204"/>
      <c r="O3597" s="204"/>
      <c r="P3597" s="206"/>
      <c r="Q3597" s="206"/>
      <c r="R3597" s="206"/>
      <c r="S3597" s="206"/>
      <c r="T3597" s="204"/>
      <c r="U3597" s="207"/>
      <c r="V3597" s="204"/>
      <c r="W3597" s="204"/>
      <c r="X3597" s="207"/>
      <c r="Y3597" s="207"/>
      <c r="Z3597" s="204"/>
      <c r="AA3597" s="204"/>
      <c r="AB3597" s="204"/>
      <c r="AC3597" s="204"/>
    </row>
    <row r="3598" spans="1:29">
      <c r="A3598" s="204"/>
      <c r="B3598" s="204"/>
      <c r="C3598" s="204"/>
      <c r="D3598" s="204"/>
      <c r="E3598" s="204"/>
      <c r="F3598" s="204"/>
      <c r="G3598" s="204"/>
      <c r="H3598" s="204"/>
      <c r="I3598" s="204"/>
      <c r="J3598" s="204"/>
      <c r="K3598" s="204"/>
      <c r="L3598" s="205"/>
      <c r="M3598" s="205"/>
      <c r="N3598" s="204"/>
      <c r="O3598" s="204"/>
      <c r="P3598" s="206"/>
      <c r="Q3598" s="206"/>
      <c r="R3598" s="206"/>
      <c r="S3598" s="206"/>
      <c r="T3598" s="204"/>
      <c r="U3598" s="207"/>
      <c r="V3598" s="204"/>
      <c r="W3598" s="204"/>
      <c r="X3598" s="207"/>
      <c r="Y3598" s="207"/>
      <c r="Z3598" s="204"/>
      <c r="AA3598" s="204"/>
      <c r="AB3598" s="204"/>
      <c r="AC3598" s="204"/>
    </row>
    <row r="3599" spans="1:29">
      <c r="A3599" s="204"/>
      <c r="B3599" s="204"/>
      <c r="C3599" s="204"/>
      <c r="D3599" s="204"/>
      <c r="E3599" s="204"/>
      <c r="F3599" s="204"/>
      <c r="G3599" s="204"/>
      <c r="H3599" s="204"/>
      <c r="I3599" s="204"/>
      <c r="J3599" s="204"/>
      <c r="K3599" s="204"/>
      <c r="L3599" s="205"/>
      <c r="M3599" s="205"/>
      <c r="N3599" s="204"/>
      <c r="O3599" s="204"/>
      <c r="P3599" s="206"/>
      <c r="Q3599" s="206"/>
      <c r="R3599" s="206"/>
      <c r="S3599" s="206"/>
      <c r="T3599" s="204"/>
      <c r="U3599" s="207"/>
      <c r="V3599" s="204"/>
      <c r="W3599" s="204"/>
      <c r="X3599" s="207"/>
      <c r="Y3599" s="207"/>
      <c r="Z3599" s="204"/>
      <c r="AA3599" s="204"/>
      <c r="AB3599" s="204"/>
      <c r="AC3599" s="204"/>
    </row>
    <row r="3600" spans="1:29">
      <c r="A3600" s="204"/>
      <c r="B3600" s="204"/>
      <c r="C3600" s="204"/>
      <c r="D3600" s="204"/>
      <c r="E3600" s="204"/>
      <c r="F3600" s="204"/>
      <c r="G3600" s="204"/>
      <c r="H3600" s="204"/>
      <c r="I3600" s="204"/>
      <c r="J3600" s="204"/>
      <c r="K3600" s="204"/>
      <c r="L3600" s="205"/>
      <c r="M3600" s="205"/>
      <c r="N3600" s="204"/>
      <c r="O3600" s="204"/>
      <c r="P3600" s="206"/>
      <c r="Q3600" s="206"/>
      <c r="R3600" s="206"/>
      <c r="S3600" s="206"/>
      <c r="T3600" s="204"/>
      <c r="U3600" s="207"/>
      <c r="V3600" s="204"/>
      <c r="W3600" s="204"/>
      <c r="X3600" s="207"/>
      <c r="Y3600" s="207"/>
      <c r="Z3600" s="204"/>
      <c r="AA3600" s="204"/>
      <c r="AB3600" s="204"/>
      <c r="AC3600" s="204"/>
    </row>
    <row r="3601" spans="1:29">
      <c r="A3601" s="204"/>
      <c r="B3601" s="204"/>
      <c r="C3601" s="204"/>
      <c r="D3601" s="204"/>
      <c r="E3601" s="204"/>
      <c r="F3601" s="204"/>
      <c r="G3601" s="204"/>
      <c r="H3601" s="204"/>
      <c r="I3601" s="204"/>
      <c r="J3601" s="204"/>
      <c r="K3601" s="204"/>
      <c r="L3601" s="205"/>
      <c r="M3601" s="205"/>
      <c r="N3601" s="204"/>
      <c r="O3601" s="204"/>
      <c r="P3601" s="206"/>
      <c r="Q3601" s="206"/>
      <c r="R3601" s="206"/>
      <c r="S3601" s="206"/>
      <c r="T3601" s="204"/>
      <c r="U3601" s="207"/>
      <c r="V3601" s="204"/>
      <c r="W3601" s="204"/>
      <c r="X3601" s="207"/>
      <c r="Y3601" s="207"/>
      <c r="Z3601" s="204"/>
      <c r="AA3601" s="204"/>
      <c r="AB3601" s="204"/>
      <c r="AC3601" s="204"/>
    </row>
    <row r="3602" spans="1:29">
      <c r="A3602" s="204"/>
      <c r="B3602" s="204"/>
      <c r="C3602" s="204"/>
      <c r="D3602" s="204"/>
      <c r="E3602" s="204"/>
      <c r="F3602" s="204"/>
      <c r="G3602" s="204"/>
      <c r="H3602" s="204"/>
      <c r="I3602" s="204"/>
      <c r="J3602" s="204"/>
      <c r="K3602" s="204"/>
      <c r="L3602" s="205"/>
      <c r="M3602" s="205"/>
      <c r="N3602" s="204"/>
      <c r="O3602" s="204"/>
      <c r="P3602" s="206"/>
      <c r="Q3602" s="206"/>
      <c r="R3602" s="206"/>
      <c r="S3602" s="206"/>
      <c r="T3602" s="204"/>
      <c r="U3602" s="207"/>
      <c r="V3602" s="204"/>
      <c r="W3602" s="204"/>
      <c r="X3602" s="207"/>
      <c r="Y3602" s="207"/>
      <c r="Z3602" s="204"/>
      <c r="AA3602" s="204"/>
      <c r="AB3602" s="204"/>
      <c r="AC3602" s="204"/>
    </row>
    <row r="3603" spans="1:29">
      <c r="A3603" s="204"/>
      <c r="B3603" s="204"/>
      <c r="C3603" s="204"/>
      <c r="D3603" s="204"/>
      <c r="E3603" s="204"/>
      <c r="F3603" s="204"/>
      <c r="G3603" s="204"/>
      <c r="H3603" s="204"/>
      <c r="I3603" s="204"/>
      <c r="J3603" s="204"/>
      <c r="K3603" s="204"/>
      <c r="L3603" s="205"/>
      <c r="M3603" s="205"/>
      <c r="N3603" s="204"/>
      <c r="O3603" s="204"/>
      <c r="P3603" s="206"/>
      <c r="Q3603" s="206"/>
      <c r="R3603" s="206"/>
      <c r="S3603" s="206"/>
      <c r="T3603" s="204"/>
      <c r="U3603" s="207"/>
      <c r="V3603" s="204"/>
      <c r="W3603" s="204"/>
      <c r="X3603" s="207"/>
      <c r="Y3603" s="207"/>
      <c r="Z3603" s="204"/>
      <c r="AA3603" s="204"/>
      <c r="AB3603" s="204"/>
      <c r="AC3603" s="204"/>
    </row>
    <row r="3604" spans="1:29">
      <c r="A3604" s="204"/>
      <c r="B3604" s="204"/>
      <c r="C3604" s="204"/>
      <c r="D3604" s="204"/>
      <c r="E3604" s="204"/>
      <c r="F3604" s="204"/>
      <c r="G3604" s="204"/>
      <c r="H3604" s="204"/>
      <c r="I3604" s="204"/>
      <c r="J3604" s="204"/>
      <c r="K3604" s="204"/>
      <c r="L3604" s="205"/>
      <c r="M3604" s="205"/>
      <c r="N3604" s="204"/>
      <c r="O3604" s="204"/>
      <c r="P3604" s="206"/>
      <c r="Q3604" s="206"/>
      <c r="R3604" s="206"/>
      <c r="S3604" s="206"/>
      <c r="T3604" s="204"/>
      <c r="U3604" s="207"/>
      <c r="V3604" s="204"/>
      <c r="W3604" s="204"/>
      <c r="X3604" s="207"/>
      <c r="Y3604" s="207"/>
      <c r="Z3604" s="204"/>
      <c r="AA3604" s="204"/>
      <c r="AB3604" s="204"/>
      <c r="AC3604" s="204"/>
    </row>
    <row r="3605" spans="1:29">
      <c r="A3605" s="204"/>
      <c r="B3605" s="204"/>
      <c r="C3605" s="204"/>
      <c r="D3605" s="204"/>
      <c r="E3605" s="204"/>
      <c r="F3605" s="204"/>
      <c r="G3605" s="204"/>
      <c r="H3605" s="204"/>
      <c r="I3605" s="204"/>
      <c r="J3605" s="204"/>
      <c r="K3605" s="204"/>
      <c r="L3605" s="205"/>
      <c r="M3605" s="205"/>
      <c r="N3605" s="204"/>
      <c r="O3605" s="204"/>
      <c r="P3605" s="206"/>
      <c r="Q3605" s="206"/>
      <c r="R3605" s="206"/>
      <c r="S3605" s="206"/>
      <c r="T3605" s="204"/>
      <c r="U3605" s="207"/>
      <c r="V3605" s="204"/>
      <c r="W3605" s="204"/>
      <c r="X3605" s="207"/>
      <c r="Y3605" s="207"/>
      <c r="Z3605" s="204"/>
      <c r="AA3605" s="204"/>
      <c r="AB3605" s="204"/>
      <c r="AC3605" s="204"/>
    </row>
    <row r="3606" spans="1:29">
      <c r="A3606" s="204"/>
      <c r="B3606" s="204"/>
      <c r="C3606" s="204"/>
      <c r="D3606" s="204"/>
      <c r="E3606" s="204"/>
      <c r="F3606" s="204"/>
      <c r="G3606" s="204"/>
      <c r="H3606" s="204"/>
      <c r="I3606" s="204"/>
      <c r="J3606" s="204"/>
      <c r="K3606" s="204"/>
      <c r="L3606" s="205"/>
      <c r="M3606" s="205"/>
      <c r="N3606" s="204"/>
      <c r="O3606" s="204"/>
      <c r="P3606" s="206"/>
      <c r="Q3606" s="206"/>
      <c r="R3606" s="206"/>
      <c r="S3606" s="206"/>
      <c r="T3606" s="204"/>
      <c r="U3606" s="207"/>
      <c r="V3606" s="204"/>
      <c r="W3606" s="204"/>
      <c r="X3606" s="207"/>
      <c r="Y3606" s="207"/>
      <c r="Z3606" s="204"/>
      <c r="AA3606" s="204"/>
      <c r="AB3606" s="204"/>
      <c r="AC3606" s="204"/>
    </row>
    <row r="3607" spans="1:29">
      <c r="A3607" s="204"/>
      <c r="B3607" s="204"/>
      <c r="C3607" s="204"/>
      <c r="D3607" s="204"/>
      <c r="E3607" s="204"/>
      <c r="F3607" s="204"/>
      <c r="G3607" s="204"/>
      <c r="H3607" s="204"/>
      <c r="I3607" s="204"/>
      <c r="J3607" s="204"/>
      <c r="K3607" s="204"/>
      <c r="L3607" s="205"/>
      <c r="M3607" s="205"/>
      <c r="N3607" s="204"/>
      <c r="O3607" s="204"/>
      <c r="P3607" s="206"/>
      <c r="Q3607" s="206"/>
      <c r="R3607" s="206"/>
      <c r="S3607" s="206"/>
      <c r="T3607" s="204"/>
      <c r="U3607" s="207"/>
      <c r="V3607" s="204"/>
      <c r="W3607" s="204"/>
      <c r="X3607" s="207"/>
      <c r="Y3607" s="207"/>
      <c r="Z3607" s="204"/>
      <c r="AA3607" s="204"/>
      <c r="AB3607" s="204"/>
      <c r="AC3607" s="204"/>
    </row>
    <row r="3608" spans="1:29">
      <c r="A3608" s="204"/>
      <c r="B3608" s="204"/>
      <c r="C3608" s="204"/>
      <c r="D3608" s="204"/>
      <c r="E3608" s="204"/>
      <c r="F3608" s="204"/>
      <c r="G3608" s="204"/>
      <c r="H3608" s="204"/>
      <c r="I3608" s="204"/>
      <c r="J3608" s="204"/>
      <c r="K3608" s="204"/>
      <c r="L3608" s="205"/>
      <c r="M3608" s="205"/>
      <c r="N3608" s="204"/>
      <c r="O3608" s="204"/>
      <c r="P3608" s="206"/>
      <c r="Q3608" s="206"/>
      <c r="R3608" s="206"/>
      <c r="S3608" s="206"/>
      <c r="T3608" s="204"/>
      <c r="U3608" s="207"/>
      <c r="V3608" s="204"/>
      <c r="W3608" s="204"/>
      <c r="X3608" s="207"/>
      <c r="Y3608" s="207"/>
      <c r="Z3608" s="204"/>
      <c r="AA3608" s="204"/>
      <c r="AB3608" s="204"/>
      <c r="AC3608" s="204"/>
    </row>
    <row r="3609" spans="1:29">
      <c r="A3609" s="204"/>
      <c r="B3609" s="204"/>
      <c r="C3609" s="204"/>
      <c r="D3609" s="204"/>
      <c r="E3609" s="204"/>
      <c r="F3609" s="204"/>
      <c r="G3609" s="204"/>
      <c r="H3609" s="204"/>
      <c r="I3609" s="204"/>
      <c r="J3609" s="204"/>
      <c r="K3609" s="204"/>
      <c r="L3609" s="205"/>
      <c r="M3609" s="205"/>
      <c r="N3609" s="204"/>
      <c r="O3609" s="204"/>
      <c r="P3609" s="206"/>
      <c r="Q3609" s="206"/>
      <c r="R3609" s="206"/>
      <c r="S3609" s="206"/>
      <c r="T3609" s="204"/>
      <c r="U3609" s="207"/>
      <c r="V3609" s="204"/>
      <c r="W3609" s="204"/>
      <c r="X3609" s="207"/>
      <c r="Y3609" s="207"/>
      <c r="Z3609" s="204"/>
      <c r="AA3609" s="204"/>
      <c r="AB3609" s="204"/>
      <c r="AC3609" s="204"/>
    </row>
    <row r="3610" spans="1:29">
      <c r="A3610" s="204"/>
      <c r="B3610" s="204"/>
      <c r="C3610" s="204"/>
      <c r="D3610" s="204"/>
      <c r="E3610" s="204"/>
      <c r="F3610" s="204"/>
      <c r="G3610" s="204"/>
      <c r="H3610" s="204"/>
      <c r="I3610" s="204"/>
      <c r="J3610" s="204"/>
      <c r="K3610" s="204"/>
      <c r="L3610" s="205"/>
      <c r="M3610" s="205"/>
      <c r="N3610" s="204"/>
      <c r="O3610" s="204"/>
      <c r="P3610" s="206"/>
      <c r="Q3610" s="206"/>
      <c r="R3610" s="206"/>
      <c r="S3610" s="206"/>
      <c r="T3610" s="204"/>
      <c r="U3610" s="207"/>
      <c r="V3610" s="204"/>
      <c r="W3610" s="204"/>
      <c r="X3610" s="207"/>
      <c r="Y3610" s="207"/>
      <c r="Z3610" s="204"/>
      <c r="AA3610" s="204"/>
      <c r="AB3610" s="204"/>
      <c r="AC3610" s="204"/>
    </row>
    <row r="3611" spans="1:29">
      <c r="A3611" s="204"/>
      <c r="B3611" s="204"/>
      <c r="C3611" s="204"/>
      <c r="D3611" s="204"/>
      <c r="E3611" s="204"/>
      <c r="F3611" s="204"/>
      <c r="G3611" s="204"/>
      <c r="H3611" s="204"/>
      <c r="I3611" s="204"/>
      <c r="J3611" s="204"/>
      <c r="K3611" s="204"/>
      <c r="L3611" s="205"/>
      <c r="M3611" s="205"/>
      <c r="N3611" s="204"/>
      <c r="O3611" s="204"/>
      <c r="P3611" s="206"/>
      <c r="Q3611" s="206"/>
      <c r="R3611" s="206"/>
      <c r="S3611" s="206"/>
      <c r="T3611" s="204"/>
      <c r="U3611" s="207"/>
      <c r="V3611" s="204"/>
      <c r="W3611" s="204"/>
      <c r="X3611" s="207"/>
      <c r="Y3611" s="207"/>
      <c r="Z3611" s="204"/>
      <c r="AA3611" s="204"/>
      <c r="AB3611" s="204"/>
      <c r="AC3611" s="204"/>
    </row>
    <row r="3612" spans="1:29">
      <c r="A3612" s="204"/>
      <c r="B3612" s="204"/>
      <c r="C3612" s="204"/>
      <c r="D3612" s="204"/>
      <c r="E3612" s="204"/>
      <c r="F3612" s="204"/>
      <c r="G3612" s="204"/>
      <c r="H3612" s="204"/>
      <c r="I3612" s="204"/>
      <c r="J3612" s="204"/>
      <c r="K3612" s="204"/>
      <c r="L3612" s="205"/>
      <c r="M3612" s="205"/>
      <c r="N3612" s="204"/>
      <c r="O3612" s="204"/>
      <c r="P3612" s="206"/>
      <c r="Q3612" s="206"/>
      <c r="R3612" s="206"/>
      <c r="S3612" s="206"/>
      <c r="T3612" s="204"/>
      <c r="U3612" s="207"/>
      <c r="V3612" s="204"/>
      <c r="W3612" s="204"/>
      <c r="X3612" s="207"/>
      <c r="Y3612" s="207"/>
      <c r="Z3612" s="204"/>
      <c r="AA3612" s="204"/>
      <c r="AB3612" s="204"/>
      <c r="AC3612" s="204"/>
    </row>
    <row r="3613" spans="1:29">
      <c r="A3613" s="204"/>
      <c r="B3613" s="204"/>
      <c r="C3613" s="204"/>
      <c r="D3613" s="204"/>
      <c r="E3613" s="204"/>
      <c r="F3613" s="204"/>
      <c r="G3613" s="204"/>
      <c r="H3613" s="204"/>
      <c r="I3613" s="204"/>
      <c r="J3613" s="204"/>
      <c r="K3613" s="204"/>
      <c r="L3613" s="205"/>
      <c r="M3613" s="205"/>
      <c r="N3613" s="204"/>
      <c r="O3613" s="204"/>
      <c r="P3613" s="206"/>
      <c r="Q3613" s="206"/>
      <c r="R3613" s="206"/>
      <c r="S3613" s="206"/>
      <c r="T3613" s="204"/>
      <c r="U3613" s="207"/>
      <c r="V3613" s="204"/>
      <c r="W3613" s="204"/>
      <c r="X3613" s="207"/>
      <c r="Y3613" s="207"/>
      <c r="Z3613" s="204"/>
      <c r="AA3613" s="204"/>
      <c r="AB3613" s="204"/>
      <c r="AC3613" s="204"/>
    </row>
    <row r="3614" spans="1:29">
      <c r="A3614" s="204"/>
      <c r="B3614" s="204"/>
      <c r="C3614" s="204"/>
      <c r="D3614" s="204"/>
      <c r="E3614" s="204"/>
      <c r="F3614" s="204"/>
      <c r="G3614" s="204"/>
      <c r="H3614" s="204"/>
      <c r="I3614" s="204"/>
      <c r="J3614" s="204"/>
      <c r="K3614" s="204"/>
      <c r="L3614" s="205"/>
      <c r="M3614" s="205"/>
      <c r="N3614" s="204"/>
      <c r="O3614" s="204"/>
      <c r="P3614" s="206"/>
      <c r="Q3614" s="206"/>
      <c r="R3614" s="206"/>
      <c r="S3614" s="206"/>
      <c r="T3614" s="204"/>
      <c r="U3614" s="207"/>
      <c r="V3614" s="204"/>
      <c r="W3614" s="204"/>
      <c r="X3614" s="207"/>
      <c r="Y3614" s="207"/>
      <c r="Z3614" s="204"/>
      <c r="AA3614" s="204"/>
      <c r="AB3614" s="204"/>
      <c r="AC3614" s="204"/>
    </row>
    <row r="3615" spans="1:29">
      <c r="A3615" s="204"/>
      <c r="B3615" s="204"/>
      <c r="C3615" s="204"/>
      <c r="D3615" s="204"/>
      <c r="E3615" s="204"/>
      <c r="F3615" s="204"/>
      <c r="G3615" s="204"/>
      <c r="H3615" s="204"/>
      <c r="I3615" s="204"/>
      <c r="J3615" s="204"/>
      <c r="K3615" s="204"/>
      <c r="L3615" s="205"/>
      <c r="M3615" s="205"/>
      <c r="N3615" s="204"/>
      <c r="O3615" s="204"/>
      <c r="P3615" s="206"/>
      <c r="Q3615" s="206"/>
      <c r="R3615" s="206"/>
      <c r="S3615" s="206"/>
      <c r="T3615" s="204"/>
      <c r="U3615" s="207"/>
      <c r="V3615" s="204"/>
      <c r="W3615" s="204"/>
      <c r="X3615" s="207"/>
      <c r="Y3615" s="207"/>
      <c r="Z3615" s="204"/>
      <c r="AA3615" s="204"/>
      <c r="AB3615" s="204"/>
      <c r="AC3615" s="204"/>
    </row>
    <row r="3616" spans="1:29">
      <c r="A3616" s="204"/>
      <c r="B3616" s="204"/>
      <c r="C3616" s="204"/>
      <c r="D3616" s="204"/>
      <c r="E3616" s="204"/>
      <c r="F3616" s="204"/>
      <c r="G3616" s="204"/>
      <c r="H3616" s="204"/>
      <c r="I3616" s="204"/>
      <c r="J3616" s="204"/>
      <c r="K3616" s="204"/>
      <c r="L3616" s="205"/>
      <c r="M3616" s="205"/>
      <c r="N3616" s="204"/>
      <c r="O3616" s="204"/>
      <c r="P3616" s="206"/>
      <c r="Q3616" s="206"/>
      <c r="R3616" s="206"/>
      <c r="S3616" s="206"/>
      <c r="T3616" s="204"/>
      <c r="U3616" s="207"/>
      <c r="V3616" s="204"/>
      <c r="W3616" s="204"/>
      <c r="X3616" s="207"/>
      <c r="Y3616" s="207"/>
      <c r="Z3616" s="204"/>
      <c r="AA3616" s="204"/>
      <c r="AB3616" s="204"/>
      <c r="AC3616" s="204"/>
    </row>
    <row r="3617" spans="1:29">
      <c r="A3617" s="204"/>
      <c r="B3617" s="204"/>
      <c r="C3617" s="204"/>
      <c r="D3617" s="204"/>
      <c r="E3617" s="204"/>
      <c r="F3617" s="204"/>
      <c r="G3617" s="204"/>
      <c r="H3617" s="204"/>
      <c r="I3617" s="204"/>
      <c r="J3617" s="204"/>
      <c r="K3617" s="204"/>
      <c r="L3617" s="205"/>
      <c r="M3617" s="205"/>
      <c r="N3617" s="204"/>
      <c r="O3617" s="204"/>
      <c r="P3617" s="206"/>
      <c r="Q3617" s="206"/>
      <c r="R3617" s="206"/>
      <c r="S3617" s="206"/>
      <c r="T3617" s="204"/>
      <c r="U3617" s="207"/>
      <c r="V3617" s="204"/>
      <c r="W3617" s="204"/>
      <c r="X3617" s="207"/>
      <c r="Y3617" s="207"/>
      <c r="Z3617" s="204"/>
      <c r="AA3617" s="204"/>
      <c r="AB3617" s="204"/>
      <c r="AC3617" s="204"/>
    </row>
    <row r="3618" spans="1:29">
      <c r="A3618" s="204"/>
      <c r="B3618" s="204"/>
      <c r="C3618" s="204"/>
      <c r="D3618" s="204"/>
      <c r="E3618" s="204"/>
      <c r="F3618" s="204"/>
      <c r="G3618" s="204"/>
      <c r="H3618" s="204"/>
      <c r="I3618" s="204"/>
      <c r="J3618" s="204"/>
      <c r="K3618" s="204"/>
      <c r="L3618" s="205"/>
      <c r="M3618" s="205"/>
      <c r="N3618" s="204"/>
      <c r="O3618" s="204"/>
      <c r="P3618" s="206"/>
      <c r="Q3618" s="206"/>
      <c r="R3618" s="206"/>
      <c r="S3618" s="206"/>
      <c r="T3618" s="204"/>
      <c r="U3618" s="207"/>
      <c r="V3618" s="204"/>
      <c r="W3618" s="204"/>
      <c r="X3618" s="207"/>
      <c r="Y3618" s="207"/>
      <c r="Z3618" s="204"/>
      <c r="AA3618" s="204"/>
      <c r="AB3618" s="204"/>
      <c r="AC3618" s="204"/>
    </row>
    <row r="3619" spans="1:29">
      <c r="A3619" s="204"/>
      <c r="B3619" s="204"/>
      <c r="C3619" s="204"/>
      <c r="D3619" s="204"/>
      <c r="E3619" s="204"/>
      <c r="F3619" s="204"/>
      <c r="G3619" s="204"/>
      <c r="H3619" s="204"/>
      <c r="I3619" s="204"/>
      <c r="J3619" s="204"/>
      <c r="K3619" s="204"/>
      <c r="L3619" s="205"/>
      <c r="M3619" s="205"/>
      <c r="N3619" s="204"/>
      <c r="O3619" s="204"/>
      <c r="P3619" s="206"/>
      <c r="Q3619" s="206"/>
      <c r="R3619" s="206"/>
      <c r="S3619" s="206"/>
      <c r="T3619" s="204"/>
      <c r="U3619" s="207"/>
      <c r="V3619" s="204"/>
      <c r="W3619" s="204"/>
      <c r="X3619" s="207"/>
      <c r="Y3619" s="207"/>
      <c r="Z3619" s="204"/>
      <c r="AA3619" s="204"/>
      <c r="AB3619" s="204"/>
      <c r="AC3619" s="204"/>
    </row>
    <row r="3620" spans="1:29">
      <c r="A3620" s="204"/>
      <c r="B3620" s="204"/>
      <c r="C3620" s="204"/>
      <c r="D3620" s="204"/>
      <c r="E3620" s="204"/>
      <c r="F3620" s="204"/>
      <c r="G3620" s="204"/>
      <c r="H3620" s="204"/>
      <c r="I3620" s="204"/>
      <c r="J3620" s="204"/>
      <c r="K3620" s="204"/>
      <c r="L3620" s="205"/>
      <c r="M3620" s="205"/>
      <c r="N3620" s="204"/>
      <c r="O3620" s="204"/>
      <c r="P3620" s="206"/>
      <c r="Q3620" s="206"/>
      <c r="R3620" s="206"/>
      <c r="S3620" s="206"/>
      <c r="T3620" s="204"/>
      <c r="U3620" s="207"/>
      <c r="V3620" s="204"/>
      <c r="W3620" s="204"/>
      <c r="X3620" s="207"/>
      <c r="Y3620" s="207"/>
      <c r="Z3620" s="204"/>
      <c r="AA3620" s="204"/>
      <c r="AB3620" s="204"/>
      <c r="AC3620" s="204"/>
    </row>
    <row r="3621" spans="1:29">
      <c r="A3621" s="204"/>
      <c r="B3621" s="204"/>
      <c r="C3621" s="204"/>
      <c r="D3621" s="204"/>
      <c r="E3621" s="204"/>
      <c r="F3621" s="204"/>
      <c r="G3621" s="204"/>
      <c r="H3621" s="204"/>
      <c r="I3621" s="204"/>
      <c r="J3621" s="204"/>
      <c r="K3621" s="204"/>
      <c r="L3621" s="205"/>
      <c r="M3621" s="205"/>
      <c r="N3621" s="204"/>
      <c r="O3621" s="204"/>
      <c r="P3621" s="206"/>
      <c r="Q3621" s="206"/>
      <c r="R3621" s="206"/>
      <c r="S3621" s="206"/>
      <c r="T3621" s="204"/>
      <c r="U3621" s="207"/>
      <c r="V3621" s="204"/>
      <c r="W3621" s="204"/>
      <c r="X3621" s="207"/>
      <c r="Y3621" s="207"/>
      <c r="Z3621" s="204"/>
      <c r="AA3621" s="204"/>
      <c r="AB3621" s="204"/>
      <c r="AC3621" s="204"/>
    </row>
    <row r="3622" spans="1:29">
      <c r="A3622" s="204"/>
      <c r="B3622" s="204"/>
      <c r="C3622" s="204"/>
      <c r="D3622" s="204"/>
      <c r="E3622" s="204"/>
      <c r="F3622" s="204"/>
      <c r="G3622" s="204"/>
      <c r="H3622" s="204"/>
      <c r="I3622" s="204"/>
      <c r="J3622" s="204"/>
      <c r="K3622" s="204"/>
      <c r="L3622" s="205"/>
      <c r="M3622" s="205"/>
      <c r="N3622" s="204"/>
      <c r="O3622" s="204"/>
      <c r="P3622" s="206"/>
      <c r="Q3622" s="206"/>
      <c r="R3622" s="206"/>
      <c r="S3622" s="206"/>
      <c r="T3622" s="204"/>
      <c r="U3622" s="207"/>
      <c r="V3622" s="204"/>
      <c r="W3622" s="204"/>
      <c r="X3622" s="207"/>
      <c r="Y3622" s="207"/>
      <c r="Z3622" s="204"/>
      <c r="AA3622" s="204"/>
      <c r="AB3622" s="204"/>
      <c r="AC3622" s="204"/>
    </row>
    <row r="3623" spans="1:29">
      <c r="A3623" s="204"/>
      <c r="B3623" s="204"/>
      <c r="C3623" s="204"/>
      <c r="D3623" s="204"/>
      <c r="E3623" s="204"/>
      <c r="F3623" s="204"/>
      <c r="G3623" s="204"/>
      <c r="H3623" s="204"/>
      <c r="I3623" s="204"/>
      <c r="J3623" s="204"/>
      <c r="K3623" s="204"/>
      <c r="L3623" s="205"/>
      <c r="M3623" s="205"/>
      <c r="N3623" s="204"/>
      <c r="O3623" s="204"/>
      <c r="P3623" s="206"/>
      <c r="Q3623" s="206"/>
      <c r="R3623" s="206"/>
      <c r="S3623" s="206"/>
      <c r="T3623" s="204"/>
      <c r="U3623" s="207"/>
      <c r="V3623" s="204"/>
      <c r="W3623" s="204"/>
      <c r="X3623" s="207"/>
      <c r="Y3623" s="207"/>
      <c r="Z3623" s="204"/>
      <c r="AA3623" s="204"/>
      <c r="AB3623" s="204"/>
      <c r="AC3623" s="204"/>
    </row>
    <row r="3624" spans="1:29">
      <c r="A3624" s="204"/>
      <c r="B3624" s="204"/>
      <c r="C3624" s="204"/>
      <c r="D3624" s="204"/>
      <c r="E3624" s="204"/>
      <c r="F3624" s="204"/>
      <c r="G3624" s="204"/>
      <c r="H3624" s="204"/>
      <c r="I3624" s="204"/>
      <c r="J3624" s="204"/>
      <c r="K3624" s="204"/>
      <c r="L3624" s="205"/>
      <c r="M3624" s="205"/>
      <c r="N3624" s="204"/>
      <c r="O3624" s="204"/>
      <c r="P3624" s="206"/>
      <c r="Q3624" s="206"/>
      <c r="R3624" s="206"/>
      <c r="S3624" s="206"/>
      <c r="T3624" s="204"/>
      <c r="U3624" s="207"/>
      <c r="V3624" s="204"/>
      <c r="W3624" s="204"/>
      <c r="X3624" s="207"/>
      <c r="Y3624" s="207"/>
      <c r="Z3624" s="204"/>
      <c r="AA3624" s="204"/>
      <c r="AB3624" s="204"/>
      <c r="AC3624" s="204"/>
    </row>
    <row r="3625" spans="1:29">
      <c r="A3625" s="204"/>
      <c r="B3625" s="204"/>
      <c r="C3625" s="204"/>
      <c r="D3625" s="204"/>
      <c r="E3625" s="204"/>
      <c r="F3625" s="204"/>
      <c r="G3625" s="204"/>
      <c r="H3625" s="204"/>
      <c r="I3625" s="204"/>
      <c r="J3625" s="204"/>
      <c r="K3625" s="204"/>
      <c r="L3625" s="205"/>
      <c r="M3625" s="205"/>
      <c r="N3625" s="204"/>
      <c r="O3625" s="204"/>
      <c r="P3625" s="206"/>
      <c r="Q3625" s="206"/>
      <c r="R3625" s="206"/>
      <c r="S3625" s="206"/>
      <c r="T3625" s="204"/>
      <c r="U3625" s="207"/>
      <c r="V3625" s="204"/>
      <c r="W3625" s="204"/>
      <c r="X3625" s="207"/>
      <c r="Y3625" s="207"/>
      <c r="Z3625" s="204"/>
      <c r="AA3625" s="204"/>
      <c r="AB3625" s="204"/>
      <c r="AC3625" s="204"/>
    </row>
    <row r="3626" spans="1:29">
      <c r="A3626" s="204"/>
      <c r="B3626" s="204"/>
      <c r="C3626" s="204"/>
      <c r="D3626" s="204"/>
      <c r="E3626" s="204"/>
      <c r="F3626" s="204"/>
      <c r="G3626" s="204"/>
      <c r="H3626" s="204"/>
      <c r="I3626" s="204"/>
      <c r="J3626" s="204"/>
      <c r="K3626" s="204"/>
      <c r="L3626" s="205"/>
      <c r="M3626" s="205"/>
      <c r="N3626" s="204"/>
      <c r="O3626" s="204"/>
      <c r="P3626" s="206"/>
      <c r="Q3626" s="206"/>
      <c r="R3626" s="206"/>
      <c r="S3626" s="206"/>
      <c r="T3626" s="204"/>
      <c r="U3626" s="207"/>
      <c r="V3626" s="204"/>
      <c r="W3626" s="204"/>
      <c r="X3626" s="207"/>
      <c r="Y3626" s="207"/>
      <c r="Z3626" s="204"/>
      <c r="AA3626" s="204"/>
      <c r="AB3626" s="204"/>
      <c r="AC3626" s="204"/>
    </row>
    <row r="3627" spans="1:29">
      <c r="A3627" s="204"/>
      <c r="B3627" s="204"/>
      <c r="C3627" s="204"/>
      <c r="D3627" s="204"/>
      <c r="E3627" s="204"/>
      <c r="F3627" s="204"/>
      <c r="G3627" s="204"/>
      <c r="H3627" s="204"/>
      <c r="I3627" s="204"/>
      <c r="J3627" s="204"/>
      <c r="K3627" s="204"/>
      <c r="L3627" s="205"/>
      <c r="M3627" s="205"/>
      <c r="N3627" s="204"/>
      <c r="O3627" s="204"/>
      <c r="P3627" s="206"/>
      <c r="Q3627" s="206"/>
      <c r="R3627" s="206"/>
      <c r="S3627" s="206"/>
      <c r="T3627" s="204"/>
      <c r="U3627" s="207"/>
      <c r="V3627" s="204"/>
      <c r="W3627" s="204"/>
      <c r="X3627" s="207"/>
      <c r="Y3627" s="207"/>
      <c r="Z3627" s="204"/>
      <c r="AA3627" s="204"/>
      <c r="AB3627" s="204"/>
      <c r="AC3627" s="204"/>
    </row>
    <row r="3628" spans="1:29">
      <c r="A3628" s="204"/>
      <c r="B3628" s="204"/>
      <c r="C3628" s="204"/>
      <c r="D3628" s="204"/>
      <c r="E3628" s="204"/>
      <c r="F3628" s="204"/>
      <c r="G3628" s="204"/>
      <c r="H3628" s="204"/>
      <c r="I3628" s="204"/>
      <c r="J3628" s="204"/>
      <c r="K3628" s="204"/>
      <c r="L3628" s="205"/>
      <c r="M3628" s="205"/>
      <c r="N3628" s="204"/>
      <c r="O3628" s="204"/>
      <c r="P3628" s="206"/>
      <c r="Q3628" s="206"/>
      <c r="R3628" s="206"/>
      <c r="S3628" s="206"/>
      <c r="T3628" s="204"/>
      <c r="U3628" s="207"/>
      <c r="V3628" s="204"/>
      <c r="W3628" s="204"/>
      <c r="X3628" s="207"/>
      <c r="Y3628" s="207"/>
      <c r="Z3628" s="204"/>
      <c r="AA3628" s="204"/>
      <c r="AB3628" s="204"/>
      <c r="AC3628" s="204"/>
    </row>
    <row r="3629" spans="1:29">
      <c r="A3629" s="204"/>
      <c r="B3629" s="204"/>
      <c r="C3629" s="204"/>
      <c r="D3629" s="204"/>
      <c r="E3629" s="204"/>
      <c r="F3629" s="204"/>
      <c r="G3629" s="204"/>
      <c r="H3629" s="204"/>
      <c r="I3629" s="204"/>
      <c r="J3629" s="204"/>
      <c r="K3629" s="204"/>
      <c r="L3629" s="205"/>
      <c r="M3629" s="205"/>
      <c r="N3629" s="204"/>
      <c r="O3629" s="204"/>
      <c r="P3629" s="206"/>
      <c r="Q3629" s="206"/>
      <c r="R3629" s="206"/>
      <c r="S3629" s="206"/>
      <c r="T3629" s="204"/>
      <c r="U3629" s="207"/>
      <c r="V3629" s="204"/>
      <c r="W3629" s="204"/>
      <c r="X3629" s="207"/>
      <c r="Y3629" s="207"/>
      <c r="Z3629" s="204"/>
      <c r="AA3629" s="204"/>
      <c r="AB3629" s="204"/>
      <c r="AC3629" s="204"/>
    </row>
    <row r="3630" spans="1:29">
      <c r="A3630" s="204"/>
      <c r="B3630" s="204"/>
      <c r="C3630" s="204"/>
      <c r="D3630" s="204"/>
      <c r="E3630" s="204"/>
      <c r="F3630" s="204"/>
      <c r="G3630" s="204"/>
      <c r="H3630" s="204"/>
      <c r="I3630" s="204"/>
      <c r="J3630" s="204"/>
      <c r="K3630" s="204"/>
      <c r="L3630" s="205"/>
      <c r="M3630" s="205"/>
      <c r="N3630" s="204"/>
      <c r="O3630" s="204"/>
      <c r="P3630" s="206"/>
      <c r="Q3630" s="206"/>
      <c r="R3630" s="206"/>
      <c r="S3630" s="206"/>
      <c r="T3630" s="204"/>
      <c r="U3630" s="207"/>
      <c r="V3630" s="204"/>
      <c r="W3630" s="204"/>
      <c r="X3630" s="207"/>
      <c r="Y3630" s="207"/>
      <c r="Z3630" s="204"/>
      <c r="AA3630" s="204"/>
      <c r="AB3630" s="204"/>
      <c r="AC3630" s="204"/>
    </row>
    <row r="3631" spans="1:29">
      <c r="A3631" s="204"/>
      <c r="B3631" s="204"/>
      <c r="C3631" s="204"/>
      <c r="D3631" s="204"/>
      <c r="E3631" s="204"/>
      <c r="F3631" s="204"/>
      <c r="G3631" s="204"/>
      <c r="H3631" s="204"/>
      <c r="I3631" s="204"/>
      <c r="J3631" s="204"/>
      <c r="K3631" s="204"/>
      <c r="L3631" s="205"/>
      <c r="M3631" s="205"/>
      <c r="N3631" s="204"/>
      <c r="O3631" s="204"/>
      <c r="P3631" s="206"/>
      <c r="Q3631" s="206"/>
      <c r="R3631" s="206"/>
      <c r="S3631" s="206"/>
      <c r="T3631" s="204"/>
      <c r="U3631" s="207"/>
      <c r="V3631" s="204"/>
      <c r="W3631" s="204"/>
      <c r="X3631" s="207"/>
      <c r="Y3631" s="207"/>
      <c r="Z3631" s="204"/>
      <c r="AA3631" s="204"/>
      <c r="AB3631" s="204"/>
      <c r="AC3631" s="204"/>
    </row>
    <row r="3632" spans="1:29">
      <c r="A3632" s="204"/>
      <c r="B3632" s="204"/>
      <c r="C3632" s="204"/>
      <c r="D3632" s="204"/>
      <c r="E3632" s="204"/>
      <c r="F3632" s="204"/>
      <c r="G3632" s="204"/>
      <c r="H3632" s="204"/>
      <c r="I3632" s="204"/>
      <c r="J3632" s="204"/>
      <c r="K3632" s="204"/>
      <c r="L3632" s="205"/>
      <c r="M3632" s="205"/>
      <c r="N3632" s="204"/>
      <c r="O3632" s="204"/>
      <c r="P3632" s="206"/>
      <c r="Q3632" s="206"/>
      <c r="R3632" s="206"/>
      <c r="S3632" s="206"/>
      <c r="T3632" s="204"/>
      <c r="U3632" s="207"/>
      <c r="V3632" s="204"/>
      <c r="W3632" s="204"/>
      <c r="X3632" s="207"/>
      <c r="Y3632" s="207"/>
      <c r="Z3632" s="204"/>
      <c r="AA3632" s="204"/>
      <c r="AB3632" s="204"/>
      <c r="AC3632" s="204"/>
    </row>
    <row r="3633" spans="1:29">
      <c r="A3633" s="204"/>
      <c r="B3633" s="204"/>
      <c r="C3633" s="204"/>
      <c r="D3633" s="204"/>
      <c r="E3633" s="204"/>
      <c r="F3633" s="204"/>
      <c r="G3633" s="204"/>
      <c r="H3633" s="204"/>
      <c r="I3633" s="204"/>
      <c r="J3633" s="204"/>
      <c r="K3633" s="204"/>
      <c r="L3633" s="205"/>
      <c r="M3633" s="205"/>
      <c r="N3633" s="204"/>
      <c r="O3633" s="204"/>
      <c r="P3633" s="206"/>
      <c r="Q3633" s="206"/>
      <c r="R3633" s="206"/>
      <c r="S3633" s="206"/>
      <c r="T3633" s="204"/>
      <c r="U3633" s="207"/>
      <c r="V3633" s="204"/>
      <c r="W3633" s="204"/>
      <c r="X3633" s="207"/>
      <c r="Y3633" s="207"/>
      <c r="Z3633" s="204"/>
      <c r="AA3633" s="204"/>
      <c r="AB3633" s="204"/>
      <c r="AC3633" s="204"/>
    </row>
    <row r="3634" spans="1:29">
      <c r="A3634" s="204"/>
      <c r="B3634" s="204"/>
      <c r="C3634" s="204"/>
      <c r="D3634" s="204"/>
      <c r="E3634" s="204"/>
      <c r="F3634" s="204"/>
      <c r="G3634" s="204"/>
      <c r="H3634" s="204"/>
      <c r="I3634" s="204"/>
      <c r="J3634" s="204"/>
      <c r="K3634" s="204"/>
      <c r="L3634" s="205"/>
      <c r="M3634" s="205"/>
      <c r="N3634" s="204"/>
      <c r="O3634" s="204"/>
      <c r="P3634" s="206"/>
      <c r="Q3634" s="206"/>
      <c r="R3634" s="206"/>
      <c r="S3634" s="206"/>
      <c r="T3634" s="204"/>
      <c r="U3634" s="207"/>
      <c r="V3634" s="204"/>
      <c r="W3634" s="204"/>
      <c r="X3634" s="207"/>
      <c r="Y3634" s="207"/>
      <c r="Z3634" s="204"/>
      <c r="AA3634" s="204"/>
      <c r="AB3634" s="204"/>
      <c r="AC3634" s="204"/>
    </row>
    <row r="3635" spans="1:29">
      <c r="A3635" s="204"/>
      <c r="B3635" s="204"/>
      <c r="C3635" s="204"/>
      <c r="D3635" s="204"/>
      <c r="E3635" s="204"/>
      <c r="F3635" s="204"/>
      <c r="G3635" s="204"/>
      <c r="H3635" s="204"/>
      <c r="I3635" s="204"/>
      <c r="J3635" s="204"/>
      <c r="K3635" s="204"/>
      <c r="L3635" s="205"/>
      <c r="M3635" s="205"/>
      <c r="N3635" s="204"/>
      <c r="O3635" s="204"/>
      <c r="P3635" s="206"/>
      <c r="Q3635" s="206"/>
      <c r="R3635" s="206"/>
      <c r="S3635" s="206"/>
      <c r="T3635" s="204"/>
      <c r="U3635" s="207"/>
      <c r="V3635" s="204"/>
      <c r="W3635" s="204"/>
      <c r="X3635" s="207"/>
      <c r="Y3635" s="207"/>
      <c r="Z3635" s="204"/>
      <c r="AA3635" s="204"/>
      <c r="AB3635" s="204"/>
      <c r="AC3635" s="204"/>
    </row>
    <row r="3636" spans="1:29">
      <c r="A3636" s="204"/>
      <c r="B3636" s="204"/>
      <c r="C3636" s="204"/>
      <c r="D3636" s="204"/>
      <c r="E3636" s="204"/>
      <c r="F3636" s="204"/>
      <c r="G3636" s="204"/>
      <c r="H3636" s="204"/>
      <c r="I3636" s="204"/>
      <c r="J3636" s="204"/>
      <c r="K3636" s="204"/>
      <c r="L3636" s="205"/>
      <c r="M3636" s="205"/>
      <c r="N3636" s="204"/>
      <c r="O3636" s="204"/>
      <c r="P3636" s="206"/>
      <c r="Q3636" s="206"/>
      <c r="R3636" s="206"/>
      <c r="S3636" s="206"/>
      <c r="T3636" s="204"/>
      <c r="U3636" s="207"/>
      <c r="V3636" s="204"/>
      <c r="W3636" s="204"/>
      <c r="X3636" s="207"/>
      <c r="Y3636" s="207"/>
      <c r="Z3636" s="204"/>
      <c r="AA3636" s="204"/>
      <c r="AB3636" s="204"/>
      <c r="AC3636" s="204"/>
    </row>
    <row r="3637" spans="1:29">
      <c r="A3637" s="204"/>
      <c r="B3637" s="204"/>
      <c r="C3637" s="204"/>
      <c r="D3637" s="204"/>
      <c r="E3637" s="204"/>
      <c r="F3637" s="204"/>
      <c r="G3637" s="204"/>
      <c r="H3637" s="204"/>
      <c r="I3637" s="204"/>
      <c r="J3637" s="204"/>
      <c r="K3637" s="204"/>
      <c r="L3637" s="205"/>
      <c r="M3637" s="205"/>
      <c r="N3637" s="204"/>
      <c r="O3637" s="204"/>
      <c r="P3637" s="206"/>
      <c r="Q3637" s="206"/>
      <c r="R3637" s="206"/>
      <c r="S3637" s="206"/>
      <c r="T3637" s="204"/>
      <c r="U3637" s="207"/>
      <c r="V3637" s="204"/>
      <c r="W3637" s="204"/>
      <c r="X3637" s="207"/>
      <c r="Y3637" s="207"/>
      <c r="Z3637" s="204"/>
      <c r="AA3637" s="204"/>
      <c r="AB3637" s="204"/>
      <c r="AC3637" s="204"/>
    </row>
    <row r="3638" spans="1:29">
      <c r="A3638" s="204"/>
      <c r="B3638" s="204"/>
      <c r="C3638" s="204"/>
      <c r="D3638" s="204"/>
      <c r="E3638" s="204"/>
      <c r="F3638" s="204"/>
      <c r="G3638" s="204"/>
      <c r="H3638" s="204"/>
      <c r="I3638" s="204"/>
      <c r="J3638" s="204"/>
      <c r="K3638" s="204"/>
      <c r="L3638" s="205"/>
      <c r="M3638" s="205"/>
      <c r="N3638" s="204"/>
      <c r="O3638" s="204"/>
      <c r="P3638" s="206"/>
      <c r="Q3638" s="206"/>
      <c r="R3638" s="206"/>
      <c r="S3638" s="206"/>
      <c r="T3638" s="204"/>
      <c r="U3638" s="207"/>
      <c r="V3638" s="204"/>
      <c r="W3638" s="204"/>
      <c r="X3638" s="207"/>
      <c r="Y3638" s="207"/>
      <c r="Z3638" s="204"/>
      <c r="AA3638" s="204"/>
      <c r="AB3638" s="204"/>
      <c r="AC3638" s="204"/>
    </row>
    <row r="3639" spans="1:29">
      <c r="A3639" s="204"/>
      <c r="B3639" s="204"/>
      <c r="C3639" s="204"/>
      <c r="D3639" s="204"/>
      <c r="E3639" s="204"/>
      <c r="F3639" s="204"/>
      <c r="G3639" s="204"/>
      <c r="H3639" s="204"/>
      <c r="I3639" s="204"/>
      <c r="J3639" s="204"/>
      <c r="K3639" s="204"/>
      <c r="L3639" s="205"/>
      <c r="M3639" s="205"/>
      <c r="N3639" s="204"/>
      <c r="O3639" s="204"/>
      <c r="P3639" s="206"/>
      <c r="Q3639" s="206"/>
      <c r="R3639" s="206"/>
      <c r="S3639" s="206"/>
      <c r="T3639" s="204"/>
      <c r="U3639" s="207"/>
      <c r="V3639" s="204"/>
      <c r="W3639" s="204"/>
      <c r="X3639" s="207"/>
      <c r="Y3639" s="207"/>
      <c r="Z3639" s="204"/>
      <c r="AA3639" s="204"/>
      <c r="AB3639" s="204"/>
      <c r="AC3639" s="204"/>
    </row>
    <row r="3640" spans="1:29">
      <c r="A3640" s="204"/>
      <c r="B3640" s="204"/>
      <c r="C3640" s="204"/>
      <c r="D3640" s="204"/>
      <c r="E3640" s="204"/>
      <c r="F3640" s="204"/>
      <c r="G3640" s="204"/>
      <c r="H3640" s="204"/>
      <c r="I3640" s="204"/>
      <c r="J3640" s="204"/>
      <c r="K3640" s="204"/>
      <c r="L3640" s="205"/>
      <c r="M3640" s="205"/>
      <c r="N3640" s="204"/>
      <c r="O3640" s="204"/>
      <c r="P3640" s="206"/>
      <c r="Q3640" s="206"/>
      <c r="R3640" s="206"/>
      <c r="S3640" s="206"/>
      <c r="T3640" s="204"/>
      <c r="U3640" s="207"/>
      <c r="V3640" s="204"/>
      <c r="W3640" s="204"/>
      <c r="X3640" s="207"/>
      <c r="Y3640" s="207"/>
      <c r="Z3640" s="204"/>
      <c r="AA3640" s="204"/>
      <c r="AB3640" s="204"/>
      <c r="AC3640" s="204"/>
    </row>
    <row r="3641" spans="1:29">
      <c r="A3641" s="204"/>
      <c r="B3641" s="204"/>
      <c r="C3641" s="204"/>
      <c r="D3641" s="204"/>
      <c r="E3641" s="204"/>
      <c r="F3641" s="204"/>
      <c r="G3641" s="204"/>
      <c r="H3641" s="204"/>
      <c r="I3641" s="204"/>
      <c r="J3641" s="204"/>
      <c r="K3641" s="204"/>
      <c r="L3641" s="205"/>
      <c r="M3641" s="205"/>
      <c r="N3641" s="204"/>
      <c r="O3641" s="204"/>
      <c r="P3641" s="206"/>
      <c r="Q3641" s="206"/>
      <c r="R3641" s="206"/>
      <c r="S3641" s="206"/>
      <c r="T3641" s="204"/>
      <c r="U3641" s="207"/>
      <c r="V3641" s="204"/>
      <c r="W3641" s="204"/>
      <c r="X3641" s="207"/>
      <c r="Y3641" s="207"/>
      <c r="Z3641" s="204"/>
      <c r="AA3641" s="204"/>
      <c r="AB3641" s="204"/>
      <c r="AC3641" s="204"/>
    </row>
    <row r="3642" spans="1:29">
      <c r="A3642" s="204"/>
      <c r="B3642" s="204"/>
      <c r="C3642" s="204"/>
      <c r="D3642" s="204"/>
      <c r="E3642" s="204"/>
      <c r="F3642" s="204"/>
      <c r="G3642" s="204"/>
      <c r="H3642" s="204"/>
      <c r="I3642" s="204"/>
      <c r="J3642" s="204"/>
      <c r="K3642" s="204"/>
      <c r="L3642" s="205"/>
      <c r="M3642" s="205"/>
      <c r="N3642" s="204"/>
      <c r="O3642" s="204"/>
      <c r="P3642" s="206"/>
      <c r="Q3642" s="206"/>
      <c r="R3642" s="206"/>
      <c r="S3642" s="206"/>
      <c r="T3642" s="204"/>
      <c r="U3642" s="207"/>
      <c r="V3642" s="204"/>
      <c r="W3642" s="204"/>
      <c r="X3642" s="207"/>
      <c r="Y3642" s="207"/>
      <c r="Z3642" s="204"/>
      <c r="AA3642" s="204"/>
      <c r="AB3642" s="204"/>
      <c r="AC3642" s="204"/>
    </row>
    <row r="3643" spans="1:29">
      <c r="A3643" s="204"/>
      <c r="B3643" s="204"/>
      <c r="C3643" s="204"/>
      <c r="D3643" s="204"/>
      <c r="E3643" s="204"/>
      <c r="F3643" s="204"/>
      <c r="G3643" s="204"/>
      <c r="H3643" s="204"/>
      <c r="I3643" s="204"/>
      <c r="J3643" s="204"/>
      <c r="K3643" s="204"/>
      <c r="L3643" s="205"/>
      <c r="M3643" s="205"/>
      <c r="N3643" s="204"/>
      <c r="O3643" s="204"/>
      <c r="P3643" s="206"/>
      <c r="Q3643" s="206"/>
      <c r="R3643" s="206"/>
      <c r="S3643" s="206"/>
      <c r="T3643" s="204"/>
      <c r="U3643" s="207"/>
      <c r="V3643" s="204"/>
      <c r="W3643" s="204"/>
      <c r="X3643" s="207"/>
      <c r="Y3643" s="207"/>
      <c r="Z3643" s="204"/>
      <c r="AA3643" s="204"/>
      <c r="AB3643" s="204"/>
      <c r="AC3643" s="204"/>
    </row>
    <row r="3644" spans="1:29">
      <c r="A3644" s="204"/>
      <c r="B3644" s="204"/>
      <c r="C3644" s="204"/>
      <c r="D3644" s="204"/>
      <c r="E3644" s="204"/>
      <c r="F3644" s="204"/>
      <c r="G3644" s="204"/>
      <c r="H3644" s="204"/>
      <c r="I3644" s="204"/>
      <c r="J3644" s="204"/>
      <c r="K3644" s="204"/>
      <c r="L3644" s="205"/>
      <c r="M3644" s="205"/>
      <c r="N3644" s="204"/>
      <c r="O3644" s="204"/>
      <c r="P3644" s="206"/>
      <c r="Q3644" s="206"/>
      <c r="R3644" s="206"/>
      <c r="S3644" s="206"/>
      <c r="T3644" s="204"/>
      <c r="U3644" s="207"/>
      <c r="V3644" s="204"/>
      <c r="W3644" s="204"/>
      <c r="X3644" s="207"/>
      <c r="Y3644" s="207"/>
      <c r="Z3644" s="204"/>
      <c r="AA3644" s="204"/>
      <c r="AB3644" s="204"/>
      <c r="AC3644" s="204"/>
    </row>
    <row r="3645" spans="1:29">
      <c r="A3645" s="204"/>
      <c r="B3645" s="204"/>
      <c r="C3645" s="204"/>
      <c r="D3645" s="204"/>
      <c r="E3645" s="204"/>
      <c r="F3645" s="204"/>
      <c r="G3645" s="204"/>
      <c r="H3645" s="204"/>
      <c r="I3645" s="204"/>
      <c r="J3645" s="204"/>
      <c r="K3645" s="204"/>
      <c r="L3645" s="205"/>
      <c r="M3645" s="205"/>
      <c r="N3645" s="204"/>
      <c r="O3645" s="204"/>
      <c r="P3645" s="206"/>
      <c r="Q3645" s="206"/>
      <c r="R3645" s="206"/>
      <c r="S3645" s="206"/>
      <c r="T3645" s="204"/>
      <c r="U3645" s="207"/>
      <c r="V3645" s="204"/>
      <c r="W3645" s="204"/>
      <c r="X3645" s="207"/>
      <c r="Y3645" s="207"/>
      <c r="Z3645" s="204"/>
      <c r="AA3645" s="204"/>
      <c r="AB3645" s="204"/>
      <c r="AC3645" s="204"/>
    </row>
    <row r="3646" spans="1:29">
      <c r="A3646" s="204"/>
      <c r="B3646" s="204"/>
      <c r="C3646" s="204"/>
      <c r="D3646" s="204"/>
      <c r="E3646" s="204"/>
      <c r="F3646" s="204"/>
      <c r="G3646" s="204"/>
      <c r="H3646" s="204"/>
      <c r="I3646" s="204"/>
      <c r="J3646" s="204"/>
      <c r="K3646" s="204"/>
      <c r="L3646" s="205"/>
      <c r="M3646" s="205"/>
      <c r="N3646" s="204"/>
      <c r="O3646" s="204"/>
      <c r="P3646" s="206"/>
      <c r="Q3646" s="206"/>
      <c r="R3646" s="206"/>
      <c r="S3646" s="206"/>
      <c r="T3646" s="204"/>
      <c r="U3646" s="207"/>
      <c r="V3646" s="204"/>
      <c r="W3646" s="204"/>
      <c r="X3646" s="207"/>
      <c r="Y3646" s="207"/>
      <c r="Z3646" s="204"/>
      <c r="AA3646" s="204"/>
      <c r="AB3646" s="204"/>
      <c r="AC3646" s="204"/>
    </row>
    <row r="3647" spans="1:29">
      <c r="A3647" s="204"/>
      <c r="B3647" s="204"/>
      <c r="C3647" s="204"/>
      <c r="D3647" s="204"/>
      <c r="E3647" s="204"/>
      <c r="F3647" s="204"/>
      <c r="G3647" s="204"/>
      <c r="H3647" s="204"/>
      <c r="I3647" s="204"/>
      <c r="J3647" s="204"/>
      <c r="K3647" s="204"/>
      <c r="L3647" s="205"/>
      <c r="M3647" s="205"/>
      <c r="N3647" s="204"/>
      <c r="O3647" s="204"/>
      <c r="P3647" s="206"/>
      <c r="Q3647" s="206"/>
      <c r="R3647" s="206"/>
      <c r="S3647" s="206"/>
      <c r="T3647" s="204"/>
      <c r="U3647" s="207"/>
      <c r="V3647" s="204"/>
      <c r="W3647" s="204"/>
      <c r="X3647" s="207"/>
      <c r="Y3647" s="207"/>
      <c r="Z3647" s="204"/>
      <c r="AA3647" s="204"/>
      <c r="AB3647" s="204"/>
      <c r="AC3647" s="204"/>
    </row>
    <row r="3648" spans="1:29">
      <c r="A3648" s="204"/>
      <c r="B3648" s="204"/>
      <c r="C3648" s="204"/>
      <c r="D3648" s="204"/>
      <c r="E3648" s="204"/>
      <c r="F3648" s="204"/>
      <c r="G3648" s="204"/>
      <c r="H3648" s="204"/>
      <c r="I3648" s="204"/>
      <c r="J3648" s="204"/>
      <c r="K3648" s="204"/>
      <c r="L3648" s="205"/>
      <c r="M3648" s="205"/>
      <c r="N3648" s="204"/>
      <c r="O3648" s="204"/>
      <c r="P3648" s="206"/>
      <c r="Q3648" s="206"/>
      <c r="R3648" s="206"/>
      <c r="S3648" s="206"/>
      <c r="T3648" s="204"/>
      <c r="U3648" s="207"/>
      <c r="V3648" s="204"/>
      <c r="W3648" s="204"/>
      <c r="X3648" s="207"/>
      <c r="Y3648" s="207"/>
      <c r="Z3648" s="204"/>
      <c r="AA3648" s="204"/>
      <c r="AB3648" s="204"/>
      <c r="AC3648" s="204"/>
    </row>
    <row r="3649" spans="1:29">
      <c r="A3649" s="204"/>
      <c r="B3649" s="204"/>
      <c r="C3649" s="204"/>
      <c r="D3649" s="204"/>
      <c r="E3649" s="204"/>
      <c r="F3649" s="204"/>
      <c r="G3649" s="204"/>
      <c r="H3649" s="204"/>
      <c r="I3649" s="204"/>
      <c r="J3649" s="204"/>
      <c r="K3649" s="204"/>
      <c r="L3649" s="205"/>
      <c r="M3649" s="205"/>
      <c r="N3649" s="204"/>
      <c r="O3649" s="204"/>
      <c r="P3649" s="206"/>
      <c r="Q3649" s="206"/>
      <c r="R3649" s="206"/>
      <c r="S3649" s="206"/>
      <c r="T3649" s="204"/>
      <c r="U3649" s="207"/>
      <c r="V3649" s="204"/>
      <c r="W3649" s="204"/>
      <c r="X3649" s="207"/>
      <c r="Y3649" s="207"/>
      <c r="Z3649" s="204"/>
      <c r="AA3649" s="204"/>
      <c r="AB3649" s="204"/>
      <c r="AC3649" s="204"/>
    </row>
    <row r="3650" spans="1:29">
      <c r="A3650" s="204"/>
      <c r="B3650" s="204"/>
      <c r="C3650" s="204"/>
      <c r="D3650" s="204"/>
      <c r="E3650" s="204"/>
      <c r="F3650" s="204"/>
      <c r="G3650" s="204"/>
      <c r="H3650" s="204"/>
      <c r="I3650" s="204"/>
      <c r="J3650" s="204"/>
      <c r="K3650" s="204"/>
      <c r="L3650" s="205"/>
      <c r="M3650" s="205"/>
      <c r="N3650" s="204"/>
      <c r="O3650" s="204"/>
      <c r="P3650" s="206"/>
      <c r="Q3650" s="206"/>
      <c r="R3650" s="206"/>
      <c r="S3650" s="206"/>
      <c r="T3650" s="204"/>
      <c r="U3650" s="207"/>
      <c r="V3650" s="204"/>
      <c r="W3650" s="204"/>
      <c r="X3650" s="207"/>
      <c r="Y3650" s="207"/>
      <c r="Z3650" s="204"/>
      <c r="AA3650" s="204"/>
      <c r="AB3650" s="204"/>
      <c r="AC3650" s="204"/>
    </row>
    <row r="3651" spans="1:29">
      <c r="A3651" s="204"/>
      <c r="B3651" s="204"/>
      <c r="C3651" s="204"/>
      <c r="D3651" s="204"/>
      <c r="E3651" s="204"/>
      <c r="F3651" s="204"/>
      <c r="G3651" s="204"/>
      <c r="H3651" s="204"/>
      <c r="I3651" s="204"/>
      <c r="J3651" s="204"/>
      <c r="K3651" s="204"/>
      <c r="L3651" s="205"/>
      <c r="M3651" s="205"/>
      <c r="N3651" s="204"/>
      <c r="O3651" s="204"/>
      <c r="P3651" s="206"/>
      <c r="Q3651" s="206"/>
      <c r="R3651" s="206"/>
      <c r="S3651" s="206"/>
      <c r="T3651" s="204"/>
      <c r="U3651" s="207"/>
      <c r="V3651" s="204"/>
      <c r="W3651" s="204"/>
      <c r="X3651" s="207"/>
      <c r="Y3651" s="207"/>
      <c r="Z3651" s="204"/>
      <c r="AA3651" s="204"/>
      <c r="AB3651" s="204"/>
      <c r="AC3651" s="204"/>
    </row>
    <row r="3652" spans="1:29">
      <c r="A3652" s="204"/>
      <c r="B3652" s="204"/>
      <c r="C3652" s="204"/>
      <c r="D3652" s="204"/>
      <c r="E3652" s="204"/>
      <c r="F3652" s="204"/>
      <c r="G3652" s="204"/>
      <c r="H3652" s="204"/>
      <c r="I3652" s="204"/>
      <c r="J3652" s="204"/>
      <c r="K3652" s="204"/>
      <c r="L3652" s="205"/>
      <c r="M3652" s="205"/>
      <c r="N3652" s="204"/>
      <c r="O3652" s="204"/>
      <c r="P3652" s="206"/>
      <c r="Q3652" s="206"/>
      <c r="R3652" s="206"/>
      <c r="S3652" s="206"/>
      <c r="T3652" s="204"/>
      <c r="U3652" s="207"/>
      <c r="V3652" s="204"/>
      <c r="W3652" s="204"/>
      <c r="X3652" s="207"/>
      <c r="Y3652" s="207"/>
      <c r="Z3652" s="204"/>
      <c r="AA3652" s="204"/>
      <c r="AB3652" s="204"/>
      <c r="AC3652" s="204"/>
    </row>
    <row r="3653" spans="1:29">
      <c r="A3653" s="204"/>
      <c r="B3653" s="204"/>
      <c r="C3653" s="204"/>
      <c r="D3653" s="204"/>
      <c r="E3653" s="204"/>
      <c r="F3653" s="204"/>
      <c r="G3653" s="204"/>
      <c r="H3653" s="204"/>
      <c r="I3653" s="204"/>
      <c r="J3653" s="204"/>
      <c r="K3653" s="204"/>
      <c r="L3653" s="205"/>
      <c r="M3653" s="205"/>
      <c r="N3653" s="204"/>
      <c r="O3653" s="204"/>
      <c r="P3653" s="206"/>
      <c r="Q3653" s="206"/>
      <c r="R3653" s="206"/>
      <c r="S3653" s="206"/>
      <c r="T3653" s="204"/>
      <c r="U3653" s="207"/>
      <c r="V3653" s="204"/>
      <c r="W3653" s="204"/>
      <c r="X3653" s="207"/>
      <c r="Y3653" s="207"/>
      <c r="Z3653" s="204"/>
      <c r="AA3653" s="204"/>
      <c r="AB3653" s="204"/>
      <c r="AC3653" s="204"/>
    </row>
    <row r="3654" spans="1:29">
      <c r="A3654" s="204"/>
      <c r="B3654" s="204"/>
      <c r="C3654" s="204"/>
      <c r="D3654" s="204"/>
      <c r="E3654" s="204"/>
      <c r="F3654" s="204"/>
      <c r="G3654" s="204"/>
      <c r="H3654" s="204"/>
      <c r="I3654" s="204"/>
      <c r="J3654" s="204"/>
      <c r="K3654" s="204"/>
      <c r="L3654" s="205"/>
      <c r="M3654" s="205"/>
      <c r="N3654" s="204"/>
      <c r="O3654" s="204"/>
      <c r="P3654" s="206"/>
      <c r="Q3654" s="206"/>
      <c r="R3654" s="206"/>
      <c r="S3654" s="206"/>
      <c r="T3654" s="204"/>
      <c r="U3654" s="207"/>
      <c r="V3654" s="204"/>
      <c r="W3654" s="204"/>
      <c r="X3654" s="207"/>
      <c r="Y3654" s="207"/>
      <c r="Z3654" s="204"/>
      <c r="AA3654" s="204"/>
      <c r="AB3654" s="204"/>
      <c r="AC3654" s="204"/>
    </row>
    <row r="3655" spans="1:29">
      <c r="A3655" s="204"/>
      <c r="B3655" s="204"/>
      <c r="C3655" s="204"/>
      <c r="D3655" s="204"/>
      <c r="E3655" s="204"/>
      <c r="F3655" s="204"/>
      <c r="G3655" s="204"/>
      <c r="H3655" s="204"/>
      <c r="I3655" s="204"/>
      <c r="J3655" s="204"/>
      <c r="K3655" s="204"/>
      <c r="L3655" s="205"/>
      <c r="M3655" s="205"/>
      <c r="N3655" s="204"/>
      <c r="O3655" s="204"/>
      <c r="P3655" s="206"/>
      <c r="Q3655" s="206"/>
      <c r="R3655" s="206"/>
      <c r="S3655" s="206"/>
      <c r="T3655" s="204"/>
      <c r="U3655" s="207"/>
      <c r="V3655" s="204"/>
      <c r="W3655" s="204"/>
      <c r="X3655" s="207"/>
      <c r="Y3655" s="207"/>
      <c r="Z3655" s="204"/>
      <c r="AA3655" s="204"/>
      <c r="AB3655" s="204"/>
      <c r="AC3655" s="204"/>
    </row>
    <row r="3656" spans="1:29">
      <c r="A3656" s="204"/>
      <c r="B3656" s="204"/>
      <c r="C3656" s="204"/>
      <c r="D3656" s="204"/>
      <c r="E3656" s="204"/>
      <c r="F3656" s="204"/>
      <c r="G3656" s="204"/>
      <c r="H3656" s="204"/>
      <c r="I3656" s="204"/>
      <c r="J3656" s="204"/>
      <c r="K3656" s="204"/>
      <c r="L3656" s="205"/>
      <c r="M3656" s="205"/>
      <c r="N3656" s="204"/>
      <c r="O3656" s="204"/>
      <c r="P3656" s="206"/>
      <c r="Q3656" s="206"/>
      <c r="R3656" s="206"/>
      <c r="S3656" s="206"/>
      <c r="T3656" s="204"/>
      <c r="U3656" s="207"/>
      <c r="V3656" s="204"/>
      <c r="W3656" s="204"/>
      <c r="X3656" s="207"/>
      <c r="Y3656" s="207"/>
      <c r="Z3656" s="204"/>
      <c r="AA3656" s="204"/>
      <c r="AB3656" s="204"/>
      <c r="AC3656" s="204"/>
    </row>
    <row r="3657" spans="1:29">
      <c r="A3657" s="204"/>
      <c r="B3657" s="204"/>
      <c r="C3657" s="204"/>
      <c r="D3657" s="204"/>
      <c r="E3657" s="204"/>
      <c r="F3657" s="204"/>
      <c r="G3657" s="204"/>
      <c r="H3657" s="204"/>
      <c r="I3657" s="204"/>
      <c r="J3657" s="204"/>
      <c r="K3657" s="204"/>
      <c r="L3657" s="205"/>
      <c r="M3657" s="205"/>
      <c r="N3657" s="204"/>
      <c r="O3657" s="204"/>
      <c r="P3657" s="206"/>
      <c r="Q3657" s="206"/>
      <c r="R3657" s="206"/>
      <c r="S3657" s="206"/>
      <c r="T3657" s="204"/>
      <c r="U3657" s="207"/>
      <c r="V3657" s="204"/>
      <c r="W3657" s="204"/>
      <c r="X3657" s="207"/>
      <c r="Y3657" s="207"/>
      <c r="Z3657" s="204"/>
      <c r="AA3657" s="204"/>
      <c r="AB3657" s="204"/>
      <c r="AC3657" s="204"/>
    </row>
    <row r="3658" spans="1:29">
      <c r="A3658" s="204"/>
      <c r="B3658" s="204"/>
      <c r="C3658" s="204"/>
      <c r="D3658" s="204"/>
      <c r="E3658" s="204"/>
      <c r="F3658" s="204"/>
      <c r="G3658" s="204"/>
      <c r="H3658" s="204"/>
      <c r="I3658" s="204"/>
      <c r="J3658" s="204"/>
      <c r="K3658" s="204"/>
      <c r="L3658" s="205"/>
      <c r="M3658" s="205"/>
      <c r="N3658" s="204"/>
      <c r="O3658" s="204"/>
      <c r="P3658" s="206"/>
      <c r="Q3658" s="206"/>
      <c r="R3658" s="206"/>
      <c r="S3658" s="206"/>
      <c r="T3658" s="204"/>
      <c r="U3658" s="207"/>
      <c r="V3658" s="204"/>
      <c r="W3658" s="204"/>
      <c r="X3658" s="207"/>
      <c r="Y3658" s="207"/>
      <c r="Z3658" s="204"/>
      <c r="AA3658" s="204"/>
      <c r="AB3658" s="204"/>
      <c r="AC3658" s="204"/>
    </row>
    <row r="3659" spans="1:29">
      <c r="A3659" s="204"/>
      <c r="B3659" s="204"/>
      <c r="C3659" s="204"/>
      <c r="D3659" s="204"/>
      <c r="E3659" s="204"/>
      <c r="F3659" s="204"/>
      <c r="G3659" s="204"/>
      <c r="H3659" s="204"/>
      <c r="I3659" s="204"/>
      <c r="J3659" s="204"/>
      <c r="K3659" s="204"/>
      <c r="L3659" s="205"/>
      <c r="M3659" s="205"/>
      <c r="N3659" s="204"/>
      <c r="O3659" s="204"/>
      <c r="P3659" s="206"/>
      <c r="Q3659" s="206"/>
      <c r="R3659" s="206"/>
      <c r="S3659" s="206"/>
      <c r="T3659" s="204"/>
      <c r="U3659" s="207"/>
      <c r="V3659" s="204"/>
      <c r="W3659" s="204"/>
      <c r="X3659" s="207"/>
      <c r="Y3659" s="207"/>
      <c r="Z3659" s="204"/>
      <c r="AA3659" s="204"/>
      <c r="AB3659" s="204"/>
      <c r="AC3659" s="204"/>
    </row>
    <row r="3660" spans="1:29">
      <c r="A3660" s="204"/>
      <c r="B3660" s="204"/>
      <c r="C3660" s="204"/>
      <c r="D3660" s="204"/>
      <c r="E3660" s="204"/>
      <c r="F3660" s="204"/>
      <c r="G3660" s="204"/>
      <c r="H3660" s="204"/>
      <c r="I3660" s="204"/>
      <c r="J3660" s="204"/>
      <c r="K3660" s="204"/>
      <c r="L3660" s="205"/>
      <c r="M3660" s="205"/>
      <c r="N3660" s="204"/>
      <c r="O3660" s="204"/>
      <c r="P3660" s="206"/>
      <c r="Q3660" s="206"/>
      <c r="R3660" s="206"/>
      <c r="S3660" s="206"/>
      <c r="T3660" s="204"/>
      <c r="U3660" s="207"/>
      <c r="V3660" s="204"/>
      <c r="W3660" s="204"/>
      <c r="X3660" s="207"/>
      <c r="Y3660" s="207"/>
      <c r="Z3660" s="204"/>
      <c r="AA3660" s="204"/>
      <c r="AB3660" s="204"/>
      <c r="AC3660" s="204"/>
    </row>
    <row r="3661" spans="1:29">
      <c r="A3661" s="204"/>
      <c r="B3661" s="204"/>
      <c r="C3661" s="204"/>
      <c r="D3661" s="204"/>
      <c r="E3661" s="204"/>
      <c r="F3661" s="204"/>
      <c r="G3661" s="204"/>
      <c r="H3661" s="204"/>
      <c r="I3661" s="204"/>
      <c r="J3661" s="204"/>
      <c r="K3661" s="204"/>
      <c r="L3661" s="205"/>
      <c r="M3661" s="205"/>
      <c r="N3661" s="204"/>
      <c r="O3661" s="204"/>
      <c r="P3661" s="206"/>
      <c r="Q3661" s="206"/>
      <c r="R3661" s="206"/>
      <c r="S3661" s="206"/>
      <c r="T3661" s="204"/>
      <c r="U3661" s="207"/>
      <c r="V3661" s="204"/>
      <c r="W3661" s="204"/>
      <c r="X3661" s="207"/>
      <c r="Y3661" s="207"/>
      <c r="Z3661" s="204"/>
      <c r="AA3661" s="204"/>
      <c r="AB3661" s="204"/>
      <c r="AC3661" s="204"/>
    </row>
    <row r="3662" spans="1:29">
      <c r="A3662" s="204"/>
      <c r="B3662" s="204"/>
      <c r="C3662" s="204"/>
      <c r="D3662" s="204"/>
      <c r="E3662" s="204"/>
      <c r="F3662" s="204"/>
      <c r="G3662" s="204"/>
      <c r="H3662" s="204"/>
      <c r="I3662" s="204"/>
      <c r="J3662" s="204"/>
      <c r="K3662" s="204"/>
      <c r="L3662" s="205"/>
      <c r="M3662" s="205"/>
      <c r="N3662" s="204"/>
      <c r="O3662" s="204"/>
      <c r="P3662" s="206"/>
      <c r="Q3662" s="206"/>
      <c r="R3662" s="206"/>
      <c r="S3662" s="206"/>
      <c r="T3662" s="204"/>
      <c r="U3662" s="207"/>
      <c r="V3662" s="204"/>
      <c r="W3662" s="204"/>
      <c r="X3662" s="207"/>
      <c r="Y3662" s="207"/>
      <c r="Z3662" s="204"/>
      <c r="AA3662" s="204"/>
      <c r="AB3662" s="204"/>
      <c r="AC3662" s="204"/>
    </row>
    <row r="3663" spans="1:29">
      <c r="A3663" s="204"/>
      <c r="B3663" s="204"/>
      <c r="C3663" s="204"/>
      <c r="D3663" s="204"/>
      <c r="E3663" s="204"/>
      <c r="F3663" s="204"/>
      <c r="G3663" s="204"/>
      <c r="H3663" s="204"/>
      <c r="I3663" s="204"/>
      <c r="J3663" s="204"/>
      <c r="K3663" s="204"/>
      <c r="L3663" s="205"/>
      <c r="M3663" s="205"/>
      <c r="N3663" s="204"/>
      <c r="O3663" s="204"/>
      <c r="P3663" s="206"/>
      <c r="Q3663" s="206"/>
      <c r="R3663" s="206"/>
      <c r="S3663" s="206"/>
      <c r="T3663" s="204"/>
      <c r="U3663" s="207"/>
      <c r="V3663" s="204"/>
      <c r="W3663" s="204"/>
      <c r="X3663" s="207"/>
      <c r="Y3663" s="207"/>
      <c r="Z3663" s="204"/>
      <c r="AA3663" s="204"/>
      <c r="AB3663" s="204"/>
      <c r="AC3663" s="204"/>
    </row>
    <row r="3664" spans="1:29">
      <c r="A3664" s="204"/>
      <c r="B3664" s="204"/>
      <c r="C3664" s="204"/>
      <c r="D3664" s="204"/>
      <c r="E3664" s="204"/>
      <c r="F3664" s="204"/>
      <c r="G3664" s="204"/>
      <c r="H3664" s="204"/>
      <c r="I3664" s="204"/>
      <c r="J3664" s="204"/>
      <c r="K3664" s="204"/>
      <c r="L3664" s="205"/>
      <c r="M3664" s="205"/>
      <c r="N3664" s="204"/>
      <c r="O3664" s="204"/>
      <c r="P3664" s="206"/>
      <c r="Q3664" s="206"/>
      <c r="R3664" s="206"/>
      <c r="S3664" s="206"/>
      <c r="T3664" s="204"/>
      <c r="U3664" s="207"/>
      <c r="V3664" s="204"/>
      <c r="W3664" s="204"/>
      <c r="X3664" s="207"/>
      <c r="Y3664" s="207"/>
      <c r="Z3664" s="204"/>
      <c r="AA3664" s="204"/>
      <c r="AB3664" s="204"/>
      <c r="AC3664" s="204"/>
    </row>
    <row r="3665" spans="1:29">
      <c r="A3665" s="204"/>
      <c r="B3665" s="204"/>
      <c r="C3665" s="204"/>
      <c r="D3665" s="204"/>
      <c r="E3665" s="204"/>
      <c r="F3665" s="204"/>
      <c r="G3665" s="204"/>
      <c r="H3665" s="204"/>
      <c r="I3665" s="204"/>
      <c r="J3665" s="204"/>
      <c r="K3665" s="204"/>
      <c r="L3665" s="205"/>
      <c r="M3665" s="205"/>
      <c r="N3665" s="204"/>
      <c r="O3665" s="204"/>
      <c r="P3665" s="206"/>
      <c r="Q3665" s="206"/>
      <c r="R3665" s="206"/>
      <c r="S3665" s="206"/>
      <c r="T3665" s="204"/>
      <c r="U3665" s="207"/>
      <c r="V3665" s="204"/>
      <c r="W3665" s="204"/>
      <c r="X3665" s="207"/>
      <c r="Y3665" s="207"/>
      <c r="Z3665" s="204"/>
      <c r="AA3665" s="204"/>
      <c r="AB3665" s="204"/>
      <c r="AC3665" s="204"/>
    </row>
    <row r="3666" spans="1:29">
      <c r="A3666" s="204"/>
      <c r="B3666" s="204"/>
      <c r="C3666" s="204"/>
      <c r="D3666" s="204"/>
      <c r="E3666" s="204"/>
      <c r="F3666" s="204"/>
      <c r="G3666" s="204"/>
      <c r="H3666" s="204"/>
      <c r="I3666" s="204"/>
      <c r="J3666" s="204"/>
      <c r="K3666" s="204"/>
      <c r="L3666" s="205"/>
      <c r="M3666" s="205"/>
      <c r="N3666" s="204"/>
      <c r="O3666" s="204"/>
      <c r="P3666" s="206"/>
      <c r="Q3666" s="206"/>
      <c r="R3666" s="206"/>
      <c r="S3666" s="206"/>
      <c r="T3666" s="204"/>
      <c r="U3666" s="207"/>
      <c r="V3666" s="204"/>
      <c r="W3666" s="204"/>
      <c r="X3666" s="207"/>
      <c r="Y3666" s="207"/>
      <c r="Z3666" s="204"/>
      <c r="AA3666" s="204"/>
      <c r="AB3666" s="204"/>
      <c r="AC3666" s="204"/>
    </row>
    <row r="3667" spans="1:29">
      <c r="A3667" s="204"/>
      <c r="B3667" s="204"/>
      <c r="C3667" s="204"/>
      <c r="D3667" s="204"/>
      <c r="E3667" s="204"/>
      <c r="F3667" s="204"/>
      <c r="G3667" s="204"/>
      <c r="H3667" s="204"/>
      <c r="I3667" s="204"/>
      <c r="J3667" s="204"/>
      <c r="K3667" s="204"/>
      <c r="L3667" s="205"/>
      <c r="M3667" s="205"/>
      <c r="N3667" s="204"/>
      <c r="O3667" s="204"/>
      <c r="P3667" s="206"/>
      <c r="Q3667" s="206"/>
      <c r="R3667" s="206"/>
      <c r="S3667" s="206"/>
      <c r="T3667" s="204"/>
      <c r="U3667" s="207"/>
      <c r="V3667" s="204"/>
      <c r="W3667" s="204"/>
      <c r="X3667" s="207"/>
      <c r="Y3667" s="207"/>
      <c r="Z3667" s="204"/>
      <c r="AA3667" s="204"/>
      <c r="AB3667" s="204"/>
      <c r="AC3667" s="204"/>
    </row>
    <row r="3668" spans="1:29">
      <c r="A3668" s="204"/>
      <c r="B3668" s="204"/>
      <c r="C3668" s="204"/>
      <c r="D3668" s="204"/>
      <c r="E3668" s="204"/>
      <c r="F3668" s="204"/>
      <c r="G3668" s="204"/>
      <c r="H3668" s="204"/>
      <c r="I3668" s="204"/>
      <c r="J3668" s="204"/>
      <c r="K3668" s="204"/>
      <c r="L3668" s="205"/>
      <c r="M3668" s="205"/>
      <c r="N3668" s="204"/>
      <c r="O3668" s="204"/>
      <c r="P3668" s="206"/>
      <c r="Q3668" s="206"/>
      <c r="R3668" s="206"/>
      <c r="S3668" s="206"/>
      <c r="T3668" s="204"/>
      <c r="U3668" s="207"/>
      <c r="V3668" s="204"/>
      <c r="W3668" s="204"/>
      <c r="X3668" s="207"/>
      <c r="Y3668" s="207"/>
      <c r="Z3668" s="204"/>
      <c r="AA3668" s="204"/>
      <c r="AB3668" s="204"/>
      <c r="AC3668" s="204"/>
    </row>
    <row r="3669" spans="1:29">
      <c r="A3669" s="204"/>
      <c r="B3669" s="204"/>
      <c r="C3669" s="204"/>
      <c r="D3669" s="204"/>
      <c r="E3669" s="204"/>
      <c r="F3669" s="204"/>
      <c r="G3669" s="204"/>
      <c r="H3669" s="204"/>
      <c r="I3669" s="204"/>
      <c r="J3669" s="204"/>
      <c r="K3669" s="204"/>
      <c r="L3669" s="205"/>
      <c r="M3669" s="205"/>
      <c r="N3669" s="204"/>
      <c r="O3669" s="204"/>
      <c r="P3669" s="206"/>
      <c r="Q3669" s="206"/>
      <c r="R3669" s="206"/>
      <c r="S3669" s="206"/>
      <c r="T3669" s="204"/>
      <c r="U3669" s="207"/>
      <c r="V3669" s="204"/>
      <c r="W3669" s="204"/>
      <c r="X3669" s="207"/>
      <c r="Y3669" s="207"/>
      <c r="Z3669" s="204"/>
      <c r="AA3669" s="204"/>
      <c r="AB3669" s="204"/>
      <c r="AC3669" s="204"/>
    </row>
    <row r="3670" spans="1:29">
      <c r="A3670" s="204"/>
      <c r="B3670" s="204"/>
      <c r="C3670" s="204"/>
      <c r="D3670" s="204"/>
      <c r="E3670" s="204"/>
      <c r="F3670" s="204"/>
      <c r="G3670" s="204"/>
      <c r="H3670" s="204"/>
      <c r="I3670" s="204"/>
      <c r="J3670" s="204"/>
      <c r="K3670" s="204"/>
      <c r="L3670" s="205"/>
      <c r="M3670" s="205"/>
      <c r="N3670" s="204"/>
      <c r="O3670" s="204"/>
      <c r="P3670" s="206"/>
      <c r="Q3670" s="206"/>
      <c r="R3670" s="206"/>
      <c r="S3670" s="206"/>
      <c r="T3670" s="204"/>
      <c r="U3670" s="207"/>
      <c r="V3670" s="204"/>
      <c r="W3670" s="204"/>
      <c r="X3670" s="207"/>
      <c r="Y3670" s="207"/>
      <c r="Z3670" s="204"/>
      <c r="AA3670" s="204"/>
      <c r="AB3670" s="204"/>
      <c r="AC3670" s="204"/>
    </row>
    <row r="3671" spans="1:29">
      <c r="A3671" s="204"/>
      <c r="B3671" s="204"/>
      <c r="C3671" s="204"/>
      <c r="D3671" s="204"/>
      <c r="E3671" s="204"/>
      <c r="F3671" s="204"/>
      <c r="G3671" s="204"/>
      <c r="H3671" s="204"/>
      <c r="I3671" s="204"/>
      <c r="J3671" s="204"/>
      <c r="K3671" s="204"/>
      <c r="L3671" s="205"/>
      <c r="M3671" s="205"/>
      <c r="N3671" s="204"/>
      <c r="O3671" s="204"/>
      <c r="P3671" s="206"/>
      <c r="Q3671" s="206"/>
      <c r="R3671" s="206"/>
      <c r="S3671" s="206"/>
      <c r="T3671" s="204"/>
      <c r="U3671" s="207"/>
      <c r="V3671" s="204"/>
      <c r="W3671" s="204"/>
      <c r="X3671" s="207"/>
      <c r="Y3671" s="207"/>
      <c r="Z3671" s="204"/>
      <c r="AA3671" s="204"/>
      <c r="AB3671" s="204"/>
      <c r="AC3671" s="204"/>
    </row>
    <row r="3672" spans="1:29">
      <c r="A3672" s="204"/>
      <c r="B3672" s="204"/>
      <c r="C3672" s="204"/>
      <c r="D3672" s="204"/>
      <c r="E3672" s="204"/>
      <c r="F3672" s="204"/>
      <c r="G3672" s="204"/>
      <c r="H3672" s="204"/>
      <c r="I3672" s="204"/>
      <c r="J3672" s="204"/>
      <c r="K3672" s="204"/>
      <c r="L3672" s="205"/>
      <c r="M3672" s="205"/>
      <c r="N3672" s="204"/>
      <c r="O3672" s="204"/>
      <c r="P3672" s="206"/>
      <c r="Q3672" s="206"/>
      <c r="R3672" s="206"/>
      <c r="S3672" s="206"/>
      <c r="T3672" s="204"/>
      <c r="U3672" s="207"/>
      <c r="V3672" s="204"/>
      <c r="W3672" s="204"/>
      <c r="X3672" s="207"/>
      <c r="Y3672" s="207"/>
      <c r="Z3672" s="204"/>
      <c r="AA3672" s="204"/>
      <c r="AB3672" s="204"/>
      <c r="AC3672" s="204"/>
    </row>
    <row r="3673" spans="1:29">
      <c r="A3673" s="204"/>
      <c r="B3673" s="204"/>
      <c r="C3673" s="204"/>
      <c r="D3673" s="204"/>
      <c r="E3673" s="204"/>
      <c r="F3673" s="204"/>
      <c r="G3673" s="204"/>
      <c r="H3673" s="204"/>
      <c r="I3673" s="204"/>
      <c r="J3673" s="204"/>
      <c r="K3673" s="204"/>
      <c r="L3673" s="205"/>
      <c r="M3673" s="205"/>
      <c r="N3673" s="204"/>
      <c r="O3673" s="204"/>
      <c r="P3673" s="206"/>
      <c r="Q3673" s="206"/>
      <c r="R3673" s="206"/>
      <c r="S3673" s="206"/>
      <c r="T3673" s="204"/>
      <c r="U3673" s="207"/>
      <c r="V3673" s="204"/>
      <c r="W3673" s="204"/>
      <c r="X3673" s="207"/>
      <c r="Y3673" s="207"/>
      <c r="Z3673" s="204"/>
      <c r="AA3673" s="204"/>
      <c r="AB3673" s="204"/>
      <c r="AC3673" s="204"/>
    </row>
    <row r="3674" spans="1:29">
      <c r="A3674" s="204"/>
      <c r="B3674" s="204"/>
      <c r="C3674" s="204"/>
      <c r="D3674" s="204"/>
      <c r="E3674" s="204"/>
      <c r="F3674" s="204"/>
      <c r="G3674" s="204"/>
      <c r="H3674" s="204"/>
      <c r="I3674" s="204"/>
      <c r="J3674" s="204"/>
      <c r="K3674" s="204"/>
      <c r="L3674" s="205"/>
      <c r="M3674" s="205"/>
      <c r="N3674" s="204"/>
      <c r="O3674" s="204"/>
      <c r="P3674" s="206"/>
      <c r="Q3674" s="206"/>
      <c r="R3674" s="206"/>
      <c r="S3674" s="206"/>
      <c r="T3674" s="204"/>
      <c r="U3674" s="207"/>
      <c r="V3674" s="204"/>
      <c r="W3674" s="204"/>
      <c r="X3674" s="207"/>
      <c r="Y3674" s="207"/>
      <c r="Z3674" s="204"/>
      <c r="AA3674" s="204"/>
      <c r="AB3674" s="204"/>
      <c r="AC3674" s="204"/>
    </row>
    <row r="3675" spans="1:29">
      <c r="A3675" s="204"/>
      <c r="B3675" s="204"/>
      <c r="C3675" s="204"/>
      <c r="D3675" s="204"/>
      <c r="E3675" s="204"/>
      <c r="F3675" s="204"/>
      <c r="G3675" s="204"/>
      <c r="H3675" s="204"/>
      <c r="I3675" s="204"/>
      <c r="J3675" s="204"/>
      <c r="K3675" s="204"/>
      <c r="L3675" s="205"/>
      <c r="M3675" s="205"/>
      <c r="N3675" s="204"/>
      <c r="O3675" s="204"/>
      <c r="P3675" s="206"/>
      <c r="Q3675" s="206"/>
      <c r="R3675" s="206"/>
      <c r="S3675" s="206"/>
      <c r="T3675" s="204"/>
      <c r="U3675" s="207"/>
      <c r="V3675" s="204"/>
      <c r="W3675" s="204"/>
      <c r="X3675" s="207"/>
      <c r="Y3675" s="207"/>
      <c r="Z3675" s="204"/>
      <c r="AA3675" s="204"/>
      <c r="AB3675" s="204"/>
      <c r="AC3675" s="204"/>
    </row>
    <row r="3676" spans="1:29">
      <c r="A3676" s="204"/>
      <c r="B3676" s="204"/>
      <c r="C3676" s="204"/>
      <c r="D3676" s="204"/>
      <c r="E3676" s="204"/>
      <c r="F3676" s="204"/>
      <c r="G3676" s="204"/>
      <c r="H3676" s="204"/>
      <c r="I3676" s="204"/>
      <c r="J3676" s="204"/>
      <c r="K3676" s="204"/>
      <c r="L3676" s="205"/>
      <c r="M3676" s="205"/>
      <c r="N3676" s="204"/>
      <c r="O3676" s="204"/>
      <c r="P3676" s="206"/>
      <c r="Q3676" s="206"/>
      <c r="R3676" s="206"/>
      <c r="S3676" s="206"/>
      <c r="T3676" s="204"/>
      <c r="U3676" s="207"/>
      <c r="V3676" s="204"/>
      <c r="W3676" s="204"/>
      <c r="X3676" s="207"/>
      <c r="Y3676" s="207"/>
      <c r="Z3676" s="204"/>
      <c r="AA3676" s="204"/>
      <c r="AB3676" s="204"/>
      <c r="AC3676" s="204"/>
    </row>
    <row r="3677" spans="1:29">
      <c r="A3677" s="204"/>
      <c r="B3677" s="204"/>
      <c r="C3677" s="204"/>
      <c r="D3677" s="204"/>
      <c r="E3677" s="204"/>
      <c r="F3677" s="204"/>
      <c r="G3677" s="204"/>
      <c r="H3677" s="204"/>
      <c r="I3677" s="204"/>
      <c r="J3677" s="204"/>
      <c r="K3677" s="204"/>
      <c r="L3677" s="205"/>
      <c r="M3677" s="205"/>
      <c r="N3677" s="204"/>
      <c r="O3677" s="204"/>
      <c r="P3677" s="206"/>
      <c r="Q3677" s="206"/>
      <c r="R3677" s="206"/>
      <c r="S3677" s="206"/>
      <c r="T3677" s="204"/>
      <c r="U3677" s="207"/>
      <c r="V3677" s="204"/>
      <c r="W3677" s="204"/>
      <c r="X3677" s="207"/>
      <c r="Y3677" s="207"/>
      <c r="Z3677" s="204"/>
      <c r="AA3677" s="204"/>
      <c r="AB3677" s="204"/>
      <c r="AC3677" s="204"/>
    </row>
    <row r="3678" spans="1:29">
      <c r="A3678" s="204"/>
      <c r="B3678" s="204"/>
      <c r="C3678" s="204"/>
      <c r="D3678" s="204"/>
      <c r="E3678" s="204"/>
      <c r="F3678" s="204"/>
      <c r="G3678" s="204"/>
      <c r="H3678" s="204"/>
      <c r="I3678" s="204"/>
      <c r="J3678" s="204"/>
      <c r="K3678" s="204"/>
      <c r="L3678" s="205"/>
      <c r="M3678" s="205"/>
      <c r="N3678" s="204"/>
      <c r="O3678" s="204"/>
      <c r="P3678" s="206"/>
      <c r="Q3678" s="206"/>
      <c r="R3678" s="206"/>
      <c r="S3678" s="206"/>
      <c r="T3678" s="204"/>
      <c r="U3678" s="207"/>
      <c r="V3678" s="204"/>
      <c r="W3678" s="204"/>
      <c r="X3678" s="207"/>
      <c r="Y3678" s="207"/>
      <c r="Z3678" s="204"/>
      <c r="AA3678" s="204"/>
      <c r="AB3678" s="204"/>
      <c r="AC3678" s="204"/>
    </row>
    <row r="3679" spans="1:29">
      <c r="A3679" s="204"/>
      <c r="B3679" s="204"/>
      <c r="C3679" s="204"/>
      <c r="D3679" s="204"/>
      <c r="E3679" s="204"/>
      <c r="F3679" s="204"/>
      <c r="G3679" s="204"/>
      <c r="H3679" s="204"/>
      <c r="I3679" s="204"/>
      <c r="J3679" s="204"/>
      <c r="K3679" s="204"/>
      <c r="L3679" s="205"/>
      <c r="M3679" s="205"/>
      <c r="N3679" s="204"/>
      <c r="O3679" s="204"/>
      <c r="P3679" s="206"/>
      <c r="Q3679" s="206"/>
      <c r="R3679" s="206"/>
      <c r="S3679" s="206"/>
      <c r="T3679" s="204"/>
      <c r="U3679" s="207"/>
      <c r="V3679" s="204"/>
      <c r="W3679" s="204"/>
      <c r="X3679" s="207"/>
      <c r="Y3679" s="207"/>
      <c r="Z3679" s="204"/>
      <c r="AA3679" s="204"/>
      <c r="AB3679" s="204"/>
      <c r="AC3679" s="204"/>
    </row>
    <row r="3680" spans="1:29">
      <c r="A3680" s="204"/>
      <c r="B3680" s="204"/>
      <c r="C3680" s="204"/>
      <c r="D3680" s="204"/>
      <c r="E3680" s="204"/>
      <c r="F3680" s="204"/>
      <c r="G3680" s="204"/>
      <c r="H3680" s="204"/>
      <c r="I3680" s="204"/>
      <c r="J3680" s="204"/>
      <c r="K3680" s="204"/>
      <c r="L3680" s="205"/>
      <c r="M3680" s="205"/>
      <c r="N3680" s="204"/>
      <c r="O3680" s="204"/>
      <c r="P3680" s="206"/>
      <c r="Q3680" s="206"/>
      <c r="R3680" s="206"/>
      <c r="S3680" s="206"/>
      <c r="T3680" s="204"/>
      <c r="U3680" s="207"/>
      <c r="V3680" s="204"/>
      <c r="W3680" s="204"/>
      <c r="X3680" s="207"/>
      <c r="Y3680" s="207"/>
      <c r="Z3680" s="204"/>
      <c r="AA3680" s="204"/>
      <c r="AB3680" s="204"/>
      <c r="AC3680" s="204"/>
    </row>
    <row r="3681" spans="1:29">
      <c r="A3681" s="204"/>
      <c r="B3681" s="204"/>
      <c r="C3681" s="204"/>
      <c r="D3681" s="204"/>
      <c r="E3681" s="204"/>
      <c r="F3681" s="204"/>
      <c r="G3681" s="204"/>
      <c r="H3681" s="204"/>
      <c r="I3681" s="204"/>
      <c r="J3681" s="204"/>
      <c r="K3681" s="204"/>
      <c r="L3681" s="205"/>
      <c r="M3681" s="205"/>
      <c r="N3681" s="204"/>
      <c r="O3681" s="204"/>
      <c r="P3681" s="206"/>
      <c r="Q3681" s="206"/>
      <c r="R3681" s="206"/>
      <c r="S3681" s="206"/>
      <c r="T3681" s="204"/>
      <c r="U3681" s="207"/>
      <c r="V3681" s="204"/>
      <c r="W3681" s="204"/>
      <c r="X3681" s="207"/>
      <c r="Y3681" s="207"/>
      <c r="Z3681" s="204"/>
      <c r="AA3681" s="204"/>
      <c r="AB3681" s="204"/>
      <c r="AC3681" s="204"/>
    </row>
    <row r="3682" spans="1:29">
      <c r="A3682" s="204"/>
      <c r="B3682" s="204"/>
      <c r="C3682" s="204"/>
      <c r="D3682" s="204"/>
      <c r="E3682" s="204"/>
      <c r="F3682" s="204"/>
      <c r="G3682" s="204"/>
      <c r="H3682" s="204"/>
      <c r="I3682" s="204"/>
      <c r="J3682" s="204"/>
      <c r="K3682" s="204"/>
      <c r="L3682" s="205"/>
      <c r="M3682" s="205"/>
      <c r="N3682" s="204"/>
      <c r="O3682" s="204"/>
      <c r="P3682" s="206"/>
      <c r="Q3682" s="206"/>
      <c r="R3682" s="206"/>
      <c r="S3682" s="206"/>
      <c r="T3682" s="204"/>
      <c r="U3682" s="207"/>
      <c r="V3682" s="204"/>
      <c r="W3682" s="204"/>
      <c r="X3682" s="207"/>
      <c r="Y3682" s="207"/>
      <c r="Z3682" s="204"/>
      <c r="AA3682" s="204"/>
      <c r="AB3682" s="204"/>
      <c r="AC3682" s="204"/>
    </row>
    <row r="3683" spans="1:29">
      <c r="A3683" s="204"/>
      <c r="B3683" s="204"/>
      <c r="C3683" s="204"/>
      <c r="D3683" s="204"/>
      <c r="E3683" s="204"/>
      <c r="F3683" s="204"/>
      <c r="G3683" s="204"/>
      <c r="H3683" s="204"/>
      <c r="I3683" s="204"/>
      <c r="J3683" s="204"/>
      <c r="K3683" s="204"/>
      <c r="L3683" s="205"/>
      <c r="M3683" s="205"/>
      <c r="N3683" s="204"/>
      <c r="O3683" s="204"/>
      <c r="P3683" s="206"/>
      <c r="Q3683" s="206"/>
      <c r="R3683" s="206"/>
      <c r="S3683" s="206"/>
      <c r="T3683" s="204"/>
      <c r="U3683" s="207"/>
      <c r="V3683" s="204"/>
      <c r="W3683" s="204"/>
      <c r="X3683" s="207"/>
      <c r="Y3683" s="207"/>
      <c r="Z3683" s="204"/>
      <c r="AA3683" s="204"/>
      <c r="AB3683" s="204"/>
      <c r="AC3683" s="204"/>
    </row>
    <row r="3684" spans="1:29">
      <c r="A3684" s="204"/>
      <c r="B3684" s="204"/>
      <c r="C3684" s="204"/>
      <c r="D3684" s="204"/>
      <c r="E3684" s="204"/>
      <c r="F3684" s="204"/>
      <c r="G3684" s="204"/>
      <c r="H3684" s="204"/>
      <c r="I3684" s="204"/>
      <c r="J3684" s="204"/>
      <c r="K3684" s="204"/>
      <c r="L3684" s="205"/>
      <c r="M3684" s="205"/>
      <c r="N3684" s="204"/>
      <c r="O3684" s="204"/>
      <c r="P3684" s="206"/>
      <c r="Q3684" s="206"/>
      <c r="R3684" s="206"/>
      <c r="S3684" s="206"/>
      <c r="T3684" s="204"/>
      <c r="U3684" s="207"/>
      <c r="V3684" s="204"/>
      <c r="W3684" s="204"/>
      <c r="X3684" s="207"/>
      <c r="Y3684" s="207"/>
      <c r="Z3684" s="204"/>
      <c r="AA3684" s="204"/>
      <c r="AB3684" s="204"/>
      <c r="AC3684" s="204"/>
    </row>
    <row r="3685" spans="1:29">
      <c r="A3685" s="204"/>
      <c r="B3685" s="204"/>
      <c r="C3685" s="204"/>
      <c r="D3685" s="204"/>
      <c r="E3685" s="204"/>
      <c r="F3685" s="204"/>
      <c r="G3685" s="204"/>
      <c r="H3685" s="204"/>
      <c r="I3685" s="204"/>
      <c r="J3685" s="204"/>
      <c r="K3685" s="204"/>
      <c r="L3685" s="205"/>
      <c r="M3685" s="205"/>
      <c r="N3685" s="204"/>
      <c r="O3685" s="204"/>
      <c r="P3685" s="206"/>
      <c r="Q3685" s="206"/>
      <c r="R3685" s="206"/>
      <c r="S3685" s="206"/>
      <c r="T3685" s="204"/>
      <c r="U3685" s="207"/>
      <c r="V3685" s="204"/>
      <c r="W3685" s="204"/>
      <c r="X3685" s="207"/>
      <c r="Y3685" s="207"/>
      <c r="Z3685" s="204"/>
      <c r="AA3685" s="204"/>
      <c r="AB3685" s="204"/>
      <c r="AC3685" s="204"/>
    </row>
    <row r="3686" spans="1:29">
      <c r="A3686" s="204"/>
      <c r="B3686" s="204"/>
      <c r="C3686" s="204"/>
      <c r="D3686" s="204"/>
      <c r="E3686" s="204"/>
      <c r="F3686" s="204"/>
      <c r="G3686" s="204"/>
      <c r="H3686" s="204"/>
      <c r="I3686" s="204"/>
      <c r="J3686" s="204"/>
      <c r="K3686" s="204"/>
      <c r="L3686" s="205"/>
      <c r="M3686" s="205"/>
      <c r="N3686" s="204"/>
      <c r="O3686" s="204"/>
      <c r="P3686" s="206"/>
      <c r="Q3686" s="206"/>
      <c r="R3686" s="206"/>
      <c r="S3686" s="206"/>
      <c r="T3686" s="204"/>
      <c r="U3686" s="207"/>
      <c r="V3686" s="204"/>
      <c r="W3686" s="204"/>
      <c r="X3686" s="207"/>
      <c r="Y3686" s="207"/>
      <c r="Z3686" s="204"/>
      <c r="AA3686" s="204"/>
      <c r="AB3686" s="204"/>
      <c r="AC3686" s="204"/>
    </row>
    <row r="3687" spans="1:29">
      <c r="A3687" s="204"/>
      <c r="B3687" s="204"/>
      <c r="C3687" s="204"/>
      <c r="D3687" s="204"/>
      <c r="E3687" s="204"/>
      <c r="F3687" s="204"/>
      <c r="G3687" s="204"/>
      <c r="H3687" s="204"/>
      <c r="I3687" s="204"/>
      <c r="J3687" s="204"/>
      <c r="K3687" s="204"/>
      <c r="L3687" s="205"/>
      <c r="M3687" s="205"/>
      <c r="N3687" s="204"/>
      <c r="O3687" s="204"/>
      <c r="P3687" s="206"/>
      <c r="Q3687" s="206"/>
      <c r="R3687" s="206"/>
      <c r="S3687" s="206"/>
      <c r="T3687" s="204"/>
      <c r="U3687" s="207"/>
      <c r="V3687" s="204"/>
      <c r="W3687" s="204"/>
      <c r="X3687" s="207"/>
      <c r="Y3687" s="207"/>
      <c r="Z3687" s="204"/>
      <c r="AA3687" s="204"/>
      <c r="AB3687" s="204"/>
      <c r="AC3687" s="204"/>
    </row>
    <row r="3688" spans="1:29">
      <c r="A3688" s="204"/>
      <c r="B3688" s="204"/>
      <c r="C3688" s="204"/>
      <c r="D3688" s="204"/>
      <c r="E3688" s="204"/>
      <c r="F3688" s="204"/>
      <c r="G3688" s="204"/>
      <c r="H3688" s="204"/>
      <c r="I3688" s="204"/>
      <c r="J3688" s="204"/>
      <c r="K3688" s="204"/>
      <c r="L3688" s="205"/>
      <c r="M3688" s="205"/>
      <c r="N3688" s="204"/>
      <c r="O3688" s="204"/>
      <c r="P3688" s="206"/>
      <c r="Q3688" s="206"/>
      <c r="R3688" s="206"/>
      <c r="S3688" s="206"/>
      <c r="T3688" s="204"/>
      <c r="U3688" s="207"/>
      <c r="V3688" s="204"/>
      <c r="W3688" s="204"/>
      <c r="X3688" s="207"/>
      <c r="Y3688" s="207"/>
      <c r="Z3688" s="204"/>
      <c r="AA3688" s="204"/>
      <c r="AB3688" s="204"/>
      <c r="AC3688" s="204"/>
    </row>
    <row r="3689" spans="1:29">
      <c r="A3689" s="204"/>
      <c r="B3689" s="204"/>
      <c r="C3689" s="204"/>
      <c r="D3689" s="204"/>
      <c r="E3689" s="204"/>
      <c r="F3689" s="204"/>
      <c r="G3689" s="204"/>
      <c r="H3689" s="204"/>
      <c r="I3689" s="204"/>
      <c r="J3689" s="204"/>
      <c r="K3689" s="204"/>
      <c r="L3689" s="205"/>
      <c r="M3689" s="205"/>
      <c r="N3689" s="204"/>
      <c r="O3689" s="204"/>
      <c r="P3689" s="206"/>
      <c r="Q3689" s="206"/>
      <c r="R3689" s="206"/>
      <c r="S3689" s="206"/>
      <c r="T3689" s="204"/>
      <c r="U3689" s="207"/>
      <c r="V3689" s="204"/>
      <c r="W3689" s="204"/>
      <c r="X3689" s="207"/>
      <c r="Y3689" s="207"/>
      <c r="Z3689" s="204"/>
      <c r="AA3689" s="204"/>
      <c r="AB3689" s="204"/>
      <c r="AC3689" s="204"/>
    </row>
    <row r="3690" spans="1:29">
      <c r="A3690" s="204"/>
      <c r="B3690" s="204"/>
      <c r="C3690" s="204"/>
      <c r="D3690" s="204"/>
      <c r="E3690" s="204"/>
      <c r="F3690" s="204"/>
      <c r="G3690" s="204"/>
      <c r="H3690" s="204"/>
      <c r="I3690" s="204"/>
      <c r="J3690" s="204"/>
      <c r="K3690" s="204"/>
      <c r="L3690" s="205"/>
      <c r="M3690" s="205"/>
      <c r="N3690" s="204"/>
      <c r="O3690" s="204"/>
      <c r="P3690" s="206"/>
      <c r="Q3690" s="206"/>
      <c r="R3690" s="206"/>
      <c r="S3690" s="206"/>
      <c r="T3690" s="204"/>
      <c r="U3690" s="207"/>
      <c r="V3690" s="204"/>
      <c r="W3690" s="204"/>
      <c r="X3690" s="207"/>
      <c r="Y3690" s="207"/>
      <c r="Z3690" s="204"/>
      <c r="AA3690" s="204"/>
      <c r="AB3690" s="204"/>
      <c r="AC3690" s="204"/>
    </row>
    <row r="3691" spans="1:29">
      <c r="A3691" s="204"/>
      <c r="B3691" s="204"/>
      <c r="C3691" s="204"/>
      <c r="D3691" s="204"/>
      <c r="E3691" s="204"/>
      <c r="F3691" s="204"/>
      <c r="G3691" s="204"/>
      <c r="H3691" s="204"/>
      <c r="I3691" s="204"/>
      <c r="J3691" s="204"/>
      <c r="K3691" s="204"/>
      <c r="L3691" s="205"/>
      <c r="M3691" s="205"/>
      <c r="N3691" s="204"/>
      <c r="O3691" s="204"/>
      <c r="P3691" s="206"/>
      <c r="Q3691" s="206"/>
      <c r="R3691" s="206"/>
      <c r="S3691" s="206"/>
      <c r="T3691" s="204"/>
      <c r="U3691" s="207"/>
      <c r="V3691" s="204"/>
      <c r="W3691" s="204"/>
      <c r="X3691" s="207"/>
      <c r="Y3691" s="207"/>
      <c r="Z3691" s="204"/>
      <c r="AA3691" s="204"/>
      <c r="AB3691" s="204"/>
      <c r="AC3691" s="204"/>
    </row>
    <row r="3692" spans="1:29">
      <c r="A3692" s="204"/>
      <c r="B3692" s="204"/>
      <c r="C3692" s="204"/>
      <c r="D3692" s="204"/>
      <c r="E3692" s="204"/>
      <c r="F3692" s="204"/>
      <c r="G3692" s="204"/>
      <c r="H3692" s="204"/>
      <c r="I3692" s="204"/>
      <c r="J3692" s="204"/>
      <c r="K3692" s="204"/>
      <c r="L3692" s="205"/>
      <c r="M3692" s="205"/>
      <c r="N3692" s="204"/>
      <c r="O3692" s="204"/>
      <c r="P3692" s="206"/>
      <c r="Q3692" s="206"/>
      <c r="R3692" s="206"/>
      <c r="S3692" s="206"/>
      <c r="T3692" s="204"/>
      <c r="U3692" s="207"/>
      <c r="V3692" s="204"/>
      <c r="W3692" s="204"/>
      <c r="X3692" s="207"/>
      <c r="Y3692" s="207"/>
      <c r="Z3692" s="204"/>
      <c r="AA3692" s="204"/>
      <c r="AB3692" s="204"/>
      <c r="AC3692" s="204"/>
    </row>
    <row r="3693" spans="1:29">
      <c r="A3693" s="204"/>
      <c r="B3693" s="204"/>
      <c r="C3693" s="204"/>
      <c r="D3693" s="204"/>
      <c r="E3693" s="204"/>
      <c r="F3693" s="204"/>
      <c r="G3693" s="204"/>
      <c r="H3693" s="204"/>
      <c r="I3693" s="204"/>
      <c r="J3693" s="204"/>
      <c r="K3693" s="204"/>
      <c r="L3693" s="205"/>
      <c r="M3693" s="205"/>
      <c r="N3693" s="204"/>
      <c r="O3693" s="204"/>
      <c r="P3693" s="206"/>
      <c r="Q3693" s="206"/>
      <c r="R3693" s="206"/>
      <c r="S3693" s="206"/>
      <c r="T3693" s="204"/>
      <c r="U3693" s="207"/>
      <c r="V3693" s="204"/>
      <c r="W3693" s="204"/>
      <c r="X3693" s="207"/>
      <c r="Y3693" s="207"/>
      <c r="Z3693" s="204"/>
      <c r="AA3693" s="204"/>
      <c r="AB3693" s="204"/>
      <c r="AC3693" s="204"/>
    </row>
    <row r="3694" spans="1:29">
      <c r="A3694" s="204"/>
      <c r="B3694" s="204"/>
      <c r="C3694" s="204"/>
      <c r="D3694" s="204"/>
      <c r="E3694" s="204"/>
      <c r="F3694" s="204"/>
      <c r="G3694" s="204"/>
      <c r="H3694" s="204"/>
      <c r="I3694" s="204"/>
      <c r="J3694" s="204"/>
      <c r="K3694" s="204"/>
      <c r="L3694" s="205"/>
      <c r="M3694" s="205"/>
      <c r="N3694" s="204"/>
      <c r="O3694" s="204"/>
      <c r="P3694" s="206"/>
      <c r="Q3694" s="206"/>
      <c r="R3694" s="206"/>
      <c r="S3694" s="206"/>
      <c r="T3694" s="204"/>
      <c r="U3694" s="207"/>
      <c r="V3694" s="204"/>
      <c r="W3694" s="204"/>
      <c r="X3694" s="207"/>
      <c r="Y3694" s="207"/>
      <c r="Z3694" s="204"/>
      <c r="AA3694" s="204"/>
      <c r="AB3694" s="204"/>
      <c r="AC3694" s="204"/>
    </row>
    <row r="3695" spans="1:29">
      <c r="A3695" s="204"/>
      <c r="B3695" s="204"/>
      <c r="C3695" s="204"/>
      <c r="D3695" s="204"/>
      <c r="E3695" s="204"/>
      <c r="F3695" s="204"/>
      <c r="G3695" s="204"/>
      <c r="H3695" s="204"/>
      <c r="I3695" s="204"/>
      <c r="J3695" s="204"/>
      <c r="K3695" s="204"/>
      <c r="L3695" s="205"/>
      <c r="M3695" s="205"/>
      <c r="N3695" s="204"/>
      <c r="O3695" s="204"/>
      <c r="P3695" s="206"/>
      <c r="Q3695" s="206"/>
      <c r="R3695" s="206"/>
      <c r="S3695" s="206"/>
      <c r="T3695" s="204"/>
      <c r="U3695" s="207"/>
      <c r="V3695" s="204"/>
      <c r="W3695" s="204"/>
      <c r="X3695" s="207"/>
      <c r="Y3695" s="207"/>
      <c r="Z3695" s="204"/>
      <c r="AA3695" s="204"/>
      <c r="AB3695" s="204"/>
      <c r="AC3695" s="204"/>
    </row>
    <row r="3696" spans="1:29">
      <c r="A3696" s="204"/>
      <c r="B3696" s="204"/>
      <c r="C3696" s="204"/>
      <c r="D3696" s="204"/>
      <c r="E3696" s="204"/>
      <c r="F3696" s="204"/>
      <c r="G3696" s="204"/>
      <c r="H3696" s="204"/>
      <c r="I3696" s="204"/>
      <c r="J3696" s="204"/>
      <c r="K3696" s="204"/>
      <c r="L3696" s="205"/>
      <c r="M3696" s="205"/>
      <c r="N3696" s="204"/>
      <c r="O3696" s="204"/>
      <c r="P3696" s="206"/>
      <c r="Q3696" s="206"/>
      <c r="R3696" s="206"/>
      <c r="S3696" s="206"/>
      <c r="T3696" s="204"/>
      <c r="U3696" s="207"/>
      <c r="V3696" s="204"/>
      <c r="W3696" s="204"/>
      <c r="X3696" s="207"/>
      <c r="Y3696" s="207"/>
      <c r="Z3696" s="204"/>
      <c r="AA3696" s="204"/>
      <c r="AB3696" s="204"/>
      <c r="AC3696" s="204"/>
    </row>
    <row r="3697" spans="1:29">
      <c r="A3697" s="204"/>
      <c r="B3697" s="204"/>
      <c r="C3697" s="204"/>
      <c r="D3697" s="204"/>
      <c r="E3697" s="204"/>
      <c r="F3697" s="204"/>
      <c r="G3697" s="204"/>
      <c r="H3697" s="204"/>
      <c r="I3697" s="204"/>
      <c r="J3697" s="204"/>
      <c r="K3697" s="204"/>
      <c r="L3697" s="205"/>
      <c r="M3697" s="205"/>
      <c r="N3697" s="204"/>
      <c r="O3697" s="204"/>
      <c r="P3697" s="206"/>
      <c r="Q3697" s="206"/>
      <c r="R3697" s="206"/>
      <c r="S3697" s="206"/>
      <c r="T3697" s="204"/>
      <c r="U3697" s="207"/>
      <c r="V3697" s="204"/>
      <c r="W3697" s="204"/>
      <c r="X3697" s="207"/>
      <c r="Y3697" s="207"/>
      <c r="Z3697" s="204"/>
      <c r="AA3697" s="204"/>
      <c r="AB3697" s="204"/>
      <c r="AC3697" s="204"/>
    </row>
    <row r="3698" spans="1:29">
      <c r="A3698" s="204"/>
      <c r="B3698" s="204"/>
      <c r="C3698" s="204"/>
      <c r="D3698" s="204"/>
      <c r="E3698" s="204"/>
      <c r="F3698" s="204"/>
      <c r="G3698" s="204"/>
      <c r="H3698" s="204"/>
      <c r="I3698" s="204"/>
      <c r="J3698" s="204"/>
      <c r="K3698" s="204"/>
      <c r="L3698" s="205"/>
      <c r="M3698" s="205"/>
      <c r="N3698" s="204"/>
      <c r="O3698" s="204"/>
      <c r="P3698" s="206"/>
      <c r="Q3698" s="206"/>
      <c r="R3698" s="206"/>
      <c r="S3698" s="206"/>
      <c r="T3698" s="204"/>
      <c r="U3698" s="207"/>
      <c r="V3698" s="204"/>
      <c r="W3698" s="204"/>
      <c r="X3698" s="207"/>
      <c r="Y3698" s="207"/>
      <c r="Z3698" s="204"/>
      <c r="AA3698" s="204"/>
      <c r="AB3698" s="204"/>
      <c r="AC3698" s="204"/>
    </row>
    <row r="3699" spans="1:29">
      <c r="A3699" s="204"/>
      <c r="B3699" s="204"/>
      <c r="C3699" s="204"/>
      <c r="D3699" s="204"/>
      <c r="E3699" s="204"/>
      <c r="F3699" s="204"/>
      <c r="G3699" s="204"/>
      <c r="H3699" s="204"/>
      <c r="I3699" s="204"/>
      <c r="J3699" s="204"/>
      <c r="K3699" s="204"/>
      <c r="L3699" s="205"/>
      <c r="M3699" s="205"/>
      <c r="N3699" s="204"/>
      <c r="O3699" s="204"/>
      <c r="P3699" s="206"/>
      <c r="Q3699" s="206"/>
      <c r="R3699" s="206"/>
      <c r="S3699" s="206"/>
      <c r="T3699" s="204"/>
      <c r="U3699" s="207"/>
      <c r="V3699" s="204"/>
      <c r="W3699" s="204"/>
      <c r="X3699" s="207"/>
      <c r="Y3699" s="207"/>
      <c r="Z3699" s="204"/>
      <c r="AA3699" s="204"/>
      <c r="AB3699" s="204"/>
      <c r="AC3699" s="204"/>
    </row>
    <row r="3700" spans="1:29">
      <c r="A3700" s="204"/>
      <c r="B3700" s="204"/>
      <c r="C3700" s="204"/>
      <c r="D3700" s="204"/>
      <c r="E3700" s="204"/>
      <c r="F3700" s="204"/>
      <c r="G3700" s="204"/>
      <c r="H3700" s="204"/>
      <c r="I3700" s="204"/>
      <c r="J3700" s="204"/>
      <c r="K3700" s="204"/>
      <c r="L3700" s="205"/>
      <c r="M3700" s="205"/>
      <c r="N3700" s="204"/>
      <c r="O3700" s="204"/>
      <c r="P3700" s="206"/>
      <c r="Q3700" s="206"/>
      <c r="R3700" s="206"/>
      <c r="S3700" s="206"/>
      <c r="T3700" s="204"/>
      <c r="U3700" s="207"/>
      <c r="V3700" s="204"/>
      <c r="W3700" s="204"/>
      <c r="X3700" s="207"/>
      <c r="Y3700" s="207"/>
      <c r="Z3700" s="204"/>
      <c r="AA3700" s="204"/>
      <c r="AB3700" s="204"/>
      <c r="AC3700" s="204"/>
    </row>
    <row r="3701" spans="1:29">
      <c r="A3701" s="204"/>
      <c r="B3701" s="204"/>
      <c r="C3701" s="204"/>
      <c r="D3701" s="204"/>
      <c r="E3701" s="204"/>
      <c r="F3701" s="204"/>
      <c r="G3701" s="204"/>
      <c r="H3701" s="204"/>
      <c r="I3701" s="204"/>
      <c r="J3701" s="204"/>
      <c r="K3701" s="204"/>
      <c r="L3701" s="205"/>
      <c r="M3701" s="205"/>
      <c r="N3701" s="204"/>
      <c r="O3701" s="204"/>
      <c r="P3701" s="206"/>
      <c r="Q3701" s="206"/>
      <c r="R3701" s="206"/>
      <c r="S3701" s="206"/>
      <c r="T3701" s="204"/>
      <c r="U3701" s="207"/>
      <c r="V3701" s="204"/>
      <c r="W3701" s="204"/>
      <c r="X3701" s="207"/>
      <c r="Y3701" s="207"/>
      <c r="Z3701" s="204"/>
      <c r="AA3701" s="204"/>
      <c r="AB3701" s="204"/>
      <c r="AC3701" s="204"/>
    </row>
    <row r="3702" spans="1:29">
      <c r="A3702" s="204"/>
      <c r="B3702" s="204"/>
      <c r="C3702" s="204"/>
      <c r="D3702" s="204"/>
      <c r="E3702" s="204"/>
      <c r="F3702" s="204"/>
      <c r="G3702" s="204"/>
      <c r="H3702" s="204"/>
      <c r="I3702" s="204"/>
      <c r="J3702" s="204"/>
      <c r="K3702" s="204"/>
      <c r="L3702" s="205"/>
      <c r="M3702" s="205"/>
      <c r="N3702" s="204"/>
      <c r="O3702" s="204"/>
      <c r="P3702" s="206"/>
      <c r="Q3702" s="206"/>
      <c r="R3702" s="206"/>
      <c r="S3702" s="206"/>
      <c r="T3702" s="204"/>
      <c r="U3702" s="207"/>
      <c r="V3702" s="204"/>
      <c r="W3702" s="204"/>
      <c r="X3702" s="207"/>
      <c r="Y3702" s="207"/>
      <c r="Z3702" s="204"/>
      <c r="AA3702" s="204"/>
      <c r="AB3702" s="204"/>
      <c r="AC3702" s="204"/>
    </row>
    <row r="3703" spans="1:29">
      <c r="A3703" s="204"/>
      <c r="B3703" s="204"/>
      <c r="C3703" s="204"/>
      <c r="D3703" s="204"/>
      <c r="E3703" s="204"/>
      <c r="F3703" s="204"/>
      <c r="G3703" s="204"/>
      <c r="H3703" s="204"/>
      <c r="I3703" s="204"/>
      <c r="J3703" s="204"/>
      <c r="K3703" s="204"/>
      <c r="L3703" s="205"/>
      <c r="M3703" s="205"/>
      <c r="N3703" s="204"/>
      <c r="O3703" s="204"/>
      <c r="P3703" s="206"/>
      <c r="Q3703" s="206"/>
      <c r="R3703" s="206"/>
      <c r="S3703" s="206"/>
      <c r="T3703" s="204"/>
      <c r="U3703" s="207"/>
      <c r="V3703" s="204"/>
      <c r="W3703" s="204"/>
      <c r="X3703" s="207"/>
      <c r="Y3703" s="207"/>
      <c r="Z3703" s="204"/>
      <c r="AA3703" s="204"/>
      <c r="AB3703" s="204"/>
      <c r="AC3703" s="204"/>
    </row>
    <row r="3704" spans="1:29">
      <c r="A3704" s="204"/>
      <c r="B3704" s="204"/>
      <c r="C3704" s="204"/>
      <c r="D3704" s="204"/>
      <c r="E3704" s="204"/>
      <c r="F3704" s="204"/>
      <c r="G3704" s="204"/>
      <c r="H3704" s="204"/>
      <c r="I3704" s="204"/>
      <c r="J3704" s="204"/>
      <c r="K3704" s="204"/>
      <c r="L3704" s="205"/>
      <c r="M3704" s="205"/>
      <c r="N3704" s="204"/>
      <c r="O3704" s="204"/>
      <c r="P3704" s="206"/>
      <c r="Q3704" s="206"/>
      <c r="R3704" s="206"/>
      <c r="S3704" s="206"/>
      <c r="T3704" s="204"/>
      <c r="U3704" s="207"/>
      <c r="V3704" s="204"/>
      <c r="W3704" s="204"/>
      <c r="X3704" s="207"/>
      <c r="Y3704" s="207"/>
      <c r="Z3704" s="204"/>
      <c r="AA3704" s="204"/>
      <c r="AB3704" s="204"/>
      <c r="AC3704" s="204"/>
    </row>
    <row r="3705" spans="1:29">
      <c r="A3705" s="204"/>
      <c r="B3705" s="204"/>
      <c r="C3705" s="204"/>
      <c r="D3705" s="204"/>
      <c r="E3705" s="204"/>
      <c r="F3705" s="204"/>
      <c r="G3705" s="204"/>
      <c r="H3705" s="204"/>
      <c r="I3705" s="204"/>
      <c r="J3705" s="204"/>
      <c r="K3705" s="204"/>
      <c r="L3705" s="205"/>
      <c r="M3705" s="205"/>
      <c r="N3705" s="204"/>
      <c r="O3705" s="204"/>
      <c r="P3705" s="206"/>
      <c r="Q3705" s="206"/>
      <c r="R3705" s="206"/>
      <c r="S3705" s="206"/>
      <c r="T3705" s="204"/>
      <c r="U3705" s="207"/>
      <c r="V3705" s="204"/>
      <c r="W3705" s="204"/>
      <c r="X3705" s="207"/>
      <c r="Y3705" s="207"/>
      <c r="Z3705" s="204"/>
      <c r="AA3705" s="204"/>
      <c r="AB3705" s="204"/>
      <c r="AC3705" s="204"/>
    </row>
    <row r="3706" spans="1:29">
      <c r="A3706" s="204"/>
      <c r="B3706" s="204"/>
      <c r="C3706" s="204"/>
      <c r="D3706" s="204"/>
      <c r="E3706" s="204"/>
      <c r="F3706" s="204"/>
      <c r="G3706" s="204"/>
      <c r="H3706" s="204"/>
      <c r="I3706" s="204"/>
      <c r="J3706" s="204"/>
      <c r="K3706" s="204"/>
      <c r="L3706" s="205"/>
      <c r="M3706" s="205"/>
      <c r="N3706" s="204"/>
      <c r="O3706" s="204"/>
      <c r="P3706" s="206"/>
      <c r="Q3706" s="206"/>
      <c r="R3706" s="206"/>
      <c r="S3706" s="206"/>
      <c r="T3706" s="204"/>
      <c r="U3706" s="207"/>
      <c r="V3706" s="204"/>
      <c r="W3706" s="204"/>
      <c r="X3706" s="207"/>
      <c r="Y3706" s="207"/>
      <c r="Z3706" s="204"/>
      <c r="AA3706" s="204"/>
      <c r="AB3706" s="204"/>
      <c r="AC3706" s="204"/>
    </row>
    <row r="3707" spans="1:29">
      <c r="A3707" s="204"/>
      <c r="B3707" s="204"/>
      <c r="C3707" s="204"/>
      <c r="D3707" s="204"/>
      <c r="E3707" s="204"/>
      <c r="F3707" s="204"/>
      <c r="G3707" s="204"/>
      <c r="H3707" s="204"/>
      <c r="I3707" s="204"/>
      <c r="J3707" s="204"/>
      <c r="K3707" s="204"/>
      <c r="L3707" s="205"/>
      <c r="M3707" s="205"/>
      <c r="N3707" s="204"/>
      <c r="O3707" s="204"/>
      <c r="P3707" s="206"/>
      <c r="Q3707" s="206"/>
      <c r="R3707" s="206"/>
      <c r="S3707" s="206"/>
      <c r="T3707" s="204"/>
      <c r="U3707" s="207"/>
      <c r="V3707" s="204"/>
      <c r="W3707" s="204"/>
      <c r="X3707" s="207"/>
      <c r="Y3707" s="207"/>
      <c r="Z3707" s="204"/>
      <c r="AA3707" s="204"/>
      <c r="AB3707" s="204"/>
      <c r="AC3707" s="204"/>
    </row>
    <row r="3708" spans="1:29">
      <c r="A3708" s="204"/>
      <c r="B3708" s="204"/>
      <c r="C3708" s="204"/>
      <c r="D3708" s="204"/>
      <c r="E3708" s="204"/>
      <c r="F3708" s="204"/>
      <c r="G3708" s="204"/>
      <c r="H3708" s="204"/>
      <c r="I3708" s="204"/>
      <c r="J3708" s="204"/>
      <c r="K3708" s="204"/>
      <c r="L3708" s="205"/>
      <c r="M3708" s="205"/>
      <c r="N3708" s="204"/>
      <c r="O3708" s="204"/>
      <c r="P3708" s="206"/>
      <c r="Q3708" s="206"/>
      <c r="R3708" s="206"/>
      <c r="S3708" s="206"/>
      <c r="T3708" s="204"/>
      <c r="U3708" s="207"/>
      <c r="V3708" s="204"/>
      <c r="W3708" s="204"/>
      <c r="X3708" s="207"/>
      <c r="Y3708" s="207"/>
      <c r="Z3708" s="204"/>
      <c r="AA3708" s="204"/>
      <c r="AB3708" s="204"/>
      <c r="AC3708" s="204"/>
    </row>
    <row r="3709" spans="1:29">
      <c r="A3709" s="204"/>
      <c r="B3709" s="204"/>
      <c r="C3709" s="204"/>
      <c r="D3709" s="204"/>
      <c r="E3709" s="204"/>
      <c r="F3709" s="204"/>
      <c r="G3709" s="204"/>
      <c r="H3709" s="204"/>
      <c r="I3709" s="204"/>
      <c r="J3709" s="204"/>
      <c r="K3709" s="204"/>
      <c r="L3709" s="205"/>
      <c r="M3709" s="205"/>
      <c r="N3709" s="204"/>
      <c r="O3709" s="204"/>
      <c r="P3709" s="206"/>
      <c r="Q3709" s="206"/>
      <c r="R3709" s="206"/>
      <c r="S3709" s="206"/>
      <c r="T3709" s="204"/>
      <c r="U3709" s="207"/>
      <c r="V3709" s="204"/>
      <c r="W3709" s="204"/>
      <c r="X3709" s="207"/>
      <c r="Y3709" s="207"/>
      <c r="Z3709" s="204"/>
      <c r="AA3709" s="204"/>
      <c r="AB3709" s="204"/>
      <c r="AC3709" s="204"/>
    </row>
    <row r="3710" spans="1:29">
      <c r="A3710" s="204"/>
      <c r="B3710" s="204"/>
      <c r="C3710" s="204"/>
      <c r="D3710" s="204"/>
      <c r="E3710" s="204"/>
      <c r="F3710" s="204"/>
      <c r="G3710" s="204"/>
      <c r="H3710" s="204"/>
      <c r="I3710" s="204"/>
      <c r="J3710" s="204"/>
      <c r="K3710" s="204"/>
      <c r="L3710" s="205"/>
      <c r="M3710" s="205"/>
      <c r="N3710" s="204"/>
      <c r="O3710" s="204"/>
      <c r="P3710" s="206"/>
      <c r="Q3710" s="206"/>
      <c r="R3710" s="206"/>
      <c r="S3710" s="206"/>
      <c r="T3710" s="204"/>
      <c r="U3710" s="207"/>
      <c r="V3710" s="204"/>
      <c r="W3710" s="204"/>
      <c r="X3710" s="207"/>
      <c r="Y3710" s="207"/>
      <c r="Z3710" s="204"/>
      <c r="AA3710" s="204"/>
      <c r="AB3710" s="204"/>
      <c r="AC3710" s="204"/>
    </row>
    <row r="3711" spans="1:29">
      <c r="A3711" s="204"/>
      <c r="B3711" s="204"/>
      <c r="C3711" s="204"/>
      <c r="D3711" s="204"/>
      <c r="E3711" s="204"/>
      <c r="F3711" s="204"/>
      <c r="G3711" s="204"/>
      <c r="H3711" s="204"/>
      <c r="I3711" s="204"/>
      <c r="J3711" s="204"/>
      <c r="K3711" s="204"/>
      <c r="L3711" s="205"/>
      <c r="M3711" s="205"/>
      <c r="N3711" s="204"/>
      <c r="O3711" s="204"/>
      <c r="P3711" s="206"/>
      <c r="Q3711" s="206"/>
      <c r="R3711" s="206"/>
      <c r="S3711" s="206"/>
      <c r="T3711" s="204"/>
      <c r="U3711" s="207"/>
      <c r="V3711" s="204"/>
      <c r="W3711" s="204"/>
      <c r="X3711" s="207"/>
      <c r="Y3711" s="207"/>
      <c r="Z3711" s="204"/>
      <c r="AA3711" s="204"/>
      <c r="AB3711" s="204"/>
      <c r="AC3711" s="204"/>
    </row>
    <row r="3712" spans="1:29">
      <c r="A3712" s="204"/>
      <c r="B3712" s="204"/>
      <c r="C3712" s="204"/>
      <c r="D3712" s="204"/>
      <c r="E3712" s="204"/>
      <c r="F3712" s="204"/>
      <c r="G3712" s="204"/>
      <c r="H3712" s="204"/>
      <c r="I3712" s="204"/>
      <c r="J3712" s="204"/>
      <c r="K3712" s="204"/>
      <c r="L3712" s="205"/>
      <c r="M3712" s="205"/>
      <c r="N3712" s="204"/>
      <c r="O3712" s="204"/>
      <c r="P3712" s="206"/>
      <c r="Q3712" s="206"/>
      <c r="R3712" s="206"/>
      <c r="S3712" s="206"/>
      <c r="T3712" s="204"/>
      <c r="U3712" s="207"/>
      <c r="V3712" s="204"/>
      <c r="W3712" s="204"/>
      <c r="X3712" s="207"/>
      <c r="Y3712" s="207"/>
      <c r="Z3712" s="204"/>
      <c r="AA3712" s="204"/>
      <c r="AB3712" s="204"/>
      <c r="AC3712" s="204"/>
    </row>
    <row r="3713" spans="1:29">
      <c r="A3713" s="204"/>
      <c r="B3713" s="204"/>
      <c r="C3713" s="204"/>
      <c r="D3713" s="204"/>
      <c r="E3713" s="204"/>
      <c r="F3713" s="204"/>
      <c r="G3713" s="204"/>
      <c r="H3713" s="204"/>
      <c r="I3713" s="204"/>
      <c r="J3713" s="204"/>
      <c r="K3713" s="204"/>
      <c r="L3713" s="205"/>
      <c r="M3713" s="205"/>
      <c r="N3713" s="204"/>
      <c r="O3713" s="204"/>
      <c r="P3713" s="206"/>
      <c r="Q3713" s="206"/>
      <c r="R3713" s="206"/>
      <c r="S3713" s="206"/>
      <c r="T3713" s="204"/>
      <c r="U3713" s="207"/>
      <c r="V3713" s="204"/>
      <c r="W3713" s="204"/>
      <c r="X3713" s="207"/>
      <c r="Y3713" s="207"/>
      <c r="Z3713" s="204"/>
      <c r="AA3713" s="204"/>
      <c r="AB3713" s="204"/>
      <c r="AC3713" s="204"/>
    </row>
    <row r="3714" spans="1:29">
      <c r="A3714" s="204"/>
      <c r="B3714" s="204"/>
      <c r="C3714" s="204"/>
      <c r="D3714" s="204"/>
      <c r="E3714" s="204"/>
      <c r="F3714" s="204"/>
      <c r="G3714" s="204"/>
      <c r="H3714" s="204"/>
      <c r="I3714" s="204"/>
      <c r="J3714" s="204"/>
      <c r="K3714" s="204"/>
      <c r="L3714" s="205"/>
      <c r="M3714" s="205"/>
      <c r="N3714" s="204"/>
      <c r="O3714" s="204"/>
      <c r="P3714" s="206"/>
      <c r="Q3714" s="206"/>
      <c r="R3714" s="206"/>
      <c r="S3714" s="206"/>
      <c r="T3714" s="204"/>
      <c r="U3714" s="207"/>
      <c r="V3714" s="204"/>
      <c r="W3714" s="204"/>
      <c r="X3714" s="207"/>
      <c r="Y3714" s="207"/>
      <c r="Z3714" s="204"/>
      <c r="AA3714" s="204"/>
      <c r="AB3714" s="204"/>
      <c r="AC3714" s="204"/>
    </row>
    <row r="3715" spans="1:29">
      <c r="A3715" s="204"/>
      <c r="B3715" s="204"/>
      <c r="C3715" s="204"/>
      <c r="D3715" s="204"/>
      <c r="E3715" s="204"/>
      <c r="F3715" s="204"/>
      <c r="G3715" s="204"/>
      <c r="H3715" s="204"/>
      <c r="I3715" s="204"/>
      <c r="J3715" s="204"/>
      <c r="K3715" s="204"/>
      <c r="L3715" s="205"/>
      <c r="M3715" s="205"/>
      <c r="N3715" s="204"/>
      <c r="O3715" s="204"/>
      <c r="P3715" s="206"/>
      <c r="Q3715" s="206"/>
      <c r="R3715" s="206"/>
      <c r="S3715" s="206"/>
      <c r="T3715" s="204"/>
      <c r="U3715" s="207"/>
      <c r="V3715" s="204"/>
      <c r="W3715" s="204"/>
      <c r="X3715" s="207"/>
      <c r="Y3715" s="207"/>
      <c r="Z3715" s="204"/>
      <c r="AA3715" s="204"/>
      <c r="AB3715" s="204"/>
      <c r="AC3715" s="204"/>
    </row>
    <row r="3716" spans="1:29">
      <c r="A3716" s="204"/>
      <c r="B3716" s="204"/>
      <c r="C3716" s="204"/>
      <c r="D3716" s="204"/>
      <c r="E3716" s="204"/>
      <c r="F3716" s="204"/>
      <c r="G3716" s="204"/>
      <c r="H3716" s="204"/>
      <c r="I3716" s="204"/>
      <c r="J3716" s="204"/>
      <c r="K3716" s="204"/>
      <c r="L3716" s="205"/>
      <c r="M3716" s="205"/>
      <c r="N3716" s="204"/>
      <c r="O3716" s="204"/>
      <c r="P3716" s="206"/>
      <c r="Q3716" s="206"/>
      <c r="R3716" s="206"/>
      <c r="S3716" s="206"/>
      <c r="T3716" s="204"/>
      <c r="U3716" s="207"/>
      <c r="V3716" s="204"/>
      <c r="W3716" s="204"/>
      <c r="X3716" s="207"/>
      <c r="Y3716" s="207"/>
      <c r="Z3716" s="204"/>
      <c r="AA3716" s="204"/>
      <c r="AB3716" s="204"/>
      <c r="AC3716" s="204"/>
    </row>
    <row r="3717" spans="1:29">
      <c r="A3717" s="204"/>
      <c r="B3717" s="204"/>
      <c r="C3717" s="204"/>
      <c r="D3717" s="204"/>
      <c r="E3717" s="204"/>
      <c r="F3717" s="204"/>
      <c r="G3717" s="204"/>
      <c r="H3717" s="204"/>
      <c r="I3717" s="204"/>
      <c r="J3717" s="204"/>
      <c r="K3717" s="204"/>
      <c r="L3717" s="205"/>
      <c r="M3717" s="205"/>
      <c r="N3717" s="204"/>
      <c r="O3717" s="204"/>
      <c r="P3717" s="206"/>
      <c r="Q3717" s="206"/>
      <c r="R3717" s="206"/>
      <c r="S3717" s="206"/>
      <c r="T3717" s="204"/>
      <c r="U3717" s="207"/>
      <c r="V3717" s="204"/>
      <c r="W3717" s="204"/>
      <c r="X3717" s="207"/>
      <c r="Y3717" s="207"/>
      <c r="Z3717" s="204"/>
      <c r="AA3717" s="204"/>
      <c r="AB3717" s="204"/>
      <c r="AC3717" s="204"/>
    </row>
    <row r="3718" spans="1:29">
      <c r="A3718" s="204"/>
      <c r="B3718" s="204"/>
      <c r="C3718" s="204"/>
      <c r="D3718" s="204"/>
      <c r="E3718" s="204"/>
      <c r="F3718" s="204"/>
      <c r="G3718" s="204"/>
      <c r="H3718" s="204"/>
      <c r="I3718" s="204"/>
      <c r="J3718" s="204"/>
      <c r="K3718" s="204"/>
      <c r="L3718" s="205"/>
      <c r="M3718" s="205"/>
      <c r="N3718" s="204"/>
      <c r="O3718" s="204"/>
      <c r="P3718" s="206"/>
      <c r="Q3718" s="206"/>
      <c r="R3718" s="206"/>
      <c r="S3718" s="206"/>
      <c r="T3718" s="204"/>
      <c r="U3718" s="207"/>
      <c r="V3718" s="204"/>
      <c r="W3718" s="204"/>
      <c r="X3718" s="207"/>
      <c r="Y3718" s="207"/>
      <c r="Z3718" s="204"/>
      <c r="AA3718" s="204"/>
      <c r="AB3718" s="204"/>
      <c r="AC3718" s="204"/>
    </row>
    <row r="3719" spans="1:29">
      <c r="A3719" s="204"/>
      <c r="B3719" s="204"/>
      <c r="C3719" s="204"/>
      <c r="D3719" s="204"/>
      <c r="E3719" s="204"/>
      <c r="F3719" s="204"/>
      <c r="G3719" s="204"/>
      <c r="H3719" s="204"/>
      <c r="I3719" s="204"/>
      <c r="J3719" s="204"/>
      <c r="K3719" s="204"/>
      <c r="L3719" s="205"/>
      <c r="M3719" s="205"/>
      <c r="N3719" s="204"/>
      <c r="O3719" s="204"/>
      <c r="P3719" s="206"/>
      <c r="Q3719" s="206"/>
      <c r="R3719" s="206"/>
      <c r="S3719" s="206"/>
      <c r="T3719" s="204"/>
      <c r="U3719" s="207"/>
      <c r="V3719" s="204"/>
      <c r="W3719" s="204"/>
      <c r="X3719" s="207"/>
      <c r="Y3719" s="207"/>
      <c r="Z3719" s="204"/>
      <c r="AA3719" s="204"/>
      <c r="AB3719" s="204"/>
      <c r="AC3719" s="204"/>
    </row>
    <row r="3720" spans="1:29">
      <c r="A3720" s="204"/>
      <c r="B3720" s="204"/>
      <c r="C3720" s="204"/>
      <c r="D3720" s="204"/>
      <c r="E3720" s="204"/>
      <c r="F3720" s="204"/>
      <c r="G3720" s="204"/>
      <c r="H3720" s="204"/>
      <c r="I3720" s="204"/>
      <c r="J3720" s="204"/>
      <c r="K3720" s="204"/>
      <c r="L3720" s="205"/>
      <c r="M3720" s="205"/>
      <c r="N3720" s="204"/>
      <c r="O3720" s="204"/>
      <c r="P3720" s="206"/>
      <c r="Q3720" s="206"/>
      <c r="R3720" s="206"/>
      <c r="S3720" s="206"/>
      <c r="T3720" s="204"/>
      <c r="U3720" s="207"/>
      <c r="V3720" s="204"/>
      <c r="W3720" s="204"/>
      <c r="X3720" s="207"/>
      <c r="Y3720" s="207"/>
      <c r="Z3720" s="204"/>
      <c r="AA3720" s="204"/>
      <c r="AB3720" s="204"/>
      <c r="AC3720" s="204"/>
    </row>
    <row r="3721" spans="1:29">
      <c r="A3721" s="204"/>
      <c r="B3721" s="204"/>
      <c r="C3721" s="204"/>
      <c r="D3721" s="204"/>
      <c r="E3721" s="204"/>
      <c r="F3721" s="204"/>
      <c r="G3721" s="204"/>
      <c r="H3721" s="204"/>
      <c r="I3721" s="204"/>
      <c r="J3721" s="204"/>
      <c r="K3721" s="204"/>
      <c r="L3721" s="205"/>
      <c r="M3721" s="205"/>
      <c r="N3721" s="204"/>
      <c r="O3721" s="204"/>
      <c r="P3721" s="206"/>
      <c r="Q3721" s="206"/>
      <c r="R3721" s="206"/>
      <c r="S3721" s="206"/>
      <c r="T3721" s="204"/>
      <c r="U3721" s="207"/>
      <c r="V3721" s="204"/>
      <c r="W3721" s="204"/>
      <c r="X3721" s="207"/>
      <c r="Y3721" s="207"/>
      <c r="Z3721" s="204"/>
      <c r="AA3721" s="204"/>
      <c r="AB3721" s="204"/>
      <c r="AC3721" s="204"/>
    </row>
    <row r="3722" spans="1:29">
      <c r="A3722" s="204"/>
      <c r="B3722" s="204"/>
      <c r="C3722" s="204"/>
      <c r="D3722" s="204"/>
      <c r="E3722" s="204"/>
      <c r="F3722" s="204"/>
      <c r="G3722" s="204"/>
      <c r="H3722" s="204"/>
      <c r="I3722" s="204"/>
      <c r="J3722" s="204"/>
      <c r="K3722" s="204"/>
      <c r="L3722" s="205"/>
      <c r="M3722" s="205"/>
      <c r="N3722" s="204"/>
      <c r="O3722" s="204"/>
      <c r="P3722" s="206"/>
      <c r="Q3722" s="206"/>
      <c r="R3722" s="206"/>
      <c r="S3722" s="206"/>
      <c r="T3722" s="204"/>
      <c r="U3722" s="207"/>
      <c r="V3722" s="204"/>
      <c r="W3722" s="204"/>
      <c r="X3722" s="207"/>
      <c r="Y3722" s="207"/>
      <c r="Z3722" s="204"/>
      <c r="AA3722" s="204"/>
      <c r="AB3722" s="204"/>
      <c r="AC3722" s="204"/>
    </row>
    <row r="3723" spans="1:29">
      <c r="A3723" s="204"/>
      <c r="B3723" s="204"/>
      <c r="C3723" s="204"/>
      <c r="D3723" s="204"/>
      <c r="E3723" s="204"/>
      <c r="F3723" s="204"/>
      <c r="G3723" s="204"/>
      <c r="H3723" s="204"/>
      <c r="I3723" s="204"/>
      <c r="J3723" s="204"/>
      <c r="K3723" s="204"/>
      <c r="L3723" s="205"/>
      <c r="M3723" s="205"/>
      <c r="N3723" s="204"/>
      <c r="O3723" s="204"/>
      <c r="P3723" s="206"/>
      <c r="Q3723" s="206"/>
      <c r="R3723" s="206"/>
      <c r="S3723" s="206"/>
      <c r="T3723" s="204"/>
      <c r="U3723" s="207"/>
      <c r="V3723" s="204"/>
      <c r="W3723" s="204"/>
      <c r="X3723" s="207"/>
      <c r="Y3723" s="207"/>
      <c r="Z3723" s="204"/>
      <c r="AA3723" s="204"/>
      <c r="AB3723" s="204"/>
      <c r="AC3723" s="204"/>
    </row>
    <row r="3724" spans="1:29">
      <c r="A3724" s="204"/>
      <c r="B3724" s="204"/>
      <c r="C3724" s="204"/>
      <c r="D3724" s="204"/>
      <c r="E3724" s="204"/>
      <c r="F3724" s="204"/>
      <c r="G3724" s="204"/>
      <c r="H3724" s="204"/>
      <c r="I3724" s="204"/>
      <c r="J3724" s="204"/>
      <c r="K3724" s="204"/>
      <c r="L3724" s="205"/>
      <c r="M3724" s="205"/>
      <c r="N3724" s="204"/>
      <c r="O3724" s="204"/>
      <c r="P3724" s="206"/>
      <c r="Q3724" s="206"/>
      <c r="R3724" s="206"/>
      <c r="S3724" s="206"/>
      <c r="T3724" s="204"/>
      <c r="U3724" s="207"/>
      <c r="V3724" s="204"/>
      <c r="W3724" s="204"/>
      <c r="X3724" s="207"/>
      <c r="Y3724" s="207"/>
      <c r="Z3724" s="204"/>
      <c r="AA3724" s="204"/>
      <c r="AB3724" s="204"/>
      <c r="AC3724" s="204"/>
    </row>
    <row r="3725" spans="1:29">
      <c r="A3725" s="204"/>
      <c r="B3725" s="204"/>
      <c r="C3725" s="204"/>
      <c r="D3725" s="204"/>
      <c r="E3725" s="204"/>
      <c r="F3725" s="204"/>
      <c r="G3725" s="204"/>
      <c r="H3725" s="204"/>
      <c r="I3725" s="204"/>
      <c r="J3725" s="204"/>
      <c r="K3725" s="204"/>
      <c r="L3725" s="205"/>
      <c r="M3725" s="205"/>
      <c r="N3725" s="204"/>
      <c r="O3725" s="204"/>
      <c r="P3725" s="206"/>
      <c r="Q3725" s="206"/>
      <c r="R3725" s="206"/>
      <c r="S3725" s="206"/>
      <c r="T3725" s="204"/>
      <c r="U3725" s="207"/>
      <c r="V3725" s="204"/>
      <c r="W3725" s="204"/>
      <c r="X3725" s="207"/>
      <c r="Y3725" s="207"/>
      <c r="Z3725" s="204"/>
      <c r="AA3725" s="204"/>
      <c r="AB3725" s="204"/>
      <c r="AC3725" s="204"/>
    </row>
    <row r="3726" spans="1:29">
      <c r="A3726" s="204"/>
      <c r="B3726" s="204"/>
      <c r="C3726" s="204"/>
      <c r="D3726" s="204"/>
      <c r="E3726" s="204"/>
      <c r="F3726" s="204"/>
      <c r="G3726" s="204"/>
      <c r="H3726" s="204"/>
      <c r="I3726" s="204"/>
      <c r="J3726" s="204"/>
      <c r="K3726" s="204"/>
      <c r="L3726" s="205"/>
      <c r="M3726" s="205"/>
      <c r="N3726" s="204"/>
      <c r="O3726" s="204"/>
      <c r="P3726" s="206"/>
      <c r="Q3726" s="206"/>
      <c r="R3726" s="206"/>
      <c r="S3726" s="206"/>
      <c r="T3726" s="204"/>
      <c r="U3726" s="207"/>
      <c r="V3726" s="204"/>
      <c r="W3726" s="204"/>
      <c r="X3726" s="207"/>
      <c r="Y3726" s="207"/>
      <c r="Z3726" s="204"/>
      <c r="AA3726" s="204"/>
      <c r="AB3726" s="204"/>
      <c r="AC3726" s="204"/>
    </row>
    <row r="3727" spans="1:29">
      <c r="A3727" s="204"/>
      <c r="B3727" s="204"/>
      <c r="C3727" s="204"/>
      <c r="D3727" s="204"/>
      <c r="E3727" s="204"/>
      <c r="F3727" s="204"/>
      <c r="G3727" s="204"/>
      <c r="H3727" s="204"/>
      <c r="I3727" s="204"/>
      <c r="J3727" s="204"/>
      <c r="K3727" s="204"/>
      <c r="L3727" s="205"/>
      <c r="M3727" s="205"/>
      <c r="N3727" s="204"/>
      <c r="O3727" s="204"/>
      <c r="P3727" s="206"/>
      <c r="Q3727" s="206"/>
      <c r="R3727" s="206"/>
      <c r="S3727" s="206"/>
      <c r="T3727" s="204"/>
      <c r="U3727" s="207"/>
      <c r="V3727" s="204"/>
      <c r="W3727" s="204"/>
      <c r="X3727" s="207"/>
      <c r="Y3727" s="207"/>
      <c r="Z3727" s="204"/>
      <c r="AA3727" s="204"/>
      <c r="AB3727" s="204"/>
      <c r="AC3727" s="204"/>
    </row>
    <row r="3728" spans="1:29">
      <c r="A3728" s="204"/>
      <c r="B3728" s="204"/>
      <c r="C3728" s="204"/>
      <c r="D3728" s="204"/>
      <c r="E3728" s="204"/>
      <c r="F3728" s="204"/>
      <c r="G3728" s="204"/>
      <c r="H3728" s="204"/>
      <c r="I3728" s="204"/>
      <c r="J3728" s="204"/>
      <c r="K3728" s="204"/>
      <c r="L3728" s="205"/>
      <c r="M3728" s="205"/>
      <c r="N3728" s="204"/>
      <c r="O3728" s="204"/>
      <c r="P3728" s="206"/>
      <c r="Q3728" s="206"/>
      <c r="R3728" s="206"/>
      <c r="S3728" s="206"/>
      <c r="T3728" s="204"/>
      <c r="U3728" s="207"/>
      <c r="V3728" s="204"/>
      <c r="W3728" s="204"/>
      <c r="X3728" s="207"/>
      <c r="Y3728" s="207"/>
      <c r="Z3728" s="204"/>
      <c r="AA3728" s="204"/>
      <c r="AB3728" s="204"/>
      <c r="AC3728" s="204"/>
    </row>
    <row r="3729" spans="1:29">
      <c r="A3729" s="204"/>
      <c r="B3729" s="204"/>
      <c r="C3729" s="204"/>
      <c r="D3729" s="204"/>
      <c r="E3729" s="204"/>
      <c r="F3729" s="204"/>
      <c r="G3729" s="204"/>
      <c r="H3729" s="204"/>
      <c r="I3729" s="204"/>
      <c r="J3729" s="204"/>
      <c r="K3729" s="204"/>
      <c r="L3729" s="205"/>
      <c r="M3729" s="205"/>
      <c r="N3729" s="204"/>
      <c r="O3729" s="204"/>
      <c r="P3729" s="206"/>
      <c r="Q3729" s="206"/>
      <c r="R3729" s="206"/>
      <c r="S3729" s="206"/>
      <c r="T3729" s="204"/>
      <c r="U3729" s="207"/>
      <c r="V3729" s="204"/>
      <c r="W3729" s="204"/>
      <c r="X3729" s="207"/>
      <c r="Y3729" s="207"/>
      <c r="Z3729" s="204"/>
      <c r="AA3729" s="204"/>
      <c r="AB3729" s="204"/>
      <c r="AC3729" s="204"/>
    </row>
    <row r="3730" spans="1:29">
      <c r="A3730" s="204"/>
      <c r="B3730" s="204"/>
      <c r="C3730" s="204"/>
      <c r="D3730" s="204"/>
      <c r="E3730" s="204"/>
      <c r="F3730" s="204"/>
      <c r="G3730" s="204"/>
      <c r="H3730" s="204"/>
      <c r="I3730" s="204"/>
      <c r="J3730" s="204"/>
      <c r="K3730" s="204"/>
      <c r="L3730" s="205"/>
      <c r="M3730" s="205"/>
      <c r="N3730" s="204"/>
      <c r="O3730" s="204"/>
      <c r="P3730" s="206"/>
      <c r="Q3730" s="206"/>
      <c r="R3730" s="206"/>
      <c r="S3730" s="206"/>
      <c r="T3730" s="204"/>
      <c r="U3730" s="207"/>
      <c r="V3730" s="204"/>
      <c r="W3730" s="204"/>
      <c r="X3730" s="207"/>
      <c r="Y3730" s="207"/>
      <c r="Z3730" s="204"/>
      <c r="AA3730" s="204"/>
      <c r="AB3730" s="204"/>
      <c r="AC3730" s="204"/>
    </row>
    <row r="3731" spans="1:29">
      <c r="A3731" s="204"/>
      <c r="B3731" s="204"/>
      <c r="C3731" s="204"/>
      <c r="D3731" s="204"/>
      <c r="E3731" s="204"/>
      <c r="F3731" s="204"/>
      <c r="G3731" s="204"/>
      <c r="H3731" s="204"/>
      <c r="I3731" s="204"/>
      <c r="J3731" s="204"/>
      <c r="K3731" s="204"/>
      <c r="L3731" s="205"/>
      <c r="M3731" s="205"/>
      <c r="N3731" s="204"/>
      <c r="O3731" s="204"/>
      <c r="P3731" s="206"/>
      <c r="Q3731" s="206"/>
      <c r="R3731" s="206"/>
      <c r="S3731" s="206"/>
      <c r="T3731" s="204"/>
      <c r="U3731" s="207"/>
      <c r="V3731" s="204"/>
      <c r="W3731" s="204"/>
      <c r="X3731" s="207"/>
      <c r="Y3731" s="207"/>
      <c r="Z3731" s="204"/>
      <c r="AA3731" s="204"/>
      <c r="AB3731" s="204"/>
      <c r="AC3731" s="204"/>
    </row>
    <row r="3732" spans="1:29">
      <c r="A3732" s="204"/>
      <c r="B3732" s="204"/>
      <c r="C3732" s="204"/>
      <c r="D3732" s="204"/>
      <c r="E3732" s="204"/>
      <c r="F3732" s="204"/>
      <c r="G3732" s="204"/>
      <c r="H3732" s="204"/>
      <c r="I3732" s="204"/>
      <c r="J3732" s="204"/>
      <c r="K3732" s="204"/>
      <c r="L3732" s="205"/>
      <c r="M3732" s="205"/>
      <c r="N3732" s="204"/>
      <c r="O3732" s="204"/>
      <c r="P3732" s="206"/>
      <c r="Q3732" s="206"/>
      <c r="R3732" s="206"/>
      <c r="S3732" s="206"/>
      <c r="T3732" s="204"/>
      <c r="U3732" s="207"/>
      <c r="V3732" s="204"/>
      <c r="W3732" s="204"/>
      <c r="X3732" s="207"/>
      <c r="Y3732" s="207"/>
      <c r="Z3732" s="204"/>
      <c r="AA3732" s="204"/>
      <c r="AB3732" s="204"/>
      <c r="AC3732" s="204"/>
    </row>
    <row r="3733" spans="1:29">
      <c r="A3733" s="204"/>
      <c r="B3733" s="204"/>
      <c r="C3733" s="204"/>
      <c r="D3733" s="204"/>
      <c r="E3733" s="204"/>
      <c r="F3733" s="204"/>
      <c r="G3733" s="204"/>
      <c r="H3733" s="204"/>
      <c r="I3733" s="204"/>
      <c r="J3733" s="204"/>
      <c r="K3733" s="204"/>
      <c r="L3733" s="205"/>
      <c r="M3733" s="205"/>
      <c r="N3733" s="204"/>
      <c r="O3733" s="204"/>
      <c r="P3733" s="206"/>
      <c r="Q3733" s="206"/>
      <c r="R3733" s="206"/>
      <c r="S3733" s="206"/>
      <c r="T3733" s="204"/>
      <c r="U3733" s="207"/>
      <c r="V3733" s="204"/>
      <c r="W3733" s="204"/>
      <c r="X3733" s="207"/>
      <c r="Y3733" s="207"/>
      <c r="Z3733" s="204"/>
      <c r="AA3733" s="204"/>
      <c r="AB3733" s="204"/>
      <c r="AC3733" s="204"/>
    </row>
    <row r="3734" spans="1:29">
      <c r="A3734" s="204"/>
      <c r="B3734" s="204"/>
      <c r="C3734" s="204"/>
      <c r="D3734" s="204"/>
      <c r="E3734" s="204"/>
      <c r="F3734" s="204"/>
      <c r="G3734" s="204"/>
      <c r="H3734" s="204"/>
      <c r="I3734" s="204"/>
      <c r="J3734" s="204"/>
      <c r="K3734" s="204"/>
      <c r="L3734" s="205"/>
      <c r="M3734" s="205"/>
      <c r="N3734" s="204"/>
      <c r="O3734" s="204"/>
      <c r="P3734" s="206"/>
      <c r="Q3734" s="206"/>
      <c r="R3734" s="206"/>
      <c r="S3734" s="206"/>
      <c r="T3734" s="204"/>
      <c r="U3734" s="207"/>
      <c r="V3734" s="204"/>
      <c r="W3734" s="204"/>
      <c r="X3734" s="207"/>
      <c r="Y3734" s="207"/>
      <c r="Z3734" s="204"/>
      <c r="AA3734" s="204"/>
      <c r="AB3734" s="204"/>
      <c r="AC3734" s="204"/>
    </row>
    <row r="3735" spans="1:29">
      <c r="A3735" s="204"/>
      <c r="B3735" s="204"/>
      <c r="C3735" s="204"/>
      <c r="D3735" s="204"/>
      <c r="E3735" s="204"/>
      <c r="F3735" s="204"/>
      <c r="G3735" s="204"/>
      <c r="H3735" s="204"/>
      <c r="I3735" s="204"/>
      <c r="J3735" s="204"/>
      <c r="K3735" s="204"/>
      <c r="L3735" s="205"/>
      <c r="M3735" s="205"/>
      <c r="N3735" s="204"/>
      <c r="O3735" s="204"/>
      <c r="P3735" s="206"/>
      <c r="Q3735" s="206"/>
      <c r="R3735" s="206"/>
      <c r="S3735" s="206"/>
      <c r="T3735" s="204"/>
      <c r="U3735" s="207"/>
      <c r="V3735" s="204"/>
      <c r="W3735" s="204"/>
      <c r="X3735" s="207"/>
      <c r="Y3735" s="207"/>
      <c r="Z3735" s="204"/>
      <c r="AA3735" s="204"/>
      <c r="AB3735" s="204"/>
      <c r="AC3735" s="204"/>
    </row>
    <row r="3736" spans="1:29">
      <c r="A3736" s="204"/>
      <c r="B3736" s="204"/>
      <c r="C3736" s="204"/>
      <c r="D3736" s="204"/>
      <c r="E3736" s="204"/>
      <c r="F3736" s="204"/>
      <c r="G3736" s="204"/>
      <c r="H3736" s="204"/>
      <c r="I3736" s="204"/>
      <c r="J3736" s="204"/>
      <c r="K3736" s="204"/>
      <c r="L3736" s="205"/>
      <c r="M3736" s="205"/>
      <c r="N3736" s="204"/>
      <c r="O3736" s="204"/>
      <c r="P3736" s="206"/>
      <c r="Q3736" s="206"/>
      <c r="R3736" s="206"/>
      <c r="S3736" s="206"/>
      <c r="T3736" s="204"/>
      <c r="U3736" s="207"/>
      <c r="V3736" s="204"/>
      <c r="W3736" s="204"/>
      <c r="X3736" s="207"/>
      <c r="Y3736" s="207"/>
      <c r="Z3736" s="204"/>
      <c r="AA3736" s="204"/>
      <c r="AB3736" s="204"/>
      <c r="AC3736" s="204"/>
    </row>
    <row r="3737" spans="1:29">
      <c r="A3737" s="204"/>
      <c r="B3737" s="204"/>
      <c r="C3737" s="204"/>
      <c r="D3737" s="204"/>
      <c r="E3737" s="204"/>
      <c r="F3737" s="204"/>
      <c r="G3737" s="204"/>
      <c r="H3737" s="204"/>
      <c r="I3737" s="204"/>
      <c r="J3737" s="204"/>
      <c r="K3737" s="204"/>
      <c r="L3737" s="205"/>
      <c r="M3737" s="205"/>
      <c r="N3737" s="204"/>
      <c r="O3737" s="204"/>
      <c r="P3737" s="206"/>
      <c r="Q3737" s="206"/>
      <c r="R3737" s="206"/>
      <c r="S3737" s="206"/>
      <c r="T3737" s="204"/>
      <c r="U3737" s="207"/>
      <c r="V3737" s="204"/>
      <c r="W3737" s="204"/>
      <c r="X3737" s="207"/>
      <c r="Y3737" s="207"/>
      <c r="Z3737" s="204"/>
      <c r="AA3737" s="204"/>
      <c r="AB3737" s="204"/>
      <c r="AC3737" s="204"/>
    </row>
    <row r="3738" spans="1:29">
      <c r="A3738" s="204"/>
      <c r="B3738" s="204"/>
      <c r="C3738" s="204"/>
      <c r="D3738" s="204"/>
      <c r="E3738" s="204"/>
      <c r="F3738" s="204"/>
      <c r="G3738" s="204"/>
      <c r="H3738" s="204"/>
      <c r="I3738" s="204"/>
      <c r="J3738" s="204"/>
      <c r="K3738" s="204"/>
      <c r="L3738" s="205"/>
      <c r="M3738" s="205"/>
      <c r="N3738" s="204"/>
      <c r="O3738" s="204"/>
      <c r="P3738" s="206"/>
      <c r="Q3738" s="206"/>
      <c r="R3738" s="206"/>
      <c r="S3738" s="206"/>
      <c r="T3738" s="204"/>
      <c r="U3738" s="207"/>
      <c r="V3738" s="204"/>
      <c r="W3738" s="204"/>
      <c r="X3738" s="207"/>
      <c r="Y3738" s="207"/>
      <c r="Z3738" s="204"/>
      <c r="AA3738" s="204"/>
      <c r="AB3738" s="204"/>
      <c r="AC3738" s="204"/>
    </row>
    <row r="3739" spans="1:29">
      <c r="A3739" s="204"/>
      <c r="B3739" s="204"/>
      <c r="C3739" s="204"/>
      <c r="D3739" s="204"/>
      <c r="E3739" s="204"/>
      <c r="F3739" s="204"/>
      <c r="G3739" s="204"/>
      <c r="H3739" s="204"/>
      <c r="I3739" s="204"/>
      <c r="J3739" s="204"/>
      <c r="K3739" s="204"/>
      <c r="L3739" s="205"/>
      <c r="M3739" s="205"/>
      <c r="N3739" s="204"/>
      <c r="O3739" s="204"/>
      <c r="P3739" s="206"/>
      <c r="Q3739" s="206"/>
      <c r="R3739" s="206"/>
      <c r="S3739" s="206"/>
      <c r="T3739" s="204"/>
      <c r="U3739" s="207"/>
      <c r="V3739" s="204"/>
      <c r="W3739" s="204"/>
      <c r="X3739" s="207"/>
      <c r="Y3739" s="207"/>
      <c r="Z3739" s="204"/>
      <c r="AA3739" s="204"/>
      <c r="AB3739" s="204"/>
      <c r="AC3739" s="204"/>
    </row>
    <row r="3740" spans="1:29">
      <c r="A3740" s="204"/>
      <c r="B3740" s="204"/>
      <c r="C3740" s="204"/>
      <c r="D3740" s="204"/>
      <c r="E3740" s="204"/>
      <c r="F3740" s="204"/>
      <c r="G3740" s="204"/>
      <c r="H3740" s="204"/>
      <c r="I3740" s="204"/>
      <c r="J3740" s="204"/>
      <c r="K3740" s="204"/>
      <c r="L3740" s="205"/>
      <c r="M3740" s="205"/>
      <c r="N3740" s="204"/>
      <c r="O3740" s="204"/>
      <c r="P3740" s="206"/>
      <c r="Q3740" s="206"/>
      <c r="R3740" s="206"/>
      <c r="S3740" s="206"/>
      <c r="T3740" s="204"/>
      <c r="U3740" s="207"/>
      <c r="V3740" s="204"/>
      <c r="W3740" s="204"/>
      <c r="X3740" s="207"/>
      <c r="Y3740" s="207"/>
      <c r="Z3740" s="204"/>
      <c r="AA3740" s="204"/>
      <c r="AB3740" s="204"/>
      <c r="AC3740" s="204"/>
    </row>
    <row r="3741" spans="1:29">
      <c r="A3741" s="204"/>
      <c r="B3741" s="204"/>
      <c r="C3741" s="204"/>
      <c r="D3741" s="204"/>
      <c r="E3741" s="204"/>
      <c r="F3741" s="204"/>
      <c r="G3741" s="204"/>
      <c r="H3741" s="204"/>
      <c r="I3741" s="204"/>
      <c r="J3741" s="204"/>
      <c r="K3741" s="204"/>
      <c r="L3741" s="205"/>
      <c r="M3741" s="205"/>
      <c r="N3741" s="204"/>
      <c r="O3741" s="204"/>
      <c r="P3741" s="206"/>
      <c r="Q3741" s="206"/>
      <c r="R3741" s="206"/>
      <c r="S3741" s="206"/>
      <c r="T3741" s="204"/>
      <c r="U3741" s="207"/>
      <c r="V3741" s="204"/>
      <c r="W3741" s="204"/>
      <c r="X3741" s="207"/>
      <c r="Y3741" s="207"/>
      <c r="Z3741" s="204"/>
      <c r="AA3741" s="204"/>
      <c r="AB3741" s="204"/>
      <c r="AC3741" s="204"/>
    </row>
    <row r="3742" spans="1:29">
      <c r="A3742" s="204"/>
      <c r="B3742" s="204"/>
      <c r="C3742" s="204"/>
      <c r="D3742" s="204"/>
      <c r="E3742" s="204"/>
      <c r="F3742" s="204"/>
      <c r="G3742" s="204"/>
      <c r="H3742" s="204"/>
      <c r="I3742" s="204"/>
      <c r="J3742" s="204"/>
      <c r="K3742" s="204"/>
      <c r="L3742" s="205"/>
      <c r="M3742" s="205"/>
      <c r="N3742" s="204"/>
      <c r="O3742" s="204"/>
      <c r="P3742" s="206"/>
      <c r="Q3742" s="206"/>
      <c r="R3742" s="206"/>
      <c r="S3742" s="206"/>
      <c r="T3742" s="204"/>
      <c r="U3742" s="207"/>
      <c r="V3742" s="204"/>
      <c r="W3742" s="204"/>
      <c r="X3742" s="207"/>
      <c r="Y3742" s="207"/>
      <c r="Z3742" s="204"/>
      <c r="AA3742" s="204"/>
      <c r="AB3742" s="204"/>
      <c r="AC3742" s="204"/>
    </row>
    <row r="3743" spans="1:29">
      <c r="A3743" s="204"/>
      <c r="B3743" s="204"/>
      <c r="C3743" s="204"/>
      <c r="D3743" s="204"/>
      <c r="E3743" s="204"/>
      <c r="F3743" s="204"/>
      <c r="G3743" s="204"/>
      <c r="H3743" s="204"/>
      <c r="I3743" s="204"/>
      <c r="J3743" s="204"/>
      <c r="K3743" s="204"/>
      <c r="L3743" s="205"/>
      <c r="M3743" s="205"/>
      <c r="N3743" s="204"/>
      <c r="O3743" s="204"/>
      <c r="P3743" s="206"/>
      <c r="Q3743" s="206"/>
      <c r="R3743" s="206"/>
      <c r="S3743" s="206"/>
      <c r="T3743" s="204"/>
      <c r="U3743" s="207"/>
      <c r="V3743" s="204"/>
      <c r="W3743" s="204"/>
      <c r="X3743" s="207"/>
      <c r="Y3743" s="207"/>
      <c r="Z3743" s="204"/>
      <c r="AA3743" s="204"/>
      <c r="AB3743" s="204"/>
      <c r="AC3743" s="204"/>
    </row>
    <row r="3744" spans="1:29">
      <c r="A3744" s="204"/>
      <c r="B3744" s="204"/>
      <c r="C3744" s="204"/>
      <c r="D3744" s="204"/>
      <c r="E3744" s="204"/>
      <c r="F3744" s="204"/>
      <c r="G3744" s="204"/>
      <c r="H3744" s="204"/>
      <c r="I3744" s="204"/>
      <c r="J3744" s="204"/>
      <c r="K3744" s="204"/>
      <c r="L3744" s="205"/>
      <c r="M3744" s="205"/>
      <c r="N3744" s="204"/>
      <c r="O3744" s="204"/>
      <c r="P3744" s="206"/>
      <c r="Q3744" s="206"/>
      <c r="R3744" s="206"/>
      <c r="S3744" s="206"/>
      <c r="T3744" s="204"/>
      <c r="U3744" s="207"/>
      <c r="V3744" s="204"/>
      <c r="W3744" s="204"/>
      <c r="X3744" s="207"/>
      <c r="Y3744" s="207"/>
      <c r="Z3744" s="204"/>
      <c r="AA3744" s="204"/>
      <c r="AB3744" s="204"/>
      <c r="AC3744" s="204"/>
    </row>
    <row r="3745" spans="1:29">
      <c r="A3745" s="204"/>
      <c r="B3745" s="204"/>
      <c r="C3745" s="204"/>
      <c r="D3745" s="204"/>
      <c r="E3745" s="204"/>
      <c r="F3745" s="204"/>
      <c r="G3745" s="204"/>
      <c r="H3745" s="204"/>
      <c r="I3745" s="204"/>
      <c r="J3745" s="204"/>
      <c r="K3745" s="204"/>
      <c r="L3745" s="205"/>
      <c r="M3745" s="205"/>
      <c r="N3745" s="204"/>
      <c r="O3745" s="204"/>
      <c r="P3745" s="206"/>
      <c r="Q3745" s="206"/>
      <c r="R3745" s="206"/>
      <c r="S3745" s="206"/>
      <c r="T3745" s="204"/>
      <c r="U3745" s="207"/>
      <c r="V3745" s="204"/>
      <c r="W3745" s="204"/>
      <c r="X3745" s="207"/>
      <c r="Y3745" s="207"/>
      <c r="Z3745" s="204"/>
      <c r="AA3745" s="204"/>
      <c r="AB3745" s="204"/>
      <c r="AC3745" s="204"/>
    </row>
    <row r="3746" spans="1:29">
      <c r="A3746" s="204"/>
      <c r="B3746" s="204"/>
      <c r="C3746" s="204"/>
      <c r="D3746" s="204"/>
      <c r="E3746" s="204"/>
      <c r="F3746" s="204"/>
      <c r="G3746" s="204"/>
      <c r="H3746" s="204"/>
      <c r="I3746" s="204"/>
      <c r="J3746" s="204"/>
      <c r="K3746" s="204"/>
      <c r="L3746" s="205"/>
      <c r="M3746" s="205"/>
      <c r="N3746" s="204"/>
      <c r="O3746" s="204"/>
      <c r="P3746" s="206"/>
      <c r="Q3746" s="206"/>
      <c r="R3746" s="206"/>
      <c r="S3746" s="206"/>
      <c r="T3746" s="204"/>
      <c r="U3746" s="207"/>
      <c r="V3746" s="204"/>
      <c r="W3746" s="204"/>
      <c r="X3746" s="207"/>
      <c r="Y3746" s="207"/>
      <c r="Z3746" s="204"/>
      <c r="AA3746" s="204"/>
      <c r="AB3746" s="204"/>
      <c r="AC3746" s="204"/>
    </row>
    <row r="3747" spans="1:29">
      <c r="A3747" s="204"/>
      <c r="B3747" s="204"/>
      <c r="C3747" s="204"/>
      <c r="D3747" s="204"/>
      <c r="E3747" s="204"/>
      <c r="F3747" s="204"/>
      <c r="G3747" s="204"/>
      <c r="H3747" s="204"/>
      <c r="I3747" s="204"/>
      <c r="J3747" s="204"/>
      <c r="K3747" s="204"/>
      <c r="L3747" s="205"/>
      <c r="M3747" s="205"/>
      <c r="N3747" s="204"/>
      <c r="O3747" s="204"/>
      <c r="P3747" s="206"/>
      <c r="Q3747" s="206"/>
      <c r="R3747" s="206"/>
      <c r="S3747" s="206"/>
      <c r="T3747" s="204"/>
      <c r="U3747" s="207"/>
      <c r="V3747" s="204"/>
      <c r="W3747" s="204"/>
      <c r="X3747" s="207"/>
      <c r="Y3747" s="207"/>
      <c r="Z3747" s="204"/>
      <c r="AA3747" s="204"/>
      <c r="AB3747" s="204"/>
      <c r="AC3747" s="204"/>
    </row>
    <row r="3748" spans="1:29">
      <c r="A3748" s="204"/>
      <c r="B3748" s="204"/>
      <c r="C3748" s="204"/>
      <c r="D3748" s="204"/>
      <c r="E3748" s="204"/>
      <c r="F3748" s="204"/>
      <c r="G3748" s="204"/>
      <c r="H3748" s="204"/>
      <c r="I3748" s="204"/>
      <c r="J3748" s="204"/>
      <c r="K3748" s="204"/>
      <c r="L3748" s="205"/>
      <c r="M3748" s="205"/>
      <c r="N3748" s="204"/>
      <c r="O3748" s="204"/>
      <c r="P3748" s="206"/>
      <c r="Q3748" s="206"/>
      <c r="R3748" s="206"/>
      <c r="S3748" s="206"/>
      <c r="T3748" s="204"/>
      <c r="U3748" s="207"/>
      <c r="V3748" s="204"/>
      <c r="W3748" s="204"/>
      <c r="X3748" s="207"/>
      <c r="Y3748" s="207"/>
      <c r="Z3748" s="204"/>
      <c r="AA3748" s="204"/>
      <c r="AB3748" s="204"/>
      <c r="AC3748" s="204"/>
    </row>
    <row r="3749" spans="1:29">
      <c r="A3749" s="204"/>
      <c r="B3749" s="204"/>
      <c r="C3749" s="204"/>
      <c r="D3749" s="204"/>
      <c r="E3749" s="204"/>
      <c r="F3749" s="204"/>
      <c r="G3749" s="204"/>
      <c r="H3749" s="204"/>
      <c r="I3749" s="204"/>
      <c r="J3749" s="204"/>
      <c r="K3749" s="204"/>
      <c r="L3749" s="205"/>
      <c r="M3749" s="205"/>
      <c r="N3749" s="204"/>
      <c r="O3749" s="204"/>
      <c r="P3749" s="206"/>
      <c r="Q3749" s="206"/>
      <c r="R3749" s="206"/>
      <c r="S3749" s="206"/>
      <c r="T3749" s="204"/>
      <c r="U3749" s="207"/>
      <c r="V3749" s="204"/>
      <c r="W3749" s="204"/>
      <c r="X3749" s="207"/>
      <c r="Y3749" s="207"/>
      <c r="Z3749" s="204"/>
      <c r="AA3749" s="204"/>
      <c r="AB3749" s="204"/>
      <c r="AC3749" s="204"/>
    </row>
    <row r="3750" spans="1:29">
      <c r="A3750" s="204"/>
      <c r="B3750" s="204"/>
      <c r="C3750" s="204"/>
      <c r="D3750" s="204"/>
      <c r="E3750" s="204"/>
      <c r="F3750" s="204"/>
      <c r="G3750" s="204"/>
      <c r="H3750" s="204"/>
      <c r="I3750" s="204"/>
      <c r="J3750" s="204"/>
      <c r="K3750" s="204"/>
      <c r="L3750" s="205"/>
      <c r="M3750" s="205"/>
      <c r="N3750" s="204"/>
      <c r="O3750" s="204"/>
      <c r="P3750" s="206"/>
      <c r="Q3750" s="206"/>
      <c r="R3750" s="206"/>
      <c r="S3750" s="206"/>
      <c r="T3750" s="204"/>
      <c r="U3750" s="207"/>
      <c r="V3750" s="204"/>
      <c r="W3750" s="204"/>
      <c r="X3750" s="207"/>
      <c r="Y3750" s="207"/>
      <c r="Z3750" s="204"/>
      <c r="AA3750" s="204"/>
      <c r="AB3750" s="204"/>
      <c r="AC3750" s="204"/>
    </row>
    <row r="3751" spans="1:29">
      <c r="A3751" s="204"/>
      <c r="B3751" s="204"/>
      <c r="C3751" s="204"/>
      <c r="D3751" s="204"/>
      <c r="E3751" s="204"/>
      <c r="F3751" s="204"/>
      <c r="G3751" s="204"/>
      <c r="H3751" s="204"/>
      <c r="I3751" s="204"/>
      <c r="J3751" s="204"/>
      <c r="K3751" s="204"/>
      <c r="L3751" s="205"/>
      <c r="M3751" s="205"/>
      <c r="N3751" s="204"/>
      <c r="O3751" s="204"/>
      <c r="P3751" s="206"/>
      <c r="Q3751" s="206"/>
      <c r="R3751" s="206"/>
      <c r="S3751" s="206"/>
      <c r="T3751" s="204"/>
      <c r="U3751" s="207"/>
      <c r="V3751" s="204"/>
      <c r="W3751" s="204"/>
      <c r="X3751" s="207"/>
      <c r="Y3751" s="207"/>
      <c r="Z3751" s="204"/>
      <c r="AA3751" s="204"/>
      <c r="AB3751" s="204"/>
      <c r="AC3751" s="204"/>
    </row>
    <row r="3752" spans="1:29">
      <c r="A3752" s="204"/>
      <c r="B3752" s="204"/>
      <c r="C3752" s="204"/>
      <c r="D3752" s="204"/>
      <c r="E3752" s="204"/>
      <c r="F3752" s="204"/>
      <c r="G3752" s="204"/>
      <c r="H3752" s="204"/>
      <c r="I3752" s="204"/>
      <c r="J3752" s="204"/>
      <c r="K3752" s="204"/>
      <c r="L3752" s="205"/>
      <c r="M3752" s="205"/>
      <c r="N3752" s="204"/>
      <c r="O3752" s="204"/>
      <c r="P3752" s="206"/>
      <c r="Q3752" s="206"/>
      <c r="R3752" s="206"/>
      <c r="S3752" s="206"/>
      <c r="T3752" s="204"/>
      <c r="U3752" s="207"/>
      <c r="V3752" s="204"/>
      <c r="W3752" s="204"/>
      <c r="X3752" s="207"/>
      <c r="Y3752" s="207"/>
      <c r="Z3752" s="204"/>
      <c r="AA3752" s="204"/>
      <c r="AB3752" s="204"/>
      <c r="AC3752" s="204"/>
    </row>
    <row r="3753" spans="1:29">
      <c r="A3753" s="204"/>
      <c r="B3753" s="204"/>
      <c r="C3753" s="204"/>
      <c r="D3753" s="204"/>
      <c r="E3753" s="204"/>
      <c r="F3753" s="204"/>
      <c r="G3753" s="204"/>
      <c r="H3753" s="204"/>
      <c r="I3753" s="204"/>
      <c r="J3753" s="204"/>
      <c r="K3753" s="204"/>
      <c r="L3753" s="205"/>
      <c r="M3753" s="205"/>
      <c r="N3753" s="204"/>
      <c r="O3753" s="204"/>
      <c r="P3753" s="206"/>
      <c r="Q3753" s="206"/>
      <c r="R3753" s="206"/>
      <c r="S3753" s="206"/>
      <c r="T3753" s="204"/>
      <c r="U3753" s="207"/>
      <c r="V3753" s="204"/>
      <c r="W3753" s="204"/>
      <c r="X3753" s="207"/>
      <c r="Y3753" s="207"/>
      <c r="Z3753" s="204"/>
      <c r="AA3753" s="204"/>
      <c r="AB3753" s="204"/>
      <c r="AC3753" s="204"/>
    </row>
    <row r="3754" spans="1:29">
      <c r="A3754" s="204"/>
      <c r="B3754" s="204"/>
      <c r="C3754" s="204"/>
      <c r="D3754" s="204"/>
      <c r="E3754" s="204"/>
      <c r="F3754" s="204"/>
      <c r="G3754" s="204"/>
      <c r="H3754" s="204"/>
      <c r="I3754" s="204"/>
      <c r="J3754" s="204"/>
      <c r="K3754" s="204"/>
      <c r="L3754" s="205"/>
      <c r="M3754" s="205"/>
      <c r="N3754" s="204"/>
      <c r="O3754" s="204"/>
      <c r="P3754" s="206"/>
      <c r="Q3754" s="206"/>
      <c r="R3754" s="206"/>
      <c r="S3754" s="206"/>
      <c r="T3754" s="204"/>
      <c r="U3754" s="207"/>
      <c r="V3754" s="204"/>
      <c r="W3754" s="204"/>
      <c r="X3754" s="207"/>
      <c r="Y3754" s="207"/>
      <c r="Z3754" s="204"/>
      <c r="AA3754" s="204"/>
      <c r="AB3754" s="204"/>
      <c r="AC3754" s="204"/>
    </row>
    <row r="3755" spans="1:29">
      <c r="A3755" s="204"/>
      <c r="B3755" s="204"/>
      <c r="C3755" s="204"/>
      <c r="D3755" s="204"/>
      <c r="E3755" s="204"/>
      <c r="F3755" s="204"/>
      <c r="G3755" s="204"/>
      <c r="H3755" s="204"/>
      <c r="I3755" s="204"/>
      <c r="J3755" s="204"/>
      <c r="K3755" s="204"/>
      <c r="L3755" s="205"/>
      <c r="M3755" s="205"/>
      <c r="N3755" s="204"/>
      <c r="O3755" s="204"/>
      <c r="P3755" s="206"/>
      <c r="Q3755" s="206"/>
      <c r="R3755" s="206"/>
      <c r="S3755" s="206"/>
      <c r="T3755" s="204"/>
      <c r="U3755" s="207"/>
      <c r="V3755" s="204"/>
      <c r="W3755" s="204"/>
      <c r="X3755" s="207"/>
      <c r="Y3755" s="207"/>
      <c r="Z3755" s="204"/>
      <c r="AA3755" s="204"/>
      <c r="AB3755" s="204"/>
      <c r="AC3755" s="204"/>
    </row>
    <row r="3756" spans="1:29">
      <c r="A3756" s="204"/>
      <c r="B3756" s="204"/>
      <c r="C3756" s="204"/>
      <c r="D3756" s="204"/>
      <c r="E3756" s="204"/>
      <c r="F3756" s="204"/>
      <c r="G3756" s="204"/>
      <c r="H3756" s="204"/>
      <c r="I3756" s="204"/>
      <c r="J3756" s="204"/>
      <c r="K3756" s="204"/>
      <c r="L3756" s="205"/>
      <c r="M3756" s="205"/>
      <c r="N3756" s="204"/>
      <c r="O3756" s="204"/>
      <c r="P3756" s="206"/>
      <c r="Q3756" s="206"/>
      <c r="R3756" s="206"/>
      <c r="S3756" s="206"/>
      <c r="T3756" s="204"/>
      <c r="U3756" s="207"/>
      <c r="V3756" s="204"/>
      <c r="W3756" s="204"/>
      <c r="X3756" s="207"/>
      <c r="Y3756" s="207"/>
      <c r="Z3756" s="204"/>
      <c r="AA3756" s="204"/>
      <c r="AB3756" s="204"/>
      <c r="AC3756" s="204"/>
    </row>
    <row r="3757" spans="1:29">
      <c r="A3757" s="204"/>
      <c r="B3757" s="204"/>
      <c r="C3757" s="204"/>
      <c r="D3757" s="204"/>
      <c r="E3757" s="204"/>
      <c r="F3757" s="204"/>
      <c r="G3757" s="204"/>
      <c r="H3757" s="204"/>
      <c r="I3757" s="204"/>
      <c r="J3757" s="204"/>
      <c r="K3757" s="204"/>
      <c r="L3757" s="205"/>
      <c r="M3757" s="205"/>
      <c r="N3757" s="204"/>
      <c r="O3757" s="204"/>
      <c r="P3757" s="206"/>
      <c r="Q3757" s="206"/>
      <c r="R3757" s="206"/>
      <c r="S3757" s="206"/>
      <c r="T3757" s="204"/>
      <c r="U3757" s="207"/>
      <c r="V3757" s="204"/>
      <c r="W3757" s="204"/>
      <c r="X3757" s="207"/>
      <c r="Y3757" s="207"/>
      <c r="Z3757" s="204"/>
      <c r="AA3757" s="204"/>
      <c r="AB3757" s="204"/>
      <c r="AC3757" s="204"/>
    </row>
    <row r="3758" spans="1:29">
      <c r="A3758" s="204"/>
      <c r="B3758" s="204"/>
      <c r="C3758" s="204"/>
      <c r="D3758" s="204"/>
      <c r="E3758" s="204"/>
      <c r="F3758" s="204"/>
      <c r="G3758" s="204"/>
      <c r="H3758" s="204"/>
      <c r="I3758" s="204"/>
      <c r="J3758" s="204"/>
      <c r="K3758" s="204"/>
      <c r="L3758" s="205"/>
      <c r="M3758" s="205"/>
      <c r="N3758" s="204"/>
      <c r="O3758" s="204"/>
      <c r="P3758" s="206"/>
      <c r="Q3758" s="206"/>
      <c r="R3758" s="206"/>
      <c r="S3758" s="206"/>
      <c r="T3758" s="204"/>
      <c r="U3758" s="207"/>
      <c r="V3758" s="204"/>
      <c r="W3758" s="204"/>
      <c r="X3758" s="207"/>
      <c r="Y3758" s="207"/>
      <c r="Z3758" s="204"/>
      <c r="AA3758" s="204"/>
      <c r="AB3758" s="204"/>
      <c r="AC3758" s="204"/>
    </row>
    <row r="3759" spans="1:29">
      <c r="A3759" s="204"/>
      <c r="B3759" s="204"/>
      <c r="C3759" s="204"/>
      <c r="D3759" s="204"/>
      <c r="E3759" s="204"/>
      <c r="F3759" s="204"/>
      <c r="G3759" s="204"/>
      <c r="H3759" s="204"/>
      <c r="I3759" s="204"/>
      <c r="J3759" s="204"/>
      <c r="K3759" s="204"/>
      <c r="L3759" s="205"/>
      <c r="M3759" s="205"/>
      <c r="N3759" s="204"/>
      <c r="O3759" s="204"/>
      <c r="P3759" s="206"/>
      <c r="Q3759" s="206"/>
      <c r="R3759" s="206"/>
      <c r="S3759" s="206"/>
      <c r="T3759" s="204"/>
      <c r="U3759" s="207"/>
      <c r="V3759" s="204"/>
      <c r="W3759" s="204"/>
      <c r="X3759" s="207"/>
      <c r="Y3759" s="207"/>
      <c r="Z3759" s="204"/>
      <c r="AA3759" s="204"/>
      <c r="AB3759" s="204"/>
      <c r="AC3759" s="204"/>
    </row>
    <row r="3760" spans="1:29">
      <c r="A3760" s="204"/>
      <c r="B3760" s="204"/>
      <c r="C3760" s="204"/>
      <c r="D3760" s="204"/>
      <c r="E3760" s="204"/>
      <c r="F3760" s="204"/>
      <c r="G3760" s="204"/>
      <c r="H3760" s="204"/>
      <c r="I3760" s="204"/>
      <c r="J3760" s="204"/>
      <c r="K3760" s="204"/>
      <c r="L3760" s="205"/>
      <c r="M3760" s="205"/>
      <c r="N3760" s="204"/>
      <c r="O3760" s="204"/>
      <c r="P3760" s="206"/>
      <c r="Q3760" s="206"/>
      <c r="R3760" s="206"/>
      <c r="S3760" s="206"/>
      <c r="T3760" s="204"/>
      <c r="U3760" s="207"/>
      <c r="V3760" s="204"/>
      <c r="W3760" s="204"/>
      <c r="X3760" s="207"/>
      <c r="Y3760" s="207"/>
      <c r="Z3760" s="204"/>
      <c r="AA3760" s="204"/>
      <c r="AB3760" s="204"/>
      <c r="AC3760" s="204"/>
    </row>
    <row r="3761" spans="1:29">
      <c r="A3761" s="204"/>
      <c r="B3761" s="204"/>
      <c r="C3761" s="204"/>
      <c r="D3761" s="204"/>
      <c r="E3761" s="204"/>
      <c r="F3761" s="204"/>
      <c r="G3761" s="204"/>
      <c r="H3761" s="204"/>
      <c r="I3761" s="204"/>
      <c r="J3761" s="204"/>
      <c r="K3761" s="204"/>
      <c r="L3761" s="205"/>
      <c r="M3761" s="205"/>
      <c r="N3761" s="204"/>
      <c r="O3761" s="204"/>
      <c r="P3761" s="206"/>
      <c r="Q3761" s="206"/>
      <c r="R3761" s="206"/>
      <c r="S3761" s="206"/>
      <c r="T3761" s="204"/>
      <c r="U3761" s="207"/>
      <c r="V3761" s="204"/>
      <c r="W3761" s="204"/>
      <c r="X3761" s="207"/>
      <c r="Y3761" s="207"/>
      <c r="Z3761" s="204"/>
      <c r="AA3761" s="204"/>
      <c r="AB3761" s="204"/>
      <c r="AC3761" s="204"/>
    </row>
    <row r="3762" spans="1:29">
      <c r="A3762" s="204"/>
      <c r="B3762" s="204"/>
      <c r="C3762" s="204"/>
      <c r="D3762" s="204"/>
      <c r="E3762" s="204"/>
      <c r="F3762" s="204"/>
      <c r="G3762" s="204"/>
      <c r="H3762" s="204"/>
      <c r="I3762" s="204"/>
      <c r="J3762" s="204"/>
      <c r="K3762" s="204"/>
      <c r="L3762" s="205"/>
      <c r="M3762" s="205"/>
      <c r="N3762" s="204"/>
      <c r="O3762" s="204"/>
      <c r="P3762" s="206"/>
      <c r="Q3762" s="206"/>
      <c r="R3762" s="206"/>
      <c r="S3762" s="206"/>
      <c r="T3762" s="204"/>
      <c r="U3762" s="207"/>
      <c r="V3762" s="204"/>
      <c r="W3762" s="204"/>
      <c r="X3762" s="207"/>
      <c r="Y3762" s="207"/>
      <c r="Z3762" s="204"/>
      <c r="AA3762" s="204"/>
      <c r="AB3762" s="204"/>
      <c r="AC3762" s="204"/>
    </row>
    <row r="3763" spans="1:29">
      <c r="A3763" s="204"/>
      <c r="B3763" s="204"/>
      <c r="C3763" s="204"/>
      <c r="D3763" s="204"/>
      <c r="E3763" s="204"/>
      <c r="F3763" s="204"/>
      <c r="G3763" s="204"/>
      <c r="H3763" s="204"/>
      <c r="I3763" s="204"/>
      <c r="J3763" s="204"/>
      <c r="K3763" s="204"/>
      <c r="L3763" s="205"/>
      <c r="M3763" s="205"/>
      <c r="N3763" s="204"/>
      <c r="O3763" s="204"/>
      <c r="P3763" s="206"/>
      <c r="Q3763" s="206"/>
      <c r="R3763" s="206"/>
      <c r="S3763" s="206"/>
      <c r="T3763" s="204"/>
      <c r="U3763" s="207"/>
      <c r="V3763" s="204"/>
      <c r="W3763" s="204"/>
      <c r="X3763" s="207"/>
      <c r="Y3763" s="207"/>
      <c r="Z3763" s="204"/>
      <c r="AA3763" s="204"/>
      <c r="AB3763" s="204"/>
      <c r="AC3763" s="204"/>
    </row>
    <row r="3764" spans="1:29">
      <c r="A3764" s="204"/>
      <c r="B3764" s="204"/>
      <c r="C3764" s="204"/>
      <c r="D3764" s="204"/>
      <c r="E3764" s="204"/>
      <c r="F3764" s="204"/>
      <c r="G3764" s="204"/>
      <c r="H3764" s="204"/>
      <c r="I3764" s="204"/>
      <c r="J3764" s="204"/>
      <c r="K3764" s="204"/>
      <c r="L3764" s="205"/>
      <c r="M3764" s="205"/>
      <c r="N3764" s="204"/>
      <c r="O3764" s="204"/>
      <c r="P3764" s="206"/>
      <c r="Q3764" s="206"/>
      <c r="R3764" s="206"/>
      <c r="S3764" s="206"/>
      <c r="T3764" s="204"/>
      <c r="U3764" s="207"/>
      <c r="V3764" s="204"/>
      <c r="W3764" s="204"/>
      <c r="X3764" s="207"/>
      <c r="Y3764" s="207"/>
      <c r="Z3764" s="204"/>
      <c r="AA3764" s="204"/>
      <c r="AB3764" s="204"/>
      <c r="AC3764" s="204"/>
    </row>
    <row r="3765" spans="1:29">
      <c r="A3765" s="204"/>
      <c r="B3765" s="204"/>
      <c r="C3765" s="204"/>
      <c r="D3765" s="204"/>
      <c r="E3765" s="204"/>
      <c r="F3765" s="204"/>
      <c r="G3765" s="204"/>
      <c r="H3765" s="204"/>
      <c r="I3765" s="204"/>
      <c r="J3765" s="204"/>
      <c r="K3765" s="204"/>
      <c r="L3765" s="205"/>
      <c r="M3765" s="205"/>
      <c r="N3765" s="204"/>
      <c r="O3765" s="204"/>
      <c r="P3765" s="206"/>
      <c r="Q3765" s="206"/>
      <c r="R3765" s="206"/>
      <c r="S3765" s="206"/>
      <c r="T3765" s="204"/>
      <c r="U3765" s="207"/>
      <c r="V3765" s="204"/>
      <c r="W3765" s="204"/>
      <c r="X3765" s="207"/>
      <c r="Y3765" s="207"/>
      <c r="Z3765" s="204"/>
      <c r="AA3765" s="204"/>
      <c r="AB3765" s="204"/>
      <c r="AC3765" s="204"/>
    </row>
    <row r="3766" spans="1:29">
      <c r="A3766" s="204"/>
      <c r="B3766" s="204"/>
      <c r="C3766" s="204"/>
      <c r="D3766" s="204"/>
      <c r="E3766" s="204"/>
      <c r="F3766" s="204"/>
      <c r="G3766" s="204"/>
      <c r="H3766" s="204"/>
      <c r="I3766" s="204"/>
      <c r="J3766" s="204"/>
      <c r="K3766" s="204"/>
      <c r="L3766" s="205"/>
      <c r="M3766" s="205"/>
      <c r="N3766" s="204"/>
      <c r="O3766" s="204"/>
      <c r="P3766" s="206"/>
      <c r="Q3766" s="206"/>
      <c r="R3766" s="206"/>
      <c r="S3766" s="206"/>
      <c r="T3766" s="204"/>
      <c r="U3766" s="207"/>
      <c r="V3766" s="204"/>
      <c r="W3766" s="204"/>
      <c r="X3766" s="207"/>
      <c r="Y3766" s="207"/>
      <c r="Z3766" s="204"/>
      <c r="AA3766" s="204"/>
      <c r="AB3766" s="204"/>
      <c r="AC3766" s="204"/>
    </row>
    <row r="3767" spans="1:29">
      <c r="A3767" s="204"/>
      <c r="B3767" s="204"/>
      <c r="C3767" s="204"/>
      <c r="D3767" s="204"/>
      <c r="E3767" s="204"/>
      <c r="F3767" s="204"/>
      <c r="G3767" s="204"/>
      <c r="H3767" s="204"/>
      <c r="I3767" s="204"/>
      <c r="J3767" s="204"/>
      <c r="K3767" s="204"/>
      <c r="L3767" s="205"/>
      <c r="M3767" s="205"/>
      <c r="N3767" s="204"/>
      <c r="O3767" s="204"/>
      <c r="P3767" s="206"/>
      <c r="Q3767" s="206"/>
      <c r="R3767" s="206"/>
      <c r="S3767" s="206"/>
      <c r="T3767" s="204"/>
      <c r="U3767" s="207"/>
      <c r="V3767" s="204"/>
      <c r="W3767" s="204"/>
      <c r="X3767" s="207"/>
      <c r="Y3767" s="207"/>
      <c r="Z3767" s="204"/>
      <c r="AA3767" s="204"/>
      <c r="AB3767" s="204"/>
      <c r="AC3767" s="204"/>
    </row>
    <row r="3768" spans="1:29">
      <c r="A3768" s="204"/>
      <c r="B3768" s="204"/>
      <c r="C3768" s="204"/>
      <c r="D3768" s="204"/>
      <c r="E3768" s="204"/>
      <c r="F3768" s="204"/>
      <c r="G3768" s="204"/>
      <c r="H3768" s="204"/>
      <c r="I3768" s="204"/>
      <c r="J3768" s="204"/>
      <c r="K3768" s="204"/>
      <c r="L3768" s="205"/>
      <c r="M3768" s="205"/>
      <c r="N3768" s="204"/>
      <c r="O3768" s="204"/>
      <c r="P3768" s="206"/>
      <c r="Q3768" s="206"/>
      <c r="R3768" s="206"/>
      <c r="S3768" s="206"/>
      <c r="T3768" s="204"/>
      <c r="U3768" s="207"/>
      <c r="V3768" s="204"/>
      <c r="W3768" s="204"/>
      <c r="X3768" s="207"/>
      <c r="Y3768" s="207"/>
      <c r="Z3768" s="204"/>
      <c r="AA3768" s="204"/>
      <c r="AB3768" s="204"/>
      <c r="AC3768" s="204"/>
    </row>
    <row r="3769" spans="1:29">
      <c r="A3769" s="204"/>
      <c r="B3769" s="204"/>
      <c r="C3769" s="204"/>
      <c r="D3769" s="204"/>
      <c r="E3769" s="204"/>
      <c r="F3769" s="204"/>
      <c r="G3769" s="204"/>
      <c r="H3769" s="204"/>
      <c r="I3769" s="204"/>
      <c r="J3769" s="204"/>
      <c r="K3769" s="204"/>
      <c r="L3769" s="205"/>
      <c r="M3769" s="205"/>
      <c r="N3769" s="204"/>
      <c r="O3769" s="204"/>
      <c r="P3769" s="206"/>
      <c r="Q3769" s="206"/>
      <c r="R3769" s="206"/>
      <c r="S3769" s="206"/>
      <c r="T3769" s="204"/>
      <c r="U3769" s="207"/>
      <c r="V3769" s="204"/>
      <c r="W3769" s="204"/>
      <c r="X3769" s="207"/>
      <c r="Y3769" s="207"/>
      <c r="Z3769" s="204"/>
      <c r="AA3769" s="204"/>
      <c r="AB3769" s="204"/>
      <c r="AC3769" s="204"/>
    </row>
    <row r="3770" spans="1:29">
      <c r="A3770" s="204"/>
      <c r="B3770" s="204"/>
      <c r="C3770" s="204"/>
      <c r="D3770" s="204"/>
      <c r="E3770" s="204"/>
      <c r="F3770" s="204"/>
      <c r="G3770" s="204"/>
      <c r="H3770" s="204"/>
      <c r="I3770" s="204"/>
      <c r="J3770" s="204"/>
      <c r="K3770" s="204"/>
      <c r="L3770" s="205"/>
      <c r="M3770" s="205"/>
      <c r="N3770" s="204"/>
      <c r="O3770" s="204"/>
      <c r="P3770" s="206"/>
      <c r="Q3770" s="206"/>
      <c r="R3770" s="206"/>
      <c r="S3770" s="206"/>
      <c r="T3770" s="204"/>
      <c r="U3770" s="207"/>
      <c r="V3770" s="204"/>
      <c r="W3770" s="204"/>
      <c r="X3770" s="207"/>
      <c r="Y3770" s="207"/>
      <c r="Z3770" s="204"/>
      <c r="AA3770" s="204"/>
      <c r="AB3770" s="204"/>
      <c r="AC3770" s="204"/>
    </row>
    <row r="3771" spans="1:29">
      <c r="A3771" s="204"/>
      <c r="B3771" s="204"/>
      <c r="C3771" s="204"/>
      <c r="D3771" s="204"/>
      <c r="E3771" s="204"/>
      <c r="F3771" s="204"/>
      <c r="G3771" s="204"/>
      <c r="H3771" s="204"/>
      <c r="I3771" s="204"/>
      <c r="J3771" s="204"/>
      <c r="K3771" s="204"/>
      <c r="L3771" s="205"/>
      <c r="M3771" s="205"/>
      <c r="N3771" s="204"/>
      <c r="O3771" s="204"/>
      <c r="P3771" s="206"/>
      <c r="Q3771" s="206"/>
      <c r="R3771" s="206"/>
      <c r="S3771" s="206"/>
      <c r="T3771" s="204"/>
      <c r="U3771" s="207"/>
      <c r="V3771" s="204"/>
      <c r="W3771" s="204"/>
      <c r="X3771" s="207"/>
      <c r="Y3771" s="207"/>
      <c r="Z3771" s="204"/>
      <c r="AA3771" s="204"/>
      <c r="AB3771" s="204"/>
      <c r="AC3771" s="204"/>
    </row>
    <row r="3772" spans="1:29">
      <c r="A3772" s="204"/>
      <c r="B3772" s="204"/>
      <c r="C3772" s="204"/>
      <c r="D3772" s="204"/>
      <c r="E3772" s="204"/>
      <c r="F3772" s="204"/>
      <c r="G3772" s="204"/>
      <c r="H3772" s="204"/>
      <c r="I3772" s="204"/>
      <c r="J3772" s="204"/>
      <c r="K3772" s="204"/>
      <c r="L3772" s="205"/>
      <c r="M3772" s="205"/>
      <c r="N3772" s="204"/>
      <c r="O3772" s="204"/>
      <c r="P3772" s="206"/>
      <c r="Q3772" s="206"/>
      <c r="R3772" s="206"/>
      <c r="S3772" s="206"/>
      <c r="T3772" s="204"/>
      <c r="U3772" s="207"/>
      <c r="V3772" s="204"/>
      <c r="W3772" s="204"/>
      <c r="X3772" s="207"/>
      <c r="Y3772" s="207"/>
      <c r="Z3772" s="204"/>
      <c r="AA3772" s="204"/>
      <c r="AB3772" s="204"/>
      <c r="AC3772" s="204"/>
    </row>
    <row r="3773" spans="1:29">
      <c r="A3773" s="204"/>
      <c r="B3773" s="204"/>
      <c r="C3773" s="204"/>
      <c r="D3773" s="204"/>
      <c r="E3773" s="204"/>
      <c r="F3773" s="204"/>
      <c r="G3773" s="204"/>
      <c r="H3773" s="204"/>
      <c r="I3773" s="204"/>
      <c r="J3773" s="204"/>
      <c r="K3773" s="204"/>
      <c r="L3773" s="205"/>
      <c r="M3773" s="205"/>
      <c r="N3773" s="204"/>
      <c r="O3773" s="204"/>
      <c r="P3773" s="206"/>
      <c r="Q3773" s="206"/>
      <c r="R3773" s="206"/>
      <c r="S3773" s="206"/>
      <c r="T3773" s="204"/>
      <c r="U3773" s="207"/>
      <c r="V3773" s="204"/>
      <c r="W3773" s="204"/>
      <c r="X3773" s="207"/>
      <c r="Y3773" s="207"/>
      <c r="Z3773" s="204"/>
      <c r="AA3773" s="204"/>
      <c r="AB3773" s="204"/>
      <c r="AC3773" s="204"/>
    </row>
    <row r="3774" spans="1:29">
      <c r="A3774" s="204"/>
      <c r="B3774" s="204"/>
      <c r="C3774" s="204"/>
      <c r="D3774" s="204"/>
      <c r="E3774" s="204"/>
      <c r="F3774" s="204"/>
      <c r="G3774" s="204"/>
      <c r="H3774" s="204"/>
      <c r="I3774" s="204"/>
      <c r="J3774" s="204"/>
      <c r="K3774" s="204"/>
      <c r="L3774" s="205"/>
      <c r="M3774" s="205"/>
      <c r="N3774" s="204"/>
      <c r="O3774" s="204"/>
      <c r="P3774" s="206"/>
      <c r="Q3774" s="206"/>
      <c r="R3774" s="206"/>
      <c r="S3774" s="206"/>
      <c r="T3774" s="204"/>
      <c r="U3774" s="207"/>
      <c r="V3774" s="204"/>
      <c r="W3774" s="204"/>
      <c r="X3774" s="207"/>
      <c r="Y3774" s="207"/>
      <c r="Z3774" s="204"/>
      <c r="AA3774" s="204"/>
      <c r="AB3774" s="204"/>
      <c r="AC3774" s="204"/>
    </row>
    <row r="3775" spans="1:29">
      <c r="A3775" s="204"/>
      <c r="B3775" s="204"/>
      <c r="C3775" s="204"/>
      <c r="D3775" s="204"/>
      <c r="E3775" s="204"/>
      <c r="F3775" s="204"/>
      <c r="G3775" s="204"/>
      <c r="H3775" s="204"/>
      <c r="I3775" s="204"/>
      <c r="J3775" s="204"/>
      <c r="K3775" s="204"/>
      <c r="L3775" s="205"/>
      <c r="M3775" s="205"/>
      <c r="N3775" s="204"/>
      <c r="O3775" s="204"/>
      <c r="P3775" s="206"/>
      <c r="Q3775" s="206"/>
      <c r="R3775" s="206"/>
      <c r="S3775" s="206"/>
      <c r="T3775" s="204"/>
      <c r="U3775" s="207"/>
      <c r="V3775" s="204"/>
      <c r="W3775" s="204"/>
      <c r="X3775" s="207"/>
      <c r="Y3775" s="207"/>
      <c r="Z3775" s="204"/>
      <c r="AA3775" s="204"/>
      <c r="AB3775" s="204"/>
      <c r="AC3775" s="204"/>
    </row>
    <row r="3776" spans="1:29">
      <c r="A3776" s="204"/>
      <c r="B3776" s="204"/>
      <c r="C3776" s="204"/>
      <c r="D3776" s="204"/>
      <c r="E3776" s="204"/>
      <c r="F3776" s="204"/>
      <c r="G3776" s="204"/>
      <c r="H3776" s="204"/>
      <c r="I3776" s="204"/>
      <c r="J3776" s="204"/>
      <c r="K3776" s="204"/>
      <c r="L3776" s="205"/>
      <c r="M3776" s="205"/>
      <c r="N3776" s="204"/>
      <c r="O3776" s="204"/>
      <c r="P3776" s="206"/>
      <c r="Q3776" s="206"/>
      <c r="R3776" s="206"/>
      <c r="S3776" s="206"/>
      <c r="T3776" s="204"/>
      <c r="U3776" s="207"/>
      <c r="V3776" s="204"/>
      <c r="W3776" s="204"/>
      <c r="X3776" s="207"/>
      <c r="Y3776" s="207"/>
      <c r="Z3776" s="204"/>
      <c r="AA3776" s="204"/>
      <c r="AB3776" s="204"/>
      <c r="AC3776" s="204"/>
    </row>
    <row r="3777" spans="1:29">
      <c r="A3777" s="204"/>
      <c r="B3777" s="204"/>
      <c r="C3777" s="204"/>
      <c r="D3777" s="204"/>
      <c r="E3777" s="204"/>
      <c r="F3777" s="204"/>
      <c r="G3777" s="204"/>
      <c r="H3777" s="204"/>
      <c r="I3777" s="204"/>
      <c r="J3777" s="204"/>
      <c r="K3777" s="204"/>
      <c r="L3777" s="205"/>
      <c r="M3777" s="205"/>
      <c r="N3777" s="204"/>
      <c r="O3777" s="204"/>
      <c r="P3777" s="206"/>
      <c r="Q3777" s="206"/>
      <c r="R3777" s="206"/>
      <c r="S3777" s="206"/>
      <c r="T3777" s="204"/>
      <c r="U3777" s="207"/>
      <c r="V3777" s="204"/>
      <c r="W3777" s="204"/>
      <c r="X3777" s="207"/>
      <c r="Y3777" s="207"/>
      <c r="Z3777" s="204"/>
      <c r="AA3777" s="204"/>
      <c r="AB3777" s="204"/>
      <c r="AC3777" s="204"/>
    </row>
    <row r="3778" spans="1:29">
      <c r="A3778" s="204"/>
      <c r="B3778" s="204"/>
      <c r="C3778" s="204"/>
      <c r="D3778" s="204"/>
      <c r="E3778" s="204"/>
      <c r="F3778" s="204"/>
      <c r="G3778" s="204"/>
      <c r="H3778" s="204"/>
      <c r="I3778" s="204"/>
      <c r="J3778" s="204"/>
      <c r="K3778" s="204"/>
      <c r="L3778" s="205"/>
      <c r="M3778" s="205"/>
      <c r="N3778" s="204"/>
      <c r="O3778" s="204"/>
      <c r="P3778" s="206"/>
      <c r="Q3778" s="206"/>
      <c r="R3778" s="206"/>
      <c r="S3778" s="206"/>
      <c r="T3778" s="204"/>
      <c r="U3778" s="207"/>
      <c r="V3778" s="204"/>
      <c r="W3778" s="204"/>
      <c r="X3778" s="207"/>
      <c r="Y3778" s="207"/>
      <c r="Z3778" s="204"/>
      <c r="AA3778" s="204"/>
      <c r="AB3778" s="204"/>
      <c r="AC3778" s="204"/>
    </row>
    <row r="3779" spans="1:29">
      <c r="A3779" s="204"/>
      <c r="B3779" s="204"/>
      <c r="C3779" s="204"/>
      <c r="D3779" s="204"/>
      <c r="E3779" s="204"/>
      <c r="F3779" s="204"/>
      <c r="G3779" s="204"/>
      <c r="H3779" s="204"/>
      <c r="I3779" s="204"/>
      <c r="J3779" s="204"/>
      <c r="K3779" s="204"/>
      <c r="L3779" s="205"/>
      <c r="M3779" s="205"/>
      <c r="N3779" s="204"/>
      <c r="O3779" s="204"/>
      <c r="P3779" s="206"/>
      <c r="Q3779" s="206"/>
      <c r="R3779" s="206"/>
      <c r="S3779" s="206"/>
      <c r="T3779" s="204"/>
      <c r="U3779" s="207"/>
      <c r="V3779" s="204"/>
      <c r="W3779" s="204"/>
      <c r="X3779" s="207"/>
      <c r="Y3779" s="207"/>
      <c r="Z3779" s="204"/>
      <c r="AA3779" s="204"/>
      <c r="AB3779" s="204"/>
      <c r="AC3779" s="204"/>
    </row>
    <row r="3780" spans="1:29">
      <c r="A3780" s="204"/>
      <c r="B3780" s="204"/>
      <c r="C3780" s="204"/>
      <c r="D3780" s="204"/>
      <c r="E3780" s="204"/>
      <c r="F3780" s="204"/>
      <c r="G3780" s="204"/>
      <c r="H3780" s="204"/>
      <c r="I3780" s="204"/>
      <c r="J3780" s="204"/>
      <c r="K3780" s="204"/>
      <c r="L3780" s="205"/>
      <c r="M3780" s="205"/>
      <c r="N3780" s="204"/>
      <c r="O3780" s="204"/>
      <c r="P3780" s="206"/>
      <c r="Q3780" s="206"/>
      <c r="R3780" s="206"/>
      <c r="S3780" s="206"/>
      <c r="T3780" s="204"/>
      <c r="U3780" s="207"/>
      <c r="V3780" s="204"/>
      <c r="W3780" s="204"/>
      <c r="X3780" s="207"/>
      <c r="Y3780" s="207"/>
      <c r="Z3780" s="204"/>
      <c r="AA3780" s="204"/>
      <c r="AB3780" s="204"/>
      <c r="AC3780" s="204"/>
    </row>
    <row r="3781" spans="1:29">
      <c r="A3781" s="204"/>
      <c r="B3781" s="204"/>
      <c r="C3781" s="204"/>
      <c r="D3781" s="204"/>
      <c r="E3781" s="204"/>
      <c r="F3781" s="204"/>
      <c r="G3781" s="204"/>
      <c r="H3781" s="204"/>
      <c r="I3781" s="204"/>
      <c r="J3781" s="204"/>
      <c r="K3781" s="204"/>
      <c r="L3781" s="205"/>
      <c r="M3781" s="205"/>
      <c r="N3781" s="204"/>
      <c r="O3781" s="204"/>
      <c r="P3781" s="206"/>
      <c r="Q3781" s="206"/>
      <c r="R3781" s="206"/>
      <c r="S3781" s="206"/>
      <c r="T3781" s="204"/>
      <c r="U3781" s="207"/>
      <c r="V3781" s="204"/>
      <c r="W3781" s="204"/>
      <c r="X3781" s="207"/>
      <c r="Y3781" s="207"/>
      <c r="Z3781" s="204"/>
      <c r="AA3781" s="204"/>
      <c r="AB3781" s="204"/>
      <c r="AC3781" s="204"/>
    </row>
    <row r="3782" spans="1:29">
      <c r="A3782" s="204"/>
      <c r="B3782" s="204"/>
      <c r="C3782" s="204"/>
      <c r="D3782" s="204"/>
      <c r="E3782" s="204"/>
      <c r="F3782" s="204"/>
      <c r="G3782" s="204"/>
      <c r="H3782" s="204"/>
      <c r="I3782" s="204"/>
      <c r="J3782" s="204"/>
      <c r="K3782" s="204"/>
      <c r="L3782" s="205"/>
      <c r="M3782" s="205"/>
      <c r="N3782" s="204"/>
      <c r="O3782" s="204"/>
      <c r="P3782" s="206"/>
      <c r="Q3782" s="206"/>
      <c r="R3782" s="206"/>
      <c r="S3782" s="206"/>
      <c r="T3782" s="204"/>
      <c r="U3782" s="207"/>
      <c r="V3782" s="204"/>
      <c r="W3782" s="204"/>
      <c r="X3782" s="207"/>
      <c r="Y3782" s="207"/>
      <c r="Z3782" s="204"/>
      <c r="AA3782" s="204"/>
      <c r="AB3782" s="204"/>
      <c r="AC3782" s="204"/>
    </row>
    <row r="3783" spans="1:29">
      <c r="A3783" s="204"/>
      <c r="B3783" s="204"/>
      <c r="C3783" s="204"/>
      <c r="D3783" s="204"/>
      <c r="E3783" s="204"/>
      <c r="F3783" s="204"/>
      <c r="G3783" s="204"/>
      <c r="H3783" s="204"/>
      <c r="I3783" s="204"/>
      <c r="J3783" s="204"/>
      <c r="K3783" s="204"/>
      <c r="L3783" s="205"/>
      <c r="M3783" s="205"/>
      <c r="N3783" s="204"/>
      <c r="O3783" s="204"/>
      <c r="P3783" s="206"/>
      <c r="Q3783" s="206"/>
      <c r="R3783" s="206"/>
      <c r="S3783" s="206"/>
      <c r="T3783" s="204"/>
      <c r="U3783" s="207"/>
      <c r="V3783" s="204"/>
      <c r="W3783" s="204"/>
      <c r="X3783" s="207"/>
      <c r="Y3783" s="207"/>
      <c r="Z3783" s="204"/>
      <c r="AA3783" s="204"/>
      <c r="AB3783" s="204"/>
      <c r="AC3783" s="204"/>
    </row>
    <row r="3784" spans="1:29">
      <c r="A3784" s="204"/>
      <c r="B3784" s="204"/>
      <c r="C3784" s="204"/>
      <c r="D3784" s="204"/>
      <c r="E3784" s="204"/>
      <c r="F3784" s="204"/>
      <c r="G3784" s="204"/>
      <c r="H3784" s="204"/>
      <c r="I3784" s="204"/>
      <c r="J3784" s="204"/>
      <c r="K3784" s="204"/>
      <c r="L3784" s="205"/>
      <c r="M3784" s="205"/>
      <c r="N3784" s="204"/>
      <c r="O3784" s="204"/>
      <c r="P3784" s="206"/>
      <c r="Q3784" s="206"/>
      <c r="R3784" s="206"/>
      <c r="S3784" s="206"/>
      <c r="T3784" s="204"/>
      <c r="U3784" s="207"/>
      <c r="V3784" s="204"/>
      <c r="W3784" s="204"/>
      <c r="X3784" s="207"/>
      <c r="Y3784" s="207"/>
      <c r="Z3784" s="204"/>
      <c r="AA3784" s="204"/>
      <c r="AB3784" s="204"/>
      <c r="AC3784" s="204"/>
    </row>
    <row r="3785" spans="1:29">
      <c r="A3785" s="204"/>
      <c r="B3785" s="204"/>
      <c r="C3785" s="204"/>
      <c r="D3785" s="204"/>
      <c r="E3785" s="204"/>
      <c r="F3785" s="204"/>
      <c r="G3785" s="204"/>
      <c r="H3785" s="204"/>
      <c r="I3785" s="204"/>
      <c r="J3785" s="204"/>
      <c r="K3785" s="204"/>
      <c r="L3785" s="205"/>
      <c r="M3785" s="205"/>
      <c r="N3785" s="204"/>
      <c r="O3785" s="204"/>
      <c r="P3785" s="206"/>
      <c r="Q3785" s="206"/>
      <c r="R3785" s="206"/>
      <c r="S3785" s="206"/>
      <c r="T3785" s="204"/>
      <c r="U3785" s="207"/>
      <c r="V3785" s="204"/>
      <c r="W3785" s="204"/>
      <c r="X3785" s="207"/>
      <c r="Y3785" s="207"/>
      <c r="Z3785" s="204"/>
      <c r="AA3785" s="204"/>
      <c r="AB3785" s="204"/>
      <c r="AC3785" s="204"/>
    </row>
    <row r="3786" spans="1:29">
      <c r="A3786" s="204"/>
      <c r="B3786" s="204"/>
      <c r="C3786" s="204"/>
      <c r="D3786" s="204"/>
      <c r="E3786" s="204"/>
      <c r="F3786" s="204"/>
      <c r="G3786" s="204"/>
      <c r="H3786" s="204"/>
      <c r="I3786" s="204"/>
      <c r="J3786" s="204"/>
      <c r="K3786" s="204"/>
      <c r="L3786" s="205"/>
      <c r="M3786" s="205"/>
      <c r="N3786" s="204"/>
      <c r="O3786" s="204"/>
      <c r="P3786" s="206"/>
      <c r="Q3786" s="206"/>
      <c r="R3786" s="206"/>
      <c r="S3786" s="206"/>
      <c r="T3786" s="204"/>
      <c r="U3786" s="207"/>
      <c r="V3786" s="204"/>
      <c r="W3786" s="204"/>
      <c r="X3786" s="207"/>
      <c r="Y3786" s="207"/>
      <c r="Z3786" s="204"/>
      <c r="AA3786" s="204"/>
      <c r="AB3786" s="204"/>
      <c r="AC3786" s="204"/>
    </row>
    <row r="3787" spans="1:29">
      <c r="A3787" s="204"/>
      <c r="B3787" s="204"/>
      <c r="C3787" s="204"/>
      <c r="D3787" s="204"/>
      <c r="E3787" s="204"/>
      <c r="F3787" s="204"/>
      <c r="G3787" s="204"/>
      <c r="H3787" s="204"/>
      <c r="I3787" s="204"/>
      <c r="J3787" s="204"/>
      <c r="K3787" s="204"/>
      <c r="L3787" s="205"/>
      <c r="M3787" s="205"/>
      <c r="N3787" s="204"/>
      <c r="O3787" s="204"/>
      <c r="P3787" s="206"/>
      <c r="Q3787" s="206"/>
      <c r="R3787" s="206"/>
      <c r="S3787" s="206"/>
      <c r="T3787" s="204"/>
      <c r="U3787" s="207"/>
      <c r="V3787" s="204"/>
      <c r="W3787" s="204"/>
      <c r="X3787" s="207"/>
      <c r="Y3787" s="207"/>
      <c r="Z3787" s="204"/>
      <c r="AA3787" s="204"/>
      <c r="AB3787" s="204"/>
      <c r="AC3787" s="204"/>
    </row>
    <row r="3788" spans="1:29">
      <c r="A3788" s="204"/>
      <c r="B3788" s="204"/>
      <c r="C3788" s="204"/>
      <c r="D3788" s="204"/>
      <c r="E3788" s="204"/>
      <c r="F3788" s="204"/>
      <c r="G3788" s="204"/>
      <c r="H3788" s="204"/>
      <c r="I3788" s="204"/>
      <c r="J3788" s="204"/>
      <c r="K3788" s="204"/>
      <c r="L3788" s="205"/>
      <c r="M3788" s="205"/>
      <c r="N3788" s="204"/>
      <c r="O3788" s="204"/>
      <c r="P3788" s="206"/>
      <c r="Q3788" s="206"/>
      <c r="R3788" s="206"/>
      <c r="S3788" s="206"/>
      <c r="T3788" s="204"/>
      <c r="U3788" s="207"/>
      <c r="V3788" s="204"/>
      <c r="W3788" s="204"/>
      <c r="X3788" s="207"/>
      <c r="Y3788" s="207"/>
      <c r="Z3788" s="204"/>
      <c r="AA3788" s="204"/>
      <c r="AB3788" s="204"/>
      <c r="AC3788" s="204"/>
    </row>
    <row r="3789" spans="1:29">
      <c r="A3789" s="204"/>
      <c r="B3789" s="204"/>
      <c r="C3789" s="204"/>
      <c r="D3789" s="204"/>
      <c r="E3789" s="204"/>
      <c r="F3789" s="204"/>
      <c r="G3789" s="204"/>
      <c r="H3789" s="204"/>
      <c r="I3789" s="204"/>
      <c r="J3789" s="204"/>
      <c r="K3789" s="204"/>
      <c r="L3789" s="205"/>
      <c r="M3789" s="205"/>
      <c r="N3789" s="204"/>
      <c r="O3789" s="204"/>
      <c r="P3789" s="206"/>
      <c r="Q3789" s="206"/>
      <c r="R3789" s="206"/>
      <c r="S3789" s="206"/>
      <c r="T3789" s="204"/>
      <c r="U3789" s="207"/>
      <c r="V3789" s="204"/>
      <c r="W3789" s="204"/>
      <c r="X3789" s="207"/>
      <c r="Y3789" s="207"/>
      <c r="Z3789" s="204"/>
      <c r="AA3789" s="204"/>
      <c r="AB3789" s="204"/>
      <c r="AC3789" s="204"/>
    </row>
    <row r="3790" spans="1:29">
      <c r="A3790" s="204"/>
      <c r="B3790" s="204"/>
      <c r="C3790" s="204"/>
      <c r="D3790" s="204"/>
      <c r="E3790" s="204"/>
      <c r="F3790" s="204"/>
      <c r="G3790" s="204"/>
      <c r="H3790" s="204"/>
      <c r="I3790" s="204"/>
      <c r="J3790" s="204"/>
      <c r="K3790" s="204"/>
      <c r="L3790" s="205"/>
      <c r="M3790" s="205"/>
      <c r="N3790" s="204"/>
      <c r="O3790" s="204"/>
      <c r="P3790" s="206"/>
      <c r="Q3790" s="206"/>
      <c r="R3790" s="206"/>
      <c r="S3790" s="206"/>
      <c r="T3790" s="204"/>
      <c r="U3790" s="207"/>
      <c r="V3790" s="204"/>
      <c r="W3790" s="204"/>
      <c r="X3790" s="207"/>
      <c r="Y3790" s="207"/>
      <c r="Z3790" s="204"/>
      <c r="AA3790" s="204"/>
      <c r="AB3790" s="204"/>
      <c r="AC3790" s="204"/>
    </row>
    <row r="3791" spans="1:29">
      <c r="A3791" s="204"/>
      <c r="B3791" s="204"/>
      <c r="C3791" s="204"/>
      <c r="D3791" s="204"/>
      <c r="E3791" s="204"/>
      <c r="F3791" s="204"/>
      <c r="G3791" s="204"/>
      <c r="H3791" s="204"/>
      <c r="I3791" s="204"/>
      <c r="J3791" s="204"/>
      <c r="K3791" s="204"/>
      <c r="L3791" s="205"/>
      <c r="M3791" s="205"/>
      <c r="N3791" s="204"/>
      <c r="O3791" s="204"/>
      <c r="P3791" s="206"/>
      <c r="Q3791" s="206"/>
      <c r="R3791" s="206"/>
      <c r="S3791" s="206"/>
      <c r="T3791" s="204"/>
      <c r="U3791" s="207"/>
      <c r="V3791" s="204"/>
      <c r="W3791" s="204"/>
      <c r="X3791" s="207"/>
      <c r="Y3791" s="207"/>
      <c r="Z3791" s="204"/>
      <c r="AA3791" s="204"/>
      <c r="AB3791" s="204"/>
      <c r="AC3791" s="204"/>
    </row>
    <row r="3792" spans="1:29">
      <c r="A3792" s="204"/>
      <c r="B3792" s="204"/>
      <c r="C3792" s="204"/>
      <c r="D3792" s="204"/>
      <c r="E3792" s="204"/>
      <c r="F3792" s="204"/>
      <c r="G3792" s="204"/>
      <c r="H3792" s="204"/>
      <c r="I3792" s="204"/>
      <c r="J3792" s="204"/>
      <c r="K3792" s="204"/>
      <c r="L3792" s="205"/>
      <c r="M3792" s="205"/>
      <c r="N3792" s="204"/>
      <c r="O3792" s="204"/>
      <c r="P3792" s="206"/>
      <c r="Q3792" s="206"/>
      <c r="R3792" s="206"/>
      <c r="S3792" s="206"/>
      <c r="T3792" s="204"/>
      <c r="U3792" s="207"/>
      <c r="V3792" s="204"/>
      <c r="W3792" s="204"/>
      <c r="X3792" s="207"/>
      <c r="Y3792" s="207"/>
      <c r="Z3792" s="204"/>
      <c r="AA3792" s="204"/>
      <c r="AB3792" s="204"/>
      <c r="AC3792" s="204"/>
    </row>
    <row r="3793" spans="1:29">
      <c r="A3793" s="204"/>
      <c r="B3793" s="204"/>
      <c r="C3793" s="204"/>
      <c r="D3793" s="204"/>
      <c r="E3793" s="204"/>
      <c r="F3793" s="204"/>
      <c r="G3793" s="204"/>
      <c r="H3793" s="204"/>
      <c r="I3793" s="204"/>
      <c r="J3793" s="204"/>
      <c r="K3793" s="204"/>
      <c r="L3793" s="205"/>
      <c r="M3793" s="205"/>
      <c r="N3793" s="204"/>
      <c r="O3793" s="204"/>
      <c r="P3793" s="206"/>
      <c r="Q3793" s="206"/>
      <c r="R3793" s="206"/>
      <c r="S3793" s="206"/>
      <c r="T3793" s="204"/>
      <c r="U3793" s="207"/>
      <c r="V3793" s="204"/>
      <c r="W3793" s="204"/>
      <c r="X3793" s="207"/>
      <c r="Y3793" s="207"/>
      <c r="Z3793" s="204"/>
      <c r="AA3793" s="204"/>
      <c r="AB3793" s="204"/>
      <c r="AC3793" s="204"/>
    </row>
    <row r="3794" spans="1:29">
      <c r="A3794" s="204"/>
      <c r="B3794" s="204"/>
      <c r="C3794" s="204"/>
      <c r="D3794" s="204"/>
      <c r="E3794" s="204"/>
      <c r="F3794" s="204"/>
      <c r="G3794" s="204"/>
      <c r="H3794" s="204"/>
      <c r="I3794" s="204"/>
      <c r="J3794" s="204"/>
      <c r="K3794" s="204"/>
      <c r="L3794" s="205"/>
      <c r="M3794" s="205"/>
      <c r="N3794" s="204"/>
      <c r="O3794" s="204"/>
      <c r="P3794" s="206"/>
      <c r="Q3794" s="206"/>
      <c r="R3794" s="206"/>
      <c r="S3794" s="206"/>
      <c r="T3794" s="204"/>
      <c r="U3794" s="207"/>
      <c r="V3794" s="204"/>
      <c r="W3794" s="204"/>
      <c r="X3794" s="207"/>
      <c r="Y3794" s="207"/>
      <c r="Z3794" s="204"/>
      <c r="AA3794" s="204"/>
      <c r="AB3794" s="204"/>
      <c r="AC3794" s="204"/>
    </row>
    <row r="3795" spans="1:29">
      <c r="A3795" s="204"/>
      <c r="B3795" s="204"/>
      <c r="C3795" s="204"/>
      <c r="D3795" s="204"/>
      <c r="E3795" s="204"/>
      <c r="F3795" s="204"/>
      <c r="G3795" s="204"/>
      <c r="H3795" s="204"/>
      <c r="I3795" s="204"/>
      <c r="J3795" s="204"/>
      <c r="K3795" s="204"/>
      <c r="L3795" s="205"/>
      <c r="M3795" s="205"/>
      <c r="N3795" s="204"/>
      <c r="O3795" s="204"/>
      <c r="P3795" s="206"/>
      <c r="Q3795" s="206"/>
      <c r="R3795" s="206"/>
      <c r="S3795" s="206"/>
      <c r="T3795" s="204"/>
      <c r="U3795" s="207"/>
      <c r="V3795" s="204"/>
      <c r="W3795" s="204"/>
      <c r="X3795" s="207"/>
      <c r="Y3795" s="207"/>
      <c r="Z3795" s="204"/>
      <c r="AA3795" s="204"/>
      <c r="AB3795" s="204"/>
      <c r="AC3795" s="204"/>
    </row>
    <row r="3796" spans="1:29">
      <c r="A3796" s="204"/>
      <c r="B3796" s="204"/>
      <c r="C3796" s="204"/>
      <c r="D3796" s="204"/>
      <c r="E3796" s="204"/>
      <c r="F3796" s="204"/>
      <c r="G3796" s="204"/>
      <c r="H3796" s="204"/>
      <c r="I3796" s="204"/>
      <c r="J3796" s="204"/>
      <c r="K3796" s="204"/>
      <c r="L3796" s="205"/>
      <c r="M3796" s="205"/>
      <c r="N3796" s="204"/>
      <c r="O3796" s="204"/>
      <c r="P3796" s="206"/>
      <c r="Q3796" s="206"/>
      <c r="R3796" s="206"/>
      <c r="S3796" s="206"/>
      <c r="T3796" s="204"/>
      <c r="U3796" s="207"/>
      <c r="V3796" s="204"/>
      <c r="W3796" s="204"/>
      <c r="X3796" s="207"/>
      <c r="Y3796" s="207"/>
      <c r="Z3796" s="204"/>
      <c r="AA3796" s="204"/>
      <c r="AB3796" s="204"/>
      <c r="AC3796" s="204"/>
    </row>
    <row r="3797" spans="1:29">
      <c r="A3797" s="204"/>
      <c r="B3797" s="204"/>
      <c r="C3797" s="204"/>
      <c r="D3797" s="204"/>
      <c r="E3797" s="204"/>
      <c r="F3797" s="204"/>
      <c r="G3797" s="204"/>
      <c r="H3797" s="204"/>
      <c r="I3797" s="204"/>
      <c r="J3797" s="204"/>
      <c r="K3797" s="204"/>
      <c r="L3797" s="205"/>
      <c r="M3797" s="205"/>
      <c r="N3797" s="204"/>
      <c r="O3797" s="204"/>
      <c r="P3797" s="206"/>
      <c r="Q3797" s="206"/>
      <c r="R3797" s="206"/>
      <c r="S3797" s="206"/>
      <c r="T3797" s="204"/>
      <c r="U3797" s="207"/>
      <c r="V3797" s="204"/>
      <c r="W3797" s="204"/>
      <c r="X3797" s="207"/>
      <c r="Y3797" s="207"/>
      <c r="Z3797" s="204"/>
      <c r="AA3797" s="204"/>
      <c r="AB3797" s="204"/>
      <c r="AC3797" s="204"/>
    </row>
    <row r="3798" spans="1:29">
      <c r="A3798" s="204"/>
      <c r="B3798" s="204"/>
      <c r="C3798" s="204"/>
      <c r="D3798" s="204"/>
      <c r="E3798" s="204"/>
      <c r="F3798" s="204"/>
      <c r="G3798" s="204"/>
      <c r="H3798" s="204"/>
      <c r="I3798" s="204"/>
      <c r="J3798" s="204"/>
      <c r="K3798" s="204"/>
      <c r="L3798" s="205"/>
      <c r="M3798" s="205"/>
      <c r="N3798" s="204"/>
      <c r="O3798" s="204"/>
      <c r="P3798" s="206"/>
      <c r="Q3798" s="206"/>
      <c r="R3798" s="206"/>
      <c r="S3798" s="206"/>
      <c r="T3798" s="204"/>
      <c r="U3798" s="207"/>
      <c r="V3798" s="204"/>
      <c r="W3798" s="204"/>
      <c r="X3798" s="207"/>
      <c r="Y3798" s="207"/>
      <c r="Z3798" s="204"/>
      <c r="AA3798" s="204"/>
      <c r="AB3798" s="204"/>
      <c r="AC3798" s="204"/>
    </row>
    <row r="3799" spans="1:29">
      <c r="A3799" s="204"/>
      <c r="B3799" s="204"/>
      <c r="C3799" s="204"/>
      <c r="D3799" s="204"/>
      <c r="E3799" s="204"/>
      <c r="F3799" s="204"/>
      <c r="G3799" s="204"/>
      <c r="H3799" s="204"/>
      <c r="I3799" s="204"/>
      <c r="J3799" s="204"/>
      <c r="K3799" s="204"/>
      <c r="L3799" s="205"/>
      <c r="M3799" s="205"/>
      <c r="N3799" s="204"/>
      <c r="O3799" s="204"/>
      <c r="P3799" s="206"/>
      <c r="Q3799" s="206"/>
      <c r="R3799" s="206"/>
      <c r="S3799" s="206"/>
      <c r="T3799" s="204"/>
      <c r="U3799" s="207"/>
      <c r="V3799" s="204"/>
      <c r="W3799" s="204"/>
      <c r="X3799" s="207"/>
      <c r="Y3799" s="207"/>
      <c r="Z3799" s="204"/>
      <c r="AA3799" s="204"/>
      <c r="AB3799" s="204"/>
      <c r="AC3799" s="204"/>
    </row>
    <row r="3800" spans="1:29">
      <c r="A3800" s="204"/>
      <c r="B3800" s="204"/>
      <c r="C3800" s="204"/>
      <c r="D3800" s="204"/>
      <c r="E3800" s="204"/>
      <c r="F3800" s="204"/>
      <c r="G3800" s="204"/>
      <c r="H3800" s="204"/>
      <c r="I3800" s="204"/>
      <c r="J3800" s="204"/>
      <c r="K3800" s="204"/>
      <c r="L3800" s="205"/>
      <c r="M3800" s="205"/>
      <c r="N3800" s="204"/>
      <c r="O3800" s="204"/>
      <c r="P3800" s="206"/>
      <c r="Q3800" s="206"/>
      <c r="R3800" s="206"/>
      <c r="S3800" s="206"/>
      <c r="T3800" s="204"/>
      <c r="U3800" s="207"/>
      <c r="V3800" s="204"/>
      <c r="W3800" s="204"/>
      <c r="X3800" s="207"/>
      <c r="Y3800" s="207"/>
      <c r="Z3800" s="204"/>
      <c r="AA3800" s="204"/>
      <c r="AB3800" s="204"/>
      <c r="AC3800" s="204"/>
    </row>
    <row r="3801" spans="1:29">
      <c r="A3801" s="204"/>
      <c r="B3801" s="204"/>
      <c r="C3801" s="204"/>
      <c r="D3801" s="204"/>
      <c r="E3801" s="204"/>
      <c r="F3801" s="204"/>
      <c r="G3801" s="204"/>
      <c r="H3801" s="204"/>
      <c r="I3801" s="204"/>
      <c r="J3801" s="204"/>
      <c r="K3801" s="204"/>
      <c r="L3801" s="205"/>
      <c r="M3801" s="205"/>
      <c r="N3801" s="204"/>
      <c r="O3801" s="204"/>
      <c r="P3801" s="206"/>
      <c r="Q3801" s="206"/>
      <c r="R3801" s="206"/>
      <c r="S3801" s="206"/>
      <c r="T3801" s="204"/>
      <c r="U3801" s="207"/>
      <c r="V3801" s="204"/>
      <c r="W3801" s="204"/>
      <c r="X3801" s="207"/>
      <c r="Y3801" s="207"/>
      <c r="Z3801" s="204"/>
      <c r="AA3801" s="204"/>
      <c r="AB3801" s="204"/>
      <c r="AC3801" s="204"/>
    </row>
    <row r="3802" spans="1:29">
      <c r="A3802" s="204"/>
      <c r="B3802" s="204"/>
      <c r="C3802" s="204"/>
      <c r="D3802" s="204"/>
      <c r="E3802" s="204"/>
      <c r="F3802" s="204"/>
      <c r="G3802" s="204"/>
      <c r="H3802" s="204"/>
      <c r="I3802" s="204"/>
      <c r="J3802" s="204"/>
      <c r="K3802" s="204"/>
      <c r="L3802" s="205"/>
      <c r="M3802" s="205"/>
      <c r="N3802" s="204"/>
      <c r="O3802" s="204"/>
      <c r="P3802" s="206"/>
      <c r="Q3802" s="206"/>
      <c r="R3802" s="206"/>
      <c r="S3802" s="206"/>
      <c r="T3802" s="204"/>
      <c r="U3802" s="207"/>
      <c r="V3802" s="204"/>
      <c r="W3802" s="204"/>
      <c r="X3802" s="207"/>
      <c r="Y3802" s="207"/>
      <c r="Z3802" s="204"/>
      <c r="AA3802" s="204"/>
      <c r="AB3802" s="204"/>
      <c r="AC3802" s="204"/>
    </row>
    <row r="3803" spans="1:29">
      <c r="A3803" s="204"/>
      <c r="B3803" s="204"/>
      <c r="C3803" s="204"/>
      <c r="D3803" s="204"/>
      <c r="E3803" s="204"/>
      <c r="F3803" s="204"/>
      <c r="G3803" s="204"/>
      <c r="H3803" s="204"/>
      <c r="I3803" s="204"/>
      <c r="J3803" s="204"/>
      <c r="K3803" s="204"/>
      <c r="L3803" s="205"/>
      <c r="M3803" s="205"/>
      <c r="N3803" s="204"/>
      <c r="O3803" s="204"/>
      <c r="P3803" s="206"/>
      <c r="Q3803" s="206"/>
      <c r="R3803" s="206"/>
      <c r="S3803" s="206"/>
      <c r="T3803" s="204"/>
      <c r="U3803" s="207"/>
      <c r="V3803" s="204"/>
      <c r="W3803" s="204"/>
      <c r="X3803" s="207"/>
      <c r="Y3803" s="207"/>
      <c r="Z3803" s="204"/>
      <c r="AA3803" s="204"/>
      <c r="AB3803" s="204"/>
      <c r="AC3803" s="204"/>
    </row>
    <row r="3804" spans="1:29">
      <c r="A3804" s="204"/>
      <c r="B3804" s="204"/>
      <c r="C3804" s="204"/>
      <c r="D3804" s="204"/>
      <c r="E3804" s="204"/>
      <c r="F3804" s="204"/>
      <c r="G3804" s="204"/>
      <c r="H3804" s="204"/>
      <c r="I3804" s="204"/>
      <c r="J3804" s="204"/>
      <c r="K3804" s="204"/>
      <c r="L3804" s="205"/>
      <c r="M3804" s="205"/>
      <c r="N3804" s="204"/>
      <c r="O3804" s="204"/>
      <c r="P3804" s="206"/>
      <c r="Q3804" s="206"/>
      <c r="R3804" s="206"/>
      <c r="S3804" s="206"/>
      <c r="T3804" s="204"/>
      <c r="U3804" s="207"/>
      <c r="V3804" s="204"/>
      <c r="W3804" s="204"/>
      <c r="X3804" s="207"/>
      <c r="Y3804" s="207"/>
      <c r="Z3804" s="204"/>
      <c r="AA3804" s="204"/>
      <c r="AB3804" s="204"/>
      <c r="AC3804" s="204"/>
    </row>
    <row r="3805" spans="1:29">
      <c r="A3805" s="204"/>
      <c r="B3805" s="204"/>
      <c r="C3805" s="204"/>
      <c r="D3805" s="204"/>
      <c r="E3805" s="204"/>
      <c r="F3805" s="204"/>
      <c r="G3805" s="204"/>
      <c r="H3805" s="204"/>
      <c r="I3805" s="204"/>
      <c r="J3805" s="204"/>
      <c r="K3805" s="204"/>
      <c r="L3805" s="205"/>
      <c r="M3805" s="205"/>
      <c r="N3805" s="204"/>
      <c r="O3805" s="204"/>
      <c r="P3805" s="206"/>
      <c r="Q3805" s="206"/>
      <c r="R3805" s="206"/>
      <c r="S3805" s="206"/>
      <c r="T3805" s="204"/>
      <c r="U3805" s="207"/>
      <c r="V3805" s="204"/>
      <c r="W3805" s="204"/>
      <c r="X3805" s="207"/>
      <c r="Y3805" s="207"/>
      <c r="Z3805" s="204"/>
      <c r="AA3805" s="204"/>
      <c r="AB3805" s="204"/>
      <c r="AC3805" s="204"/>
    </row>
    <row r="3806" spans="1:29">
      <c r="A3806" s="204"/>
      <c r="B3806" s="204"/>
      <c r="C3806" s="204"/>
      <c r="D3806" s="204"/>
      <c r="E3806" s="204"/>
      <c r="F3806" s="204"/>
      <c r="G3806" s="204"/>
      <c r="H3806" s="204"/>
      <c r="I3806" s="204"/>
      <c r="J3806" s="204"/>
      <c r="K3806" s="204"/>
      <c r="L3806" s="205"/>
      <c r="M3806" s="205"/>
      <c r="N3806" s="204"/>
      <c r="O3806" s="204"/>
      <c r="P3806" s="206"/>
      <c r="Q3806" s="206"/>
      <c r="R3806" s="206"/>
      <c r="S3806" s="206"/>
      <c r="T3806" s="204"/>
      <c r="U3806" s="207"/>
      <c r="V3806" s="204"/>
      <c r="W3806" s="204"/>
      <c r="X3806" s="207"/>
      <c r="Y3806" s="207"/>
      <c r="Z3806" s="204"/>
      <c r="AA3806" s="204"/>
      <c r="AB3806" s="204"/>
      <c r="AC3806" s="204"/>
    </row>
    <row r="3807" spans="1:29">
      <c r="A3807" s="204"/>
      <c r="B3807" s="204"/>
      <c r="C3807" s="204"/>
      <c r="D3807" s="204"/>
      <c r="E3807" s="204"/>
      <c r="F3807" s="204"/>
      <c r="G3807" s="204"/>
      <c r="H3807" s="204"/>
      <c r="I3807" s="204"/>
      <c r="J3807" s="204"/>
      <c r="K3807" s="204"/>
      <c r="L3807" s="205"/>
      <c r="M3807" s="205"/>
      <c r="N3807" s="204"/>
      <c r="O3807" s="204"/>
      <c r="P3807" s="206"/>
      <c r="Q3807" s="206"/>
      <c r="R3807" s="206"/>
      <c r="S3807" s="206"/>
      <c r="T3807" s="204"/>
      <c r="U3807" s="207"/>
      <c r="V3807" s="204"/>
      <c r="W3807" s="204"/>
      <c r="X3807" s="207"/>
      <c r="Y3807" s="207"/>
      <c r="Z3807" s="204"/>
      <c r="AA3807" s="204"/>
      <c r="AB3807" s="204"/>
      <c r="AC3807" s="204"/>
    </row>
    <row r="3808" spans="1:29">
      <c r="A3808" s="204"/>
      <c r="B3808" s="204"/>
      <c r="C3808" s="204"/>
      <c r="D3808" s="204"/>
      <c r="E3808" s="204"/>
      <c r="F3808" s="204"/>
      <c r="G3808" s="204"/>
      <c r="H3808" s="204"/>
      <c r="I3808" s="204"/>
      <c r="J3808" s="204"/>
      <c r="K3808" s="204"/>
      <c r="L3808" s="205"/>
      <c r="M3808" s="205"/>
      <c r="N3808" s="204"/>
      <c r="O3808" s="204"/>
      <c r="P3808" s="206"/>
      <c r="Q3808" s="206"/>
      <c r="R3808" s="206"/>
      <c r="S3808" s="206"/>
      <c r="T3808" s="204"/>
      <c r="U3808" s="207"/>
      <c r="V3808" s="204"/>
      <c r="W3808" s="204"/>
      <c r="X3808" s="207"/>
      <c r="Y3808" s="207"/>
      <c r="Z3808" s="204"/>
      <c r="AA3808" s="204"/>
      <c r="AB3808" s="204"/>
      <c r="AC3808" s="204"/>
    </row>
    <row r="3809" spans="1:29">
      <c r="A3809" s="204"/>
      <c r="B3809" s="204"/>
      <c r="C3809" s="204"/>
      <c r="D3809" s="204"/>
      <c r="E3809" s="204"/>
      <c r="F3809" s="204"/>
      <c r="G3809" s="204"/>
      <c r="H3809" s="204"/>
      <c r="I3809" s="204"/>
      <c r="J3809" s="204"/>
      <c r="K3809" s="204"/>
      <c r="L3809" s="205"/>
      <c r="M3809" s="205"/>
      <c r="N3809" s="204"/>
      <c r="O3809" s="204"/>
      <c r="P3809" s="206"/>
      <c r="Q3809" s="206"/>
      <c r="R3809" s="206"/>
      <c r="S3809" s="206"/>
      <c r="T3809" s="204"/>
      <c r="U3809" s="207"/>
      <c r="V3809" s="204"/>
      <c r="W3809" s="204"/>
      <c r="X3809" s="207"/>
      <c r="Y3809" s="207"/>
      <c r="Z3809" s="204"/>
      <c r="AA3809" s="204"/>
      <c r="AB3809" s="204"/>
      <c r="AC3809" s="204"/>
    </row>
    <row r="3810" spans="1:29">
      <c r="A3810" s="204"/>
      <c r="B3810" s="204"/>
      <c r="C3810" s="204"/>
      <c r="D3810" s="204"/>
      <c r="E3810" s="204"/>
      <c r="F3810" s="204"/>
      <c r="G3810" s="204"/>
      <c r="H3810" s="204"/>
      <c r="I3810" s="204"/>
      <c r="J3810" s="204"/>
      <c r="K3810" s="204"/>
      <c r="L3810" s="205"/>
      <c r="M3810" s="205"/>
      <c r="N3810" s="204"/>
      <c r="O3810" s="204"/>
      <c r="P3810" s="206"/>
      <c r="Q3810" s="206"/>
      <c r="R3810" s="206"/>
      <c r="S3810" s="206"/>
      <c r="T3810" s="204"/>
      <c r="U3810" s="207"/>
      <c r="V3810" s="204"/>
      <c r="W3810" s="204"/>
      <c r="X3810" s="207"/>
      <c r="Y3810" s="207"/>
      <c r="Z3810" s="204"/>
      <c r="AA3810" s="204"/>
      <c r="AB3810" s="204"/>
      <c r="AC3810" s="204"/>
    </row>
    <row r="3811" spans="1:29">
      <c r="A3811" s="204"/>
      <c r="B3811" s="204"/>
      <c r="C3811" s="204"/>
      <c r="D3811" s="204"/>
      <c r="E3811" s="204"/>
      <c r="F3811" s="204"/>
      <c r="G3811" s="204"/>
      <c r="H3811" s="204"/>
      <c r="I3811" s="204"/>
      <c r="J3811" s="204"/>
      <c r="K3811" s="204"/>
      <c r="L3811" s="205"/>
      <c r="M3811" s="205"/>
      <c r="N3811" s="204"/>
      <c r="O3811" s="204"/>
      <c r="P3811" s="206"/>
      <c r="Q3811" s="206"/>
      <c r="R3811" s="206"/>
      <c r="S3811" s="206"/>
      <c r="T3811" s="204"/>
      <c r="U3811" s="207"/>
      <c r="V3811" s="204"/>
      <c r="W3811" s="204"/>
      <c r="X3811" s="207"/>
      <c r="Y3811" s="207"/>
      <c r="Z3811" s="204"/>
      <c r="AA3811" s="204"/>
      <c r="AB3811" s="204"/>
      <c r="AC3811" s="204"/>
    </row>
    <row r="3812" spans="1:29">
      <c r="A3812" s="204"/>
      <c r="B3812" s="204"/>
      <c r="C3812" s="204"/>
      <c r="D3812" s="204"/>
      <c r="E3812" s="204"/>
      <c r="F3812" s="204"/>
      <c r="G3812" s="204"/>
      <c r="H3812" s="204"/>
      <c r="I3812" s="204"/>
      <c r="J3812" s="204"/>
      <c r="K3812" s="204"/>
      <c r="L3812" s="205"/>
      <c r="M3812" s="205"/>
      <c r="N3812" s="204"/>
      <c r="O3812" s="204"/>
      <c r="P3812" s="206"/>
      <c r="Q3812" s="206"/>
      <c r="R3812" s="206"/>
      <c r="S3812" s="206"/>
      <c r="T3812" s="204"/>
      <c r="U3812" s="207"/>
      <c r="V3812" s="204"/>
      <c r="W3812" s="204"/>
      <c r="X3812" s="207"/>
      <c r="Y3812" s="207"/>
      <c r="Z3812" s="204"/>
      <c r="AA3812" s="204"/>
      <c r="AB3812" s="204"/>
      <c r="AC3812" s="204"/>
    </row>
    <row r="3813" spans="1:29">
      <c r="A3813" s="204"/>
      <c r="B3813" s="204"/>
      <c r="C3813" s="204"/>
      <c r="D3813" s="204"/>
      <c r="E3813" s="204"/>
      <c r="F3813" s="204"/>
      <c r="G3813" s="204"/>
      <c r="H3813" s="204"/>
      <c r="I3813" s="204"/>
      <c r="J3813" s="204"/>
      <c r="K3813" s="204"/>
      <c r="L3813" s="205"/>
      <c r="M3813" s="205"/>
      <c r="N3813" s="204"/>
      <c r="O3813" s="204"/>
      <c r="P3813" s="206"/>
      <c r="Q3813" s="206"/>
      <c r="R3813" s="206"/>
      <c r="S3813" s="206"/>
      <c r="T3813" s="204"/>
      <c r="U3813" s="207"/>
      <c r="V3813" s="204"/>
      <c r="W3813" s="204"/>
      <c r="X3813" s="207"/>
      <c r="Y3813" s="207"/>
      <c r="Z3813" s="204"/>
      <c r="AA3813" s="204"/>
      <c r="AB3813" s="204"/>
      <c r="AC3813" s="204"/>
    </row>
    <row r="3814" spans="1:29">
      <c r="A3814" s="204"/>
      <c r="B3814" s="204"/>
      <c r="C3814" s="204"/>
      <c r="D3814" s="204"/>
      <c r="E3814" s="204"/>
      <c r="F3814" s="204"/>
      <c r="G3814" s="204"/>
      <c r="H3814" s="204"/>
      <c r="I3814" s="204"/>
      <c r="J3814" s="204"/>
      <c r="K3814" s="204"/>
      <c r="L3814" s="205"/>
      <c r="M3814" s="205"/>
      <c r="N3814" s="204"/>
      <c r="O3814" s="204"/>
      <c r="P3814" s="206"/>
      <c r="Q3814" s="206"/>
      <c r="R3814" s="206"/>
      <c r="S3814" s="206"/>
      <c r="T3814" s="204"/>
      <c r="U3814" s="207"/>
      <c r="V3814" s="204"/>
      <c r="W3814" s="204"/>
      <c r="X3814" s="207"/>
      <c r="Y3814" s="207"/>
      <c r="Z3814" s="204"/>
      <c r="AA3814" s="204"/>
      <c r="AB3814" s="204"/>
      <c r="AC3814" s="204"/>
    </row>
    <row r="3815" spans="1:29">
      <c r="A3815" s="204"/>
      <c r="B3815" s="204"/>
      <c r="C3815" s="204"/>
      <c r="D3815" s="204"/>
      <c r="E3815" s="204"/>
      <c r="F3815" s="204"/>
      <c r="G3815" s="204"/>
      <c r="H3815" s="204"/>
      <c r="I3815" s="204"/>
      <c r="J3815" s="204"/>
      <c r="K3815" s="204"/>
      <c r="L3815" s="205"/>
      <c r="M3815" s="205"/>
      <c r="N3815" s="204"/>
      <c r="O3815" s="204"/>
      <c r="P3815" s="206"/>
      <c r="Q3815" s="206"/>
      <c r="R3815" s="206"/>
      <c r="S3815" s="206"/>
      <c r="T3815" s="204"/>
      <c r="U3815" s="207"/>
      <c r="V3815" s="204"/>
      <c r="W3815" s="204"/>
      <c r="X3815" s="207"/>
      <c r="Y3815" s="207"/>
      <c r="Z3815" s="204"/>
      <c r="AA3815" s="204"/>
      <c r="AB3815" s="204"/>
      <c r="AC3815" s="204"/>
    </row>
    <row r="3816" spans="1:29">
      <c r="A3816" s="204"/>
      <c r="B3816" s="204"/>
      <c r="C3816" s="204"/>
      <c r="D3816" s="204"/>
      <c r="E3816" s="204"/>
      <c r="F3816" s="204"/>
      <c r="G3816" s="204"/>
      <c r="H3816" s="204"/>
      <c r="I3816" s="204"/>
      <c r="J3816" s="204"/>
      <c r="K3816" s="204"/>
      <c r="L3816" s="205"/>
      <c r="M3816" s="205"/>
      <c r="N3816" s="204"/>
      <c r="O3816" s="204"/>
      <c r="P3816" s="206"/>
      <c r="Q3816" s="206"/>
      <c r="R3816" s="206"/>
      <c r="S3816" s="206"/>
      <c r="T3816" s="204"/>
      <c r="U3816" s="207"/>
      <c r="V3816" s="204"/>
      <c r="W3816" s="204"/>
      <c r="X3816" s="207"/>
      <c r="Y3816" s="207"/>
      <c r="Z3816" s="204"/>
      <c r="AA3816" s="204"/>
      <c r="AB3816" s="204"/>
      <c r="AC3816" s="204"/>
    </row>
    <row r="3817" spans="1:29">
      <c r="A3817" s="204"/>
      <c r="B3817" s="204"/>
      <c r="C3817" s="204"/>
      <c r="D3817" s="204"/>
      <c r="E3817" s="204"/>
      <c r="F3817" s="204"/>
      <c r="G3817" s="204"/>
      <c r="H3817" s="204"/>
      <c r="I3817" s="204"/>
      <c r="J3817" s="204"/>
      <c r="K3817" s="204"/>
      <c r="L3817" s="205"/>
      <c r="M3817" s="205"/>
      <c r="N3817" s="204"/>
      <c r="O3817" s="204"/>
      <c r="P3817" s="206"/>
      <c r="Q3817" s="206"/>
      <c r="R3817" s="206"/>
      <c r="S3817" s="206"/>
      <c r="T3817" s="204"/>
      <c r="U3817" s="207"/>
      <c r="V3817" s="204"/>
      <c r="W3817" s="204"/>
      <c r="X3817" s="207"/>
      <c r="Y3817" s="207"/>
      <c r="Z3817" s="204"/>
      <c r="AA3817" s="204"/>
      <c r="AB3817" s="204"/>
      <c r="AC3817" s="204"/>
    </row>
    <row r="3818" spans="1:29">
      <c r="A3818" s="204"/>
      <c r="B3818" s="204"/>
      <c r="C3818" s="204"/>
      <c r="D3818" s="204"/>
      <c r="E3818" s="204"/>
      <c r="F3818" s="204"/>
      <c r="G3818" s="204"/>
      <c r="H3818" s="204"/>
      <c r="I3818" s="204"/>
      <c r="J3818" s="204"/>
      <c r="K3818" s="204"/>
      <c r="L3818" s="205"/>
      <c r="M3818" s="205"/>
      <c r="N3818" s="204"/>
      <c r="O3818" s="204"/>
      <c r="P3818" s="206"/>
      <c r="Q3818" s="206"/>
      <c r="R3818" s="206"/>
      <c r="S3818" s="206"/>
      <c r="T3818" s="204"/>
      <c r="U3818" s="207"/>
      <c r="V3818" s="204"/>
      <c r="W3818" s="204"/>
      <c r="X3818" s="207"/>
      <c r="Y3818" s="207"/>
      <c r="Z3818" s="204"/>
      <c r="AA3818" s="204"/>
      <c r="AB3818" s="204"/>
      <c r="AC3818" s="204"/>
    </row>
    <row r="3819" spans="1:29">
      <c r="A3819" s="204"/>
      <c r="B3819" s="204"/>
      <c r="C3819" s="204"/>
      <c r="D3819" s="204"/>
      <c r="E3819" s="204"/>
      <c r="F3819" s="204"/>
      <c r="G3819" s="204"/>
      <c r="H3819" s="204"/>
      <c r="I3819" s="204"/>
      <c r="J3819" s="204"/>
      <c r="K3819" s="204"/>
      <c r="L3819" s="205"/>
      <c r="M3819" s="205"/>
      <c r="N3819" s="204"/>
      <c r="O3819" s="204"/>
      <c r="P3819" s="206"/>
      <c r="Q3819" s="206"/>
      <c r="R3819" s="206"/>
      <c r="S3819" s="206"/>
      <c r="T3819" s="204"/>
      <c r="U3819" s="207"/>
      <c r="V3819" s="204"/>
      <c r="W3819" s="204"/>
      <c r="X3819" s="207"/>
      <c r="Y3819" s="207"/>
      <c r="Z3819" s="204"/>
      <c r="AA3819" s="204"/>
      <c r="AB3819" s="204"/>
      <c r="AC3819" s="204"/>
    </row>
    <row r="3820" spans="1:29">
      <c r="A3820" s="204"/>
      <c r="B3820" s="204"/>
      <c r="C3820" s="204"/>
      <c r="D3820" s="204"/>
      <c r="E3820" s="204"/>
      <c r="F3820" s="204"/>
      <c r="G3820" s="204"/>
      <c r="H3820" s="204"/>
      <c r="I3820" s="204"/>
      <c r="J3820" s="204"/>
      <c r="K3820" s="204"/>
      <c r="L3820" s="205"/>
      <c r="M3820" s="205"/>
      <c r="N3820" s="204"/>
      <c r="O3820" s="204"/>
      <c r="P3820" s="206"/>
      <c r="Q3820" s="206"/>
      <c r="R3820" s="206"/>
      <c r="S3820" s="206"/>
      <c r="T3820" s="204"/>
      <c r="U3820" s="207"/>
      <c r="V3820" s="204"/>
      <c r="W3820" s="204"/>
      <c r="X3820" s="207"/>
      <c r="Y3820" s="207"/>
      <c r="Z3820" s="204"/>
      <c r="AA3820" s="204"/>
      <c r="AB3820" s="204"/>
      <c r="AC3820" s="204"/>
    </row>
    <row r="3821" spans="1:29">
      <c r="A3821" s="204"/>
      <c r="B3821" s="204"/>
      <c r="C3821" s="204"/>
      <c r="D3821" s="204"/>
      <c r="E3821" s="204"/>
      <c r="F3821" s="204"/>
      <c r="G3821" s="204"/>
      <c r="H3821" s="204"/>
      <c r="I3821" s="204"/>
      <c r="J3821" s="204"/>
      <c r="K3821" s="204"/>
      <c r="L3821" s="205"/>
      <c r="M3821" s="205"/>
      <c r="N3821" s="204"/>
      <c r="O3821" s="204"/>
      <c r="P3821" s="206"/>
      <c r="Q3821" s="206"/>
      <c r="R3821" s="206"/>
      <c r="S3821" s="206"/>
      <c r="T3821" s="204"/>
      <c r="U3821" s="207"/>
      <c r="V3821" s="204"/>
      <c r="W3821" s="204"/>
      <c r="X3821" s="207"/>
      <c r="Y3821" s="207"/>
      <c r="Z3821" s="204"/>
      <c r="AA3821" s="204"/>
      <c r="AB3821" s="204"/>
      <c r="AC3821" s="204"/>
    </row>
    <row r="3822" spans="1:29">
      <c r="A3822" s="204"/>
      <c r="B3822" s="204"/>
      <c r="C3822" s="204"/>
      <c r="D3822" s="204"/>
      <c r="E3822" s="204"/>
      <c r="F3822" s="204"/>
      <c r="G3822" s="204"/>
      <c r="H3822" s="204"/>
      <c r="I3822" s="204"/>
      <c r="J3822" s="204"/>
      <c r="K3822" s="204"/>
      <c r="L3822" s="205"/>
      <c r="M3822" s="205"/>
      <c r="N3822" s="204"/>
      <c r="O3822" s="204"/>
      <c r="P3822" s="206"/>
      <c r="Q3822" s="206"/>
      <c r="R3822" s="206"/>
      <c r="S3822" s="206"/>
      <c r="T3822" s="204"/>
      <c r="U3822" s="207"/>
      <c r="V3822" s="204"/>
      <c r="W3822" s="204"/>
      <c r="X3822" s="207"/>
      <c r="Y3822" s="207"/>
      <c r="Z3822" s="204"/>
      <c r="AA3822" s="204"/>
      <c r="AB3822" s="204"/>
      <c r="AC3822" s="204"/>
    </row>
    <row r="3823" spans="1:29">
      <c r="A3823" s="204"/>
      <c r="B3823" s="204"/>
      <c r="C3823" s="204"/>
      <c r="D3823" s="204"/>
      <c r="E3823" s="204"/>
      <c r="F3823" s="204"/>
      <c r="G3823" s="204"/>
      <c r="H3823" s="204"/>
      <c r="I3823" s="204"/>
      <c r="J3823" s="204"/>
      <c r="K3823" s="204"/>
      <c r="L3823" s="205"/>
      <c r="M3823" s="205"/>
      <c r="N3823" s="204"/>
      <c r="O3823" s="204"/>
      <c r="P3823" s="206"/>
      <c r="Q3823" s="206"/>
      <c r="R3823" s="206"/>
      <c r="S3823" s="206"/>
      <c r="T3823" s="204"/>
      <c r="U3823" s="207"/>
      <c r="V3823" s="204"/>
      <c r="W3823" s="204"/>
      <c r="X3823" s="207"/>
      <c r="Y3823" s="207"/>
      <c r="Z3823" s="204"/>
      <c r="AA3823" s="204"/>
      <c r="AB3823" s="204"/>
      <c r="AC3823" s="204"/>
    </row>
    <row r="3824" spans="1:29">
      <c r="A3824" s="204"/>
      <c r="B3824" s="204"/>
      <c r="C3824" s="204"/>
      <c r="D3824" s="204"/>
      <c r="E3824" s="204"/>
      <c r="F3824" s="204"/>
      <c r="G3824" s="204"/>
      <c r="H3824" s="204"/>
      <c r="I3824" s="204"/>
      <c r="J3824" s="204"/>
      <c r="K3824" s="204"/>
      <c r="L3824" s="205"/>
      <c r="M3824" s="205"/>
      <c r="N3824" s="204"/>
      <c r="O3824" s="204"/>
      <c r="P3824" s="206"/>
      <c r="Q3824" s="206"/>
      <c r="R3824" s="206"/>
      <c r="S3824" s="206"/>
      <c r="T3824" s="204"/>
      <c r="U3824" s="207"/>
      <c r="V3824" s="204"/>
      <c r="W3824" s="204"/>
      <c r="X3824" s="207"/>
      <c r="Y3824" s="207"/>
      <c r="Z3824" s="204"/>
      <c r="AA3824" s="204"/>
      <c r="AB3824" s="204"/>
      <c r="AC3824" s="204"/>
    </row>
    <row r="3825" spans="1:29">
      <c r="A3825" s="204"/>
      <c r="B3825" s="204"/>
      <c r="C3825" s="204"/>
      <c r="D3825" s="204"/>
      <c r="E3825" s="204"/>
      <c r="F3825" s="204"/>
      <c r="G3825" s="204"/>
      <c r="H3825" s="204"/>
      <c r="I3825" s="204"/>
      <c r="J3825" s="204"/>
      <c r="K3825" s="204"/>
      <c r="L3825" s="205"/>
      <c r="M3825" s="205"/>
      <c r="N3825" s="204"/>
      <c r="O3825" s="204"/>
      <c r="P3825" s="206"/>
      <c r="Q3825" s="206"/>
      <c r="R3825" s="206"/>
      <c r="S3825" s="206"/>
      <c r="T3825" s="204"/>
      <c r="U3825" s="207"/>
      <c r="V3825" s="204"/>
      <c r="W3825" s="204"/>
      <c r="X3825" s="207"/>
      <c r="Y3825" s="207"/>
      <c r="Z3825" s="204"/>
      <c r="AA3825" s="204"/>
      <c r="AB3825" s="204"/>
      <c r="AC3825" s="204"/>
    </row>
    <row r="3826" spans="1:29">
      <c r="A3826" s="204"/>
      <c r="B3826" s="204"/>
      <c r="C3826" s="204"/>
      <c r="D3826" s="204"/>
      <c r="E3826" s="204"/>
      <c r="F3826" s="204"/>
      <c r="G3826" s="204"/>
      <c r="H3826" s="204"/>
      <c r="I3826" s="204"/>
      <c r="J3826" s="204"/>
      <c r="K3826" s="204"/>
      <c r="L3826" s="205"/>
      <c r="M3826" s="205"/>
      <c r="N3826" s="204"/>
      <c r="O3826" s="204"/>
      <c r="P3826" s="206"/>
      <c r="Q3826" s="206"/>
      <c r="R3826" s="206"/>
      <c r="S3826" s="206"/>
      <c r="T3826" s="204"/>
      <c r="U3826" s="207"/>
      <c r="V3826" s="204"/>
      <c r="W3826" s="204"/>
      <c r="X3826" s="207"/>
      <c r="Y3826" s="207"/>
      <c r="Z3826" s="204"/>
      <c r="AA3826" s="204"/>
      <c r="AB3826" s="204"/>
      <c r="AC3826" s="204"/>
    </row>
    <row r="3827" spans="1:29">
      <c r="A3827" s="204"/>
      <c r="B3827" s="204"/>
      <c r="C3827" s="204"/>
      <c r="D3827" s="204"/>
      <c r="E3827" s="204"/>
      <c r="F3827" s="204"/>
      <c r="G3827" s="204"/>
      <c r="H3827" s="204"/>
      <c r="I3827" s="204"/>
      <c r="J3827" s="204"/>
      <c r="K3827" s="204"/>
      <c r="L3827" s="205"/>
      <c r="M3827" s="205"/>
      <c r="N3827" s="204"/>
      <c r="O3827" s="204"/>
      <c r="P3827" s="206"/>
      <c r="Q3827" s="206"/>
      <c r="R3827" s="206"/>
      <c r="S3827" s="206"/>
      <c r="T3827" s="204"/>
      <c r="U3827" s="207"/>
      <c r="V3827" s="204"/>
      <c r="W3827" s="204"/>
      <c r="X3827" s="207"/>
      <c r="Y3827" s="207"/>
      <c r="Z3827" s="204"/>
      <c r="AA3827" s="204"/>
      <c r="AB3827" s="204"/>
      <c r="AC3827" s="204"/>
    </row>
    <row r="3828" spans="1:29">
      <c r="A3828" s="204"/>
      <c r="B3828" s="204"/>
      <c r="C3828" s="204"/>
      <c r="D3828" s="204"/>
      <c r="E3828" s="204"/>
      <c r="F3828" s="204"/>
      <c r="G3828" s="204"/>
      <c r="H3828" s="204"/>
      <c r="I3828" s="204"/>
      <c r="J3828" s="204"/>
      <c r="K3828" s="204"/>
      <c r="L3828" s="205"/>
      <c r="M3828" s="205"/>
      <c r="N3828" s="204"/>
      <c r="O3828" s="204"/>
      <c r="P3828" s="206"/>
      <c r="Q3828" s="206"/>
      <c r="R3828" s="206"/>
      <c r="S3828" s="206"/>
      <c r="T3828" s="204"/>
      <c r="U3828" s="207"/>
      <c r="V3828" s="204"/>
      <c r="W3828" s="204"/>
      <c r="X3828" s="207"/>
      <c r="Y3828" s="207"/>
      <c r="Z3828" s="204"/>
      <c r="AA3828" s="204"/>
      <c r="AB3828" s="204"/>
      <c r="AC3828" s="204"/>
    </row>
    <row r="3829" spans="1:29">
      <c r="A3829" s="204"/>
      <c r="B3829" s="204"/>
      <c r="C3829" s="204"/>
      <c r="D3829" s="204"/>
      <c r="E3829" s="204"/>
      <c r="F3829" s="204"/>
      <c r="G3829" s="204"/>
      <c r="H3829" s="204"/>
      <c r="I3829" s="204"/>
      <c r="J3829" s="204"/>
      <c r="K3829" s="204"/>
      <c r="L3829" s="205"/>
      <c r="M3829" s="205"/>
      <c r="N3829" s="204"/>
      <c r="O3829" s="204"/>
      <c r="P3829" s="206"/>
      <c r="Q3829" s="206"/>
      <c r="R3829" s="206"/>
      <c r="S3829" s="206"/>
      <c r="T3829" s="204"/>
      <c r="U3829" s="207"/>
      <c r="V3829" s="204"/>
      <c r="W3829" s="204"/>
      <c r="X3829" s="207"/>
      <c r="Y3829" s="207"/>
      <c r="Z3829" s="204"/>
      <c r="AA3829" s="204"/>
      <c r="AB3829" s="204"/>
      <c r="AC3829" s="204"/>
    </row>
    <row r="3830" spans="1:29">
      <c r="A3830" s="204"/>
      <c r="B3830" s="204"/>
      <c r="C3830" s="204"/>
      <c r="D3830" s="204"/>
      <c r="E3830" s="204"/>
      <c r="F3830" s="204"/>
      <c r="G3830" s="204"/>
      <c r="H3830" s="204"/>
      <c r="I3830" s="204"/>
      <c r="J3830" s="204"/>
      <c r="K3830" s="204"/>
      <c r="L3830" s="205"/>
      <c r="M3830" s="205"/>
      <c r="N3830" s="204"/>
      <c r="O3830" s="204"/>
      <c r="P3830" s="206"/>
      <c r="Q3830" s="206"/>
      <c r="R3830" s="206"/>
      <c r="S3830" s="206"/>
      <c r="T3830" s="204"/>
      <c r="U3830" s="207"/>
      <c r="V3830" s="204"/>
      <c r="W3830" s="204"/>
      <c r="X3830" s="207"/>
      <c r="Y3830" s="207"/>
      <c r="Z3830" s="204"/>
      <c r="AA3830" s="204"/>
      <c r="AB3830" s="204"/>
      <c r="AC3830" s="204"/>
    </row>
    <row r="3831" spans="1:29">
      <c r="A3831" s="204"/>
      <c r="B3831" s="204"/>
      <c r="C3831" s="204"/>
      <c r="D3831" s="204"/>
      <c r="E3831" s="204"/>
      <c r="F3831" s="204"/>
      <c r="G3831" s="204"/>
      <c r="H3831" s="204"/>
      <c r="I3831" s="204"/>
      <c r="J3831" s="204"/>
      <c r="K3831" s="204"/>
      <c r="L3831" s="205"/>
      <c r="M3831" s="205"/>
      <c r="N3831" s="204"/>
      <c r="O3831" s="204"/>
      <c r="P3831" s="206"/>
      <c r="Q3831" s="206"/>
      <c r="R3831" s="206"/>
      <c r="S3831" s="206"/>
      <c r="T3831" s="204"/>
      <c r="U3831" s="207"/>
      <c r="V3831" s="204"/>
      <c r="W3831" s="204"/>
      <c r="X3831" s="207"/>
      <c r="Y3831" s="207"/>
      <c r="Z3831" s="204"/>
      <c r="AA3831" s="204"/>
      <c r="AB3831" s="204"/>
      <c r="AC3831" s="204"/>
    </row>
    <row r="3832" spans="1:29">
      <c r="A3832" s="204"/>
      <c r="B3832" s="204"/>
      <c r="C3832" s="204"/>
      <c r="D3832" s="204"/>
      <c r="E3832" s="204"/>
      <c r="F3832" s="204"/>
      <c r="G3832" s="204"/>
      <c r="H3832" s="204"/>
      <c r="I3832" s="204"/>
      <c r="J3832" s="204"/>
      <c r="K3832" s="204"/>
      <c r="L3832" s="205"/>
      <c r="M3832" s="205"/>
      <c r="N3832" s="204"/>
      <c r="O3832" s="204"/>
      <c r="P3832" s="206"/>
      <c r="Q3832" s="206"/>
      <c r="R3832" s="206"/>
      <c r="S3832" s="206"/>
      <c r="T3832" s="204"/>
      <c r="U3832" s="207"/>
      <c r="V3832" s="204"/>
      <c r="W3832" s="204"/>
      <c r="X3832" s="207"/>
      <c r="Y3832" s="207"/>
      <c r="Z3832" s="204"/>
      <c r="AA3832" s="204"/>
      <c r="AB3832" s="204"/>
      <c r="AC3832" s="204"/>
    </row>
    <row r="3833" spans="1:29">
      <c r="A3833" s="204"/>
      <c r="B3833" s="204"/>
      <c r="C3833" s="204"/>
      <c r="D3833" s="204"/>
      <c r="E3833" s="204"/>
      <c r="F3833" s="204"/>
      <c r="G3833" s="204"/>
      <c r="H3833" s="204"/>
      <c r="I3833" s="204"/>
      <c r="J3833" s="204"/>
      <c r="K3833" s="204"/>
      <c r="L3833" s="205"/>
      <c r="M3833" s="205"/>
      <c r="N3833" s="204"/>
      <c r="O3833" s="204"/>
      <c r="P3833" s="206"/>
      <c r="Q3833" s="206"/>
      <c r="R3833" s="206"/>
      <c r="S3833" s="206"/>
      <c r="T3833" s="204"/>
      <c r="U3833" s="207"/>
      <c r="V3833" s="204"/>
      <c r="W3833" s="204"/>
      <c r="X3833" s="207"/>
      <c r="Y3833" s="207"/>
      <c r="Z3833" s="204"/>
      <c r="AA3833" s="204"/>
      <c r="AB3833" s="204"/>
      <c r="AC3833" s="204"/>
    </row>
    <row r="3834" spans="1:29">
      <c r="A3834" s="204"/>
      <c r="B3834" s="204"/>
      <c r="C3834" s="204"/>
      <c r="D3834" s="204"/>
      <c r="E3834" s="204"/>
      <c r="F3834" s="204"/>
      <c r="G3834" s="204"/>
      <c r="H3834" s="204"/>
      <c r="I3834" s="204"/>
      <c r="J3834" s="204"/>
      <c r="K3834" s="204"/>
      <c r="L3834" s="205"/>
      <c r="M3834" s="205"/>
      <c r="N3834" s="204"/>
      <c r="O3834" s="204"/>
      <c r="P3834" s="206"/>
      <c r="Q3834" s="206"/>
      <c r="R3834" s="206"/>
      <c r="S3834" s="206"/>
      <c r="T3834" s="204"/>
      <c r="U3834" s="207"/>
      <c r="V3834" s="204"/>
      <c r="W3834" s="204"/>
      <c r="X3834" s="207"/>
      <c r="Y3834" s="207"/>
      <c r="Z3834" s="204"/>
      <c r="AA3834" s="204"/>
      <c r="AB3834" s="204"/>
      <c r="AC3834" s="204"/>
    </row>
    <row r="3835" spans="1:29">
      <c r="A3835" s="204"/>
      <c r="B3835" s="204"/>
      <c r="C3835" s="204"/>
      <c r="D3835" s="204"/>
      <c r="E3835" s="204"/>
      <c r="F3835" s="204"/>
      <c r="G3835" s="204"/>
      <c r="H3835" s="204"/>
      <c r="I3835" s="204"/>
      <c r="J3835" s="204"/>
      <c r="K3835" s="204"/>
      <c r="L3835" s="205"/>
      <c r="M3835" s="205"/>
      <c r="N3835" s="204"/>
      <c r="O3835" s="204"/>
      <c r="P3835" s="206"/>
      <c r="Q3835" s="206"/>
      <c r="R3835" s="206"/>
      <c r="S3835" s="206"/>
      <c r="T3835" s="204"/>
      <c r="U3835" s="207"/>
      <c r="V3835" s="204"/>
      <c r="W3835" s="204"/>
      <c r="X3835" s="207"/>
      <c r="Y3835" s="207"/>
      <c r="Z3835" s="204"/>
      <c r="AA3835" s="204"/>
      <c r="AB3835" s="204"/>
      <c r="AC3835" s="204"/>
    </row>
    <row r="3836" spans="1:29">
      <c r="A3836" s="204"/>
      <c r="B3836" s="204"/>
      <c r="C3836" s="204"/>
      <c r="D3836" s="204"/>
      <c r="E3836" s="204"/>
      <c r="F3836" s="204"/>
      <c r="G3836" s="204"/>
      <c r="H3836" s="204"/>
      <c r="I3836" s="204"/>
      <c r="J3836" s="204"/>
      <c r="K3836" s="204"/>
      <c r="L3836" s="205"/>
      <c r="M3836" s="205"/>
      <c r="N3836" s="204"/>
      <c r="O3836" s="204"/>
      <c r="P3836" s="206"/>
      <c r="Q3836" s="206"/>
      <c r="R3836" s="206"/>
      <c r="S3836" s="206"/>
      <c r="T3836" s="204"/>
      <c r="U3836" s="207"/>
      <c r="V3836" s="204"/>
      <c r="W3836" s="204"/>
      <c r="X3836" s="207"/>
      <c r="Y3836" s="207"/>
      <c r="Z3836" s="204"/>
      <c r="AA3836" s="204"/>
      <c r="AB3836" s="204"/>
      <c r="AC3836" s="204"/>
    </row>
    <row r="3837" spans="1:29">
      <c r="A3837" s="204"/>
      <c r="B3837" s="204"/>
      <c r="C3837" s="204"/>
      <c r="D3837" s="204"/>
      <c r="E3837" s="204"/>
      <c r="F3837" s="204"/>
      <c r="G3837" s="204"/>
      <c r="H3837" s="204"/>
      <c r="I3837" s="204"/>
      <c r="J3837" s="204"/>
      <c r="K3837" s="204"/>
      <c r="L3837" s="205"/>
      <c r="M3837" s="205"/>
      <c r="N3837" s="204"/>
      <c r="O3837" s="204"/>
      <c r="P3837" s="206"/>
      <c r="Q3837" s="206"/>
      <c r="R3837" s="206"/>
      <c r="S3837" s="206"/>
      <c r="T3837" s="204"/>
      <c r="U3837" s="207"/>
      <c r="V3837" s="204"/>
      <c r="W3837" s="204"/>
      <c r="X3837" s="207"/>
      <c r="Y3837" s="207"/>
      <c r="Z3837" s="204"/>
      <c r="AA3837" s="204"/>
      <c r="AB3837" s="204"/>
      <c r="AC3837" s="204"/>
    </row>
    <row r="3838" spans="1:29">
      <c r="A3838" s="204"/>
      <c r="B3838" s="204"/>
      <c r="C3838" s="204"/>
      <c r="D3838" s="204"/>
      <c r="E3838" s="204"/>
      <c r="F3838" s="204"/>
      <c r="G3838" s="204"/>
      <c r="H3838" s="204"/>
      <c r="I3838" s="204"/>
      <c r="J3838" s="204"/>
      <c r="K3838" s="204"/>
      <c r="L3838" s="205"/>
      <c r="M3838" s="205"/>
      <c r="N3838" s="204"/>
      <c r="O3838" s="204"/>
      <c r="P3838" s="206"/>
      <c r="Q3838" s="206"/>
      <c r="R3838" s="206"/>
      <c r="S3838" s="206"/>
      <c r="T3838" s="204"/>
      <c r="U3838" s="207"/>
      <c r="V3838" s="204"/>
      <c r="W3838" s="204"/>
      <c r="X3838" s="207"/>
      <c r="Y3838" s="207"/>
      <c r="Z3838" s="204"/>
      <c r="AA3838" s="204"/>
      <c r="AB3838" s="204"/>
      <c r="AC3838" s="204"/>
    </row>
    <row r="3839" spans="1:29">
      <c r="A3839" s="204"/>
      <c r="B3839" s="204"/>
      <c r="C3839" s="204"/>
      <c r="D3839" s="204"/>
      <c r="E3839" s="204"/>
      <c r="F3839" s="204"/>
      <c r="G3839" s="204"/>
      <c r="H3839" s="204"/>
      <c r="I3839" s="204"/>
      <c r="J3839" s="204"/>
      <c r="K3839" s="204"/>
      <c r="L3839" s="205"/>
      <c r="M3839" s="205"/>
      <c r="N3839" s="204"/>
      <c r="O3839" s="204"/>
      <c r="P3839" s="206"/>
      <c r="Q3839" s="206"/>
      <c r="R3839" s="206"/>
      <c r="S3839" s="206"/>
      <c r="T3839" s="204"/>
      <c r="U3839" s="207"/>
      <c r="V3839" s="204"/>
      <c r="W3839" s="204"/>
      <c r="X3839" s="207"/>
      <c r="Y3839" s="207"/>
      <c r="Z3839" s="204"/>
      <c r="AA3839" s="204"/>
      <c r="AB3839" s="204"/>
      <c r="AC3839" s="204"/>
    </row>
    <row r="3840" spans="1:29">
      <c r="A3840" s="204"/>
      <c r="B3840" s="204"/>
      <c r="C3840" s="204"/>
      <c r="D3840" s="204"/>
      <c r="E3840" s="204"/>
      <c r="F3840" s="204"/>
      <c r="G3840" s="204"/>
      <c r="H3840" s="204"/>
      <c r="I3840" s="204"/>
      <c r="J3840" s="204"/>
      <c r="K3840" s="204"/>
      <c r="L3840" s="205"/>
      <c r="M3840" s="205"/>
      <c r="N3840" s="204"/>
      <c r="O3840" s="204"/>
      <c r="P3840" s="206"/>
      <c r="Q3840" s="206"/>
      <c r="R3840" s="206"/>
      <c r="S3840" s="206"/>
      <c r="T3840" s="204"/>
      <c r="U3840" s="207"/>
      <c r="V3840" s="204"/>
      <c r="W3840" s="204"/>
      <c r="X3840" s="207"/>
      <c r="Y3840" s="207"/>
      <c r="Z3840" s="204"/>
      <c r="AA3840" s="204"/>
      <c r="AB3840" s="204"/>
      <c r="AC3840" s="204"/>
    </row>
    <row r="3841" spans="1:29">
      <c r="A3841" s="204"/>
      <c r="B3841" s="204"/>
      <c r="C3841" s="204"/>
      <c r="D3841" s="204"/>
      <c r="E3841" s="204"/>
      <c r="F3841" s="204"/>
      <c r="G3841" s="204"/>
      <c r="H3841" s="204"/>
      <c r="I3841" s="204"/>
      <c r="J3841" s="204"/>
      <c r="K3841" s="204"/>
      <c r="L3841" s="205"/>
      <c r="M3841" s="205"/>
      <c r="N3841" s="204"/>
      <c r="O3841" s="204"/>
      <c r="P3841" s="206"/>
      <c r="Q3841" s="206"/>
      <c r="R3841" s="206"/>
      <c r="S3841" s="206"/>
      <c r="T3841" s="204"/>
      <c r="U3841" s="207"/>
      <c r="V3841" s="204"/>
      <c r="W3841" s="204"/>
      <c r="X3841" s="207"/>
      <c r="Y3841" s="207"/>
      <c r="Z3841" s="204"/>
      <c r="AA3841" s="204"/>
      <c r="AB3841" s="204"/>
      <c r="AC3841" s="204"/>
    </row>
    <row r="3842" spans="1:29">
      <c r="A3842" s="204"/>
      <c r="B3842" s="204"/>
      <c r="C3842" s="204"/>
      <c r="D3842" s="204"/>
      <c r="E3842" s="204"/>
      <c r="F3842" s="204"/>
      <c r="G3842" s="204"/>
      <c r="H3842" s="204"/>
      <c r="I3842" s="204"/>
      <c r="J3842" s="204"/>
      <c r="K3842" s="204"/>
      <c r="L3842" s="205"/>
      <c r="M3842" s="205"/>
      <c r="N3842" s="204"/>
      <c r="O3842" s="204"/>
      <c r="P3842" s="206"/>
      <c r="Q3842" s="206"/>
      <c r="R3842" s="206"/>
      <c r="S3842" s="206"/>
      <c r="T3842" s="204"/>
      <c r="U3842" s="207"/>
      <c r="V3842" s="204"/>
      <c r="W3842" s="204"/>
      <c r="X3842" s="207"/>
      <c r="Y3842" s="207"/>
      <c r="Z3842" s="204"/>
      <c r="AA3842" s="204"/>
      <c r="AB3842" s="204"/>
      <c r="AC3842" s="204"/>
    </row>
    <row r="3843" spans="1:29">
      <c r="A3843" s="204"/>
      <c r="B3843" s="204"/>
      <c r="C3843" s="204"/>
      <c r="D3843" s="204"/>
      <c r="E3843" s="204"/>
      <c r="F3843" s="204"/>
      <c r="G3843" s="204"/>
      <c r="H3843" s="204"/>
      <c r="I3843" s="204"/>
      <c r="J3843" s="204"/>
      <c r="K3843" s="204"/>
      <c r="L3843" s="205"/>
      <c r="M3843" s="205"/>
      <c r="N3843" s="204"/>
      <c r="O3843" s="204"/>
      <c r="P3843" s="206"/>
      <c r="Q3843" s="206"/>
      <c r="R3843" s="206"/>
      <c r="S3843" s="206"/>
      <c r="T3843" s="204"/>
      <c r="U3843" s="207"/>
      <c r="V3843" s="204"/>
      <c r="W3843" s="204"/>
      <c r="X3843" s="207"/>
      <c r="Y3843" s="207"/>
      <c r="Z3843" s="204"/>
      <c r="AA3843" s="204"/>
      <c r="AB3843" s="204"/>
      <c r="AC3843" s="204"/>
    </row>
    <row r="3844" spans="1:29">
      <c r="A3844" s="204"/>
      <c r="B3844" s="204"/>
      <c r="C3844" s="204"/>
      <c r="D3844" s="204"/>
      <c r="E3844" s="204"/>
      <c r="F3844" s="204"/>
      <c r="G3844" s="204"/>
      <c r="H3844" s="204"/>
      <c r="I3844" s="204"/>
      <c r="J3844" s="204"/>
      <c r="K3844" s="204"/>
      <c r="L3844" s="205"/>
      <c r="M3844" s="205"/>
      <c r="N3844" s="204"/>
      <c r="O3844" s="204"/>
      <c r="P3844" s="206"/>
      <c r="Q3844" s="206"/>
      <c r="R3844" s="206"/>
      <c r="S3844" s="206"/>
      <c r="T3844" s="204"/>
      <c r="U3844" s="207"/>
      <c r="V3844" s="204"/>
      <c r="W3844" s="204"/>
      <c r="X3844" s="207"/>
      <c r="Y3844" s="207"/>
      <c r="Z3844" s="204"/>
      <c r="AA3844" s="204"/>
      <c r="AB3844" s="204"/>
      <c r="AC3844" s="204"/>
    </row>
    <row r="3845" spans="1:29">
      <c r="A3845" s="204"/>
      <c r="B3845" s="204"/>
      <c r="C3845" s="204"/>
      <c r="D3845" s="204"/>
      <c r="E3845" s="204"/>
      <c r="F3845" s="204"/>
      <c r="G3845" s="204"/>
      <c r="H3845" s="204"/>
      <c r="I3845" s="204"/>
      <c r="J3845" s="204"/>
      <c r="K3845" s="204"/>
      <c r="L3845" s="205"/>
      <c r="M3845" s="205"/>
      <c r="N3845" s="204"/>
      <c r="O3845" s="204"/>
      <c r="P3845" s="206"/>
      <c r="Q3845" s="206"/>
      <c r="R3845" s="206"/>
      <c r="S3845" s="206"/>
      <c r="T3845" s="204"/>
      <c r="U3845" s="207"/>
      <c r="V3845" s="204"/>
      <c r="W3845" s="204"/>
      <c r="X3845" s="207"/>
      <c r="Y3845" s="207"/>
      <c r="Z3845" s="204"/>
      <c r="AA3845" s="204"/>
      <c r="AB3845" s="204"/>
      <c r="AC3845" s="204"/>
    </row>
    <row r="3846" spans="1:29">
      <c r="A3846" s="204"/>
      <c r="B3846" s="204"/>
      <c r="C3846" s="204"/>
      <c r="D3846" s="204"/>
      <c r="E3846" s="204"/>
      <c r="F3846" s="204"/>
      <c r="G3846" s="204"/>
      <c r="H3846" s="204"/>
      <c r="I3846" s="204"/>
      <c r="J3846" s="204"/>
      <c r="K3846" s="204"/>
      <c r="L3846" s="205"/>
      <c r="M3846" s="205"/>
      <c r="N3846" s="204"/>
      <c r="O3846" s="204"/>
      <c r="P3846" s="206"/>
      <c r="Q3846" s="206"/>
      <c r="R3846" s="206"/>
      <c r="S3846" s="206"/>
      <c r="T3846" s="204"/>
      <c r="U3846" s="207"/>
      <c r="V3846" s="204"/>
      <c r="W3846" s="204"/>
      <c r="X3846" s="207"/>
      <c r="Y3846" s="207"/>
      <c r="Z3846" s="204"/>
      <c r="AA3846" s="204"/>
      <c r="AB3846" s="204"/>
      <c r="AC3846" s="204"/>
    </row>
    <row r="3847" spans="1:29">
      <c r="A3847" s="204"/>
      <c r="B3847" s="204"/>
      <c r="C3847" s="204"/>
      <c r="D3847" s="204"/>
      <c r="E3847" s="204"/>
      <c r="F3847" s="204"/>
      <c r="G3847" s="204"/>
      <c r="H3847" s="204"/>
      <c r="I3847" s="204"/>
      <c r="J3847" s="204"/>
      <c r="K3847" s="204"/>
      <c r="L3847" s="205"/>
      <c r="M3847" s="205"/>
      <c r="N3847" s="204"/>
      <c r="O3847" s="204"/>
      <c r="P3847" s="206"/>
      <c r="Q3847" s="206"/>
      <c r="R3847" s="206"/>
      <c r="S3847" s="206"/>
      <c r="T3847" s="204"/>
      <c r="U3847" s="207"/>
      <c r="V3847" s="204"/>
      <c r="W3847" s="204"/>
      <c r="X3847" s="207"/>
      <c r="Y3847" s="207"/>
      <c r="Z3847" s="204"/>
      <c r="AA3847" s="204"/>
      <c r="AB3847" s="204"/>
      <c r="AC3847" s="204"/>
    </row>
    <row r="3848" spans="1:29">
      <c r="A3848" s="204"/>
      <c r="B3848" s="204"/>
      <c r="C3848" s="204"/>
      <c r="D3848" s="204"/>
      <c r="E3848" s="204"/>
      <c r="F3848" s="204"/>
      <c r="G3848" s="204"/>
      <c r="H3848" s="204"/>
      <c r="I3848" s="204"/>
      <c r="J3848" s="204"/>
      <c r="K3848" s="204"/>
      <c r="L3848" s="205"/>
      <c r="M3848" s="205"/>
      <c r="N3848" s="204"/>
      <c r="O3848" s="204"/>
      <c r="P3848" s="206"/>
      <c r="Q3848" s="206"/>
      <c r="R3848" s="206"/>
      <c r="S3848" s="206"/>
      <c r="T3848" s="204"/>
      <c r="U3848" s="207"/>
      <c r="V3848" s="204"/>
      <c r="W3848" s="204"/>
      <c r="X3848" s="207"/>
      <c r="Y3848" s="207"/>
      <c r="Z3848" s="204"/>
      <c r="AA3848" s="204"/>
      <c r="AB3848" s="204"/>
      <c r="AC3848" s="204"/>
    </row>
    <row r="3849" spans="1:29">
      <c r="A3849" s="204"/>
      <c r="B3849" s="204"/>
      <c r="C3849" s="204"/>
      <c r="D3849" s="204"/>
      <c r="E3849" s="204"/>
      <c r="F3849" s="204"/>
      <c r="G3849" s="204"/>
      <c r="H3849" s="204"/>
      <c r="I3849" s="204"/>
      <c r="J3849" s="204"/>
      <c r="K3849" s="204"/>
      <c r="L3849" s="205"/>
      <c r="M3849" s="205"/>
      <c r="N3849" s="204"/>
      <c r="O3849" s="204"/>
      <c r="P3849" s="206"/>
      <c r="Q3849" s="206"/>
      <c r="R3849" s="206"/>
      <c r="S3849" s="206"/>
      <c r="T3849" s="204"/>
      <c r="U3849" s="207"/>
      <c r="V3849" s="204"/>
      <c r="W3849" s="204"/>
      <c r="X3849" s="207"/>
      <c r="Y3849" s="207"/>
      <c r="Z3849" s="204"/>
      <c r="AA3849" s="204"/>
      <c r="AB3849" s="204"/>
      <c r="AC3849" s="204"/>
    </row>
    <row r="3850" spans="1:29">
      <c r="A3850" s="204"/>
      <c r="B3850" s="204"/>
      <c r="C3850" s="204"/>
      <c r="D3850" s="204"/>
      <c r="E3850" s="204"/>
      <c r="F3850" s="204"/>
      <c r="G3850" s="204"/>
      <c r="H3850" s="204"/>
      <c r="I3850" s="204"/>
      <c r="J3850" s="204"/>
      <c r="K3850" s="204"/>
      <c r="L3850" s="205"/>
      <c r="M3850" s="205"/>
      <c r="N3850" s="204"/>
      <c r="O3850" s="204"/>
      <c r="P3850" s="206"/>
      <c r="Q3850" s="206"/>
      <c r="R3850" s="206"/>
      <c r="S3850" s="206"/>
      <c r="T3850" s="204"/>
      <c r="U3850" s="207"/>
      <c r="V3850" s="204"/>
      <c r="W3850" s="204"/>
      <c r="X3850" s="207"/>
      <c r="Y3850" s="207"/>
      <c r="Z3850" s="204"/>
      <c r="AA3850" s="204"/>
      <c r="AB3850" s="204"/>
      <c r="AC3850" s="204"/>
    </row>
    <row r="3851" spans="1:29">
      <c r="A3851" s="204"/>
      <c r="B3851" s="204"/>
      <c r="C3851" s="204"/>
      <c r="D3851" s="204"/>
      <c r="E3851" s="204"/>
      <c r="F3851" s="204"/>
      <c r="G3851" s="204"/>
      <c r="H3851" s="204"/>
      <c r="I3851" s="204"/>
      <c r="J3851" s="204"/>
      <c r="K3851" s="204"/>
      <c r="L3851" s="205"/>
      <c r="M3851" s="205"/>
      <c r="N3851" s="204"/>
      <c r="O3851" s="204"/>
      <c r="P3851" s="206"/>
      <c r="Q3851" s="206"/>
      <c r="R3851" s="206"/>
      <c r="S3851" s="206"/>
      <c r="T3851" s="204"/>
      <c r="U3851" s="207"/>
      <c r="V3851" s="204"/>
      <c r="W3851" s="204"/>
      <c r="X3851" s="207"/>
      <c r="Y3851" s="207"/>
      <c r="Z3851" s="204"/>
      <c r="AA3851" s="204"/>
      <c r="AB3851" s="204"/>
      <c r="AC3851" s="204"/>
    </row>
    <row r="3852" spans="1:29">
      <c r="A3852" s="204"/>
      <c r="B3852" s="204"/>
      <c r="C3852" s="204"/>
      <c r="D3852" s="204"/>
      <c r="E3852" s="204"/>
      <c r="F3852" s="204"/>
      <c r="G3852" s="204"/>
      <c r="H3852" s="204"/>
      <c r="I3852" s="204"/>
      <c r="J3852" s="204"/>
      <c r="K3852" s="204"/>
      <c r="L3852" s="205"/>
      <c r="M3852" s="205"/>
      <c r="N3852" s="204"/>
      <c r="O3852" s="204"/>
      <c r="P3852" s="206"/>
      <c r="Q3852" s="206"/>
      <c r="R3852" s="206"/>
      <c r="S3852" s="206"/>
      <c r="T3852" s="204"/>
      <c r="U3852" s="207"/>
      <c r="V3852" s="204"/>
      <c r="W3852" s="204"/>
      <c r="X3852" s="207"/>
      <c r="Y3852" s="207"/>
      <c r="Z3852" s="204"/>
      <c r="AA3852" s="204"/>
      <c r="AB3852" s="204"/>
      <c r="AC3852" s="204"/>
    </row>
    <row r="3853" spans="1:29">
      <c r="A3853" s="204"/>
      <c r="B3853" s="204"/>
      <c r="C3853" s="204"/>
      <c r="D3853" s="204"/>
      <c r="E3853" s="204"/>
      <c r="F3853" s="204"/>
      <c r="G3853" s="204"/>
      <c r="H3853" s="204"/>
      <c r="I3853" s="204"/>
      <c r="J3853" s="204"/>
      <c r="K3853" s="204"/>
      <c r="L3853" s="205"/>
      <c r="M3853" s="205"/>
      <c r="N3853" s="204"/>
      <c r="O3853" s="204"/>
      <c r="P3853" s="206"/>
      <c r="Q3853" s="206"/>
      <c r="R3853" s="206"/>
      <c r="S3853" s="206"/>
      <c r="T3853" s="204"/>
      <c r="U3853" s="207"/>
      <c r="V3853" s="204"/>
      <c r="W3853" s="204"/>
      <c r="X3853" s="207"/>
      <c r="Y3853" s="207"/>
      <c r="Z3853" s="204"/>
      <c r="AA3853" s="204"/>
      <c r="AB3853" s="204"/>
      <c r="AC3853" s="204"/>
    </row>
    <row r="3854" spans="1:29">
      <c r="A3854" s="204"/>
      <c r="B3854" s="204"/>
      <c r="C3854" s="204"/>
      <c r="D3854" s="204"/>
      <c r="E3854" s="204"/>
      <c r="F3854" s="204"/>
      <c r="G3854" s="204"/>
      <c r="H3854" s="204"/>
      <c r="I3854" s="204"/>
      <c r="J3854" s="204"/>
      <c r="K3854" s="204"/>
      <c r="L3854" s="205"/>
      <c r="M3854" s="205"/>
      <c r="N3854" s="204"/>
      <c r="O3854" s="204"/>
      <c r="P3854" s="206"/>
      <c r="Q3854" s="206"/>
      <c r="R3854" s="206"/>
      <c r="S3854" s="206"/>
      <c r="T3854" s="204"/>
      <c r="U3854" s="207"/>
      <c r="V3854" s="204"/>
      <c r="W3854" s="204"/>
      <c r="X3854" s="207"/>
      <c r="Y3854" s="207"/>
      <c r="Z3854" s="204"/>
      <c r="AA3854" s="204"/>
      <c r="AB3854" s="204"/>
      <c r="AC3854" s="204"/>
    </row>
    <row r="3855" spans="1:29">
      <c r="A3855" s="204"/>
      <c r="B3855" s="204"/>
      <c r="C3855" s="204"/>
      <c r="D3855" s="204"/>
      <c r="E3855" s="204"/>
      <c r="F3855" s="204"/>
      <c r="G3855" s="204"/>
      <c r="H3855" s="204"/>
      <c r="I3855" s="204"/>
      <c r="J3855" s="204"/>
      <c r="K3855" s="204"/>
      <c r="L3855" s="205"/>
      <c r="M3855" s="205"/>
      <c r="N3855" s="204"/>
      <c r="O3855" s="204"/>
      <c r="P3855" s="206"/>
      <c r="Q3855" s="206"/>
      <c r="R3855" s="206"/>
      <c r="S3855" s="206"/>
      <c r="T3855" s="204"/>
      <c r="U3855" s="207"/>
      <c r="V3855" s="204"/>
      <c r="W3855" s="204"/>
      <c r="X3855" s="207"/>
      <c r="Y3855" s="207"/>
      <c r="Z3855" s="204"/>
      <c r="AA3855" s="204"/>
      <c r="AB3855" s="204"/>
      <c r="AC3855" s="204"/>
    </row>
    <row r="3856" spans="1:29">
      <c r="A3856" s="204"/>
      <c r="B3856" s="204"/>
      <c r="C3856" s="204"/>
      <c r="D3856" s="204"/>
      <c r="E3856" s="204"/>
      <c r="F3856" s="204"/>
      <c r="G3856" s="204"/>
      <c r="H3856" s="204"/>
      <c r="I3856" s="204"/>
      <c r="J3856" s="204"/>
      <c r="K3856" s="204"/>
      <c r="L3856" s="205"/>
      <c r="M3856" s="205"/>
      <c r="N3856" s="204"/>
      <c r="O3856" s="204"/>
      <c r="P3856" s="206"/>
      <c r="Q3856" s="206"/>
      <c r="R3856" s="206"/>
      <c r="S3856" s="206"/>
      <c r="T3856" s="204"/>
      <c r="U3856" s="207"/>
      <c r="V3856" s="204"/>
      <c r="W3856" s="204"/>
      <c r="X3856" s="207"/>
      <c r="Y3856" s="207"/>
      <c r="Z3856" s="204"/>
      <c r="AA3856" s="204"/>
      <c r="AB3856" s="204"/>
      <c r="AC3856" s="204"/>
    </row>
    <row r="3857" spans="1:29">
      <c r="A3857" s="204"/>
      <c r="B3857" s="204"/>
      <c r="C3857" s="204"/>
      <c r="D3857" s="204"/>
      <c r="E3857" s="204"/>
      <c r="F3857" s="204"/>
      <c r="G3857" s="204"/>
      <c r="H3857" s="204"/>
      <c r="I3857" s="204"/>
      <c r="J3857" s="204"/>
      <c r="K3857" s="204"/>
      <c r="L3857" s="205"/>
      <c r="M3857" s="205"/>
      <c r="N3857" s="204"/>
      <c r="O3857" s="204"/>
      <c r="P3857" s="206"/>
      <c r="Q3857" s="206"/>
      <c r="R3857" s="206"/>
      <c r="S3857" s="206"/>
      <c r="T3857" s="204"/>
      <c r="U3857" s="207"/>
      <c r="V3857" s="204"/>
      <c r="W3857" s="204"/>
      <c r="X3857" s="207"/>
      <c r="Y3857" s="207"/>
      <c r="Z3857" s="204"/>
      <c r="AA3857" s="204"/>
      <c r="AB3857" s="204"/>
      <c r="AC3857" s="204"/>
    </row>
    <row r="3858" spans="1:29">
      <c r="A3858" s="204"/>
      <c r="B3858" s="204"/>
      <c r="C3858" s="204"/>
      <c r="D3858" s="204"/>
      <c r="E3858" s="204"/>
      <c r="F3858" s="204"/>
      <c r="G3858" s="204"/>
      <c r="H3858" s="204"/>
      <c r="I3858" s="204"/>
      <c r="J3858" s="204"/>
      <c r="K3858" s="204"/>
      <c r="L3858" s="205"/>
      <c r="M3858" s="205"/>
      <c r="N3858" s="204"/>
      <c r="O3858" s="204"/>
      <c r="P3858" s="206"/>
      <c r="Q3858" s="206"/>
      <c r="R3858" s="206"/>
      <c r="S3858" s="206"/>
      <c r="T3858" s="204"/>
      <c r="U3858" s="207"/>
      <c r="V3858" s="204"/>
      <c r="W3858" s="204"/>
      <c r="X3858" s="207"/>
      <c r="Y3858" s="207"/>
      <c r="Z3858" s="204"/>
      <c r="AA3858" s="204"/>
      <c r="AB3858" s="204"/>
      <c r="AC3858" s="204"/>
    </row>
    <row r="3859" spans="1:29">
      <c r="A3859" s="204"/>
      <c r="B3859" s="204"/>
      <c r="C3859" s="204"/>
      <c r="D3859" s="204"/>
      <c r="E3859" s="204"/>
      <c r="F3859" s="204"/>
      <c r="G3859" s="204"/>
      <c r="H3859" s="204"/>
      <c r="I3859" s="204"/>
      <c r="J3859" s="204"/>
      <c r="K3859" s="204"/>
      <c r="L3859" s="205"/>
      <c r="M3859" s="205"/>
      <c r="N3859" s="204"/>
      <c r="O3859" s="204"/>
      <c r="P3859" s="206"/>
      <c r="Q3859" s="206"/>
      <c r="R3859" s="206"/>
      <c r="S3859" s="206"/>
      <c r="T3859" s="204"/>
      <c r="U3859" s="207"/>
      <c r="V3859" s="204"/>
      <c r="W3859" s="204"/>
      <c r="X3859" s="207"/>
      <c r="Y3859" s="207"/>
      <c r="Z3859" s="204"/>
      <c r="AA3859" s="204"/>
      <c r="AB3859" s="204"/>
      <c r="AC3859" s="204"/>
    </row>
    <row r="3860" spans="1:29">
      <c r="A3860" s="204"/>
      <c r="B3860" s="204"/>
      <c r="C3860" s="204"/>
      <c r="D3860" s="204"/>
      <c r="E3860" s="204"/>
      <c r="F3860" s="204"/>
      <c r="G3860" s="204"/>
      <c r="H3860" s="204"/>
      <c r="I3860" s="204"/>
      <c r="J3860" s="204"/>
      <c r="K3860" s="204"/>
      <c r="L3860" s="205"/>
      <c r="M3860" s="205"/>
      <c r="N3860" s="204"/>
      <c r="O3860" s="204"/>
      <c r="P3860" s="206"/>
      <c r="Q3860" s="206"/>
      <c r="R3860" s="206"/>
      <c r="S3860" s="206"/>
      <c r="T3860" s="204"/>
      <c r="U3860" s="207"/>
      <c r="V3860" s="204"/>
      <c r="W3860" s="204"/>
      <c r="X3860" s="207"/>
      <c r="Y3860" s="207"/>
      <c r="Z3860" s="204"/>
      <c r="AA3860" s="204"/>
      <c r="AB3860" s="204"/>
      <c r="AC3860" s="204"/>
    </row>
    <row r="3861" spans="1:29">
      <c r="A3861" s="204"/>
      <c r="B3861" s="204"/>
      <c r="C3861" s="204"/>
      <c r="D3861" s="204"/>
      <c r="E3861" s="204"/>
      <c r="F3861" s="204"/>
      <c r="G3861" s="204"/>
      <c r="H3861" s="204"/>
      <c r="I3861" s="204"/>
      <c r="J3861" s="204"/>
      <c r="K3861" s="204"/>
      <c r="L3861" s="205"/>
      <c r="M3861" s="205"/>
      <c r="N3861" s="204"/>
      <c r="O3861" s="204"/>
      <c r="P3861" s="206"/>
      <c r="Q3861" s="206"/>
      <c r="R3861" s="206"/>
      <c r="S3861" s="206"/>
      <c r="T3861" s="204"/>
      <c r="U3861" s="207"/>
      <c r="V3861" s="204"/>
      <c r="W3861" s="204"/>
      <c r="X3861" s="207"/>
      <c r="Y3861" s="207"/>
      <c r="Z3861" s="204"/>
      <c r="AA3861" s="204"/>
      <c r="AB3861" s="204"/>
      <c r="AC3861" s="204"/>
    </row>
    <row r="3862" spans="1:29">
      <c r="A3862" s="204"/>
      <c r="B3862" s="204"/>
      <c r="C3862" s="204"/>
      <c r="D3862" s="204"/>
      <c r="E3862" s="204"/>
      <c r="F3862" s="204"/>
      <c r="G3862" s="204"/>
      <c r="H3862" s="204"/>
      <c r="I3862" s="204"/>
      <c r="J3862" s="204"/>
      <c r="K3862" s="204"/>
      <c r="L3862" s="205"/>
      <c r="M3862" s="205"/>
      <c r="N3862" s="204"/>
      <c r="O3862" s="204"/>
      <c r="P3862" s="206"/>
      <c r="Q3862" s="206"/>
      <c r="R3862" s="206"/>
      <c r="S3862" s="206"/>
      <c r="T3862" s="204"/>
      <c r="U3862" s="207"/>
      <c r="V3862" s="204"/>
      <c r="W3862" s="204"/>
      <c r="X3862" s="207"/>
      <c r="Y3862" s="207"/>
      <c r="Z3862" s="204"/>
      <c r="AA3862" s="204"/>
      <c r="AB3862" s="204"/>
      <c r="AC3862" s="204"/>
    </row>
    <row r="3863" spans="1:29">
      <c r="A3863" s="204"/>
      <c r="B3863" s="204"/>
      <c r="C3863" s="204"/>
      <c r="D3863" s="204"/>
      <c r="E3863" s="204"/>
      <c r="F3863" s="204"/>
      <c r="G3863" s="204"/>
      <c r="H3863" s="204"/>
      <c r="I3863" s="204"/>
      <c r="J3863" s="204"/>
      <c r="K3863" s="204"/>
      <c r="L3863" s="205"/>
      <c r="M3863" s="205"/>
      <c r="N3863" s="204"/>
      <c r="O3863" s="204"/>
      <c r="P3863" s="206"/>
      <c r="Q3863" s="206"/>
      <c r="R3863" s="206"/>
      <c r="S3863" s="206"/>
      <c r="T3863" s="204"/>
      <c r="U3863" s="207"/>
      <c r="V3863" s="204"/>
      <c r="W3863" s="204"/>
      <c r="X3863" s="207"/>
      <c r="Y3863" s="207"/>
      <c r="Z3863" s="204"/>
      <c r="AA3863" s="204"/>
      <c r="AB3863" s="204"/>
      <c r="AC3863" s="204"/>
    </row>
    <row r="3864" spans="1:29">
      <c r="A3864" s="204"/>
      <c r="B3864" s="204"/>
      <c r="C3864" s="204"/>
      <c r="D3864" s="204"/>
      <c r="E3864" s="204"/>
      <c r="F3864" s="204"/>
      <c r="G3864" s="204"/>
      <c r="H3864" s="204"/>
      <c r="I3864" s="204"/>
      <c r="J3864" s="204"/>
      <c r="K3864" s="204"/>
      <c r="L3864" s="205"/>
      <c r="M3864" s="205"/>
      <c r="N3864" s="204"/>
      <c r="O3864" s="204"/>
      <c r="P3864" s="206"/>
      <c r="Q3864" s="206"/>
      <c r="R3864" s="206"/>
      <c r="S3864" s="206"/>
      <c r="T3864" s="204"/>
      <c r="U3864" s="207"/>
      <c r="V3864" s="204"/>
      <c r="W3864" s="204"/>
      <c r="X3864" s="207"/>
      <c r="Y3864" s="207"/>
      <c r="Z3864" s="204"/>
      <c r="AA3864" s="204"/>
      <c r="AB3864" s="204"/>
      <c r="AC3864" s="204"/>
    </row>
    <row r="3865" spans="1:29">
      <c r="A3865" s="204"/>
      <c r="B3865" s="204"/>
      <c r="C3865" s="204"/>
      <c r="D3865" s="204"/>
      <c r="E3865" s="204"/>
      <c r="F3865" s="204"/>
      <c r="G3865" s="204"/>
      <c r="H3865" s="204"/>
      <c r="I3865" s="204"/>
      <c r="J3865" s="204"/>
      <c r="K3865" s="204"/>
      <c r="L3865" s="205"/>
      <c r="M3865" s="205"/>
      <c r="N3865" s="204"/>
      <c r="O3865" s="204"/>
      <c r="P3865" s="206"/>
      <c r="Q3865" s="206"/>
      <c r="R3865" s="206"/>
      <c r="S3865" s="206"/>
      <c r="T3865" s="204"/>
      <c r="U3865" s="207"/>
      <c r="V3865" s="204"/>
      <c r="W3865" s="204"/>
      <c r="X3865" s="207"/>
      <c r="Y3865" s="207"/>
      <c r="Z3865" s="204"/>
      <c r="AA3865" s="204"/>
      <c r="AB3865" s="204"/>
      <c r="AC3865" s="204"/>
    </row>
    <row r="3866" spans="1:29">
      <c r="A3866" s="204"/>
      <c r="B3866" s="204"/>
      <c r="C3866" s="204"/>
      <c r="D3866" s="204"/>
      <c r="E3866" s="204"/>
      <c r="F3866" s="204"/>
      <c r="G3866" s="204"/>
      <c r="H3866" s="204"/>
      <c r="I3866" s="204"/>
      <c r="J3866" s="204"/>
      <c r="K3866" s="204"/>
      <c r="L3866" s="205"/>
      <c r="M3866" s="205"/>
      <c r="N3866" s="204"/>
      <c r="O3866" s="204"/>
      <c r="P3866" s="206"/>
      <c r="Q3866" s="206"/>
      <c r="R3866" s="206"/>
      <c r="S3866" s="206"/>
      <c r="T3866" s="204"/>
      <c r="U3866" s="207"/>
      <c r="V3866" s="204"/>
      <c r="W3866" s="204"/>
      <c r="X3866" s="207"/>
      <c r="Y3866" s="207"/>
      <c r="Z3866" s="204"/>
      <c r="AA3866" s="204"/>
      <c r="AB3866" s="204"/>
      <c r="AC3866" s="204"/>
    </row>
    <row r="3867" spans="1:29">
      <c r="A3867" s="204"/>
      <c r="B3867" s="204"/>
      <c r="C3867" s="204"/>
      <c r="D3867" s="204"/>
      <c r="E3867" s="204"/>
      <c r="F3867" s="204"/>
      <c r="G3867" s="204"/>
      <c r="H3867" s="204"/>
      <c r="I3867" s="204"/>
      <c r="J3867" s="204"/>
      <c r="K3867" s="204"/>
      <c r="L3867" s="205"/>
      <c r="M3867" s="205"/>
      <c r="N3867" s="204"/>
      <c r="O3867" s="204"/>
      <c r="P3867" s="206"/>
      <c r="Q3867" s="206"/>
      <c r="R3867" s="206"/>
      <c r="S3867" s="206"/>
      <c r="T3867" s="204"/>
      <c r="U3867" s="207"/>
      <c r="V3867" s="204"/>
      <c r="W3867" s="204"/>
      <c r="X3867" s="207"/>
      <c r="Y3867" s="207"/>
      <c r="Z3867" s="204"/>
      <c r="AA3867" s="204"/>
      <c r="AB3867" s="204"/>
      <c r="AC3867" s="204"/>
    </row>
    <row r="3868" spans="1:29">
      <c r="A3868" s="204"/>
      <c r="B3868" s="204"/>
      <c r="C3868" s="204"/>
      <c r="D3868" s="204"/>
      <c r="E3868" s="204"/>
      <c r="F3868" s="204"/>
      <c r="G3868" s="204"/>
      <c r="H3868" s="204"/>
      <c r="I3868" s="204"/>
      <c r="J3868" s="204"/>
      <c r="K3868" s="204"/>
      <c r="L3868" s="205"/>
      <c r="M3868" s="205"/>
      <c r="N3868" s="204"/>
      <c r="O3868" s="204"/>
      <c r="P3868" s="206"/>
      <c r="Q3868" s="206"/>
      <c r="R3868" s="206"/>
      <c r="S3868" s="206"/>
      <c r="T3868" s="204"/>
      <c r="U3868" s="207"/>
      <c r="V3868" s="204"/>
      <c r="W3868" s="204"/>
      <c r="X3868" s="207"/>
      <c r="Y3868" s="207"/>
      <c r="Z3868" s="204"/>
      <c r="AA3868" s="204"/>
      <c r="AB3868" s="204"/>
      <c r="AC3868" s="204"/>
    </row>
    <row r="3869" spans="1:29">
      <c r="A3869" s="204"/>
      <c r="B3869" s="204"/>
      <c r="C3869" s="204"/>
      <c r="D3869" s="204"/>
      <c r="E3869" s="204"/>
      <c r="F3869" s="204"/>
      <c r="G3869" s="204"/>
      <c r="H3869" s="204"/>
      <c r="I3869" s="204"/>
      <c r="J3869" s="204"/>
      <c r="K3869" s="204"/>
      <c r="L3869" s="205"/>
      <c r="M3869" s="205"/>
      <c r="N3869" s="204"/>
      <c r="O3869" s="204"/>
      <c r="P3869" s="206"/>
      <c r="Q3869" s="206"/>
      <c r="R3869" s="206"/>
      <c r="S3869" s="206"/>
      <c r="T3869" s="204"/>
      <c r="U3869" s="207"/>
      <c r="V3869" s="204"/>
      <c r="W3869" s="204"/>
      <c r="X3869" s="207"/>
      <c r="Y3869" s="207"/>
      <c r="Z3869" s="204"/>
      <c r="AA3869" s="204"/>
      <c r="AB3869" s="204"/>
      <c r="AC3869" s="204"/>
    </row>
    <row r="3870" spans="1:29">
      <c r="A3870" s="204"/>
      <c r="B3870" s="204"/>
      <c r="C3870" s="204"/>
      <c r="D3870" s="204"/>
      <c r="E3870" s="204"/>
      <c r="F3870" s="204"/>
      <c r="G3870" s="204"/>
      <c r="H3870" s="204"/>
      <c r="I3870" s="204"/>
      <c r="J3870" s="204"/>
      <c r="K3870" s="204"/>
      <c r="L3870" s="205"/>
      <c r="M3870" s="205"/>
      <c r="N3870" s="204"/>
      <c r="O3870" s="204"/>
      <c r="P3870" s="206"/>
      <c r="Q3870" s="206"/>
      <c r="R3870" s="206"/>
      <c r="S3870" s="206"/>
      <c r="T3870" s="204"/>
      <c r="U3870" s="207"/>
      <c r="V3870" s="204"/>
      <c r="W3870" s="204"/>
      <c r="X3870" s="207"/>
      <c r="Y3870" s="207"/>
      <c r="Z3870" s="204"/>
      <c r="AA3870" s="204"/>
      <c r="AB3870" s="204"/>
      <c r="AC3870" s="204"/>
    </row>
    <row r="3871" spans="1:29">
      <c r="A3871" s="204"/>
      <c r="B3871" s="204"/>
      <c r="C3871" s="204"/>
      <c r="D3871" s="204"/>
      <c r="E3871" s="204"/>
      <c r="F3871" s="204"/>
      <c r="G3871" s="204"/>
      <c r="H3871" s="204"/>
      <c r="I3871" s="204"/>
      <c r="J3871" s="204"/>
      <c r="K3871" s="204"/>
      <c r="L3871" s="205"/>
      <c r="M3871" s="205"/>
      <c r="N3871" s="204"/>
      <c r="O3871" s="204"/>
      <c r="P3871" s="206"/>
      <c r="Q3871" s="206"/>
      <c r="R3871" s="206"/>
      <c r="S3871" s="206"/>
      <c r="T3871" s="204"/>
      <c r="U3871" s="207"/>
      <c r="V3871" s="204"/>
      <c r="W3871" s="204"/>
      <c r="X3871" s="207"/>
      <c r="Y3871" s="207"/>
      <c r="Z3871" s="204"/>
      <c r="AA3871" s="204"/>
      <c r="AB3871" s="204"/>
      <c r="AC3871" s="204"/>
    </row>
    <row r="3872" spans="1:29">
      <c r="A3872" s="204"/>
      <c r="B3872" s="204"/>
      <c r="C3872" s="204"/>
      <c r="D3872" s="204"/>
      <c r="E3872" s="204"/>
      <c r="F3872" s="204"/>
      <c r="G3872" s="204"/>
      <c r="H3872" s="204"/>
      <c r="I3872" s="204"/>
      <c r="J3872" s="204"/>
      <c r="K3872" s="204"/>
      <c r="L3872" s="205"/>
      <c r="M3872" s="205"/>
      <c r="N3872" s="204"/>
      <c r="O3872" s="204"/>
      <c r="P3872" s="206"/>
      <c r="Q3872" s="206"/>
      <c r="R3872" s="206"/>
      <c r="S3872" s="206"/>
      <c r="T3872" s="204"/>
      <c r="U3872" s="207"/>
      <c r="V3872" s="204"/>
      <c r="W3872" s="204"/>
      <c r="X3872" s="207"/>
      <c r="Y3872" s="207"/>
      <c r="Z3872" s="204"/>
      <c r="AA3872" s="204"/>
      <c r="AB3872" s="204"/>
      <c r="AC3872" s="204"/>
    </row>
    <row r="3873" spans="1:29">
      <c r="A3873" s="204"/>
      <c r="B3873" s="204"/>
      <c r="C3873" s="204"/>
      <c r="D3873" s="204"/>
      <c r="E3873" s="204"/>
      <c r="F3873" s="204"/>
      <c r="G3873" s="204"/>
      <c r="H3873" s="204"/>
      <c r="I3873" s="204"/>
      <c r="J3873" s="204"/>
      <c r="K3873" s="204"/>
      <c r="L3873" s="205"/>
      <c r="M3873" s="205"/>
      <c r="N3873" s="204"/>
      <c r="O3873" s="204"/>
      <c r="P3873" s="206"/>
      <c r="Q3873" s="206"/>
      <c r="R3873" s="206"/>
      <c r="S3873" s="206"/>
      <c r="T3873" s="204"/>
      <c r="U3873" s="207"/>
      <c r="V3873" s="204"/>
      <c r="W3873" s="204"/>
      <c r="X3873" s="207"/>
      <c r="Y3873" s="207"/>
      <c r="Z3873" s="204"/>
      <c r="AA3873" s="204"/>
      <c r="AB3873" s="204"/>
      <c r="AC3873" s="204"/>
    </row>
    <row r="3874" spans="1:29">
      <c r="A3874" s="204"/>
      <c r="B3874" s="204"/>
      <c r="C3874" s="204"/>
      <c r="D3874" s="204"/>
      <c r="E3874" s="204"/>
      <c r="F3874" s="204"/>
      <c r="G3874" s="204"/>
      <c r="H3874" s="204"/>
      <c r="I3874" s="204"/>
      <c r="J3874" s="204"/>
      <c r="K3874" s="204"/>
      <c r="L3874" s="205"/>
      <c r="M3874" s="205"/>
      <c r="N3874" s="204"/>
      <c r="O3874" s="204"/>
      <c r="P3874" s="206"/>
      <c r="Q3874" s="206"/>
      <c r="R3874" s="206"/>
      <c r="S3874" s="206"/>
      <c r="T3874" s="204"/>
      <c r="U3874" s="207"/>
      <c r="V3874" s="204"/>
      <c r="W3874" s="204"/>
      <c r="X3874" s="207"/>
      <c r="Y3874" s="207"/>
      <c r="Z3874" s="204"/>
      <c r="AA3874" s="204"/>
      <c r="AB3874" s="204"/>
      <c r="AC3874" s="204"/>
    </row>
    <row r="3875" spans="1:29">
      <c r="A3875" s="204"/>
      <c r="B3875" s="204"/>
      <c r="C3875" s="204"/>
      <c r="D3875" s="204"/>
      <c r="E3875" s="204"/>
      <c r="F3875" s="204"/>
      <c r="G3875" s="204"/>
      <c r="H3875" s="204"/>
      <c r="I3875" s="204"/>
      <c r="J3875" s="204"/>
      <c r="K3875" s="204"/>
      <c r="L3875" s="205"/>
      <c r="M3875" s="205"/>
      <c r="N3875" s="204"/>
      <c r="O3875" s="204"/>
      <c r="P3875" s="206"/>
      <c r="Q3875" s="206"/>
      <c r="R3875" s="206"/>
      <c r="S3875" s="206"/>
      <c r="T3875" s="204"/>
      <c r="U3875" s="207"/>
      <c r="V3875" s="204"/>
      <c r="W3875" s="204"/>
      <c r="X3875" s="207"/>
      <c r="Y3875" s="207"/>
      <c r="Z3875" s="204"/>
      <c r="AA3875" s="204"/>
      <c r="AB3875" s="204"/>
      <c r="AC3875" s="204"/>
    </row>
    <row r="3876" spans="1:29">
      <c r="A3876" s="204"/>
      <c r="B3876" s="204"/>
      <c r="C3876" s="204"/>
      <c r="D3876" s="204"/>
      <c r="E3876" s="204"/>
      <c r="F3876" s="204"/>
      <c r="G3876" s="204"/>
      <c r="H3876" s="204"/>
      <c r="I3876" s="204"/>
      <c r="J3876" s="204"/>
      <c r="K3876" s="204"/>
      <c r="L3876" s="205"/>
      <c r="M3876" s="205"/>
      <c r="N3876" s="204"/>
      <c r="O3876" s="204"/>
      <c r="P3876" s="206"/>
      <c r="Q3876" s="206"/>
      <c r="R3876" s="206"/>
      <c r="S3876" s="206"/>
      <c r="T3876" s="204"/>
      <c r="U3876" s="207"/>
      <c r="V3876" s="204"/>
      <c r="W3876" s="204"/>
      <c r="X3876" s="207"/>
      <c r="Y3876" s="207"/>
      <c r="Z3876" s="204"/>
      <c r="AA3876" s="204"/>
      <c r="AB3876" s="204"/>
      <c r="AC3876" s="204"/>
    </row>
    <row r="3877" spans="1:29">
      <c r="A3877" s="204"/>
      <c r="B3877" s="204"/>
      <c r="C3877" s="204"/>
      <c r="D3877" s="204"/>
      <c r="E3877" s="204"/>
      <c r="F3877" s="204"/>
      <c r="G3877" s="204"/>
      <c r="H3877" s="204"/>
      <c r="I3877" s="204"/>
      <c r="J3877" s="204"/>
      <c r="K3877" s="204"/>
      <c r="L3877" s="205"/>
      <c r="M3877" s="205"/>
      <c r="N3877" s="204"/>
      <c r="O3877" s="204"/>
      <c r="P3877" s="206"/>
      <c r="Q3877" s="206"/>
      <c r="R3877" s="206"/>
      <c r="S3877" s="206"/>
      <c r="T3877" s="204"/>
      <c r="U3877" s="207"/>
      <c r="V3877" s="204"/>
      <c r="W3877" s="204"/>
      <c r="X3877" s="207"/>
      <c r="Y3877" s="207"/>
      <c r="Z3877" s="204"/>
      <c r="AA3877" s="204"/>
      <c r="AB3877" s="204"/>
      <c r="AC3877" s="204"/>
    </row>
    <row r="3878" spans="1:29">
      <c r="A3878" s="204"/>
      <c r="B3878" s="204"/>
      <c r="C3878" s="204"/>
      <c r="D3878" s="204"/>
      <c r="E3878" s="204"/>
      <c r="F3878" s="204"/>
      <c r="G3878" s="204"/>
      <c r="H3878" s="204"/>
      <c r="I3878" s="204"/>
      <c r="J3878" s="204"/>
      <c r="K3878" s="204"/>
      <c r="L3878" s="205"/>
      <c r="M3878" s="205"/>
      <c r="N3878" s="204"/>
      <c r="O3878" s="204"/>
      <c r="P3878" s="206"/>
      <c r="Q3878" s="206"/>
      <c r="R3878" s="206"/>
      <c r="S3878" s="206"/>
      <c r="T3878" s="204"/>
      <c r="U3878" s="207"/>
      <c r="V3878" s="204"/>
      <c r="W3878" s="204"/>
      <c r="X3878" s="207"/>
      <c r="Y3878" s="207"/>
      <c r="Z3878" s="204"/>
      <c r="AA3878" s="204"/>
      <c r="AB3878" s="204"/>
      <c r="AC3878" s="204"/>
    </row>
    <row r="3879" spans="1:29">
      <c r="A3879" s="204"/>
      <c r="B3879" s="204"/>
      <c r="C3879" s="204"/>
      <c r="D3879" s="204"/>
      <c r="E3879" s="204"/>
      <c r="F3879" s="204"/>
      <c r="G3879" s="204"/>
      <c r="H3879" s="204"/>
      <c r="I3879" s="204"/>
      <c r="J3879" s="204"/>
      <c r="K3879" s="204"/>
      <c r="L3879" s="205"/>
      <c r="M3879" s="205"/>
      <c r="N3879" s="204"/>
      <c r="O3879" s="204"/>
      <c r="P3879" s="206"/>
      <c r="Q3879" s="206"/>
      <c r="R3879" s="206"/>
      <c r="S3879" s="206"/>
      <c r="T3879" s="204"/>
      <c r="U3879" s="207"/>
      <c r="V3879" s="204"/>
      <c r="W3879" s="204"/>
      <c r="X3879" s="207"/>
      <c r="Y3879" s="207"/>
      <c r="Z3879" s="204"/>
      <c r="AA3879" s="204"/>
      <c r="AB3879" s="204"/>
      <c r="AC3879" s="204"/>
    </row>
    <row r="3880" spans="1:29">
      <c r="A3880" s="204"/>
      <c r="B3880" s="204"/>
      <c r="C3880" s="204"/>
      <c r="D3880" s="204"/>
      <c r="E3880" s="204"/>
      <c r="F3880" s="204"/>
      <c r="G3880" s="204"/>
      <c r="H3880" s="204"/>
      <c r="I3880" s="204"/>
      <c r="J3880" s="204"/>
      <c r="K3880" s="204"/>
      <c r="L3880" s="205"/>
      <c r="M3880" s="205"/>
      <c r="N3880" s="204"/>
      <c r="O3880" s="204"/>
      <c r="P3880" s="206"/>
      <c r="Q3880" s="206"/>
      <c r="R3880" s="206"/>
      <c r="S3880" s="206"/>
      <c r="T3880" s="204"/>
      <c r="U3880" s="207"/>
      <c r="V3880" s="204"/>
      <c r="W3880" s="204"/>
      <c r="X3880" s="207"/>
      <c r="Y3880" s="207"/>
      <c r="Z3880" s="204"/>
      <c r="AA3880" s="204"/>
      <c r="AB3880" s="204"/>
      <c r="AC3880" s="204"/>
    </row>
    <row r="3881" spans="1:29">
      <c r="A3881" s="204"/>
      <c r="B3881" s="204"/>
      <c r="C3881" s="204"/>
      <c r="D3881" s="204"/>
      <c r="E3881" s="204"/>
      <c r="F3881" s="204"/>
      <c r="G3881" s="204"/>
      <c r="H3881" s="204"/>
      <c r="I3881" s="204"/>
      <c r="J3881" s="204"/>
      <c r="K3881" s="204"/>
      <c r="L3881" s="205"/>
      <c r="M3881" s="205"/>
      <c r="N3881" s="204"/>
      <c r="O3881" s="204"/>
      <c r="P3881" s="206"/>
      <c r="Q3881" s="206"/>
      <c r="R3881" s="206"/>
      <c r="S3881" s="206"/>
      <c r="T3881" s="204"/>
      <c r="U3881" s="207"/>
      <c r="V3881" s="204"/>
      <c r="W3881" s="204"/>
      <c r="X3881" s="207"/>
      <c r="Y3881" s="207"/>
      <c r="Z3881" s="204"/>
      <c r="AA3881" s="204"/>
      <c r="AB3881" s="204"/>
      <c r="AC3881" s="204"/>
    </row>
    <row r="3882" spans="1:29">
      <c r="A3882" s="204"/>
      <c r="B3882" s="204"/>
      <c r="C3882" s="204"/>
      <c r="D3882" s="204"/>
      <c r="E3882" s="204"/>
      <c r="F3882" s="204"/>
      <c r="G3882" s="204"/>
      <c r="H3882" s="204"/>
      <c r="I3882" s="204"/>
      <c r="J3882" s="204"/>
      <c r="K3882" s="204"/>
      <c r="L3882" s="205"/>
      <c r="M3882" s="205"/>
      <c r="N3882" s="204"/>
      <c r="O3882" s="204"/>
      <c r="P3882" s="206"/>
      <c r="Q3882" s="206"/>
      <c r="R3882" s="206"/>
      <c r="S3882" s="206"/>
      <c r="T3882" s="204"/>
      <c r="U3882" s="207"/>
      <c r="V3882" s="204"/>
      <c r="W3882" s="204"/>
      <c r="X3882" s="207"/>
      <c r="Y3882" s="207"/>
      <c r="Z3882" s="204"/>
      <c r="AA3882" s="204"/>
      <c r="AB3882" s="204"/>
      <c r="AC3882" s="204"/>
    </row>
    <row r="3883" spans="1:29">
      <c r="A3883" s="204"/>
      <c r="B3883" s="204"/>
      <c r="C3883" s="204"/>
      <c r="D3883" s="204"/>
      <c r="E3883" s="204"/>
      <c r="F3883" s="204"/>
      <c r="G3883" s="204"/>
      <c r="H3883" s="204"/>
      <c r="I3883" s="204"/>
      <c r="J3883" s="204"/>
      <c r="K3883" s="204"/>
      <c r="L3883" s="205"/>
      <c r="M3883" s="205"/>
      <c r="N3883" s="204"/>
      <c r="O3883" s="204"/>
      <c r="P3883" s="206"/>
      <c r="Q3883" s="206"/>
      <c r="R3883" s="206"/>
      <c r="S3883" s="206"/>
      <c r="T3883" s="204"/>
      <c r="U3883" s="207"/>
      <c r="V3883" s="204"/>
      <c r="W3883" s="204"/>
      <c r="X3883" s="207"/>
      <c r="Y3883" s="207"/>
      <c r="Z3883" s="204"/>
      <c r="AA3883" s="204"/>
      <c r="AB3883" s="204"/>
      <c r="AC3883" s="204"/>
    </row>
    <row r="3884" spans="1:29">
      <c r="A3884" s="204"/>
      <c r="B3884" s="204"/>
      <c r="C3884" s="204"/>
      <c r="D3884" s="204"/>
      <c r="E3884" s="204"/>
      <c r="F3884" s="204"/>
      <c r="G3884" s="204"/>
      <c r="H3884" s="204"/>
      <c r="I3884" s="204"/>
      <c r="J3884" s="204"/>
      <c r="K3884" s="204"/>
      <c r="L3884" s="205"/>
      <c r="M3884" s="205"/>
      <c r="N3884" s="204"/>
      <c r="O3884" s="204"/>
      <c r="P3884" s="206"/>
      <c r="Q3884" s="206"/>
      <c r="R3884" s="206"/>
      <c r="S3884" s="206"/>
      <c r="T3884" s="204"/>
      <c r="U3884" s="207"/>
      <c r="V3884" s="204"/>
      <c r="W3884" s="204"/>
      <c r="X3884" s="207"/>
      <c r="Y3884" s="207"/>
      <c r="Z3884" s="204"/>
      <c r="AA3884" s="204"/>
      <c r="AB3884" s="204"/>
      <c r="AC3884" s="204"/>
    </row>
    <row r="3885" spans="1:29">
      <c r="A3885" s="204"/>
      <c r="B3885" s="204"/>
      <c r="C3885" s="204"/>
      <c r="D3885" s="204"/>
      <c r="E3885" s="204"/>
      <c r="F3885" s="204"/>
      <c r="G3885" s="204"/>
      <c r="H3885" s="204"/>
      <c r="I3885" s="204"/>
      <c r="J3885" s="204"/>
      <c r="K3885" s="204"/>
      <c r="L3885" s="205"/>
      <c r="M3885" s="205"/>
      <c r="N3885" s="204"/>
      <c r="O3885" s="204"/>
      <c r="P3885" s="206"/>
      <c r="Q3885" s="206"/>
      <c r="R3885" s="206"/>
      <c r="S3885" s="206"/>
      <c r="T3885" s="204"/>
      <c r="U3885" s="207"/>
      <c r="V3885" s="204"/>
      <c r="W3885" s="204"/>
      <c r="X3885" s="207"/>
      <c r="Y3885" s="207"/>
      <c r="Z3885" s="204"/>
      <c r="AA3885" s="204"/>
      <c r="AB3885" s="204"/>
      <c r="AC3885" s="204"/>
    </row>
    <row r="3886" spans="1:29">
      <c r="A3886" s="204"/>
      <c r="B3886" s="204"/>
      <c r="C3886" s="204"/>
      <c r="D3886" s="204"/>
      <c r="E3886" s="204"/>
      <c r="F3886" s="204"/>
      <c r="G3886" s="204"/>
      <c r="H3886" s="204"/>
      <c r="I3886" s="204"/>
      <c r="J3886" s="204"/>
      <c r="K3886" s="204"/>
      <c r="L3886" s="205"/>
      <c r="M3886" s="205"/>
      <c r="N3886" s="204"/>
      <c r="O3886" s="204"/>
      <c r="P3886" s="206"/>
      <c r="Q3886" s="206"/>
      <c r="R3886" s="206"/>
      <c r="S3886" s="206"/>
      <c r="T3886" s="204"/>
      <c r="U3886" s="207"/>
      <c r="V3886" s="204"/>
      <c r="W3886" s="204"/>
      <c r="X3886" s="207"/>
      <c r="Y3886" s="207"/>
      <c r="Z3886" s="204"/>
      <c r="AA3886" s="204"/>
      <c r="AB3886" s="204"/>
      <c r="AC3886" s="204"/>
    </row>
    <row r="3887" spans="1:29">
      <c r="A3887" s="204"/>
      <c r="B3887" s="204"/>
      <c r="C3887" s="204"/>
      <c r="D3887" s="204"/>
      <c r="E3887" s="204"/>
      <c r="F3887" s="204"/>
      <c r="G3887" s="204"/>
      <c r="H3887" s="204"/>
      <c r="I3887" s="204"/>
      <c r="J3887" s="204"/>
      <c r="K3887" s="204"/>
      <c r="L3887" s="205"/>
      <c r="M3887" s="205"/>
      <c r="N3887" s="204"/>
      <c r="O3887" s="204"/>
      <c r="P3887" s="206"/>
      <c r="Q3887" s="206"/>
      <c r="R3887" s="206"/>
      <c r="S3887" s="206"/>
      <c r="T3887" s="204"/>
      <c r="U3887" s="207"/>
      <c r="V3887" s="204"/>
      <c r="W3887" s="204"/>
      <c r="X3887" s="207"/>
      <c r="Y3887" s="207"/>
      <c r="Z3887" s="204"/>
      <c r="AA3887" s="204"/>
      <c r="AB3887" s="204"/>
      <c r="AC3887" s="204"/>
    </row>
    <row r="3888" spans="1:29">
      <c r="A3888" s="204"/>
      <c r="B3888" s="204"/>
      <c r="C3888" s="204"/>
      <c r="D3888" s="204"/>
      <c r="E3888" s="204"/>
      <c r="F3888" s="204"/>
      <c r="G3888" s="204"/>
      <c r="H3888" s="204"/>
      <c r="I3888" s="204"/>
      <c r="J3888" s="204"/>
      <c r="K3888" s="204"/>
      <c r="L3888" s="205"/>
      <c r="M3888" s="205"/>
      <c r="N3888" s="204"/>
      <c r="O3888" s="204"/>
      <c r="P3888" s="206"/>
      <c r="Q3888" s="206"/>
      <c r="R3888" s="206"/>
      <c r="S3888" s="206"/>
      <c r="T3888" s="204"/>
      <c r="U3888" s="207"/>
      <c r="V3888" s="204"/>
      <c r="W3888" s="204"/>
      <c r="X3888" s="207"/>
      <c r="Y3888" s="207"/>
      <c r="Z3888" s="204"/>
      <c r="AA3888" s="204"/>
      <c r="AB3888" s="204"/>
      <c r="AC3888" s="204"/>
    </row>
    <row r="3889" spans="1:29">
      <c r="A3889" s="204"/>
      <c r="B3889" s="204"/>
      <c r="C3889" s="204"/>
      <c r="D3889" s="204"/>
      <c r="E3889" s="204"/>
      <c r="F3889" s="204"/>
      <c r="G3889" s="204"/>
      <c r="H3889" s="204"/>
      <c r="I3889" s="204"/>
      <c r="J3889" s="204"/>
      <c r="K3889" s="204"/>
      <c r="L3889" s="205"/>
      <c r="M3889" s="205"/>
      <c r="N3889" s="204"/>
      <c r="O3889" s="204"/>
      <c r="P3889" s="206"/>
      <c r="Q3889" s="206"/>
      <c r="R3889" s="206"/>
      <c r="S3889" s="206"/>
      <c r="T3889" s="204"/>
      <c r="U3889" s="207"/>
      <c r="V3889" s="204"/>
      <c r="W3889" s="204"/>
      <c r="X3889" s="207"/>
      <c r="Y3889" s="207"/>
      <c r="Z3889" s="204"/>
      <c r="AA3889" s="204"/>
      <c r="AB3889" s="204"/>
      <c r="AC3889" s="204"/>
    </row>
    <row r="3890" spans="1:29">
      <c r="A3890" s="204"/>
      <c r="B3890" s="204"/>
      <c r="C3890" s="204"/>
      <c r="D3890" s="204"/>
      <c r="E3890" s="204"/>
      <c r="F3890" s="204"/>
      <c r="G3890" s="204"/>
      <c r="H3890" s="204"/>
      <c r="I3890" s="204"/>
      <c r="J3890" s="204"/>
      <c r="K3890" s="204"/>
      <c r="L3890" s="205"/>
      <c r="M3890" s="205"/>
      <c r="N3890" s="204"/>
      <c r="O3890" s="204"/>
      <c r="P3890" s="206"/>
      <c r="Q3890" s="206"/>
      <c r="R3890" s="206"/>
      <c r="S3890" s="206"/>
      <c r="T3890" s="204"/>
      <c r="U3890" s="207"/>
      <c r="V3890" s="204"/>
      <c r="W3890" s="204"/>
      <c r="X3890" s="207"/>
      <c r="Y3890" s="207"/>
      <c r="Z3890" s="204"/>
      <c r="AA3890" s="204"/>
      <c r="AB3890" s="204"/>
      <c r="AC3890" s="204"/>
    </row>
    <row r="3891" spans="1:29">
      <c r="A3891" s="204"/>
      <c r="B3891" s="204"/>
      <c r="C3891" s="204"/>
      <c r="D3891" s="204"/>
      <c r="E3891" s="204"/>
      <c r="F3891" s="204"/>
      <c r="G3891" s="204"/>
      <c r="H3891" s="204"/>
      <c r="I3891" s="204"/>
      <c r="J3891" s="204"/>
      <c r="K3891" s="204"/>
      <c r="L3891" s="205"/>
      <c r="M3891" s="205"/>
      <c r="N3891" s="204"/>
      <c r="O3891" s="204"/>
      <c r="P3891" s="206"/>
      <c r="Q3891" s="206"/>
      <c r="R3891" s="206"/>
      <c r="S3891" s="206"/>
      <c r="T3891" s="204"/>
      <c r="U3891" s="207"/>
      <c r="V3891" s="204"/>
      <c r="W3891" s="204"/>
      <c r="X3891" s="207"/>
      <c r="Y3891" s="207"/>
      <c r="Z3891" s="204"/>
      <c r="AA3891" s="204"/>
      <c r="AB3891" s="204"/>
      <c r="AC3891" s="204"/>
    </row>
    <row r="3892" spans="1:29">
      <c r="A3892" s="204"/>
      <c r="B3892" s="204"/>
      <c r="C3892" s="204"/>
      <c r="D3892" s="204"/>
      <c r="E3892" s="204"/>
      <c r="F3892" s="204"/>
      <c r="G3892" s="204"/>
      <c r="H3892" s="204"/>
      <c r="I3892" s="204"/>
      <c r="J3892" s="204"/>
      <c r="K3892" s="204"/>
      <c r="L3892" s="205"/>
      <c r="M3892" s="205"/>
      <c r="N3892" s="204"/>
      <c r="O3892" s="204"/>
      <c r="P3892" s="206"/>
      <c r="Q3892" s="206"/>
      <c r="R3892" s="206"/>
      <c r="S3892" s="206"/>
      <c r="T3892" s="204"/>
      <c r="U3892" s="207"/>
      <c r="V3892" s="204"/>
      <c r="W3892" s="204"/>
      <c r="X3892" s="207"/>
      <c r="Y3892" s="207"/>
      <c r="Z3892" s="204"/>
      <c r="AA3892" s="204"/>
      <c r="AB3892" s="204"/>
      <c r="AC3892" s="204"/>
    </row>
    <row r="3893" spans="1:29">
      <c r="A3893" s="204"/>
      <c r="B3893" s="204"/>
      <c r="C3893" s="204"/>
      <c r="D3893" s="204"/>
      <c r="E3893" s="204"/>
      <c r="F3893" s="204"/>
      <c r="G3893" s="204"/>
      <c r="H3893" s="204"/>
      <c r="I3893" s="204"/>
      <c r="J3893" s="204"/>
      <c r="K3893" s="204"/>
      <c r="L3893" s="205"/>
      <c r="M3893" s="205"/>
      <c r="N3893" s="204"/>
      <c r="O3893" s="204"/>
      <c r="P3893" s="206"/>
      <c r="Q3893" s="206"/>
      <c r="R3893" s="206"/>
      <c r="S3893" s="206"/>
      <c r="T3893" s="204"/>
      <c r="U3893" s="207"/>
      <c r="V3893" s="204"/>
      <c r="W3893" s="204"/>
      <c r="X3893" s="207"/>
      <c r="Y3893" s="207"/>
      <c r="Z3893" s="204"/>
      <c r="AA3893" s="204"/>
      <c r="AB3893" s="204"/>
      <c r="AC3893" s="204"/>
    </row>
    <row r="3894" spans="1:29">
      <c r="A3894" s="204"/>
      <c r="B3894" s="204"/>
      <c r="C3894" s="204"/>
      <c r="D3894" s="204"/>
      <c r="E3894" s="204"/>
      <c r="F3894" s="204"/>
      <c r="G3894" s="204"/>
      <c r="H3894" s="204"/>
      <c r="I3894" s="204"/>
      <c r="J3894" s="204"/>
      <c r="K3894" s="204"/>
      <c r="L3894" s="205"/>
      <c r="M3894" s="205"/>
      <c r="N3894" s="204"/>
      <c r="O3894" s="204"/>
      <c r="P3894" s="206"/>
      <c r="Q3894" s="206"/>
      <c r="R3894" s="206"/>
      <c r="S3894" s="206"/>
      <c r="T3894" s="204"/>
      <c r="U3894" s="207"/>
      <c r="V3894" s="204"/>
      <c r="W3894" s="204"/>
      <c r="X3894" s="207"/>
      <c r="Y3894" s="207"/>
      <c r="Z3894" s="204"/>
      <c r="AA3894" s="204"/>
      <c r="AB3894" s="204"/>
      <c r="AC3894" s="204"/>
    </row>
    <row r="3895" spans="1:29">
      <c r="A3895" s="204"/>
      <c r="B3895" s="204"/>
      <c r="C3895" s="204"/>
      <c r="D3895" s="204"/>
      <c r="E3895" s="204"/>
      <c r="F3895" s="204"/>
      <c r="G3895" s="204"/>
      <c r="H3895" s="204"/>
      <c r="I3895" s="204"/>
      <c r="J3895" s="204"/>
      <c r="K3895" s="204"/>
      <c r="L3895" s="205"/>
      <c r="M3895" s="205"/>
      <c r="N3895" s="204"/>
      <c r="O3895" s="204"/>
      <c r="P3895" s="206"/>
      <c r="Q3895" s="206"/>
      <c r="R3895" s="206"/>
      <c r="S3895" s="206"/>
      <c r="T3895" s="204"/>
      <c r="U3895" s="207"/>
      <c r="V3895" s="204"/>
      <c r="W3895" s="204"/>
      <c r="X3895" s="207"/>
      <c r="Y3895" s="207"/>
      <c r="Z3895" s="204"/>
      <c r="AA3895" s="204"/>
      <c r="AB3895" s="204"/>
      <c r="AC3895" s="204"/>
    </row>
    <row r="3896" spans="1:29">
      <c r="A3896" s="204"/>
      <c r="B3896" s="204"/>
      <c r="C3896" s="204"/>
      <c r="D3896" s="204"/>
      <c r="E3896" s="204"/>
      <c r="F3896" s="204"/>
      <c r="G3896" s="204"/>
      <c r="H3896" s="204"/>
      <c r="I3896" s="204"/>
      <c r="J3896" s="204"/>
      <c r="K3896" s="204"/>
      <c r="L3896" s="205"/>
      <c r="M3896" s="205"/>
      <c r="N3896" s="204"/>
      <c r="O3896" s="204"/>
      <c r="P3896" s="206"/>
      <c r="Q3896" s="206"/>
      <c r="R3896" s="206"/>
      <c r="S3896" s="206"/>
      <c r="T3896" s="204"/>
      <c r="U3896" s="207"/>
      <c r="V3896" s="204"/>
      <c r="W3896" s="204"/>
      <c r="X3896" s="207"/>
      <c r="Y3896" s="207"/>
      <c r="Z3896" s="204"/>
      <c r="AA3896" s="204"/>
      <c r="AB3896" s="204"/>
      <c r="AC3896" s="204"/>
    </row>
    <row r="3897" spans="1:29">
      <c r="A3897" s="204"/>
      <c r="B3897" s="204"/>
      <c r="C3897" s="204"/>
      <c r="D3897" s="204"/>
      <c r="E3897" s="204"/>
      <c r="F3897" s="204"/>
      <c r="G3897" s="204"/>
      <c r="H3897" s="204"/>
      <c r="I3897" s="204"/>
      <c r="J3897" s="204"/>
      <c r="K3897" s="204"/>
      <c r="L3897" s="205"/>
      <c r="M3897" s="205"/>
      <c r="N3897" s="204"/>
      <c r="O3897" s="204"/>
      <c r="P3897" s="206"/>
      <c r="Q3897" s="206"/>
      <c r="R3897" s="206"/>
      <c r="S3897" s="206"/>
      <c r="T3897" s="204"/>
      <c r="U3897" s="207"/>
      <c r="V3897" s="204"/>
      <c r="W3897" s="204"/>
      <c r="X3897" s="207"/>
      <c r="Y3897" s="207"/>
      <c r="Z3897" s="204"/>
      <c r="AA3897" s="204"/>
      <c r="AB3897" s="204"/>
      <c r="AC3897" s="204"/>
    </row>
    <row r="3898" spans="1:29">
      <c r="A3898" s="204"/>
      <c r="B3898" s="204"/>
      <c r="C3898" s="204"/>
      <c r="D3898" s="204"/>
      <c r="E3898" s="204"/>
      <c r="F3898" s="204"/>
      <c r="G3898" s="204"/>
      <c r="H3898" s="204"/>
      <c r="I3898" s="204"/>
      <c r="J3898" s="204"/>
      <c r="K3898" s="204"/>
      <c r="L3898" s="205"/>
      <c r="M3898" s="205"/>
      <c r="N3898" s="204"/>
      <c r="O3898" s="204"/>
      <c r="P3898" s="206"/>
      <c r="Q3898" s="206"/>
      <c r="R3898" s="206"/>
      <c r="S3898" s="206"/>
      <c r="T3898" s="204"/>
      <c r="U3898" s="207"/>
      <c r="V3898" s="204"/>
      <c r="W3898" s="204"/>
      <c r="X3898" s="207"/>
      <c r="Y3898" s="207"/>
      <c r="Z3898" s="204"/>
      <c r="AA3898" s="204"/>
      <c r="AB3898" s="204"/>
      <c r="AC3898" s="204"/>
    </row>
    <row r="3899" spans="1:29">
      <c r="A3899" s="204"/>
      <c r="B3899" s="204"/>
      <c r="C3899" s="204"/>
      <c r="D3899" s="204"/>
      <c r="E3899" s="204"/>
      <c r="F3899" s="204"/>
      <c r="G3899" s="204"/>
      <c r="H3899" s="204"/>
      <c r="I3899" s="204"/>
      <c r="J3899" s="204"/>
      <c r="K3899" s="204"/>
      <c r="L3899" s="205"/>
      <c r="M3899" s="205"/>
      <c r="N3899" s="204"/>
      <c r="O3899" s="204"/>
      <c r="P3899" s="206"/>
      <c r="Q3899" s="206"/>
      <c r="R3899" s="206"/>
      <c r="S3899" s="206"/>
      <c r="T3899" s="204"/>
      <c r="U3899" s="207"/>
      <c r="V3899" s="204"/>
      <c r="W3899" s="204"/>
      <c r="X3899" s="207"/>
      <c r="Y3899" s="207"/>
      <c r="Z3899" s="204"/>
      <c r="AA3899" s="204"/>
      <c r="AB3899" s="204"/>
      <c r="AC3899" s="204"/>
    </row>
    <row r="3900" spans="1:29">
      <c r="A3900" s="204"/>
      <c r="B3900" s="204"/>
      <c r="C3900" s="204"/>
      <c r="D3900" s="204"/>
      <c r="E3900" s="204"/>
      <c r="F3900" s="204"/>
      <c r="G3900" s="204"/>
      <c r="H3900" s="204"/>
      <c r="I3900" s="204"/>
      <c r="J3900" s="204"/>
      <c r="K3900" s="204"/>
      <c r="L3900" s="205"/>
      <c r="M3900" s="205"/>
      <c r="N3900" s="204"/>
      <c r="O3900" s="204"/>
      <c r="P3900" s="206"/>
      <c r="Q3900" s="206"/>
      <c r="R3900" s="206"/>
      <c r="S3900" s="206"/>
      <c r="T3900" s="204"/>
      <c r="U3900" s="207"/>
      <c r="V3900" s="204"/>
      <c r="W3900" s="204"/>
      <c r="X3900" s="207"/>
      <c r="Y3900" s="207"/>
      <c r="Z3900" s="204"/>
      <c r="AA3900" s="204"/>
      <c r="AB3900" s="204"/>
      <c r="AC3900" s="204"/>
    </row>
    <row r="3901" spans="1:29">
      <c r="A3901" s="204"/>
      <c r="B3901" s="204"/>
      <c r="C3901" s="204"/>
      <c r="D3901" s="204"/>
      <c r="E3901" s="204"/>
      <c r="F3901" s="204"/>
      <c r="G3901" s="204"/>
      <c r="H3901" s="204"/>
      <c r="I3901" s="204"/>
      <c r="J3901" s="204"/>
      <c r="K3901" s="204"/>
      <c r="L3901" s="205"/>
      <c r="M3901" s="205"/>
      <c r="N3901" s="204"/>
      <c r="O3901" s="204"/>
      <c r="P3901" s="206"/>
      <c r="Q3901" s="206"/>
      <c r="R3901" s="206"/>
      <c r="S3901" s="206"/>
      <c r="T3901" s="204"/>
      <c r="U3901" s="207"/>
      <c r="V3901" s="204"/>
      <c r="W3901" s="204"/>
      <c r="X3901" s="207"/>
      <c r="Y3901" s="207"/>
      <c r="Z3901" s="204"/>
      <c r="AA3901" s="204"/>
      <c r="AB3901" s="204"/>
      <c r="AC3901" s="204"/>
    </row>
    <row r="3902" spans="1:29">
      <c r="A3902" s="204"/>
      <c r="B3902" s="204"/>
      <c r="C3902" s="204"/>
      <c r="D3902" s="204"/>
      <c r="E3902" s="204"/>
      <c r="F3902" s="204"/>
      <c r="G3902" s="204"/>
      <c r="H3902" s="204"/>
      <c r="I3902" s="204"/>
      <c r="J3902" s="204"/>
      <c r="K3902" s="204"/>
      <c r="L3902" s="205"/>
      <c r="M3902" s="205"/>
      <c r="N3902" s="204"/>
      <c r="O3902" s="204"/>
      <c r="P3902" s="206"/>
      <c r="Q3902" s="206"/>
      <c r="R3902" s="206"/>
      <c r="S3902" s="206"/>
      <c r="T3902" s="204"/>
      <c r="U3902" s="207"/>
      <c r="V3902" s="204"/>
      <c r="W3902" s="204"/>
      <c r="X3902" s="207"/>
      <c r="Y3902" s="207"/>
      <c r="Z3902" s="204"/>
      <c r="AA3902" s="204"/>
      <c r="AB3902" s="204"/>
      <c r="AC3902" s="204"/>
    </row>
    <row r="3903" spans="1:29">
      <c r="A3903" s="204"/>
      <c r="B3903" s="204"/>
      <c r="C3903" s="204"/>
      <c r="D3903" s="204"/>
      <c r="E3903" s="204"/>
      <c r="F3903" s="204"/>
      <c r="G3903" s="204"/>
      <c r="H3903" s="204"/>
      <c r="I3903" s="204"/>
      <c r="J3903" s="204"/>
      <c r="K3903" s="204"/>
      <c r="L3903" s="205"/>
      <c r="M3903" s="205"/>
      <c r="N3903" s="204"/>
      <c r="O3903" s="204"/>
      <c r="P3903" s="206"/>
      <c r="Q3903" s="206"/>
      <c r="R3903" s="206"/>
      <c r="S3903" s="206"/>
      <c r="T3903" s="204"/>
      <c r="U3903" s="207"/>
      <c r="V3903" s="204"/>
      <c r="W3903" s="204"/>
      <c r="X3903" s="207"/>
      <c r="Y3903" s="207"/>
      <c r="Z3903" s="204"/>
      <c r="AA3903" s="204"/>
      <c r="AB3903" s="204"/>
      <c r="AC3903" s="204"/>
    </row>
    <row r="3904" spans="1:29">
      <c r="A3904" s="204"/>
      <c r="B3904" s="204"/>
      <c r="C3904" s="204"/>
      <c r="D3904" s="204"/>
      <c r="E3904" s="204"/>
      <c r="F3904" s="204"/>
      <c r="G3904" s="204"/>
      <c r="H3904" s="204"/>
      <c r="I3904" s="204"/>
      <c r="J3904" s="204"/>
      <c r="K3904" s="204"/>
      <c r="L3904" s="205"/>
      <c r="M3904" s="205"/>
      <c r="N3904" s="204"/>
      <c r="O3904" s="204"/>
      <c r="P3904" s="206"/>
      <c r="Q3904" s="206"/>
      <c r="R3904" s="206"/>
      <c r="S3904" s="206"/>
      <c r="T3904" s="204"/>
      <c r="U3904" s="207"/>
      <c r="V3904" s="204"/>
      <c r="W3904" s="204"/>
      <c r="X3904" s="207"/>
      <c r="Y3904" s="207"/>
      <c r="Z3904" s="204"/>
      <c r="AA3904" s="204"/>
      <c r="AB3904" s="204"/>
      <c r="AC3904" s="204"/>
    </row>
    <row r="3905" spans="1:29">
      <c r="A3905" s="204"/>
      <c r="B3905" s="204"/>
      <c r="C3905" s="204"/>
      <c r="D3905" s="204"/>
      <c r="E3905" s="204"/>
      <c r="F3905" s="204"/>
      <c r="G3905" s="204"/>
      <c r="H3905" s="204"/>
      <c r="I3905" s="204"/>
      <c r="J3905" s="204"/>
      <c r="K3905" s="204"/>
      <c r="L3905" s="205"/>
      <c r="M3905" s="205"/>
      <c r="N3905" s="204"/>
      <c r="O3905" s="204"/>
      <c r="P3905" s="206"/>
      <c r="Q3905" s="206"/>
      <c r="R3905" s="206"/>
      <c r="S3905" s="206"/>
      <c r="T3905" s="204"/>
      <c r="U3905" s="207"/>
      <c r="V3905" s="204"/>
      <c r="W3905" s="204"/>
      <c r="X3905" s="207"/>
      <c r="Y3905" s="207"/>
      <c r="Z3905" s="204"/>
      <c r="AA3905" s="204"/>
      <c r="AB3905" s="204"/>
      <c r="AC3905" s="204"/>
    </row>
    <row r="3906" spans="1:29">
      <c r="A3906" s="204"/>
      <c r="B3906" s="204"/>
      <c r="C3906" s="204"/>
      <c r="D3906" s="204"/>
      <c r="E3906" s="204"/>
      <c r="F3906" s="204"/>
      <c r="G3906" s="204"/>
      <c r="H3906" s="204"/>
      <c r="I3906" s="204"/>
      <c r="J3906" s="204"/>
      <c r="K3906" s="204"/>
      <c r="L3906" s="205"/>
      <c r="M3906" s="205"/>
      <c r="N3906" s="204"/>
      <c r="O3906" s="204"/>
      <c r="P3906" s="206"/>
      <c r="Q3906" s="206"/>
      <c r="R3906" s="206"/>
      <c r="S3906" s="206"/>
      <c r="T3906" s="204"/>
      <c r="U3906" s="207"/>
      <c r="V3906" s="204"/>
      <c r="W3906" s="204"/>
      <c r="X3906" s="207"/>
      <c r="Y3906" s="207"/>
      <c r="Z3906" s="204"/>
      <c r="AA3906" s="204"/>
      <c r="AB3906" s="204"/>
      <c r="AC3906" s="204"/>
    </row>
    <row r="3907" spans="1:29">
      <c r="A3907" s="204"/>
      <c r="B3907" s="204"/>
      <c r="C3907" s="204"/>
      <c r="D3907" s="204"/>
      <c r="E3907" s="204"/>
      <c r="F3907" s="204"/>
      <c r="G3907" s="204"/>
      <c r="H3907" s="204"/>
      <c r="I3907" s="204"/>
      <c r="J3907" s="204"/>
      <c r="K3907" s="204"/>
      <c r="L3907" s="205"/>
      <c r="M3907" s="205"/>
      <c r="N3907" s="204"/>
      <c r="O3907" s="204"/>
      <c r="P3907" s="206"/>
      <c r="Q3907" s="206"/>
      <c r="R3907" s="206"/>
      <c r="S3907" s="206"/>
      <c r="T3907" s="204"/>
      <c r="U3907" s="207"/>
      <c r="V3907" s="204"/>
      <c r="W3907" s="204"/>
      <c r="X3907" s="207"/>
      <c r="Y3907" s="207"/>
      <c r="Z3907" s="204"/>
      <c r="AA3907" s="204"/>
      <c r="AB3907" s="204"/>
      <c r="AC3907" s="204"/>
    </row>
    <row r="3908" spans="1:29">
      <c r="A3908" s="204"/>
      <c r="B3908" s="204"/>
      <c r="C3908" s="204"/>
      <c r="D3908" s="204"/>
      <c r="E3908" s="204"/>
      <c r="F3908" s="204"/>
      <c r="G3908" s="204"/>
      <c r="H3908" s="204"/>
      <c r="I3908" s="204"/>
      <c r="J3908" s="204"/>
      <c r="K3908" s="204"/>
      <c r="L3908" s="205"/>
      <c r="M3908" s="205"/>
      <c r="N3908" s="204"/>
      <c r="O3908" s="204"/>
      <c r="P3908" s="206"/>
      <c r="Q3908" s="206"/>
      <c r="R3908" s="206"/>
      <c r="S3908" s="206"/>
      <c r="T3908" s="204"/>
      <c r="U3908" s="207"/>
      <c r="V3908" s="204"/>
      <c r="W3908" s="204"/>
      <c r="X3908" s="207"/>
      <c r="Y3908" s="207"/>
      <c r="Z3908" s="204"/>
      <c r="AA3908" s="204"/>
      <c r="AB3908" s="204"/>
      <c r="AC3908" s="204"/>
    </row>
    <row r="3909" spans="1:29">
      <c r="A3909" s="204"/>
      <c r="B3909" s="204"/>
      <c r="C3909" s="204"/>
      <c r="D3909" s="204"/>
      <c r="E3909" s="204"/>
      <c r="F3909" s="204"/>
      <c r="G3909" s="204"/>
      <c r="H3909" s="204"/>
      <c r="I3909" s="204"/>
      <c r="J3909" s="204"/>
      <c r="K3909" s="204"/>
      <c r="L3909" s="205"/>
      <c r="M3909" s="205"/>
      <c r="N3909" s="204"/>
      <c r="O3909" s="204"/>
      <c r="P3909" s="206"/>
      <c r="Q3909" s="206"/>
      <c r="R3909" s="206"/>
      <c r="S3909" s="206"/>
      <c r="T3909" s="204"/>
      <c r="U3909" s="207"/>
      <c r="V3909" s="204"/>
      <c r="W3909" s="204"/>
      <c r="X3909" s="207"/>
      <c r="Y3909" s="207"/>
      <c r="Z3909" s="204"/>
      <c r="AA3909" s="204"/>
      <c r="AB3909" s="204"/>
      <c r="AC3909" s="204"/>
    </row>
    <row r="3910" spans="1:29">
      <c r="A3910" s="204"/>
      <c r="B3910" s="204"/>
      <c r="C3910" s="204"/>
      <c r="D3910" s="204"/>
      <c r="E3910" s="204"/>
      <c r="F3910" s="204"/>
      <c r="G3910" s="204"/>
      <c r="H3910" s="204"/>
      <c r="I3910" s="204"/>
      <c r="J3910" s="204"/>
      <c r="K3910" s="204"/>
      <c r="L3910" s="205"/>
      <c r="M3910" s="205"/>
      <c r="N3910" s="204"/>
      <c r="O3910" s="204"/>
      <c r="P3910" s="206"/>
      <c r="Q3910" s="206"/>
      <c r="R3910" s="206"/>
      <c r="S3910" s="206"/>
      <c r="T3910" s="204"/>
      <c r="U3910" s="207"/>
      <c r="V3910" s="204"/>
      <c r="W3910" s="204"/>
      <c r="X3910" s="207"/>
      <c r="Y3910" s="207"/>
      <c r="Z3910" s="204"/>
      <c r="AA3910" s="204"/>
      <c r="AB3910" s="204"/>
      <c r="AC3910" s="204"/>
    </row>
    <row r="3911" spans="1:29">
      <c r="A3911" s="204"/>
      <c r="B3911" s="204"/>
      <c r="C3911" s="204"/>
      <c r="D3911" s="204"/>
      <c r="E3911" s="204"/>
      <c r="F3911" s="204"/>
      <c r="G3911" s="204"/>
      <c r="H3911" s="204"/>
      <c r="I3911" s="204"/>
      <c r="J3911" s="204"/>
      <c r="K3911" s="204"/>
      <c r="L3911" s="205"/>
      <c r="M3911" s="205"/>
      <c r="N3911" s="204"/>
      <c r="O3911" s="204"/>
      <c r="P3911" s="206"/>
      <c r="Q3911" s="206"/>
      <c r="R3911" s="206"/>
      <c r="S3911" s="206"/>
      <c r="T3911" s="204"/>
      <c r="U3911" s="207"/>
      <c r="V3911" s="204"/>
      <c r="W3911" s="204"/>
      <c r="X3911" s="207"/>
      <c r="Y3911" s="207"/>
      <c r="Z3911" s="204"/>
      <c r="AA3911" s="204"/>
      <c r="AB3911" s="204"/>
      <c r="AC3911" s="204"/>
    </row>
    <row r="3912" spans="1:29">
      <c r="A3912" s="204"/>
      <c r="B3912" s="204"/>
      <c r="C3912" s="204"/>
      <c r="D3912" s="204"/>
      <c r="E3912" s="204"/>
      <c r="F3912" s="204"/>
      <c r="G3912" s="204"/>
      <c r="H3912" s="204"/>
      <c r="I3912" s="204"/>
      <c r="J3912" s="204"/>
      <c r="K3912" s="204"/>
      <c r="L3912" s="205"/>
      <c r="M3912" s="205"/>
      <c r="N3912" s="204"/>
      <c r="O3912" s="204"/>
      <c r="P3912" s="206"/>
      <c r="Q3912" s="206"/>
      <c r="R3912" s="206"/>
      <c r="S3912" s="206"/>
      <c r="T3912" s="204"/>
      <c r="U3912" s="207"/>
      <c r="V3912" s="204"/>
      <c r="W3912" s="204"/>
      <c r="X3912" s="207"/>
      <c r="Y3912" s="207"/>
      <c r="Z3912" s="204"/>
      <c r="AA3912" s="204"/>
      <c r="AB3912" s="204"/>
      <c r="AC3912" s="204"/>
    </row>
    <row r="3913" spans="1:29">
      <c r="A3913" s="204"/>
      <c r="B3913" s="204"/>
      <c r="C3913" s="204"/>
      <c r="D3913" s="204"/>
      <c r="E3913" s="204"/>
      <c r="F3913" s="204"/>
      <c r="G3913" s="204"/>
      <c r="H3913" s="204"/>
      <c r="I3913" s="204"/>
      <c r="J3913" s="204"/>
      <c r="K3913" s="204"/>
      <c r="L3913" s="205"/>
      <c r="M3913" s="205"/>
      <c r="N3913" s="204"/>
      <c r="O3913" s="204"/>
      <c r="P3913" s="206"/>
      <c r="Q3913" s="206"/>
      <c r="R3913" s="206"/>
      <c r="S3913" s="206"/>
      <c r="T3913" s="204"/>
      <c r="U3913" s="207"/>
      <c r="V3913" s="204"/>
      <c r="W3913" s="204"/>
      <c r="X3913" s="207"/>
      <c r="Y3913" s="207"/>
      <c r="Z3913" s="204"/>
      <c r="AA3913" s="204"/>
      <c r="AB3913" s="204"/>
      <c r="AC3913" s="204"/>
    </row>
    <row r="3914" spans="1:29">
      <c r="A3914" s="204"/>
      <c r="B3914" s="204"/>
      <c r="C3914" s="204"/>
      <c r="D3914" s="204"/>
      <c r="E3914" s="204"/>
      <c r="F3914" s="204"/>
      <c r="G3914" s="204"/>
      <c r="H3914" s="204"/>
      <c r="I3914" s="204"/>
      <c r="J3914" s="204"/>
      <c r="K3914" s="204"/>
      <c r="L3914" s="205"/>
      <c r="M3914" s="205"/>
      <c r="N3914" s="204"/>
      <c r="O3914" s="204"/>
      <c r="P3914" s="206"/>
      <c r="Q3914" s="206"/>
      <c r="R3914" s="206"/>
      <c r="S3914" s="206"/>
      <c r="T3914" s="204"/>
      <c r="U3914" s="207"/>
      <c r="V3914" s="204"/>
      <c r="W3914" s="204"/>
      <c r="X3914" s="207"/>
      <c r="Y3914" s="207"/>
      <c r="Z3914" s="204"/>
      <c r="AA3914" s="204"/>
      <c r="AB3914" s="204"/>
      <c r="AC3914" s="204"/>
    </row>
    <row r="3915" spans="1:29">
      <c r="A3915" s="204"/>
      <c r="B3915" s="204"/>
      <c r="C3915" s="204"/>
      <c r="D3915" s="204"/>
      <c r="E3915" s="204"/>
      <c r="F3915" s="204"/>
      <c r="G3915" s="204"/>
      <c r="H3915" s="204"/>
      <c r="I3915" s="204"/>
      <c r="J3915" s="204"/>
      <c r="K3915" s="204"/>
      <c r="L3915" s="205"/>
      <c r="M3915" s="205"/>
      <c r="N3915" s="204"/>
      <c r="O3915" s="204"/>
      <c r="P3915" s="206"/>
      <c r="Q3915" s="206"/>
      <c r="R3915" s="206"/>
      <c r="S3915" s="206"/>
      <c r="T3915" s="204"/>
      <c r="U3915" s="207"/>
      <c r="V3915" s="204"/>
      <c r="W3915" s="204"/>
      <c r="X3915" s="207"/>
      <c r="Y3915" s="207"/>
      <c r="Z3915" s="204"/>
      <c r="AA3915" s="204"/>
      <c r="AB3915" s="204"/>
      <c r="AC3915" s="204"/>
    </row>
    <row r="3916" spans="1:29">
      <c r="A3916" s="204"/>
      <c r="B3916" s="204"/>
      <c r="C3916" s="204"/>
      <c r="D3916" s="204"/>
      <c r="E3916" s="204"/>
      <c r="F3916" s="204"/>
      <c r="G3916" s="204"/>
      <c r="H3916" s="204"/>
      <c r="I3916" s="204"/>
      <c r="J3916" s="204"/>
      <c r="K3916" s="204"/>
      <c r="L3916" s="205"/>
      <c r="M3916" s="205"/>
      <c r="N3916" s="204"/>
      <c r="O3916" s="204"/>
      <c r="P3916" s="206"/>
      <c r="Q3916" s="206"/>
      <c r="R3916" s="206"/>
      <c r="S3916" s="206"/>
      <c r="T3916" s="204"/>
      <c r="U3916" s="207"/>
      <c r="V3916" s="204"/>
      <c r="W3916" s="204"/>
      <c r="X3916" s="207"/>
      <c r="Y3916" s="207"/>
      <c r="Z3916" s="204"/>
      <c r="AA3916" s="204"/>
      <c r="AB3916" s="204"/>
      <c r="AC3916" s="204"/>
    </row>
    <row r="3917" spans="1:29">
      <c r="A3917" s="204"/>
      <c r="B3917" s="204"/>
      <c r="C3917" s="204"/>
      <c r="D3917" s="204"/>
      <c r="E3917" s="204"/>
      <c r="F3917" s="204"/>
      <c r="G3917" s="204"/>
      <c r="H3917" s="204"/>
      <c r="I3917" s="204"/>
      <c r="J3917" s="204"/>
      <c r="K3917" s="204"/>
      <c r="L3917" s="205"/>
      <c r="M3917" s="205"/>
      <c r="N3917" s="204"/>
      <c r="O3917" s="204"/>
      <c r="P3917" s="206"/>
      <c r="Q3917" s="206"/>
      <c r="R3917" s="206"/>
      <c r="S3917" s="206"/>
      <c r="T3917" s="204"/>
      <c r="U3917" s="207"/>
      <c r="V3917" s="204"/>
      <c r="W3917" s="204"/>
      <c r="X3917" s="207"/>
      <c r="Y3917" s="207"/>
      <c r="Z3917" s="204"/>
      <c r="AA3917" s="204"/>
      <c r="AB3917" s="204"/>
      <c r="AC3917" s="204"/>
    </row>
    <row r="3918" spans="1:29">
      <c r="A3918" s="204"/>
      <c r="B3918" s="204"/>
      <c r="C3918" s="204"/>
      <c r="D3918" s="204"/>
      <c r="E3918" s="204"/>
      <c r="F3918" s="204"/>
      <c r="G3918" s="204"/>
      <c r="H3918" s="204"/>
      <c r="I3918" s="204"/>
      <c r="J3918" s="204"/>
      <c r="K3918" s="204"/>
      <c r="L3918" s="205"/>
      <c r="M3918" s="205"/>
      <c r="N3918" s="204"/>
      <c r="O3918" s="204"/>
      <c r="P3918" s="206"/>
      <c r="Q3918" s="206"/>
      <c r="R3918" s="206"/>
      <c r="S3918" s="206"/>
      <c r="T3918" s="204"/>
      <c r="U3918" s="207"/>
      <c r="V3918" s="204"/>
      <c r="W3918" s="204"/>
      <c r="X3918" s="207"/>
      <c r="Y3918" s="207"/>
      <c r="Z3918" s="204"/>
      <c r="AA3918" s="204"/>
      <c r="AB3918" s="204"/>
      <c r="AC3918" s="204"/>
    </row>
    <row r="3919" spans="1:29">
      <c r="A3919" s="204"/>
      <c r="B3919" s="204"/>
      <c r="C3919" s="204"/>
      <c r="D3919" s="204"/>
      <c r="E3919" s="204"/>
      <c r="F3919" s="204"/>
      <c r="G3919" s="204"/>
      <c r="H3919" s="204"/>
      <c r="I3919" s="204"/>
      <c r="J3919" s="204"/>
      <c r="K3919" s="204"/>
      <c r="L3919" s="205"/>
      <c r="M3919" s="205"/>
      <c r="N3919" s="204"/>
      <c r="O3919" s="204"/>
      <c r="P3919" s="206"/>
      <c r="Q3919" s="206"/>
      <c r="R3919" s="206"/>
      <c r="S3919" s="206"/>
      <c r="T3919" s="204"/>
      <c r="U3919" s="207"/>
      <c r="V3919" s="204"/>
      <c r="W3919" s="204"/>
      <c r="X3919" s="207"/>
      <c r="Y3919" s="207"/>
      <c r="Z3919" s="204"/>
      <c r="AA3919" s="204"/>
      <c r="AB3919" s="204"/>
      <c r="AC3919" s="204"/>
    </row>
    <row r="3920" spans="1:29">
      <c r="A3920" s="204"/>
      <c r="B3920" s="204"/>
      <c r="C3920" s="204"/>
      <c r="D3920" s="204"/>
      <c r="E3920" s="204"/>
      <c r="F3920" s="204"/>
      <c r="G3920" s="204"/>
      <c r="H3920" s="204"/>
      <c r="I3920" s="204"/>
      <c r="J3920" s="204"/>
      <c r="K3920" s="204"/>
      <c r="L3920" s="205"/>
      <c r="M3920" s="205"/>
      <c r="N3920" s="204"/>
      <c r="O3920" s="204"/>
      <c r="P3920" s="206"/>
      <c r="Q3920" s="206"/>
      <c r="R3920" s="206"/>
      <c r="S3920" s="206"/>
      <c r="T3920" s="204"/>
      <c r="U3920" s="207"/>
      <c r="V3920" s="204"/>
      <c r="W3920" s="204"/>
      <c r="X3920" s="207"/>
      <c r="Y3920" s="207"/>
      <c r="Z3920" s="204"/>
      <c r="AA3920" s="204"/>
      <c r="AB3920" s="204"/>
      <c r="AC3920" s="204"/>
    </row>
    <row r="3921" spans="1:29">
      <c r="A3921" s="204"/>
      <c r="B3921" s="204"/>
      <c r="C3921" s="204"/>
      <c r="D3921" s="204"/>
      <c r="E3921" s="204"/>
      <c r="F3921" s="204"/>
      <c r="G3921" s="204"/>
      <c r="H3921" s="204"/>
      <c r="I3921" s="204"/>
      <c r="J3921" s="204"/>
      <c r="K3921" s="204"/>
      <c r="L3921" s="205"/>
      <c r="M3921" s="205"/>
      <c r="N3921" s="204"/>
      <c r="O3921" s="204"/>
      <c r="P3921" s="206"/>
      <c r="Q3921" s="206"/>
      <c r="R3921" s="206"/>
      <c r="S3921" s="206"/>
      <c r="T3921" s="204"/>
      <c r="U3921" s="207"/>
      <c r="V3921" s="204"/>
      <c r="W3921" s="204"/>
      <c r="X3921" s="207"/>
      <c r="Y3921" s="207"/>
      <c r="Z3921" s="204"/>
      <c r="AA3921" s="204"/>
      <c r="AB3921" s="204"/>
      <c r="AC3921" s="204"/>
    </row>
    <row r="3922" spans="1:29">
      <c r="A3922" s="204"/>
      <c r="B3922" s="204"/>
      <c r="C3922" s="204"/>
      <c r="D3922" s="204"/>
      <c r="E3922" s="204"/>
      <c r="F3922" s="204"/>
      <c r="G3922" s="204"/>
      <c r="H3922" s="204"/>
      <c r="I3922" s="204"/>
      <c r="J3922" s="204"/>
      <c r="K3922" s="204"/>
      <c r="L3922" s="205"/>
      <c r="M3922" s="205"/>
      <c r="N3922" s="204"/>
      <c r="O3922" s="204"/>
      <c r="P3922" s="206"/>
      <c r="Q3922" s="206"/>
      <c r="R3922" s="206"/>
      <c r="S3922" s="206"/>
      <c r="T3922" s="204"/>
      <c r="U3922" s="207"/>
      <c r="V3922" s="204"/>
      <c r="W3922" s="204"/>
      <c r="X3922" s="207"/>
      <c r="Y3922" s="207"/>
      <c r="Z3922" s="204"/>
      <c r="AA3922" s="204"/>
      <c r="AB3922" s="204"/>
      <c r="AC3922" s="204"/>
    </row>
    <row r="3923" spans="1:29">
      <c r="A3923" s="204"/>
      <c r="B3923" s="204"/>
      <c r="C3923" s="204"/>
      <c r="D3923" s="204"/>
      <c r="E3923" s="204"/>
      <c r="F3923" s="204"/>
      <c r="G3923" s="204"/>
      <c r="H3923" s="204"/>
      <c r="I3923" s="204"/>
      <c r="J3923" s="204"/>
      <c r="K3923" s="204"/>
      <c r="L3923" s="205"/>
      <c r="M3923" s="205"/>
      <c r="N3923" s="204"/>
      <c r="O3923" s="204"/>
      <c r="P3923" s="206"/>
      <c r="Q3923" s="206"/>
      <c r="R3923" s="206"/>
      <c r="S3923" s="206"/>
      <c r="T3923" s="204"/>
      <c r="U3923" s="207"/>
      <c r="V3923" s="204"/>
      <c r="W3923" s="204"/>
      <c r="X3923" s="207"/>
      <c r="Y3923" s="207"/>
      <c r="Z3923" s="204"/>
      <c r="AA3923" s="204"/>
      <c r="AB3923" s="204"/>
      <c r="AC3923" s="204"/>
    </row>
    <row r="3924" spans="1:29">
      <c r="A3924" s="204"/>
      <c r="B3924" s="204"/>
      <c r="C3924" s="204"/>
      <c r="D3924" s="204"/>
      <c r="E3924" s="204"/>
      <c r="F3924" s="204"/>
      <c r="G3924" s="204"/>
      <c r="H3924" s="204"/>
      <c r="I3924" s="204"/>
      <c r="J3924" s="204"/>
      <c r="K3924" s="204"/>
      <c r="L3924" s="205"/>
      <c r="M3924" s="205"/>
      <c r="N3924" s="204"/>
      <c r="O3924" s="204"/>
      <c r="P3924" s="206"/>
      <c r="Q3924" s="206"/>
      <c r="R3924" s="206"/>
      <c r="S3924" s="206"/>
      <c r="T3924" s="204"/>
      <c r="U3924" s="207"/>
      <c r="V3924" s="204"/>
      <c r="W3924" s="204"/>
      <c r="X3924" s="207"/>
      <c r="Y3924" s="207"/>
      <c r="Z3924" s="204"/>
      <c r="AA3924" s="204"/>
      <c r="AB3924" s="204"/>
      <c r="AC3924" s="204"/>
    </row>
    <row r="3925" spans="1:29">
      <c r="A3925" s="204"/>
      <c r="B3925" s="204"/>
      <c r="C3925" s="204"/>
      <c r="D3925" s="204"/>
      <c r="E3925" s="204"/>
      <c r="F3925" s="204"/>
      <c r="G3925" s="204"/>
      <c r="H3925" s="204"/>
      <c r="I3925" s="204"/>
      <c r="J3925" s="204"/>
      <c r="K3925" s="204"/>
      <c r="L3925" s="205"/>
      <c r="M3925" s="205"/>
      <c r="N3925" s="204"/>
      <c r="O3925" s="204"/>
      <c r="P3925" s="206"/>
      <c r="Q3925" s="206"/>
      <c r="R3925" s="206"/>
      <c r="S3925" s="206"/>
      <c r="T3925" s="204"/>
      <c r="U3925" s="207"/>
      <c r="V3925" s="204"/>
      <c r="W3925" s="204"/>
      <c r="X3925" s="207"/>
      <c r="Y3925" s="207"/>
      <c r="Z3925" s="204"/>
      <c r="AA3925" s="204"/>
      <c r="AB3925" s="204"/>
      <c r="AC3925" s="204"/>
    </row>
    <row r="3926" spans="1:29">
      <c r="A3926" s="204"/>
      <c r="B3926" s="204"/>
      <c r="C3926" s="204"/>
      <c r="D3926" s="204"/>
      <c r="E3926" s="204"/>
      <c r="F3926" s="204"/>
      <c r="G3926" s="204"/>
      <c r="H3926" s="204"/>
      <c r="I3926" s="204"/>
      <c r="J3926" s="204"/>
      <c r="K3926" s="204"/>
      <c r="L3926" s="205"/>
      <c r="M3926" s="205"/>
      <c r="N3926" s="204"/>
      <c r="O3926" s="204"/>
      <c r="P3926" s="206"/>
      <c r="Q3926" s="206"/>
      <c r="R3926" s="206"/>
      <c r="S3926" s="206"/>
      <c r="T3926" s="204"/>
      <c r="U3926" s="207"/>
      <c r="V3926" s="204"/>
      <c r="W3926" s="204"/>
      <c r="X3926" s="207"/>
      <c r="Y3926" s="207"/>
      <c r="Z3926" s="204"/>
      <c r="AA3926" s="204"/>
      <c r="AB3926" s="204"/>
      <c r="AC3926" s="204"/>
    </row>
    <row r="3927" spans="1:29">
      <c r="A3927" s="204"/>
      <c r="B3927" s="204"/>
      <c r="C3927" s="204"/>
      <c r="D3927" s="204"/>
      <c r="E3927" s="204"/>
      <c r="F3927" s="204"/>
      <c r="G3927" s="204"/>
      <c r="H3927" s="204"/>
      <c r="I3927" s="204"/>
      <c r="J3927" s="204"/>
      <c r="K3927" s="204"/>
      <c r="L3927" s="205"/>
      <c r="M3927" s="205"/>
      <c r="N3927" s="204"/>
      <c r="O3927" s="204"/>
      <c r="P3927" s="206"/>
      <c r="Q3927" s="206"/>
      <c r="R3927" s="206"/>
      <c r="S3927" s="206"/>
      <c r="T3927" s="204"/>
      <c r="U3927" s="207"/>
      <c r="V3927" s="204"/>
      <c r="W3927" s="204"/>
      <c r="X3927" s="207"/>
      <c r="Y3927" s="207"/>
      <c r="Z3927" s="204"/>
      <c r="AA3927" s="204"/>
      <c r="AB3927" s="204"/>
      <c r="AC3927" s="204"/>
    </row>
    <row r="3928" spans="1:29">
      <c r="A3928" s="204"/>
      <c r="B3928" s="204"/>
      <c r="C3928" s="204"/>
      <c r="D3928" s="204"/>
      <c r="E3928" s="204"/>
      <c r="F3928" s="204"/>
      <c r="G3928" s="204"/>
      <c r="H3928" s="204"/>
      <c r="I3928" s="204"/>
      <c r="J3928" s="204"/>
      <c r="K3928" s="204"/>
      <c r="L3928" s="205"/>
      <c r="M3928" s="205"/>
      <c r="N3928" s="204"/>
      <c r="O3928" s="204"/>
      <c r="P3928" s="206"/>
      <c r="Q3928" s="206"/>
      <c r="R3928" s="206"/>
      <c r="S3928" s="206"/>
      <c r="T3928" s="204"/>
      <c r="U3928" s="207"/>
      <c r="V3928" s="204"/>
      <c r="W3928" s="204"/>
      <c r="X3928" s="207"/>
      <c r="Y3928" s="207"/>
      <c r="Z3928" s="204"/>
      <c r="AA3928" s="204"/>
      <c r="AB3928" s="204"/>
      <c r="AC3928" s="204"/>
    </row>
    <row r="3929" spans="1:29">
      <c r="A3929" s="204"/>
      <c r="B3929" s="204"/>
      <c r="C3929" s="204"/>
      <c r="D3929" s="204"/>
      <c r="E3929" s="204"/>
      <c r="F3929" s="204"/>
      <c r="G3929" s="204"/>
      <c r="H3929" s="204"/>
      <c r="I3929" s="204"/>
      <c r="J3929" s="204"/>
      <c r="K3929" s="204"/>
      <c r="L3929" s="205"/>
      <c r="M3929" s="205"/>
      <c r="N3929" s="204"/>
      <c r="O3929" s="204"/>
      <c r="P3929" s="206"/>
      <c r="Q3929" s="206"/>
      <c r="R3929" s="206"/>
      <c r="S3929" s="206"/>
      <c r="T3929" s="204"/>
      <c r="U3929" s="207"/>
      <c r="V3929" s="204"/>
      <c r="W3929" s="204"/>
      <c r="X3929" s="207"/>
      <c r="Y3929" s="207"/>
      <c r="Z3929" s="204"/>
      <c r="AA3929" s="204"/>
      <c r="AB3929" s="204"/>
      <c r="AC3929" s="204"/>
    </row>
    <row r="3930" spans="1:29">
      <c r="A3930" s="204"/>
      <c r="B3930" s="204"/>
      <c r="C3930" s="204"/>
      <c r="D3930" s="204"/>
      <c r="E3930" s="204"/>
      <c r="F3930" s="204"/>
      <c r="G3930" s="204"/>
      <c r="H3930" s="204"/>
      <c r="I3930" s="204"/>
      <c r="J3930" s="204"/>
      <c r="K3930" s="204"/>
      <c r="L3930" s="205"/>
      <c r="M3930" s="205"/>
      <c r="N3930" s="204"/>
      <c r="O3930" s="204"/>
      <c r="P3930" s="206"/>
      <c r="Q3930" s="206"/>
      <c r="R3930" s="206"/>
      <c r="S3930" s="206"/>
      <c r="T3930" s="204"/>
      <c r="U3930" s="207"/>
      <c r="V3930" s="204"/>
      <c r="W3930" s="204"/>
      <c r="X3930" s="207"/>
      <c r="Y3930" s="207"/>
      <c r="Z3930" s="204"/>
      <c r="AA3930" s="204"/>
      <c r="AB3930" s="204"/>
      <c r="AC3930" s="204"/>
    </row>
    <row r="3931" spans="1:29">
      <c r="A3931" s="204"/>
      <c r="B3931" s="204"/>
      <c r="C3931" s="204"/>
      <c r="D3931" s="204"/>
      <c r="E3931" s="204"/>
      <c r="F3931" s="204"/>
      <c r="G3931" s="204"/>
      <c r="H3931" s="204"/>
      <c r="I3931" s="204"/>
      <c r="J3931" s="204"/>
      <c r="K3931" s="204"/>
      <c r="L3931" s="205"/>
      <c r="M3931" s="205"/>
      <c r="N3931" s="204"/>
      <c r="O3931" s="204"/>
      <c r="P3931" s="206"/>
      <c r="Q3931" s="206"/>
      <c r="R3931" s="206"/>
      <c r="S3931" s="206"/>
      <c r="T3931" s="204"/>
      <c r="U3931" s="207"/>
      <c r="V3931" s="204"/>
      <c r="W3931" s="204"/>
      <c r="X3931" s="207"/>
      <c r="Y3931" s="207"/>
      <c r="Z3931" s="204"/>
      <c r="AA3931" s="204"/>
      <c r="AB3931" s="204"/>
      <c r="AC3931" s="204"/>
    </row>
    <row r="3932" spans="1:29">
      <c r="A3932" s="204"/>
      <c r="B3932" s="204"/>
      <c r="C3932" s="204"/>
      <c r="D3932" s="204"/>
      <c r="E3932" s="204"/>
      <c r="F3932" s="204"/>
      <c r="G3932" s="204"/>
      <c r="H3932" s="204"/>
      <c r="I3932" s="204"/>
      <c r="J3932" s="204"/>
      <c r="K3932" s="204"/>
      <c r="L3932" s="205"/>
      <c r="M3932" s="205"/>
      <c r="N3932" s="204"/>
      <c r="O3932" s="204"/>
      <c r="P3932" s="206"/>
      <c r="Q3932" s="206"/>
      <c r="R3932" s="206"/>
      <c r="S3932" s="206"/>
      <c r="T3932" s="204"/>
      <c r="U3932" s="207"/>
      <c r="V3932" s="204"/>
      <c r="W3932" s="204"/>
      <c r="X3932" s="207"/>
      <c r="Y3932" s="207"/>
      <c r="Z3932" s="204"/>
      <c r="AA3932" s="204"/>
      <c r="AB3932" s="204"/>
      <c r="AC3932" s="204"/>
    </row>
    <row r="3933" spans="1:29">
      <c r="A3933" s="204"/>
      <c r="B3933" s="204"/>
      <c r="C3933" s="204"/>
      <c r="D3933" s="204"/>
      <c r="E3933" s="204"/>
      <c r="F3933" s="204"/>
      <c r="G3933" s="204"/>
      <c r="H3933" s="204"/>
      <c r="I3933" s="204"/>
      <c r="J3933" s="204"/>
      <c r="K3933" s="204"/>
      <c r="L3933" s="205"/>
      <c r="M3933" s="205"/>
      <c r="N3933" s="204"/>
      <c r="O3933" s="204"/>
      <c r="P3933" s="206"/>
      <c r="Q3933" s="206"/>
      <c r="R3933" s="206"/>
      <c r="S3933" s="206"/>
      <c r="T3933" s="204"/>
      <c r="U3933" s="207"/>
      <c r="V3933" s="204"/>
      <c r="W3933" s="204"/>
      <c r="X3933" s="207"/>
      <c r="Y3933" s="207"/>
      <c r="Z3933" s="204"/>
      <c r="AA3933" s="204"/>
      <c r="AB3933" s="204"/>
      <c r="AC3933" s="204"/>
    </row>
    <row r="3934" spans="1:29">
      <c r="A3934" s="204"/>
      <c r="B3934" s="204"/>
      <c r="C3934" s="204"/>
      <c r="D3934" s="204"/>
      <c r="E3934" s="204"/>
      <c r="F3934" s="204"/>
      <c r="G3934" s="204"/>
      <c r="H3934" s="204"/>
      <c r="I3934" s="204"/>
      <c r="J3934" s="204"/>
      <c r="K3934" s="204"/>
      <c r="L3934" s="205"/>
      <c r="M3934" s="205"/>
      <c r="N3934" s="204"/>
      <c r="O3934" s="204"/>
      <c r="P3934" s="206"/>
      <c r="Q3934" s="206"/>
      <c r="R3934" s="206"/>
      <c r="S3934" s="206"/>
      <c r="T3934" s="204"/>
      <c r="U3934" s="207"/>
      <c r="V3934" s="204"/>
      <c r="W3934" s="204"/>
      <c r="X3934" s="207"/>
      <c r="Y3934" s="207"/>
      <c r="Z3934" s="204"/>
      <c r="AA3934" s="204"/>
      <c r="AB3934" s="204"/>
      <c r="AC3934" s="204"/>
    </row>
    <row r="3935" spans="1:29">
      <c r="A3935" s="204"/>
      <c r="B3935" s="204"/>
      <c r="C3935" s="204"/>
      <c r="D3935" s="204"/>
      <c r="E3935" s="204"/>
      <c r="F3935" s="204"/>
      <c r="G3935" s="204"/>
      <c r="H3935" s="204"/>
      <c r="I3935" s="204"/>
      <c r="J3935" s="204"/>
      <c r="K3935" s="204"/>
      <c r="L3935" s="205"/>
      <c r="M3935" s="205"/>
      <c r="N3935" s="204"/>
      <c r="O3935" s="204"/>
      <c r="P3935" s="206"/>
      <c r="Q3935" s="206"/>
      <c r="R3935" s="206"/>
      <c r="S3935" s="206"/>
      <c r="T3935" s="204"/>
      <c r="U3935" s="207"/>
      <c r="V3935" s="204"/>
      <c r="W3935" s="204"/>
      <c r="X3935" s="207"/>
      <c r="Y3935" s="207"/>
      <c r="Z3935" s="204"/>
      <c r="AA3935" s="204"/>
      <c r="AB3935" s="204"/>
      <c r="AC3935" s="204"/>
    </row>
    <row r="3936" spans="1:29">
      <c r="A3936" s="204"/>
      <c r="B3936" s="204"/>
      <c r="C3936" s="204"/>
      <c r="D3936" s="204"/>
      <c r="E3936" s="204"/>
      <c r="F3936" s="204"/>
      <c r="G3936" s="204"/>
      <c r="H3936" s="204"/>
      <c r="I3936" s="204"/>
      <c r="J3936" s="204"/>
      <c r="K3936" s="204"/>
      <c r="L3936" s="205"/>
      <c r="M3936" s="205"/>
      <c r="N3936" s="204"/>
      <c r="O3936" s="204"/>
      <c r="P3936" s="206"/>
      <c r="Q3936" s="206"/>
      <c r="R3936" s="206"/>
      <c r="S3936" s="206"/>
      <c r="T3936" s="204"/>
      <c r="U3936" s="207"/>
      <c r="V3936" s="204"/>
      <c r="W3936" s="204"/>
      <c r="X3936" s="207"/>
      <c r="Y3936" s="207"/>
      <c r="Z3936" s="204"/>
      <c r="AA3936" s="204"/>
      <c r="AB3936" s="204"/>
      <c r="AC3936" s="204"/>
    </row>
    <row r="3937" spans="1:29">
      <c r="A3937" s="204"/>
      <c r="B3937" s="204"/>
      <c r="C3937" s="204"/>
      <c r="D3937" s="204"/>
      <c r="E3937" s="204"/>
      <c r="F3937" s="204"/>
      <c r="G3937" s="204"/>
      <c r="H3937" s="204"/>
      <c r="I3937" s="204"/>
      <c r="J3937" s="204"/>
      <c r="K3937" s="204"/>
      <c r="L3937" s="205"/>
      <c r="M3937" s="205"/>
      <c r="N3937" s="204"/>
      <c r="O3937" s="204"/>
      <c r="P3937" s="206"/>
      <c r="Q3937" s="206"/>
      <c r="R3937" s="206"/>
      <c r="S3937" s="206"/>
      <c r="T3937" s="204"/>
      <c r="U3937" s="207"/>
      <c r="V3937" s="204"/>
      <c r="W3937" s="204"/>
      <c r="X3937" s="207"/>
      <c r="Y3937" s="207"/>
      <c r="Z3937" s="204"/>
      <c r="AA3937" s="204"/>
      <c r="AB3937" s="204"/>
      <c r="AC3937" s="204"/>
    </row>
    <row r="3938" spans="1:29">
      <c r="A3938" s="204"/>
      <c r="B3938" s="204"/>
      <c r="C3938" s="204"/>
      <c r="D3938" s="204"/>
      <c r="E3938" s="204"/>
      <c r="F3938" s="204"/>
      <c r="G3938" s="204"/>
      <c r="H3938" s="204"/>
      <c r="I3938" s="204"/>
      <c r="J3938" s="204"/>
      <c r="K3938" s="204"/>
      <c r="L3938" s="205"/>
      <c r="M3938" s="205"/>
      <c r="N3938" s="204"/>
      <c r="O3938" s="204"/>
      <c r="P3938" s="206"/>
      <c r="Q3938" s="206"/>
      <c r="R3938" s="206"/>
      <c r="S3938" s="206"/>
      <c r="T3938" s="204"/>
      <c r="U3938" s="207"/>
      <c r="V3938" s="204"/>
      <c r="W3938" s="204"/>
      <c r="X3938" s="207"/>
      <c r="Y3938" s="207"/>
      <c r="Z3938" s="204"/>
      <c r="AA3938" s="204"/>
      <c r="AB3938" s="204"/>
      <c r="AC3938" s="204"/>
    </row>
    <row r="3939" spans="1:29">
      <c r="A3939" s="204"/>
      <c r="B3939" s="204"/>
      <c r="C3939" s="204"/>
      <c r="D3939" s="204"/>
      <c r="E3939" s="204"/>
      <c r="F3939" s="204"/>
      <c r="G3939" s="204"/>
      <c r="H3939" s="204"/>
      <c r="I3939" s="204"/>
      <c r="J3939" s="204"/>
      <c r="K3939" s="204"/>
      <c r="L3939" s="205"/>
      <c r="M3939" s="205"/>
      <c r="N3939" s="204"/>
      <c r="O3939" s="204"/>
      <c r="P3939" s="206"/>
      <c r="Q3939" s="206"/>
      <c r="R3939" s="206"/>
      <c r="S3939" s="206"/>
      <c r="T3939" s="204"/>
      <c r="U3939" s="207"/>
      <c r="V3939" s="204"/>
      <c r="W3939" s="204"/>
      <c r="X3939" s="207"/>
      <c r="Y3939" s="207"/>
      <c r="Z3939" s="204"/>
      <c r="AA3939" s="204"/>
      <c r="AB3939" s="204"/>
      <c r="AC3939" s="204"/>
    </row>
    <row r="3940" spans="1:29">
      <c r="A3940" s="204"/>
      <c r="B3940" s="204"/>
      <c r="C3940" s="204"/>
      <c r="D3940" s="204"/>
      <c r="E3940" s="204"/>
      <c r="F3940" s="204"/>
      <c r="G3940" s="204"/>
      <c r="H3940" s="204"/>
      <c r="I3940" s="204"/>
      <c r="J3940" s="204"/>
      <c r="K3940" s="204"/>
      <c r="L3940" s="205"/>
      <c r="M3940" s="205"/>
      <c r="N3940" s="204"/>
      <c r="O3940" s="204"/>
      <c r="P3940" s="206"/>
      <c r="Q3940" s="206"/>
      <c r="R3940" s="206"/>
      <c r="S3940" s="206"/>
      <c r="T3940" s="204"/>
      <c r="U3940" s="207"/>
      <c r="V3940" s="204"/>
      <c r="W3940" s="204"/>
      <c r="X3940" s="207"/>
      <c r="Y3940" s="207"/>
      <c r="Z3940" s="204"/>
      <c r="AA3940" s="204"/>
      <c r="AB3940" s="204"/>
      <c r="AC3940" s="204"/>
    </row>
    <row r="3941" spans="1:29">
      <c r="A3941" s="204"/>
      <c r="B3941" s="204"/>
      <c r="C3941" s="204"/>
      <c r="D3941" s="204"/>
      <c r="E3941" s="204"/>
      <c r="F3941" s="204"/>
      <c r="G3941" s="204"/>
      <c r="H3941" s="204"/>
      <c r="I3941" s="204"/>
      <c r="J3941" s="204"/>
      <c r="K3941" s="204"/>
      <c r="L3941" s="205"/>
      <c r="M3941" s="205"/>
      <c r="N3941" s="204"/>
      <c r="O3941" s="204"/>
      <c r="P3941" s="206"/>
      <c r="Q3941" s="206"/>
      <c r="R3941" s="206"/>
      <c r="S3941" s="206"/>
      <c r="T3941" s="204"/>
      <c r="U3941" s="207"/>
      <c r="V3941" s="204"/>
      <c r="W3941" s="204"/>
      <c r="X3941" s="207"/>
      <c r="Y3941" s="207"/>
      <c r="Z3941" s="204"/>
      <c r="AA3941" s="204"/>
      <c r="AB3941" s="204"/>
      <c r="AC3941" s="204"/>
    </row>
    <row r="3942" spans="1:29">
      <c r="A3942" s="204"/>
      <c r="B3942" s="204"/>
      <c r="C3942" s="204"/>
      <c r="D3942" s="204"/>
      <c r="E3942" s="204"/>
      <c r="F3942" s="204"/>
      <c r="G3942" s="204"/>
      <c r="H3942" s="204"/>
      <c r="I3942" s="204"/>
      <c r="J3942" s="204"/>
      <c r="K3942" s="204"/>
      <c r="L3942" s="205"/>
      <c r="M3942" s="205"/>
      <c r="N3942" s="204"/>
      <c r="O3942" s="204"/>
      <c r="P3942" s="206"/>
      <c r="Q3942" s="206"/>
      <c r="R3942" s="206"/>
      <c r="S3942" s="206"/>
      <c r="T3942" s="204"/>
      <c r="U3942" s="207"/>
      <c r="V3942" s="204"/>
      <c r="W3942" s="204"/>
      <c r="X3942" s="207"/>
      <c r="Y3942" s="207"/>
      <c r="Z3942" s="204"/>
      <c r="AA3942" s="204"/>
      <c r="AB3942" s="204"/>
      <c r="AC3942" s="204"/>
    </row>
    <row r="3943" spans="1:29">
      <c r="A3943" s="204"/>
      <c r="B3943" s="204"/>
      <c r="C3943" s="204"/>
      <c r="D3943" s="204"/>
      <c r="E3943" s="204"/>
      <c r="F3943" s="204"/>
      <c r="G3943" s="204"/>
      <c r="H3943" s="204"/>
      <c r="I3943" s="204"/>
      <c r="J3943" s="204"/>
      <c r="K3943" s="204"/>
      <c r="L3943" s="205"/>
      <c r="M3943" s="205"/>
      <c r="N3943" s="204"/>
      <c r="O3943" s="204"/>
      <c r="P3943" s="206"/>
      <c r="Q3943" s="206"/>
      <c r="R3943" s="206"/>
      <c r="S3943" s="206"/>
      <c r="T3943" s="204"/>
      <c r="U3943" s="207"/>
      <c r="V3943" s="204"/>
      <c r="W3943" s="204"/>
      <c r="X3943" s="207"/>
      <c r="Y3943" s="207"/>
      <c r="Z3943" s="204"/>
      <c r="AA3943" s="204"/>
      <c r="AB3943" s="204"/>
      <c r="AC3943" s="204"/>
    </row>
    <row r="3944" spans="1:29">
      <c r="A3944" s="204"/>
      <c r="B3944" s="204"/>
      <c r="C3944" s="204"/>
      <c r="D3944" s="204"/>
      <c r="E3944" s="204"/>
      <c r="F3944" s="204"/>
      <c r="G3944" s="204"/>
      <c r="H3944" s="204"/>
      <c r="I3944" s="204"/>
      <c r="J3944" s="204"/>
      <c r="K3944" s="204"/>
      <c r="L3944" s="205"/>
      <c r="M3944" s="205"/>
      <c r="N3944" s="204"/>
      <c r="O3944" s="204"/>
      <c r="P3944" s="206"/>
      <c r="Q3944" s="206"/>
      <c r="R3944" s="206"/>
      <c r="S3944" s="206"/>
      <c r="T3944" s="204"/>
      <c r="U3944" s="207"/>
      <c r="V3944" s="204"/>
      <c r="W3944" s="204"/>
      <c r="X3944" s="207"/>
      <c r="Y3944" s="207"/>
      <c r="Z3944" s="204"/>
      <c r="AA3944" s="204"/>
      <c r="AB3944" s="204"/>
      <c r="AC3944" s="204"/>
    </row>
    <row r="3945" spans="1:29">
      <c r="A3945" s="204"/>
      <c r="B3945" s="204"/>
      <c r="C3945" s="204"/>
      <c r="D3945" s="204"/>
      <c r="E3945" s="204"/>
      <c r="F3945" s="204"/>
      <c r="G3945" s="204"/>
      <c r="H3945" s="204"/>
      <c r="I3945" s="204"/>
      <c r="J3945" s="204"/>
      <c r="K3945" s="204"/>
      <c r="L3945" s="205"/>
      <c r="M3945" s="205"/>
      <c r="N3945" s="204"/>
      <c r="O3945" s="204"/>
      <c r="P3945" s="206"/>
      <c r="Q3945" s="206"/>
      <c r="R3945" s="206"/>
      <c r="S3945" s="206"/>
      <c r="T3945" s="204"/>
      <c r="U3945" s="207"/>
      <c r="V3945" s="204"/>
      <c r="W3945" s="204"/>
      <c r="X3945" s="207"/>
      <c r="Y3945" s="207"/>
      <c r="Z3945" s="204"/>
      <c r="AA3945" s="204"/>
      <c r="AB3945" s="204"/>
      <c r="AC3945" s="204"/>
    </row>
    <row r="3946" spans="1:29">
      <c r="A3946" s="204"/>
      <c r="B3946" s="204"/>
      <c r="C3946" s="204"/>
      <c r="D3946" s="204"/>
      <c r="E3946" s="204"/>
      <c r="F3946" s="204"/>
      <c r="G3946" s="204"/>
      <c r="H3946" s="204"/>
      <c r="I3946" s="204"/>
      <c r="J3946" s="204"/>
      <c r="K3946" s="204"/>
      <c r="L3946" s="205"/>
      <c r="M3946" s="205"/>
      <c r="N3946" s="204"/>
      <c r="O3946" s="204"/>
      <c r="P3946" s="206"/>
      <c r="Q3946" s="206"/>
      <c r="R3946" s="206"/>
      <c r="S3946" s="206"/>
      <c r="T3946" s="204"/>
      <c r="U3946" s="207"/>
      <c r="V3946" s="204"/>
      <c r="W3946" s="204"/>
      <c r="X3946" s="207"/>
      <c r="Y3946" s="207"/>
      <c r="Z3946" s="204"/>
      <c r="AA3946" s="204"/>
      <c r="AB3946" s="204"/>
      <c r="AC3946" s="204"/>
    </row>
    <row r="3947" spans="1:29">
      <c r="A3947" s="204"/>
      <c r="B3947" s="204"/>
      <c r="C3947" s="204"/>
      <c r="D3947" s="204"/>
      <c r="E3947" s="204"/>
      <c r="F3947" s="204"/>
      <c r="G3947" s="204"/>
      <c r="H3947" s="204"/>
      <c r="I3947" s="204"/>
      <c r="J3947" s="204"/>
      <c r="K3947" s="204"/>
      <c r="L3947" s="205"/>
      <c r="M3947" s="205"/>
      <c r="N3947" s="204"/>
      <c r="O3947" s="204"/>
      <c r="P3947" s="206"/>
      <c r="Q3947" s="206"/>
      <c r="R3947" s="206"/>
      <c r="S3947" s="206"/>
      <c r="T3947" s="204"/>
      <c r="U3947" s="207"/>
      <c r="V3947" s="204"/>
      <c r="W3947" s="204"/>
      <c r="X3947" s="207"/>
      <c r="Y3947" s="207"/>
      <c r="Z3947" s="204"/>
      <c r="AA3947" s="204"/>
      <c r="AB3947" s="204"/>
      <c r="AC3947" s="204"/>
    </row>
    <row r="3948" spans="1:29">
      <c r="A3948" s="204"/>
      <c r="B3948" s="204"/>
      <c r="C3948" s="204"/>
      <c r="D3948" s="204"/>
      <c r="E3948" s="204"/>
      <c r="F3948" s="204"/>
      <c r="G3948" s="204"/>
      <c r="H3948" s="204"/>
      <c r="I3948" s="204"/>
      <c r="J3948" s="204"/>
      <c r="K3948" s="204"/>
      <c r="L3948" s="205"/>
      <c r="M3948" s="205"/>
      <c r="N3948" s="204"/>
      <c r="O3948" s="204"/>
      <c r="P3948" s="206"/>
      <c r="Q3948" s="206"/>
      <c r="R3948" s="206"/>
      <c r="S3948" s="206"/>
      <c r="T3948" s="204"/>
      <c r="U3948" s="207"/>
      <c r="V3948" s="204"/>
      <c r="W3948" s="204"/>
      <c r="X3948" s="207"/>
      <c r="Y3948" s="207"/>
      <c r="Z3948" s="204"/>
      <c r="AA3948" s="204"/>
      <c r="AB3948" s="204"/>
      <c r="AC3948" s="204"/>
    </row>
    <row r="3949" spans="1:29">
      <c r="A3949" s="204"/>
      <c r="B3949" s="204"/>
      <c r="C3949" s="204"/>
      <c r="D3949" s="204"/>
      <c r="E3949" s="204"/>
      <c r="F3949" s="204"/>
      <c r="G3949" s="204"/>
      <c r="H3949" s="204"/>
      <c r="I3949" s="204"/>
      <c r="J3949" s="204"/>
      <c r="K3949" s="204"/>
      <c r="L3949" s="205"/>
      <c r="M3949" s="205"/>
      <c r="N3949" s="204"/>
      <c r="O3949" s="204"/>
      <c r="P3949" s="206"/>
      <c r="Q3949" s="206"/>
      <c r="R3949" s="206"/>
      <c r="S3949" s="206"/>
      <c r="T3949" s="204"/>
      <c r="U3949" s="207"/>
      <c r="V3949" s="204"/>
      <c r="W3949" s="204"/>
      <c r="X3949" s="207"/>
      <c r="Y3949" s="207"/>
      <c r="Z3949" s="204"/>
      <c r="AA3949" s="204"/>
      <c r="AB3949" s="204"/>
      <c r="AC3949" s="204"/>
    </row>
    <row r="3950" spans="1:29">
      <c r="A3950" s="204"/>
      <c r="B3950" s="204"/>
      <c r="C3950" s="204"/>
      <c r="D3950" s="204"/>
      <c r="E3950" s="204"/>
      <c r="F3950" s="204"/>
      <c r="G3950" s="204"/>
      <c r="H3950" s="204"/>
      <c r="I3950" s="204"/>
      <c r="J3950" s="204"/>
      <c r="K3950" s="204"/>
      <c r="L3950" s="205"/>
      <c r="M3950" s="205"/>
      <c r="N3950" s="204"/>
      <c r="O3950" s="204"/>
      <c r="P3950" s="206"/>
      <c r="Q3950" s="206"/>
      <c r="R3950" s="206"/>
      <c r="S3950" s="206"/>
      <c r="T3950" s="204"/>
      <c r="U3950" s="207"/>
      <c r="V3950" s="204"/>
      <c r="W3950" s="204"/>
      <c r="X3950" s="207"/>
      <c r="Y3950" s="207"/>
      <c r="Z3950" s="204"/>
      <c r="AA3950" s="204"/>
      <c r="AB3950" s="204"/>
      <c r="AC3950" s="204"/>
    </row>
    <row r="3951" spans="1:29">
      <c r="A3951" s="204"/>
      <c r="B3951" s="204"/>
      <c r="C3951" s="204"/>
      <c r="D3951" s="204"/>
      <c r="E3951" s="204"/>
      <c r="F3951" s="204"/>
      <c r="G3951" s="204"/>
      <c r="H3951" s="204"/>
      <c r="I3951" s="204"/>
      <c r="J3951" s="204"/>
      <c r="K3951" s="204"/>
      <c r="L3951" s="205"/>
      <c r="M3951" s="205"/>
      <c r="N3951" s="204"/>
      <c r="O3951" s="204"/>
      <c r="P3951" s="206"/>
      <c r="Q3951" s="206"/>
      <c r="R3951" s="206"/>
      <c r="S3951" s="206"/>
      <c r="T3951" s="204"/>
      <c r="U3951" s="207"/>
      <c r="V3951" s="204"/>
      <c r="W3951" s="204"/>
      <c r="X3951" s="207"/>
      <c r="Y3951" s="207"/>
      <c r="Z3951" s="204"/>
      <c r="AA3951" s="204"/>
      <c r="AB3951" s="204"/>
      <c r="AC3951" s="204"/>
    </row>
    <row r="3952" spans="1:29">
      <c r="A3952" s="204"/>
      <c r="B3952" s="204"/>
      <c r="C3952" s="204"/>
      <c r="D3952" s="204"/>
      <c r="E3952" s="204"/>
      <c r="F3952" s="204"/>
      <c r="G3952" s="204"/>
      <c r="H3952" s="204"/>
      <c r="I3952" s="204"/>
      <c r="J3952" s="204"/>
      <c r="K3952" s="204"/>
      <c r="L3952" s="205"/>
      <c r="M3952" s="205"/>
      <c r="N3952" s="204"/>
      <c r="O3952" s="204"/>
      <c r="P3952" s="206"/>
      <c r="Q3952" s="206"/>
      <c r="R3952" s="206"/>
      <c r="S3952" s="206"/>
      <c r="T3952" s="204"/>
      <c r="U3952" s="207"/>
      <c r="V3952" s="204"/>
      <c r="W3952" s="204"/>
      <c r="X3952" s="207"/>
      <c r="Y3952" s="207"/>
      <c r="Z3952" s="204"/>
      <c r="AA3952" s="204"/>
      <c r="AB3952" s="204"/>
      <c r="AC3952" s="204"/>
    </row>
    <row r="3953" spans="1:29">
      <c r="A3953" s="204"/>
      <c r="B3953" s="204"/>
      <c r="C3953" s="204"/>
      <c r="D3953" s="204"/>
      <c r="E3953" s="204"/>
      <c r="F3953" s="204"/>
      <c r="G3953" s="204"/>
      <c r="H3953" s="204"/>
      <c r="I3953" s="204"/>
      <c r="J3953" s="204"/>
      <c r="K3953" s="204"/>
      <c r="L3953" s="205"/>
      <c r="M3953" s="205"/>
      <c r="N3953" s="204"/>
      <c r="O3953" s="204"/>
      <c r="P3953" s="206"/>
      <c r="Q3953" s="206"/>
      <c r="R3953" s="206"/>
      <c r="S3953" s="206"/>
      <c r="T3953" s="204"/>
      <c r="U3953" s="207"/>
      <c r="V3953" s="204"/>
      <c r="W3953" s="204"/>
      <c r="X3953" s="207"/>
      <c r="Y3953" s="207"/>
      <c r="Z3953" s="204"/>
      <c r="AA3953" s="204"/>
      <c r="AB3953" s="204"/>
      <c r="AC3953" s="204"/>
    </row>
    <row r="3954" spans="1:29">
      <c r="A3954" s="204"/>
      <c r="B3954" s="204"/>
      <c r="C3954" s="204"/>
      <c r="D3954" s="204"/>
      <c r="E3954" s="204"/>
      <c r="F3954" s="204"/>
      <c r="G3954" s="204"/>
      <c r="H3954" s="204"/>
      <c r="I3954" s="204"/>
      <c r="J3954" s="204"/>
      <c r="K3954" s="204"/>
      <c r="L3954" s="205"/>
      <c r="M3954" s="205"/>
      <c r="N3954" s="204"/>
      <c r="O3954" s="204"/>
      <c r="P3954" s="206"/>
      <c r="Q3954" s="206"/>
      <c r="R3954" s="206"/>
      <c r="S3954" s="206"/>
      <c r="T3954" s="204"/>
      <c r="U3954" s="207"/>
      <c r="V3954" s="204"/>
      <c r="W3954" s="204"/>
      <c r="X3954" s="207"/>
      <c r="Y3954" s="207"/>
      <c r="Z3954" s="204"/>
      <c r="AA3954" s="204"/>
      <c r="AB3954" s="204"/>
      <c r="AC3954" s="204"/>
    </row>
    <row r="3955" spans="1:29">
      <c r="A3955" s="204"/>
      <c r="B3955" s="204"/>
      <c r="C3955" s="204"/>
      <c r="D3955" s="204"/>
      <c r="E3955" s="204"/>
      <c r="F3955" s="204"/>
      <c r="G3955" s="204"/>
      <c r="H3955" s="204"/>
      <c r="I3955" s="204"/>
      <c r="J3955" s="204"/>
      <c r="K3955" s="204"/>
      <c r="L3955" s="205"/>
      <c r="M3955" s="205"/>
      <c r="N3955" s="204"/>
      <c r="O3955" s="204"/>
      <c r="P3955" s="206"/>
      <c r="Q3955" s="206"/>
      <c r="R3955" s="206"/>
      <c r="S3955" s="206"/>
      <c r="T3955" s="204"/>
      <c r="U3955" s="207"/>
      <c r="V3955" s="204"/>
      <c r="W3955" s="204"/>
      <c r="X3955" s="207"/>
      <c r="Y3955" s="207"/>
      <c r="Z3955" s="204"/>
      <c r="AA3955" s="204"/>
      <c r="AB3955" s="204"/>
      <c r="AC3955" s="204"/>
    </row>
    <row r="3956" spans="1:29">
      <c r="A3956" s="204"/>
      <c r="B3956" s="204"/>
      <c r="C3956" s="204"/>
      <c r="D3956" s="204"/>
      <c r="E3956" s="204"/>
      <c r="F3956" s="204"/>
      <c r="G3956" s="204"/>
      <c r="H3956" s="204"/>
      <c r="I3956" s="204"/>
      <c r="J3956" s="204"/>
      <c r="K3956" s="204"/>
      <c r="L3956" s="205"/>
      <c r="M3956" s="205"/>
      <c r="N3956" s="204"/>
      <c r="O3956" s="204"/>
      <c r="P3956" s="206"/>
      <c r="Q3956" s="206"/>
      <c r="R3956" s="206"/>
      <c r="S3956" s="206"/>
      <c r="T3956" s="204"/>
      <c r="U3956" s="207"/>
      <c r="V3956" s="204"/>
      <c r="W3956" s="204"/>
      <c r="X3956" s="207"/>
      <c r="Y3956" s="207"/>
      <c r="Z3956" s="204"/>
      <c r="AA3956" s="204"/>
      <c r="AB3956" s="204"/>
      <c r="AC3956" s="204"/>
    </row>
    <row r="3957" spans="1:29">
      <c r="A3957" s="204"/>
      <c r="B3957" s="204"/>
      <c r="C3957" s="204"/>
      <c r="D3957" s="204"/>
      <c r="E3957" s="204"/>
      <c r="F3957" s="204"/>
      <c r="G3957" s="204"/>
      <c r="H3957" s="204"/>
      <c r="I3957" s="204"/>
      <c r="J3957" s="204"/>
      <c r="K3957" s="204"/>
      <c r="L3957" s="205"/>
      <c r="M3957" s="205"/>
      <c r="N3957" s="204"/>
      <c r="O3957" s="204"/>
      <c r="P3957" s="206"/>
      <c r="Q3957" s="206"/>
      <c r="R3957" s="206"/>
      <c r="S3957" s="206"/>
      <c r="T3957" s="204"/>
      <c r="U3957" s="207"/>
      <c r="V3957" s="204"/>
      <c r="W3957" s="204"/>
      <c r="X3957" s="207"/>
      <c r="Y3957" s="207"/>
      <c r="Z3957" s="204"/>
      <c r="AA3957" s="204"/>
      <c r="AB3957" s="204"/>
      <c r="AC3957" s="204"/>
    </row>
    <row r="3958" spans="1:29">
      <c r="A3958" s="204"/>
      <c r="B3958" s="204"/>
      <c r="C3958" s="204"/>
      <c r="D3958" s="204"/>
      <c r="E3958" s="204"/>
      <c r="F3958" s="204"/>
      <c r="G3958" s="204"/>
      <c r="H3958" s="204"/>
      <c r="I3958" s="204"/>
      <c r="J3958" s="204"/>
      <c r="K3958" s="204"/>
      <c r="L3958" s="205"/>
      <c r="M3958" s="205"/>
      <c r="N3958" s="204"/>
      <c r="O3958" s="204"/>
      <c r="P3958" s="206"/>
      <c r="Q3958" s="206"/>
      <c r="R3958" s="206"/>
      <c r="S3958" s="206"/>
      <c r="T3958" s="204"/>
      <c r="U3958" s="207"/>
      <c r="V3958" s="204"/>
      <c r="W3958" s="204"/>
      <c r="X3958" s="207"/>
      <c r="Y3958" s="207"/>
      <c r="Z3958" s="204"/>
      <c r="AA3958" s="204"/>
      <c r="AB3958" s="204"/>
      <c r="AC3958" s="204"/>
    </row>
    <row r="3959" spans="1:29">
      <c r="A3959" s="204"/>
      <c r="B3959" s="204"/>
      <c r="C3959" s="204"/>
      <c r="D3959" s="204"/>
      <c r="E3959" s="204"/>
      <c r="F3959" s="204"/>
      <c r="G3959" s="204"/>
      <c r="H3959" s="204"/>
      <c r="I3959" s="204"/>
      <c r="J3959" s="204"/>
      <c r="K3959" s="204"/>
      <c r="L3959" s="205"/>
      <c r="M3959" s="205"/>
      <c r="N3959" s="204"/>
      <c r="O3959" s="204"/>
      <c r="P3959" s="206"/>
      <c r="Q3959" s="206"/>
      <c r="R3959" s="206"/>
      <c r="S3959" s="206"/>
      <c r="T3959" s="204"/>
      <c r="U3959" s="207"/>
      <c r="V3959" s="204"/>
      <c r="W3959" s="204"/>
      <c r="X3959" s="207"/>
      <c r="Y3959" s="207"/>
      <c r="Z3959" s="204"/>
      <c r="AA3959" s="204"/>
      <c r="AB3959" s="204"/>
      <c r="AC3959" s="204"/>
    </row>
    <row r="3960" spans="1:29">
      <c r="A3960" s="204"/>
      <c r="B3960" s="204"/>
      <c r="C3960" s="204"/>
      <c r="D3960" s="204"/>
      <c r="E3960" s="204"/>
      <c r="F3960" s="204"/>
      <c r="G3960" s="204"/>
      <c r="H3960" s="204"/>
      <c r="I3960" s="204"/>
      <c r="J3960" s="204"/>
      <c r="K3960" s="204"/>
      <c r="L3960" s="205"/>
      <c r="M3960" s="205"/>
      <c r="N3960" s="204"/>
      <c r="O3960" s="204"/>
      <c r="P3960" s="206"/>
      <c r="Q3960" s="206"/>
      <c r="R3960" s="206"/>
      <c r="S3960" s="206"/>
      <c r="T3960" s="204"/>
      <c r="U3960" s="207"/>
      <c r="V3960" s="204"/>
      <c r="W3960" s="204"/>
      <c r="X3960" s="207"/>
      <c r="Y3960" s="207"/>
      <c r="Z3960" s="204"/>
      <c r="AA3960" s="204"/>
      <c r="AB3960" s="204"/>
      <c r="AC3960" s="204"/>
    </row>
    <row r="3961" spans="1:29">
      <c r="A3961" s="204"/>
      <c r="B3961" s="204"/>
      <c r="C3961" s="204"/>
      <c r="D3961" s="204"/>
      <c r="E3961" s="204"/>
      <c r="F3961" s="204"/>
      <c r="G3961" s="204"/>
      <c r="H3961" s="204"/>
      <c r="I3961" s="204"/>
      <c r="J3961" s="204"/>
      <c r="K3961" s="204"/>
      <c r="L3961" s="205"/>
      <c r="M3961" s="205"/>
      <c r="N3961" s="204"/>
      <c r="O3961" s="204"/>
      <c r="P3961" s="206"/>
      <c r="Q3961" s="206"/>
      <c r="R3961" s="206"/>
      <c r="S3961" s="206"/>
      <c r="T3961" s="204"/>
      <c r="U3961" s="207"/>
      <c r="V3961" s="204"/>
      <c r="W3961" s="204"/>
      <c r="X3961" s="207"/>
      <c r="Y3961" s="207"/>
      <c r="Z3961" s="204"/>
      <c r="AA3961" s="204"/>
      <c r="AB3961" s="204"/>
      <c r="AC3961" s="204"/>
    </row>
    <row r="3962" spans="1:29">
      <c r="A3962" s="204"/>
      <c r="B3962" s="204"/>
      <c r="C3962" s="204"/>
      <c r="D3962" s="204"/>
      <c r="E3962" s="204"/>
      <c r="F3962" s="204"/>
      <c r="G3962" s="204"/>
      <c r="H3962" s="204"/>
      <c r="I3962" s="204"/>
      <c r="J3962" s="204"/>
      <c r="K3962" s="204"/>
      <c r="L3962" s="205"/>
      <c r="M3962" s="205"/>
      <c r="N3962" s="204"/>
      <c r="O3962" s="204"/>
      <c r="P3962" s="206"/>
      <c r="Q3962" s="206"/>
      <c r="R3962" s="206"/>
      <c r="S3962" s="206"/>
      <c r="T3962" s="204"/>
      <c r="U3962" s="207"/>
      <c r="V3962" s="204"/>
      <c r="W3962" s="204"/>
      <c r="X3962" s="207"/>
      <c r="Y3962" s="207"/>
      <c r="Z3962" s="204"/>
      <c r="AA3962" s="204"/>
      <c r="AB3962" s="204"/>
      <c r="AC3962" s="204"/>
    </row>
    <row r="3963" spans="1:29">
      <c r="A3963" s="204"/>
      <c r="B3963" s="204"/>
      <c r="C3963" s="204"/>
      <c r="D3963" s="204"/>
      <c r="E3963" s="204"/>
      <c r="F3963" s="204"/>
      <c r="G3963" s="204"/>
      <c r="H3963" s="204"/>
      <c r="I3963" s="204"/>
      <c r="J3963" s="204"/>
      <c r="K3963" s="204"/>
      <c r="L3963" s="205"/>
      <c r="M3963" s="205"/>
      <c r="N3963" s="204"/>
      <c r="O3963" s="204"/>
      <c r="P3963" s="206"/>
      <c r="Q3963" s="206"/>
      <c r="R3963" s="206"/>
      <c r="S3963" s="206"/>
      <c r="T3963" s="204"/>
      <c r="U3963" s="207"/>
      <c r="V3963" s="204"/>
      <c r="W3963" s="204"/>
      <c r="X3963" s="207"/>
      <c r="Y3963" s="207"/>
      <c r="Z3963" s="204"/>
      <c r="AA3963" s="204"/>
      <c r="AB3963" s="204"/>
      <c r="AC3963" s="204"/>
    </row>
    <row r="3964" spans="1:29">
      <c r="A3964" s="204"/>
      <c r="B3964" s="204"/>
      <c r="C3964" s="204"/>
      <c r="D3964" s="204"/>
      <c r="E3964" s="204"/>
      <c r="F3964" s="204"/>
      <c r="G3964" s="204"/>
      <c r="H3964" s="204"/>
      <c r="I3964" s="204"/>
      <c r="J3964" s="204"/>
      <c r="K3964" s="204"/>
      <c r="L3964" s="205"/>
      <c r="M3964" s="205"/>
      <c r="N3964" s="204"/>
      <c r="O3964" s="204"/>
      <c r="P3964" s="206"/>
      <c r="Q3964" s="206"/>
      <c r="R3964" s="206"/>
      <c r="S3964" s="206"/>
      <c r="T3964" s="204"/>
      <c r="U3964" s="207"/>
      <c r="V3964" s="204"/>
      <c r="W3964" s="204"/>
      <c r="X3964" s="207"/>
      <c r="Y3964" s="207"/>
      <c r="Z3964" s="204"/>
      <c r="AA3964" s="204"/>
      <c r="AB3964" s="204"/>
      <c r="AC3964" s="204"/>
    </row>
    <row r="3965" spans="1:29">
      <c r="A3965" s="204"/>
      <c r="B3965" s="204"/>
      <c r="C3965" s="204"/>
      <c r="D3965" s="204"/>
      <c r="E3965" s="204"/>
      <c r="F3965" s="204"/>
      <c r="G3965" s="204"/>
      <c r="H3965" s="204"/>
      <c r="I3965" s="204"/>
      <c r="J3965" s="204"/>
      <c r="K3965" s="204"/>
      <c r="L3965" s="205"/>
      <c r="M3965" s="205"/>
      <c r="N3965" s="204"/>
      <c r="O3965" s="204"/>
      <c r="P3965" s="206"/>
      <c r="Q3965" s="206"/>
      <c r="R3965" s="206"/>
      <c r="S3965" s="206"/>
      <c r="T3965" s="204"/>
      <c r="U3965" s="207"/>
      <c r="V3965" s="204"/>
      <c r="W3965" s="204"/>
      <c r="X3965" s="207"/>
      <c r="Y3965" s="207"/>
      <c r="Z3965" s="204"/>
      <c r="AA3965" s="204"/>
      <c r="AB3965" s="204"/>
      <c r="AC3965" s="204"/>
    </row>
    <row r="3966" spans="1:29">
      <c r="A3966" s="204"/>
      <c r="B3966" s="204"/>
      <c r="C3966" s="204"/>
      <c r="D3966" s="204"/>
      <c r="E3966" s="204"/>
      <c r="F3966" s="204"/>
      <c r="G3966" s="204"/>
      <c r="H3966" s="204"/>
      <c r="I3966" s="204"/>
      <c r="J3966" s="204"/>
      <c r="K3966" s="204"/>
      <c r="L3966" s="205"/>
      <c r="M3966" s="205"/>
      <c r="N3966" s="204"/>
      <c r="O3966" s="204"/>
      <c r="P3966" s="206"/>
      <c r="Q3966" s="206"/>
      <c r="R3966" s="206"/>
      <c r="S3966" s="206"/>
      <c r="T3966" s="204"/>
      <c r="U3966" s="207"/>
      <c r="V3966" s="204"/>
      <c r="W3966" s="204"/>
      <c r="X3966" s="207"/>
      <c r="Y3966" s="207"/>
      <c r="Z3966" s="204"/>
      <c r="AA3966" s="204"/>
      <c r="AB3966" s="204"/>
      <c r="AC3966" s="204"/>
    </row>
    <row r="3967" spans="1:29">
      <c r="A3967" s="204"/>
      <c r="B3967" s="204"/>
      <c r="C3967" s="204"/>
      <c r="D3967" s="204"/>
      <c r="E3967" s="204"/>
      <c r="F3967" s="204"/>
      <c r="G3967" s="204"/>
      <c r="H3967" s="204"/>
      <c r="I3967" s="204"/>
      <c r="J3967" s="204"/>
      <c r="K3967" s="204"/>
      <c r="L3967" s="205"/>
      <c r="M3967" s="205"/>
      <c r="N3967" s="204"/>
      <c r="O3967" s="204"/>
      <c r="P3967" s="206"/>
      <c r="Q3967" s="206"/>
      <c r="R3967" s="206"/>
      <c r="S3967" s="206"/>
      <c r="T3967" s="204"/>
      <c r="U3967" s="207"/>
      <c r="V3967" s="204"/>
      <c r="W3967" s="204"/>
      <c r="X3967" s="207"/>
      <c r="Y3967" s="207"/>
      <c r="Z3967" s="204"/>
      <c r="AA3967" s="204"/>
      <c r="AB3967" s="204"/>
      <c r="AC3967" s="204"/>
    </row>
    <row r="3968" spans="1:29">
      <c r="A3968" s="204"/>
      <c r="B3968" s="204"/>
      <c r="C3968" s="204"/>
      <c r="D3968" s="204"/>
      <c r="E3968" s="204"/>
      <c r="F3968" s="204"/>
      <c r="G3968" s="204"/>
      <c r="H3968" s="204"/>
      <c r="I3968" s="204"/>
      <c r="J3968" s="204"/>
      <c r="K3968" s="204"/>
      <c r="L3968" s="205"/>
      <c r="M3968" s="205"/>
      <c r="N3968" s="204"/>
      <c r="O3968" s="204"/>
      <c r="P3968" s="206"/>
      <c r="Q3968" s="206"/>
      <c r="R3968" s="206"/>
      <c r="S3968" s="206"/>
      <c r="T3968" s="204"/>
      <c r="U3968" s="207"/>
      <c r="V3968" s="204"/>
      <c r="W3968" s="204"/>
      <c r="X3968" s="207"/>
      <c r="Y3968" s="207"/>
      <c r="Z3968" s="204"/>
      <c r="AA3968" s="204"/>
      <c r="AB3968" s="204"/>
      <c r="AC3968" s="204"/>
    </row>
    <row r="3969" spans="1:29">
      <c r="A3969" s="204"/>
      <c r="B3969" s="204"/>
      <c r="C3969" s="204"/>
      <c r="D3969" s="204"/>
      <c r="E3969" s="204"/>
      <c r="F3969" s="204"/>
      <c r="G3969" s="204"/>
      <c r="H3969" s="204"/>
      <c r="I3969" s="204"/>
      <c r="J3969" s="204"/>
      <c r="K3969" s="204"/>
      <c r="L3969" s="205"/>
      <c r="M3969" s="205"/>
      <c r="N3969" s="204"/>
      <c r="O3969" s="204"/>
      <c r="P3969" s="206"/>
      <c r="Q3969" s="206"/>
      <c r="R3969" s="206"/>
      <c r="S3969" s="206"/>
      <c r="T3969" s="204"/>
      <c r="U3969" s="207"/>
      <c r="V3969" s="204"/>
      <c r="W3969" s="204"/>
      <c r="X3969" s="207"/>
      <c r="Y3969" s="207"/>
      <c r="Z3969" s="204"/>
      <c r="AA3969" s="204"/>
      <c r="AB3969" s="204"/>
      <c r="AC3969" s="204"/>
    </row>
    <row r="3970" spans="1:29">
      <c r="A3970" s="204"/>
      <c r="B3970" s="204"/>
      <c r="C3970" s="204"/>
      <c r="D3970" s="204"/>
      <c r="E3970" s="204"/>
      <c r="F3970" s="204"/>
      <c r="G3970" s="204"/>
      <c r="H3970" s="204"/>
      <c r="I3970" s="204"/>
      <c r="J3970" s="204"/>
      <c r="K3970" s="204"/>
      <c r="L3970" s="205"/>
      <c r="M3970" s="205"/>
      <c r="N3970" s="204"/>
      <c r="O3970" s="204"/>
      <c r="P3970" s="206"/>
      <c r="Q3970" s="206"/>
      <c r="R3970" s="206"/>
      <c r="S3970" s="206"/>
      <c r="T3970" s="204"/>
      <c r="U3970" s="207"/>
      <c r="V3970" s="204"/>
      <c r="W3970" s="204"/>
      <c r="X3970" s="207"/>
      <c r="Y3970" s="207"/>
      <c r="Z3970" s="204"/>
      <c r="AA3970" s="204"/>
      <c r="AB3970" s="204"/>
      <c r="AC3970" s="204"/>
    </row>
    <row r="3971" spans="1:29">
      <c r="A3971" s="204"/>
      <c r="B3971" s="204"/>
      <c r="C3971" s="204"/>
      <c r="D3971" s="204"/>
      <c r="E3971" s="204"/>
      <c r="F3971" s="204"/>
      <c r="G3971" s="204"/>
      <c r="H3971" s="204"/>
      <c r="I3971" s="204"/>
      <c r="J3971" s="204"/>
      <c r="K3971" s="204"/>
      <c r="L3971" s="205"/>
      <c r="M3971" s="205"/>
      <c r="N3971" s="204"/>
      <c r="O3971" s="204"/>
      <c r="P3971" s="206"/>
      <c r="Q3971" s="206"/>
      <c r="R3971" s="206"/>
      <c r="S3971" s="206"/>
      <c r="T3971" s="204"/>
      <c r="U3971" s="207"/>
      <c r="V3971" s="204"/>
      <c r="W3971" s="204"/>
      <c r="X3971" s="207"/>
      <c r="Y3971" s="207"/>
      <c r="Z3971" s="204"/>
      <c r="AA3971" s="204"/>
      <c r="AB3971" s="204"/>
      <c r="AC3971" s="204"/>
    </row>
    <row r="3972" spans="1:29">
      <c r="A3972" s="204"/>
      <c r="B3972" s="204"/>
      <c r="C3972" s="204"/>
      <c r="D3972" s="204"/>
      <c r="E3972" s="204"/>
      <c r="F3972" s="204"/>
      <c r="G3972" s="204"/>
      <c r="H3972" s="204"/>
      <c r="I3972" s="204"/>
      <c r="J3972" s="204"/>
      <c r="K3972" s="204"/>
      <c r="L3972" s="205"/>
      <c r="M3972" s="205"/>
      <c r="N3972" s="204"/>
      <c r="O3972" s="204"/>
      <c r="P3972" s="206"/>
      <c r="Q3972" s="206"/>
      <c r="R3972" s="206"/>
      <c r="S3972" s="206"/>
      <c r="T3972" s="204"/>
      <c r="U3972" s="207"/>
      <c r="V3972" s="204"/>
      <c r="W3972" s="204"/>
      <c r="X3972" s="207"/>
      <c r="Y3972" s="207"/>
      <c r="Z3972" s="204"/>
      <c r="AA3972" s="204"/>
      <c r="AB3972" s="204"/>
      <c r="AC3972" s="204"/>
    </row>
    <row r="3973" spans="1:29">
      <c r="A3973" s="204"/>
      <c r="B3973" s="204"/>
      <c r="C3973" s="204"/>
      <c r="D3973" s="204"/>
      <c r="E3973" s="204"/>
      <c r="F3973" s="204"/>
      <c r="G3973" s="204"/>
      <c r="H3973" s="204"/>
      <c r="I3973" s="204"/>
      <c r="J3973" s="204"/>
      <c r="K3973" s="204"/>
      <c r="L3973" s="205"/>
      <c r="M3973" s="205"/>
      <c r="N3973" s="204"/>
      <c r="O3973" s="204"/>
      <c r="P3973" s="206"/>
      <c r="Q3973" s="206"/>
      <c r="R3973" s="206"/>
      <c r="S3973" s="206"/>
      <c r="T3973" s="204"/>
      <c r="U3973" s="207"/>
      <c r="V3973" s="204"/>
      <c r="W3973" s="204"/>
      <c r="X3973" s="207"/>
      <c r="Y3973" s="207"/>
      <c r="Z3973" s="204"/>
      <c r="AA3973" s="204"/>
      <c r="AB3973" s="204"/>
      <c r="AC3973" s="204"/>
    </row>
    <row r="3974" spans="1:29">
      <c r="A3974" s="204"/>
      <c r="B3974" s="204"/>
      <c r="C3974" s="204"/>
      <c r="D3974" s="204"/>
      <c r="E3974" s="204"/>
      <c r="F3974" s="204"/>
      <c r="G3974" s="204"/>
      <c r="H3974" s="204"/>
      <c r="I3974" s="204"/>
      <c r="J3974" s="204"/>
      <c r="K3974" s="204"/>
      <c r="L3974" s="205"/>
      <c r="M3974" s="205"/>
      <c r="N3974" s="204"/>
      <c r="O3974" s="204"/>
      <c r="P3974" s="206"/>
      <c r="Q3974" s="206"/>
      <c r="R3974" s="206"/>
      <c r="S3974" s="206"/>
      <c r="T3974" s="204"/>
      <c r="U3974" s="207"/>
      <c r="V3974" s="204"/>
      <c r="W3974" s="204"/>
      <c r="X3974" s="207"/>
      <c r="Y3974" s="207"/>
      <c r="Z3974" s="204"/>
      <c r="AA3974" s="204"/>
      <c r="AB3974" s="204"/>
      <c r="AC3974" s="204"/>
    </row>
    <row r="3975" spans="1:29">
      <c r="A3975" s="204"/>
      <c r="B3975" s="204"/>
      <c r="C3975" s="204"/>
      <c r="D3975" s="204"/>
      <c r="E3975" s="204"/>
      <c r="F3975" s="204"/>
      <c r="G3975" s="204"/>
      <c r="H3975" s="204"/>
      <c r="I3975" s="204"/>
      <c r="J3975" s="204"/>
      <c r="K3975" s="204"/>
      <c r="L3975" s="205"/>
      <c r="M3975" s="205"/>
      <c r="N3975" s="204"/>
      <c r="O3975" s="204"/>
      <c r="P3975" s="206"/>
      <c r="Q3975" s="206"/>
      <c r="R3975" s="206"/>
      <c r="S3975" s="206"/>
      <c r="T3975" s="204"/>
      <c r="U3975" s="207"/>
      <c r="V3975" s="204"/>
      <c r="W3975" s="204"/>
      <c r="X3975" s="207"/>
      <c r="Y3975" s="207"/>
      <c r="Z3975" s="204"/>
      <c r="AA3975" s="204"/>
      <c r="AB3975" s="204"/>
      <c r="AC3975" s="204"/>
    </row>
    <row r="3976" spans="1:29">
      <c r="A3976" s="204"/>
      <c r="B3976" s="204"/>
      <c r="C3976" s="204"/>
      <c r="D3976" s="204"/>
      <c r="E3976" s="204"/>
      <c r="F3976" s="204"/>
      <c r="G3976" s="204"/>
      <c r="H3976" s="204"/>
      <c r="I3976" s="204"/>
      <c r="J3976" s="204"/>
      <c r="K3976" s="204"/>
      <c r="L3976" s="205"/>
      <c r="M3976" s="205"/>
      <c r="N3976" s="204"/>
      <c r="O3976" s="204"/>
      <c r="P3976" s="206"/>
      <c r="Q3976" s="206"/>
      <c r="R3976" s="206"/>
      <c r="S3976" s="206"/>
      <c r="T3976" s="204"/>
      <c r="U3976" s="207"/>
      <c r="V3976" s="204"/>
      <c r="W3976" s="204"/>
      <c r="X3976" s="207"/>
      <c r="Y3976" s="207"/>
      <c r="Z3976" s="204"/>
      <c r="AA3976" s="204"/>
      <c r="AB3976" s="204"/>
      <c r="AC3976" s="204"/>
    </row>
    <row r="3977" spans="1:29">
      <c r="A3977" s="204"/>
      <c r="B3977" s="204"/>
      <c r="C3977" s="204"/>
      <c r="D3977" s="204"/>
      <c r="E3977" s="204"/>
      <c r="F3977" s="204"/>
      <c r="G3977" s="204"/>
      <c r="H3977" s="204"/>
      <c r="I3977" s="204"/>
      <c r="J3977" s="204"/>
      <c r="K3977" s="204"/>
      <c r="L3977" s="205"/>
      <c r="M3977" s="205"/>
      <c r="N3977" s="204"/>
      <c r="O3977" s="204"/>
      <c r="P3977" s="206"/>
      <c r="Q3977" s="206"/>
      <c r="R3977" s="206"/>
      <c r="S3977" s="206"/>
      <c r="T3977" s="204"/>
      <c r="U3977" s="207"/>
      <c r="V3977" s="204"/>
      <c r="W3977" s="204"/>
      <c r="X3977" s="207"/>
      <c r="Y3977" s="207"/>
      <c r="Z3977" s="204"/>
      <c r="AA3977" s="204"/>
      <c r="AB3977" s="204"/>
      <c r="AC3977" s="204"/>
    </row>
    <row r="3978" spans="1:29">
      <c r="A3978" s="204"/>
      <c r="B3978" s="204"/>
      <c r="C3978" s="204"/>
      <c r="D3978" s="204"/>
      <c r="E3978" s="204"/>
      <c r="F3978" s="204"/>
      <c r="G3978" s="204"/>
      <c r="H3978" s="204"/>
      <c r="I3978" s="204"/>
      <c r="J3978" s="204"/>
      <c r="K3978" s="204"/>
      <c r="L3978" s="205"/>
      <c r="M3978" s="205"/>
      <c r="N3978" s="204"/>
      <c r="O3978" s="204"/>
      <c r="P3978" s="206"/>
      <c r="Q3978" s="206"/>
      <c r="R3978" s="206"/>
      <c r="S3978" s="206"/>
      <c r="T3978" s="204"/>
      <c r="U3978" s="207"/>
      <c r="V3978" s="204"/>
      <c r="W3978" s="204"/>
      <c r="X3978" s="207"/>
      <c r="Y3978" s="207"/>
      <c r="Z3978" s="204"/>
      <c r="AA3978" s="204"/>
      <c r="AB3978" s="204"/>
      <c r="AC3978" s="204"/>
    </row>
    <row r="3979" spans="1:29">
      <c r="A3979" s="204"/>
      <c r="B3979" s="204"/>
      <c r="C3979" s="204"/>
      <c r="D3979" s="204"/>
      <c r="E3979" s="204"/>
      <c r="F3979" s="204"/>
      <c r="G3979" s="204"/>
      <c r="H3979" s="204"/>
      <c r="I3979" s="204"/>
      <c r="J3979" s="204"/>
      <c r="K3979" s="204"/>
      <c r="L3979" s="205"/>
      <c r="M3979" s="205"/>
      <c r="N3979" s="204"/>
      <c r="O3979" s="204"/>
      <c r="P3979" s="206"/>
      <c r="Q3979" s="206"/>
      <c r="R3979" s="206"/>
      <c r="S3979" s="206"/>
      <c r="T3979" s="204"/>
      <c r="U3979" s="207"/>
      <c r="V3979" s="204"/>
      <c r="W3979" s="204"/>
      <c r="X3979" s="207"/>
      <c r="Y3979" s="207"/>
      <c r="Z3979" s="204"/>
      <c r="AA3979" s="204"/>
      <c r="AB3979" s="204"/>
      <c r="AC3979" s="204"/>
    </row>
    <row r="3980" spans="1:29">
      <c r="A3980" s="204"/>
      <c r="B3980" s="204"/>
      <c r="C3980" s="204"/>
      <c r="D3980" s="204"/>
      <c r="E3980" s="204"/>
      <c r="F3980" s="204"/>
      <c r="G3980" s="204"/>
      <c r="H3980" s="204"/>
      <c r="I3980" s="204"/>
      <c r="J3980" s="204"/>
      <c r="K3980" s="204"/>
      <c r="L3980" s="205"/>
      <c r="M3980" s="205"/>
      <c r="N3980" s="204"/>
      <c r="O3980" s="204"/>
      <c r="P3980" s="206"/>
      <c r="Q3980" s="206"/>
      <c r="R3980" s="206"/>
      <c r="S3980" s="206"/>
      <c r="T3980" s="204"/>
      <c r="U3980" s="207"/>
      <c r="V3980" s="204"/>
      <c r="W3980" s="204"/>
      <c r="X3980" s="207"/>
      <c r="Y3980" s="207"/>
      <c r="Z3980" s="204"/>
      <c r="AA3980" s="204"/>
      <c r="AB3980" s="204"/>
      <c r="AC3980" s="204"/>
    </row>
    <row r="3981" spans="1:29">
      <c r="A3981" s="204"/>
      <c r="B3981" s="204"/>
      <c r="C3981" s="204"/>
      <c r="D3981" s="204"/>
      <c r="E3981" s="204"/>
      <c r="F3981" s="204"/>
      <c r="G3981" s="204"/>
      <c r="H3981" s="204"/>
      <c r="I3981" s="204"/>
      <c r="J3981" s="204"/>
      <c r="K3981" s="204"/>
      <c r="L3981" s="205"/>
      <c r="M3981" s="205"/>
      <c r="N3981" s="204"/>
      <c r="O3981" s="204"/>
      <c r="P3981" s="206"/>
      <c r="Q3981" s="206"/>
      <c r="R3981" s="206"/>
      <c r="S3981" s="206"/>
      <c r="T3981" s="204"/>
      <c r="U3981" s="207"/>
      <c r="V3981" s="204"/>
      <c r="W3981" s="204"/>
      <c r="X3981" s="207"/>
      <c r="Y3981" s="207"/>
      <c r="Z3981" s="204"/>
      <c r="AA3981" s="204"/>
      <c r="AB3981" s="204"/>
      <c r="AC3981" s="204"/>
    </row>
    <row r="3982" spans="1:29">
      <c r="A3982" s="204"/>
      <c r="B3982" s="204"/>
      <c r="C3982" s="204"/>
      <c r="D3982" s="204"/>
      <c r="E3982" s="204"/>
      <c r="F3982" s="204"/>
      <c r="G3982" s="204"/>
      <c r="H3982" s="204"/>
      <c r="I3982" s="204"/>
      <c r="J3982" s="204"/>
      <c r="K3982" s="204"/>
      <c r="L3982" s="205"/>
      <c r="M3982" s="205"/>
      <c r="N3982" s="204"/>
      <c r="O3982" s="204"/>
      <c r="P3982" s="206"/>
      <c r="Q3982" s="206"/>
      <c r="R3982" s="206"/>
      <c r="S3982" s="206"/>
      <c r="T3982" s="204"/>
      <c r="U3982" s="207"/>
      <c r="V3982" s="204"/>
      <c r="W3982" s="204"/>
      <c r="X3982" s="207"/>
      <c r="Y3982" s="207"/>
      <c r="Z3982" s="204"/>
      <c r="AA3982" s="204"/>
      <c r="AB3982" s="204"/>
      <c r="AC3982" s="204"/>
    </row>
    <row r="3983" spans="1:29">
      <c r="A3983" s="204"/>
      <c r="B3983" s="204"/>
      <c r="C3983" s="204"/>
      <c r="D3983" s="204"/>
      <c r="E3983" s="204"/>
      <c r="F3983" s="204"/>
      <c r="G3983" s="204"/>
      <c r="H3983" s="204"/>
      <c r="I3983" s="204"/>
      <c r="J3983" s="204"/>
      <c r="K3983" s="204"/>
      <c r="L3983" s="205"/>
      <c r="M3983" s="205"/>
      <c r="N3983" s="204"/>
      <c r="O3983" s="204"/>
      <c r="P3983" s="206"/>
      <c r="Q3983" s="206"/>
      <c r="R3983" s="206"/>
      <c r="S3983" s="206"/>
      <c r="T3983" s="204"/>
      <c r="U3983" s="207"/>
      <c r="V3983" s="204"/>
      <c r="W3983" s="204"/>
      <c r="X3983" s="207"/>
      <c r="Y3983" s="207"/>
      <c r="Z3983" s="204"/>
      <c r="AA3983" s="204"/>
      <c r="AB3983" s="204"/>
      <c r="AC3983" s="204"/>
    </row>
    <row r="3984" spans="1:29">
      <c r="A3984" s="204"/>
      <c r="B3984" s="204"/>
      <c r="C3984" s="204"/>
      <c r="D3984" s="204"/>
      <c r="E3984" s="204"/>
      <c r="F3984" s="204"/>
      <c r="G3984" s="204"/>
      <c r="H3984" s="204"/>
      <c r="I3984" s="204"/>
      <c r="J3984" s="204"/>
      <c r="K3984" s="204"/>
      <c r="L3984" s="205"/>
      <c r="M3984" s="205"/>
      <c r="N3984" s="204"/>
      <c r="O3984" s="204"/>
      <c r="P3984" s="206"/>
      <c r="Q3984" s="206"/>
      <c r="R3984" s="206"/>
      <c r="S3984" s="206"/>
      <c r="T3984" s="204"/>
      <c r="U3984" s="207"/>
      <c r="V3984" s="204"/>
      <c r="W3984" s="204"/>
      <c r="X3984" s="207"/>
      <c r="Y3984" s="207"/>
      <c r="Z3984" s="204"/>
      <c r="AA3984" s="204"/>
      <c r="AB3984" s="204"/>
      <c r="AC3984" s="204"/>
    </row>
    <row r="3985" spans="1:29">
      <c r="A3985" s="204"/>
      <c r="B3985" s="204"/>
      <c r="C3985" s="204"/>
      <c r="D3985" s="204"/>
      <c r="E3985" s="204"/>
      <c r="F3985" s="204"/>
      <c r="G3985" s="204"/>
      <c r="H3985" s="204"/>
      <c r="I3985" s="204"/>
      <c r="J3985" s="204"/>
      <c r="K3985" s="204"/>
      <c r="L3985" s="205"/>
      <c r="M3985" s="205"/>
      <c r="N3985" s="204"/>
      <c r="O3985" s="204"/>
      <c r="P3985" s="206"/>
      <c r="Q3985" s="206"/>
      <c r="R3985" s="206"/>
      <c r="S3985" s="206"/>
      <c r="T3985" s="204"/>
      <c r="U3985" s="207"/>
      <c r="V3985" s="204"/>
      <c r="W3985" s="204"/>
      <c r="X3985" s="207"/>
      <c r="Y3985" s="207"/>
      <c r="Z3985" s="204"/>
      <c r="AA3985" s="204"/>
      <c r="AB3985" s="204"/>
      <c r="AC3985" s="204"/>
    </row>
    <row r="3986" spans="1:29">
      <c r="A3986" s="204"/>
      <c r="B3986" s="204"/>
      <c r="C3986" s="204"/>
      <c r="D3986" s="204"/>
      <c r="E3986" s="204"/>
      <c r="F3986" s="204"/>
      <c r="G3986" s="204"/>
      <c r="H3986" s="204"/>
      <c r="I3986" s="204"/>
      <c r="J3986" s="204"/>
      <c r="K3986" s="204"/>
      <c r="L3986" s="205"/>
      <c r="M3986" s="205"/>
      <c r="N3986" s="204"/>
      <c r="O3986" s="204"/>
      <c r="P3986" s="206"/>
      <c r="Q3986" s="206"/>
      <c r="R3986" s="206"/>
      <c r="S3986" s="206"/>
      <c r="T3986" s="204"/>
      <c r="U3986" s="207"/>
      <c r="V3986" s="204"/>
      <c r="W3986" s="204"/>
      <c r="X3986" s="207"/>
      <c r="Y3986" s="207"/>
      <c r="Z3986" s="204"/>
      <c r="AA3986" s="204"/>
      <c r="AB3986" s="204"/>
      <c r="AC3986" s="204"/>
    </row>
    <row r="3987" spans="1:29">
      <c r="A3987" s="204"/>
      <c r="B3987" s="204"/>
      <c r="C3987" s="204"/>
      <c r="D3987" s="204"/>
      <c r="E3987" s="204"/>
      <c r="F3987" s="204"/>
      <c r="G3987" s="204"/>
      <c r="H3987" s="204"/>
      <c r="I3987" s="204"/>
      <c r="J3987" s="204"/>
      <c r="K3987" s="204"/>
      <c r="L3987" s="205"/>
      <c r="M3987" s="205"/>
      <c r="N3987" s="204"/>
      <c r="O3987" s="204"/>
      <c r="P3987" s="206"/>
      <c r="Q3987" s="206"/>
      <c r="R3987" s="206"/>
      <c r="S3987" s="206"/>
      <c r="T3987" s="204"/>
      <c r="U3987" s="207"/>
      <c r="V3987" s="204"/>
      <c r="W3987" s="204"/>
      <c r="X3987" s="207"/>
      <c r="Y3987" s="207"/>
      <c r="Z3987" s="204"/>
      <c r="AA3987" s="204"/>
      <c r="AB3987" s="204"/>
      <c r="AC3987" s="204"/>
    </row>
    <row r="3988" spans="1:29">
      <c r="A3988" s="204"/>
      <c r="B3988" s="204"/>
      <c r="C3988" s="204"/>
      <c r="D3988" s="204"/>
      <c r="E3988" s="204"/>
      <c r="F3988" s="204"/>
      <c r="G3988" s="204"/>
      <c r="H3988" s="204"/>
      <c r="I3988" s="204"/>
      <c r="J3988" s="204"/>
      <c r="K3988" s="204"/>
      <c r="L3988" s="205"/>
      <c r="M3988" s="205"/>
      <c r="N3988" s="204"/>
      <c r="O3988" s="204"/>
      <c r="P3988" s="206"/>
      <c r="Q3988" s="206"/>
      <c r="R3988" s="206"/>
      <c r="S3988" s="206"/>
      <c r="T3988" s="204"/>
      <c r="U3988" s="207"/>
      <c r="V3988" s="204"/>
      <c r="W3988" s="204"/>
      <c r="X3988" s="207"/>
      <c r="Y3988" s="207"/>
      <c r="Z3988" s="204"/>
      <c r="AA3988" s="204"/>
      <c r="AB3988" s="204"/>
      <c r="AC3988" s="204"/>
    </row>
    <row r="3989" spans="1:29">
      <c r="A3989" s="204"/>
      <c r="B3989" s="204"/>
      <c r="C3989" s="204"/>
      <c r="D3989" s="204"/>
      <c r="E3989" s="204"/>
      <c r="F3989" s="204"/>
      <c r="G3989" s="204"/>
      <c r="H3989" s="204"/>
      <c r="I3989" s="204"/>
      <c r="J3989" s="204"/>
      <c r="K3989" s="204"/>
      <c r="L3989" s="205"/>
      <c r="M3989" s="205"/>
      <c r="N3989" s="204"/>
      <c r="O3989" s="204"/>
      <c r="P3989" s="206"/>
      <c r="Q3989" s="206"/>
      <c r="R3989" s="206"/>
      <c r="S3989" s="206"/>
      <c r="T3989" s="204"/>
      <c r="U3989" s="207"/>
      <c r="V3989" s="204"/>
      <c r="W3989" s="204"/>
      <c r="X3989" s="207"/>
      <c r="Y3989" s="207"/>
      <c r="Z3989" s="204"/>
      <c r="AA3989" s="204"/>
      <c r="AB3989" s="204"/>
      <c r="AC3989" s="204"/>
    </row>
    <row r="3990" spans="1:29">
      <c r="A3990" s="204"/>
      <c r="B3990" s="204"/>
      <c r="C3990" s="204"/>
      <c r="D3990" s="204"/>
      <c r="E3990" s="204"/>
      <c r="F3990" s="204"/>
      <c r="G3990" s="204"/>
      <c r="H3990" s="204"/>
      <c r="I3990" s="204"/>
      <c r="J3990" s="204"/>
      <c r="K3990" s="204"/>
      <c r="L3990" s="205"/>
      <c r="M3990" s="205"/>
      <c r="N3990" s="204"/>
      <c r="O3990" s="204"/>
      <c r="P3990" s="206"/>
      <c r="Q3990" s="206"/>
      <c r="R3990" s="206"/>
      <c r="S3990" s="206"/>
      <c r="T3990" s="204"/>
      <c r="U3990" s="207"/>
      <c r="V3990" s="204"/>
      <c r="W3990" s="204"/>
      <c r="X3990" s="207"/>
      <c r="Y3990" s="207"/>
      <c r="Z3990" s="204"/>
      <c r="AA3990" s="204"/>
      <c r="AB3990" s="204"/>
      <c r="AC3990" s="204"/>
    </row>
    <row r="3991" spans="1:29">
      <c r="A3991" s="204"/>
      <c r="B3991" s="204"/>
      <c r="C3991" s="204"/>
      <c r="D3991" s="204"/>
      <c r="E3991" s="204"/>
      <c r="F3991" s="204"/>
      <c r="G3991" s="204"/>
      <c r="H3991" s="204"/>
      <c r="I3991" s="204"/>
      <c r="J3991" s="204"/>
      <c r="K3991" s="204"/>
      <c r="L3991" s="205"/>
      <c r="M3991" s="205"/>
      <c r="N3991" s="204"/>
      <c r="O3991" s="204"/>
      <c r="P3991" s="206"/>
      <c r="Q3991" s="206"/>
      <c r="R3991" s="206"/>
      <c r="S3991" s="206"/>
      <c r="T3991" s="204"/>
      <c r="U3991" s="207"/>
      <c r="V3991" s="204"/>
      <c r="W3991" s="204"/>
      <c r="X3991" s="207"/>
      <c r="Y3991" s="207"/>
      <c r="Z3991" s="204"/>
      <c r="AA3991" s="204"/>
      <c r="AB3991" s="204"/>
      <c r="AC3991" s="204"/>
    </row>
    <row r="3992" spans="1:29">
      <c r="A3992" s="204"/>
      <c r="B3992" s="204"/>
      <c r="C3992" s="204"/>
      <c r="D3992" s="204"/>
      <c r="E3992" s="204"/>
      <c r="F3992" s="204"/>
      <c r="G3992" s="204"/>
      <c r="H3992" s="204"/>
      <c r="I3992" s="204"/>
      <c r="J3992" s="204"/>
      <c r="K3992" s="204"/>
      <c r="L3992" s="205"/>
      <c r="M3992" s="205"/>
      <c r="N3992" s="204"/>
      <c r="O3992" s="204"/>
      <c r="P3992" s="206"/>
      <c r="Q3992" s="206"/>
      <c r="R3992" s="206"/>
      <c r="S3992" s="206"/>
      <c r="T3992" s="204"/>
      <c r="U3992" s="207"/>
      <c r="V3992" s="204"/>
      <c r="W3992" s="204"/>
      <c r="X3992" s="207"/>
      <c r="Y3992" s="207"/>
      <c r="Z3992" s="204"/>
      <c r="AA3992" s="204"/>
      <c r="AB3992" s="204"/>
      <c r="AC3992" s="204"/>
    </row>
    <row r="3993" spans="1:29">
      <c r="A3993" s="204"/>
      <c r="B3993" s="204"/>
      <c r="C3993" s="204"/>
      <c r="D3993" s="204"/>
      <c r="E3993" s="204"/>
      <c r="F3993" s="204"/>
      <c r="G3993" s="204"/>
      <c r="H3993" s="204"/>
      <c r="I3993" s="204"/>
      <c r="J3993" s="204"/>
      <c r="K3993" s="204"/>
      <c r="L3993" s="205"/>
      <c r="M3993" s="205"/>
      <c r="N3993" s="204"/>
      <c r="O3993" s="204"/>
      <c r="P3993" s="206"/>
      <c r="Q3993" s="206"/>
      <c r="R3993" s="206"/>
      <c r="S3993" s="206"/>
      <c r="T3993" s="204"/>
      <c r="U3993" s="207"/>
      <c r="V3993" s="204"/>
      <c r="W3993" s="204"/>
      <c r="X3993" s="207"/>
      <c r="Y3993" s="207"/>
      <c r="Z3993" s="204"/>
      <c r="AA3993" s="204"/>
      <c r="AB3993" s="204"/>
      <c r="AC3993" s="204"/>
    </row>
    <row r="3994" spans="1:29">
      <c r="A3994" s="204"/>
      <c r="B3994" s="204"/>
      <c r="C3994" s="204"/>
      <c r="D3994" s="204"/>
      <c r="E3994" s="204"/>
      <c r="F3994" s="204"/>
      <c r="G3994" s="204"/>
      <c r="H3994" s="204"/>
      <c r="I3994" s="204"/>
      <c r="J3994" s="204"/>
      <c r="K3994" s="204"/>
      <c r="L3994" s="205"/>
      <c r="M3994" s="205"/>
      <c r="N3994" s="204"/>
      <c r="O3994" s="204"/>
      <c r="P3994" s="206"/>
      <c r="Q3994" s="206"/>
      <c r="R3994" s="206"/>
      <c r="S3994" s="206"/>
      <c r="T3994" s="204"/>
      <c r="U3994" s="207"/>
      <c r="V3994" s="204"/>
      <c r="W3994" s="204"/>
      <c r="X3994" s="207"/>
      <c r="Y3994" s="207"/>
      <c r="Z3994" s="204"/>
      <c r="AA3994" s="204"/>
      <c r="AB3994" s="204"/>
      <c r="AC3994" s="204"/>
    </row>
    <row r="3995" spans="1:29">
      <c r="A3995" s="204"/>
      <c r="B3995" s="204"/>
      <c r="C3995" s="204"/>
      <c r="D3995" s="204"/>
      <c r="E3995" s="204"/>
      <c r="F3995" s="204"/>
      <c r="G3995" s="204"/>
      <c r="H3995" s="204"/>
      <c r="I3995" s="204"/>
      <c r="J3995" s="204"/>
      <c r="K3995" s="204"/>
      <c r="L3995" s="205"/>
      <c r="M3995" s="205"/>
      <c r="N3995" s="204"/>
      <c r="O3995" s="204"/>
      <c r="P3995" s="206"/>
      <c r="Q3995" s="206"/>
      <c r="R3995" s="206"/>
      <c r="S3995" s="206"/>
      <c r="T3995" s="204"/>
      <c r="U3995" s="207"/>
      <c r="V3995" s="204"/>
      <c r="W3995" s="204"/>
      <c r="X3995" s="207"/>
      <c r="Y3995" s="207"/>
      <c r="Z3995" s="204"/>
      <c r="AA3995" s="204"/>
      <c r="AB3995" s="204"/>
      <c r="AC3995" s="204"/>
    </row>
    <row r="3996" spans="1:29">
      <c r="A3996" s="204"/>
      <c r="B3996" s="204"/>
      <c r="C3996" s="204"/>
      <c r="D3996" s="204"/>
      <c r="E3996" s="204"/>
      <c r="F3996" s="204"/>
      <c r="G3996" s="204"/>
      <c r="H3996" s="204"/>
      <c r="I3996" s="204"/>
      <c r="J3996" s="204"/>
      <c r="K3996" s="204"/>
      <c r="L3996" s="205"/>
      <c r="M3996" s="205"/>
      <c r="N3996" s="204"/>
      <c r="O3996" s="204"/>
      <c r="P3996" s="206"/>
      <c r="Q3996" s="206"/>
      <c r="R3996" s="206"/>
      <c r="S3996" s="206"/>
      <c r="T3996" s="204"/>
      <c r="U3996" s="207"/>
      <c r="V3996" s="204"/>
      <c r="W3996" s="204"/>
      <c r="X3996" s="207"/>
      <c r="Y3996" s="207"/>
      <c r="Z3996" s="204"/>
      <c r="AA3996" s="204"/>
      <c r="AB3996" s="204"/>
      <c r="AC3996" s="204"/>
    </row>
    <row r="3997" spans="1:29">
      <c r="A3997" s="204"/>
      <c r="B3997" s="204"/>
      <c r="C3997" s="204"/>
      <c r="D3997" s="204"/>
      <c r="E3997" s="204"/>
      <c r="F3997" s="204"/>
      <c r="G3997" s="204"/>
      <c r="H3997" s="204"/>
      <c r="I3997" s="204"/>
      <c r="J3997" s="204"/>
      <c r="K3997" s="204"/>
      <c r="L3997" s="205"/>
      <c r="M3997" s="205"/>
      <c r="N3997" s="204"/>
      <c r="O3997" s="204"/>
      <c r="P3997" s="206"/>
      <c r="Q3997" s="206"/>
      <c r="R3997" s="206"/>
      <c r="S3997" s="206"/>
      <c r="T3997" s="204"/>
      <c r="U3997" s="207"/>
      <c r="V3997" s="204"/>
      <c r="W3997" s="204"/>
      <c r="X3997" s="207"/>
      <c r="Y3997" s="207"/>
      <c r="Z3997" s="204"/>
      <c r="AA3997" s="204"/>
      <c r="AB3997" s="204"/>
      <c r="AC3997" s="204"/>
    </row>
    <row r="3998" spans="1:29">
      <c r="A3998" s="204"/>
      <c r="B3998" s="204"/>
      <c r="C3998" s="204"/>
      <c r="D3998" s="204"/>
      <c r="E3998" s="204"/>
      <c r="F3998" s="204"/>
      <c r="G3998" s="204"/>
      <c r="H3998" s="204"/>
      <c r="I3998" s="204"/>
      <c r="J3998" s="204"/>
      <c r="K3998" s="204"/>
      <c r="L3998" s="205"/>
      <c r="M3998" s="205"/>
      <c r="N3998" s="204"/>
      <c r="O3998" s="204"/>
      <c r="P3998" s="206"/>
      <c r="Q3998" s="206"/>
      <c r="R3998" s="206"/>
      <c r="S3998" s="206"/>
      <c r="T3998" s="204"/>
      <c r="U3998" s="207"/>
      <c r="V3998" s="204"/>
      <c r="W3998" s="204"/>
      <c r="X3998" s="207"/>
      <c r="Y3998" s="207"/>
      <c r="Z3998" s="204"/>
      <c r="AA3998" s="204"/>
      <c r="AB3998" s="204"/>
      <c r="AC3998" s="204"/>
    </row>
    <row r="3999" spans="1:29">
      <c r="A3999" s="204"/>
      <c r="B3999" s="204"/>
      <c r="C3999" s="204"/>
      <c r="D3999" s="204"/>
      <c r="E3999" s="204"/>
      <c r="F3999" s="204"/>
      <c r="G3999" s="204"/>
      <c r="H3999" s="204"/>
      <c r="I3999" s="204"/>
      <c r="J3999" s="204"/>
      <c r="K3999" s="204"/>
      <c r="L3999" s="205"/>
      <c r="M3999" s="205"/>
      <c r="N3999" s="204"/>
      <c r="O3999" s="204"/>
      <c r="P3999" s="206"/>
      <c r="Q3999" s="206"/>
      <c r="R3999" s="206"/>
      <c r="S3999" s="206"/>
      <c r="T3999" s="204"/>
      <c r="U3999" s="207"/>
      <c r="V3999" s="204"/>
      <c r="W3999" s="204"/>
      <c r="X3999" s="207"/>
      <c r="Y3999" s="207"/>
      <c r="Z3999" s="204"/>
      <c r="AA3999" s="204"/>
      <c r="AB3999" s="204"/>
      <c r="AC3999" s="204"/>
    </row>
    <row r="4000" spans="1:29">
      <c r="A4000" s="204"/>
      <c r="B4000" s="204"/>
      <c r="C4000" s="204"/>
      <c r="D4000" s="204"/>
      <c r="E4000" s="204"/>
      <c r="F4000" s="204"/>
      <c r="G4000" s="204"/>
      <c r="H4000" s="204"/>
      <c r="I4000" s="204"/>
      <c r="J4000" s="204"/>
      <c r="K4000" s="204"/>
      <c r="L4000" s="205"/>
      <c r="M4000" s="205"/>
      <c r="N4000" s="204"/>
      <c r="O4000" s="204"/>
      <c r="P4000" s="206"/>
      <c r="Q4000" s="206"/>
      <c r="R4000" s="206"/>
      <c r="S4000" s="206"/>
      <c r="T4000" s="204"/>
      <c r="U4000" s="207"/>
      <c r="V4000" s="204"/>
      <c r="W4000" s="204"/>
      <c r="X4000" s="207"/>
      <c r="Y4000" s="207"/>
      <c r="Z4000" s="204"/>
      <c r="AA4000" s="204"/>
      <c r="AB4000" s="204"/>
      <c r="AC4000" s="204"/>
    </row>
    <row r="4001" spans="1:29">
      <c r="A4001" s="204"/>
      <c r="B4001" s="204"/>
      <c r="C4001" s="204"/>
      <c r="D4001" s="204"/>
      <c r="E4001" s="204"/>
      <c r="F4001" s="204"/>
      <c r="G4001" s="204"/>
      <c r="H4001" s="204"/>
      <c r="I4001" s="204"/>
      <c r="J4001" s="204"/>
      <c r="K4001" s="204"/>
      <c r="L4001" s="205"/>
      <c r="M4001" s="205"/>
      <c r="N4001" s="204"/>
      <c r="O4001" s="204"/>
      <c r="P4001" s="206"/>
      <c r="Q4001" s="206"/>
      <c r="R4001" s="206"/>
      <c r="S4001" s="206"/>
      <c r="T4001" s="204"/>
      <c r="U4001" s="207"/>
      <c r="V4001" s="204"/>
      <c r="W4001" s="204"/>
      <c r="X4001" s="207"/>
      <c r="Y4001" s="207"/>
      <c r="Z4001" s="204"/>
      <c r="AA4001" s="204"/>
      <c r="AB4001" s="204"/>
      <c r="AC4001" s="204"/>
    </row>
    <row r="4002" spans="1:29">
      <c r="A4002" s="204"/>
      <c r="B4002" s="204"/>
      <c r="C4002" s="204"/>
      <c r="D4002" s="204"/>
      <c r="E4002" s="204"/>
      <c r="F4002" s="204"/>
      <c r="G4002" s="204"/>
      <c r="H4002" s="204"/>
      <c r="I4002" s="204"/>
      <c r="J4002" s="204"/>
      <c r="K4002" s="204"/>
      <c r="L4002" s="205"/>
      <c r="M4002" s="205"/>
      <c r="N4002" s="204"/>
      <c r="O4002" s="204"/>
      <c r="P4002" s="206"/>
      <c r="Q4002" s="206"/>
      <c r="R4002" s="206"/>
      <c r="S4002" s="206"/>
      <c r="T4002" s="204"/>
      <c r="U4002" s="207"/>
      <c r="V4002" s="204"/>
      <c r="W4002" s="204"/>
      <c r="X4002" s="207"/>
      <c r="Y4002" s="207"/>
      <c r="Z4002" s="204"/>
      <c r="AA4002" s="204"/>
      <c r="AB4002" s="204"/>
      <c r="AC4002" s="204"/>
    </row>
    <row r="4003" spans="1:29">
      <c r="A4003" s="204"/>
      <c r="B4003" s="204"/>
      <c r="C4003" s="204"/>
      <c r="D4003" s="204"/>
      <c r="E4003" s="204"/>
      <c r="F4003" s="204"/>
      <c r="G4003" s="204"/>
      <c r="H4003" s="204"/>
      <c r="I4003" s="204"/>
      <c r="J4003" s="204"/>
      <c r="K4003" s="204"/>
      <c r="L4003" s="205"/>
      <c r="M4003" s="205"/>
      <c r="N4003" s="204"/>
      <c r="O4003" s="204"/>
      <c r="P4003" s="206"/>
      <c r="Q4003" s="206"/>
      <c r="R4003" s="206"/>
      <c r="S4003" s="206"/>
      <c r="T4003" s="204"/>
      <c r="U4003" s="207"/>
      <c r="V4003" s="204"/>
      <c r="W4003" s="204"/>
      <c r="X4003" s="207"/>
      <c r="Y4003" s="207"/>
      <c r="Z4003" s="204"/>
      <c r="AA4003" s="204"/>
      <c r="AB4003" s="204"/>
      <c r="AC4003" s="204"/>
    </row>
    <row r="4004" spans="1:29">
      <c r="A4004" s="204"/>
      <c r="B4004" s="204"/>
      <c r="C4004" s="204"/>
      <c r="D4004" s="204"/>
      <c r="E4004" s="204"/>
      <c r="F4004" s="204"/>
      <c r="G4004" s="204"/>
      <c r="H4004" s="204"/>
      <c r="I4004" s="204"/>
      <c r="J4004" s="204"/>
      <c r="K4004" s="204"/>
      <c r="L4004" s="205"/>
      <c r="M4004" s="205"/>
      <c r="N4004" s="204"/>
      <c r="O4004" s="204"/>
      <c r="P4004" s="206"/>
      <c r="Q4004" s="206"/>
      <c r="R4004" s="206"/>
      <c r="S4004" s="206"/>
      <c r="T4004" s="204"/>
      <c r="U4004" s="207"/>
      <c r="V4004" s="204"/>
      <c r="W4004" s="204"/>
      <c r="X4004" s="207"/>
      <c r="Y4004" s="207"/>
      <c r="Z4004" s="204"/>
      <c r="AA4004" s="204"/>
      <c r="AB4004" s="204"/>
      <c r="AC4004" s="204"/>
    </row>
    <row r="4005" spans="1:29">
      <c r="A4005" s="204"/>
      <c r="B4005" s="204"/>
      <c r="C4005" s="204"/>
      <c r="D4005" s="204"/>
      <c r="E4005" s="204"/>
      <c r="F4005" s="204"/>
      <c r="G4005" s="204"/>
      <c r="H4005" s="204"/>
      <c r="I4005" s="204"/>
      <c r="J4005" s="204"/>
      <c r="K4005" s="204"/>
      <c r="L4005" s="205"/>
      <c r="M4005" s="205"/>
      <c r="N4005" s="204"/>
      <c r="O4005" s="204"/>
      <c r="P4005" s="206"/>
      <c r="Q4005" s="206"/>
      <c r="R4005" s="206"/>
      <c r="S4005" s="206"/>
      <c r="T4005" s="204"/>
      <c r="U4005" s="207"/>
      <c r="V4005" s="204"/>
      <c r="W4005" s="204"/>
      <c r="X4005" s="207"/>
      <c r="Y4005" s="207"/>
      <c r="Z4005" s="204"/>
      <c r="AA4005" s="204"/>
      <c r="AB4005" s="204"/>
      <c r="AC4005" s="204"/>
    </row>
    <row r="4006" spans="1:29">
      <c r="A4006" s="204"/>
      <c r="B4006" s="204"/>
      <c r="C4006" s="204"/>
      <c r="D4006" s="204"/>
      <c r="E4006" s="204"/>
      <c r="F4006" s="204"/>
      <c r="G4006" s="204"/>
      <c r="H4006" s="204"/>
      <c r="I4006" s="204"/>
      <c r="J4006" s="204"/>
      <c r="K4006" s="204"/>
      <c r="L4006" s="205"/>
      <c r="M4006" s="205"/>
      <c r="N4006" s="204"/>
      <c r="O4006" s="204"/>
      <c r="P4006" s="206"/>
      <c r="Q4006" s="206"/>
      <c r="R4006" s="206"/>
      <c r="S4006" s="206"/>
      <c r="T4006" s="204"/>
      <c r="U4006" s="207"/>
      <c r="V4006" s="204"/>
      <c r="W4006" s="204"/>
      <c r="X4006" s="207"/>
      <c r="Y4006" s="207"/>
      <c r="Z4006" s="204"/>
      <c r="AA4006" s="204"/>
      <c r="AB4006" s="204"/>
      <c r="AC4006" s="204"/>
    </row>
    <row r="4007" spans="1:29">
      <c r="A4007" s="204"/>
      <c r="B4007" s="204"/>
      <c r="C4007" s="204"/>
      <c r="D4007" s="204"/>
      <c r="E4007" s="204"/>
      <c r="F4007" s="204"/>
      <c r="G4007" s="204"/>
      <c r="H4007" s="204"/>
      <c r="I4007" s="204"/>
      <c r="J4007" s="204"/>
      <c r="K4007" s="204"/>
      <c r="L4007" s="205"/>
      <c r="M4007" s="205"/>
      <c r="N4007" s="204"/>
      <c r="O4007" s="204"/>
      <c r="P4007" s="206"/>
      <c r="Q4007" s="206"/>
      <c r="R4007" s="206"/>
      <c r="S4007" s="206"/>
      <c r="T4007" s="204"/>
      <c r="U4007" s="207"/>
      <c r="V4007" s="204"/>
      <c r="W4007" s="204"/>
      <c r="X4007" s="207"/>
      <c r="Y4007" s="207"/>
      <c r="Z4007" s="204"/>
      <c r="AA4007" s="204"/>
      <c r="AB4007" s="204"/>
      <c r="AC4007" s="204"/>
    </row>
    <row r="4008" spans="1:29">
      <c r="A4008" s="204"/>
      <c r="B4008" s="204"/>
      <c r="C4008" s="204"/>
      <c r="D4008" s="204"/>
      <c r="E4008" s="204"/>
      <c r="F4008" s="204"/>
      <c r="G4008" s="204"/>
      <c r="H4008" s="204"/>
      <c r="I4008" s="204"/>
      <c r="J4008" s="204"/>
      <c r="K4008" s="204"/>
      <c r="L4008" s="205"/>
      <c r="M4008" s="205"/>
      <c r="N4008" s="204"/>
      <c r="O4008" s="204"/>
      <c r="P4008" s="206"/>
      <c r="Q4008" s="206"/>
      <c r="R4008" s="206"/>
      <c r="S4008" s="206"/>
      <c r="T4008" s="204"/>
      <c r="U4008" s="207"/>
      <c r="V4008" s="204"/>
      <c r="W4008" s="204"/>
      <c r="X4008" s="207"/>
      <c r="Y4008" s="207"/>
      <c r="Z4008" s="204"/>
      <c r="AA4008" s="204"/>
      <c r="AB4008" s="204"/>
      <c r="AC4008" s="204"/>
    </row>
    <row r="4009" spans="1:29">
      <c r="A4009" s="204"/>
      <c r="B4009" s="204"/>
      <c r="C4009" s="204"/>
      <c r="D4009" s="204"/>
      <c r="E4009" s="204"/>
      <c r="F4009" s="204"/>
      <c r="G4009" s="204"/>
      <c r="H4009" s="204"/>
      <c r="I4009" s="204"/>
      <c r="J4009" s="204"/>
      <c r="K4009" s="204"/>
      <c r="L4009" s="205"/>
      <c r="M4009" s="205"/>
      <c r="N4009" s="204"/>
      <c r="O4009" s="204"/>
      <c r="P4009" s="206"/>
      <c r="Q4009" s="206"/>
      <c r="R4009" s="206"/>
      <c r="S4009" s="206"/>
      <c r="T4009" s="204"/>
      <c r="U4009" s="207"/>
      <c r="V4009" s="204"/>
      <c r="W4009" s="204"/>
      <c r="X4009" s="207"/>
      <c r="Y4009" s="207"/>
      <c r="Z4009" s="204"/>
      <c r="AA4009" s="204"/>
      <c r="AB4009" s="204"/>
      <c r="AC4009" s="204"/>
    </row>
    <row r="4010" spans="1:29">
      <c r="A4010" s="204"/>
      <c r="B4010" s="204"/>
      <c r="C4010" s="204"/>
      <c r="D4010" s="204"/>
      <c r="E4010" s="204"/>
      <c r="F4010" s="204"/>
      <c r="G4010" s="204"/>
      <c r="H4010" s="204"/>
      <c r="I4010" s="204"/>
      <c r="J4010" s="204"/>
      <c r="K4010" s="204"/>
      <c r="L4010" s="205"/>
      <c r="M4010" s="205"/>
      <c r="N4010" s="204"/>
      <c r="O4010" s="204"/>
      <c r="P4010" s="206"/>
      <c r="Q4010" s="206"/>
      <c r="R4010" s="206"/>
      <c r="S4010" s="206"/>
      <c r="T4010" s="204"/>
      <c r="U4010" s="207"/>
      <c r="V4010" s="204"/>
      <c r="W4010" s="204"/>
      <c r="X4010" s="207"/>
      <c r="Y4010" s="207"/>
      <c r="Z4010" s="204"/>
      <c r="AA4010" s="204"/>
      <c r="AB4010" s="204"/>
      <c r="AC4010" s="204"/>
    </row>
    <row r="4011" spans="1:29">
      <c r="A4011" s="204"/>
      <c r="B4011" s="204"/>
      <c r="C4011" s="204"/>
      <c r="D4011" s="204"/>
      <c r="E4011" s="204"/>
      <c r="F4011" s="204"/>
      <c r="G4011" s="204"/>
      <c r="H4011" s="204"/>
      <c r="I4011" s="204"/>
      <c r="J4011" s="204"/>
      <c r="K4011" s="204"/>
      <c r="L4011" s="205"/>
      <c r="M4011" s="205"/>
      <c r="N4011" s="204"/>
      <c r="O4011" s="204"/>
      <c r="P4011" s="206"/>
      <c r="Q4011" s="206"/>
      <c r="R4011" s="206"/>
      <c r="S4011" s="206"/>
      <c r="T4011" s="204"/>
      <c r="U4011" s="207"/>
      <c r="V4011" s="204"/>
      <c r="W4011" s="204"/>
      <c r="X4011" s="207"/>
      <c r="Y4011" s="207"/>
      <c r="Z4011" s="204"/>
      <c r="AA4011" s="204"/>
      <c r="AB4011" s="204"/>
      <c r="AC4011" s="204"/>
    </row>
    <row r="4012" spans="1:29">
      <c r="A4012" s="204"/>
      <c r="B4012" s="204"/>
      <c r="C4012" s="204"/>
      <c r="D4012" s="204"/>
      <c r="E4012" s="204"/>
      <c r="F4012" s="204"/>
      <c r="G4012" s="204"/>
      <c r="H4012" s="204"/>
      <c r="I4012" s="204"/>
      <c r="J4012" s="204"/>
      <c r="K4012" s="204"/>
      <c r="L4012" s="205"/>
      <c r="M4012" s="205"/>
      <c r="N4012" s="204"/>
      <c r="O4012" s="204"/>
      <c r="P4012" s="206"/>
      <c r="Q4012" s="206"/>
      <c r="R4012" s="206"/>
      <c r="S4012" s="206"/>
      <c r="T4012" s="204"/>
      <c r="U4012" s="207"/>
      <c r="V4012" s="204"/>
      <c r="W4012" s="204"/>
      <c r="X4012" s="207"/>
      <c r="Y4012" s="207"/>
      <c r="Z4012" s="204"/>
      <c r="AA4012" s="204"/>
      <c r="AB4012" s="204"/>
      <c r="AC4012" s="204"/>
    </row>
    <row r="4013" spans="1:29">
      <c r="A4013" s="204"/>
      <c r="B4013" s="204"/>
      <c r="C4013" s="204"/>
      <c r="D4013" s="204"/>
      <c r="E4013" s="204"/>
      <c r="F4013" s="204"/>
      <c r="G4013" s="204"/>
      <c r="H4013" s="204"/>
      <c r="I4013" s="204"/>
      <c r="J4013" s="204"/>
      <c r="K4013" s="204"/>
      <c r="L4013" s="205"/>
      <c r="M4013" s="205"/>
      <c r="N4013" s="204"/>
      <c r="O4013" s="204"/>
      <c r="P4013" s="206"/>
      <c r="Q4013" s="206"/>
      <c r="R4013" s="206"/>
      <c r="S4013" s="206"/>
      <c r="T4013" s="204"/>
      <c r="U4013" s="207"/>
      <c r="V4013" s="204"/>
      <c r="W4013" s="204"/>
      <c r="X4013" s="207"/>
      <c r="Y4013" s="207"/>
      <c r="Z4013" s="204"/>
      <c r="AA4013" s="204"/>
      <c r="AB4013" s="204"/>
      <c r="AC4013" s="204"/>
    </row>
    <row r="4014" spans="1:29">
      <c r="A4014" s="204"/>
      <c r="B4014" s="204"/>
      <c r="C4014" s="204"/>
      <c r="D4014" s="204"/>
      <c r="E4014" s="204"/>
      <c r="F4014" s="204"/>
      <c r="G4014" s="204"/>
      <c r="H4014" s="204"/>
      <c r="I4014" s="204"/>
      <c r="J4014" s="204"/>
      <c r="K4014" s="204"/>
      <c r="L4014" s="205"/>
      <c r="M4014" s="205"/>
      <c r="N4014" s="204"/>
      <c r="O4014" s="204"/>
      <c r="P4014" s="206"/>
      <c r="Q4014" s="206"/>
      <c r="R4014" s="206"/>
      <c r="S4014" s="206"/>
      <c r="T4014" s="204"/>
      <c r="U4014" s="207"/>
      <c r="V4014" s="204"/>
      <c r="W4014" s="204"/>
      <c r="X4014" s="207"/>
      <c r="Y4014" s="207"/>
      <c r="Z4014" s="204"/>
      <c r="AA4014" s="204"/>
      <c r="AB4014" s="204"/>
      <c r="AC4014" s="204"/>
    </row>
    <row r="4015" spans="1:29">
      <c r="A4015" s="204"/>
      <c r="B4015" s="204"/>
      <c r="C4015" s="204"/>
      <c r="D4015" s="204"/>
      <c r="E4015" s="204"/>
      <c r="F4015" s="204"/>
      <c r="G4015" s="204"/>
      <c r="H4015" s="204"/>
      <c r="I4015" s="204"/>
      <c r="J4015" s="204"/>
      <c r="K4015" s="204"/>
      <c r="L4015" s="205"/>
      <c r="M4015" s="205"/>
      <c r="N4015" s="204"/>
      <c r="O4015" s="204"/>
      <c r="P4015" s="206"/>
      <c r="Q4015" s="206"/>
      <c r="R4015" s="206"/>
      <c r="S4015" s="206"/>
      <c r="T4015" s="204"/>
      <c r="U4015" s="207"/>
      <c r="V4015" s="204"/>
      <c r="W4015" s="204"/>
      <c r="X4015" s="207"/>
      <c r="Y4015" s="207"/>
      <c r="Z4015" s="204"/>
      <c r="AA4015" s="204"/>
      <c r="AB4015" s="204"/>
      <c r="AC4015" s="204"/>
    </row>
    <row r="4016" spans="1:29">
      <c r="A4016" s="204"/>
      <c r="B4016" s="204"/>
      <c r="C4016" s="204"/>
      <c r="D4016" s="204"/>
      <c r="E4016" s="204"/>
      <c r="F4016" s="204"/>
      <c r="G4016" s="204"/>
      <c r="H4016" s="204"/>
      <c r="I4016" s="204"/>
      <c r="J4016" s="204"/>
      <c r="K4016" s="204"/>
      <c r="L4016" s="205"/>
      <c r="M4016" s="205"/>
      <c r="N4016" s="204"/>
      <c r="O4016" s="204"/>
      <c r="P4016" s="206"/>
      <c r="Q4016" s="206"/>
      <c r="R4016" s="206"/>
      <c r="S4016" s="206"/>
      <c r="T4016" s="204"/>
      <c r="U4016" s="207"/>
      <c r="V4016" s="204"/>
      <c r="W4016" s="204"/>
      <c r="X4016" s="207"/>
      <c r="Y4016" s="207"/>
      <c r="Z4016" s="204"/>
      <c r="AA4016" s="204"/>
      <c r="AB4016" s="204"/>
      <c r="AC4016" s="204"/>
    </row>
    <row r="4017" spans="1:29">
      <c r="A4017" s="204"/>
      <c r="B4017" s="204"/>
      <c r="C4017" s="204"/>
      <c r="D4017" s="204"/>
      <c r="E4017" s="204"/>
      <c r="F4017" s="204"/>
      <c r="G4017" s="204"/>
      <c r="H4017" s="204"/>
      <c r="I4017" s="204"/>
      <c r="J4017" s="204"/>
      <c r="K4017" s="204"/>
      <c r="L4017" s="205"/>
      <c r="M4017" s="205"/>
      <c r="N4017" s="204"/>
      <c r="O4017" s="204"/>
      <c r="P4017" s="206"/>
      <c r="Q4017" s="206"/>
      <c r="R4017" s="206"/>
      <c r="S4017" s="206"/>
      <c r="T4017" s="204"/>
      <c r="U4017" s="207"/>
      <c r="V4017" s="204"/>
      <c r="W4017" s="204"/>
      <c r="X4017" s="207"/>
      <c r="Y4017" s="207"/>
      <c r="Z4017" s="204"/>
      <c r="AA4017" s="204"/>
      <c r="AB4017" s="204"/>
      <c r="AC4017" s="204"/>
    </row>
    <row r="4018" spans="1:29">
      <c r="A4018" s="204"/>
      <c r="B4018" s="204"/>
      <c r="C4018" s="204"/>
      <c r="D4018" s="204"/>
      <c r="E4018" s="204"/>
      <c r="F4018" s="204"/>
      <c r="G4018" s="204"/>
      <c r="H4018" s="204"/>
      <c r="I4018" s="204"/>
      <c r="J4018" s="204"/>
      <c r="K4018" s="204"/>
      <c r="L4018" s="205"/>
      <c r="M4018" s="205"/>
      <c r="N4018" s="204"/>
      <c r="O4018" s="204"/>
      <c r="P4018" s="206"/>
      <c r="Q4018" s="206"/>
      <c r="R4018" s="206"/>
      <c r="S4018" s="206"/>
      <c r="T4018" s="204"/>
      <c r="U4018" s="207"/>
      <c r="V4018" s="204"/>
      <c r="W4018" s="204"/>
      <c r="X4018" s="207"/>
      <c r="Y4018" s="207"/>
      <c r="Z4018" s="204"/>
      <c r="AA4018" s="204"/>
      <c r="AB4018" s="204"/>
      <c r="AC4018" s="204"/>
    </row>
    <row r="4019" spans="1:29">
      <c r="A4019" s="204"/>
      <c r="B4019" s="204"/>
      <c r="C4019" s="204"/>
      <c r="D4019" s="204"/>
      <c r="E4019" s="204"/>
      <c r="F4019" s="204"/>
      <c r="G4019" s="204"/>
      <c r="H4019" s="204"/>
      <c r="I4019" s="204"/>
      <c r="J4019" s="204"/>
      <c r="K4019" s="204"/>
      <c r="L4019" s="205"/>
      <c r="M4019" s="205"/>
      <c r="N4019" s="204"/>
      <c r="O4019" s="204"/>
      <c r="P4019" s="206"/>
      <c r="Q4019" s="206"/>
      <c r="R4019" s="206"/>
      <c r="S4019" s="206"/>
      <c r="T4019" s="204"/>
      <c r="U4019" s="207"/>
      <c r="V4019" s="204"/>
      <c r="W4019" s="204"/>
      <c r="X4019" s="207"/>
      <c r="Y4019" s="207"/>
      <c r="Z4019" s="204"/>
      <c r="AA4019" s="204"/>
      <c r="AB4019" s="204"/>
      <c r="AC4019" s="204"/>
    </row>
    <row r="4020" spans="1:29">
      <c r="A4020" s="204"/>
      <c r="B4020" s="204"/>
      <c r="C4020" s="204"/>
      <c r="D4020" s="204"/>
      <c r="E4020" s="204"/>
      <c r="F4020" s="204"/>
      <c r="G4020" s="204"/>
      <c r="H4020" s="204"/>
      <c r="I4020" s="204"/>
      <c r="J4020" s="204"/>
      <c r="K4020" s="204"/>
      <c r="L4020" s="205"/>
      <c r="M4020" s="205"/>
      <c r="N4020" s="204"/>
      <c r="O4020" s="204"/>
      <c r="P4020" s="206"/>
      <c r="Q4020" s="206"/>
      <c r="R4020" s="206"/>
      <c r="S4020" s="206"/>
      <c r="T4020" s="204"/>
      <c r="U4020" s="207"/>
      <c r="V4020" s="204"/>
      <c r="W4020" s="204"/>
      <c r="X4020" s="207"/>
      <c r="Y4020" s="207"/>
      <c r="Z4020" s="204"/>
      <c r="AA4020" s="204"/>
      <c r="AB4020" s="204"/>
      <c r="AC4020" s="204"/>
    </row>
    <row r="4021" spans="1:29">
      <c r="A4021" s="204"/>
      <c r="B4021" s="204"/>
      <c r="C4021" s="204"/>
      <c r="D4021" s="204"/>
      <c r="E4021" s="204"/>
      <c r="F4021" s="204"/>
      <c r="G4021" s="204"/>
      <c r="H4021" s="204"/>
      <c r="I4021" s="204"/>
      <c r="J4021" s="204"/>
      <c r="K4021" s="204"/>
      <c r="L4021" s="205"/>
      <c r="M4021" s="205"/>
      <c r="N4021" s="204"/>
      <c r="O4021" s="204"/>
      <c r="P4021" s="206"/>
      <c r="Q4021" s="206"/>
      <c r="R4021" s="206"/>
      <c r="S4021" s="206"/>
      <c r="T4021" s="204"/>
      <c r="U4021" s="207"/>
      <c r="V4021" s="204"/>
      <c r="W4021" s="204"/>
      <c r="X4021" s="207"/>
      <c r="Y4021" s="207"/>
      <c r="Z4021" s="204"/>
      <c r="AA4021" s="204"/>
      <c r="AB4021" s="204"/>
      <c r="AC4021" s="204"/>
    </row>
    <row r="4022" spans="1:29">
      <c r="A4022" s="204"/>
      <c r="B4022" s="204"/>
      <c r="C4022" s="204"/>
      <c r="D4022" s="204"/>
      <c r="E4022" s="204"/>
      <c r="F4022" s="204"/>
      <c r="G4022" s="204"/>
      <c r="H4022" s="204"/>
      <c r="I4022" s="204"/>
      <c r="J4022" s="204"/>
      <c r="K4022" s="204"/>
      <c r="L4022" s="205"/>
      <c r="M4022" s="205"/>
      <c r="N4022" s="204"/>
      <c r="O4022" s="204"/>
      <c r="P4022" s="206"/>
      <c r="Q4022" s="206"/>
      <c r="R4022" s="206"/>
      <c r="S4022" s="206"/>
      <c r="T4022" s="204"/>
      <c r="U4022" s="207"/>
      <c r="V4022" s="204"/>
      <c r="W4022" s="204"/>
      <c r="X4022" s="207"/>
      <c r="Y4022" s="207"/>
      <c r="Z4022" s="204"/>
      <c r="AA4022" s="204"/>
      <c r="AB4022" s="204"/>
      <c r="AC4022" s="204"/>
    </row>
    <row r="4023" spans="1:29">
      <c r="A4023" s="204"/>
      <c r="B4023" s="204"/>
      <c r="C4023" s="204"/>
      <c r="D4023" s="204"/>
      <c r="E4023" s="204"/>
      <c r="F4023" s="204"/>
      <c r="G4023" s="204"/>
      <c r="H4023" s="204"/>
      <c r="I4023" s="204"/>
      <c r="J4023" s="204"/>
      <c r="K4023" s="204"/>
      <c r="L4023" s="205"/>
      <c r="M4023" s="205"/>
      <c r="N4023" s="204"/>
      <c r="O4023" s="204"/>
      <c r="P4023" s="206"/>
      <c r="Q4023" s="206"/>
      <c r="R4023" s="206"/>
      <c r="S4023" s="206"/>
      <c r="T4023" s="204"/>
      <c r="U4023" s="207"/>
      <c r="V4023" s="204"/>
      <c r="W4023" s="204"/>
      <c r="X4023" s="207"/>
      <c r="Y4023" s="207"/>
      <c r="Z4023" s="204"/>
      <c r="AA4023" s="204"/>
      <c r="AB4023" s="204"/>
      <c r="AC4023" s="204"/>
    </row>
    <row r="4024" spans="1:29">
      <c r="A4024" s="204"/>
      <c r="B4024" s="204"/>
      <c r="C4024" s="204"/>
      <c r="D4024" s="204"/>
      <c r="E4024" s="204"/>
      <c r="F4024" s="204"/>
      <c r="G4024" s="204"/>
      <c r="H4024" s="204"/>
      <c r="I4024" s="204"/>
      <c r="J4024" s="204"/>
      <c r="K4024" s="204"/>
      <c r="L4024" s="205"/>
      <c r="M4024" s="205"/>
      <c r="N4024" s="204"/>
      <c r="O4024" s="204"/>
      <c r="P4024" s="206"/>
      <c r="Q4024" s="206"/>
      <c r="R4024" s="206"/>
      <c r="S4024" s="206"/>
      <c r="T4024" s="204"/>
      <c r="U4024" s="207"/>
      <c r="V4024" s="204"/>
      <c r="W4024" s="204"/>
      <c r="X4024" s="207"/>
      <c r="Y4024" s="207"/>
      <c r="Z4024" s="204"/>
      <c r="AA4024" s="204"/>
      <c r="AB4024" s="204"/>
      <c r="AC4024" s="204"/>
    </row>
    <row r="4025" spans="1:29">
      <c r="A4025" s="204"/>
      <c r="B4025" s="204"/>
      <c r="C4025" s="204"/>
      <c r="D4025" s="204"/>
      <c r="E4025" s="204"/>
      <c r="F4025" s="204"/>
      <c r="G4025" s="204"/>
      <c r="H4025" s="204"/>
      <c r="I4025" s="204"/>
      <c r="J4025" s="204"/>
      <c r="K4025" s="204"/>
      <c r="L4025" s="205"/>
      <c r="M4025" s="205"/>
      <c r="N4025" s="204"/>
      <c r="O4025" s="204"/>
      <c r="P4025" s="206"/>
      <c r="Q4025" s="206"/>
      <c r="R4025" s="206"/>
      <c r="S4025" s="206"/>
      <c r="T4025" s="204"/>
      <c r="U4025" s="207"/>
      <c r="V4025" s="204"/>
      <c r="W4025" s="204"/>
      <c r="X4025" s="207"/>
      <c r="Y4025" s="207"/>
      <c r="Z4025" s="204"/>
      <c r="AA4025" s="204"/>
      <c r="AB4025" s="204"/>
      <c r="AC4025" s="204"/>
    </row>
    <row r="4026" spans="1:29">
      <c r="A4026" s="204"/>
      <c r="B4026" s="204"/>
      <c r="C4026" s="204"/>
      <c r="D4026" s="204"/>
      <c r="E4026" s="204"/>
      <c r="F4026" s="204"/>
      <c r="G4026" s="204"/>
      <c r="H4026" s="204"/>
      <c r="I4026" s="204"/>
      <c r="J4026" s="204"/>
      <c r="K4026" s="204"/>
      <c r="L4026" s="205"/>
      <c r="M4026" s="205"/>
      <c r="N4026" s="204"/>
      <c r="O4026" s="204"/>
      <c r="P4026" s="206"/>
      <c r="Q4026" s="206"/>
      <c r="R4026" s="206"/>
      <c r="S4026" s="206"/>
      <c r="T4026" s="204"/>
      <c r="U4026" s="207"/>
      <c r="V4026" s="204"/>
      <c r="W4026" s="204"/>
      <c r="X4026" s="207"/>
      <c r="Y4026" s="207"/>
      <c r="Z4026" s="204"/>
      <c r="AA4026" s="204"/>
      <c r="AB4026" s="204"/>
      <c r="AC4026" s="204"/>
    </row>
    <row r="4027" spans="1:29">
      <c r="A4027" s="204"/>
      <c r="B4027" s="204"/>
      <c r="C4027" s="204"/>
      <c r="D4027" s="204"/>
      <c r="E4027" s="204"/>
      <c r="F4027" s="204"/>
      <c r="G4027" s="204"/>
      <c r="H4027" s="204"/>
      <c r="I4027" s="204"/>
      <c r="J4027" s="204"/>
      <c r="K4027" s="204"/>
      <c r="L4027" s="205"/>
      <c r="M4027" s="205"/>
      <c r="N4027" s="204"/>
      <c r="O4027" s="204"/>
      <c r="P4027" s="206"/>
      <c r="Q4027" s="206"/>
      <c r="R4027" s="206"/>
      <c r="S4027" s="206"/>
      <c r="T4027" s="204"/>
      <c r="U4027" s="207"/>
      <c r="V4027" s="204"/>
      <c r="W4027" s="204"/>
      <c r="X4027" s="207"/>
      <c r="Y4027" s="207"/>
      <c r="Z4027" s="204"/>
      <c r="AA4027" s="204"/>
      <c r="AB4027" s="204"/>
      <c r="AC4027" s="204"/>
    </row>
    <row r="4028" spans="1:29">
      <c r="A4028" s="204"/>
      <c r="B4028" s="204"/>
      <c r="C4028" s="204"/>
      <c r="D4028" s="204"/>
      <c r="E4028" s="204"/>
      <c r="F4028" s="204"/>
      <c r="G4028" s="204"/>
      <c r="H4028" s="204"/>
      <c r="I4028" s="204"/>
      <c r="J4028" s="204"/>
      <c r="K4028" s="204"/>
      <c r="L4028" s="205"/>
      <c r="M4028" s="205"/>
      <c r="N4028" s="204"/>
      <c r="O4028" s="204"/>
      <c r="P4028" s="206"/>
      <c r="Q4028" s="206"/>
      <c r="R4028" s="206"/>
      <c r="S4028" s="206"/>
      <c r="T4028" s="204"/>
      <c r="U4028" s="207"/>
      <c r="V4028" s="204"/>
      <c r="W4028" s="204"/>
      <c r="X4028" s="207"/>
      <c r="Y4028" s="207"/>
      <c r="Z4028" s="204"/>
      <c r="AA4028" s="204"/>
      <c r="AB4028" s="204"/>
      <c r="AC4028" s="204"/>
    </row>
    <row r="4029" spans="1:29">
      <c r="A4029" s="204"/>
      <c r="B4029" s="204"/>
      <c r="C4029" s="204"/>
      <c r="D4029" s="204"/>
      <c r="E4029" s="204"/>
      <c r="F4029" s="204"/>
      <c r="G4029" s="204"/>
      <c r="H4029" s="204"/>
      <c r="I4029" s="204"/>
      <c r="J4029" s="204"/>
      <c r="K4029" s="204"/>
      <c r="L4029" s="205"/>
      <c r="M4029" s="205"/>
      <c r="N4029" s="204"/>
      <c r="O4029" s="204"/>
      <c r="P4029" s="206"/>
      <c r="Q4029" s="206"/>
      <c r="R4029" s="206"/>
      <c r="S4029" s="206"/>
      <c r="T4029" s="204"/>
      <c r="U4029" s="207"/>
      <c r="V4029" s="204"/>
      <c r="W4029" s="204"/>
      <c r="X4029" s="207"/>
      <c r="Y4029" s="207"/>
      <c r="Z4029" s="204"/>
      <c r="AA4029" s="204"/>
      <c r="AB4029" s="204"/>
      <c r="AC4029" s="204"/>
    </row>
    <row r="4030" spans="1:29">
      <c r="A4030" s="204"/>
      <c r="B4030" s="204"/>
      <c r="C4030" s="204"/>
      <c r="D4030" s="204"/>
      <c r="E4030" s="204"/>
      <c r="F4030" s="204"/>
      <c r="G4030" s="204"/>
      <c r="H4030" s="204"/>
      <c r="I4030" s="204"/>
      <c r="J4030" s="204"/>
      <c r="K4030" s="204"/>
      <c r="L4030" s="205"/>
      <c r="M4030" s="205"/>
      <c r="N4030" s="204"/>
      <c r="O4030" s="204"/>
      <c r="P4030" s="206"/>
      <c r="Q4030" s="206"/>
      <c r="R4030" s="206"/>
      <c r="S4030" s="206"/>
      <c r="T4030" s="204"/>
      <c r="U4030" s="207"/>
      <c r="V4030" s="204"/>
      <c r="W4030" s="204"/>
      <c r="X4030" s="207"/>
      <c r="Y4030" s="207"/>
      <c r="Z4030" s="204"/>
      <c r="AA4030" s="204"/>
      <c r="AB4030" s="204"/>
      <c r="AC4030" s="204"/>
    </row>
    <row r="4031" spans="1:29">
      <c r="A4031" s="204"/>
      <c r="B4031" s="204"/>
      <c r="C4031" s="204"/>
      <c r="D4031" s="204"/>
      <c r="E4031" s="204"/>
      <c r="F4031" s="204"/>
      <c r="G4031" s="204"/>
      <c r="H4031" s="204"/>
      <c r="I4031" s="204"/>
      <c r="J4031" s="204"/>
      <c r="K4031" s="204"/>
      <c r="L4031" s="205"/>
      <c r="M4031" s="205"/>
      <c r="N4031" s="204"/>
      <c r="O4031" s="204"/>
      <c r="P4031" s="206"/>
      <c r="Q4031" s="206"/>
      <c r="R4031" s="206"/>
      <c r="S4031" s="206"/>
      <c r="T4031" s="204"/>
      <c r="U4031" s="207"/>
      <c r="V4031" s="204"/>
      <c r="W4031" s="204"/>
      <c r="X4031" s="207"/>
      <c r="Y4031" s="207"/>
      <c r="Z4031" s="204"/>
      <c r="AA4031" s="204"/>
      <c r="AB4031" s="204"/>
      <c r="AC4031" s="204"/>
    </row>
    <row r="4032" spans="1:29">
      <c r="A4032" s="204"/>
      <c r="B4032" s="204"/>
      <c r="C4032" s="204"/>
      <c r="D4032" s="204"/>
      <c r="E4032" s="204"/>
      <c r="F4032" s="204"/>
      <c r="G4032" s="204"/>
      <c r="H4032" s="204"/>
      <c r="I4032" s="204"/>
      <c r="J4032" s="204"/>
      <c r="K4032" s="204"/>
      <c r="L4032" s="205"/>
      <c r="M4032" s="205"/>
      <c r="N4032" s="204"/>
      <c r="O4032" s="204"/>
      <c r="P4032" s="206"/>
      <c r="Q4032" s="206"/>
      <c r="R4032" s="206"/>
      <c r="S4032" s="206"/>
      <c r="T4032" s="204"/>
      <c r="U4032" s="207"/>
      <c r="V4032" s="204"/>
      <c r="W4032" s="204"/>
      <c r="X4032" s="207"/>
      <c r="Y4032" s="207"/>
      <c r="Z4032" s="204"/>
      <c r="AA4032" s="204"/>
      <c r="AB4032" s="204"/>
      <c r="AC4032" s="204"/>
    </row>
    <row r="4033" spans="1:29">
      <c r="A4033" s="204"/>
      <c r="B4033" s="204"/>
      <c r="C4033" s="204"/>
      <c r="D4033" s="204"/>
      <c r="E4033" s="204"/>
      <c r="F4033" s="204"/>
      <c r="G4033" s="204"/>
      <c r="H4033" s="204"/>
      <c r="I4033" s="204"/>
      <c r="J4033" s="204"/>
      <c r="K4033" s="204"/>
      <c r="L4033" s="205"/>
      <c r="M4033" s="205"/>
      <c r="N4033" s="204"/>
      <c r="O4033" s="204"/>
      <c r="P4033" s="206"/>
      <c r="Q4033" s="206"/>
      <c r="R4033" s="206"/>
      <c r="S4033" s="206"/>
      <c r="T4033" s="204"/>
      <c r="U4033" s="207"/>
      <c r="V4033" s="204"/>
      <c r="W4033" s="204"/>
      <c r="X4033" s="207"/>
      <c r="Y4033" s="207"/>
      <c r="Z4033" s="204"/>
      <c r="AA4033" s="204"/>
      <c r="AB4033" s="204"/>
      <c r="AC4033" s="204"/>
    </row>
    <row r="4034" spans="1:29">
      <c r="A4034" s="204"/>
      <c r="B4034" s="204"/>
      <c r="C4034" s="204"/>
      <c r="D4034" s="204"/>
      <c r="E4034" s="204"/>
      <c r="F4034" s="204"/>
      <c r="G4034" s="204"/>
      <c r="H4034" s="204"/>
      <c r="I4034" s="204"/>
      <c r="J4034" s="204"/>
      <c r="K4034" s="204"/>
      <c r="L4034" s="205"/>
      <c r="M4034" s="205"/>
      <c r="N4034" s="204"/>
      <c r="O4034" s="204"/>
      <c r="P4034" s="206"/>
      <c r="Q4034" s="206"/>
      <c r="R4034" s="206"/>
      <c r="S4034" s="206"/>
      <c r="T4034" s="204"/>
      <c r="U4034" s="207"/>
      <c r="V4034" s="204"/>
      <c r="W4034" s="204"/>
      <c r="X4034" s="207"/>
      <c r="Y4034" s="207"/>
      <c r="Z4034" s="204"/>
      <c r="AA4034" s="204"/>
      <c r="AB4034" s="204"/>
      <c r="AC4034" s="204"/>
    </row>
    <row r="4035" spans="1:29">
      <c r="A4035" s="204"/>
      <c r="B4035" s="204"/>
      <c r="C4035" s="204"/>
      <c r="D4035" s="204"/>
      <c r="E4035" s="204"/>
      <c r="F4035" s="204"/>
      <c r="G4035" s="204"/>
      <c r="H4035" s="204"/>
      <c r="I4035" s="204"/>
      <c r="J4035" s="204"/>
      <c r="K4035" s="204"/>
      <c r="L4035" s="205"/>
      <c r="M4035" s="205"/>
      <c r="N4035" s="204"/>
      <c r="O4035" s="204"/>
      <c r="P4035" s="206"/>
      <c r="Q4035" s="206"/>
      <c r="R4035" s="206"/>
      <c r="S4035" s="206"/>
      <c r="T4035" s="204"/>
      <c r="U4035" s="207"/>
      <c r="V4035" s="204"/>
      <c r="W4035" s="204"/>
      <c r="X4035" s="207"/>
      <c r="Y4035" s="207"/>
      <c r="Z4035" s="204"/>
      <c r="AA4035" s="204"/>
      <c r="AB4035" s="204"/>
      <c r="AC4035" s="204"/>
    </row>
    <row r="4036" spans="1:29">
      <c r="A4036" s="204"/>
      <c r="B4036" s="204"/>
      <c r="C4036" s="204"/>
      <c r="D4036" s="204"/>
      <c r="E4036" s="204"/>
      <c r="F4036" s="204"/>
      <c r="G4036" s="204"/>
      <c r="H4036" s="204"/>
      <c r="I4036" s="204"/>
      <c r="J4036" s="204"/>
      <c r="K4036" s="204"/>
      <c r="L4036" s="205"/>
      <c r="M4036" s="205"/>
      <c r="N4036" s="204"/>
      <c r="O4036" s="204"/>
      <c r="P4036" s="206"/>
      <c r="Q4036" s="206"/>
      <c r="R4036" s="206"/>
      <c r="S4036" s="206"/>
      <c r="T4036" s="204"/>
      <c r="U4036" s="207"/>
      <c r="V4036" s="204"/>
      <c r="W4036" s="204"/>
      <c r="X4036" s="207"/>
      <c r="Y4036" s="207"/>
      <c r="Z4036" s="204"/>
      <c r="AA4036" s="204"/>
      <c r="AB4036" s="204"/>
      <c r="AC4036" s="204"/>
    </row>
    <row r="4037" spans="1:29">
      <c r="A4037" s="204"/>
      <c r="B4037" s="204"/>
      <c r="C4037" s="204"/>
      <c r="D4037" s="204"/>
      <c r="E4037" s="204"/>
      <c r="F4037" s="204"/>
      <c r="G4037" s="204"/>
      <c r="H4037" s="204"/>
      <c r="I4037" s="204"/>
      <c r="J4037" s="204"/>
      <c r="K4037" s="204"/>
      <c r="L4037" s="205"/>
      <c r="M4037" s="205"/>
      <c r="N4037" s="204"/>
      <c r="O4037" s="204"/>
      <c r="P4037" s="206"/>
      <c r="Q4037" s="206"/>
      <c r="R4037" s="206"/>
      <c r="S4037" s="206"/>
      <c r="T4037" s="204"/>
      <c r="U4037" s="207"/>
      <c r="V4037" s="204"/>
      <c r="W4037" s="204"/>
      <c r="X4037" s="207"/>
      <c r="Y4037" s="207"/>
      <c r="Z4037" s="204"/>
      <c r="AA4037" s="204"/>
      <c r="AB4037" s="204"/>
      <c r="AC4037" s="204"/>
    </row>
    <row r="4038" spans="1:29">
      <c r="A4038" s="204"/>
      <c r="B4038" s="204"/>
      <c r="C4038" s="204"/>
      <c r="D4038" s="204"/>
      <c r="E4038" s="204"/>
      <c r="F4038" s="204"/>
      <c r="G4038" s="204"/>
      <c r="H4038" s="204"/>
      <c r="I4038" s="204"/>
      <c r="J4038" s="204"/>
      <c r="K4038" s="204"/>
      <c r="L4038" s="205"/>
      <c r="M4038" s="205"/>
      <c r="N4038" s="204"/>
      <c r="O4038" s="204"/>
      <c r="P4038" s="206"/>
      <c r="Q4038" s="206"/>
      <c r="R4038" s="206"/>
      <c r="S4038" s="206"/>
      <c r="T4038" s="204"/>
      <c r="U4038" s="207"/>
      <c r="V4038" s="204"/>
      <c r="W4038" s="204"/>
      <c r="X4038" s="207"/>
      <c r="Y4038" s="207"/>
      <c r="Z4038" s="204"/>
      <c r="AA4038" s="204"/>
      <c r="AB4038" s="204"/>
      <c r="AC4038" s="204"/>
    </row>
    <row r="4039" spans="1:29">
      <c r="A4039" s="204"/>
      <c r="B4039" s="204"/>
      <c r="C4039" s="204"/>
      <c r="D4039" s="204"/>
      <c r="E4039" s="204"/>
      <c r="F4039" s="204"/>
      <c r="G4039" s="204"/>
      <c r="H4039" s="204"/>
      <c r="I4039" s="204"/>
      <c r="J4039" s="204"/>
      <c r="K4039" s="204"/>
      <c r="L4039" s="205"/>
      <c r="M4039" s="205"/>
      <c r="N4039" s="204"/>
      <c r="O4039" s="204"/>
      <c r="P4039" s="206"/>
      <c r="Q4039" s="206"/>
      <c r="R4039" s="206"/>
      <c r="S4039" s="206"/>
      <c r="T4039" s="204"/>
      <c r="U4039" s="207"/>
      <c r="V4039" s="204"/>
      <c r="W4039" s="204"/>
      <c r="X4039" s="207"/>
      <c r="Y4039" s="207"/>
      <c r="Z4039" s="204"/>
      <c r="AA4039" s="204"/>
      <c r="AB4039" s="204"/>
      <c r="AC4039" s="204"/>
    </row>
    <row r="4040" spans="1:29">
      <c r="A4040" s="204"/>
      <c r="B4040" s="204"/>
      <c r="C4040" s="204"/>
      <c r="D4040" s="204"/>
      <c r="E4040" s="204"/>
      <c r="F4040" s="204"/>
      <c r="G4040" s="204"/>
      <c r="H4040" s="204"/>
      <c r="I4040" s="204"/>
      <c r="J4040" s="204"/>
      <c r="K4040" s="204"/>
      <c r="L4040" s="205"/>
      <c r="M4040" s="205"/>
      <c r="N4040" s="204"/>
      <c r="O4040" s="204"/>
      <c r="P4040" s="206"/>
      <c r="Q4040" s="206"/>
      <c r="R4040" s="206"/>
      <c r="S4040" s="206"/>
      <c r="T4040" s="204"/>
      <c r="U4040" s="207"/>
      <c r="V4040" s="204"/>
      <c r="W4040" s="204"/>
      <c r="X4040" s="207"/>
      <c r="Y4040" s="207"/>
      <c r="Z4040" s="204"/>
      <c r="AA4040" s="204"/>
      <c r="AB4040" s="204"/>
      <c r="AC4040" s="204"/>
    </row>
    <row r="4041" spans="1:29">
      <c r="A4041" s="204"/>
      <c r="B4041" s="204"/>
      <c r="C4041" s="204"/>
      <c r="D4041" s="204"/>
      <c r="E4041" s="204"/>
      <c r="F4041" s="204"/>
      <c r="G4041" s="204"/>
      <c r="H4041" s="204"/>
      <c r="I4041" s="204"/>
      <c r="J4041" s="204"/>
      <c r="K4041" s="204"/>
      <c r="L4041" s="205"/>
      <c r="M4041" s="205"/>
      <c r="N4041" s="204"/>
      <c r="O4041" s="204"/>
      <c r="P4041" s="206"/>
      <c r="Q4041" s="206"/>
      <c r="R4041" s="206"/>
      <c r="S4041" s="206"/>
      <c r="T4041" s="204"/>
      <c r="U4041" s="207"/>
      <c r="V4041" s="204"/>
      <c r="W4041" s="204"/>
      <c r="X4041" s="207"/>
      <c r="Y4041" s="207"/>
      <c r="Z4041" s="204"/>
      <c r="AA4041" s="204"/>
      <c r="AB4041" s="204"/>
      <c r="AC4041" s="204"/>
    </row>
    <row r="4042" spans="1:29">
      <c r="A4042" s="204"/>
      <c r="B4042" s="204"/>
      <c r="C4042" s="204"/>
      <c r="D4042" s="204"/>
      <c r="E4042" s="204"/>
      <c r="F4042" s="204"/>
      <c r="G4042" s="204"/>
      <c r="H4042" s="204"/>
      <c r="I4042" s="204"/>
      <c r="J4042" s="204"/>
      <c r="K4042" s="204"/>
      <c r="L4042" s="205"/>
      <c r="M4042" s="205"/>
      <c r="N4042" s="204"/>
      <c r="O4042" s="204"/>
      <c r="P4042" s="206"/>
      <c r="Q4042" s="206"/>
      <c r="R4042" s="206"/>
      <c r="S4042" s="206"/>
      <c r="T4042" s="204"/>
      <c r="U4042" s="207"/>
      <c r="V4042" s="204"/>
      <c r="W4042" s="204"/>
      <c r="X4042" s="207"/>
      <c r="Y4042" s="207"/>
      <c r="Z4042" s="204"/>
      <c r="AA4042" s="204"/>
      <c r="AB4042" s="204"/>
      <c r="AC4042" s="204"/>
    </row>
    <row r="4043" spans="1:29">
      <c r="A4043" s="204"/>
      <c r="B4043" s="204"/>
      <c r="C4043" s="204"/>
      <c r="D4043" s="204"/>
      <c r="E4043" s="204"/>
      <c r="F4043" s="204"/>
      <c r="G4043" s="204"/>
      <c r="H4043" s="204"/>
      <c r="I4043" s="204"/>
      <c r="J4043" s="204"/>
      <c r="K4043" s="204"/>
      <c r="L4043" s="205"/>
      <c r="M4043" s="205"/>
      <c r="N4043" s="204"/>
      <c r="O4043" s="204"/>
      <c r="P4043" s="206"/>
      <c r="Q4043" s="206"/>
      <c r="R4043" s="206"/>
      <c r="S4043" s="206"/>
      <c r="T4043" s="204"/>
      <c r="U4043" s="207"/>
      <c r="V4043" s="204"/>
      <c r="W4043" s="204"/>
      <c r="X4043" s="207"/>
      <c r="Y4043" s="207"/>
      <c r="Z4043" s="204"/>
      <c r="AA4043" s="204"/>
      <c r="AB4043" s="204"/>
      <c r="AC4043" s="204"/>
    </row>
    <row r="4044" spans="1:29">
      <c r="A4044" s="204"/>
      <c r="B4044" s="204"/>
      <c r="C4044" s="204"/>
      <c r="D4044" s="204"/>
      <c r="E4044" s="204"/>
      <c r="F4044" s="204"/>
      <c r="G4044" s="204"/>
      <c r="H4044" s="204"/>
      <c r="I4044" s="204"/>
      <c r="J4044" s="204"/>
      <c r="K4044" s="204"/>
      <c r="L4044" s="205"/>
      <c r="M4044" s="205"/>
      <c r="N4044" s="204"/>
      <c r="O4044" s="204"/>
      <c r="P4044" s="206"/>
      <c r="Q4044" s="206"/>
      <c r="R4044" s="206"/>
      <c r="S4044" s="206"/>
      <c r="T4044" s="204"/>
      <c r="U4044" s="207"/>
      <c r="V4044" s="204"/>
      <c r="W4044" s="204"/>
      <c r="X4044" s="207"/>
      <c r="Y4044" s="207"/>
      <c r="Z4044" s="204"/>
      <c r="AA4044" s="204"/>
      <c r="AB4044" s="204"/>
      <c r="AC4044" s="204"/>
    </row>
    <row r="4045" spans="1:29">
      <c r="A4045" s="204"/>
      <c r="B4045" s="204"/>
      <c r="C4045" s="204"/>
      <c r="D4045" s="204"/>
      <c r="E4045" s="204"/>
      <c r="F4045" s="204"/>
      <c r="G4045" s="204"/>
      <c r="H4045" s="204"/>
      <c r="I4045" s="204"/>
      <c r="J4045" s="204"/>
      <c r="K4045" s="204"/>
      <c r="L4045" s="205"/>
      <c r="M4045" s="205"/>
      <c r="N4045" s="204"/>
      <c r="O4045" s="204"/>
      <c r="P4045" s="206"/>
      <c r="Q4045" s="206"/>
      <c r="R4045" s="206"/>
      <c r="S4045" s="206"/>
      <c r="T4045" s="204"/>
      <c r="U4045" s="207"/>
      <c r="V4045" s="204"/>
      <c r="W4045" s="204"/>
      <c r="X4045" s="207"/>
      <c r="Y4045" s="207"/>
      <c r="Z4045" s="204"/>
      <c r="AA4045" s="204"/>
      <c r="AB4045" s="204"/>
      <c r="AC4045" s="204"/>
    </row>
    <row r="4046" spans="1:29">
      <c r="A4046" s="204"/>
      <c r="B4046" s="204"/>
      <c r="C4046" s="204"/>
      <c r="D4046" s="204"/>
      <c r="E4046" s="204"/>
      <c r="F4046" s="204"/>
      <c r="G4046" s="204"/>
      <c r="H4046" s="204"/>
      <c r="I4046" s="204"/>
      <c r="J4046" s="204"/>
      <c r="K4046" s="204"/>
      <c r="L4046" s="205"/>
      <c r="M4046" s="205"/>
      <c r="N4046" s="204"/>
      <c r="O4046" s="204"/>
      <c r="P4046" s="206"/>
      <c r="Q4046" s="206"/>
      <c r="R4046" s="206"/>
      <c r="S4046" s="206"/>
      <c r="T4046" s="204"/>
      <c r="U4046" s="207"/>
      <c r="V4046" s="204"/>
      <c r="W4046" s="204"/>
      <c r="X4046" s="207"/>
      <c r="Y4046" s="207"/>
      <c r="Z4046" s="204"/>
      <c r="AA4046" s="204"/>
      <c r="AB4046" s="204"/>
      <c r="AC4046" s="204"/>
    </row>
    <row r="4047" spans="1:29">
      <c r="A4047" s="204"/>
      <c r="B4047" s="204"/>
      <c r="C4047" s="204"/>
      <c r="D4047" s="204"/>
      <c r="E4047" s="204"/>
      <c r="F4047" s="204"/>
      <c r="G4047" s="204"/>
      <c r="H4047" s="204"/>
      <c r="I4047" s="204"/>
      <c r="J4047" s="204"/>
      <c r="K4047" s="204"/>
      <c r="L4047" s="205"/>
      <c r="M4047" s="205"/>
      <c r="N4047" s="204"/>
      <c r="O4047" s="204"/>
      <c r="P4047" s="206"/>
      <c r="Q4047" s="206"/>
      <c r="R4047" s="206"/>
      <c r="S4047" s="206"/>
      <c r="T4047" s="204"/>
      <c r="U4047" s="207"/>
      <c r="V4047" s="204"/>
      <c r="W4047" s="204"/>
      <c r="X4047" s="207"/>
      <c r="Y4047" s="207"/>
      <c r="Z4047" s="204"/>
      <c r="AA4047" s="204"/>
      <c r="AB4047" s="204"/>
      <c r="AC4047" s="204"/>
    </row>
    <row r="4048" spans="1:29">
      <c r="A4048" s="204"/>
      <c r="B4048" s="204"/>
      <c r="C4048" s="204"/>
      <c r="D4048" s="204"/>
      <c r="E4048" s="204"/>
      <c r="F4048" s="204"/>
      <c r="G4048" s="204"/>
      <c r="H4048" s="204"/>
      <c r="I4048" s="204"/>
      <c r="J4048" s="204"/>
      <c r="K4048" s="204"/>
      <c r="L4048" s="205"/>
      <c r="M4048" s="205"/>
      <c r="N4048" s="204"/>
      <c r="O4048" s="204"/>
      <c r="P4048" s="206"/>
      <c r="Q4048" s="206"/>
      <c r="R4048" s="206"/>
      <c r="S4048" s="206"/>
      <c r="T4048" s="204"/>
      <c r="U4048" s="207"/>
      <c r="V4048" s="204"/>
      <c r="W4048" s="204"/>
      <c r="X4048" s="207"/>
      <c r="Y4048" s="207"/>
      <c r="Z4048" s="204"/>
      <c r="AA4048" s="204"/>
      <c r="AB4048" s="204"/>
      <c r="AC4048" s="204"/>
    </row>
    <row r="4049" spans="1:29">
      <c r="A4049" s="204"/>
      <c r="B4049" s="204"/>
      <c r="C4049" s="204"/>
      <c r="D4049" s="204"/>
      <c r="E4049" s="204"/>
      <c r="F4049" s="204"/>
      <c r="G4049" s="204"/>
      <c r="H4049" s="204"/>
      <c r="I4049" s="204"/>
      <c r="J4049" s="204"/>
      <c r="K4049" s="204"/>
      <c r="L4049" s="205"/>
      <c r="M4049" s="205"/>
      <c r="N4049" s="204"/>
      <c r="O4049" s="204"/>
      <c r="P4049" s="206"/>
      <c r="Q4049" s="206"/>
      <c r="R4049" s="206"/>
      <c r="S4049" s="206"/>
      <c r="T4049" s="204"/>
      <c r="U4049" s="207"/>
      <c r="V4049" s="204"/>
      <c r="W4049" s="204"/>
      <c r="X4049" s="207"/>
      <c r="Y4049" s="207"/>
      <c r="Z4049" s="204"/>
      <c r="AA4049" s="204"/>
      <c r="AB4049" s="204"/>
      <c r="AC4049" s="204"/>
    </row>
    <row r="4050" spans="1:29">
      <c r="A4050" s="204"/>
      <c r="B4050" s="204"/>
      <c r="C4050" s="204"/>
      <c r="D4050" s="204"/>
      <c r="E4050" s="204"/>
      <c r="F4050" s="204"/>
      <c r="G4050" s="204"/>
      <c r="H4050" s="204"/>
      <c r="I4050" s="204"/>
      <c r="J4050" s="204"/>
      <c r="K4050" s="204"/>
      <c r="L4050" s="205"/>
      <c r="M4050" s="205"/>
      <c r="N4050" s="204"/>
      <c r="O4050" s="204"/>
      <c r="P4050" s="206"/>
      <c r="Q4050" s="206"/>
      <c r="R4050" s="206"/>
      <c r="S4050" s="206"/>
      <c r="T4050" s="204"/>
      <c r="U4050" s="207"/>
      <c r="V4050" s="204"/>
      <c r="W4050" s="204"/>
      <c r="X4050" s="207"/>
      <c r="Y4050" s="207"/>
      <c r="Z4050" s="204"/>
      <c r="AA4050" s="204"/>
      <c r="AB4050" s="204"/>
      <c r="AC4050" s="204"/>
    </row>
    <row r="4051" spans="1:29">
      <c r="A4051" s="204"/>
      <c r="B4051" s="204"/>
      <c r="C4051" s="204"/>
      <c r="D4051" s="204"/>
      <c r="E4051" s="204"/>
      <c r="F4051" s="204"/>
      <c r="G4051" s="204"/>
      <c r="H4051" s="204"/>
      <c r="I4051" s="204"/>
      <c r="J4051" s="204"/>
      <c r="K4051" s="204"/>
      <c r="L4051" s="205"/>
      <c r="M4051" s="205"/>
      <c r="N4051" s="204"/>
      <c r="O4051" s="204"/>
      <c r="P4051" s="206"/>
      <c r="Q4051" s="206"/>
      <c r="R4051" s="206"/>
      <c r="S4051" s="206"/>
      <c r="T4051" s="204"/>
      <c r="U4051" s="207"/>
      <c r="V4051" s="204"/>
      <c r="W4051" s="204"/>
      <c r="X4051" s="207"/>
      <c r="Y4051" s="207"/>
      <c r="Z4051" s="204"/>
      <c r="AA4051" s="204"/>
      <c r="AB4051" s="204"/>
      <c r="AC4051" s="204"/>
    </row>
    <row r="4052" spans="1:29">
      <c r="A4052" s="204"/>
      <c r="B4052" s="204"/>
      <c r="C4052" s="204"/>
      <c r="D4052" s="204"/>
      <c r="E4052" s="204"/>
      <c r="F4052" s="204"/>
      <c r="G4052" s="204"/>
      <c r="H4052" s="204"/>
      <c r="I4052" s="204"/>
      <c r="J4052" s="204"/>
      <c r="K4052" s="204"/>
      <c r="L4052" s="205"/>
      <c r="M4052" s="205"/>
      <c r="N4052" s="204"/>
      <c r="O4052" s="204"/>
      <c r="P4052" s="206"/>
      <c r="Q4052" s="206"/>
      <c r="R4052" s="206"/>
      <c r="S4052" s="206"/>
      <c r="T4052" s="204"/>
      <c r="U4052" s="207"/>
      <c r="V4052" s="204"/>
      <c r="W4052" s="204"/>
      <c r="X4052" s="207"/>
      <c r="Y4052" s="207"/>
      <c r="Z4052" s="204"/>
      <c r="AA4052" s="204"/>
      <c r="AB4052" s="204"/>
      <c r="AC4052" s="204"/>
    </row>
    <row r="4053" spans="1:29">
      <c r="A4053" s="204"/>
      <c r="B4053" s="204"/>
      <c r="C4053" s="204"/>
      <c r="D4053" s="204"/>
      <c r="E4053" s="204"/>
      <c r="F4053" s="204"/>
      <c r="G4053" s="204"/>
      <c r="H4053" s="204"/>
      <c r="I4053" s="204"/>
      <c r="J4053" s="204"/>
      <c r="K4053" s="204"/>
      <c r="L4053" s="205"/>
      <c r="M4053" s="205"/>
      <c r="N4053" s="204"/>
      <c r="O4053" s="204"/>
      <c r="P4053" s="206"/>
      <c r="Q4053" s="206"/>
      <c r="R4053" s="206"/>
      <c r="S4053" s="206"/>
      <c r="T4053" s="204"/>
      <c r="U4053" s="207"/>
      <c r="V4053" s="204"/>
      <c r="W4053" s="204"/>
      <c r="X4053" s="207"/>
      <c r="Y4053" s="207"/>
      <c r="Z4053" s="204"/>
      <c r="AA4053" s="204"/>
      <c r="AB4053" s="204"/>
      <c r="AC4053" s="204"/>
    </row>
    <row r="4054" spans="1:29">
      <c r="A4054" s="204"/>
      <c r="B4054" s="204"/>
      <c r="C4054" s="204"/>
      <c r="D4054" s="204"/>
      <c r="E4054" s="204"/>
      <c r="F4054" s="204"/>
      <c r="G4054" s="204"/>
      <c r="H4054" s="204"/>
      <c r="I4054" s="204"/>
      <c r="J4054" s="204"/>
      <c r="K4054" s="204"/>
      <c r="L4054" s="205"/>
      <c r="M4054" s="205"/>
      <c r="N4054" s="204"/>
      <c r="O4054" s="204"/>
      <c r="P4054" s="206"/>
      <c r="Q4054" s="206"/>
      <c r="R4054" s="206"/>
      <c r="S4054" s="206"/>
      <c r="T4054" s="204"/>
      <c r="U4054" s="207"/>
      <c r="V4054" s="204"/>
      <c r="W4054" s="204"/>
      <c r="X4054" s="207"/>
      <c r="Y4054" s="207"/>
      <c r="Z4054" s="204"/>
      <c r="AA4054" s="204"/>
      <c r="AB4054" s="204"/>
      <c r="AC4054" s="204"/>
    </row>
    <row r="4055" spans="1:29">
      <c r="A4055" s="204"/>
      <c r="B4055" s="204"/>
      <c r="C4055" s="204"/>
      <c r="D4055" s="204"/>
      <c r="E4055" s="204"/>
      <c r="F4055" s="204"/>
      <c r="G4055" s="204"/>
      <c r="H4055" s="204"/>
      <c r="I4055" s="204"/>
      <c r="J4055" s="204"/>
      <c r="K4055" s="204"/>
      <c r="L4055" s="205"/>
      <c r="M4055" s="205"/>
      <c r="N4055" s="204"/>
      <c r="O4055" s="204"/>
      <c r="P4055" s="206"/>
      <c r="Q4055" s="206"/>
      <c r="R4055" s="206"/>
      <c r="S4055" s="206"/>
      <c r="T4055" s="204"/>
      <c r="U4055" s="207"/>
      <c r="V4055" s="204"/>
      <c r="W4055" s="204"/>
      <c r="X4055" s="207"/>
      <c r="Y4055" s="207"/>
      <c r="Z4055" s="204"/>
      <c r="AA4055" s="204"/>
      <c r="AB4055" s="204"/>
      <c r="AC4055" s="204"/>
    </row>
    <row r="4056" spans="1:29">
      <c r="A4056" s="204"/>
      <c r="B4056" s="204"/>
      <c r="C4056" s="204"/>
      <c r="D4056" s="204"/>
      <c r="E4056" s="204"/>
      <c r="F4056" s="204"/>
      <c r="G4056" s="204"/>
      <c r="H4056" s="204"/>
      <c r="I4056" s="204"/>
      <c r="J4056" s="204"/>
      <c r="K4056" s="204"/>
      <c r="L4056" s="205"/>
      <c r="M4056" s="205"/>
      <c r="N4056" s="204"/>
      <c r="O4056" s="204"/>
      <c r="P4056" s="206"/>
      <c r="Q4056" s="206"/>
      <c r="R4056" s="206"/>
      <c r="S4056" s="206"/>
      <c r="T4056" s="204"/>
      <c r="U4056" s="207"/>
      <c r="V4056" s="204"/>
      <c r="W4056" s="204"/>
      <c r="X4056" s="207"/>
      <c r="Y4056" s="207"/>
      <c r="Z4056" s="204"/>
      <c r="AA4056" s="204"/>
      <c r="AB4056" s="204"/>
      <c r="AC4056" s="204"/>
    </row>
    <row r="4057" spans="1:29">
      <c r="A4057" s="204"/>
      <c r="B4057" s="204"/>
      <c r="C4057" s="204"/>
      <c r="D4057" s="204"/>
      <c r="E4057" s="204"/>
      <c r="F4057" s="204"/>
      <c r="G4057" s="204"/>
      <c r="H4057" s="204"/>
      <c r="I4057" s="204"/>
      <c r="J4057" s="204"/>
      <c r="K4057" s="204"/>
      <c r="L4057" s="205"/>
      <c r="M4057" s="205"/>
      <c r="N4057" s="204"/>
      <c r="O4057" s="204"/>
      <c r="P4057" s="206"/>
      <c r="Q4057" s="206"/>
      <c r="R4057" s="206"/>
      <c r="S4057" s="206"/>
      <c r="T4057" s="204"/>
      <c r="U4057" s="207"/>
      <c r="V4057" s="204"/>
      <c r="W4057" s="204"/>
      <c r="X4057" s="207"/>
      <c r="Y4057" s="207"/>
      <c r="Z4057" s="204"/>
      <c r="AA4057" s="204"/>
      <c r="AB4057" s="204"/>
      <c r="AC4057" s="204"/>
    </row>
    <row r="4058" spans="1:29">
      <c r="A4058" s="204"/>
      <c r="B4058" s="204"/>
      <c r="C4058" s="204"/>
      <c r="D4058" s="204"/>
      <c r="E4058" s="204"/>
      <c r="F4058" s="204"/>
      <c r="G4058" s="204"/>
      <c r="H4058" s="204"/>
      <c r="I4058" s="204"/>
      <c r="J4058" s="204"/>
      <c r="K4058" s="204"/>
      <c r="L4058" s="205"/>
      <c r="M4058" s="205"/>
      <c r="N4058" s="204"/>
      <c r="O4058" s="204"/>
      <c r="P4058" s="206"/>
      <c r="Q4058" s="206"/>
      <c r="R4058" s="206"/>
      <c r="S4058" s="206"/>
      <c r="T4058" s="204"/>
      <c r="U4058" s="207"/>
      <c r="V4058" s="204"/>
      <c r="W4058" s="204"/>
      <c r="X4058" s="207"/>
      <c r="Y4058" s="207"/>
      <c r="Z4058" s="204"/>
      <c r="AA4058" s="204"/>
      <c r="AB4058" s="204"/>
      <c r="AC4058" s="204"/>
    </row>
    <row r="4059" spans="1:29">
      <c r="A4059" s="204"/>
      <c r="B4059" s="204"/>
      <c r="C4059" s="204"/>
      <c r="D4059" s="204"/>
      <c r="E4059" s="204"/>
      <c r="F4059" s="204"/>
      <c r="G4059" s="204"/>
      <c r="H4059" s="204"/>
      <c r="I4059" s="204"/>
      <c r="J4059" s="204"/>
      <c r="K4059" s="204"/>
      <c r="L4059" s="205"/>
      <c r="M4059" s="205"/>
      <c r="N4059" s="204"/>
      <c r="O4059" s="204"/>
      <c r="P4059" s="206"/>
      <c r="Q4059" s="206"/>
      <c r="R4059" s="206"/>
      <c r="S4059" s="206"/>
      <c r="T4059" s="204"/>
      <c r="U4059" s="207"/>
      <c r="V4059" s="204"/>
      <c r="W4059" s="204"/>
      <c r="X4059" s="207"/>
      <c r="Y4059" s="207"/>
      <c r="Z4059" s="204"/>
      <c r="AA4059" s="204"/>
      <c r="AB4059" s="204"/>
      <c r="AC4059" s="204"/>
    </row>
    <row r="4060" spans="1:29">
      <c r="A4060" s="204"/>
      <c r="B4060" s="204"/>
      <c r="C4060" s="204"/>
      <c r="D4060" s="204"/>
      <c r="E4060" s="204"/>
      <c r="F4060" s="204"/>
      <c r="G4060" s="204"/>
      <c r="H4060" s="204"/>
      <c r="I4060" s="204"/>
      <c r="J4060" s="204"/>
      <c r="K4060" s="204"/>
      <c r="L4060" s="205"/>
      <c r="M4060" s="205"/>
      <c r="N4060" s="204"/>
      <c r="O4060" s="204"/>
      <c r="P4060" s="206"/>
      <c r="Q4060" s="206"/>
      <c r="R4060" s="206"/>
      <c r="S4060" s="206"/>
      <c r="T4060" s="204"/>
      <c r="U4060" s="207"/>
      <c r="V4060" s="204"/>
      <c r="W4060" s="204"/>
      <c r="X4060" s="207"/>
      <c r="Y4060" s="207"/>
      <c r="Z4060" s="204"/>
      <c r="AA4060" s="204"/>
      <c r="AB4060" s="204"/>
      <c r="AC4060" s="204"/>
    </row>
    <row r="4061" spans="1:29">
      <c r="A4061" s="204"/>
      <c r="B4061" s="204"/>
      <c r="C4061" s="204"/>
      <c r="D4061" s="204"/>
      <c r="E4061" s="204"/>
      <c r="F4061" s="204"/>
      <c r="G4061" s="204"/>
      <c r="H4061" s="204"/>
      <c r="I4061" s="204"/>
      <c r="J4061" s="204"/>
      <c r="K4061" s="204"/>
      <c r="L4061" s="205"/>
      <c r="M4061" s="205"/>
      <c r="N4061" s="204"/>
      <c r="O4061" s="204"/>
      <c r="P4061" s="206"/>
      <c r="Q4061" s="206"/>
      <c r="R4061" s="206"/>
      <c r="S4061" s="206"/>
      <c r="T4061" s="204"/>
      <c r="U4061" s="207"/>
      <c r="V4061" s="204"/>
      <c r="W4061" s="204"/>
      <c r="X4061" s="207"/>
      <c r="Y4061" s="207"/>
      <c r="Z4061" s="204"/>
      <c r="AA4061" s="204"/>
      <c r="AB4061" s="204"/>
      <c r="AC4061" s="204"/>
    </row>
    <row r="4062" spans="1:29">
      <c r="A4062" s="204"/>
      <c r="B4062" s="204"/>
      <c r="C4062" s="204"/>
      <c r="D4062" s="204"/>
      <c r="E4062" s="204"/>
      <c r="F4062" s="204"/>
      <c r="G4062" s="204"/>
      <c r="H4062" s="204"/>
      <c r="I4062" s="204"/>
      <c r="J4062" s="204"/>
      <c r="K4062" s="204"/>
      <c r="L4062" s="205"/>
      <c r="M4062" s="205"/>
      <c r="N4062" s="204"/>
      <c r="O4062" s="204"/>
      <c r="P4062" s="206"/>
      <c r="Q4062" s="206"/>
      <c r="R4062" s="206"/>
      <c r="S4062" s="206"/>
      <c r="T4062" s="204"/>
      <c r="U4062" s="207"/>
      <c r="V4062" s="204"/>
      <c r="W4062" s="204"/>
      <c r="X4062" s="207"/>
      <c r="Y4062" s="207"/>
      <c r="Z4062" s="204"/>
      <c r="AA4062" s="204"/>
      <c r="AB4062" s="204"/>
      <c r="AC4062" s="204"/>
    </row>
    <row r="4063" spans="1:29">
      <c r="A4063" s="204"/>
      <c r="B4063" s="204"/>
      <c r="C4063" s="204"/>
      <c r="D4063" s="204"/>
      <c r="E4063" s="204"/>
      <c r="F4063" s="204"/>
      <c r="G4063" s="204"/>
      <c r="H4063" s="204"/>
      <c r="I4063" s="204"/>
      <c r="J4063" s="204"/>
      <c r="K4063" s="204"/>
      <c r="L4063" s="205"/>
      <c r="M4063" s="205"/>
      <c r="N4063" s="204"/>
      <c r="O4063" s="204"/>
      <c r="P4063" s="206"/>
      <c r="Q4063" s="206"/>
      <c r="R4063" s="206"/>
      <c r="S4063" s="206"/>
      <c r="T4063" s="204"/>
      <c r="U4063" s="207"/>
      <c r="V4063" s="204"/>
      <c r="W4063" s="204"/>
      <c r="X4063" s="207"/>
      <c r="Y4063" s="207"/>
      <c r="Z4063" s="204"/>
      <c r="AA4063" s="204"/>
      <c r="AB4063" s="204"/>
      <c r="AC4063" s="204"/>
    </row>
    <row r="4064" spans="1:29">
      <c r="A4064" s="204"/>
      <c r="B4064" s="204"/>
      <c r="C4064" s="204"/>
      <c r="D4064" s="204"/>
      <c r="E4064" s="204"/>
      <c r="F4064" s="204"/>
      <c r="G4064" s="204"/>
      <c r="H4064" s="204"/>
      <c r="I4064" s="204"/>
      <c r="J4064" s="204"/>
      <c r="K4064" s="204"/>
      <c r="L4064" s="205"/>
      <c r="M4064" s="205"/>
      <c r="N4064" s="204"/>
      <c r="O4064" s="204"/>
      <c r="P4064" s="206"/>
      <c r="Q4064" s="206"/>
      <c r="R4064" s="206"/>
      <c r="S4064" s="206"/>
      <c r="T4064" s="204"/>
      <c r="U4064" s="207"/>
      <c r="V4064" s="204"/>
      <c r="W4064" s="204"/>
      <c r="X4064" s="207"/>
      <c r="Y4064" s="207"/>
      <c r="Z4064" s="204"/>
      <c r="AA4064" s="204"/>
      <c r="AB4064" s="204"/>
      <c r="AC4064" s="204"/>
    </row>
    <row r="4065" spans="1:29">
      <c r="A4065" s="204"/>
      <c r="B4065" s="204"/>
      <c r="C4065" s="204"/>
      <c r="D4065" s="204"/>
      <c r="E4065" s="204"/>
      <c r="F4065" s="204"/>
      <c r="G4065" s="204"/>
      <c r="H4065" s="204"/>
      <c r="I4065" s="204"/>
      <c r="J4065" s="204"/>
      <c r="K4065" s="204"/>
      <c r="L4065" s="205"/>
      <c r="M4065" s="205"/>
      <c r="N4065" s="204"/>
      <c r="O4065" s="204"/>
      <c r="P4065" s="206"/>
      <c r="Q4065" s="206"/>
      <c r="R4065" s="206"/>
      <c r="S4065" s="206"/>
      <c r="T4065" s="204"/>
      <c r="U4065" s="207"/>
      <c r="V4065" s="204"/>
      <c r="W4065" s="204"/>
      <c r="X4065" s="207"/>
      <c r="Y4065" s="207"/>
      <c r="Z4065" s="204"/>
      <c r="AA4065" s="204"/>
      <c r="AB4065" s="204"/>
      <c r="AC4065" s="204"/>
    </row>
    <row r="4066" spans="1:29">
      <c r="A4066" s="204"/>
      <c r="B4066" s="204"/>
      <c r="C4066" s="204"/>
      <c r="D4066" s="204"/>
      <c r="E4066" s="204"/>
      <c r="F4066" s="204"/>
      <c r="G4066" s="204"/>
      <c r="H4066" s="204"/>
      <c r="I4066" s="204"/>
      <c r="J4066" s="204"/>
      <c r="K4066" s="204"/>
      <c r="L4066" s="205"/>
      <c r="M4066" s="205"/>
      <c r="N4066" s="204"/>
      <c r="O4066" s="204"/>
      <c r="P4066" s="206"/>
      <c r="Q4066" s="206"/>
      <c r="R4066" s="206"/>
      <c r="S4066" s="206"/>
      <c r="T4066" s="204"/>
      <c r="U4066" s="207"/>
      <c r="V4066" s="204"/>
      <c r="W4066" s="204"/>
      <c r="X4066" s="207"/>
      <c r="Y4066" s="207"/>
      <c r="Z4066" s="204"/>
      <c r="AA4066" s="204"/>
      <c r="AB4066" s="204"/>
      <c r="AC4066" s="204"/>
    </row>
    <row r="4067" spans="1:29">
      <c r="A4067" s="204"/>
      <c r="B4067" s="204"/>
      <c r="C4067" s="204"/>
      <c r="D4067" s="204"/>
      <c r="E4067" s="204"/>
      <c r="F4067" s="204"/>
      <c r="G4067" s="204"/>
      <c r="H4067" s="204"/>
      <c r="I4067" s="204"/>
      <c r="J4067" s="204"/>
      <c r="K4067" s="204"/>
      <c r="L4067" s="205"/>
      <c r="M4067" s="205"/>
      <c r="N4067" s="204"/>
      <c r="O4067" s="204"/>
      <c r="P4067" s="206"/>
      <c r="Q4067" s="206"/>
      <c r="R4067" s="206"/>
      <c r="S4067" s="206"/>
      <c r="T4067" s="204"/>
      <c r="U4067" s="207"/>
      <c r="V4067" s="204"/>
      <c r="W4067" s="204"/>
      <c r="X4067" s="207"/>
      <c r="Y4067" s="207"/>
      <c r="Z4067" s="204"/>
      <c r="AA4067" s="204"/>
      <c r="AB4067" s="204"/>
      <c r="AC4067" s="204"/>
    </row>
    <row r="4068" spans="1:29">
      <c r="A4068" s="204"/>
      <c r="B4068" s="204"/>
      <c r="C4068" s="204"/>
      <c r="D4068" s="204"/>
      <c r="E4068" s="204"/>
      <c r="F4068" s="204"/>
      <c r="G4068" s="204"/>
      <c r="H4068" s="204"/>
      <c r="I4068" s="204"/>
      <c r="J4068" s="204"/>
      <c r="K4068" s="204"/>
      <c r="L4068" s="205"/>
      <c r="M4068" s="205"/>
      <c r="N4068" s="204"/>
      <c r="O4068" s="204"/>
      <c r="P4068" s="206"/>
      <c r="Q4068" s="206"/>
      <c r="R4068" s="206"/>
      <c r="S4068" s="206"/>
      <c r="T4068" s="204"/>
      <c r="U4068" s="207"/>
      <c r="V4068" s="204"/>
      <c r="W4068" s="204"/>
      <c r="X4068" s="207"/>
      <c r="Y4068" s="207"/>
      <c r="Z4068" s="204"/>
      <c r="AA4068" s="204"/>
      <c r="AB4068" s="204"/>
      <c r="AC4068" s="204"/>
    </row>
    <row r="4069" spans="1:29">
      <c r="A4069" s="204"/>
      <c r="B4069" s="204"/>
      <c r="C4069" s="204"/>
      <c r="D4069" s="204"/>
      <c r="E4069" s="204"/>
      <c r="F4069" s="204"/>
      <c r="G4069" s="204"/>
      <c r="H4069" s="204"/>
      <c r="I4069" s="204"/>
      <c r="J4069" s="204"/>
      <c r="K4069" s="204"/>
      <c r="L4069" s="205"/>
      <c r="M4069" s="205"/>
      <c r="N4069" s="204"/>
      <c r="O4069" s="204"/>
      <c r="P4069" s="206"/>
      <c r="Q4069" s="206"/>
      <c r="R4069" s="206"/>
      <c r="S4069" s="206"/>
      <c r="T4069" s="204"/>
      <c r="U4069" s="207"/>
      <c r="V4069" s="204"/>
      <c r="W4069" s="204"/>
      <c r="X4069" s="207"/>
      <c r="Y4069" s="207"/>
      <c r="Z4069" s="204"/>
      <c r="AA4069" s="204"/>
      <c r="AB4069" s="204"/>
      <c r="AC4069" s="204"/>
    </row>
    <row r="4070" spans="1:29">
      <c r="A4070" s="204"/>
      <c r="B4070" s="204"/>
      <c r="C4070" s="204"/>
      <c r="D4070" s="204"/>
      <c r="E4070" s="204"/>
      <c r="F4070" s="204"/>
      <c r="G4070" s="204"/>
      <c r="H4070" s="204"/>
      <c r="I4070" s="204"/>
      <c r="J4070" s="204"/>
      <c r="K4070" s="204"/>
      <c r="L4070" s="205"/>
      <c r="M4070" s="205"/>
      <c r="N4070" s="204"/>
      <c r="O4070" s="204"/>
      <c r="P4070" s="206"/>
      <c r="Q4070" s="206"/>
      <c r="R4070" s="206"/>
      <c r="S4070" s="206"/>
      <c r="T4070" s="204"/>
      <c r="U4070" s="207"/>
      <c r="V4070" s="204"/>
      <c r="W4070" s="204"/>
      <c r="X4070" s="207"/>
      <c r="Y4070" s="207"/>
      <c r="Z4070" s="204"/>
      <c r="AA4070" s="204"/>
      <c r="AB4070" s="204"/>
      <c r="AC4070" s="204"/>
    </row>
    <row r="4071" spans="1:29">
      <c r="A4071" s="204"/>
      <c r="B4071" s="204"/>
      <c r="C4071" s="204"/>
      <c r="D4071" s="204"/>
      <c r="E4071" s="204"/>
      <c r="F4071" s="204"/>
      <c r="G4071" s="204"/>
      <c r="H4071" s="204"/>
      <c r="I4071" s="204"/>
      <c r="J4071" s="204"/>
      <c r="K4071" s="204"/>
      <c r="L4071" s="205"/>
      <c r="M4071" s="205"/>
      <c r="N4071" s="204"/>
      <c r="O4071" s="204"/>
      <c r="P4071" s="206"/>
      <c r="Q4071" s="206"/>
      <c r="R4071" s="206"/>
      <c r="S4071" s="206"/>
      <c r="T4071" s="204"/>
      <c r="U4071" s="207"/>
      <c r="V4071" s="204"/>
      <c r="W4071" s="204"/>
      <c r="X4071" s="207"/>
      <c r="Y4071" s="207"/>
      <c r="Z4071" s="204"/>
      <c r="AA4071" s="204"/>
      <c r="AB4071" s="204"/>
      <c r="AC4071" s="204"/>
    </row>
    <row r="4072" spans="1:29">
      <c r="A4072" s="204"/>
      <c r="B4072" s="204"/>
      <c r="C4072" s="204"/>
      <c r="D4072" s="204"/>
      <c r="E4072" s="204"/>
      <c r="F4072" s="204"/>
      <c r="G4072" s="204"/>
      <c r="H4072" s="204"/>
      <c r="I4072" s="204"/>
      <c r="J4072" s="204"/>
      <c r="K4072" s="204"/>
      <c r="L4072" s="205"/>
      <c r="M4072" s="205"/>
      <c r="N4072" s="204"/>
      <c r="O4072" s="204"/>
      <c r="P4072" s="206"/>
      <c r="Q4072" s="206"/>
      <c r="R4072" s="206"/>
      <c r="S4072" s="206"/>
      <c r="T4072" s="204"/>
      <c r="U4072" s="207"/>
      <c r="V4072" s="204"/>
      <c r="W4072" s="204"/>
      <c r="X4072" s="207"/>
      <c r="Y4072" s="207"/>
      <c r="Z4072" s="204"/>
      <c r="AA4072" s="204"/>
      <c r="AB4072" s="204"/>
      <c r="AC4072" s="204"/>
    </row>
    <row r="4073" spans="1:29">
      <c r="A4073" s="204"/>
      <c r="B4073" s="204"/>
      <c r="C4073" s="204"/>
      <c r="D4073" s="204"/>
      <c r="E4073" s="204"/>
      <c r="F4073" s="204"/>
      <c r="G4073" s="204"/>
      <c r="H4073" s="204"/>
      <c r="I4073" s="204"/>
      <c r="J4073" s="204"/>
      <c r="K4073" s="204"/>
      <c r="L4073" s="205"/>
      <c r="M4073" s="205"/>
      <c r="N4073" s="204"/>
      <c r="O4073" s="204"/>
      <c r="P4073" s="206"/>
      <c r="Q4073" s="206"/>
      <c r="R4073" s="206"/>
      <c r="S4073" s="206"/>
      <c r="T4073" s="204"/>
      <c r="U4073" s="207"/>
      <c r="V4073" s="204"/>
      <c r="W4073" s="204"/>
      <c r="X4073" s="207"/>
      <c r="Y4073" s="207"/>
      <c r="Z4073" s="204"/>
      <c r="AA4073" s="204"/>
      <c r="AB4073" s="204"/>
      <c r="AC4073" s="204"/>
    </row>
    <row r="4074" spans="1:29">
      <c r="A4074" s="204"/>
      <c r="B4074" s="204"/>
      <c r="C4074" s="204"/>
      <c r="D4074" s="204"/>
      <c r="E4074" s="204"/>
      <c r="F4074" s="204"/>
      <c r="G4074" s="204"/>
      <c r="H4074" s="204"/>
      <c r="I4074" s="204"/>
      <c r="J4074" s="204"/>
      <c r="K4074" s="204"/>
      <c r="L4074" s="205"/>
      <c r="M4074" s="205"/>
      <c r="N4074" s="204"/>
      <c r="O4074" s="204"/>
      <c r="P4074" s="206"/>
      <c r="Q4074" s="206"/>
      <c r="R4074" s="206"/>
      <c r="S4074" s="206"/>
      <c r="T4074" s="204"/>
      <c r="U4074" s="207"/>
      <c r="V4074" s="204"/>
      <c r="W4074" s="204"/>
      <c r="X4074" s="207"/>
      <c r="Y4074" s="207"/>
      <c r="Z4074" s="204"/>
      <c r="AA4074" s="204"/>
      <c r="AB4074" s="204"/>
      <c r="AC4074" s="204"/>
    </row>
    <row r="4075" spans="1:29">
      <c r="A4075" s="204"/>
      <c r="B4075" s="204"/>
      <c r="C4075" s="204"/>
      <c r="D4075" s="204"/>
      <c r="E4075" s="204"/>
      <c r="F4075" s="204"/>
      <c r="G4075" s="204"/>
      <c r="H4075" s="204"/>
      <c r="I4075" s="204"/>
      <c r="J4075" s="204"/>
      <c r="K4075" s="204"/>
      <c r="L4075" s="205"/>
      <c r="M4075" s="205"/>
      <c r="N4075" s="204"/>
      <c r="O4075" s="204"/>
      <c r="P4075" s="206"/>
      <c r="Q4075" s="206"/>
      <c r="R4075" s="206"/>
      <c r="S4075" s="206"/>
      <c r="T4075" s="204"/>
      <c r="U4075" s="207"/>
      <c r="V4075" s="204"/>
      <c r="W4075" s="204"/>
      <c r="X4075" s="207"/>
      <c r="Y4075" s="207"/>
      <c r="Z4075" s="204"/>
      <c r="AA4075" s="204"/>
      <c r="AB4075" s="204"/>
      <c r="AC4075" s="204"/>
    </row>
    <row r="4076" spans="1:29">
      <c r="A4076" s="204"/>
      <c r="B4076" s="204"/>
      <c r="C4076" s="204"/>
      <c r="D4076" s="204"/>
      <c r="E4076" s="204"/>
      <c r="F4076" s="204"/>
      <c r="G4076" s="204"/>
      <c r="H4076" s="204"/>
      <c r="I4076" s="204"/>
      <c r="J4076" s="204"/>
      <c r="K4076" s="204"/>
      <c r="L4076" s="205"/>
      <c r="M4076" s="205"/>
      <c r="N4076" s="204"/>
      <c r="O4076" s="204"/>
      <c r="P4076" s="206"/>
      <c r="Q4076" s="206"/>
      <c r="R4076" s="206"/>
      <c r="S4076" s="206"/>
      <c r="T4076" s="204"/>
      <c r="U4076" s="207"/>
      <c r="V4076" s="204"/>
      <c r="W4076" s="204"/>
      <c r="X4076" s="207"/>
      <c r="Y4076" s="207"/>
      <c r="Z4076" s="204"/>
      <c r="AA4076" s="204"/>
      <c r="AB4076" s="204"/>
      <c r="AC4076" s="204"/>
    </row>
    <row r="4077" spans="1:29">
      <c r="A4077" s="204"/>
      <c r="B4077" s="204"/>
      <c r="C4077" s="204"/>
      <c r="D4077" s="204"/>
      <c r="E4077" s="204"/>
      <c r="F4077" s="204"/>
      <c r="G4077" s="204"/>
      <c r="H4077" s="204"/>
      <c r="I4077" s="204"/>
      <c r="J4077" s="204"/>
      <c r="K4077" s="204"/>
      <c r="L4077" s="205"/>
      <c r="M4077" s="205"/>
      <c r="N4077" s="204"/>
      <c r="O4077" s="204"/>
      <c r="P4077" s="206"/>
      <c r="Q4077" s="206"/>
      <c r="R4077" s="206"/>
      <c r="S4077" s="206"/>
      <c r="T4077" s="204"/>
      <c r="U4077" s="207"/>
      <c r="V4077" s="204"/>
      <c r="W4077" s="204"/>
      <c r="X4077" s="207"/>
      <c r="Y4077" s="207"/>
      <c r="Z4077" s="204"/>
      <c r="AA4077" s="204"/>
      <c r="AB4077" s="204"/>
      <c r="AC4077" s="204"/>
    </row>
    <row r="4078" spans="1:29">
      <c r="A4078" s="204"/>
      <c r="B4078" s="204"/>
      <c r="C4078" s="204"/>
      <c r="D4078" s="204"/>
      <c r="E4078" s="204"/>
      <c r="F4078" s="204"/>
      <c r="G4078" s="204"/>
      <c r="H4078" s="204"/>
      <c r="I4078" s="204"/>
      <c r="J4078" s="204"/>
      <c r="K4078" s="204"/>
      <c r="L4078" s="205"/>
      <c r="M4078" s="205"/>
      <c r="N4078" s="204"/>
      <c r="O4078" s="204"/>
      <c r="P4078" s="206"/>
      <c r="Q4078" s="206"/>
      <c r="R4078" s="206"/>
      <c r="S4078" s="206"/>
      <c r="T4078" s="204"/>
      <c r="U4078" s="207"/>
      <c r="V4078" s="204"/>
      <c r="W4078" s="204"/>
      <c r="X4078" s="207"/>
      <c r="Y4078" s="207"/>
      <c r="Z4078" s="204"/>
      <c r="AA4078" s="204"/>
      <c r="AB4078" s="204"/>
      <c r="AC4078" s="204"/>
    </row>
    <row r="4079" spans="1:29">
      <c r="A4079" s="204"/>
      <c r="B4079" s="204"/>
      <c r="C4079" s="204"/>
      <c r="D4079" s="204"/>
      <c r="E4079" s="204"/>
      <c r="F4079" s="204"/>
      <c r="G4079" s="204"/>
      <c r="H4079" s="204"/>
      <c r="I4079" s="204"/>
      <c r="J4079" s="204"/>
      <c r="K4079" s="204"/>
      <c r="L4079" s="205"/>
      <c r="M4079" s="205"/>
      <c r="N4079" s="204"/>
      <c r="O4079" s="204"/>
      <c r="P4079" s="206"/>
      <c r="Q4079" s="206"/>
      <c r="R4079" s="206"/>
      <c r="S4079" s="206"/>
      <c r="T4079" s="204"/>
      <c r="U4079" s="207"/>
      <c r="V4079" s="204"/>
      <c r="W4079" s="204"/>
      <c r="X4079" s="207"/>
      <c r="Y4079" s="207"/>
      <c r="Z4079" s="204"/>
      <c r="AA4079" s="204"/>
      <c r="AB4079" s="204"/>
      <c r="AC4079" s="204"/>
    </row>
    <row r="4080" spans="1:29">
      <c r="A4080" s="204"/>
      <c r="B4080" s="204"/>
      <c r="C4080" s="204"/>
      <c r="D4080" s="204"/>
      <c r="E4080" s="204"/>
      <c r="F4080" s="204"/>
      <c r="G4080" s="204"/>
      <c r="H4080" s="204"/>
      <c r="I4080" s="204"/>
      <c r="J4080" s="204"/>
      <c r="K4080" s="204"/>
      <c r="L4080" s="205"/>
      <c r="M4080" s="205"/>
      <c r="N4080" s="204"/>
      <c r="O4080" s="204"/>
      <c r="P4080" s="206"/>
      <c r="Q4080" s="206"/>
      <c r="R4080" s="206"/>
      <c r="S4080" s="206"/>
      <c r="T4080" s="204"/>
      <c r="U4080" s="207"/>
      <c r="V4080" s="204"/>
      <c r="W4080" s="204"/>
      <c r="X4080" s="207"/>
      <c r="Y4080" s="207"/>
      <c r="Z4080" s="204"/>
      <c r="AA4080" s="204"/>
      <c r="AB4080" s="204"/>
      <c r="AC4080" s="204"/>
    </row>
    <row r="4081" spans="1:29">
      <c r="A4081" s="204"/>
      <c r="B4081" s="204"/>
      <c r="C4081" s="204"/>
      <c r="D4081" s="204"/>
      <c r="E4081" s="204"/>
      <c r="F4081" s="204"/>
      <c r="G4081" s="204"/>
      <c r="H4081" s="204"/>
      <c r="I4081" s="204"/>
      <c r="J4081" s="204"/>
      <c r="K4081" s="204"/>
      <c r="L4081" s="205"/>
      <c r="M4081" s="205"/>
      <c r="N4081" s="204"/>
      <c r="O4081" s="204"/>
      <c r="P4081" s="206"/>
      <c r="Q4081" s="206"/>
      <c r="R4081" s="206"/>
      <c r="S4081" s="206"/>
      <c r="T4081" s="204"/>
      <c r="U4081" s="207"/>
      <c r="V4081" s="204"/>
      <c r="W4081" s="204"/>
      <c r="X4081" s="207"/>
      <c r="Y4081" s="207"/>
      <c r="Z4081" s="204"/>
      <c r="AA4081" s="204"/>
      <c r="AB4081" s="204"/>
      <c r="AC4081" s="204"/>
    </row>
    <row r="4082" spans="1:29">
      <c r="A4082" s="204"/>
      <c r="B4082" s="204"/>
      <c r="C4082" s="204"/>
      <c r="D4082" s="204"/>
      <c r="E4082" s="204"/>
      <c r="F4082" s="204"/>
      <c r="G4082" s="204"/>
      <c r="H4082" s="204"/>
      <c r="I4082" s="204"/>
      <c r="J4082" s="204"/>
      <c r="K4082" s="204"/>
      <c r="L4082" s="205"/>
      <c r="M4082" s="205"/>
      <c r="N4082" s="204"/>
      <c r="O4082" s="204"/>
      <c r="P4082" s="206"/>
      <c r="Q4082" s="206"/>
      <c r="R4082" s="206"/>
      <c r="S4082" s="206"/>
      <c r="T4082" s="204"/>
      <c r="U4082" s="207"/>
      <c r="V4082" s="204"/>
      <c r="W4082" s="204"/>
      <c r="X4082" s="207"/>
      <c r="Y4082" s="207"/>
      <c r="Z4082" s="204"/>
      <c r="AA4082" s="204"/>
      <c r="AB4082" s="204"/>
      <c r="AC4082" s="204"/>
    </row>
    <row r="4083" spans="1:29">
      <c r="A4083" s="204"/>
      <c r="B4083" s="204"/>
      <c r="C4083" s="204"/>
      <c r="D4083" s="204"/>
      <c r="E4083" s="204"/>
      <c r="F4083" s="204"/>
      <c r="G4083" s="204"/>
      <c r="H4083" s="204"/>
      <c r="I4083" s="204"/>
      <c r="J4083" s="204"/>
      <c r="K4083" s="204"/>
      <c r="L4083" s="205"/>
      <c r="M4083" s="205"/>
      <c r="N4083" s="204"/>
      <c r="O4083" s="204"/>
      <c r="P4083" s="206"/>
      <c r="Q4083" s="206"/>
      <c r="R4083" s="206"/>
      <c r="S4083" s="206"/>
      <c r="T4083" s="204"/>
      <c r="U4083" s="207"/>
      <c r="V4083" s="204"/>
      <c r="W4083" s="204"/>
      <c r="X4083" s="207"/>
      <c r="Y4083" s="207"/>
      <c r="Z4083" s="204"/>
      <c r="AA4083" s="204"/>
      <c r="AB4083" s="204"/>
      <c r="AC4083" s="204"/>
    </row>
    <row r="4084" spans="1:29">
      <c r="A4084" s="204"/>
      <c r="B4084" s="204"/>
      <c r="C4084" s="204"/>
      <c r="D4084" s="204"/>
      <c r="E4084" s="204"/>
      <c r="F4084" s="204"/>
      <c r="G4084" s="204"/>
      <c r="H4084" s="204"/>
      <c r="I4084" s="204"/>
      <c r="J4084" s="204"/>
      <c r="K4084" s="204"/>
      <c r="L4084" s="205"/>
      <c r="M4084" s="205"/>
      <c r="N4084" s="204"/>
      <c r="O4084" s="204"/>
      <c r="P4084" s="206"/>
      <c r="Q4084" s="206"/>
      <c r="R4084" s="206"/>
      <c r="S4084" s="206"/>
      <c r="T4084" s="204"/>
      <c r="U4084" s="207"/>
      <c r="V4084" s="204"/>
      <c r="W4084" s="204"/>
      <c r="X4084" s="207"/>
      <c r="Y4084" s="207"/>
      <c r="Z4084" s="204"/>
      <c r="AA4084" s="204"/>
      <c r="AB4084" s="204"/>
      <c r="AC4084" s="204"/>
    </row>
    <row r="4085" spans="1:29">
      <c r="A4085" s="204"/>
      <c r="B4085" s="204"/>
      <c r="C4085" s="204"/>
      <c r="D4085" s="204"/>
      <c r="E4085" s="204"/>
      <c r="F4085" s="204"/>
      <c r="G4085" s="204"/>
      <c r="H4085" s="204"/>
      <c r="I4085" s="204"/>
      <c r="J4085" s="204"/>
      <c r="K4085" s="204"/>
      <c r="L4085" s="205"/>
      <c r="M4085" s="205"/>
      <c r="N4085" s="204"/>
      <c r="O4085" s="204"/>
      <c r="P4085" s="206"/>
      <c r="Q4085" s="206"/>
      <c r="R4085" s="206"/>
      <c r="S4085" s="206"/>
      <c r="T4085" s="204"/>
      <c r="U4085" s="207"/>
      <c r="V4085" s="204"/>
      <c r="W4085" s="204"/>
      <c r="X4085" s="207"/>
      <c r="Y4085" s="207"/>
      <c r="Z4085" s="204"/>
      <c r="AA4085" s="204"/>
      <c r="AB4085" s="204"/>
      <c r="AC4085" s="204"/>
    </row>
    <row r="4086" spans="1:29">
      <c r="A4086" s="204"/>
      <c r="B4086" s="204"/>
      <c r="C4086" s="204"/>
      <c r="D4086" s="204"/>
      <c r="E4086" s="204"/>
      <c r="F4086" s="204"/>
      <c r="G4086" s="204"/>
      <c r="H4086" s="204"/>
      <c r="I4086" s="204"/>
      <c r="J4086" s="204"/>
      <c r="K4086" s="204"/>
      <c r="L4086" s="205"/>
      <c r="M4086" s="205"/>
      <c r="N4086" s="204"/>
      <c r="O4086" s="204"/>
      <c r="P4086" s="206"/>
      <c r="Q4086" s="206"/>
      <c r="R4086" s="206"/>
      <c r="S4086" s="206"/>
      <c r="T4086" s="204"/>
      <c r="U4086" s="207"/>
      <c r="V4086" s="204"/>
      <c r="W4086" s="204"/>
      <c r="X4086" s="207"/>
      <c r="Y4086" s="207"/>
      <c r="Z4086" s="204"/>
      <c r="AA4086" s="204"/>
      <c r="AB4086" s="204"/>
      <c r="AC4086" s="204"/>
    </row>
    <row r="4087" spans="1:29">
      <c r="A4087" s="204"/>
      <c r="B4087" s="204"/>
      <c r="C4087" s="204"/>
      <c r="D4087" s="204"/>
      <c r="E4087" s="204"/>
      <c r="F4087" s="204"/>
      <c r="G4087" s="204"/>
      <c r="H4087" s="204"/>
      <c r="I4087" s="204"/>
      <c r="J4087" s="204"/>
      <c r="K4087" s="204"/>
      <c r="L4087" s="205"/>
      <c r="M4087" s="205"/>
      <c r="N4087" s="204"/>
      <c r="O4087" s="204"/>
      <c r="P4087" s="206"/>
      <c r="Q4087" s="206"/>
      <c r="R4087" s="206"/>
      <c r="S4087" s="206"/>
      <c r="T4087" s="204"/>
      <c r="U4087" s="207"/>
      <c r="V4087" s="204"/>
      <c r="W4087" s="204"/>
      <c r="X4087" s="207"/>
      <c r="Y4087" s="207"/>
      <c r="Z4087" s="204"/>
      <c r="AA4087" s="204"/>
      <c r="AB4087" s="204"/>
      <c r="AC4087" s="204"/>
    </row>
    <row r="4088" spans="1:29">
      <c r="A4088" s="204"/>
      <c r="B4088" s="204"/>
      <c r="C4088" s="204"/>
      <c r="D4088" s="204"/>
      <c r="E4088" s="204"/>
      <c r="F4088" s="204"/>
      <c r="G4088" s="204"/>
      <c r="H4088" s="204"/>
      <c r="I4088" s="204"/>
      <c r="J4088" s="204"/>
      <c r="K4088" s="204"/>
      <c r="L4088" s="205"/>
      <c r="M4088" s="205"/>
      <c r="N4088" s="204"/>
      <c r="O4088" s="204"/>
      <c r="P4088" s="206"/>
      <c r="Q4088" s="206"/>
      <c r="R4088" s="206"/>
      <c r="S4088" s="206"/>
      <c r="T4088" s="204"/>
      <c r="U4088" s="207"/>
      <c r="V4088" s="204"/>
      <c r="W4088" s="204"/>
      <c r="X4088" s="207"/>
      <c r="Y4088" s="207"/>
      <c r="Z4088" s="204"/>
      <c r="AA4088" s="204"/>
      <c r="AB4088" s="204"/>
      <c r="AC4088" s="204"/>
    </row>
    <row r="4089" spans="1:29">
      <c r="A4089" s="204"/>
      <c r="B4089" s="204"/>
      <c r="C4089" s="204"/>
      <c r="D4089" s="204"/>
      <c r="E4089" s="204"/>
      <c r="F4089" s="204"/>
      <c r="G4089" s="204"/>
      <c r="H4089" s="204"/>
      <c r="I4089" s="204"/>
      <c r="J4089" s="204"/>
      <c r="K4089" s="204"/>
      <c r="L4089" s="205"/>
      <c r="M4089" s="205"/>
      <c r="N4089" s="204"/>
      <c r="O4089" s="204"/>
      <c r="P4089" s="206"/>
      <c r="Q4089" s="206"/>
      <c r="R4089" s="206"/>
      <c r="S4089" s="206"/>
      <c r="T4089" s="204"/>
      <c r="U4089" s="207"/>
      <c r="V4089" s="204"/>
      <c r="W4089" s="204"/>
      <c r="X4089" s="207"/>
      <c r="Y4089" s="207"/>
      <c r="Z4089" s="204"/>
      <c r="AA4089" s="204"/>
      <c r="AB4089" s="204"/>
      <c r="AC4089" s="204"/>
    </row>
    <row r="4090" spans="1:29">
      <c r="A4090" s="204"/>
      <c r="B4090" s="204"/>
      <c r="C4090" s="204"/>
      <c r="D4090" s="204"/>
      <c r="E4090" s="204"/>
      <c r="F4090" s="204"/>
      <c r="G4090" s="204"/>
      <c r="H4090" s="204"/>
      <c r="I4090" s="204"/>
      <c r="J4090" s="204"/>
      <c r="K4090" s="204"/>
      <c r="L4090" s="205"/>
      <c r="M4090" s="205"/>
      <c r="N4090" s="204"/>
      <c r="O4090" s="204"/>
      <c r="P4090" s="206"/>
      <c r="Q4090" s="206"/>
      <c r="R4090" s="206"/>
      <c r="S4090" s="206"/>
      <c r="T4090" s="204"/>
      <c r="U4090" s="207"/>
      <c r="V4090" s="204"/>
      <c r="W4090" s="204"/>
      <c r="X4090" s="207"/>
      <c r="Y4090" s="207"/>
      <c r="Z4090" s="204"/>
      <c r="AA4090" s="204"/>
      <c r="AB4090" s="204"/>
      <c r="AC4090" s="204"/>
    </row>
    <row r="4091" spans="1:29">
      <c r="A4091" s="204"/>
      <c r="B4091" s="204"/>
      <c r="C4091" s="204"/>
      <c r="D4091" s="204"/>
      <c r="E4091" s="204"/>
      <c r="F4091" s="204"/>
      <c r="G4091" s="204"/>
      <c r="H4091" s="204"/>
      <c r="I4091" s="204"/>
      <c r="J4091" s="204"/>
      <c r="K4091" s="204"/>
      <c r="L4091" s="205"/>
      <c r="M4091" s="205"/>
      <c r="N4091" s="204"/>
      <c r="O4091" s="204"/>
      <c r="P4091" s="206"/>
      <c r="Q4091" s="206"/>
      <c r="R4091" s="206"/>
      <c r="S4091" s="206"/>
      <c r="T4091" s="204"/>
      <c r="U4091" s="207"/>
      <c r="V4091" s="204"/>
      <c r="W4091" s="204"/>
      <c r="X4091" s="207"/>
      <c r="Y4091" s="207"/>
      <c r="Z4091" s="204"/>
      <c r="AA4091" s="204"/>
      <c r="AB4091" s="204"/>
      <c r="AC4091" s="204"/>
    </row>
    <row r="4092" spans="1:29">
      <c r="A4092" s="204"/>
      <c r="B4092" s="204"/>
      <c r="C4092" s="204"/>
      <c r="D4092" s="204"/>
      <c r="E4092" s="204"/>
      <c r="F4092" s="204"/>
      <c r="G4092" s="204"/>
      <c r="H4092" s="204"/>
      <c r="I4092" s="204"/>
      <c r="J4092" s="204"/>
      <c r="K4092" s="204"/>
      <c r="L4092" s="205"/>
      <c r="M4092" s="205"/>
      <c r="N4092" s="204"/>
      <c r="O4092" s="204"/>
      <c r="P4092" s="206"/>
      <c r="Q4092" s="206"/>
      <c r="R4092" s="206"/>
      <c r="S4092" s="206"/>
      <c r="T4092" s="204"/>
      <c r="U4092" s="207"/>
      <c r="V4092" s="204"/>
      <c r="W4092" s="204"/>
      <c r="X4092" s="207"/>
      <c r="Y4092" s="207"/>
      <c r="Z4092" s="204"/>
      <c r="AA4092" s="204"/>
      <c r="AB4092" s="204"/>
      <c r="AC4092" s="204"/>
    </row>
    <row r="4093" spans="1:29">
      <c r="A4093" s="204"/>
      <c r="B4093" s="204"/>
      <c r="C4093" s="204"/>
      <c r="D4093" s="204"/>
      <c r="E4093" s="204"/>
      <c r="F4093" s="204"/>
      <c r="G4093" s="204"/>
      <c r="H4093" s="204"/>
      <c r="I4093" s="204"/>
      <c r="J4093" s="204"/>
      <c r="K4093" s="204"/>
      <c r="L4093" s="205"/>
      <c r="M4093" s="205"/>
      <c r="N4093" s="204"/>
      <c r="O4093" s="204"/>
      <c r="P4093" s="206"/>
      <c r="Q4093" s="206"/>
      <c r="R4093" s="206"/>
      <c r="S4093" s="206"/>
      <c r="T4093" s="204"/>
      <c r="U4093" s="207"/>
      <c r="V4093" s="204"/>
      <c r="W4093" s="204"/>
      <c r="X4093" s="207"/>
      <c r="Y4093" s="207"/>
      <c r="Z4093" s="204"/>
      <c r="AA4093" s="204"/>
      <c r="AB4093" s="204"/>
      <c r="AC4093" s="204"/>
    </row>
    <row r="4094" spans="1:29">
      <c r="A4094" s="204"/>
      <c r="B4094" s="204"/>
      <c r="C4094" s="204"/>
      <c r="D4094" s="204"/>
      <c r="E4094" s="204"/>
      <c r="F4094" s="204"/>
      <c r="G4094" s="204"/>
      <c r="H4094" s="204"/>
      <c r="I4094" s="204"/>
      <c r="J4094" s="204"/>
      <c r="K4094" s="204"/>
      <c r="L4094" s="205"/>
      <c r="M4094" s="205"/>
      <c r="N4094" s="204"/>
      <c r="O4094" s="204"/>
      <c r="P4094" s="206"/>
      <c r="Q4094" s="206"/>
      <c r="R4094" s="206"/>
      <c r="S4094" s="206"/>
      <c r="T4094" s="204"/>
      <c r="U4094" s="207"/>
      <c r="V4094" s="204"/>
      <c r="W4094" s="204"/>
      <c r="X4094" s="207"/>
      <c r="Y4094" s="207"/>
      <c r="Z4094" s="204"/>
      <c r="AA4094" s="204"/>
      <c r="AB4094" s="204"/>
      <c r="AC4094" s="204"/>
    </row>
    <row r="4095" spans="1:29">
      <c r="A4095" s="204"/>
      <c r="B4095" s="204"/>
      <c r="C4095" s="204"/>
      <c r="D4095" s="204"/>
      <c r="E4095" s="204"/>
      <c r="F4095" s="204"/>
      <c r="G4095" s="204"/>
      <c r="H4095" s="204"/>
      <c r="I4095" s="204"/>
      <c r="J4095" s="204"/>
      <c r="K4095" s="204"/>
      <c r="L4095" s="205"/>
      <c r="M4095" s="205"/>
      <c r="N4095" s="204"/>
      <c r="O4095" s="204"/>
      <c r="P4095" s="206"/>
      <c r="Q4095" s="206"/>
      <c r="R4095" s="206"/>
      <c r="S4095" s="206"/>
      <c r="T4095" s="204"/>
      <c r="U4095" s="207"/>
      <c r="V4095" s="204"/>
      <c r="W4095" s="204"/>
      <c r="X4095" s="207"/>
      <c r="Y4095" s="207"/>
      <c r="Z4095" s="204"/>
      <c r="AA4095" s="204"/>
      <c r="AB4095" s="204"/>
      <c r="AC4095" s="204"/>
    </row>
    <row r="4096" spans="1:29">
      <c r="A4096" s="204"/>
      <c r="B4096" s="204"/>
      <c r="C4096" s="204"/>
      <c r="D4096" s="204"/>
      <c r="E4096" s="204"/>
      <c r="F4096" s="204"/>
      <c r="G4096" s="204"/>
      <c r="H4096" s="204"/>
      <c r="I4096" s="204"/>
      <c r="J4096" s="204"/>
      <c r="K4096" s="204"/>
      <c r="L4096" s="205"/>
      <c r="M4096" s="205"/>
      <c r="N4096" s="204"/>
      <c r="O4096" s="204"/>
      <c r="P4096" s="206"/>
      <c r="Q4096" s="206"/>
      <c r="R4096" s="206"/>
      <c r="S4096" s="206"/>
      <c r="T4096" s="204"/>
      <c r="U4096" s="207"/>
      <c r="V4096" s="204"/>
      <c r="W4096" s="204"/>
      <c r="X4096" s="207"/>
      <c r="Y4096" s="207"/>
      <c r="Z4096" s="204"/>
      <c r="AA4096" s="204"/>
      <c r="AB4096" s="204"/>
      <c r="AC4096" s="204"/>
    </row>
    <row r="4097" spans="1:29">
      <c r="A4097" s="204"/>
      <c r="B4097" s="204"/>
      <c r="C4097" s="204"/>
      <c r="D4097" s="204"/>
      <c r="E4097" s="204"/>
      <c r="F4097" s="204"/>
      <c r="G4097" s="204"/>
      <c r="H4097" s="204"/>
      <c r="I4097" s="204"/>
      <c r="J4097" s="204"/>
      <c r="K4097" s="204"/>
      <c r="L4097" s="205"/>
      <c r="M4097" s="205"/>
      <c r="N4097" s="204"/>
      <c r="O4097" s="204"/>
      <c r="P4097" s="206"/>
      <c r="Q4097" s="206"/>
      <c r="R4097" s="206"/>
      <c r="S4097" s="206"/>
      <c r="T4097" s="204"/>
      <c r="U4097" s="207"/>
      <c r="V4097" s="204"/>
      <c r="W4097" s="204"/>
      <c r="X4097" s="207"/>
      <c r="Y4097" s="207"/>
      <c r="Z4097" s="204"/>
      <c r="AA4097" s="204"/>
      <c r="AB4097" s="204"/>
      <c r="AC4097" s="204"/>
    </row>
    <row r="4098" spans="1:29">
      <c r="A4098" s="204"/>
      <c r="B4098" s="204"/>
      <c r="C4098" s="204"/>
      <c r="D4098" s="204"/>
      <c r="E4098" s="204"/>
      <c r="F4098" s="204"/>
      <c r="G4098" s="204"/>
      <c r="H4098" s="204"/>
      <c r="I4098" s="204"/>
      <c r="J4098" s="204"/>
      <c r="K4098" s="204"/>
      <c r="L4098" s="205"/>
      <c r="M4098" s="205"/>
      <c r="N4098" s="204"/>
      <c r="O4098" s="204"/>
      <c r="P4098" s="206"/>
      <c r="Q4098" s="206"/>
      <c r="R4098" s="206"/>
      <c r="S4098" s="206"/>
      <c r="T4098" s="204"/>
      <c r="U4098" s="207"/>
      <c r="V4098" s="204"/>
      <c r="W4098" s="204"/>
      <c r="X4098" s="207"/>
      <c r="Y4098" s="207"/>
      <c r="Z4098" s="204"/>
      <c r="AA4098" s="204"/>
      <c r="AB4098" s="204"/>
      <c r="AC4098" s="204"/>
    </row>
    <row r="4099" spans="1:29">
      <c r="A4099" s="204"/>
      <c r="B4099" s="204"/>
      <c r="C4099" s="204"/>
      <c r="D4099" s="204"/>
      <c r="E4099" s="204"/>
      <c r="F4099" s="204"/>
      <c r="G4099" s="204"/>
      <c r="H4099" s="204"/>
      <c r="I4099" s="204"/>
      <c r="J4099" s="204"/>
      <c r="K4099" s="204"/>
      <c r="L4099" s="205"/>
      <c r="M4099" s="205"/>
      <c r="N4099" s="204"/>
      <c r="O4099" s="204"/>
      <c r="P4099" s="206"/>
      <c r="Q4099" s="206"/>
      <c r="R4099" s="206"/>
      <c r="S4099" s="206"/>
      <c r="T4099" s="204"/>
      <c r="U4099" s="207"/>
      <c r="V4099" s="204"/>
      <c r="W4099" s="204"/>
      <c r="X4099" s="207"/>
      <c r="Y4099" s="207"/>
      <c r="Z4099" s="204"/>
      <c r="AA4099" s="204"/>
      <c r="AB4099" s="204"/>
      <c r="AC4099" s="204"/>
    </row>
    <row r="4100" spans="1:29">
      <c r="A4100" s="204"/>
      <c r="B4100" s="204"/>
      <c r="C4100" s="204"/>
      <c r="D4100" s="204"/>
      <c r="E4100" s="204"/>
      <c r="F4100" s="204"/>
      <c r="G4100" s="204"/>
      <c r="H4100" s="204"/>
      <c r="I4100" s="204"/>
      <c r="J4100" s="204"/>
      <c r="K4100" s="204"/>
      <c r="L4100" s="205"/>
      <c r="M4100" s="205"/>
      <c r="N4100" s="204"/>
      <c r="O4100" s="204"/>
      <c r="P4100" s="206"/>
      <c r="Q4100" s="206"/>
      <c r="R4100" s="206"/>
      <c r="S4100" s="206"/>
      <c r="T4100" s="204"/>
      <c r="U4100" s="207"/>
      <c r="V4100" s="204"/>
      <c r="W4100" s="204"/>
      <c r="X4100" s="207"/>
      <c r="Y4100" s="207"/>
      <c r="Z4100" s="204"/>
      <c r="AA4100" s="204"/>
      <c r="AB4100" s="204"/>
      <c r="AC4100" s="204"/>
    </row>
    <row r="4101" spans="1:29">
      <c r="A4101" s="204"/>
      <c r="B4101" s="204"/>
      <c r="C4101" s="204"/>
      <c r="D4101" s="204"/>
      <c r="E4101" s="204"/>
      <c r="F4101" s="204"/>
      <c r="G4101" s="204"/>
      <c r="H4101" s="204"/>
      <c r="I4101" s="204"/>
      <c r="J4101" s="204"/>
      <c r="K4101" s="204"/>
      <c r="L4101" s="205"/>
      <c r="M4101" s="205"/>
      <c r="N4101" s="204"/>
      <c r="O4101" s="204"/>
      <c r="P4101" s="206"/>
      <c r="Q4101" s="206"/>
      <c r="R4101" s="206"/>
      <c r="S4101" s="206"/>
      <c r="T4101" s="204"/>
      <c r="U4101" s="207"/>
      <c r="V4101" s="204"/>
      <c r="W4101" s="204"/>
      <c r="X4101" s="207"/>
      <c r="Y4101" s="207"/>
      <c r="Z4101" s="204"/>
      <c r="AA4101" s="204"/>
      <c r="AB4101" s="204"/>
      <c r="AC4101" s="204"/>
    </row>
    <row r="4102" spans="1:29">
      <c r="A4102" s="204"/>
      <c r="B4102" s="204"/>
      <c r="C4102" s="204"/>
      <c r="D4102" s="204"/>
      <c r="E4102" s="204"/>
      <c r="F4102" s="204"/>
      <c r="G4102" s="204"/>
      <c r="H4102" s="204"/>
      <c r="I4102" s="204"/>
      <c r="J4102" s="204"/>
      <c r="K4102" s="204"/>
      <c r="L4102" s="205"/>
      <c r="M4102" s="205"/>
      <c r="N4102" s="204"/>
      <c r="O4102" s="204"/>
      <c r="P4102" s="206"/>
      <c r="Q4102" s="206"/>
      <c r="R4102" s="206"/>
      <c r="S4102" s="206"/>
      <c r="T4102" s="204"/>
      <c r="U4102" s="207"/>
      <c r="V4102" s="204"/>
      <c r="W4102" s="204"/>
      <c r="X4102" s="207"/>
      <c r="Y4102" s="207"/>
      <c r="Z4102" s="204"/>
      <c r="AA4102" s="204"/>
      <c r="AB4102" s="204"/>
      <c r="AC4102" s="204"/>
    </row>
    <row r="4103" spans="1:29">
      <c r="A4103" s="204"/>
      <c r="B4103" s="204"/>
      <c r="C4103" s="204"/>
      <c r="D4103" s="204"/>
      <c r="E4103" s="204"/>
      <c r="F4103" s="204"/>
      <c r="G4103" s="204"/>
      <c r="H4103" s="204"/>
      <c r="I4103" s="204"/>
      <c r="J4103" s="204"/>
      <c r="K4103" s="204"/>
      <c r="L4103" s="205"/>
      <c r="M4103" s="205"/>
      <c r="N4103" s="204"/>
      <c r="O4103" s="204"/>
      <c r="P4103" s="206"/>
      <c r="Q4103" s="206"/>
      <c r="R4103" s="206"/>
      <c r="S4103" s="206"/>
      <c r="T4103" s="204"/>
      <c r="U4103" s="207"/>
      <c r="V4103" s="204"/>
      <c r="W4103" s="204"/>
      <c r="X4103" s="207"/>
      <c r="Y4103" s="207"/>
      <c r="Z4103" s="204"/>
      <c r="AA4103" s="204"/>
      <c r="AB4103" s="204"/>
      <c r="AC4103" s="204"/>
    </row>
    <row r="4104" spans="1:29">
      <c r="A4104" s="204"/>
      <c r="B4104" s="204"/>
      <c r="C4104" s="204"/>
      <c r="D4104" s="204"/>
      <c r="E4104" s="204"/>
      <c r="F4104" s="204"/>
      <c r="G4104" s="204"/>
      <c r="H4104" s="204"/>
      <c r="I4104" s="204"/>
      <c r="J4104" s="204"/>
      <c r="K4104" s="204"/>
      <c r="L4104" s="205"/>
      <c r="M4104" s="205"/>
      <c r="N4104" s="204"/>
      <c r="O4104" s="204"/>
      <c r="P4104" s="206"/>
      <c r="Q4104" s="206"/>
      <c r="R4104" s="206"/>
      <c r="S4104" s="206"/>
      <c r="T4104" s="204"/>
      <c r="U4104" s="207"/>
      <c r="V4104" s="204"/>
      <c r="W4104" s="204"/>
      <c r="X4104" s="207"/>
      <c r="Y4104" s="207"/>
      <c r="Z4104" s="204"/>
      <c r="AA4104" s="204"/>
      <c r="AB4104" s="204"/>
      <c r="AC4104" s="204"/>
    </row>
    <row r="4105" spans="1:29">
      <c r="A4105" s="204"/>
      <c r="B4105" s="204"/>
      <c r="C4105" s="204"/>
      <c r="D4105" s="204"/>
      <c r="E4105" s="204"/>
      <c r="F4105" s="204"/>
      <c r="G4105" s="204"/>
      <c r="H4105" s="204"/>
      <c r="I4105" s="204"/>
      <c r="J4105" s="204"/>
      <c r="K4105" s="204"/>
      <c r="L4105" s="205"/>
      <c r="M4105" s="205"/>
      <c r="N4105" s="204"/>
      <c r="O4105" s="204"/>
      <c r="P4105" s="206"/>
      <c r="Q4105" s="206"/>
      <c r="R4105" s="206"/>
      <c r="S4105" s="206"/>
      <c r="T4105" s="204"/>
      <c r="U4105" s="207"/>
      <c r="V4105" s="204"/>
      <c r="W4105" s="204"/>
      <c r="X4105" s="207"/>
      <c r="Y4105" s="207"/>
      <c r="Z4105" s="204"/>
      <c r="AA4105" s="204"/>
      <c r="AB4105" s="204"/>
      <c r="AC4105" s="204"/>
    </row>
    <row r="4106" spans="1:29">
      <c r="A4106" s="204"/>
      <c r="B4106" s="204"/>
      <c r="C4106" s="204"/>
      <c r="D4106" s="204"/>
      <c r="E4106" s="204"/>
      <c r="F4106" s="204"/>
      <c r="G4106" s="204"/>
      <c r="H4106" s="204"/>
      <c r="I4106" s="204"/>
      <c r="J4106" s="204"/>
      <c r="K4106" s="204"/>
      <c r="L4106" s="205"/>
      <c r="M4106" s="205"/>
      <c r="N4106" s="204"/>
      <c r="O4106" s="204"/>
      <c r="P4106" s="206"/>
      <c r="Q4106" s="206"/>
      <c r="R4106" s="206"/>
      <c r="S4106" s="206"/>
      <c r="T4106" s="204"/>
      <c r="U4106" s="207"/>
      <c r="V4106" s="204"/>
      <c r="W4106" s="204"/>
      <c r="X4106" s="207"/>
      <c r="Y4106" s="207"/>
      <c r="Z4106" s="204"/>
      <c r="AA4106" s="204"/>
      <c r="AB4106" s="204"/>
      <c r="AC4106" s="204"/>
    </row>
    <row r="4107" spans="1:29">
      <c r="A4107" s="204"/>
      <c r="B4107" s="204"/>
      <c r="C4107" s="204"/>
      <c r="D4107" s="204"/>
      <c r="E4107" s="204"/>
      <c r="F4107" s="204"/>
      <c r="G4107" s="204"/>
      <c r="H4107" s="204"/>
      <c r="I4107" s="204"/>
      <c r="J4107" s="204"/>
      <c r="K4107" s="204"/>
      <c r="L4107" s="205"/>
      <c r="M4107" s="205"/>
      <c r="N4107" s="204"/>
      <c r="O4107" s="204"/>
      <c r="P4107" s="206"/>
      <c r="Q4107" s="206"/>
      <c r="R4107" s="206"/>
      <c r="S4107" s="206"/>
      <c r="T4107" s="204"/>
      <c r="U4107" s="207"/>
      <c r="V4107" s="204"/>
      <c r="W4107" s="204"/>
      <c r="X4107" s="207"/>
      <c r="Y4107" s="207"/>
      <c r="Z4107" s="204"/>
      <c r="AA4107" s="204"/>
      <c r="AB4107" s="204"/>
      <c r="AC4107" s="204"/>
    </row>
    <row r="4108" spans="1:29">
      <c r="A4108" s="204"/>
      <c r="B4108" s="204"/>
      <c r="C4108" s="204"/>
      <c r="D4108" s="204"/>
      <c r="E4108" s="204"/>
      <c r="F4108" s="204"/>
      <c r="G4108" s="204"/>
      <c r="H4108" s="204"/>
      <c r="I4108" s="204"/>
      <c r="J4108" s="204"/>
      <c r="K4108" s="204"/>
      <c r="L4108" s="205"/>
      <c r="M4108" s="205"/>
      <c r="N4108" s="204"/>
      <c r="O4108" s="204"/>
      <c r="P4108" s="206"/>
      <c r="Q4108" s="206"/>
      <c r="R4108" s="206"/>
      <c r="S4108" s="206"/>
      <c r="T4108" s="204"/>
      <c r="U4108" s="207"/>
      <c r="V4108" s="204"/>
      <c r="W4108" s="204"/>
      <c r="X4108" s="207"/>
      <c r="Y4108" s="207"/>
      <c r="Z4108" s="204"/>
      <c r="AA4108" s="204"/>
      <c r="AB4108" s="204"/>
      <c r="AC4108" s="204"/>
    </row>
    <row r="4109" spans="1:29">
      <c r="A4109" s="204"/>
      <c r="B4109" s="204"/>
      <c r="C4109" s="204"/>
      <c r="D4109" s="204"/>
      <c r="E4109" s="204"/>
      <c r="F4109" s="204"/>
      <c r="G4109" s="204"/>
      <c r="H4109" s="204"/>
      <c r="I4109" s="204"/>
      <c r="J4109" s="204"/>
      <c r="K4109" s="204"/>
      <c r="L4109" s="205"/>
      <c r="M4109" s="205"/>
      <c r="N4109" s="204"/>
      <c r="O4109" s="204"/>
      <c r="P4109" s="206"/>
      <c r="Q4109" s="206"/>
      <c r="R4109" s="206"/>
      <c r="S4109" s="206"/>
      <c r="T4109" s="204"/>
      <c r="U4109" s="207"/>
      <c r="V4109" s="204"/>
      <c r="W4109" s="204"/>
      <c r="X4109" s="207"/>
      <c r="Y4109" s="207"/>
      <c r="Z4109" s="204"/>
      <c r="AA4109" s="204"/>
      <c r="AB4109" s="204"/>
      <c r="AC4109" s="204"/>
    </row>
    <row r="4110" spans="1:29">
      <c r="A4110" s="204"/>
      <c r="B4110" s="204"/>
      <c r="C4110" s="204"/>
      <c r="D4110" s="204"/>
      <c r="E4110" s="204"/>
      <c r="F4110" s="204"/>
      <c r="G4110" s="204"/>
      <c r="H4110" s="204"/>
      <c r="I4110" s="204"/>
      <c r="J4110" s="204"/>
      <c r="K4110" s="204"/>
      <c r="L4110" s="205"/>
      <c r="M4110" s="205"/>
      <c r="N4110" s="204"/>
      <c r="O4110" s="204"/>
      <c r="P4110" s="206"/>
      <c r="Q4110" s="206"/>
      <c r="R4110" s="206"/>
      <c r="S4110" s="206"/>
      <c r="T4110" s="204"/>
      <c r="U4110" s="207"/>
      <c r="V4110" s="204"/>
      <c r="W4110" s="204"/>
      <c r="X4110" s="207"/>
      <c r="Y4110" s="207"/>
      <c r="Z4110" s="204"/>
      <c r="AA4110" s="204"/>
      <c r="AB4110" s="204"/>
      <c r="AC4110" s="204"/>
    </row>
    <row r="4111" spans="1:29">
      <c r="A4111" s="204"/>
      <c r="B4111" s="204"/>
      <c r="C4111" s="204"/>
      <c r="D4111" s="204"/>
      <c r="E4111" s="204"/>
      <c r="F4111" s="204"/>
      <c r="G4111" s="204"/>
      <c r="H4111" s="204"/>
      <c r="I4111" s="204"/>
      <c r="J4111" s="204"/>
      <c r="K4111" s="204"/>
      <c r="L4111" s="205"/>
      <c r="M4111" s="205"/>
      <c r="N4111" s="204"/>
      <c r="O4111" s="204"/>
      <c r="P4111" s="206"/>
      <c r="Q4111" s="206"/>
      <c r="R4111" s="206"/>
      <c r="S4111" s="206"/>
      <c r="T4111" s="204"/>
      <c r="U4111" s="207"/>
      <c r="V4111" s="204"/>
      <c r="W4111" s="204"/>
      <c r="X4111" s="207"/>
      <c r="Y4111" s="207"/>
      <c r="Z4111" s="204"/>
      <c r="AA4111" s="204"/>
      <c r="AB4111" s="204"/>
      <c r="AC4111" s="204"/>
    </row>
    <row r="4112" spans="1:29">
      <c r="A4112" s="204"/>
      <c r="B4112" s="204"/>
      <c r="C4112" s="204"/>
      <c r="D4112" s="204"/>
      <c r="E4112" s="204"/>
      <c r="F4112" s="204"/>
      <c r="G4112" s="204"/>
      <c r="H4112" s="204"/>
      <c r="I4112" s="204"/>
      <c r="J4112" s="204"/>
      <c r="K4112" s="204"/>
      <c r="L4112" s="205"/>
      <c r="M4112" s="205"/>
      <c r="N4112" s="204"/>
      <c r="O4112" s="204"/>
      <c r="P4112" s="206"/>
      <c r="Q4112" s="206"/>
      <c r="R4112" s="206"/>
      <c r="S4112" s="206"/>
      <c r="T4112" s="204"/>
      <c r="U4112" s="207"/>
      <c r="V4112" s="204"/>
      <c r="W4112" s="204"/>
      <c r="X4112" s="207"/>
      <c r="Y4112" s="207"/>
      <c r="Z4112" s="204"/>
      <c r="AA4112" s="204"/>
      <c r="AB4112" s="204"/>
      <c r="AC4112" s="204"/>
    </row>
    <row r="4113" spans="1:29">
      <c r="A4113" s="204"/>
      <c r="B4113" s="204"/>
      <c r="C4113" s="204"/>
      <c r="D4113" s="204"/>
      <c r="E4113" s="204"/>
      <c r="F4113" s="204"/>
      <c r="G4113" s="204"/>
      <c r="H4113" s="204"/>
      <c r="I4113" s="204"/>
      <c r="J4113" s="204"/>
      <c r="K4113" s="204"/>
      <c r="L4113" s="205"/>
      <c r="M4113" s="205"/>
      <c r="N4113" s="204"/>
      <c r="O4113" s="204"/>
      <c r="P4113" s="206"/>
      <c r="Q4113" s="206"/>
      <c r="R4113" s="206"/>
      <c r="S4113" s="206"/>
      <c r="T4113" s="204"/>
      <c r="U4113" s="207"/>
      <c r="V4113" s="204"/>
      <c r="W4113" s="204"/>
      <c r="X4113" s="207"/>
      <c r="Y4113" s="207"/>
      <c r="Z4113" s="204"/>
      <c r="AA4113" s="204"/>
      <c r="AB4113" s="204"/>
      <c r="AC4113" s="204"/>
    </row>
    <row r="4114" spans="1:29">
      <c r="A4114" s="204"/>
      <c r="B4114" s="204"/>
      <c r="C4114" s="204"/>
      <c r="D4114" s="204"/>
      <c r="E4114" s="204"/>
      <c r="F4114" s="204"/>
      <c r="G4114" s="204"/>
      <c r="H4114" s="204"/>
      <c r="I4114" s="204"/>
      <c r="J4114" s="204"/>
      <c r="K4114" s="204"/>
      <c r="L4114" s="205"/>
      <c r="M4114" s="205"/>
      <c r="N4114" s="204"/>
      <c r="O4114" s="204"/>
      <c r="P4114" s="206"/>
      <c r="Q4114" s="206"/>
      <c r="R4114" s="206"/>
      <c r="S4114" s="206"/>
      <c r="T4114" s="204"/>
      <c r="U4114" s="207"/>
      <c r="V4114" s="204"/>
      <c r="W4114" s="204"/>
      <c r="X4114" s="207"/>
      <c r="Y4114" s="207"/>
      <c r="Z4114" s="204"/>
      <c r="AA4114" s="204"/>
      <c r="AB4114" s="204"/>
      <c r="AC4114" s="204"/>
    </row>
    <row r="4115" spans="1:29">
      <c r="A4115" s="204"/>
      <c r="B4115" s="204"/>
      <c r="C4115" s="204"/>
      <c r="D4115" s="204"/>
      <c r="E4115" s="204"/>
      <c r="F4115" s="204"/>
      <c r="G4115" s="204"/>
      <c r="H4115" s="204"/>
      <c r="I4115" s="204"/>
      <c r="J4115" s="204"/>
      <c r="K4115" s="204"/>
      <c r="L4115" s="205"/>
      <c r="M4115" s="205"/>
      <c r="N4115" s="204"/>
      <c r="O4115" s="204"/>
      <c r="P4115" s="206"/>
      <c r="Q4115" s="206"/>
      <c r="R4115" s="206"/>
      <c r="S4115" s="206"/>
      <c r="T4115" s="204"/>
      <c r="U4115" s="207"/>
      <c r="V4115" s="204"/>
      <c r="W4115" s="204"/>
      <c r="X4115" s="207"/>
      <c r="Y4115" s="207"/>
      <c r="Z4115" s="204"/>
      <c r="AA4115" s="204"/>
      <c r="AB4115" s="204"/>
      <c r="AC4115" s="204"/>
    </row>
    <row r="4116" spans="1:29">
      <c r="A4116" s="204"/>
      <c r="B4116" s="204"/>
      <c r="C4116" s="204"/>
      <c r="D4116" s="204"/>
      <c r="E4116" s="204"/>
      <c r="F4116" s="204"/>
      <c r="G4116" s="204"/>
      <c r="H4116" s="204"/>
      <c r="I4116" s="204"/>
      <c r="J4116" s="204"/>
      <c r="K4116" s="204"/>
      <c r="L4116" s="205"/>
      <c r="M4116" s="205"/>
      <c r="N4116" s="204"/>
      <c r="O4116" s="204"/>
      <c r="P4116" s="206"/>
      <c r="Q4116" s="206"/>
      <c r="R4116" s="206"/>
      <c r="S4116" s="206"/>
      <c r="T4116" s="204"/>
      <c r="U4116" s="207"/>
      <c r="V4116" s="204"/>
      <c r="W4116" s="204"/>
      <c r="X4116" s="207"/>
      <c r="Y4116" s="207"/>
      <c r="Z4116" s="204"/>
      <c r="AA4116" s="204"/>
      <c r="AB4116" s="204"/>
      <c r="AC4116" s="204"/>
    </row>
    <row r="4117" spans="1:29">
      <c r="A4117" s="204"/>
      <c r="B4117" s="204"/>
      <c r="C4117" s="204"/>
      <c r="D4117" s="204"/>
      <c r="E4117" s="204"/>
      <c r="F4117" s="204"/>
      <c r="G4117" s="204"/>
      <c r="H4117" s="204"/>
      <c r="I4117" s="204"/>
      <c r="J4117" s="204"/>
      <c r="K4117" s="204"/>
      <c r="L4117" s="205"/>
      <c r="M4117" s="205"/>
      <c r="N4117" s="204"/>
      <c r="O4117" s="204"/>
      <c r="P4117" s="206"/>
      <c r="Q4117" s="206"/>
      <c r="R4117" s="206"/>
      <c r="S4117" s="206"/>
      <c r="T4117" s="204"/>
      <c r="U4117" s="207"/>
      <c r="V4117" s="204"/>
      <c r="W4117" s="204"/>
      <c r="X4117" s="207"/>
      <c r="Y4117" s="207"/>
      <c r="Z4117" s="204"/>
      <c r="AA4117" s="204"/>
      <c r="AB4117" s="204"/>
      <c r="AC4117" s="204"/>
    </row>
    <row r="4118" spans="1:29">
      <c r="A4118" s="204"/>
      <c r="B4118" s="204"/>
      <c r="C4118" s="204"/>
      <c r="D4118" s="204"/>
      <c r="E4118" s="204"/>
      <c r="F4118" s="204"/>
      <c r="G4118" s="204"/>
      <c r="H4118" s="204"/>
      <c r="I4118" s="204"/>
      <c r="J4118" s="204"/>
      <c r="K4118" s="204"/>
      <c r="L4118" s="205"/>
      <c r="M4118" s="205"/>
      <c r="N4118" s="204"/>
      <c r="O4118" s="204"/>
      <c r="P4118" s="206"/>
      <c r="Q4118" s="206"/>
      <c r="R4118" s="206"/>
      <c r="S4118" s="206"/>
      <c r="T4118" s="204"/>
      <c r="U4118" s="207"/>
      <c r="V4118" s="204"/>
      <c r="W4118" s="204"/>
      <c r="X4118" s="207"/>
      <c r="Y4118" s="207"/>
      <c r="Z4118" s="204"/>
      <c r="AA4118" s="204"/>
      <c r="AB4118" s="204"/>
      <c r="AC4118" s="204"/>
    </row>
    <row r="4119" spans="1:29">
      <c r="A4119" s="204"/>
      <c r="B4119" s="204"/>
      <c r="C4119" s="204"/>
      <c r="D4119" s="204"/>
      <c r="E4119" s="204"/>
      <c r="F4119" s="204"/>
      <c r="G4119" s="204"/>
      <c r="H4119" s="204"/>
      <c r="I4119" s="204"/>
      <c r="J4119" s="204"/>
      <c r="K4119" s="204"/>
      <c r="L4119" s="205"/>
      <c r="M4119" s="205"/>
      <c r="N4119" s="204"/>
      <c r="O4119" s="204"/>
      <c r="P4119" s="206"/>
      <c r="Q4119" s="206"/>
      <c r="R4119" s="206"/>
      <c r="S4119" s="206"/>
      <c r="T4119" s="204"/>
      <c r="U4119" s="207"/>
      <c r="V4119" s="204"/>
      <c r="W4119" s="204"/>
      <c r="X4119" s="207"/>
      <c r="Y4119" s="207"/>
      <c r="Z4119" s="204"/>
      <c r="AA4119" s="204"/>
      <c r="AB4119" s="204"/>
      <c r="AC4119" s="204"/>
    </row>
    <row r="4120" spans="1:29">
      <c r="A4120" s="204"/>
      <c r="B4120" s="204"/>
      <c r="C4120" s="204"/>
      <c r="D4120" s="204"/>
      <c r="E4120" s="204"/>
      <c r="F4120" s="204"/>
      <c r="G4120" s="204"/>
      <c r="H4120" s="204"/>
      <c r="I4120" s="204"/>
      <c r="J4120" s="204"/>
      <c r="K4120" s="204"/>
      <c r="L4120" s="205"/>
      <c r="M4120" s="205"/>
      <c r="N4120" s="204"/>
      <c r="O4120" s="204"/>
      <c r="P4120" s="206"/>
      <c r="Q4120" s="206"/>
      <c r="R4120" s="206"/>
      <c r="S4120" s="206"/>
      <c r="T4120" s="204"/>
      <c r="U4120" s="207"/>
      <c r="V4120" s="204"/>
      <c r="W4120" s="204"/>
      <c r="X4120" s="207"/>
      <c r="Y4120" s="207"/>
      <c r="Z4120" s="204"/>
      <c r="AA4120" s="204"/>
      <c r="AB4120" s="204"/>
      <c r="AC4120" s="204"/>
    </row>
    <row r="4121" spans="1:29">
      <c r="A4121" s="204"/>
      <c r="B4121" s="204"/>
      <c r="C4121" s="204"/>
      <c r="D4121" s="204"/>
      <c r="E4121" s="204"/>
      <c r="F4121" s="204"/>
      <c r="G4121" s="204"/>
      <c r="H4121" s="204"/>
      <c r="I4121" s="204"/>
      <c r="J4121" s="204"/>
      <c r="K4121" s="204"/>
      <c r="L4121" s="205"/>
      <c r="M4121" s="205"/>
      <c r="N4121" s="204"/>
      <c r="O4121" s="204"/>
      <c r="P4121" s="206"/>
      <c r="Q4121" s="206"/>
      <c r="R4121" s="206"/>
      <c r="S4121" s="206"/>
      <c r="T4121" s="204"/>
      <c r="U4121" s="207"/>
      <c r="V4121" s="204"/>
      <c r="W4121" s="204"/>
      <c r="X4121" s="207"/>
      <c r="Y4121" s="207"/>
      <c r="Z4121" s="204"/>
      <c r="AA4121" s="204"/>
      <c r="AB4121" s="204"/>
      <c r="AC4121" s="204"/>
    </row>
    <row r="4122" spans="1:29">
      <c r="A4122" s="204"/>
      <c r="B4122" s="204"/>
      <c r="C4122" s="204"/>
      <c r="D4122" s="204"/>
      <c r="E4122" s="204"/>
      <c r="F4122" s="204"/>
      <c r="G4122" s="204"/>
      <c r="H4122" s="204"/>
      <c r="I4122" s="204"/>
      <c r="J4122" s="204"/>
      <c r="K4122" s="204"/>
      <c r="L4122" s="205"/>
      <c r="M4122" s="205"/>
      <c r="N4122" s="204"/>
      <c r="O4122" s="204"/>
      <c r="P4122" s="206"/>
      <c r="Q4122" s="206"/>
      <c r="R4122" s="206"/>
      <c r="S4122" s="206"/>
      <c r="T4122" s="204"/>
      <c r="U4122" s="207"/>
      <c r="V4122" s="204"/>
      <c r="W4122" s="204"/>
      <c r="X4122" s="207"/>
      <c r="Y4122" s="207"/>
      <c r="Z4122" s="204"/>
      <c r="AA4122" s="204"/>
      <c r="AB4122" s="204"/>
      <c r="AC4122" s="204"/>
    </row>
    <row r="4123" spans="1:29">
      <c r="A4123" s="204"/>
      <c r="B4123" s="204"/>
      <c r="C4123" s="204"/>
      <c r="D4123" s="204"/>
      <c r="E4123" s="204"/>
      <c r="F4123" s="204"/>
      <c r="G4123" s="204"/>
      <c r="H4123" s="204"/>
      <c r="I4123" s="204"/>
      <c r="J4123" s="204"/>
      <c r="K4123" s="204"/>
      <c r="L4123" s="205"/>
      <c r="M4123" s="205"/>
      <c r="N4123" s="204"/>
      <c r="O4123" s="204"/>
      <c r="P4123" s="206"/>
      <c r="Q4123" s="206"/>
      <c r="R4123" s="206"/>
      <c r="S4123" s="206"/>
      <c r="T4123" s="204"/>
      <c r="U4123" s="207"/>
      <c r="V4123" s="204"/>
      <c r="W4123" s="204"/>
      <c r="X4123" s="207"/>
      <c r="Y4123" s="207"/>
      <c r="Z4123" s="204"/>
      <c r="AA4123" s="204"/>
      <c r="AB4123" s="204"/>
      <c r="AC4123" s="204"/>
    </row>
    <row r="4124" spans="1:29">
      <c r="A4124" s="204"/>
      <c r="B4124" s="204"/>
      <c r="C4124" s="204"/>
      <c r="D4124" s="204"/>
      <c r="E4124" s="204"/>
      <c r="F4124" s="204"/>
      <c r="G4124" s="204"/>
      <c r="H4124" s="204"/>
      <c r="I4124" s="204"/>
      <c r="J4124" s="204"/>
      <c r="K4124" s="204"/>
      <c r="L4124" s="205"/>
      <c r="M4124" s="205"/>
      <c r="N4124" s="204"/>
      <c r="O4124" s="204"/>
      <c r="P4124" s="206"/>
      <c r="Q4124" s="206"/>
      <c r="R4124" s="206"/>
      <c r="S4124" s="206"/>
      <c r="T4124" s="204"/>
      <c r="U4124" s="207"/>
      <c r="V4124" s="204"/>
      <c r="W4124" s="204"/>
      <c r="X4124" s="207"/>
      <c r="Y4124" s="207"/>
      <c r="Z4124" s="204"/>
      <c r="AA4124" s="204"/>
      <c r="AB4124" s="204"/>
      <c r="AC4124" s="204"/>
    </row>
    <row r="4125" spans="1:29">
      <c r="A4125" s="204"/>
      <c r="B4125" s="204"/>
      <c r="C4125" s="204"/>
      <c r="D4125" s="204"/>
      <c r="E4125" s="204"/>
      <c r="F4125" s="204"/>
      <c r="G4125" s="204"/>
      <c r="H4125" s="204"/>
      <c r="I4125" s="204"/>
      <c r="J4125" s="204"/>
      <c r="K4125" s="204"/>
      <c r="L4125" s="205"/>
      <c r="M4125" s="205"/>
      <c r="N4125" s="204"/>
      <c r="O4125" s="204"/>
      <c r="P4125" s="206"/>
      <c r="Q4125" s="206"/>
      <c r="R4125" s="206"/>
      <c r="S4125" s="206"/>
      <c r="T4125" s="204"/>
      <c r="U4125" s="207"/>
      <c r="V4125" s="204"/>
      <c r="W4125" s="204"/>
      <c r="X4125" s="207"/>
      <c r="Y4125" s="207"/>
      <c r="Z4125" s="204"/>
      <c r="AA4125" s="204"/>
      <c r="AB4125" s="204"/>
      <c r="AC4125" s="204"/>
    </row>
    <row r="4126" spans="1:29">
      <c r="A4126" s="204"/>
      <c r="B4126" s="204"/>
      <c r="C4126" s="204"/>
      <c r="D4126" s="204"/>
      <c r="E4126" s="204"/>
      <c r="F4126" s="204"/>
      <c r="G4126" s="204"/>
      <c r="H4126" s="204"/>
      <c r="I4126" s="204"/>
      <c r="J4126" s="204"/>
      <c r="K4126" s="204"/>
      <c r="L4126" s="205"/>
      <c r="M4126" s="205"/>
      <c r="N4126" s="204"/>
      <c r="O4126" s="204"/>
      <c r="P4126" s="206"/>
      <c r="Q4126" s="206"/>
      <c r="R4126" s="206"/>
      <c r="S4126" s="206"/>
      <c r="T4126" s="204"/>
      <c r="U4126" s="207"/>
      <c r="V4126" s="204"/>
      <c r="W4126" s="204"/>
      <c r="X4126" s="207"/>
      <c r="Y4126" s="207"/>
      <c r="Z4126" s="204"/>
      <c r="AA4126" s="204"/>
      <c r="AB4126" s="204"/>
      <c r="AC4126" s="204"/>
    </row>
    <row r="4127" spans="1:29">
      <c r="A4127" s="204"/>
      <c r="B4127" s="204"/>
      <c r="C4127" s="204"/>
      <c r="D4127" s="204"/>
      <c r="E4127" s="204"/>
      <c r="F4127" s="204"/>
      <c r="G4127" s="204"/>
      <c r="H4127" s="204"/>
      <c r="I4127" s="204"/>
      <c r="J4127" s="204"/>
      <c r="K4127" s="204"/>
      <c r="L4127" s="205"/>
      <c r="M4127" s="205"/>
      <c r="N4127" s="204"/>
      <c r="O4127" s="204"/>
      <c r="P4127" s="206"/>
      <c r="Q4127" s="206"/>
      <c r="R4127" s="206"/>
      <c r="S4127" s="206"/>
      <c r="T4127" s="204"/>
      <c r="U4127" s="207"/>
      <c r="V4127" s="204"/>
      <c r="W4127" s="204"/>
      <c r="X4127" s="207"/>
      <c r="Y4127" s="207"/>
      <c r="Z4127" s="204"/>
      <c r="AA4127" s="204"/>
      <c r="AB4127" s="204"/>
      <c r="AC4127" s="204"/>
    </row>
    <row r="4128" spans="1:29">
      <c r="A4128" s="204"/>
      <c r="B4128" s="204"/>
      <c r="C4128" s="204"/>
      <c r="D4128" s="204"/>
      <c r="E4128" s="204"/>
      <c r="F4128" s="204"/>
      <c r="G4128" s="204"/>
      <c r="H4128" s="204"/>
      <c r="I4128" s="204"/>
      <c r="J4128" s="204"/>
      <c r="K4128" s="204"/>
      <c r="L4128" s="205"/>
      <c r="M4128" s="205"/>
      <c r="N4128" s="204"/>
      <c r="O4128" s="204"/>
      <c r="P4128" s="206"/>
      <c r="Q4128" s="206"/>
      <c r="R4128" s="206"/>
      <c r="S4128" s="206"/>
      <c r="T4128" s="204"/>
      <c r="U4128" s="207"/>
      <c r="V4128" s="204"/>
      <c r="W4128" s="204"/>
      <c r="X4128" s="207"/>
      <c r="Y4128" s="207"/>
      <c r="Z4128" s="204"/>
      <c r="AA4128" s="204"/>
      <c r="AB4128" s="204"/>
      <c r="AC4128" s="204"/>
    </row>
    <row r="4129" spans="1:29">
      <c r="A4129" s="204"/>
      <c r="B4129" s="204"/>
      <c r="C4129" s="204"/>
      <c r="D4129" s="204"/>
      <c r="E4129" s="204"/>
      <c r="F4129" s="204"/>
      <c r="G4129" s="204"/>
      <c r="H4129" s="204"/>
      <c r="I4129" s="204"/>
      <c r="J4129" s="204"/>
      <c r="K4129" s="204"/>
      <c r="L4129" s="205"/>
      <c r="M4129" s="205"/>
      <c r="N4129" s="204"/>
      <c r="O4129" s="204"/>
      <c r="P4129" s="206"/>
      <c r="Q4129" s="206"/>
      <c r="R4129" s="206"/>
      <c r="S4129" s="206"/>
      <c r="T4129" s="204"/>
      <c r="U4129" s="207"/>
      <c r="V4129" s="204"/>
      <c r="W4129" s="204"/>
      <c r="X4129" s="207"/>
      <c r="Y4129" s="207"/>
      <c r="Z4129" s="204"/>
      <c r="AA4129" s="204"/>
      <c r="AB4129" s="204"/>
      <c r="AC4129" s="204"/>
    </row>
    <row r="4130" spans="1:29">
      <c r="A4130" s="204"/>
      <c r="B4130" s="204"/>
      <c r="C4130" s="204"/>
      <c r="D4130" s="204"/>
      <c r="E4130" s="204"/>
      <c r="F4130" s="204"/>
      <c r="G4130" s="204"/>
      <c r="H4130" s="204"/>
      <c r="I4130" s="204"/>
      <c r="J4130" s="204"/>
      <c r="K4130" s="204"/>
      <c r="L4130" s="205"/>
      <c r="M4130" s="205"/>
      <c r="N4130" s="204"/>
      <c r="O4130" s="204"/>
      <c r="P4130" s="206"/>
      <c r="Q4130" s="206"/>
      <c r="R4130" s="206"/>
      <c r="S4130" s="206"/>
      <c r="T4130" s="204"/>
      <c r="U4130" s="207"/>
      <c r="V4130" s="204"/>
      <c r="W4130" s="204"/>
      <c r="X4130" s="207"/>
      <c r="Y4130" s="207"/>
      <c r="Z4130" s="204"/>
      <c r="AA4130" s="204"/>
      <c r="AB4130" s="204"/>
      <c r="AC4130" s="204"/>
    </row>
    <row r="4131" spans="1:29">
      <c r="A4131" s="204"/>
      <c r="B4131" s="204"/>
      <c r="C4131" s="204"/>
      <c r="D4131" s="204"/>
      <c r="E4131" s="204"/>
      <c r="F4131" s="204"/>
      <c r="G4131" s="204"/>
      <c r="H4131" s="204"/>
      <c r="I4131" s="204"/>
      <c r="J4131" s="204"/>
      <c r="K4131" s="204"/>
      <c r="L4131" s="205"/>
      <c r="M4131" s="205"/>
      <c r="N4131" s="204"/>
      <c r="O4131" s="204"/>
      <c r="P4131" s="206"/>
      <c r="Q4131" s="206"/>
      <c r="R4131" s="206"/>
      <c r="S4131" s="206"/>
      <c r="T4131" s="204"/>
      <c r="U4131" s="207"/>
      <c r="V4131" s="204"/>
      <c r="W4131" s="204"/>
      <c r="X4131" s="207"/>
      <c r="Y4131" s="207"/>
      <c r="Z4131" s="204"/>
      <c r="AA4131" s="204"/>
      <c r="AB4131" s="204"/>
      <c r="AC4131" s="204"/>
    </row>
    <row r="4132" spans="1:29">
      <c r="A4132" s="204"/>
      <c r="B4132" s="204"/>
      <c r="C4132" s="204"/>
      <c r="D4132" s="204"/>
      <c r="E4132" s="204"/>
      <c r="F4132" s="204"/>
      <c r="G4132" s="204"/>
      <c r="H4132" s="204"/>
      <c r="I4132" s="204"/>
      <c r="J4132" s="204"/>
      <c r="K4132" s="204"/>
      <c r="L4132" s="205"/>
      <c r="M4132" s="205"/>
      <c r="N4132" s="204"/>
      <c r="O4132" s="204"/>
      <c r="P4132" s="206"/>
      <c r="Q4132" s="206"/>
      <c r="R4132" s="206"/>
      <c r="S4132" s="206"/>
      <c r="T4132" s="204"/>
      <c r="U4132" s="207"/>
      <c r="V4132" s="204"/>
      <c r="W4132" s="204"/>
      <c r="X4132" s="207"/>
      <c r="Y4132" s="207"/>
      <c r="Z4132" s="204"/>
      <c r="AA4132" s="204"/>
      <c r="AB4132" s="204"/>
      <c r="AC4132" s="204"/>
    </row>
    <row r="4133" spans="1:29">
      <c r="A4133" s="204"/>
      <c r="B4133" s="204"/>
      <c r="C4133" s="204"/>
      <c r="D4133" s="204"/>
      <c r="E4133" s="204"/>
      <c r="F4133" s="204"/>
      <c r="G4133" s="204"/>
      <c r="H4133" s="204"/>
      <c r="I4133" s="204"/>
      <c r="J4133" s="204"/>
      <c r="K4133" s="204"/>
      <c r="L4133" s="205"/>
      <c r="M4133" s="205"/>
      <c r="N4133" s="204"/>
      <c r="O4133" s="204"/>
      <c r="P4133" s="206"/>
      <c r="Q4133" s="206"/>
      <c r="R4133" s="206"/>
      <c r="S4133" s="206"/>
      <c r="T4133" s="204"/>
      <c r="U4133" s="207"/>
      <c r="V4133" s="204"/>
      <c r="W4133" s="204"/>
      <c r="X4133" s="207"/>
      <c r="Y4133" s="207"/>
      <c r="Z4133" s="204"/>
      <c r="AA4133" s="204"/>
      <c r="AB4133" s="204"/>
      <c r="AC4133" s="204"/>
    </row>
    <row r="4134" spans="1:29">
      <c r="A4134" s="204"/>
      <c r="B4134" s="204"/>
      <c r="C4134" s="204"/>
      <c r="D4134" s="204"/>
      <c r="E4134" s="204"/>
      <c r="F4134" s="204"/>
      <c r="G4134" s="204"/>
      <c r="H4134" s="204"/>
      <c r="I4134" s="204"/>
      <c r="J4134" s="204"/>
      <c r="K4134" s="204"/>
      <c r="L4134" s="205"/>
      <c r="M4134" s="205"/>
      <c r="N4134" s="204"/>
      <c r="O4134" s="204"/>
      <c r="P4134" s="206"/>
      <c r="Q4134" s="206"/>
      <c r="R4134" s="206"/>
      <c r="S4134" s="206"/>
      <c r="T4134" s="204"/>
      <c r="U4134" s="207"/>
      <c r="V4134" s="204"/>
      <c r="W4134" s="204"/>
      <c r="X4134" s="207"/>
      <c r="Y4134" s="207"/>
      <c r="Z4134" s="204"/>
      <c r="AA4134" s="204"/>
      <c r="AB4134" s="204"/>
      <c r="AC4134" s="204"/>
    </row>
    <row r="4135" spans="1:29">
      <c r="A4135" s="204"/>
      <c r="B4135" s="204"/>
      <c r="C4135" s="204"/>
      <c r="D4135" s="204"/>
      <c r="E4135" s="204"/>
      <c r="F4135" s="204"/>
      <c r="G4135" s="204"/>
      <c r="H4135" s="204"/>
      <c r="I4135" s="204"/>
      <c r="J4135" s="204"/>
      <c r="K4135" s="204"/>
      <c r="L4135" s="205"/>
      <c r="M4135" s="205"/>
      <c r="N4135" s="204"/>
      <c r="O4135" s="204"/>
      <c r="P4135" s="206"/>
      <c r="Q4135" s="206"/>
      <c r="R4135" s="206"/>
      <c r="S4135" s="206"/>
      <c r="T4135" s="204"/>
      <c r="U4135" s="207"/>
      <c r="V4135" s="204"/>
      <c r="W4135" s="204"/>
      <c r="X4135" s="207"/>
      <c r="Y4135" s="207"/>
      <c r="Z4135" s="204"/>
      <c r="AA4135" s="204"/>
      <c r="AB4135" s="204"/>
      <c r="AC4135" s="204"/>
    </row>
    <row r="4136" spans="1:29">
      <c r="A4136" s="204"/>
      <c r="B4136" s="204"/>
      <c r="C4136" s="204"/>
      <c r="D4136" s="204"/>
      <c r="E4136" s="204"/>
      <c r="F4136" s="204"/>
      <c r="G4136" s="204"/>
      <c r="H4136" s="204"/>
      <c r="I4136" s="204"/>
      <c r="J4136" s="204"/>
      <c r="K4136" s="204"/>
      <c r="L4136" s="205"/>
      <c r="M4136" s="205"/>
      <c r="N4136" s="204"/>
      <c r="O4136" s="204"/>
      <c r="P4136" s="206"/>
      <c r="Q4136" s="206"/>
      <c r="R4136" s="206"/>
      <c r="S4136" s="206"/>
      <c r="T4136" s="204"/>
      <c r="U4136" s="207"/>
      <c r="V4136" s="204"/>
      <c r="W4136" s="204"/>
      <c r="X4136" s="207"/>
      <c r="Y4136" s="207"/>
      <c r="Z4136" s="204"/>
      <c r="AA4136" s="204"/>
      <c r="AB4136" s="204"/>
      <c r="AC4136" s="204"/>
    </row>
    <row r="4137" spans="1:29">
      <c r="A4137" s="204"/>
      <c r="B4137" s="204"/>
      <c r="C4137" s="204"/>
      <c r="D4137" s="204"/>
      <c r="E4137" s="204"/>
      <c r="F4137" s="204"/>
      <c r="G4137" s="204"/>
      <c r="H4137" s="204"/>
      <c r="I4137" s="204"/>
      <c r="J4137" s="204"/>
      <c r="K4137" s="204"/>
      <c r="L4137" s="205"/>
      <c r="M4137" s="205"/>
      <c r="N4137" s="204"/>
      <c r="O4137" s="204"/>
      <c r="P4137" s="206"/>
      <c r="Q4137" s="206"/>
      <c r="R4137" s="206"/>
      <c r="S4137" s="206"/>
      <c r="T4137" s="204"/>
      <c r="U4137" s="207"/>
      <c r="V4137" s="204"/>
      <c r="W4137" s="204"/>
      <c r="X4137" s="207"/>
      <c r="Y4137" s="207"/>
      <c r="Z4137" s="204"/>
      <c r="AA4137" s="204"/>
      <c r="AB4137" s="204"/>
      <c r="AC4137" s="204"/>
    </row>
    <row r="4138" spans="1:29">
      <c r="A4138" s="204"/>
      <c r="B4138" s="204"/>
      <c r="C4138" s="204"/>
      <c r="D4138" s="204"/>
      <c r="E4138" s="204"/>
      <c r="F4138" s="204"/>
      <c r="G4138" s="204"/>
      <c r="H4138" s="204"/>
      <c r="I4138" s="204"/>
      <c r="J4138" s="204"/>
      <c r="K4138" s="204"/>
      <c r="L4138" s="205"/>
      <c r="M4138" s="205"/>
      <c r="N4138" s="204"/>
      <c r="O4138" s="204"/>
      <c r="P4138" s="206"/>
      <c r="Q4138" s="206"/>
      <c r="R4138" s="206"/>
      <c r="S4138" s="206"/>
      <c r="T4138" s="204"/>
      <c r="U4138" s="207"/>
      <c r="V4138" s="204"/>
      <c r="W4138" s="204"/>
      <c r="X4138" s="207"/>
      <c r="Y4138" s="207"/>
      <c r="Z4138" s="204"/>
      <c r="AA4138" s="204"/>
      <c r="AB4138" s="204"/>
      <c r="AC4138" s="204"/>
    </row>
    <row r="4139" spans="1:29">
      <c r="A4139" s="204"/>
      <c r="B4139" s="204"/>
      <c r="C4139" s="204"/>
      <c r="D4139" s="204"/>
      <c r="E4139" s="204"/>
      <c r="F4139" s="204"/>
      <c r="G4139" s="204"/>
      <c r="H4139" s="204"/>
      <c r="I4139" s="204"/>
      <c r="J4139" s="204"/>
      <c r="K4139" s="204"/>
      <c r="L4139" s="205"/>
      <c r="M4139" s="205"/>
      <c r="N4139" s="204"/>
      <c r="O4139" s="204"/>
      <c r="P4139" s="206"/>
      <c r="Q4139" s="206"/>
      <c r="R4139" s="206"/>
      <c r="S4139" s="206"/>
      <c r="T4139" s="204"/>
      <c r="U4139" s="207"/>
      <c r="V4139" s="204"/>
      <c r="W4139" s="204"/>
      <c r="X4139" s="207"/>
      <c r="Y4139" s="207"/>
      <c r="Z4139" s="204"/>
      <c r="AA4139" s="204"/>
      <c r="AB4139" s="204"/>
      <c r="AC4139" s="204"/>
    </row>
    <row r="4140" spans="1:29">
      <c r="A4140" s="204"/>
      <c r="B4140" s="204"/>
      <c r="C4140" s="204"/>
      <c r="D4140" s="204"/>
      <c r="E4140" s="204"/>
      <c r="F4140" s="204"/>
      <c r="G4140" s="204"/>
      <c r="H4140" s="204"/>
      <c r="I4140" s="204"/>
      <c r="J4140" s="204"/>
      <c r="K4140" s="204"/>
      <c r="L4140" s="205"/>
      <c r="M4140" s="205"/>
      <c r="N4140" s="204"/>
      <c r="O4140" s="204"/>
      <c r="P4140" s="206"/>
      <c r="Q4140" s="206"/>
      <c r="R4140" s="206"/>
      <c r="S4140" s="206"/>
      <c r="T4140" s="204"/>
      <c r="U4140" s="207"/>
      <c r="V4140" s="204"/>
      <c r="W4140" s="204"/>
      <c r="X4140" s="207"/>
      <c r="Y4140" s="207"/>
      <c r="Z4140" s="204"/>
      <c r="AA4140" s="204"/>
      <c r="AB4140" s="204"/>
      <c r="AC4140" s="204"/>
    </row>
    <row r="4141" spans="1:29">
      <c r="A4141" s="204"/>
      <c r="B4141" s="204"/>
      <c r="C4141" s="204"/>
      <c r="D4141" s="204"/>
      <c r="E4141" s="204"/>
      <c r="F4141" s="204"/>
      <c r="G4141" s="204"/>
      <c r="H4141" s="204"/>
      <c r="I4141" s="204"/>
      <c r="J4141" s="204"/>
      <c r="K4141" s="204"/>
      <c r="L4141" s="205"/>
      <c r="M4141" s="205"/>
      <c r="N4141" s="204"/>
      <c r="O4141" s="204"/>
      <c r="P4141" s="206"/>
      <c r="Q4141" s="206"/>
      <c r="R4141" s="206"/>
      <c r="S4141" s="206"/>
      <c r="T4141" s="204"/>
      <c r="U4141" s="207"/>
      <c r="V4141" s="204"/>
      <c r="W4141" s="204"/>
      <c r="X4141" s="207"/>
      <c r="Y4141" s="207"/>
      <c r="Z4141" s="204"/>
      <c r="AA4141" s="204"/>
      <c r="AB4141" s="204"/>
      <c r="AC4141" s="204"/>
    </row>
    <row r="4142" spans="1:29">
      <c r="A4142" s="204"/>
      <c r="B4142" s="204"/>
      <c r="C4142" s="204"/>
      <c r="D4142" s="204"/>
      <c r="E4142" s="204"/>
      <c r="F4142" s="204"/>
      <c r="G4142" s="204"/>
      <c r="H4142" s="204"/>
      <c r="I4142" s="204"/>
      <c r="J4142" s="204"/>
      <c r="K4142" s="204"/>
      <c r="L4142" s="205"/>
      <c r="M4142" s="205"/>
      <c r="N4142" s="204"/>
      <c r="O4142" s="204"/>
      <c r="P4142" s="206"/>
      <c r="Q4142" s="206"/>
      <c r="R4142" s="206"/>
      <c r="S4142" s="206"/>
      <c r="T4142" s="204"/>
      <c r="U4142" s="207"/>
      <c r="V4142" s="204"/>
      <c r="W4142" s="204"/>
      <c r="X4142" s="207"/>
      <c r="Y4142" s="207"/>
      <c r="Z4142" s="204"/>
      <c r="AA4142" s="204"/>
      <c r="AB4142" s="204"/>
      <c r="AC4142" s="204"/>
    </row>
    <row r="4143" spans="1:29">
      <c r="A4143" s="204"/>
      <c r="B4143" s="204"/>
      <c r="C4143" s="204"/>
      <c r="D4143" s="204"/>
      <c r="E4143" s="204"/>
      <c r="F4143" s="204"/>
      <c r="G4143" s="204"/>
      <c r="H4143" s="204"/>
      <c r="I4143" s="204"/>
      <c r="J4143" s="204"/>
      <c r="K4143" s="204"/>
      <c r="L4143" s="205"/>
      <c r="M4143" s="205"/>
      <c r="N4143" s="204"/>
      <c r="O4143" s="204"/>
      <c r="P4143" s="206"/>
      <c r="Q4143" s="206"/>
      <c r="R4143" s="206"/>
      <c r="S4143" s="206"/>
      <c r="T4143" s="204"/>
      <c r="U4143" s="207"/>
      <c r="V4143" s="204"/>
      <c r="W4143" s="204"/>
      <c r="X4143" s="207"/>
      <c r="Y4143" s="207"/>
      <c r="Z4143" s="204"/>
      <c r="AA4143" s="204"/>
      <c r="AB4143" s="204"/>
      <c r="AC4143" s="204"/>
    </row>
    <row r="4144" spans="1:29">
      <c r="A4144" s="204"/>
      <c r="B4144" s="204"/>
      <c r="C4144" s="204"/>
      <c r="D4144" s="204"/>
      <c r="E4144" s="204"/>
      <c r="F4144" s="204"/>
      <c r="G4144" s="204"/>
      <c r="H4144" s="204"/>
      <c r="I4144" s="204"/>
      <c r="J4144" s="204"/>
      <c r="K4144" s="204"/>
      <c r="L4144" s="205"/>
      <c r="M4144" s="205"/>
      <c r="N4144" s="204"/>
      <c r="O4144" s="204"/>
      <c r="P4144" s="206"/>
      <c r="Q4144" s="206"/>
      <c r="R4144" s="206"/>
      <c r="S4144" s="206"/>
      <c r="T4144" s="204"/>
      <c r="U4144" s="207"/>
      <c r="V4144" s="204"/>
      <c r="W4144" s="204"/>
      <c r="X4144" s="207"/>
      <c r="Y4144" s="207"/>
      <c r="Z4144" s="204"/>
      <c r="AA4144" s="204"/>
      <c r="AB4144" s="204"/>
      <c r="AC4144" s="204"/>
    </row>
    <row r="4145" spans="1:29">
      <c r="A4145" s="204"/>
      <c r="B4145" s="204"/>
      <c r="C4145" s="204"/>
      <c r="D4145" s="204"/>
      <c r="E4145" s="204"/>
      <c r="F4145" s="204"/>
      <c r="G4145" s="204"/>
      <c r="H4145" s="204"/>
      <c r="I4145" s="204"/>
      <c r="J4145" s="204"/>
      <c r="K4145" s="204"/>
      <c r="L4145" s="205"/>
      <c r="M4145" s="205"/>
      <c r="N4145" s="204"/>
      <c r="O4145" s="204"/>
      <c r="P4145" s="206"/>
      <c r="Q4145" s="206"/>
      <c r="R4145" s="206"/>
      <c r="S4145" s="206"/>
      <c r="T4145" s="204"/>
      <c r="U4145" s="207"/>
      <c r="V4145" s="204"/>
      <c r="W4145" s="204"/>
      <c r="X4145" s="207"/>
      <c r="Y4145" s="207"/>
      <c r="Z4145" s="204"/>
      <c r="AA4145" s="204"/>
      <c r="AB4145" s="204"/>
      <c r="AC4145" s="204"/>
    </row>
    <row r="4146" spans="1:29">
      <c r="A4146" s="204"/>
      <c r="B4146" s="204"/>
      <c r="C4146" s="204"/>
      <c r="D4146" s="204"/>
      <c r="E4146" s="204"/>
      <c r="F4146" s="204"/>
      <c r="G4146" s="204"/>
      <c r="H4146" s="204"/>
      <c r="I4146" s="204"/>
      <c r="J4146" s="204"/>
      <c r="K4146" s="204"/>
      <c r="L4146" s="205"/>
      <c r="M4146" s="205"/>
      <c r="N4146" s="204"/>
      <c r="O4146" s="204"/>
      <c r="P4146" s="206"/>
      <c r="Q4146" s="206"/>
      <c r="R4146" s="206"/>
      <c r="S4146" s="206"/>
      <c r="T4146" s="204"/>
      <c r="U4146" s="207"/>
      <c r="V4146" s="204"/>
      <c r="W4146" s="204"/>
      <c r="X4146" s="207"/>
      <c r="Y4146" s="207"/>
      <c r="Z4146" s="204"/>
      <c r="AA4146" s="204"/>
      <c r="AB4146" s="204"/>
      <c r="AC4146" s="204"/>
    </row>
    <row r="4147" spans="1:29">
      <c r="A4147" s="204"/>
      <c r="B4147" s="204"/>
      <c r="C4147" s="204"/>
      <c r="D4147" s="204"/>
      <c r="E4147" s="204"/>
      <c r="F4147" s="204"/>
      <c r="G4147" s="204"/>
      <c r="H4147" s="204"/>
      <c r="I4147" s="204"/>
      <c r="J4147" s="204"/>
      <c r="K4147" s="204"/>
      <c r="L4147" s="205"/>
      <c r="M4147" s="205"/>
      <c r="N4147" s="204"/>
      <c r="O4147" s="204"/>
      <c r="P4147" s="206"/>
      <c r="Q4147" s="206"/>
      <c r="R4147" s="206"/>
      <c r="S4147" s="206"/>
      <c r="T4147" s="204"/>
      <c r="U4147" s="207"/>
      <c r="V4147" s="204"/>
      <c r="W4147" s="204"/>
      <c r="X4147" s="207"/>
      <c r="Y4147" s="207"/>
      <c r="Z4147" s="204"/>
      <c r="AA4147" s="204"/>
      <c r="AB4147" s="204"/>
      <c r="AC4147" s="204"/>
    </row>
    <row r="4148" spans="1:29">
      <c r="A4148" s="204"/>
      <c r="B4148" s="204"/>
      <c r="C4148" s="204"/>
      <c r="D4148" s="204"/>
      <c r="E4148" s="204"/>
      <c r="F4148" s="204"/>
      <c r="G4148" s="204"/>
      <c r="H4148" s="204"/>
      <c r="I4148" s="204"/>
      <c r="J4148" s="204"/>
      <c r="K4148" s="204"/>
      <c r="L4148" s="205"/>
      <c r="M4148" s="205"/>
      <c r="N4148" s="204"/>
      <c r="O4148" s="204"/>
      <c r="P4148" s="206"/>
      <c r="Q4148" s="206"/>
      <c r="R4148" s="206"/>
      <c r="S4148" s="206"/>
      <c r="T4148" s="204"/>
      <c r="U4148" s="207"/>
      <c r="V4148" s="204"/>
      <c r="W4148" s="204"/>
      <c r="X4148" s="207"/>
      <c r="Y4148" s="207"/>
      <c r="Z4148" s="204"/>
      <c r="AA4148" s="204"/>
      <c r="AB4148" s="204"/>
      <c r="AC4148" s="204"/>
    </row>
    <row r="4149" spans="1:29">
      <c r="A4149" s="204"/>
      <c r="B4149" s="204"/>
      <c r="C4149" s="204"/>
      <c r="D4149" s="204"/>
      <c r="E4149" s="204"/>
      <c r="F4149" s="204"/>
      <c r="G4149" s="204"/>
      <c r="H4149" s="204"/>
      <c r="I4149" s="204"/>
      <c r="J4149" s="204"/>
      <c r="K4149" s="204"/>
      <c r="L4149" s="205"/>
      <c r="M4149" s="205"/>
      <c r="N4149" s="204"/>
      <c r="O4149" s="204"/>
      <c r="P4149" s="206"/>
      <c r="Q4149" s="206"/>
      <c r="R4149" s="206"/>
      <c r="S4149" s="206"/>
      <c r="T4149" s="204"/>
      <c r="U4149" s="207"/>
      <c r="V4149" s="204"/>
      <c r="W4149" s="204"/>
      <c r="X4149" s="207"/>
      <c r="Y4149" s="207"/>
      <c r="Z4149" s="204"/>
      <c r="AA4149" s="204"/>
      <c r="AB4149" s="204"/>
      <c r="AC4149" s="204"/>
    </row>
    <row r="4150" spans="1:29">
      <c r="A4150" s="204"/>
      <c r="B4150" s="204"/>
      <c r="C4150" s="204"/>
      <c r="D4150" s="204"/>
      <c r="E4150" s="204"/>
      <c r="F4150" s="204"/>
      <c r="G4150" s="204"/>
      <c r="H4150" s="204"/>
      <c r="I4150" s="204"/>
      <c r="J4150" s="204"/>
      <c r="K4150" s="204"/>
      <c r="L4150" s="205"/>
      <c r="M4150" s="205"/>
      <c r="N4150" s="204"/>
      <c r="O4150" s="204"/>
      <c r="P4150" s="206"/>
      <c r="Q4150" s="206"/>
      <c r="R4150" s="206"/>
      <c r="S4150" s="206"/>
      <c r="T4150" s="204"/>
      <c r="U4150" s="207"/>
      <c r="V4150" s="204"/>
      <c r="W4150" s="204"/>
      <c r="X4150" s="207"/>
      <c r="Y4150" s="207"/>
      <c r="Z4150" s="204"/>
      <c r="AA4150" s="204"/>
      <c r="AB4150" s="204"/>
      <c r="AC4150" s="204"/>
    </row>
    <row r="4151" spans="1:29">
      <c r="A4151" s="204"/>
      <c r="B4151" s="204"/>
      <c r="C4151" s="204"/>
      <c r="D4151" s="204"/>
      <c r="E4151" s="204"/>
      <c r="F4151" s="204"/>
      <c r="G4151" s="204"/>
      <c r="H4151" s="204"/>
      <c r="I4151" s="204"/>
      <c r="J4151" s="204"/>
      <c r="K4151" s="204"/>
      <c r="L4151" s="205"/>
      <c r="M4151" s="205"/>
      <c r="N4151" s="204"/>
      <c r="O4151" s="204"/>
      <c r="P4151" s="206"/>
      <c r="Q4151" s="206"/>
      <c r="R4151" s="206"/>
      <c r="S4151" s="206"/>
      <c r="T4151" s="204"/>
      <c r="U4151" s="207"/>
      <c r="V4151" s="204"/>
      <c r="W4151" s="204"/>
      <c r="X4151" s="207"/>
      <c r="Y4151" s="207"/>
      <c r="Z4151" s="204"/>
      <c r="AA4151" s="204"/>
      <c r="AB4151" s="204"/>
      <c r="AC4151" s="204"/>
    </row>
    <row r="4152" spans="1:29">
      <c r="A4152" s="204"/>
      <c r="B4152" s="204"/>
      <c r="C4152" s="204"/>
      <c r="D4152" s="204"/>
      <c r="E4152" s="204"/>
      <c r="F4152" s="204"/>
      <c r="G4152" s="204"/>
      <c r="H4152" s="204"/>
      <c r="I4152" s="204"/>
      <c r="J4152" s="204"/>
      <c r="K4152" s="204"/>
      <c r="L4152" s="205"/>
      <c r="M4152" s="205"/>
      <c r="N4152" s="204"/>
      <c r="O4152" s="204"/>
      <c r="P4152" s="206"/>
      <c r="Q4152" s="206"/>
      <c r="R4152" s="206"/>
      <c r="S4152" s="206"/>
      <c r="T4152" s="204"/>
      <c r="U4152" s="207"/>
      <c r="V4152" s="204"/>
      <c r="W4152" s="204"/>
      <c r="X4152" s="207"/>
      <c r="Y4152" s="207"/>
      <c r="Z4152" s="204"/>
      <c r="AA4152" s="204"/>
      <c r="AB4152" s="204"/>
      <c r="AC4152" s="204"/>
    </row>
    <row r="4153" spans="1:29">
      <c r="A4153" s="204"/>
      <c r="B4153" s="204"/>
      <c r="C4153" s="204"/>
      <c r="D4153" s="204"/>
      <c r="E4153" s="204"/>
      <c r="F4153" s="204"/>
      <c r="G4153" s="204"/>
      <c r="H4153" s="204"/>
      <c r="I4153" s="204"/>
      <c r="J4153" s="204"/>
      <c r="K4153" s="204"/>
      <c r="L4153" s="205"/>
      <c r="M4153" s="205"/>
      <c r="N4153" s="204"/>
      <c r="O4153" s="204"/>
      <c r="P4153" s="206"/>
      <c r="Q4153" s="206"/>
      <c r="R4153" s="206"/>
      <c r="S4153" s="206"/>
      <c r="T4153" s="204"/>
      <c r="U4153" s="207"/>
      <c r="V4153" s="204"/>
      <c r="W4153" s="204"/>
      <c r="X4153" s="207"/>
      <c r="Y4153" s="207"/>
      <c r="Z4153" s="204"/>
      <c r="AA4153" s="204"/>
      <c r="AB4153" s="204"/>
      <c r="AC4153" s="204"/>
    </row>
    <row r="4154" spans="1:29">
      <c r="A4154" s="204"/>
      <c r="B4154" s="204"/>
      <c r="C4154" s="204"/>
      <c r="D4154" s="204"/>
      <c r="E4154" s="204"/>
      <c r="F4154" s="204"/>
      <c r="G4154" s="204"/>
      <c r="H4154" s="204"/>
      <c r="I4154" s="204"/>
      <c r="J4154" s="204"/>
      <c r="K4154" s="204"/>
      <c r="L4154" s="205"/>
      <c r="M4154" s="205"/>
      <c r="N4154" s="204"/>
      <c r="O4154" s="204"/>
      <c r="P4154" s="206"/>
      <c r="Q4154" s="206"/>
      <c r="R4154" s="206"/>
      <c r="S4154" s="206"/>
      <c r="T4154" s="204"/>
      <c r="U4154" s="207"/>
      <c r="V4154" s="204"/>
      <c r="W4154" s="204"/>
      <c r="X4154" s="207"/>
      <c r="Y4154" s="207"/>
      <c r="Z4154" s="204"/>
      <c r="AA4154" s="204"/>
      <c r="AB4154" s="204"/>
      <c r="AC4154" s="204"/>
    </row>
    <row r="4155" spans="1:29">
      <c r="A4155" s="204"/>
      <c r="B4155" s="204"/>
      <c r="C4155" s="204"/>
      <c r="D4155" s="204"/>
      <c r="E4155" s="204"/>
      <c r="F4155" s="204"/>
      <c r="G4155" s="204"/>
      <c r="H4155" s="204"/>
      <c r="I4155" s="204"/>
      <c r="J4155" s="204"/>
      <c r="K4155" s="204"/>
      <c r="L4155" s="205"/>
      <c r="M4155" s="205"/>
      <c r="N4155" s="204"/>
      <c r="O4155" s="204"/>
      <c r="P4155" s="206"/>
      <c r="Q4155" s="206"/>
      <c r="R4155" s="206"/>
      <c r="S4155" s="206"/>
      <c r="T4155" s="204"/>
      <c r="U4155" s="207"/>
      <c r="V4155" s="204"/>
      <c r="W4155" s="204"/>
      <c r="X4155" s="207"/>
      <c r="Y4155" s="207"/>
      <c r="Z4155" s="204"/>
      <c r="AA4155" s="204"/>
      <c r="AB4155" s="204"/>
      <c r="AC4155" s="204"/>
    </row>
    <row r="4156" spans="1:29">
      <c r="A4156" s="204"/>
      <c r="B4156" s="204"/>
      <c r="C4156" s="204"/>
      <c r="D4156" s="204"/>
      <c r="E4156" s="204"/>
      <c r="F4156" s="204"/>
      <c r="G4156" s="204"/>
      <c r="H4156" s="204"/>
      <c r="I4156" s="204"/>
      <c r="J4156" s="204"/>
      <c r="K4156" s="204"/>
      <c r="L4156" s="205"/>
      <c r="M4156" s="205"/>
      <c r="N4156" s="204"/>
      <c r="O4156" s="204"/>
      <c r="P4156" s="206"/>
      <c r="Q4156" s="206"/>
      <c r="R4156" s="206"/>
      <c r="S4156" s="206"/>
      <c r="T4156" s="204"/>
      <c r="U4156" s="207"/>
      <c r="V4156" s="204"/>
      <c r="W4156" s="204"/>
      <c r="X4156" s="207"/>
      <c r="Y4156" s="207"/>
      <c r="Z4156" s="204"/>
      <c r="AA4156" s="204"/>
      <c r="AB4156" s="204"/>
      <c r="AC4156" s="204"/>
    </row>
    <row r="4157" spans="1:29">
      <c r="A4157" s="204"/>
      <c r="B4157" s="204"/>
      <c r="C4157" s="204"/>
      <c r="D4157" s="204"/>
      <c r="E4157" s="204"/>
      <c r="F4157" s="204"/>
      <c r="G4157" s="204"/>
      <c r="H4157" s="204"/>
      <c r="I4157" s="204"/>
      <c r="J4157" s="204"/>
      <c r="K4157" s="204"/>
      <c r="L4157" s="205"/>
      <c r="M4157" s="205"/>
      <c r="N4157" s="204"/>
      <c r="O4157" s="204"/>
      <c r="P4157" s="206"/>
      <c r="Q4157" s="206"/>
      <c r="R4157" s="206"/>
      <c r="S4157" s="206"/>
      <c r="T4157" s="204"/>
      <c r="U4157" s="207"/>
      <c r="V4157" s="204"/>
      <c r="W4157" s="204"/>
      <c r="X4157" s="207"/>
      <c r="Y4157" s="207"/>
      <c r="Z4157" s="204"/>
      <c r="AA4157" s="204"/>
      <c r="AB4157" s="204"/>
      <c r="AC4157" s="204"/>
    </row>
    <row r="4158" spans="1:29">
      <c r="A4158" s="204"/>
      <c r="B4158" s="204"/>
      <c r="C4158" s="204"/>
      <c r="D4158" s="204"/>
      <c r="E4158" s="204"/>
      <c r="F4158" s="204"/>
      <c r="G4158" s="204"/>
      <c r="H4158" s="204"/>
      <c r="I4158" s="204"/>
      <c r="J4158" s="204"/>
      <c r="K4158" s="204"/>
      <c r="L4158" s="205"/>
      <c r="M4158" s="205"/>
      <c r="N4158" s="204"/>
      <c r="O4158" s="204"/>
      <c r="P4158" s="206"/>
      <c r="Q4158" s="206"/>
      <c r="R4158" s="206"/>
      <c r="S4158" s="206"/>
      <c r="T4158" s="204"/>
      <c r="U4158" s="207"/>
      <c r="V4158" s="204"/>
      <c r="W4158" s="204"/>
      <c r="X4158" s="207"/>
      <c r="Y4158" s="207"/>
      <c r="Z4158" s="204"/>
      <c r="AA4158" s="204"/>
      <c r="AB4158" s="204"/>
      <c r="AC4158" s="204"/>
    </row>
    <row r="4159" spans="1:29">
      <c r="A4159" s="204"/>
      <c r="B4159" s="204"/>
      <c r="C4159" s="204"/>
      <c r="D4159" s="204"/>
      <c r="E4159" s="204"/>
      <c r="F4159" s="204"/>
      <c r="G4159" s="204"/>
      <c r="H4159" s="204"/>
      <c r="I4159" s="204"/>
      <c r="J4159" s="204"/>
      <c r="K4159" s="204"/>
      <c r="L4159" s="205"/>
      <c r="M4159" s="205"/>
      <c r="N4159" s="204"/>
      <c r="O4159" s="204"/>
      <c r="P4159" s="206"/>
      <c r="Q4159" s="206"/>
      <c r="R4159" s="206"/>
      <c r="S4159" s="206"/>
      <c r="T4159" s="204"/>
      <c r="U4159" s="207"/>
      <c r="V4159" s="204"/>
      <c r="W4159" s="204"/>
      <c r="X4159" s="207"/>
      <c r="Y4159" s="207"/>
      <c r="Z4159" s="204"/>
      <c r="AA4159" s="204"/>
      <c r="AB4159" s="204"/>
      <c r="AC4159" s="204"/>
    </row>
    <row r="4160" spans="1:29">
      <c r="A4160" s="204"/>
      <c r="B4160" s="204"/>
      <c r="C4160" s="204"/>
      <c r="D4160" s="204"/>
      <c r="E4160" s="204"/>
      <c r="F4160" s="204"/>
      <c r="G4160" s="204"/>
      <c r="H4160" s="204"/>
      <c r="I4160" s="204"/>
      <c r="J4160" s="204"/>
      <c r="K4160" s="204"/>
      <c r="L4160" s="205"/>
      <c r="M4160" s="205"/>
      <c r="N4160" s="204"/>
      <c r="O4160" s="204"/>
      <c r="P4160" s="206"/>
      <c r="Q4160" s="206"/>
      <c r="R4160" s="206"/>
      <c r="S4160" s="206"/>
      <c r="T4160" s="204"/>
      <c r="U4160" s="207"/>
      <c r="V4160" s="204"/>
      <c r="W4160" s="204"/>
      <c r="X4160" s="207"/>
      <c r="Y4160" s="207"/>
      <c r="Z4160" s="204"/>
      <c r="AA4160" s="204"/>
      <c r="AB4160" s="204"/>
      <c r="AC4160" s="204"/>
    </row>
    <row r="4161" spans="1:29">
      <c r="A4161" s="204"/>
      <c r="B4161" s="204"/>
      <c r="C4161" s="204"/>
      <c r="D4161" s="204"/>
      <c r="E4161" s="204"/>
      <c r="F4161" s="204"/>
      <c r="G4161" s="204"/>
      <c r="H4161" s="204"/>
      <c r="I4161" s="204"/>
      <c r="J4161" s="204"/>
      <c r="K4161" s="204"/>
      <c r="L4161" s="205"/>
      <c r="M4161" s="205"/>
      <c r="N4161" s="204"/>
      <c r="O4161" s="204"/>
      <c r="P4161" s="206"/>
      <c r="Q4161" s="206"/>
      <c r="R4161" s="206"/>
      <c r="S4161" s="206"/>
      <c r="T4161" s="204"/>
      <c r="U4161" s="207"/>
      <c r="V4161" s="204"/>
      <c r="W4161" s="204"/>
      <c r="X4161" s="207"/>
      <c r="Y4161" s="207"/>
      <c r="Z4161" s="204"/>
      <c r="AA4161" s="204"/>
      <c r="AB4161" s="204"/>
      <c r="AC4161" s="204"/>
    </row>
    <row r="4162" spans="1:29">
      <c r="A4162" s="204"/>
      <c r="B4162" s="204"/>
      <c r="C4162" s="204"/>
      <c r="D4162" s="204"/>
      <c r="E4162" s="204"/>
      <c r="F4162" s="204"/>
      <c r="G4162" s="204"/>
      <c r="H4162" s="204"/>
      <c r="I4162" s="204"/>
      <c r="J4162" s="204"/>
      <c r="K4162" s="204"/>
      <c r="L4162" s="205"/>
      <c r="M4162" s="205"/>
      <c r="N4162" s="204"/>
      <c r="O4162" s="204"/>
      <c r="P4162" s="206"/>
      <c r="Q4162" s="206"/>
      <c r="R4162" s="206"/>
      <c r="S4162" s="206"/>
      <c r="T4162" s="204"/>
      <c r="U4162" s="207"/>
      <c r="V4162" s="204"/>
      <c r="W4162" s="204"/>
      <c r="X4162" s="207"/>
      <c r="Y4162" s="207"/>
      <c r="Z4162" s="204"/>
      <c r="AA4162" s="204"/>
      <c r="AB4162" s="204"/>
      <c r="AC4162" s="204"/>
    </row>
    <row r="4163" spans="1:29">
      <c r="A4163" s="204"/>
      <c r="B4163" s="204"/>
      <c r="C4163" s="204"/>
      <c r="D4163" s="204"/>
      <c r="E4163" s="204"/>
      <c r="F4163" s="204"/>
      <c r="G4163" s="204"/>
      <c r="H4163" s="204"/>
      <c r="I4163" s="204"/>
      <c r="J4163" s="204"/>
      <c r="K4163" s="204"/>
      <c r="L4163" s="205"/>
      <c r="M4163" s="205"/>
      <c r="N4163" s="204"/>
      <c r="O4163" s="204"/>
      <c r="P4163" s="206"/>
      <c r="Q4163" s="206"/>
      <c r="R4163" s="206"/>
      <c r="S4163" s="206"/>
      <c r="T4163" s="204"/>
      <c r="U4163" s="207"/>
      <c r="V4163" s="204"/>
      <c r="W4163" s="204"/>
      <c r="X4163" s="207"/>
      <c r="Y4163" s="207"/>
      <c r="Z4163" s="204"/>
      <c r="AA4163" s="204"/>
      <c r="AB4163" s="204"/>
      <c r="AC4163" s="204"/>
    </row>
    <row r="4164" spans="1:29">
      <c r="A4164" s="204"/>
      <c r="B4164" s="204"/>
      <c r="C4164" s="204"/>
      <c r="D4164" s="204"/>
      <c r="E4164" s="204"/>
      <c r="F4164" s="204"/>
      <c r="G4164" s="204"/>
      <c r="H4164" s="204"/>
      <c r="I4164" s="204"/>
      <c r="J4164" s="204"/>
      <c r="K4164" s="204"/>
      <c r="L4164" s="205"/>
      <c r="M4164" s="205"/>
      <c r="N4164" s="204"/>
      <c r="O4164" s="204"/>
      <c r="P4164" s="206"/>
      <c r="Q4164" s="206"/>
      <c r="R4164" s="206"/>
      <c r="S4164" s="206"/>
      <c r="T4164" s="204"/>
      <c r="U4164" s="207"/>
      <c r="V4164" s="204"/>
      <c r="W4164" s="204"/>
      <c r="X4164" s="207"/>
      <c r="Y4164" s="207"/>
      <c r="Z4164" s="204"/>
      <c r="AA4164" s="204"/>
      <c r="AB4164" s="204"/>
      <c r="AC4164" s="204"/>
    </row>
    <row r="4165" spans="1:29">
      <c r="A4165" s="204"/>
      <c r="B4165" s="204"/>
      <c r="C4165" s="204"/>
      <c r="D4165" s="204"/>
      <c r="E4165" s="204"/>
      <c r="F4165" s="204"/>
      <c r="G4165" s="204"/>
      <c r="H4165" s="204"/>
      <c r="I4165" s="204"/>
      <c r="J4165" s="204"/>
      <c r="K4165" s="204"/>
      <c r="L4165" s="205"/>
      <c r="M4165" s="205"/>
      <c r="N4165" s="204"/>
      <c r="O4165" s="204"/>
      <c r="P4165" s="206"/>
      <c r="Q4165" s="206"/>
      <c r="R4165" s="206"/>
      <c r="S4165" s="206"/>
      <c r="T4165" s="204"/>
      <c r="U4165" s="207"/>
      <c r="V4165" s="204"/>
      <c r="W4165" s="204"/>
      <c r="X4165" s="207"/>
      <c r="Y4165" s="207"/>
      <c r="Z4165" s="204"/>
      <c r="AA4165" s="204"/>
      <c r="AB4165" s="204"/>
      <c r="AC4165" s="204"/>
    </row>
    <row r="4166" spans="1:29">
      <c r="A4166" s="204"/>
      <c r="B4166" s="204"/>
      <c r="C4166" s="204"/>
      <c r="D4166" s="204"/>
      <c r="E4166" s="204"/>
      <c r="F4166" s="204"/>
      <c r="G4166" s="204"/>
      <c r="H4166" s="204"/>
      <c r="I4166" s="204"/>
      <c r="J4166" s="204"/>
      <c r="K4166" s="204"/>
      <c r="L4166" s="205"/>
      <c r="M4166" s="205"/>
      <c r="N4166" s="204"/>
      <c r="O4166" s="204"/>
      <c r="P4166" s="206"/>
      <c r="Q4166" s="206"/>
      <c r="R4166" s="206"/>
      <c r="S4166" s="206"/>
      <c r="T4166" s="204"/>
      <c r="U4166" s="207"/>
      <c r="V4166" s="204"/>
      <c r="W4166" s="204"/>
      <c r="X4166" s="207"/>
      <c r="Y4166" s="207"/>
      <c r="Z4166" s="204"/>
      <c r="AA4166" s="204"/>
      <c r="AB4166" s="204"/>
      <c r="AC4166" s="204"/>
    </row>
    <row r="4167" spans="1:29">
      <c r="A4167" s="204"/>
      <c r="B4167" s="204"/>
      <c r="C4167" s="204"/>
      <c r="D4167" s="204"/>
      <c r="E4167" s="204"/>
      <c r="F4167" s="204"/>
      <c r="G4167" s="204"/>
      <c r="H4167" s="204"/>
      <c r="I4167" s="204"/>
      <c r="J4167" s="204"/>
      <c r="K4167" s="204"/>
      <c r="L4167" s="205"/>
      <c r="M4167" s="205"/>
      <c r="N4167" s="204"/>
      <c r="O4167" s="204"/>
      <c r="P4167" s="206"/>
      <c r="Q4167" s="206"/>
      <c r="R4167" s="206"/>
      <c r="S4167" s="206"/>
      <c r="T4167" s="204"/>
      <c r="U4167" s="207"/>
      <c r="V4167" s="204"/>
      <c r="W4167" s="204"/>
      <c r="X4167" s="207"/>
      <c r="Y4167" s="207"/>
      <c r="Z4167" s="204"/>
      <c r="AA4167" s="204"/>
      <c r="AB4167" s="204"/>
      <c r="AC4167" s="204"/>
    </row>
    <row r="4168" spans="1:29">
      <c r="A4168" s="204"/>
      <c r="B4168" s="204"/>
      <c r="C4168" s="204"/>
      <c r="D4168" s="204"/>
      <c r="E4168" s="204"/>
      <c r="F4168" s="204"/>
      <c r="G4168" s="204"/>
      <c r="H4168" s="204"/>
      <c r="I4168" s="204"/>
      <c r="J4168" s="204"/>
      <c r="K4168" s="204"/>
      <c r="L4168" s="205"/>
      <c r="M4168" s="205"/>
      <c r="N4168" s="204"/>
      <c r="O4168" s="204"/>
      <c r="P4168" s="206"/>
      <c r="Q4168" s="206"/>
      <c r="R4168" s="206"/>
      <c r="S4168" s="206"/>
      <c r="T4168" s="204"/>
      <c r="U4168" s="207"/>
      <c r="V4168" s="204"/>
      <c r="W4168" s="204"/>
      <c r="X4168" s="207"/>
      <c r="Y4168" s="207"/>
      <c r="Z4168" s="204"/>
      <c r="AA4168" s="204"/>
      <c r="AB4168" s="204"/>
      <c r="AC4168" s="204"/>
    </row>
    <row r="4169" spans="1:29">
      <c r="A4169" s="204"/>
      <c r="B4169" s="204"/>
      <c r="C4169" s="204"/>
      <c r="D4169" s="204"/>
      <c r="E4169" s="204"/>
      <c r="F4169" s="204"/>
      <c r="G4169" s="204"/>
      <c r="H4169" s="204"/>
      <c r="I4169" s="204"/>
      <c r="J4169" s="204"/>
      <c r="K4169" s="204"/>
      <c r="L4169" s="205"/>
      <c r="M4169" s="205"/>
      <c r="N4169" s="204"/>
      <c r="O4169" s="204"/>
      <c r="P4169" s="206"/>
      <c r="Q4169" s="206"/>
      <c r="R4169" s="206"/>
      <c r="S4169" s="206"/>
      <c r="T4169" s="204"/>
      <c r="U4169" s="207"/>
      <c r="V4169" s="204"/>
      <c r="W4169" s="204"/>
      <c r="X4169" s="207"/>
      <c r="Y4169" s="207"/>
      <c r="Z4169" s="204"/>
      <c r="AA4169" s="204"/>
      <c r="AB4169" s="204"/>
      <c r="AC4169" s="204"/>
    </row>
    <row r="4170" spans="1:29">
      <c r="A4170" s="204"/>
      <c r="B4170" s="204"/>
      <c r="C4170" s="204"/>
      <c r="D4170" s="204"/>
      <c r="E4170" s="204"/>
      <c r="F4170" s="204"/>
      <c r="G4170" s="204"/>
      <c r="H4170" s="204"/>
      <c r="I4170" s="204"/>
      <c r="J4170" s="204"/>
      <c r="K4170" s="204"/>
      <c r="L4170" s="205"/>
      <c r="M4170" s="205"/>
      <c r="N4170" s="204"/>
      <c r="O4170" s="204"/>
      <c r="P4170" s="206"/>
      <c r="Q4170" s="206"/>
      <c r="R4170" s="206"/>
      <c r="S4170" s="206"/>
      <c r="T4170" s="204"/>
      <c r="U4170" s="207"/>
      <c r="V4170" s="204"/>
      <c r="W4170" s="204"/>
      <c r="X4170" s="207"/>
      <c r="Y4170" s="207"/>
      <c r="Z4170" s="204"/>
      <c r="AA4170" s="204"/>
      <c r="AB4170" s="204"/>
      <c r="AC4170" s="204"/>
    </row>
    <row r="4171" spans="1:29">
      <c r="A4171" s="204"/>
      <c r="B4171" s="204"/>
      <c r="C4171" s="204"/>
      <c r="D4171" s="204"/>
      <c r="E4171" s="204"/>
      <c r="F4171" s="204"/>
      <c r="G4171" s="204"/>
      <c r="H4171" s="204"/>
      <c r="I4171" s="204"/>
      <c r="J4171" s="204"/>
      <c r="K4171" s="204"/>
      <c r="L4171" s="205"/>
      <c r="M4171" s="205"/>
      <c r="N4171" s="204"/>
      <c r="O4171" s="204"/>
      <c r="P4171" s="206"/>
      <c r="Q4171" s="206"/>
      <c r="R4171" s="206"/>
      <c r="S4171" s="206"/>
      <c r="T4171" s="204"/>
      <c r="U4171" s="207"/>
      <c r="V4171" s="204"/>
      <c r="W4171" s="204"/>
      <c r="X4171" s="207"/>
      <c r="Y4171" s="207"/>
      <c r="Z4171" s="204"/>
      <c r="AA4171" s="204"/>
      <c r="AB4171" s="204"/>
      <c r="AC4171" s="204"/>
    </row>
    <row r="4172" spans="1:29">
      <c r="A4172" s="204"/>
      <c r="B4172" s="204"/>
      <c r="C4172" s="204"/>
      <c r="D4172" s="204"/>
      <c r="E4172" s="204"/>
      <c r="F4172" s="204"/>
      <c r="G4172" s="204"/>
      <c r="H4172" s="204"/>
      <c r="I4172" s="204"/>
      <c r="J4172" s="204"/>
      <c r="K4172" s="204"/>
      <c r="L4172" s="205"/>
      <c r="M4172" s="205"/>
      <c r="N4172" s="204"/>
      <c r="O4172" s="204"/>
      <c r="P4172" s="206"/>
      <c r="Q4172" s="206"/>
      <c r="R4172" s="206"/>
      <c r="S4172" s="206"/>
      <c r="T4172" s="204"/>
      <c r="U4172" s="207"/>
      <c r="V4172" s="204"/>
      <c r="W4172" s="204"/>
      <c r="X4172" s="207"/>
      <c r="Y4172" s="207"/>
      <c r="Z4172" s="204"/>
      <c r="AA4172" s="204"/>
      <c r="AB4172" s="204"/>
      <c r="AC4172" s="204"/>
    </row>
    <row r="4173" spans="1:29">
      <c r="A4173" s="204"/>
      <c r="B4173" s="204"/>
      <c r="C4173" s="204"/>
      <c r="D4173" s="204"/>
      <c r="E4173" s="204"/>
      <c r="F4173" s="204"/>
      <c r="G4173" s="204"/>
      <c r="H4173" s="204"/>
      <c r="I4173" s="204"/>
      <c r="J4173" s="204"/>
      <c r="K4173" s="204"/>
      <c r="L4173" s="205"/>
      <c r="M4173" s="205"/>
      <c r="N4173" s="204"/>
      <c r="O4173" s="204"/>
      <c r="P4173" s="206"/>
      <c r="Q4173" s="206"/>
      <c r="R4173" s="206"/>
      <c r="S4173" s="206"/>
      <c r="T4173" s="204"/>
      <c r="U4173" s="207"/>
      <c r="V4173" s="204"/>
      <c r="W4173" s="204"/>
      <c r="X4173" s="207"/>
      <c r="Y4173" s="207"/>
      <c r="Z4173" s="204"/>
      <c r="AA4173" s="204"/>
      <c r="AB4173" s="204"/>
      <c r="AC4173" s="204"/>
    </row>
    <row r="4174" spans="1:29">
      <c r="A4174" s="204"/>
      <c r="B4174" s="204"/>
      <c r="C4174" s="204"/>
      <c r="D4174" s="204"/>
      <c r="E4174" s="204"/>
      <c r="F4174" s="204"/>
      <c r="G4174" s="204"/>
      <c r="H4174" s="204"/>
      <c r="I4174" s="204"/>
      <c r="J4174" s="204"/>
      <c r="K4174" s="204"/>
      <c r="L4174" s="205"/>
      <c r="M4174" s="205"/>
      <c r="N4174" s="204"/>
      <c r="O4174" s="204"/>
      <c r="P4174" s="206"/>
      <c r="Q4174" s="206"/>
      <c r="R4174" s="206"/>
      <c r="S4174" s="206"/>
      <c r="T4174" s="204"/>
      <c r="U4174" s="207"/>
      <c r="V4174" s="204"/>
      <c r="W4174" s="204"/>
      <c r="X4174" s="207"/>
      <c r="Y4174" s="207"/>
      <c r="Z4174" s="204"/>
      <c r="AA4174" s="204"/>
      <c r="AB4174" s="204"/>
      <c r="AC4174" s="204"/>
    </row>
    <row r="4175" spans="1:29">
      <c r="A4175" s="204"/>
      <c r="B4175" s="204"/>
      <c r="C4175" s="204"/>
      <c r="D4175" s="204"/>
      <c r="E4175" s="204"/>
      <c r="F4175" s="204"/>
      <c r="G4175" s="204"/>
      <c r="H4175" s="204"/>
      <c r="I4175" s="204"/>
      <c r="J4175" s="204"/>
      <c r="K4175" s="204"/>
      <c r="L4175" s="205"/>
      <c r="M4175" s="205"/>
      <c r="N4175" s="204"/>
      <c r="O4175" s="204"/>
      <c r="P4175" s="206"/>
      <c r="Q4175" s="206"/>
      <c r="R4175" s="206"/>
      <c r="S4175" s="206"/>
      <c r="T4175" s="204"/>
      <c r="U4175" s="207"/>
      <c r="V4175" s="204"/>
      <c r="W4175" s="204"/>
      <c r="X4175" s="207"/>
      <c r="Y4175" s="207"/>
      <c r="Z4175" s="204"/>
      <c r="AA4175" s="204"/>
      <c r="AB4175" s="204"/>
      <c r="AC4175" s="204"/>
    </row>
    <row r="4176" spans="1:29">
      <c r="A4176" s="204"/>
      <c r="B4176" s="204"/>
      <c r="C4176" s="204"/>
      <c r="D4176" s="204"/>
      <c r="E4176" s="204"/>
      <c r="F4176" s="204"/>
      <c r="G4176" s="204"/>
      <c r="H4176" s="204"/>
      <c r="I4176" s="204"/>
      <c r="J4176" s="204"/>
      <c r="K4176" s="204"/>
      <c r="L4176" s="205"/>
      <c r="M4176" s="205"/>
      <c r="N4176" s="204"/>
      <c r="O4176" s="204"/>
      <c r="P4176" s="206"/>
      <c r="Q4176" s="206"/>
      <c r="R4176" s="206"/>
      <c r="S4176" s="206"/>
      <c r="T4176" s="204"/>
      <c r="U4176" s="207"/>
      <c r="V4176" s="204"/>
      <c r="W4176" s="204"/>
      <c r="X4176" s="207"/>
      <c r="Y4176" s="207"/>
      <c r="Z4176" s="204"/>
      <c r="AA4176" s="204"/>
      <c r="AB4176" s="204"/>
      <c r="AC4176" s="204"/>
    </row>
    <row r="4177" spans="1:29">
      <c r="A4177" s="204"/>
      <c r="B4177" s="204"/>
      <c r="C4177" s="204"/>
      <c r="D4177" s="204"/>
      <c r="E4177" s="204"/>
      <c r="F4177" s="204"/>
      <c r="G4177" s="204"/>
      <c r="H4177" s="204"/>
      <c r="I4177" s="204"/>
      <c r="J4177" s="204"/>
      <c r="K4177" s="204"/>
      <c r="L4177" s="205"/>
      <c r="M4177" s="205"/>
      <c r="N4177" s="204"/>
      <c r="O4177" s="204"/>
      <c r="P4177" s="206"/>
      <c r="Q4177" s="206"/>
      <c r="R4177" s="206"/>
      <c r="S4177" s="206"/>
      <c r="T4177" s="204"/>
      <c r="U4177" s="207"/>
      <c r="V4177" s="204"/>
      <c r="W4177" s="204"/>
      <c r="X4177" s="207"/>
      <c r="Y4177" s="207"/>
      <c r="Z4177" s="204"/>
      <c r="AA4177" s="204"/>
      <c r="AB4177" s="204"/>
      <c r="AC4177" s="204"/>
    </row>
    <row r="4178" spans="1:29">
      <c r="A4178" s="204"/>
      <c r="B4178" s="204"/>
      <c r="C4178" s="204"/>
      <c r="D4178" s="204"/>
      <c r="E4178" s="204"/>
      <c r="F4178" s="204"/>
      <c r="G4178" s="204"/>
      <c r="H4178" s="204"/>
      <c r="I4178" s="204"/>
      <c r="J4178" s="204"/>
      <c r="K4178" s="204"/>
      <c r="L4178" s="205"/>
      <c r="M4178" s="205"/>
      <c r="N4178" s="204"/>
      <c r="O4178" s="204"/>
      <c r="P4178" s="206"/>
      <c r="Q4178" s="206"/>
      <c r="R4178" s="206"/>
      <c r="S4178" s="206"/>
      <c r="T4178" s="204"/>
      <c r="U4178" s="207"/>
      <c r="V4178" s="204"/>
      <c r="W4178" s="204"/>
      <c r="X4178" s="207"/>
      <c r="Y4178" s="207"/>
      <c r="Z4178" s="204"/>
      <c r="AA4178" s="204"/>
      <c r="AB4178" s="204"/>
      <c r="AC4178" s="204"/>
    </row>
    <row r="4179" spans="1:29">
      <c r="A4179" s="204"/>
      <c r="B4179" s="204"/>
      <c r="C4179" s="204"/>
      <c r="D4179" s="204"/>
      <c r="E4179" s="204"/>
      <c r="F4179" s="204"/>
      <c r="G4179" s="204"/>
      <c r="H4179" s="204"/>
      <c r="I4179" s="204"/>
      <c r="J4179" s="204"/>
      <c r="K4179" s="204"/>
      <c r="L4179" s="205"/>
      <c r="M4179" s="205"/>
      <c r="N4179" s="204"/>
      <c r="O4179" s="204"/>
      <c r="P4179" s="206"/>
      <c r="Q4179" s="206"/>
      <c r="R4179" s="206"/>
      <c r="S4179" s="206"/>
      <c r="T4179" s="204"/>
      <c r="U4179" s="207"/>
      <c r="V4179" s="204"/>
      <c r="W4179" s="204"/>
      <c r="X4179" s="207"/>
      <c r="Y4179" s="207"/>
      <c r="Z4179" s="204"/>
      <c r="AA4179" s="204"/>
      <c r="AB4179" s="204"/>
      <c r="AC4179" s="204"/>
    </row>
    <row r="4180" spans="1:29">
      <c r="A4180" s="204"/>
      <c r="B4180" s="204"/>
      <c r="C4180" s="204"/>
      <c r="D4180" s="204"/>
      <c r="E4180" s="204"/>
      <c r="F4180" s="204"/>
      <c r="G4180" s="204"/>
      <c r="H4180" s="204"/>
      <c r="I4180" s="204"/>
      <c r="J4180" s="204"/>
      <c r="K4180" s="204"/>
      <c r="L4180" s="205"/>
      <c r="M4180" s="205"/>
      <c r="N4180" s="204"/>
      <c r="O4180" s="204"/>
      <c r="P4180" s="206"/>
      <c r="Q4180" s="206"/>
      <c r="R4180" s="206"/>
      <c r="S4180" s="206"/>
      <c r="T4180" s="204"/>
      <c r="U4180" s="207"/>
      <c r="V4180" s="204"/>
      <c r="W4180" s="204"/>
      <c r="X4180" s="207"/>
      <c r="Y4180" s="207"/>
      <c r="Z4180" s="204"/>
      <c r="AA4180" s="204"/>
      <c r="AB4180" s="204"/>
      <c r="AC4180" s="204"/>
    </row>
    <row r="4181" spans="1:29">
      <c r="A4181" s="204"/>
      <c r="B4181" s="204"/>
      <c r="C4181" s="204"/>
      <c r="D4181" s="204"/>
      <c r="E4181" s="204"/>
      <c r="F4181" s="204"/>
      <c r="G4181" s="204"/>
      <c r="H4181" s="204"/>
      <c r="I4181" s="204"/>
      <c r="J4181" s="204"/>
      <c r="K4181" s="204"/>
      <c r="L4181" s="205"/>
      <c r="M4181" s="205"/>
      <c r="N4181" s="204"/>
      <c r="O4181" s="204"/>
      <c r="P4181" s="206"/>
      <c r="Q4181" s="206"/>
      <c r="R4181" s="206"/>
      <c r="S4181" s="206"/>
      <c r="T4181" s="204"/>
      <c r="U4181" s="207"/>
      <c r="V4181" s="204"/>
      <c r="W4181" s="204"/>
      <c r="X4181" s="207"/>
      <c r="Y4181" s="207"/>
      <c r="Z4181" s="204"/>
      <c r="AA4181" s="204"/>
      <c r="AB4181" s="204"/>
      <c r="AC4181" s="204"/>
    </row>
    <row r="4182" spans="1:29">
      <c r="A4182" s="204"/>
      <c r="B4182" s="204"/>
      <c r="C4182" s="204"/>
      <c r="D4182" s="204"/>
      <c r="E4182" s="204"/>
      <c r="F4182" s="204"/>
      <c r="G4182" s="204"/>
      <c r="H4182" s="204"/>
      <c r="I4182" s="204"/>
      <c r="J4182" s="204"/>
      <c r="K4182" s="204"/>
      <c r="L4182" s="205"/>
      <c r="M4182" s="205"/>
      <c r="N4182" s="204"/>
      <c r="O4182" s="204"/>
      <c r="P4182" s="206"/>
      <c r="Q4182" s="206"/>
      <c r="R4182" s="206"/>
      <c r="S4182" s="206"/>
      <c r="T4182" s="204"/>
      <c r="U4182" s="207"/>
      <c r="V4182" s="204"/>
      <c r="W4182" s="204"/>
      <c r="X4182" s="207"/>
      <c r="Y4182" s="207"/>
      <c r="Z4182" s="204"/>
      <c r="AA4182" s="204"/>
      <c r="AB4182" s="204"/>
      <c r="AC4182" s="204"/>
    </row>
    <row r="4183" spans="1:29">
      <c r="A4183" s="204"/>
      <c r="B4183" s="204"/>
      <c r="C4183" s="204"/>
      <c r="D4183" s="204"/>
      <c r="E4183" s="204"/>
      <c r="F4183" s="204"/>
      <c r="G4183" s="204"/>
      <c r="H4183" s="204"/>
      <c r="I4183" s="204"/>
      <c r="J4183" s="204"/>
      <c r="K4183" s="204"/>
      <c r="L4183" s="205"/>
      <c r="M4183" s="205"/>
      <c r="N4183" s="204"/>
      <c r="O4183" s="204"/>
      <c r="P4183" s="206"/>
      <c r="Q4183" s="206"/>
      <c r="R4183" s="206"/>
      <c r="S4183" s="206"/>
      <c r="T4183" s="204"/>
      <c r="U4183" s="207"/>
      <c r="V4183" s="204"/>
      <c r="W4183" s="204"/>
      <c r="X4183" s="207"/>
      <c r="Y4183" s="207"/>
      <c r="Z4183" s="204"/>
      <c r="AA4183" s="204"/>
      <c r="AB4183" s="204"/>
      <c r="AC4183" s="204"/>
    </row>
    <row r="4184" spans="1:29">
      <c r="A4184" s="204"/>
      <c r="B4184" s="204"/>
      <c r="C4184" s="204"/>
      <c r="D4184" s="204"/>
      <c r="E4184" s="204"/>
      <c r="F4184" s="204"/>
      <c r="G4184" s="204"/>
      <c r="H4184" s="204"/>
      <c r="I4184" s="204"/>
      <c r="J4184" s="204"/>
      <c r="K4184" s="204"/>
      <c r="L4184" s="205"/>
      <c r="M4184" s="205"/>
      <c r="N4184" s="204"/>
      <c r="O4184" s="204"/>
      <c r="P4184" s="206"/>
      <c r="Q4184" s="206"/>
      <c r="R4184" s="206"/>
      <c r="S4184" s="206"/>
      <c r="T4184" s="204"/>
      <c r="U4184" s="207"/>
      <c r="V4184" s="204"/>
      <c r="W4184" s="204"/>
      <c r="X4184" s="207"/>
      <c r="Y4184" s="207"/>
      <c r="Z4184" s="204"/>
      <c r="AA4184" s="204"/>
      <c r="AB4184" s="204"/>
      <c r="AC4184" s="204"/>
    </row>
    <row r="4185" spans="1:29">
      <c r="A4185" s="204"/>
      <c r="B4185" s="204"/>
      <c r="C4185" s="204"/>
      <c r="D4185" s="204"/>
      <c r="E4185" s="204"/>
      <c r="F4185" s="204"/>
      <c r="G4185" s="204"/>
      <c r="H4185" s="204"/>
      <c r="I4185" s="204"/>
      <c r="J4185" s="204"/>
      <c r="K4185" s="204"/>
      <c r="L4185" s="205"/>
      <c r="M4185" s="205"/>
      <c r="N4185" s="204"/>
      <c r="O4185" s="204"/>
      <c r="P4185" s="206"/>
      <c r="Q4185" s="206"/>
      <c r="R4185" s="206"/>
      <c r="S4185" s="206"/>
      <c r="T4185" s="204"/>
      <c r="U4185" s="207"/>
      <c r="V4185" s="204"/>
      <c r="W4185" s="204"/>
      <c r="X4185" s="207"/>
      <c r="Y4185" s="207"/>
      <c r="Z4185" s="204"/>
      <c r="AA4185" s="204"/>
      <c r="AB4185" s="204"/>
      <c r="AC4185" s="204"/>
    </row>
    <row r="4186" spans="1:29">
      <c r="A4186" s="204"/>
      <c r="B4186" s="204"/>
      <c r="C4186" s="204"/>
      <c r="D4186" s="204"/>
      <c r="E4186" s="204"/>
      <c r="F4186" s="204"/>
      <c r="G4186" s="204"/>
      <c r="H4186" s="204"/>
      <c r="I4186" s="204"/>
      <c r="J4186" s="204"/>
      <c r="K4186" s="204"/>
      <c r="L4186" s="205"/>
      <c r="M4186" s="205"/>
      <c r="N4186" s="204"/>
      <c r="O4186" s="204"/>
      <c r="P4186" s="206"/>
      <c r="Q4186" s="206"/>
      <c r="R4186" s="206"/>
      <c r="S4186" s="206"/>
      <c r="T4186" s="204"/>
      <c r="U4186" s="207"/>
      <c r="V4186" s="204"/>
      <c r="W4186" s="204"/>
      <c r="X4186" s="207"/>
      <c r="Y4186" s="207"/>
      <c r="Z4186" s="204"/>
      <c r="AA4186" s="204"/>
      <c r="AB4186" s="204"/>
      <c r="AC4186" s="204"/>
    </row>
    <row r="4187" spans="1:29">
      <c r="A4187" s="204"/>
      <c r="B4187" s="204"/>
      <c r="C4187" s="204"/>
      <c r="D4187" s="204"/>
      <c r="E4187" s="204"/>
      <c r="F4187" s="204"/>
      <c r="G4187" s="204"/>
      <c r="H4187" s="204"/>
      <c r="I4187" s="204"/>
      <c r="J4187" s="204"/>
      <c r="K4187" s="204"/>
      <c r="L4187" s="205"/>
      <c r="M4187" s="205"/>
      <c r="N4187" s="204"/>
      <c r="O4187" s="204"/>
      <c r="P4187" s="206"/>
      <c r="Q4187" s="206"/>
      <c r="R4187" s="206"/>
      <c r="S4187" s="206"/>
      <c r="T4187" s="204"/>
      <c r="U4187" s="207"/>
      <c r="V4187" s="204"/>
      <c r="W4187" s="204"/>
      <c r="X4187" s="207"/>
      <c r="Y4187" s="207"/>
      <c r="Z4187" s="204"/>
      <c r="AA4187" s="204"/>
      <c r="AB4187" s="204"/>
      <c r="AC4187" s="204"/>
    </row>
    <row r="4188" spans="1:29">
      <c r="A4188" s="204"/>
      <c r="B4188" s="204"/>
      <c r="C4188" s="204"/>
      <c r="D4188" s="204"/>
      <c r="E4188" s="204"/>
      <c r="F4188" s="204"/>
      <c r="G4188" s="204"/>
      <c r="H4188" s="204"/>
      <c r="I4188" s="204"/>
      <c r="J4188" s="204"/>
      <c r="K4188" s="204"/>
      <c r="L4188" s="205"/>
      <c r="M4188" s="205"/>
      <c r="N4188" s="204"/>
      <c r="O4188" s="204"/>
      <c r="P4188" s="206"/>
      <c r="Q4188" s="206"/>
      <c r="R4188" s="206"/>
      <c r="S4188" s="206"/>
      <c r="T4188" s="204"/>
      <c r="U4188" s="207"/>
      <c r="V4188" s="204"/>
      <c r="W4188" s="204"/>
      <c r="X4188" s="207"/>
      <c r="Y4188" s="207"/>
      <c r="Z4188" s="204"/>
      <c r="AA4188" s="204"/>
      <c r="AB4188" s="204"/>
      <c r="AC4188" s="204"/>
    </row>
    <row r="4189" spans="1:29">
      <c r="A4189" s="204"/>
      <c r="B4189" s="204"/>
      <c r="C4189" s="204"/>
      <c r="D4189" s="204"/>
      <c r="E4189" s="204"/>
      <c r="F4189" s="204"/>
      <c r="G4189" s="204"/>
      <c r="H4189" s="204"/>
      <c r="I4189" s="204"/>
      <c r="J4189" s="204"/>
      <c r="K4189" s="204"/>
      <c r="L4189" s="205"/>
      <c r="M4189" s="205"/>
      <c r="N4189" s="204"/>
      <c r="O4189" s="204"/>
      <c r="P4189" s="206"/>
      <c r="Q4189" s="206"/>
      <c r="R4189" s="206"/>
      <c r="S4189" s="206"/>
      <c r="T4189" s="204"/>
      <c r="U4189" s="207"/>
      <c r="V4189" s="204"/>
      <c r="W4189" s="204"/>
      <c r="X4189" s="207"/>
      <c r="Y4189" s="207"/>
      <c r="Z4189" s="204"/>
      <c r="AA4189" s="204"/>
      <c r="AB4189" s="204"/>
      <c r="AC4189" s="204"/>
    </row>
    <row r="4190" spans="1:29">
      <c r="A4190" s="204"/>
      <c r="B4190" s="204"/>
      <c r="C4190" s="204"/>
      <c r="D4190" s="204"/>
      <c r="E4190" s="204"/>
      <c r="F4190" s="204"/>
      <c r="G4190" s="204"/>
      <c r="H4190" s="204"/>
      <c r="I4190" s="204"/>
      <c r="J4190" s="204"/>
      <c r="K4190" s="204"/>
      <c r="L4190" s="205"/>
      <c r="M4190" s="205"/>
      <c r="N4190" s="204"/>
      <c r="O4190" s="204"/>
      <c r="P4190" s="206"/>
      <c r="Q4190" s="206"/>
      <c r="R4190" s="206"/>
      <c r="S4190" s="206"/>
      <c r="T4190" s="204"/>
      <c r="U4190" s="207"/>
      <c r="V4190" s="204"/>
      <c r="W4190" s="204"/>
      <c r="X4190" s="207"/>
      <c r="Y4190" s="207"/>
      <c r="Z4190" s="204"/>
      <c r="AA4190" s="204"/>
      <c r="AB4190" s="204"/>
      <c r="AC4190" s="204"/>
    </row>
    <row r="4191" spans="1:29">
      <c r="A4191" s="204"/>
      <c r="B4191" s="204"/>
      <c r="C4191" s="204"/>
      <c r="D4191" s="204"/>
      <c r="E4191" s="204"/>
      <c r="F4191" s="204"/>
      <c r="G4191" s="204"/>
      <c r="H4191" s="204"/>
      <c r="I4191" s="204"/>
      <c r="J4191" s="204"/>
      <c r="K4191" s="204"/>
      <c r="L4191" s="205"/>
      <c r="M4191" s="205"/>
      <c r="N4191" s="204"/>
      <c r="O4191" s="204"/>
      <c r="P4191" s="206"/>
      <c r="Q4191" s="206"/>
      <c r="R4191" s="206"/>
      <c r="S4191" s="206"/>
      <c r="T4191" s="204"/>
      <c r="U4191" s="207"/>
      <c r="V4191" s="204"/>
      <c r="W4191" s="204"/>
      <c r="X4191" s="207"/>
      <c r="Y4191" s="207"/>
      <c r="Z4191" s="204"/>
      <c r="AA4191" s="204"/>
      <c r="AB4191" s="204"/>
      <c r="AC4191" s="204"/>
    </row>
    <row r="4192" spans="1:29">
      <c r="A4192" s="204"/>
      <c r="B4192" s="204"/>
      <c r="C4192" s="204"/>
      <c r="D4192" s="204"/>
      <c r="E4192" s="204"/>
      <c r="F4192" s="204"/>
      <c r="G4192" s="204"/>
      <c r="H4192" s="204"/>
      <c r="I4192" s="204"/>
      <c r="J4192" s="204"/>
      <c r="K4192" s="204"/>
      <c r="L4192" s="205"/>
      <c r="M4192" s="205"/>
      <c r="N4192" s="204"/>
      <c r="O4192" s="204"/>
      <c r="P4192" s="206"/>
      <c r="Q4192" s="206"/>
      <c r="R4192" s="206"/>
      <c r="S4192" s="206"/>
      <c r="T4192" s="204"/>
      <c r="U4192" s="207"/>
      <c r="V4192" s="204"/>
      <c r="W4192" s="204"/>
      <c r="X4192" s="207"/>
      <c r="Y4192" s="207"/>
      <c r="Z4192" s="204"/>
      <c r="AA4192" s="204"/>
      <c r="AB4192" s="204"/>
      <c r="AC4192" s="204"/>
    </row>
    <row r="4193" spans="1:29">
      <c r="A4193" s="204"/>
      <c r="B4193" s="204"/>
      <c r="C4193" s="204"/>
      <c r="D4193" s="204"/>
      <c r="E4193" s="204"/>
      <c r="F4193" s="204"/>
      <c r="G4193" s="204"/>
      <c r="H4193" s="204"/>
      <c r="I4193" s="204"/>
      <c r="J4193" s="204"/>
      <c r="K4193" s="204"/>
      <c r="L4193" s="205"/>
      <c r="M4193" s="205"/>
      <c r="N4193" s="204"/>
      <c r="O4193" s="204"/>
      <c r="P4193" s="206"/>
      <c r="Q4193" s="206"/>
      <c r="R4193" s="206"/>
      <c r="S4193" s="206"/>
      <c r="T4193" s="204"/>
      <c r="U4193" s="207"/>
      <c r="V4193" s="204"/>
      <c r="W4193" s="204"/>
      <c r="X4193" s="207"/>
      <c r="Y4193" s="207"/>
      <c r="Z4193" s="204"/>
      <c r="AA4193" s="204"/>
      <c r="AB4193" s="204"/>
      <c r="AC4193" s="204"/>
    </row>
    <row r="4194" spans="1:29">
      <c r="A4194" s="204"/>
      <c r="B4194" s="204"/>
      <c r="C4194" s="204"/>
      <c r="D4194" s="204"/>
      <c r="E4194" s="204"/>
      <c r="F4194" s="204"/>
      <c r="G4194" s="204"/>
      <c r="H4194" s="204"/>
      <c r="I4194" s="204"/>
      <c r="J4194" s="204"/>
      <c r="K4194" s="204"/>
      <c r="L4194" s="205"/>
      <c r="M4194" s="205"/>
      <c r="N4194" s="204"/>
      <c r="O4194" s="204"/>
      <c r="P4194" s="206"/>
      <c r="Q4194" s="206"/>
      <c r="R4194" s="206"/>
      <c r="S4194" s="206"/>
      <c r="T4194" s="204"/>
      <c r="U4194" s="207"/>
      <c r="V4194" s="204"/>
      <c r="W4194" s="204"/>
      <c r="X4194" s="207"/>
      <c r="Y4194" s="207"/>
      <c r="Z4194" s="204"/>
      <c r="AA4194" s="204"/>
      <c r="AB4194" s="204"/>
      <c r="AC4194" s="204"/>
    </row>
    <row r="4195" spans="1:29">
      <c r="A4195" s="204"/>
      <c r="B4195" s="204"/>
      <c r="C4195" s="204"/>
      <c r="D4195" s="204"/>
      <c r="E4195" s="204"/>
      <c r="F4195" s="204"/>
      <c r="G4195" s="204"/>
      <c r="H4195" s="204"/>
      <c r="I4195" s="204"/>
      <c r="J4195" s="204"/>
      <c r="K4195" s="204"/>
      <c r="L4195" s="205"/>
      <c r="M4195" s="205"/>
      <c r="N4195" s="204"/>
      <c r="O4195" s="204"/>
      <c r="P4195" s="206"/>
      <c r="Q4195" s="206"/>
      <c r="R4195" s="206"/>
      <c r="S4195" s="206"/>
      <c r="T4195" s="204"/>
      <c r="U4195" s="207"/>
      <c r="V4195" s="204"/>
      <c r="W4195" s="204"/>
      <c r="X4195" s="207"/>
      <c r="Y4195" s="207"/>
      <c r="Z4195" s="204"/>
      <c r="AA4195" s="204"/>
      <c r="AB4195" s="204"/>
      <c r="AC4195" s="204"/>
    </row>
    <row r="4196" spans="1:29">
      <c r="A4196" s="204"/>
      <c r="B4196" s="204"/>
      <c r="C4196" s="204"/>
      <c r="D4196" s="204"/>
      <c r="E4196" s="204"/>
      <c r="F4196" s="204"/>
      <c r="G4196" s="204"/>
      <c r="H4196" s="204"/>
      <c r="I4196" s="204"/>
      <c r="J4196" s="204"/>
      <c r="K4196" s="204"/>
      <c r="L4196" s="205"/>
      <c r="M4196" s="205"/>
      <c r="N4196" s="204"/>
      <c r="O4196" s="204"/>
      <c r="P4196" s="206"/>
      <c r="Q4196" s="206"/>
      <c r="R4196" s="206"/>
      <c r="S4196" s="206"/>
      <c r="T4196" s="204"/>
      <c r="U4196" s="207"/>
      <c r="V4196" s="204"/>
      <c r="W4196" s="204"/>
      <c r="X4196" s="207"/>
      <c r="Y4196" s="207"/>
      <c r="Z4196" s="204"/>
      <c r="AA4196" s="204"/>
      <c r="AB4196" s="204"/>
      <c r="AC4196" s="204"/>
    </row>
    <row r="4197" spans="1:29">
      <c r="A4197" s="204"/>
      <c r="B4197" s="204"/>
      <c r="C4197" s="204"/>
      <c r="D4197" s="204"/>
      <c r="E4197" s="204"/>
      <c r="F4197" s="204"/>
      <c r="G4197" s="204"/>
      <c r="H4197" s="204"/>
      <c r="I4197" s="204"/>
      <c r="J4197" s="204"/>
      <c r="K4197" s="204"/>
      <c r="L4197" s="205"/>
      <c r="M4197" s="205"/>
      <c r="N4197" s="204"/>
      <c r="O4197" s="204"/>
      <c r="P4197" s="206"/>
      <c r="Q4197" s="206"/>
      <c r="R4197" s="206"/>
      <c r="S4197" s="206"/>
      <c r="T4197" s="204"/>
      <c r="U4197" s="207"/>
      <c r="V4197" s="204"/>
      <c r="W4197" s="204"/>
      <c r="X4197" s="207"/>
      <c r="Y4197" s="207"/>
      <c r="Z4197" s="204"/>
      <c r="AA4197" s="204"/>
      <c r="AB4197" s="204"/>
      <c r="AC4197" s="204"/>
    </row>
    <row r="4198" spans="1:29">
      <c r="A4198" s="204"/>
      <c r="B4198" s="204"/>
      <c r="C4198" s="204"/>
      <c r="D4198" s="204"/>
      <c r="E4198" s="204"/>
      <c r="F4198" s="204"/>
      <c r="G4198" s="204"/>
      <c r="H4198" s="204"/>
      <c r="I4198" s="204"/>
      <c r="J4198" s="204"/>
      <c r="K4198" s="204"/>
      <c r="L4198" s="205"/>
      <c r="M4198" s="205"/>
      <c r="N4198" s="204"/>
      <c r="O4198" s="204"/>
      <c r="P4198" s="206"/>
      <c r="Q4198" s="206"/>
      <c r="R4198" s="206"/>
      <c r="S4198" s="206"/>
      <c r="T4198" s="204"/>
      <c r="U4198" s="207"/>
      <c r="V4198" s="204"/>
      <c r="W4198" s="204"/>
      <c r="X4198" s="207"/>
      <c r="Y4198" s="207"/>
      <c r="Z4198" s="204"/>
      <c r="AA4198" s="204"/>
      <c r="AB4198" s="204"/>
      <c r="AC4198" s="204"/>
    </row>
    <row r="4199" spans="1:29">
      <c r="A4199" s="204"/>
      <c r="B4199" s="204"/>
      <c r="C4199" s="204"/>
      <c r="D4199" s="204"/>
      <c r="E4199" s="204"/>
      <c r="F4199" s="204"/>
      <c r="G4199" s="204"/>
      <c r="H4199" s="204"/>
      <c r="I4199" s="204"/>
      <c r="J4199" s="204"/>
      <c r="K4199" s="204"/>
      <c r="L4199" s="205"/>
      <c r="M4199" s="205"/>
      <c r="N4199" s="204"/>
      <c r="O4199" s="204"/>
      <c r="P4199" s="206"/>
      <c r="Q4199" s="206"/>
      <c r="R4199" s="206"/>
      <c r="S4199" s="206"/>
      <c r="T4199" s="204"/>
      <c r="U4199" s="207"/>
      <c r="V4199" s="204"/>
      <c r="W4199" s="204"/>
      <c r="X4199" s="207"/>
      <c r="Y4199" s="207"/>
      <c r="Z4199" s="204"/>
      <c r="AA4199" s="204"/>
      <c r="AB4199" s="204"/>
      <c r="AC4199" s="204"/>
    </row>
    <row r="4200" spans="1:29">
      <c r="A4200" s="204"/>
      <c r="B4200" s="204"/>
      <c r="C4200" s="204"/>
      <c r="D4200" s="204"/>
      <c r="E4200" s="204"/>
      <c r="F4200" s="204"/>
      <c r="G4200" s="204"/>
      <c r="H4200" s="204"/>
      <c r="I4200" s="204"/>
      <c r="J4200" s="204"/>
      <c r="K4200" s="204"/>
      <c r="L4200" s="205"/>
      <c r="M4200" s="205"/>
      <c r="N4200" s="204"/>
      <c r="O4200" s="204"/>
      <c r="P4200" s="206"/>
      <c r="Q4200" s="206"/>
      <c r="R4200" s="206"/>
      <c r="S4200" s="206"/>
      <c r="T4200" s="204"/>
      <c r="U4200" s="207"/>
      <c r="V4200" s="204"/>
      <c r="W4200" s="204"/>
      <c r="X4200" s="207"/>
      <c r="Y4200" s="207"/>
      <c r="Z4200" s="204"/>
      <c r="AA4200" s="204"/>
      <c r="AB4200" s="204"/>
      <c r="AC4200" s="204"/>
    </row>
    <row r="4201" spans="1:29">
      <c r="A4201" s="204"/>
      <c r="B4201" s="204"/>
      <c r="C4201" s="204"/>
      <c r="D4201" s="204"/>
      <c r="E4201" s="204"/>
      <c r="F4201" s="204"/>
      <c r="G4201" s="204"/>
      <c r="H4201" s="204"/>
      <c r="I4201" s="204"/>
      <c r="J4201" s="204"/>
      <c r="K4201" s="204"/>
      <c r="L4201" s="205"/>
      <c r="M4201" s="205"/>
      <c r="N4201" s="204"/>
      <c r="O4201" s="204"/>
      <c r="P4201" s="206"/>
      <c r="Q4201" s="206"/>
      <c r="R4201" s="206"/>
      <c r="S4201" s="206"/>
      <c r="T4201" s="204"/>
      <c r="U4201" s="207"/>
      <c r="V4201" s="204"/>
      <c r="W4201" s="204"/>
      <c r="X4201" s="207"/>
      <c r="Y4201" s="207"/>
      <c r="Z4201" s="204"/>
      <c r="AA4201" s="204"/>
      <c r="AB4201" s="204"/>
      <c r="AC4201" s="204"/>
    </row>
    <row r="4202" spans="1:29">
      <c r="A4202" s="204"/>
      <c r="B4202" s="204"/>
      <c r="C4202" s="204"/>
      <c r="D4202" s="204"/>
      <c r="E4202" s="204"/>
      <c r="F4202" s="204"/>
      <c r="G4202" s="204"/>
      <c r="H4202" s="204"/>
      <c r="I4202" s="204"/>
      <c r="J4202" s="204"/>
      <c r="K4202" s="204"/>
      <c r="L4202" s="205"/>
      <c r="M4202" s="205"/>
      <c r="N4202" s="204"/>
      <c r="O4202" s="204"/>
      <c r="P4202" s="206"/>
      <c r="Q4202" s="206"/>
      <c r="R4202" s="206"/>
      <c r="S4202" s="206"/>
      <c r="T4202" s="204"/>
      <c r="U4202" s="207"/>
      <c r="V4202" s="204"/>
      <c r="W4202" s="204"/>
      <c r="X4202" s="207"/>
      <c r="Y4202" s="207"/>
      <c r="Z4202" s="204"/>
      <c r="AA4202" s="204"/>
      <c r="AB4202" s="204"/>
      <c r="AC4202" s="204"/>
    </row>
    <row r="4203" spans="1:29">
      <c r="A4203" s="204"/>
      <c r="B4203" s="204"/>
      <c r="C4203" s="204"/>
      <c r="D4203" s="204"/>
      <c r="E4203" s="204"/>
      <c r="F4203" s="204"/>
      <c r="G4203" s="204"/>
      <c r="H4203" s="204"/>
      <c r="I4203" s="204"/>
      <c r="J4203" s="204"/>
      <c r="K4203" s="204"/>
      <c r="L4203" s="205"/>
      <c r="M4203" s="205"/>
      <c r="N4203" s="204"/>
      <c r="O4203" s="204"/>
      <c r="P4203" s="206"/>
      <c r="Q4203" s="206"/>
      <c r="R4203" s="206"/>
      <c r="S4203" s="206"/>
      <c r="T4203" s="204"/>
      <c r="U4203" s="207"/>
      <c r="V4203" s="204"/>
      <c r="W4203" s="204"/>
      <c r="X4203" s="207"/>
      <c r="Y4203" s="207"/>
      <c r="Z4203" s="204"/>
      <c r="AA4203" s="204"/>
      <c r="AB4203" s="204"/>
      <c r="AC4203" s="204"/>
    </row>
    <row r="4204" spans="1:29">
      <c r="A4204" s="204"/>
      <c r="B4204" s="204"/>
      <c r="C4204" s="204"/>
      <c r="D4204" s="204"/>
      <c r="E4204" s="204"/>
      <c r="F4204" s="204"/>
      <c r="G4204" s="204"/>
      <c r="H4204" s="204"/>
      <c r="I4204" s="204"/>
      <c r="J4204" s="204"/>
      <c r="K4204" s="204"/>
      <c r="L4204" s="205"/>
      <c r="M4204" s="205"/>
      <c r="N4204" s="204"/>
      <c r="O4204" s="204"/>
      <c r="P4204" s="206"/>
      <c r="Q4204" s="206"/>
      <c r="R4204" s="206"/>
      <c r="S4204" s="206"/>
      <c r="T4204" s="204"/>
      <c r="U4204" s="207"/>
      <c r="V4204" s="204"/>
      <c r="W4204" s="204"/>
      <c r="X4204" s="207"/>
      <c r="Y4204" s="207"/>
      <c r="Z4204" s="204"/>
      <c r="AA4204" s="204"/>
      <c r="AB4204" s="204"/>
      <c r="AC4204" s="204"/>
    </row>
    <row r="4205" spans="1:29">
      <c r="A4205" s="204"/>
      <c r="B4205" s="204"/>
      <c r="C4205" s="204"/>
      <c r="D4205" s="204"/>
      <c r="E4205" s="204"/>
      <c r="F4205" s="204"/>
      <c r="G4205" s="204"/>
      <c r="H4205" s="204"/>
      <c r="I4205" s="204"/>
      <c r="J4205" s="204"/>
      <c r="K4205" s="204"/>
      <c r="L4205" s="205"/>
      <c r="M4205" s="205"/>
      <c r="N4205" s="204"/>
      <c r="O4205" s="204"/>
      <c r="P4205" s="206"/>
      <c r="Q4205" s="206"/>
      <c r="R4205" s="206"/>
      <c r="S4205" s="206"/>
      <c r="T4205" s="204"/>
      <c r="U4205" s="207"/>
      <c r="V4205" s="204"/>
      <c r="W4205" s="204"/>
      <c r="X4205" s="207"/>
      <c r="Y4205" s="207"/>
      <c r="Z4205" s="204"/>
      <c r="AA4205" s="204"/>
      <c r="AB4205" s="204"/>
      <c r="AC4205" s="204"/>
    </row>
    <row r="4206" spans="1:29">
      <c r="A4206" s="204"/>
      <c r="B4206" s="204"/>
      <c r="C4206" s="204"/>
      <c r="D4206" s="204"/>
      <c r="E4206" s="204"/>
      <c r="F4206" s="204"/>
      <c r="G4206" s="204"/>
      <c r="H4206" s="204"/>
      <c r="I4206" s="204"/>
      <c r="J4206" s="204"/>
      <c r="K4206" s="204"/>
      <c r="L4206" s="205"/>
      <c r="M4206" s="205"/>
      <c r="N4206" s="204"/>
      <c r="O4206" s="204"/>
      <c r="P4206" s="206"/>
      <c r="Q4206" s="206"/>
      <c r="R4206" s="206"/>
      <c r="S4206" s="206"/>
      <c r="T4206" s="204"/>
      <c r="U4206" s="207"/>
      <c r="V4206" s="204"/>
      <c r="W4206" s="204"/>
      <c r="X4206" s="207"/>
      <c r="Y4206" s="207"/>
      <c r="Z4206" s="204"/>
      <c r="AA4206" s="204"/>
      <c r="AB4206" s="204"/>
      <c r="AC4206" s="204"/>
    </row>
    <row r="4207" spans="1:29">
      <c r="A4207" s="204"/>
      <c r="B4207" s="204"/>
      <c r="C4207" s="204"/>
      <c r="D4207" s="204"/>
      <c r="E4207" s="204"/>
      <c r="F4207" s="204"/>
      <c r="G4207" s="204"/>
      <c r="H4207" s="204"/>
      <c r="I4207" s="204"/>
      <c r="J4207" s="204"/>
      <c r="K4207" s="204"/>
      <c r="L4207" s="205"/>
      <c r="M4207" s="205"/>
      <c r="N4207" s="204"/>
      <c r="O4207" s="204"/>
      <c r="P4207" s="206"/>
      <c r="Q4207" s="206"/>
      <c r="R4207" s="206"/>
      <c r="S4207" s="206"/>
      <c r="T4207" s="204"/>
      <c r="U4207" s="207"/>
      <c r="V4207" s="204"/>
      <c r="W4207" s="204"/>
      <c r="X4207" s="207"/>
      <c r="Y4207" s="207"/>
      <c r="Z4207" s="204"/>
      <c r="AA4207" s="204"/>
      <c r="AB4207" s="204"/>
      <c r="AC4207" s="204"/>
    </row>
    <row r="4208" spans="1:29">
      <c r="A4208" s="204"/>
      <c r="B4208" s="204"/>
      <c r="C4208" s="204"/>
      <c r="D4208" s="204"/>
      <c r="E4208" s="204"/>
      <c r="F4208" s="204"/>
      <c r="G4208" s="204"/>
      <c r="H4208" s="204"/>
      <c r="I4208" s="204"/>
      <c r="J4208" s="204"/>
      <c r="K4208" s="204"/>
      <c r="L4208" s="205"/>
      <c r="M4208" s="205"/>
      <c r="N4208" s="204"/>
      <c r="O4208" s="204"/>
      <c r="P4208" s="206"/>
      <c r="Q4208" s="206"/>
      <c r="R4208" s="206"/>
      <c r="S4208" s="206"/>
      <c r="T4208" s="204"/>
      <c r="U4208" s="207"/>
      <c r="V4208" s="204"/>
      <c r="W4208" s="204"/>
      <c r="X4208" s="207"/>
      <c r="Y4208" s="207"/>
      <c r="Z4208" s="204"/>
      <c r="AA4208" s="204"/>
      <c r="AB4208" s="204"/>
      <c r="AC4208" s="204"/>
    </row>
    <row r="4209" spans="1:29">
      <c r="A4209" s="204"/>
      <c r="B4209" s="204"/>
      <c r="C4209" s="204"/>
      <c r="D4209" s="204"/>
      <c r="E4209" s="204"/>
      <c r="F4209" s="204"/>
      <c r="G4209" s="204"/>
      <c r="H4209" s="204"/>
      <c r="I4209" s="204"/>
      <c r="J4209" s="204"/>
      <c r="K4209" s="204"/>
      <c r="L4209" s="205"/>
      <c r="M4209" s="205"/>
      <c r="N4209" s="204"/>
      <c r="O4209" s="204"/>
      <c r="P4209" s="206"/>
      <c r="Q4209" s="206"/>
      <c r="R4209" s="206"/>
      <c r="S4209" s="206"/>
      <c r="T4209" s="204"/>
      <c r="U4209" s="207"/>
      <c r="V4209" s="204"/>
      <c r="W4209" s="204"/>
      <c r="X4209" s="207"/>
      <c r="Y4209" s="207"/>
      <c r="Z4209" s="204"/>
      <c r="AA4209" s="204"/>
      <c r="AB4209" s="204"/>
      <c r="AC4209" s="204"/>
    </row>
    <row r="4210" spans="1:29">
      <c r="A4210" s="204"/>
      <c r="B4210" s="204"/>
      <c r="C4210" s="204"/>
      <c r="D4210" s="204"/>
      <c r="E4210" s="204"/>
      <c r="F4210" s="204"/>
      <c r="G4210" s="204"/>
      <c r="H4210" s="204"/>
      <c r="I4210" s="204"/>
      <c r="J4210" s="204"/>
      <c r="K4210" s="204"/>
      <c r="L4210" s="205"/>
      <c r="M4210" s="205"/>
      <c r="N4210" s="204"/>
      <c r="O4210" s="204"/>
      <c r="P4210" s="206"/>
      <c r="Q4210" s="206"/>
      <c r="R4210" s="206"/>
      <c r="S4210" s="206"/>
      <c r="T4210" s="204"/>
      <c r="U4210" s="207"/>
      <c r="V4210" s="204"/>
      <c r="W4210" s="204"/>
      <c r="X4210" s="207"/>
      <c r="Y4210" s="207"/>
      <c r="Z4210" s="204"/>
      <c r="AA4210" s="204"/>
      <c r="AB4210" s="204"/>
      <c r="AC4210" s="204"/>
    </row>
    <row r="4211" spans="1:29">
      <c r="A4211" s="204"/>
      <c r="B4211" s="204"/>
      <c r="C4211" s="204"/>
      <c r="D4211" s="204"/>
      <c r="E4211" s="204"/>
      <c r="F4211" s="204"/>
      <c r="G4211" s="204"/>
      <c r="H4211" s="204"/>
      <c r="I4211" s="204"/>
      <c r="J4211" s="204"/>
      <c r="K4211" s="204"/>
      <c r="L4211" s="205"/>
      <c r="M4211" s="205"/>
      <c r="N4211" s="204"/>
      <c r="O4211" s="204"/>
      <c r="P4211" s="206"/>
      <c r="Q4211" s="206"/>
      <c r="R4211" s="206"/>
      <c r="S4211" s="206"/>
      <c r="T4211" s="204"/>
      <c r="U4211" s="207"/>
      <c r="V4211" s="204"/>
      <c r="W4211" s="204"/>
      <c r="X4211" s="207"/>
      <c r="Y4211" s="207"/>
      <c r="Z4211" s="204"/>
      <c r="AA4211" s="204"/>
      <c r="AB4211" s="204"/>
      <c r="AC4211" s="204"/>
    </row>
    <row r="4212" spans="1:29">
      <c r="A4212" s="204"/>
      <c r="B4212" s="204"/>
      <c r="C4212" s="204"/>
      <c r="D4212" s="204"/>
      <c r="E4212" s="204"/>
      <c r="F4212" s="204"/>
      <c r="G4212" s="204"/>
      <c r="H4212" s="204"/>
      <c r="I4212" s="204"/>
      <c r="J4212" s="204"/>
      <c r="K4212" s="204"/>
      <c r="L4212" s="205"/>
      <c r="M4212" s="205"/>
      <c r="N4212" s="204"/>
      <c r="O4212" s="204"/>
      <c r="P4212" s="206"/>
      <c r="Q4212" s="206"/>
      <c r="R4212" s="206"/>
      <c r="S4212" s="206"/>
      <c r="T4212" s="204"/>
      <c r="U4212" s="207"/>
      <c r="V4212" s="204"/>
      <c r="W4212" s="204"/>
      <c r="X4212" s="207"/>
      <c r="Y4212" s="207"/>
      <c r="Z4212" s="204"/>
      <c r="AA4212" s="204"/>
      <c r="AB4212" s="204"/>
      <c r="AC4212" s="204"/>
    </row>
    <row r="4213" spans="1:29">
      <c r="A4213" s="204"/>
      <c r="B4213" s="204"/>
      <c r="C4213" s="204"/>
      <c r="D4213" s="204"/>
      <c r="E4213" s="204"/>
      <c r="F4213" s="204"/>
      <c r="G4213" s="204"/>
      <c r="H4213" s="204"/>
      <c r="I4213" s="204"/>
      <c r="J4213" s="204"/>
      <c r="K4213" s="204"/>
      <c r="L4213" s="205"/>
      <c r="M4213" s="205"/>
      <c r="N4213" s="204"/>
      <c r="O4213" s="204"/>
      <c r="P4213" s="206"/>
      <c r="Q4213" s="206"/>
      <c r="R4213" s="206"/>
      <c r="S4213" s="206"/>
      <c r="T4213" s="204"/>
      <c r="U4213" s="207"/>
      <c r="V4213" s="204"/>
      <c r="W4213" s="204"/>
      <c r="X4213" s="207"/>
      <c r="Y4213" s="207"/>
      <c r="Z4213" s="204"/>
      <c r="AA4213" s="204"/>
      <c r="AB4213" s="204"/>
      <c r="AC4213" s="204"/>
    </row>
    <row r="4214" spans="1:29">
      <c r="A4214" s="204"/>
      <c r="B4214" s="204"/>
      <c r="C4214" s="204"/>
      <c r="D4214" s="204"/>
      <c r="E4214" s="204"/>
      <c r="F4214" s="204"/>
      <c r="G4214" s="204"/>
      <c r="H4214" s="204"/>
      <c r="I4214" s="204"/>
      <c r="J4214" s="204"/>
      <c r="K4214" s="204"/>
      <c r="L4214" s="205"/>
      <c r="M4214" s="205"/>
      <c r="N4214" s="204"/>
      <c r="O4214" s="204"/>
      <c r="P4214" s="206"/>
      <c r="Q4214" s="206"/>
      <c r="R4214" s="206"/>
      <c r="S4214" s="206"/>
      <c r="T4214" s="204"/>
      <c r="U4214" s="207"/>
      <c r="V4214" s="204"/>
      <c r="W4214" s="204"/>
      <c r="X4214" s="207"/>
      <c r="Y4214" s="207"/>
      <c r="Z4214" s="204"/>
      <c r="AA4214" s="204"/>
      <c r="AB4214" s="204"/>
      <c r="AC4214" s="204"/>
    </row>
    <row r="4215" spans="1:29">
      <c r="A4215" s="204"/>
      <c r="B4215" s="204"/>
      <c r="C4215" s="204"/>
      <c r="D4215" s="204"/>
      <c r="E4215" s="204"/>
      <c r="F4215" s="204"/>
      <c r="G4215" s="204"/>
      <c r="H4215" s="204"/>
      <c r="I4215" s="204"/>
      <c r="J4215" s="204"/>
      <c r="K4215" s="204"/>
      <c r="L4215" s="205"/>
      <c r="M4215" s="205"/>
      <c r="N4215" s="204"/>
      <c r="O4215" s="204"/>
      <c r="P4215" s="206"/>
      <c r="Q4215" s="206"/>
      <c r="R4215" s="206"/>
      <c r="S4215" s="206"/>
      <c r="T4215" s="204"/>
      <c r="U4215" s="207"/>
      <c r="V4215" s="204"/>
      <c r="W4215" s="204"/>
      <c r="X4215" s="207"/>
      <c r="Y4215" s="207"/>
      <c r="Z4215" s="204"/>
      <c r="AA4215" s="204"/>
      <c r="AB4215" s="204"/>
      <c r="AC4215" s="204"/>
    </row>
    <row r="4216" spans="1:29">
      <c r="A4216" s="204"/>
      <c r="B4216" s="204"/>
      <c r="C4216" s="204"/>
      <c r="D4216" s="204"/>
      <c r="E4216" s="204"/>
      <c r="F4216" s="204"/>
      <c r="G4216" s="204"/>
      <c r="H4216" s="204"/>
      <c r="I4216" s="204"/>
      <c r="J4216" s="204"/>
      <c r="K4216" s="204"/>
      <c r="L4216" s="205"/>
      <c r="M4216" s="205"/>
      <c r="N4216" s="204"/>
      <c r="O4216" s="204"/>
      <c r="P4216" s="206"/>
      <c r="Q4216" s="206"/>
      <c r="R4216" s="206"/>
      <c r="S4216" s="206"/>
      <c r="T4216" s="204"/>
      <c r="U4216" s="207"/>
      <c r="V4216" s="204"/>
      <c r="W4216" s="204"/>
      <c r="X4216" s="207"/>
      <c r="Y4216" s="207"/>
      <c r="Z4216" s="204"/>
      <c r="AA4216" s="204"/>
      <c r="AB4216" s="204"/>
      <c r="AC4216" s="204"/>
    </row>
    <row r="4217" spans="1:29">
      <c r="A4217" s="204"/>
      <c r="B4217" s="204"/>
      <c r="C4217" s="204"/>
      <c r="D4217" s="204"/>
      <c r="E4217" s="204"/>
      <c r="F4217" s="204"/>
      <c r="G4217" s="204"/>
      <c r="H4217" s="204"/>
      <c r="I4217" s="204"/>
      <c r="J4217" s="204"/>
      <c r="K4217" s="204"/>
      <c r="L4217" s="205"/>
      <c r="M4217" s="205"/>
      <c r="N4217" s="204"/>
      <c r="O4217" s="204"/>
      <c r="P4217" s="206"/>
      <c r="Q4217" s="206"/>
      <c r="R4217" s="206"/>
      <c r="S4217" s="206"/>
      <c r="T4217" s="204"/>
      <c r="U4217" s="207"/>
      <c r="V4217" s="204"/>
      <c r="W4217" s="204"/>
      <c r="X4217" s="207"/>
      <c r="Y4217" s="207"/>
      <c r="Z4217" s="204"/>
      <c r="AA4217" s="204"/>
      <c r="AB4217" s="204"/>
      <c r="AC4217" s="204"/>
    </row>
    <row r="4218" spans="1:29">
      <c r="A4218" s="204"/>
      <c r="B4218" s="204"/>
      <c r="C4218" s="204"/>
      <c r="D4218" s="204"/>
      <c r="E4218" s="204"/>
      <c r="F4218" s="204"/>
      <c r="G4218" s="204"/>
      <c r="H4218" s="204"/>
      <c r="I4218" s="204"/>
      <c r="J4218" s="204"/>
      <c r="K4218" s="204"/>
      <c r="L4218" s="205"/>
      <c r="M4218" s="205"/>
      <c r="N4218" s="204"/>
      <c r="O4218" s="204"/>
      <c r="P4218" s="206"/>
      <c r="Q4218" s="206"/>
      <c r="R4218" s="206"/>
      <c r="S4218" s="206"/>
      <c r="T4218" s="204"/>
      <c r="U4218" s="207"/>
      <c r="V4218" s="204"/>
      <c r="W4218" s="204"/>
      <c r="X4218" s="207"/>
      <c r="Y4218" s="207"/>
      <c r="Z4218" s="204"/>
      <c r="AA4218" s="204"/>
      <c r="AB4218" s="204"/>
      <c r="AC4218" s="204"/>
    </row>
    <row r="4219" spans="1:29">
      <c r="A4219" s="204"/>
      <c r="B4219" s="204"/>
      <c r="C4219" s="204"/>
      <c r="D4219" s="204"/>
      <c r="E4219" s="204"/>
      <c r="F4219" s="204"/>
      <c r="G4219" s="204"/>
      <c r="H4219" s="204"/>
      <c r="I4219" s="204"/>
      <c r="J4219" s="204"/>
      <c r="K4219" s="204"/>
      <c r="L4219" s="205"/>
      <c r="M4219" s="205"/>
      <c r="N4219" s="204"/>
      <c r="O4219" s="204"/>
      <c r="P4219" s="206"/>
      <c r="Q4219" s="206"/>
      <c r="R4219" s="206"/>
      <c r="S4219" s="206"/>
      <c r="T4219" s="204"/>
      <c r="U4219" s="207"/>
      <c r="V4219" s="204"/>
      <c r="W4219" s="204"/>
      <c r="X4219" s="207"/>
      <c r="Y4219" s="207"/>
      <c r="Z4219" s="204"/>
      <c r="AA4219" s="204"/>
      <c r="AB4219" s="204"/>
      <c r="AC4219" s="204"/>
    </row>
    <row r="4220" spans="1:29">
      <c r="A4220" s="204"/>
      <c r="B4220" s="204"/>
      <c r="C4220" s="204"/>
      <c r="D4220" s="204"/>
      <c r="E4220" s="204"/>
      <c r="F4220" s="204"/>
      <c r="G4220" s="204"/>
      <c r="H4220" s="204"/>
      <c r="I4220" s="204"/>
      <c r="J4220" s="204"/>
      <c r="K4220" s="204"/>
      <c r="L4220" s="205"/>
      <c r="M4220" s="205"/>
      <c r="N4220" s="204"/>
      <c r="O4220" s="204"/>
      <c r="P4220" s="206"/>
      <c r="Q4220" s="206"/>
      <c r="R4220" s="206"/>
      <c r="S4220" s="206"/>
      <c r="T4220" s="204"/>
      <c r="U4220" s="207"/>
      <c r="V4220" s="204"/>
      <c r="W4220" s="204"/>
      <c r="X4220" s="207"/>
      <c r="Y4220" s="207"/>
      <c r="Z4220" s="204"/>
      <c r="AA4220" s="204"/>
      <c r="AB4220" s="204"/>
      <c r="AC4220" s="204"/>
    </row>
    <row r="4221" spans="1:29">
      <c r="A4221" s="204"/>
      <c r="B4221" s="204"/>
      <c r="C4221" s="204"/>
      <c r="D4221" s="204"/>
      <c r="E4221" s="204"/>
      <c r="F4221" s="204"/>
      <c r="G4221" s="204"/>
      <c r="H4221" s="204"/>
      <c r="I4221" s="204"/>
      <c r="J4221" s="204"/>
      <c r="K4221" s="204"/>
      <c r="L4221" s="205"/>
      <c r="M4221" s="205"/>
      <c r="N4221" s="204"/>
      <c r="O4221" s="204"/>
      <c r="P4221" s="206"/>
      <c r="Q4221" s="206"/>
      <c r="R4221" s="206"/>
      <c r="S4221" s="206"/>
      <c r="T4221" s="204"/>
      <c r="U4221" s="207"/>
      <c r="V4221" s="204"/>
      <c r="W4221" s="204"/>
      <c r="X4221" s="207"/>
      <c r="Y4221" s="207"/>
      <c r="Z4221" s="204"/>
      <c r="AA4221" s="204"/>
      <c r="AB4221" s="204"/>
      <c r="AC4221" s="204"/>
    </row>
    <row r="4222" spans="1:29">
      <c r="A4222" s="204"/>
      <c r="B4222" s="204"/>
      <c r="C4222" s="204"/>
      <c r="D4222" s="204"/>
      <c r="E4222" s="204"/>
      <c r="F4222" s="204"/>
      <c r="G4222" s="204"/>
      <c r="H4222" s="204"/>
      <c r="I4222" s="204"/>
      <c r="J4222" s="204"/>
      <c r="K4222" s="204"/>
      <c r="L4222" s="205"/>
      <c r="M4222" s="205"/>
      <c r="N4222" s="204"/>
      <c r="O4222" s="204"/>
      <c r="P4222" s="206"/>
      <c r="Q4222" s="206"/>
      <c r="R4222" s="206"/>
      <c r="S4222" s="206"/>
      <c r="T4222" s="204"/>
      <c r="U4222" s="207"/>
      <c r="V4222" s="204"/>
      <c r="W4222" s="204"/>
      <c r="X4222" s="207"/>
      <c r="Y4222" s="207"/>
      <c r="Z4222" s="204"/>
      <c r="AA4222" s="204"/>
      <c r="AB4222" s="204"/>
      <c r="AC4222" s="204"/>
    </row>
    <row r="4223" spans="1:29">
      <c r="A4223" s="204"/>
      <c r="B4223" s="204"/>
      <c r="C4223" s="204"/>
      <c r="D4223" s="204"/>
      <c r="E4223" s="204"/>
      <c r="F4223" s="204"/>
      <c r="G4223" s="204"/>
      <c r="H4223" s="204"/>
      <c r="I4223" s="204"/>
      <c r="J4223" s="204"/>
      <c r="K4223" s="204"/>
      <c r="L4223" s="205"/>
      <c r="M4223" s="205"/>
      <c r="N4223" s="204"/>
      <c r="O4223" s="204"/>
      <c r="P4223" s="206"/>
      <c r="Q4223" s="206"/>
      <c r="R4223" s="206"/>
      <c r="S4223" s="206"/>
      <c r="T4223" s="204"/>
      <c r="U4223" s="207"/>
      <c r="V4223" s="204"/>
      <c r="W4223" s="204"/>
      <c r="X4223" s="207"/>
      <c r="Y4223" s="207"/>
      <c r="Z4223" s="204"/>
      <c r="AA4223" s="204"/>
      <c r="AB4223" s="204"/>
      <c r="AC4223" s="204"/>
    </row>
    <row r="4224" spans="1:29">
      <c r="A4224" s="204"/>
      <c r="B4224" s="204"/>
      <c r="C4224" s="204"/>
      <c r="D4224" s="204"/>
      <c r="E4224" s="204"/>
      <c r="F4224" s="204"/>
      <c r="G4224" s="204"/>
      <c r="H4224" s="204"/>
      <c r="I4224" s="204"/>
      <c r="J4224" s="204"/>
      <c r="K4224" s="204"/>
      <c r="L4224" s="205"/>
      <c r="M4224" s="205"/>
      <c r="N4224" s="204"/>
      <c r="O4224" s="204"/>
      <c r="P4224" s="206"/>
      <c r="Q4224" s="206"/>
      <c r="R4224" s="206"/>
      <c r="S4224" s="206"/>
      <c r="T4224" s="204"/>
      <c r="U4224" s="207"/>
      <c r="V4224" s="204"/>
      <c r="W4224" s="204"/>
      <c r="X4224" s="207"/>
      <c r="Y4224" s="207"/>
      <c r="Z4224" s="204"/>
      <c r="AA4224" s="204"/>
      <c r="AB4224" s="204"/>
      <c r="AC4224" s="204"/>
    </row>
    <row r="4225" spans="1:29">
      <c r="A4225" s="204"/>
      <c r="B4225" s="204"/>
      <c r="C4225" s="204"/>
      <c r="D4225" s="204"/>
      <c r="E4225" s="204"/>
      <c r="F4225" s="204"/>
      <c r="G4225" s="204"/>
      <c r="H4225" s="204"/>
      <c r="I4225" s="204"/>
      <c r="J4225" s="204"/>
      <c r="K4225" s="204"/>
      <c r="L4225" s="205"/>
      <c r="M4225" s="205"/>
      <c r="N4225" s="204"/>
      <c r="O4225" s="204"/>
      <c r="P4225" s="206"/>
      <c r="Q4225" s="206"/>
      <c r="R4225" s="206"/>
      <c r="S4225" s="206"/>
      <c r="T4225" s="204"/>
      <c r="U4225" s="207"/>
      <c r="V4225" s="204"/>
      <c r="W4225" s="204"/>
      <c r="X4225" s="207"/>
      <c r="Y4225" s="207"/>
      <c r="Z4225" s="204"/>
      <c r="AA4225" s="204"/>
      <c r="AB4225" s="204"/>
      <c r="AC4225" s="204"/>
    </row>
    <row r="4226" spans="1:29">
      <c r="A4226" s="204"/>
      <c r="B4226" s="204"/>
      <c r="C4226" s="204"/>
      <c r="D4226" s="204"/>
      <c r="E4226" s="204"/>
      <c r="F4226" s="204"/>
      <c r="G4226" s="204"/>
      <c r="H4226" s="204"/>
      <c r="I4226" s="204"/>
      <c r="J4226" s="204"/>
      <c r="K4226" s="204"/>
      <c r="L4226" s="205"/>
      <c r="M4226" s="205"/>
      <c r="N4226" s="204"/>
      <c r="O4226" s="204"/>
      <c r="P4226" s="206"/>
      <c r="Q4226" s="206"/>
      <c r="R4226" s="206"/>
      <c r="S4226" s="206"/>
      <c r="T4226" s="204"/>
      <c r="U4226" s="207"/>
      <c r="V4226" s="204"/>
      <c r="W4226" s="204"/>
      <c r="X4226" s="207"/>
      <c r="Y4226" s="207"/>
      <c r="Z4226" s="204"/>
      <c r="AA4226" s="204"/>
      <c r="AB4226" s="204"/>
      <c r="AC4226" s="204"/>
    </row>
    <row r="4227" spans="1:29">
      <c r="A4227" s="204"/>
      <c r="B4227" s="204"/>
      <c r="C4227" s="204"/>
      <c r="D4227" s="204"/>
      <c r="E4227" s="204"/>
      <c r="F4227" s="204"/>
      <c r="G4227" s="204"/>
      <c r="H4227" s="204"/>
      <c r="I4227" s="204"/>
      <c r="J4227" s="204"/>
      <c r="K4227" s="204"/>
      <c r="L4227" s="205"/>
      <c r="M4227" s="205"/>
      <c r="N4227" s="204"/>
      <c r="O4227" s="204"/>
      <c r="P4227" s="206"/>
      <c r="Q4227" s="206"/>
      <c r="R4227" s="206"/>
      <c r="S4227" s="206"/>
      <c r="T4227" s="204"/>
      <c r="U4227" s="207"/>
      <c r="V4227" s="204"/>
      <c r="W4227" s="204"/>
      <c r="X4227" s="207"/>
      <c r="Y4227" s="207"/>
      <c r="Z4227" s="204"/>
      <c r="AA4227" s="204"/>
      <c r="AB4227" s="204"/>
      <c r="AC4227" s="204"/>
    </row>
    <row r="4228" spans="1:29">
      <c r="A4228" s="204"/>
      <c r="B4228" s="204"/>
      <c r="C4228" s="204"/>
      <c r="D4228" s="204"/>
      <c r="E4228" s="204"/>
      <c r="F4228" s="204"/>
      <c r="G4228" s="204"/>
      <c r="H4228" s="204"/>
      <c r="I4228" s="204"/>
      <c r="J4228" s="204"/>
      <c r="K4228" s="204"/>
      <c r="L4228" s="205"/>
      <c r="M4228" s="205"/>
      <c r="N4228" s="204"/>
      <c r="O4228" s="204"/>
      <c r="P4228" s="206"/>
      <c r="Q4228" s="206"/>
      <c r="R4228" s="206"/>
      <c r="S4228" s="206"/>
      <c r="T4228" s="204"/>
      <c r="U4228" s="207"/>
      <c r="V4228" s="204"/>
      <c r="W4228" s="204"/>
      <c r="X4228" s="207"/>
      <c r="Y4228" s="207"/>
      <c r="Z4228" s="204"/>
      <c r="AA4228" s="204"/>
      <c r="AB4228" s="204"/>
      <c r="AC4228" s="204"/>
    </row>
    <row r="4229" spans="1:29">
      <c r="A4229" s="204"/>
      <c r="B4229" s="204"/>
      <c r="C4229" s="204"/>
      <c r="D4229" s="204"/>
      <c r="E4229" s="204"/>
      <c r="F4229" s="204"/>
      <c r="G4229" s="204"/>
      <c r="H4229" s="204"/>
      <c r="I4229" s="204"/>
      <c r="J4229" s="204"/>
      <c r="K4229" s="204"/>
      <c r="L4229" s="205"/>
      <c r="M4229" s="205"/>
      <c r="N4229" s="204"/>
      <c r="O4229" s="204"/>
      <c r="P4229" s="206"/>
      <c r="Q4229" s="206"/>
      <c r="R4229" s="206"/>
      <c r="S4229" s="206"/>
      <c r="T4229" s="204"/>
      <c r="U4229" s="207"/>
      <c r="V4229" s="204"/>
      <c r="W4229" s="204"/>
      <c r="X4229" s="207"/>
      <c r="Y4229" s="207"/>
      <c r="Z4229" s="204"/>
      <c r="AA4229" s="204"/>
      <c r="AB4229" s="204"/>
      <c r="AC4229" s="204"/>
    </row>
    <row r="4230" spans="1:29">
      <c r="A4230" s="204"/>
      <c r="B4230" s="204"/>
      <c r="C4230" s="204"/>
      <c r="D4230" s="204"/>
      <c r="E4230" s="204"/>
      <c r="F4230" s="204"/>
      <c r="G4230" s="204"/>
      <c r="H4230" s="204"/>
      <c r="I4230" s="204"/>
      <c r="J4230" s="204"/>
      <c r="K4230" s="204"/>
      <c r="L4230" s="205"/>
      <c r="M4230" s="205"/>
      <c r="N4230" s="204"/>
      <c r="O4230" s="204"/>
      <c r="P4230" s="206"/>
      <c r="Q4230" s="206"/>
      <c r="R4230" s="206"/>
      <c r="S4230" s="206"/>
      <c r="T4230" s="204"/>
      <c r="U4230" s="207"/>
      <c r="V4230" s="204"/>
      <c r="W4230" s="204"/>
      <c r="X4230" s="207"/>
      <c r="Y4230" s="207"/>
      <c r="Z4230" s="204"/>
      <c r="AA4230" s="204"/>
      <c r="AB4230" s="204"/>
      <c r="AC4230" s="204"/>
    </row>
    <row r="4231" spans="1:29">
      <c r="A4231" s="204"/>
      <c r="B4231" s="204"/>
      <c r="C4231" s="204"/>
      <c r="D4231" s="204"/>
      <c r="E4231" s="204"/>
      <c r="F4231" s="204"/>
      <c r="G4231" s="204"/>
      <c r="H4231" s="204"/>
      <c r="I4231" s="204"/>
      <c r="J4231" s="204"/>
      <c r="K4231" s="204"/>
      <c r="L4231" s="205"/>
      <c r="M4231" s="205"/>
      <c r="N4231" s="204"/>
      <c r="O4231" s="204"/>
      <c r="P4231" s="206"/>
      <c r="Q4231" s="206"/>
      <c r="R4231" s="206"/>
      <c r="S4231" s="206"/>
      <c r="T4231" s="204"/>
      <c r="U4231" s="207"/>
      <c r="V4231" s="204"/>
      <c r="W4231" s="204"/>
      <c r="X4231" s="207"/>
      <c r="Y4231" s="207"/>
      <c r="Z4231" s="204"/>
      <c r="AA4231" s="204"/>
      <c r="AB4231" s="204"/>
      <c r="AC4231" s="204"/>
    </row>
    <row r="4232" spans="1:29">
      <c r="A4232" s="204"/>
      <c r="B4232" s="204"/>
      <c r="C4232" s="204"/>
      <c r="D4232" s="204"/>
      <c r="E4232" s="204"/>
      <c r="F4232" s="204"/>
      <c r="G4232" s="204"/>
      <c r="H4232" s="204"/>
      <c r="I4232" s="204"/>
      <c r="J4232" s="204"/>
      <c r="K4232" s="204"/>
      <c r="L4232" s="205"/>
      <c r="M4232" s="205"/>
      <c r="N4232" s="204"/>
      <c r="O4232" s="204"/>
      <c r="P4232" s="206"/>
      <c r="Q4232" s="206"/>
      <c r="R4232" s="206"/>
      <c r="S4232" s="206"/>
      <c r="T4232" s="204"/>
      <c r="U4232" s="207"/>
      <c r="V4232" s="204"/>
      <c r="W4232" s="204"/>
      <c r="X4232" s="207"/>
      <c r="Y4232" s="207"/>
      <c r="Z4232" s="204"/>
      <c r="AA4232" s="204"/>
      <c r="AB4232" s="204"/>
      <c r="AC4232" s="204"/>
    </row>
    <row r="4233" spans="1:29">
      <c r="A4233" s="204"/>
      <c r="B4233" s="204"/>
      <c r="C4233" s="204"/>
      <c r="D4233" s="204"/>
      <c r="E4233" s="204"/>
      <c r="F4233" s="204"/>
      <c r="G4233" s="204"/>
      <c r="H4233" s="204"/>
      <c r="I4233" s="204"/>
      <c r="J4233" s="204"/>
      <c r="K4233" s="204"/>
      <c r="L4233" s="205"/>
      <c r="M4233" s="205"/>
      <c r="N4233" s="204"/>
      <c r="O4233" s="204"/>
      <c r="P4233" s="206"/>
      <c r="Q4233" s="206"/>
      <c r="R4233" s="206"/>
      <c r="S4233" s="206"/>
      <c r="T4233" s="204"/>
      <c r="U4233" s="207"/>
      <c r="V4233" s="204"/>
      <c r="W4233" s="204"/>
      <c r="X4233" s="207"/>
      <c r="Y4233" s="207"/>
      <c r="Z4233" s="204"/>
      <c r="AA4233" s="204"/>
      <c r="AB4233" s="204"/>
      <c r="AC4233" s="204"/>
    </row>
    <row r="4234" spans="1:29">
      <c r="A4234" s="204"/>
      <c r="B4234" s="204"/>
      <c r="C4234" s="204"/>
      <c r="D4234" s="204"/>
      <c r="E4234" s="204"/>
      <c r="F4234" s="204"/>
      <c r="G4234" s="204"/>
      <c r="H4234" s="204"/>
      <c r="I4234" s="204"/>
      <c r="J4234" s="204"/>
      <c r="K4234" s="204"/>
      <c r="L4234" s="205"/>
      <c r="M4234" s="205"/>
      <c r="N4234" s="204"/>
      <c r="O4234" s="204"/>
      <c r="P4234" s="206"/>
      <c r="Q4234" s="206"/>
      <c r="R4234" s="206"/>
      <c r="S4234" s="206"/>
      <c r="T4234" s="204"/>
      <c r="U4234" s="207"/>
      <c r="V4234" s="204"/>
      <c r="W4234" s="204"/>
      <c r="X4234" s="207"/>
      <c r="Y4234" s="207"/>
      <c r="Z4234" s="204"/>
      <c r="AA4234" s="204"/>
      <c r="AB4234" s="204"/>
      <c r="AC4234" s="204"/>
    </row>
    <row r="4235" spans="1:29">
      <c r="A4235" s="204"/>
      <c r="B4235" s="204"/>
      <c r="C4235" s="204"/>
      <c r="D4235" s="204"/>
      <c r="E4235" s="204"/>
      <c r="F4235" s="204"/>
      <c r="G4235" s="204"/>
      <c r="H4235" s="204"/>
      <c r="I4235" s="204"/>
      <c r="J4235" s="204"/>
      <c r="K4235" s="204"/>
      <c r="L4235" s="205"/>
      <c r="M4235" s="205"/>
      <c r="N4235" s="204"/>
      <c r="O4235" s="204"/>
      <c r="P4235" s="206"/>
      <c r="Q4235" s="206"/>
      <c r="R4235" s="206"/>
      <c r="S4235" s="206"/>
      <c r="T4235" s="204"/>
      <c r="U4235" s="207"/>
      <c r="V4235" s="204"/>
      <c r="W4235" s="204"/>
      <c r="X4235" s="207"/>
      <c r="Y4235" s="207"/>
      <c r="Z4235" s="204"/>
      <c r="AA4235" s="204"/>
      <c r="AB4235" s="204"/>
      <c r="AC4235" s="204"/>
    </row>
    <row r="4236" spans="1:29">
      <c r="A4236" s="204"/>
      <c r="B4236" s="204"/>
      <c r="C4236" s="204"/>
      <c r="D4236" s="204"/>
      <c r="E4236" s="204"/>
      <c r="F4236" s="204"/>
      <c r="G4236" s="204"/>
      <c r="H4236" s="204"/>
      <c r="I4236" s="204"/>
      <c r="J4236" s="204"/>
      <c r="K4236" s="204"/>
      <c r="L4236" s="205"/>
      <c r="M4236" s="205"/>
      <c r="N4236" s="204"/>
      <c r="O4236" s="204"/>
      <c r="P4236" s="206"/>
      <c r="Q4236" s="206"/>
      <c r="R4236" s="206"/>
      <c r="S4236" s="206"/>
      <c r="T4236" s="204"/>
      <c r="U4236" s="207"/>
      <c r="V4236" s="204"/>
      <c r="W4236" s="204"/>
      <c r="X4236" s="207"/>
      <c r="Y4236" s="207"/>
      <c r="Z4236" s="204"/>
      <c r="AA4236" s="204"/>
      <c r="AB4236" s="204"/>
      <c r="AC4236" s="204"/>
    </row>
    <row r="4237" spans="1:29">
      <c r="A4237" s="204"/>
      <c r="B4237" s="204"/>
      <c r="C4237" s="204"/>
      <c r="D4237" s="204"/>
      <c r="E4237" s="204"/>
      <c r="F4237" s="204"/>
      <c r="G4237" s="204"/>
      <c r="H4237" s="204"/>
      <c r="I4237" s="204"/>
      <c r="J4237" s="204"/>
      <c r="K4237" s="204"/>
      <c r="L4237" s="205"/>
      <c r="M4237" s="205"/>
      <c r="N4237" s="204"/>
      <c r="O4237" s="204"/>
      <c r="P4237" s="206"/>
      <c r="Q4237" s="206"/>
      <c r="R4237" s="206"/>
      <c r="S4237" s="206"/>
      <c r="T4237" s="204"/>
      <c r="U4237" s="207"/>
      <c r="V4237" s="204"/>
      <c r="W4237" s="204"/>
      <c r="X4237" s="207"/>
      <c r="Y4237" s="207"/>
      <c r="Z4237" s="204"/>
      <c r="AA4237" s="204"/>
      <c r="AB4237" s="204"/>
      <c r="AC4237" s="204"/>
    </row>
    <row r="4238" spans="1:29">
      <c r="A4238" s="204"/>
      <c r="B4238" s="204"/>
      <c r="C4238" s="204"/>
      <c r="D4238" s="204"/>
      <c r="E4238" s="204"/>
      <c r="F4238" s="204"/>
      <c r="G4238" s="204"/>
      <c r="H4238" s="204"/>
      <c r="I4238" s="204"/>
      <c r="J4238" s="204"/>
      <c r="K4238" s="204"/>
      <c r="L4238" s="205"/>
      <c r="M4238" s="205"/>
      <c r="N4238" s="204"/>
      <c r="O4238" s="204"/>
      <c r="P4238" s="206"/>
      <c r="Q4238" s="206"/>
      <c r="R4238" s="206"/>
      <c r="S4238" s="206"/>
      <c r="T4238" s="204"/>
      <c r="U4238" s="207"/>
      <c r="V4238" s="204"/>
      <c r="W4238" s="204"/>
      <c r="X4238" s="207"/>
      <c r="Y4238" s="207"/>
      <c r="Z4238" s="204"/>
      <c r="AA4238" s="204"/>
      <c r="AB4238" s="204"/>
      <c r="AC4238" s="204"/>
    </row>
    <row r="4239" spans="1:29">
      <c r="A4239" s="204"/>
      <c r="B4239" s="204"/>
      <c r="C4239" s="204"/>
      <c r="D4239" s="204"/>
      <c r="E4239" s="204"/>
      <c r="F4239" s="204"/>
      <c r="G4239" s="204"/>
      <c r="H4239" s="204"/>
      <c r="I4239" s="204"/>
      <c r="J4239" s="204"/>
      <c r="K4239" s="204"/>
      <c r="L4239" s="205"/>
      <c r="M4239" s="205"/>
      <c r="N4239" s="204"/>
      <c r="O4239" s="204"/>
      <c r="P4239" s="206"/>
      <c r="Q4239" s="206"/>
      <c r="R4239" s="206"/>
      <c r="S4239" s="206"/>
      <c r="T4239" s="204"/>
      <c r="U4239" s="207"/>
      <c r="V4239" s="204"/>
      <c r="W4239" s="204"/>
      <c r="X4239" s="207"/>
      <c r="Y4239" s="207"/>
      <c r="Z4239" s="204"/>
      <c r="AA4239" s="204"/>
      <c r="AB4239" s="204"/>
      <c r="AC4239" s="204"/>
    </row>
    <row r="4240" spans="1:29">
      <c r="A4240" s="204"/>
      <c r="B4240" s="204"/>
      <c r="C4240" s="204"/>
      <c r="D4240" s="204"/>
      <c r="E4240" s="204"/>
      <c r="F4240" s="204"/>
      <c r="G4240" s="204"/>
      <c r="H4240" s="204"/>
      <c r="I4240" s="204"/>
      <c r="J4240" s="204"/>
      <c r="K4240" s="204"/>
      <c r="L4240" s="205"/>
      <c r="M4240" s="205"/>
      <c r="N4240" s="204"/>
      <c r="O4240" s="204"/>
      <c r="P4240" s="206"/>
      <c r="Q4240" s="206"/>
      <c r="R4240" s="206"/>
      <c r="S4240" s="206"/>
      <c r="T4240" s="204"/>
      <c r="U4240" s="207"/>
      <c r="V4240" s="204"/>
      <c r="W4240" s="204"/>
      <c r="X4240" s="207"/>
      <c r="Y4240" s="207"/>
      <c r="Z4240" s="204"/>
      <c r="AA4240" s="204"/>
      <c r="AB4240" s="204"/>
      <c r="AC4240" s="204"/>
    </row>
    <row r="4241" spans="1:29">
      <c r="A4241" s="204"/>
      <c r="B4241" s="204"/>
      <c r="C4241" s="204"/>
      <c r="D4241" s="204"/>
      <c r="E4241" s="204"/>
      <c r="F4241" s="204"/>
      <c r="G4241" s="204"/>
      <c r="H4241" s="204"/>
      <c r="I4241" s="204"/>
      <c r="J4241" s="204"/>
      <c r="K4241" s="204"/>
      <c r="L4241" s="205"/>
      <c r="M4241" s="205"/>
      <c r="N4241" s="204"/>
      <c r="O4241" s="204"/>
      <c r="P4241" s="206"/>
      <c r="Q4241" s="206"/>
      <c r="R4241" s="206"/>
      <c r="S4241" s="206"/>
      <c r="T4241" s="204"/>
      <c r="U4241" s="207"/>
      <c r="V4241" s="204"/>
      <c r="W4241" s="204"/>
      <c r="X4241" s="207"/>
      <c r="Y4241" s="207"/>
      <c r="Z4241" s="204"/>
      <c r="AA4241" s="204"/>
      <c r="AB4241" s="204"/>
      <c r="AC4241" s="204"/>
    </row>
    <row r="4242" spans="1:29">
      <c r="A4242" s="204"/>
      <c r="B4242" s="204"/>
      <c r="C4242" s="204"/>
      <c r="D4242" s="204"/>
      <c r="E4242" s="204"/>
      <c r="F4242" s="204"/>
      <c r="G4242" s="204"/>
      <c r="H4242" s="204"/>
      <c r="I4242" s="204"/>
      <c r="J4242" s="204"/>
      <c r="K4242" s="204"/>
      <c r="L4242" s="205"/>
      <c r="M4242" s="205"/>
      <c r="N4242" s="204"/>
      <c r="O4242" s="204"/>
      <c r="P4242" s="206"/>
      <c r="Q4242" s="206"/>
      <c r="R4242" s="206"/>
      <c r="S4242" s="206"/>
      <c r="T4242" s="204"/>
      <c r="U4242" s="207"/>
      <c r="V4242" s="204"/>
      <c r="W4242" s="204"/>
      <c r="X4242" s="207"/>
      <c r="Y4242" s="207"/>
      <c r="Z4242" s="204"/>
      <c r="AA4242" s="204"/>
      <c r="AB4242" s="204"/>
      <c r="AC4242" s="204"/>
    </row>
    <row r="4243" spans="1:29">
      <c r="A4243" s="204"/>
      <c r="B4243" s="204"/>
      <c r="C4243" s="204"/>
      <c r="D4243" s="204"/>
      <c r="E4243" s="204"/>
      <c r="F4243" s="204"/>
      <c r="G4243" s="204"/>
      <c r="H4243" s="204"/>
      <c r="I4243" s="204"/>
      <c r="J4243" s="204"/>
      <c r="K4243" s="204"/>
      <c r="L4243" s="205"/>
      <c r="M4243" s="205"/>
      <c r="N4243" s="204"/>
      <c r="O4243" s="204"/>
      <c r="P4243" s="206"/>
      <c r="Q4243" s="206"/>
      <c r="R4243" s="206"/>
      <c r="S4243" s="206"/>
      <c r="T4243" s="204"/>
      <c r="U4243" s="207"/>
      <c r="V4243" s="204"/>
      <c r="W4243" s="204"/>
      <c r="X4243" s="207"/>
      <c r="Y4243" s="207"/>
      <c r="Z4243" s="204"/>
      <c r="AA4243" s="204"/>
      <c r="AB4243" s="204"/>
      <c r="AC4243" s="204"/>
    </row>
    <row r="4244" spans="1:29">
      <c r="A4244" s="204"/>
      <c r="B4244" s="204"/>
      <c r="C4244" s="204"/>
      <c r="D4244" s="204"/>
      <c r="E4244" s="204"/>
      <c r="F4244" s="204"/>
      <c r="G4244" s="204"/>
      <c r="H4244" s="204"/>
      <c r="I4244" s="204"/>
      <c r="J4244" s="204"/>
      <c r="K4244" s="204"/>
      <c r="L4244" s="205"/>
      <c r="M4244" s="205"/>
      <c r="N4244" s="204"/>
      <c r="O4244" s="204"/>
      <c r="P4244" s="206"/>
      <c r="Q4244" s="206"/>
      <c r="R4244" s="206"/>
      <c r="S4244" s="206"/>
      <c r="T4244" s="204"/>
      <c r="U4244" s="207"/>
      <c r="V4244" s="204"/>
      <c r="W4244" s="204"/>
      <c r="X4244" s="207"/>
      <c r="Y4244" s="207"/>
      <c r="Z4244" s="204"/>
      <c r="AA4244" s="204"/>
      <c r="AB4244" s="204"/>
      <c r="AC4244" s="204"/>
    </row>
    <row r="4245" spans="1:29">
      <c r="A4245" s="204"/>
      <c r="B4245" s="204"/>
      <c r="C4245" s="204"/>
      <c r="D4245" s="204"/>
      <c r="E4245" s="204"/>
      <c r="F4245" s="204"/>
      <c r="G4245" s="204"/>
      <c r="H4245" s="204"/>
      <c r="I4245" s="204"/>
      <c r="J4245" s="204"/>
      <c r="K4245" s="204"/>
      <c r="L4245" s="205"/>
      <c r="M4245" s="205"/>
      <c r="N4245" s="204"/>
      <c r="O4245" s="204"/>
      <c r="P4245" s="206"/>
      <c r="Q4245" s="206"/>
      <c r="R4245" s="206"/>
      <c r="S4245" s="206"/>
      <c r="T4245" s="204"/>
      <c r="U4245" s="207"/>
      <c r="V4245" s="204"/>
      <c r="W4245" s="204"/>
      <c r="X4245" s="207"/>
      <c r="Y4245" s="207"/>
      <c r="Z4245" s="204"/>
      <c r="AA4245" s="204"/>
      <c r="AB4245" s="204"/>
      <c r="AC4245" s="204"/>
    </row>
    <row r="4246" spans="1:29">
      <c r="A4246" s="204"/>
      <c r="B4246" s="204"/>
      <c r="C4246" s="204"/>
      <c r="D4246" s="204"/>
      <c r="E4246" s="204"/>
      <c r="F4246" s="204"/>
      <c r="G4246" s="204"/>
      <c r="H4246" s="204"/>
      <c r="I4246" s="204"/>
      <c r="J4246" s="204"/>
      <c r="K4246" s="204"/>
      <c r="L4246" s="205"/>
      <c r="M4246" s="205"/>
      <c r="N4246" s="204"/>
      <c r="O4246" s="204"/>
      <c r="P4246" s="206"/>
      <c r="Q4246" s="206"/>
      <c r="R4246" s="206"/>
      <c r="S4246" s="206"/>
      <c r="T4246" s="204"/>
      <c r="U4246" s="207"/>
      <c r="V4246" s="204"/>
      <c r="W4246" s="204"/>
      <c r="X4246" s="207"/>
      <c r="Y4246" s="207"/>
      <c r="Z4246" s="204"/>
      <c r="AA4246" s="204"/>
      <c r="AB4246" s="204"/>
      <c r="AC4246" s="204"/>
    </row>
    <row r="4247" spans="1:29">
      <c r="A4247" s="204"/>
      <c r="B4247" s="204"/>
      <c r="C4247" s="204"/>
      <c r="D4247" s="204"/>
      <c r="E4247" s="204"/>
      <c r="F4247" s="204"/>
      <c r="G4247" s="204"/>
      <c r="H4247" s="204"/>
      <c r="I4247" s="204"/>
      <c r="J4247" s="204"/>
      <c r="K4247" s="204"/>
      <c r="L4247" s="205"/>
      <c r="M4247" s="205"/>
      <c r="N4247" s="204"/>
      <c r="O4247" s="204"/>
      <c r="P4247" s="206"/>
      <c r="Q4247" s="206"/>
      <c r="R4247" s="206"/>
      <c r="S4247" s="206"/>
      <c r="T4247" s="204"/>
      <c r="U4247" s="207"/>
      <c r="V4247" s="204"/>
      <c r="W4247" s="204"/>
      <c r="X4247" s="207"/>
      <c r="Y4247" s="207"/>
      <c r="Z4247" s="204"/>
      <c r="AA4247" s="204"/>
      <c r="AB4247" s="204"/>
      <c r="AC4247" s="204"/>
    </row>
    <row r="4248" spans="1:29">
      <c r="A4248" s="204"/>
      <c r="B4248" s="204"/>
      <c r="C4248" s="204"/>
      <c r="D4248" s="204"/>
      <c r="E4248" s="204"/>
      <c r="F4248" s="204"/>
      <c r="G4248" s="204"/>
      <c r="H4248" s="204"/>
      <c r="I4248" s="204"/>
      <c r="J4248" s="204"/>
      <c r="K4248" s="204"/>
      <c r="L4248" s="205"/>
      <c r="M4248" s="205"/>
      <c r="N4248" s="204"/>
      <c r="O4248" s="204"/>
      <c r="P4248" s="206"/>
      <c r="Q4248" s="206"/>
      <c r="R4248" s="206"/>
      <c r="S4248" s="206"/>
      <c r="T4248" s="204"/>
      <c r="U4248" s="207"/>
      <c r="V4248" s="204"/>
      <c r="W4248" s="204"/>
      <c r="X4248" s="207"/>
      <c r="Y4248" s="207"/>
      <c r="Z4248" s="204"/>
      <c r="AA4248" s="204"/>
      <c r="AB4248" s="204"/>
      <c r="AC4248" s="204"/>
    </row>
    <row r="4249" spans="1:29">
      <c r="A4249" s="204"/>
      <c r="B4249" s="204"/>
      <c r="C4249" s="204"/>
      <c r="D4249" s="204"/>
      <c r="E4249" s="204"/>
      <c r="F4249" s="204"/>
      <c r="G4249" s="204"/>
      <c r="H4249" s="204"/>
      <c r="I4249" s="204"/>
      <c r="J4249" s="204"/>
      <c r="K4249" s="204"/>
      <c r="L4249" s="205"/>
      <c r="M4249" s="205"/>
      <c r="N4249" s="204"/>
      <c r="O4249" s="204"/>
      <c r="P4249" s="206"/>
      <c r="Q4249" s="206"/>
      <c r="R4249" s="206"/>
      <c r="S4249" s="206"/>
      <c r="T4249" s="204"/>
      <c r="U4249" s="207"/>
      <c r="V4249" s="204"/>
      <c r="W4249" s="204"/>
      <c r="X4249" s="207"/>
      <c r="Y4249" s="207"/>
      <c r="Z4249" s="204"/>
      <c r="AA4249" s="204"/>
      <c r="AB4249" s="204"/>
      <c r="AC4249" s="204"/>
    </row>
    <row r="4250" spans="1:29">
      <c r="A4250" s="204"/>
      <c r="B4250" s="204"/>
      <c r="C4250" s="204"/>
      <c r="D4250" s="204"/>
      <c r="E4250" s="204"/>
      <c r="F4250" s="204"/>
      <c r="G4250" s="204"/>
      <c r="H4250" s="204"/>
      <c r="I4250" s="204"/>
      <c r="J4250" s="204"/>
      <c r="K4250" s="204"/>
      <c r="L4250" s="205"/>
      <c r="M4250" s="205"/>
      <c r="N4250" s="204"/>
      <c r="O4250" s="204"/>
      <c r="P4250" s="206"/>
      <c r="Q4250" s="206"/>
      <c r="R4250" s="206"/>
      <c r="S4250" s="206"/>
      <c r="T4250" s="204"/>
      <c r="U4250" s="207"/>
      <c r="V4250" s="204"/>
      <c r="W4250" s="204"/>
      <c r="X4250" s="207"/>
      <c r="Y4250" s="207"/>
      <c r="Z4250" s="204"/>
      <c r="AA4250" s="204"/>
      <c r="AB4250" s="204"/>
      <c r="AC4250" s="204"/>
    </row>
    <row r="4251" spans="1:29">
      <c r="A4251" s="204"/>
      <c r="B4251" s="204"/>
      <c r="C4251" s="204"/>
      <c r="D4251" s="204"/>
      <c r="E4251" s="204"/>
      <c r="F4251" s="204"/>
      <c r="G4251" s="204"/>
      <c r="H4251" s="204"/>
      <c r="I4251" s="204"/>
      <c r="J4251" s="204"/>
      <c r="K4251" s="204"/>
      <c r="L4251" s="205"/>
      <c r="M4251" s="205"/>
      <c r="N4251" s="204"/>
      <c r="O4251" s="204"/>
      <c r="P4251" s="206"/>
      <c r="Q4251" s="206"/>
      <c r="R4251" s="206"/>
      <c r="S4251" s="206"/>
      <c r="T4251" s="204"/>
      <c r="U4251" s="207"/>
      <c r="V4251" s="204"/>
      <c r="W4251" s="204"/>
      <c r="X4251" s="207"/>
      <c r="Y4251" s="207"/>
      <c r="Z4251" s="204"/>
      <c r="AA4251" s="204"/>
      <c r="AB4251" s="204"/>
      <c r="AC4251" s="204"/>
    </row>
    <row r="4252" spans="1:29">
      <c r="A4252" s="204"/>
      <c r="B4252" s="204"/>
      <c r="C4252" s="204"/>
      <c r="D4252" s="204"/>
      <c r="E4252" s="204"/>
      <c r="F4252" s="204"/>
      <c r="G4252" s="204"/>
      <c r="H4252" s="204"/>
      <c r="I4252" s="204"/>
      <c r="J4252" s="204"/>
      <c r="K4252" s="204"/>
      <c r="L4252" s="205"/>
      <c r="M4252" s="205"/>
      <c r="N4252" s="204"/>
      <c r="O4252" s="204"/>
      <c r="P4252" s="206"/>
      <c r="Q4252" s="206"/>
      <c r="R4252" s="206"/>
      <c r="S4252" s="206"/>
      <c r="T4252" s="204"/>
      <c r="U4252" s="207"/>
      <c r="V4252" s="204"/>
      <c r="W4252" s="204"/>
      <c r="X4252" s="207"/>
      <c r="Y4252" s="207"/>
      <c r="Z4252" s="204"/>
      <c r="AA4252" s="204"/>
      <c r="AB4252" s="204"/>
      <c r="AC4252" s="204"/>
    </row>
    <row r="4253" spans="1:29">
      <c r="A4253" s="204"/>
      <c r="B4253" s="204"/>
      <c r="C4253" s="204"/>
      <c r="D4253" s="204"/>
      <c r="E4253" s="204"/>
      <c r="F4253" s="204"/>
      <c r="G4253" s="204"/>
      <c r="H4253" s="204"/>
      <c r="I4253" s="204"/>
      <c r="J4253" s="204"/>
      <c r="K4253" s="204"/>
      <c r="L4253" s="205"/>
      <c r="M4253" s="205"/>
      <c r="N4253" s="204"/>
      <c r="O4253" s="204"/>
      <c r="P4253" s="206"/>
      <c r="Q4253" s="206"/>
      <c r="R4253" s="206"/>
      <c r="S4253" s="206"/>
      <c r="T4253" s="204"/>
      <c r="U4253" s="207"/>
      <c r="V4253" s="204"/>
      <c r="W4253" s="204"/>
      <c r="X4253" s="207"/>
      <c r="Y4253" s="207"/>
      <c r="Z4253" s="204"/>
      <c r="AA4253" s="204"/>
      <c r="AB4253" s="204"/>
      <c r="AC4253" s="204"/>
    </row>
    <row r="4254" spans="1:29">
      <c r="A4254" s="204"/>
      <c r="B4254" s="204"/>
      <c r="C4254" s="204"/>
      <c r="D4254" s="204"/>
      <c r="E4254" s="204"/>
      <c r="F4254" s="204"/>
      <c r="G4254" s="204"/>
      <c r="H4254" s="204"/>
      <c r="I4254" s="204"/>
      <c r="J4254" s="204"/>
      <c r="K4254" s="204"/>
      <c r="L4254" s="205"/>
      <c r="M4254" s="205"/>
      <c r="N4254" s="204"/>
      <c r="O4254" s="204"/>
      <c r="P4254" s="206"/>
      <c r="Q4254" s="206"/>
      <c r="R4254" s="206"/>
      <c r="S4254" s="206"/>
      <c r="T4254" s="204"/>
      <c r="U4254" s="207"/>
      <c r="V4254" s="204"/>
      <c r="W4254" s="204"/>
      <c r="X4254" s="207"/>
      <c r="Y4254" s="207"/>
      <c r="Z4254" s="204"/>
      <c r="AA4254" s="204"/>
      <c r="AB4254" s="204"/>
      <c r="AC4254" s="204"/>
    </row>
    <row r="4255" spans="1:29">
      <c r="A4255" s="204"/>
      <c r="B4255" s="204"/>
      <c r="C4255" s="204"/>
      <c r="D4255" s="204"/>
      <c r="E4255" s="204"/>
      <c r="F4255" s="204"/>
      <c r="G4255" s="204"/>
      <c r="H4255" s="204"/>
      <c r="I4255" s="204"/>
      <c r="J4255" s="204"/>
      <c r="K4255" s="204"/>
      <c r="L4255" s="205"/>
      <c r="M4255" s="205"/>
      <c r="N4255" s="204"/>
      <c r="O4255" s="204"/>
      <c r="P4255" s="206"/>
      <c r="Q4255" s="206"/>
      <c r="R4255" s="206"/>
      <c r="S4255" s="206"/>
      <c r="T4255" s="204"/>
      <c r="U4255" s="207"/>
      <c r="V4255" s="204"/>
      <c r="W4255" s="204"/>
      <c r="X4255" s="207"/>
      <c r="Y4255" s="207"/>
      <c r="Z4255" s="204"/>
      <c r="AA4255" s="204"/>
      <c r="AB4255" s="204"/>
      <c r="AC4255" s="204"/>
    </row>
    <row r="4256" spans="1:29">
      <c r="A4256" s="204"/>
      <c r="B4256" s="204"/>
      <c r="C4256" s="204"/>
      <c r="D4256" s="204"/>
      <c r="E4256" s="204"/>
      <c r="F4256" s="204"/>
      <c r="G4256" s="204"/>
      <c r="H4256" s="204"/>
      <c r="I4256" s="204"/>
      <c r="J4256" s="204"/>
      <c r="K4256" s="204"/>
      <c r="L4256" s="205"/>
      <c r="M4256" s="205"/>
      <c r="N4256" s="204"/>
      <c r="O4256" s="204"/>
      <c r="P4256" s="206"/>
      <c r="Q4256" s="206"/>
      <c r="R4256" s="206"/>
      <c r="S4256" s="206"/>
      <c r="T4256" s="204"/>
      <c r="U4256" s="207"/>
      <c r="V4256" s="204"/>
      <c r="W4256" s="204"/>
      <c r="X4256" s="207"/>
      <c r="Y4256" s="207"/>
      <c r="Z4256" s="204"/>
      <c r="AA4256" s="204"/>
      <c r="AB4256" s="204"/>
      <c r="AC4256" s="204"/>
    </row>
    <row r="4257" spans="1:29">
      <c r="A4257" s="204"/>
      <c r="B4257" s="204"/>
      <c r="C4257" s="204"/>
      <c r="D4257" s="204"/>
      <c r="E4257" s="204"/>
      <c r="F4257" s="204"/>
      <c r="G4257" s="204"/>
      <c r="H4257" s="204"/>
      <c r="I4257" s="204"/>
      <c r="J4257" s="204"/>
      <c r="K4257" s="204"/>
      <c r="L4257" s="205"/>
      <c r="M4257" s="205"/>
      <c r="N4257" s="204"/>
      <c r="O4257" s="204"/>
      <c r="P4257" s="206"/>
      <c r="Q4257" s="206"/>
      <c r="R4257" s="206"/>
      <c r="S4257" s="206"/>
      <c r="T4257" s="204"/>
      <c r="U4257" s="207"/>
      <c r="V4257" s="204"/>
      <c r="W4257" s="204"/>
      <c r="X4257" s="207"/>
      <c r="Y4257" s="207"/>
      <c r="Z4257" s="204"/>
      <c r="AA4257" s="204"/>
      <c r="AB4257" s="204"/>
      <c r="AC4257" s="204"/>
    </row>
    <row r="4258" spans="1:29">
      <c r="A4258" s="204"/>
      <c r="B4258" s="204"/>
      <c r="C4258" s="204"/>
      <c r="D4258" s="204"/>
      <c r="E4258" s="204"/>
      <c r="F4258" s="204"/>
      <c r="G4258" s="204"/>
      <c r="H4258" s="204"/>
      <c r="I4258" s="204"/>
      <c r="J4258" s="204"/>
      <c r="K4258" s="204"/>
      <c r="L4258" s="205"/>
      <c r="M4258" s="205"/>
      <c r="N4258" s="204"/>
      <c r="O4258" s="204"/>
      <c r="P4258" s="206"/>
      <c r="Q4258" s="206"/>
      <c r="R4258" s="206"/>
      <c r="S4258" s="206"/>
      <c r="T4258" s="204"/>
      <c r="U4258" s="207"/>
      <c r="V4258" s="204"/>
      <c r="W4258" s="204"/>
      <c r="X4258" s="207"/>
      <c r="Y4258" s="207"/>
      <c r="Z4258" s="204"/>
      <c r="AA4258" s="204"/>
      <c r="AB4258" s="204"/>
      <c r="AC4258" s="204"/>
    </row>
    <row r="4259" spans="1:29">
      <c r="A4259" s="204"/>
      <c r="B4259" s="204"/>
      <c r="C4259" s="204"/>
      <c r="D4259" s="204"/>
      <c r="E4259" s="204"/>
      <c r="F4259" s="204"/>
      <c r="G4259" s="204"/>
      <c r="H4259" s="204"/>
      <c r="I4259" s="204"/>
      <c r="J4259" s="204"/>
      <c r="K4259" s="204"/>
      <c r="L4259" s="205"/>
      <c r="M4259" s="205"/>
      <c r="N4259" s="204"/>
      <c r="O4259" s="204"/>
      <c r="P4259" s="206"/>
      <c r="Q4259" s="206"/>
      <c r="R4259" s="206"/>
      <c r="S4259" s="206"/>
      <c r="T4259" s="204"/>
      <c r="U4259" s="207"/>
      <c r="V4259" s="204"/>
      <c r="W4259" s="204"/>
      <c r="X4259" s="207"/>
      <c r="Y4259" s="207"/>
      <c r="Z4259" s="204"/>
      <c r="AA4259" s="204"/>
      <c r="AB4259" s="204"/>
      <c r="AC4259" s="204"/>
    </row>
    <row r="4260" spans="1:29">
      <c r="A4260" s="204"/>
      <c r="B4260" s="204"/>
      <c r="C4260" s="204"/>
      <c r="D4260" s="204"/>
      <c r="E4260" s="204"/>
      <c r="F4260" s="204"/>
      <c r="G4260" s="204"/>
      <c r="H4260" s="204"/>
      <c r="I4260" s="204"/>
      <c r="J4260" s="204"/>
      <c r="K4260" s="204"/>
      <c r="L4260" s="205"/>
      <c r="M4260" s="205"/>
      <c r="N4260" s="204"/>
      <c r="O4260" s="204"/>
      <c r="P4260" s="206"/>
      <c r="Q4260" s="206"/>
      <c r="R4260" s="206"/>
      <c r="S4260" s="206"/>
      <c r="T4260" s="204"/>
      <c r="U4260" s="207"/>
      <c r="V4260" s="204"/>
      <c r="W4260" s="204"/>
      <c r="X4260" s="207"/>
      <c r="Y4260" s="207"/>
      <c r="Z4260" s="204"/>
      <c r="AA4260" s="204"/>
      <c r="AB4260" s="204"/>
      <c r="AC4260" s="204"/>
    </row>
    <row r="4261" spans="1:29">
      <c r="A4261" s="204"/>
      <c r="B4261" s="204"/>
      <c r="C4261" s="204"/>
      <c r="D4261" s="204"/>
      <c r="E4261" s="204"/>
      <c r="F4261" s="204"/>
      <c r="G4261" s="204"/>
      <c r="H4261" s="204"/>
      <c r="I4261" s="204"/>
      <c r="J4261" s="204"/>
      <c r="K4261" s="204"/>
      <c r="L4261" s="205"/>
      <c r="M4261" s="205"/>
      <c r="N4261" s="204"/>
      <c r="O4261" s="204"/>
      <c r="P4261" s="206"/>
      <c r="Q4261" s="206"/>
      <c r="R4261" s="206"/>
      <c r="S4261" s="206"/>
      <c r="T4261" s="204"/>
      <c r="U4261" s="207"/>
      <c r="V4261" s="204"/>
      <c r="W4261" s="204"/>
      <c r="X4261" s="207"/>
      <c r="Y4261" s="207"/>
      <c r="Z4261" s="204"/>
      <c r="AA4261" s="204"/>
      <c r="AB4261" s="204"/>
      <c r="AC4261" s="204"/>
    </row>
    <row r="4262" spans="1:29">
      <c r="A4262" s="204"/>
      <c r="B4262" s="204"/>
      <c r="C4262" s="204"/>
      <c r="D4262" s="204"/>
      <c r="E4262" s="204"/>
      <c r="F4262" s="204"/>
      <c r="G4262" s="204"/>
      <c r="H4262" s="204"/>
      <c r="I4262" s="204"/>
      <c r="J4262" s="204"/>
      <c r="K4262" s="204"/>
      <c r="L4262" s="205"/>
      <c r="M4262" s="205"/>
      <c r="N4262" s="204"/>
      <c r="O4262" s="204"/>
      <c r="P4262" s="206"/>
      <c r="Q4262" s="206"/>
      <c r="R4262" s="206"/>
      <c r="S4262" s="206"/>
      <c r="T4262" s="204"/>
      <c r="U4262" s="207"/>
      <c r="V4262" s="204"/>
      <c r="W4262" s="204"/>
      <c r="X4262" s="207"/>
      <c r="Y4262" s="207"/>
      <c r="Z4262" s="204"/>
      <c r="AA4262" s="204"/>
      <c r="AB4262" s="204"/>
      <c r="AC4262" s="204"/>
    </row>
    <row r="4263" spans="1:29">
      <c r="A4263" s="204"/>
      <c r="B4263" s="204"/>
      <c r="C4263" s="204"/>
      <c r="D4263" s="204"/>
      <c r="E4263" s="204"/>
      <c r="F4263" s="204"/>
      <c r="G4263" s="204"/>
      <c r="H4263" s="204"/>
      <c r="I4263" s="204"/>
      <c r="J4263" s="204"/>
      <c r="K4263" s="204"/>
      <c r="L4263" s="205"/>
      <c r="M4263" s="205"/>
      <c r="N4263" s="204"/>
      <c r="O4263" s="204"/>
      <c r="P4263" s="206"/>
      <c r="Q4263" s="206"/>
      <c r="R4263" s="206"/>
      <c r="S4263" s="206"/>
      <c r="T4263" s="204"/>
      <c r="U4263" s="207"/>
      <c r="V4263" s="204"/>
      <c r="W4263" s="204"/>
      <c r="X4263" s="207"/>
      <c r="Y4263" s="207"/>
      <c r="Z4263" s="204"/>
      <c r="AA4263" s="204"/>
      <c r="AB4263" s="204"/>
      <c r="AC4263" s="204"/>
    </row>
    <row r="4264" spans="1:29">
      <c r="A4264" s="204"/>
      <c r="B4264" s="204"/>
      <c r="C4264" s="204"/>
      <c r="D4264" s="204"/>
      <c r="E4264" s="204"/>
      <c r="F4264" s="204"/>
      <c r="G4264" s="204"/>
      <c r="H4264" s="204"/>
      <c r="I4264" s="204"/>
      <c r="J4264" s="204"/>
      <c r="K4264" s="204"/>
      <c r="L4264" s="205"/>
      <c r="M4264" s="205"/>
      <c r="N4264" s="204"/>
      <c r="O4264" s="204"/>
      <c r="P4264" s="206"/>
      <c r="Q4264" s="206"/>
      <c r="R4264" s="206"/>
      <c r="S4264" s="206"/>
      <c r="T4264" s="204"/>
      <c r="U4264" s="207"/>
      <c r="V4264" s="204"/>
      <c r="W4264" s="204"/>
      <c r="X4264" s="207"/>
      <c r="Y4264" s="207"/>
      <c r="Z4264" s="204"/>
      <c r="AA4264" s="204"/>
      <c r="AB4264" s="204"/>
      <c r="AC4264" s="204"/>
    </row>
    <row r="4265" spans="1:29">
      <c r="A4265" s="204"/>
      <c r="B4265" s="204"/>
      <c r="C4265" s="204"/>
      <c r="D4265" s="204"/>
      <c r="E4265" s="204"/>
      <c r="F4265" s="204"/>
      <c r="G4265" s="204"/>
      <c r="H4265" s="204"/>
      <c r="I4265" s="204"/>
      <c r="J4265" s="204"/>
      <c r="K4265" s="204"/>
      <c r="L4265" s="205"/>
      <c r="M4265" s="205"/>
      <c r="N4265" s="204"/>
      <c r="O4265" s="204"/>
      <c r="P4265" s="206"/>
      <c r="Q4265" s="206"/>
      <c r="R4265" s="206"/>
      <c r="S4265" s="206"/>
      <c r="T4265" s="204"/>
      <c r="U4265" s="207"/>
      <c r="V4265" s="204"/>
      <c r="W4265" s="204"/>
      <c r="X4265" s="207"/>
      <c r="Y4265" s="207"/>
      <c r="Z4265" s="204"/>
      <c r="AA4265" s="204"/>
      <c r="AB4265" s="204"/>
      <c r="AC4265" s="204"/>
    </row>
    <row r="4266" spans="1:29">
      <c r="A4266" s="204"/>
      <c r="B4266" s="204"/>
      <c r="C4266" s="204"/>
      <c r="D4266" s="204"/>
      <c r="E4266" s="204"/>
      <c r="F4266" s="204"/>
      <c r="G4266" s="204"/>
      <c r="H4266" s="204"/>
      <c r="I4266" s="204"/>
      <c r="J4266" s="204"/>
      <c r="K4266" s="204"/>
      <c r="L4266" s="205"/>
      <c r="M4266" s="205"/>
      <c r="N4266" s="204"/>
      <c r="O4266" s="204"/>
      <c r="P4266" s="206"/>
      <c r="Q4266" s="206"/>
      <c r="R4266" s="206"/>
      <c r="S4266" s="206"/>
      <c r="T4266" s="204"/>
      <c r="U4266" s="207"/>
      <c r="V4266" s="204"/>
      <c r="W4266" s="204"/>
      <c r="X4266" s="207"/>
      <c r="Y4266" s="207"/>
      <c r="Z4266" s="204"/>
      <c r="AA4266" s="204"/>
      <c r="AB4266" s="204"/>
      <c r="AC4266" s="204"/>
    </row>
    <row r="4267" spans="1:29">
      <c r="A4267" s="204"/>
      <c r="B4267" s="204"/>
      <c r="C4267" s="204"/>
      <c r="D4267" s="204"/>
      <c r="E4267" s="204"/>
      <c r="F4267" s="204"/>
      <c r="G4267" s="204"/>
      <c r="H4267" s="204"/>
      <c r="I4267" s="204"/>
      <c r="J4267" s="204"/>
      <c r="K4267" s="204"/>
      <c r="L4267" s="205"/>
      <c r="M4267" s="205"/>
      <c r="N4267" s="204"/>
      <c r="O4267" s="204"/>
      <c r="P4267" s="206"/>
      <c r="Q4267" s="206"/>
      <c r="R4267" s="206"/>
      <c r="S4267" s="206"/>
      <c r="T4267" s="204"/>
      <c r="U4267" s="207"/>
      <c r="V4267" s="204"/>
      <c r="W4267" s="204"/>
      <c r="X4267" s="207"/>
      <c r="Y4267" s="207"/>
      <c r="Z4267" s="204"/>
      <c r="AA4267" s="204"/>
      <c r="AB4267" s="204"/>
      <c r="AC4267" s="204"/>
    </row>
    <row r="4268" spans="1:29">
      <c r="A4268" s="204"/>
      <c r="B4268" s="204"/>
      <c r="C4268" s="204"/>
      <c r="D4268" s="204"/>
      <c r="E4268" s="204"/>
      <c r="F4268" s="204"/>
      <c r="G4268" s="204"/>
      <c r="H4268" s="204"/>
      <c r="I4268" s="204"/>
      <c r="J4268" s="204"/>
      <c r="K4268" s="204"/>
      <c r="L4268" s="205"/>
      <c r="M4268" s="205"/>
      <c r="N4268" s="204"/>
      <c r="O4268" s="204"/>
      <c r="P4268" s="206"/>
      <c r="Q4268" s="206"/>
      <c r="R4268" s="206"/>
      <c r="S4268" s="206"/>
      <c r="T4268" s="204"/>
      <c r="U4268" s="207"/>
      <c r="V4268" s="204"/>
      <c r="W4268" s="204"/>
      <c r="X4268" s="207"/>
      <c r="Y4268" s="207"/>
      <c r="Z4268" s="204"/>
      <c r="AA4268" s="204"/>
      <c r="AB4268" s="204"/>
      <c r="AC4268" s="204"/>
    </row>
    <row r="4269" spans="1:29">
      <c r="A4269" s="204"/>
      <c r="B4269" s="204"/>
      <c r="C4269" s="204"/>
      <c r="D4269" s="204"/>
      <c r="E4269" s="204"/>
      <c r="F4269" s="204"/>
      <c r="G4269" s="204"/>
      <c r="H4269" s="204"/>
      <c r="I4269" s="204"/>
      <c r="J4269" s="204"/>
      <c r="K4269" s="204"/>
      <c r="L4269" s="205"/>
      <c r="M4269" s="205"/>
      <c r="N4269" s="204"/>
      <c r="O4269" s="204"/>
      <c r="P4269" s="206"/>
      <c r="Q4269" s="206"/>
      <c r="R4269" s="206"/>
      <c r="S4269" s="206"/>
      <c r="T4269" s="204"/>
      <c r="U4269" s="207"/>
      <c r="V4269" s="204"/>
      <c r="W4269" s="204"/>
      <c r="X4269" s="207"/>
      <c r="Y4269" s="207"/>
      <c r="Z4269" s="204"/>
      <c r="AA4269" s="204"/>
      <c r="AB4269" s="204"/>
      <c r="AC4269" s="204"/>
    </row>
    <row r="4270" spans="1:29">
      <c r="A4270" s="204"/>
      <c r="B4270" s="204"/>
      <c r="C4270" s="204"/>
      <c r="D4270" s="204"/>
      <c r="E4270" s="204"/>
      <c r="F4270" s="204"/>
      <c r="G4270" s="204"/>
      <c r="H4270" s="204"/>
      <c r="I4270" s="204"/>
      <c r="J4270" s="204"/>
      <c r="K4270" s="204"/>
      <c r="L4270" s="205"/>
      <c r="M4270" s="205"/>
      <c r="N4270" s="204"/>
      <c r="O4270" s="204"/>
      <c r="P4270" s="206"/>
      <c r="Q4270" s="206"/>
      <c r="R4270" s="206"/>
      <c r="S4270" s="206"/>
      <c r="T4270" s="204"/>
      <c r="U4270" s="207"/>
      <c r="V4270" s="204"/>
      <c r="W4270" s="204"/>
      <c r="X4270" s="207"/>
      <c r="Y4270" s="207"/>
      <c r="Z4270" s="204"/>
      <c r="AA4270" s="204"/>
      <c r="AB4270" s="204"/>
      <c r="AC4270" s="204"/>
    </row>
    <row r="4271" spans="1:29">
      <c r="A4271" s="204"/>
      <c r="B4271" s="204"/>
      <c r="C4271" s="204"/>
      <c r="D4271" s="204"/>
      <c r="E4271" s="204"/>
      <c r="F4271" s="204"/>
      <c r="G4271" s="204"/>
      <c r="H4271" s="204"/>
      <c r="I4271" s="204"/>
      <c r="J4271" s="204"/>
      <c r="K4271" s="204"/>
      <c r="L4271" s="205"/>
      <c r="M4271" s="205"/>
      <c r="N4271" s="204"/>
      <c r="O4271" s="204"/>
      <c r="P4271" s="206"/>
      <c r="Q4271" s="206"/>
      <c r="R4271" s="206"/>
      <c r="S4271" s="206"/>
      <c r="T4271" s="204"/>
      <c r="U4271" s="207"/>
      <c r="V4271" s="204"/>
      <c r="W4271" s="204"/>
      <c r="X4271" s="207"/>
      <c r="Y4271" s="207"/>
      <c r="Z4271" s="204"/>
      <c r="AA4271" s="204"/>
      <c r="AB4271" s="204"/>
      <c r="AC4271" s="204"/>
    </row>
    <row r="4272" spans="1:29">
      <c r="A4272" s="204"/>
      <c r="B4272" s="204"/>
      <c r="C4272" s="204"/>
      <c r="D4272" s="204"/>
      <c r="E4272" s="204"/>
      <c r="F4272" s="204"/>
      <c r="G4272" s="204"/>
      <c r="H4272" s="204"/>
      <c r="I4272" s="204"/>
      <c r="J4272" s="204"/>
      <c r="K4272" s="204"/>
      <c r="L4272" s="205"/>
      <c r="M4272" s="205"/>
      <c r="N4272" s="204"/>
      <c r="O4272" s="204"/>
      <c r="P4272" s="206"/>
      <c r="Q4272" s="206"/>
      <c r="R4272" s="206"/>
      <c r="S4272" s="206"/>
      <c r="T4272" s="204"/>
      <c r="U4272" s="207"/>
      <c r="V4272" s="204"/>
      <c r="W4272" s="204"/>
      <c r="X4272" s="207"/>
      <c r="Y4272" s="207"/>
      <c r="Z4272" s="204"/>
      <c r="AA4272" s="204"/>
      <c r="AB4272" s="204"/>
      <c r="AC4272" s="204"/>
    </row>
    <row r="4273" spans="1:29">
      <c r="A4273" s="204"/>
      <c r="B4273" s="204"/>
      <c r="C4273" s="204"/>
      <c r="D4273" s="204"/>
      <c r="E4273" s="204"/>
      <c r="F4273" s="204"/>
      <c r="G4273" s="204"/>
      <c r="H4273" s="204"/>
      <c r="I4273" s="204"/>
      <c r="J4273" s="204"/>
      <c r="K4273" s="204"/>
      <c r="L4273" s="205"/>
      <c r="M4273" s="205"/>
      <c r="N4273" s="204"/>
      <c r="O4273" s="204"/>
      <c r="P4273" s="206"/>
      <c r="Q4273" s="206"/>
      <c r="R4273" s="206"/>
      <c r="S4273" s="206"/>
      <c r="T4273" s="204"/>
      <c r="U4273" s="207"/>
      <c r="V4273" s="204"/>
      <c r="W4273" s="204"/>
      <c r="X4273" s="207"/>
      <c r="Y4273" s="207"/>
      <c r="Z4273" s="204"/>
      <c r="AA4273" s="204"/>
      <c r="AB4273" s="204"/>
      <c r="AC4273" s="204"/>
    </row>
    <row r="4274" spans="1:29">
      <c r="A4274" s="204"/>
      <c r="B4274" s="204"/>
      <c r="C4274" s="204"/>
      <c r="D4274" s="204"/>
      <c r="E4274" s="204"/>
      <c r="F4274" s="204"/>
      <c r="G4274" s="204"/>
      <c r="H4274" s="204"/>
      <c r="I4274" s="204"/>
      <c r="J4274" s="204"/>
      <c r="K4274" s="204"/>
      <c r="L4274" s="205"/>
      <c r="M4274" s="205"/>
      <c r="N4274" s="204"/>
      <c r="O4274" s="204"/>
      <c r="P4274" s="206"/>
      <c r="Q4274" s="206"/>
      <c r="R4274" s="206"/>
      <c r="S4274" s="206"/>
      <c r="T4274" s="204"/>
      <c r="U4274" s="207"/>
      <c r="V4274" s="204"/>
      <c r="W4274" s="204"/>
      <c r="X4274" s="207"/>
      <c r="Y4274" s="207"/>
      <c r="Z4274" s="204"/>
      <c r="AA4274" s="204"/>
      <c r="AB4274" s="204"/>
      <c r="AC4274" s="204"/>
    </row>
    <row r="4275" spans="1:29">
      <c r="A4275" s="204"/>
      <c r="B4275" s="204"/>
      <c r="C4275" s="204"/>
      <c r="D4275" s="204"/>
      <c r="E4275" s="204"/>
      <c r="F4275" s="204"/>
      <c r="G4275" s="204"/>
      <c r="H4275" s="204"/>
      <c r="I4275" s="204"/>
      <c r="J4275" s="204"/>
      <c r="K4275" s="204"/>
      <c r="L4275" s="205"/>
      <c r="M4275" s="205"/>
      <c r="N4275" s="204"/>
      <c r="O4275" s="204"/>
      <c r="P4275" s="206"/>
      <c r="Q4275" s="206"/>
      <c r="R4275" s="206"/>
      <c r="S4275" s="206"/>
      <c r="T4275" s="204"/>
      <c r="U4275" s="207"/>
      <c r="V4275" s="204"/>
      <c r="W4275" s="204"/>
      <c r="X4275" s="207"/>
      <c r="Y4275" s="207"/>
      <c r="Z4275" s="204"/>
      <c r="AA4275" s="204"/>
      <c r="AB4275" s="204"/>
      <c r="AC4275" s="204"/>
    </row>
    <row r="4276" spans="1:29">
      <c r="A4276" s="204"/>
      <c r="B4276" s="204"/>
      <c r="C4276" s="204"/>
      <c r="D4276" s="204"/>
      <c r="E4276" s="204"/>
      <c r="F4276" s="204"/>
      <c r="G4276" s="204"/>
      <c r="H4276" s="204"/>
      <c r="I4276" s="204"/>
      <c r="J4276" s="204"/>
      <c r="K4276" s="204"/>
      <c r="L4276" s="205"/>
      <c r="M4276" s="205"/>
      <c r="N4276" s="204"/>
      <c r="O4276" s="204"/>
      <c r="P4276" s="206"/>
      <c r="Q4276" s="206"/>
      <c r="R4276" s="206"/>
      <c r="S4276" s="206"/>
      <c r="T4276" s="204"/>
      <c r="U4276" s="207"/>
      <c r="V4276" s="204"/>
      <c r="W4276" s="204"/>
      <c r="X4276" s="207"/>
      <c r="Y4276" s="207"/>
      <c r="Z4276" s="204"/>
      <c r="AA4276" s="204"/>
      <c r="AB4276" s="204"/>
      <c r="AC4276" s="204"/>
    </row>
    <row r="4277" spans="1:29">
      <c r="A4277" s="204"/>
      <c r="B4277" s="204"/>
      <c r="C4277" s="204"/>
      <c r="D4277" s="204"/>
      <c r="E4277" s="204"/>
      <c r="F4277" s="204"/>
      <c r="G4277" s="204"/>
      <c r="H4277" s="204"/>
      <c r="I4277" s="204"/>
      <c r="J4277" s="204"/>
      <c r="K4277" s="204"/>
      <c r="L4277" s="205"/>
      <c r="M4277" s="205"/>
      <c r="N4277" s="204"/>
      <c r="O4277" s="204"/>
      <c r="P4277" s="206"/>
      <c r="Q4277" s="206"/>
      <c r="R4277" s="206"/>
      <c r="S4277" s="206"/>
      <c r="T4277" s="204"/>
      <c r="U4277" s="207"/>
      <c r="V4277" s="204"/>
      <c r="W4277" s="204"/>
      <c r="X4277" s="207"/>
      <c r="Y4277" s="207"/>
      <c r="Z4277" s="204"/>
      <c r="AA4277" s="204"/>
      <c r="AB4277" s="204"/>
      <c r="AC4277" s="204"/>
    </row>
    <row r="4278" spans="1:29">
      <c r="A4278" s="204"/>
      <c r="B4278" s="204"/>
      <c r="C4278" s="204"/>
      <c r="D4278" s="204"/>
      <c r="E4278" s="204"/>
      <c r="F4278" s="204"/>
      <c r="G4278" s="204"/>
      <c r="H4278" s="204"/>
      <c r="I4278" s="204"/>
      <c r="J4278" s="204"/>
      <c r="K4278" s="204"/>
      <c r="L4278" s="205"/>
      <c r="M4278" s="205"/>
      <c r="N4278" s="204"/>
      <c r="O4278" s="204"/>
      <c r="P4278" s="206"/>
      <c r="Q4278" s="206"/>
      <c r="R4278" s="206"/>
      <c r="S4278" s="206"/>
      <c r="T4278" s="204"/>
      <c r="U4278" s="207"/>
      <c r="V4278" s="204"/>
      <c r="W4278" s="204"/>
      <c r="X4278" s="207"/>
      <c r="Y4278" s="207"/>
      <c r="Z4278" s="204"/>
      <c r="AA4278" s="204"/>
      <c r="AB4278" s="204"/>
      <c r="AC4278" s="204"/>
    </row>
    <row r="4279" spans="1:29">
      <c r="A4279" s="204"/>
      <c r="B4279" s="204"/>
      <c r="C4279" s="204"/>
      <c r="D4279" s="204"/>
      <c r="E4279" s="204"/>
      <c r="F4279" s="204"/>
      <c r="G4279" s="204"/>
      <c r="H4279" s="204"/>
      <c r="I4279" s="204"/>
      <c r="J4279" s="204"/>
      <c r="K4279" s="204"/>
      <c r="L4279" s="205"/>
      <c r="M4279" s="205"/>
      <c r="N4279" s="204"/>
      <c r="O4279" s="204"/>
      <c r="P4279" s="206"/>
      <c r="Q4279" s="206"/>
      <c r="R4279" s="206"/>
      <c r="S4279" s="206"/>
      <c r="T4279" s="204"/>
      <c r="U4279" s="207"/>
      <c r="V4279" s="204"/>
      <c r="W4279" s="204"/>
      <c r="X4279" s="207"/>
      <c r="Y4279" s="207"/>
      <c r="Z4279" s="204"/>
      <c r="AA4279" s="204"/>
      <c r="AB4279" s="204"/>
      <c r="AC4279" s="204"/>
    </row>
    <row r="4280" spans="1:29">
      <c r="A4280" s="204"/>
      <c r="B4280" s="204"/>
      <c r="C4280" s="204"/>
      <c r="D4280" s="204"/>
      <c r="E4280" s="204"/>
      <c r="F4280" s="204"/>
      <c r="G4280" s="204"/>
      <c r="H4280" s="204"/>
      <c r="I4280" s="204"/>
      <c r="J4280" s="204"/>
      <c r="K4280" s="204"/>
      <c r="L4280" s="205"/>
      <c r="M4280" s="205"/>
      <c r="N4280" s="204"/>
      <c r="O4280" s="204"/>
      <c r="P4280" s="206"/>
      <c r="Q4280" s="206"/>
      <c r="R4280" s="206"/>
      <c r="S4280" s="206"/>
      <c r="T4280" s="204"/>
      <c r="U4280" s="207"/>
      <c r="V4280" s="204"/>
      <c r="W4280" s="204"/>
      <c r="X4280" s="207"/>
      <c r="Y4280" s="207"/>
      <c r="Z4280" s="204"/>
      <c r="AA4280" s="204"/>
      <c r="AB4280" s="204"/>
      <c r="AC4280" s="204"/>
    </row>
    <row r="4281" spans="1:29">
      <c r="A4281" s="204"/>
      <c r="B4281" s="204"/>
      <c r="C4281" s="204"/>
      <c r="D4281" s="204"/>
      <c r="E4281" s="204"/>
      <c r="F4281" s="204"/>
      <c r="G4281" s="204"/>
      <c r="H4281" s="204"/>
      <c r="I4281" s="204"/>
      <c r="J4281" s="204"/>
      <c r="K4281" s="204"/>
      <c r="L4281" s="205"/>
      <c r="M4281" s="205"/>
      <c r="N4281" s="204"/>
      <c r="O4281" s="204"/>
      <c r="P4281" s="206"/>
      <c r="Q4281" s="206"/>
      <c r="R4281" s="206"/>
      <c r="S4281" s="206"/>
      <c r="T4281" s="204"/>
      <c r="U4281" s="207"/>
      <c r="V4281" s="204"/>
      <c r="W4281" s="204"/>
      <c r="X4281" s="207"/>
      <c r="Y4281" s="207"/>
      <c r="Z4281" s="204"/>
      <c r="AA4281" s="204"/>
      <c r="AB4281" s="204"/>
      <c r="AC4281" s="204"/>
    </row>
    <row r="4282" spans="1:29">
      <c r="A4282" s="204"/>
      <c r="B4282" s="204"/>
      <c r="C4282" s="204"/>
      <c r="D4282" s="204"/>
      <c r="E4282" s="204"/>
      <c r="F4282" s="204"/>
      <c r="G4282" s="204"/>
      <c r="H4282" s="204"/>
      <c r="I4282" s="204"/>
      <c r="J4282" s="204"/>
      <c r="K4282" s="204"/>
      <c r="L4282" s="205"/>
      <c r="M4282" s="205"/>
      <c r="N4282" s="204"/>
      <c r="O4282" s="204"/>
      <c r="P4282" s="206"/>
      <c r="Q4282" s="206"/>
      <c r="R4282" s="206"/>
      <c r="S4282" s="206"/>
      <c r="T4282" s="204"/>
      <c r="U4282" s="207"/>
      <c r="V4282" s="204"/>
      <c r="W4282" s="204"/>
      <c r="X4282" s="207"/>
      <c r="Y4282" s="207"/>
      <c r="Z4282" s="204"/>
      <c r="AA4282" s="204"/>
      <c r="AB4282" s="204"/>
      <c r="AC4282" s="204"/>
    </row>
    <row r="4283" spans="1:29">
      <c r="A4283" s="204"/>
      <c r="B4283" s="204"/>
      <c r="C4283" s="204"/>
      <c r="D4283" s="204"/>
      <c r="E4283" s="204"/>
      <c r="F4283" s="204"/>
      <c r="G4283" s="204"/>
      <c r="H4283" s="204"/>
      <c r="I4283" s="204"/>
      <c r="J4283" s="204"/>
      <c r="K4283" s="204"/>
      <c r="L4283" s="205"/>
      <c r="M4283" s="205"/>
      <c r="N4283" s="204"/>
      <c r="O4283" s="204"/>
      <c r="P4283" s="206"/>
      <c r="Q4283" s="206"/>
      <c r="R4283" s="206"/>
      <c r="S4283" s="206"/>
      <c r="T4283" s="204"/>
      <c r="U4283" s="207"/>
      <c r="V4283" s="204"/>
      <c r="W4283" s="204"/>
      <c r="X4283" s="207"/>
      <c r="Y4283" s="207"/>
      <c r="Z4283" s="204"/>
      <c r="AA4283" s="204"/>
      <c r="AB4283" s="204"/>
      <c r="AC4283" s="204"/>
    </row>
    <row r="4284" spans="1:29">
      <c r="A4284" s="204"/>
      <c r="B4284" s="204"/>
      <c r="C4284" s="204"/>
      <c r="D4284" s="204"/>
      <c r="E4284" s="204"/>
      <c r="F4284" s="204"/>
      <c r="G4284" s="204"/>
      <c r="H4284" s="204"/>
      <c r="I4284" s="204"/>
      <c r="J4284" s="204"/>
      <c r="K4284" s="204"/>
      <c r="L4284" s="205"/>
      <c r="M4284" s="205"/>
      <c r="N4284" s="204"/>
      <c r="O4284" s="204"/>
      <c r="P4284" s="206"/>
      <c r="Q4284" s="206"/>
      <c r="R4284" s="206"/>
      <c r="S4284" s="206"/>
      <c r="T4284" s="204"/>
      <c r="U4284" s="207"/>
      <c r="V4284" s="204"/>
      <c r="W4284" s="204"/>
      <c r="X4284" s="207"/>
      <c r="Y4284" s="207"/>
      <c r="Z4284" s="204"/>
      <c r="AA4284" s="204"/>
      <c r="AB4284" s="204"/>
      <c r="AC4284" s="204"/>
    </row>
    <row r="4285" spans="1:29">
      <c r="A4285" s="204"/>
      <c r="B4285" s="204"/>
      <c r="C4285" s="204"/>
      <c r="D4285" s="204"/>
      <c r="E4285" s="204"/>
      <c r="F4285" s="204"/>
      <c r="G4285" s="204"/>
      <c r="H4285" s="204"/>
      <c r="I4285" s="204"/>
      <c r="J4285" s="204"/>
      <c r="K4285" s="204"/>
      <c r="L4285" s="205"/>
      <c r="M4285" s="205"/>
      <c r="N4285" s="204"/>
      <c r="O4285" s="204"/>
      <c r="P4285" s="206"/>
      <c r="Q4285" s="206"/>
      <c r="R4285" s="206"/>
      <c r="S4285" s="206"/>
      <c r="T4285" s="204"/>
      <c r="U4285" s="207"/>
      <c r="V4285" s="204"/>
      <c r="W4285" s="204"/>
      <c r="X4285" s="207"/>
      <c r="Y4285" s="207"/>
      <c r="Z4285" s="204"/>
      <c r="AA4285" s="204"/>
      <c r="AB4285" s="204"/>
      <c r="AC4285" s="204"/>
    </row>
    <row r="4286" spans="1:29">
      <c r="A4286" s="204"/>
      <c r="B4286" s="204"/>
      <c r="C4286" s="204"/>
      <c r="D4286" s="204"/>
      <c r="E4286" s="204"/>
      <c r="F4286" s="204"/>
      <c r="G4286" s="204"/>
      <c r="H4286" s="204"/>
      <c r="I4286" s="204"/>
      <c r="J4286" s="204"/>
      <c r="K4286" s="204"/>
      <c r="L4286" s="205"/>
      <c r="M4286" s="205"/>
      <c r="N4286" s="204"/>
      <c r="O4286" s="204"/>
      <c r="P4286" s="206"/>
      <c r="Q4286" s="206"/>
      <c r="R4286" s="206"/>
      <c r="S4286" s="206"/>
      <c r="T4286" s="204"/>
      <c r="U4286" s="207"/>
      <c r="V4286" s="204"/>
      <c r="W4286" s="204"/>
      <c r="X4286" s="207"/>
      <c r="Y4286" s="207"/>
      <c r="Z4286" s="204"/>
      <c r="AA4286" s="204"/>
      <c r="AB4286" s="204"/>
      <c r="AC4286" s="204"/>
    </row>
    <row r="4287" spans="1:29">
      <c r="A4287" s="204"/>
      <c r="B4287" s="204"/>
      <c r="C4287" s="204"/>
      <c r="D4287" s="204"/>
      <c r="E4287" s="204"/>
      <c r="F4287" s="204"/>
      <c r="G4287" s="204"/>
      <c r="H4287" s="204"/>
      <c r="I4287" s="204"/>
      <c r="J4287" s="204"/>
      <c r="K4287" s="204"/>
      <c r="L4287" s="205"/>
      <c r="M4287" s="205"/>
      <c r="N4287" s="204"/>
      <c r="O4287" s="204"/>
      <c r="P4287" s="206"/>
      <c r="Q4287" s="206"/>
      <c r="R4287" s="206"/>
      <c r="S4287" s="206"/>
      <c r="T4287" s="204"/>
      <c r="U4287" s="207"/>
      <c r="V4287" s="204"/>
      <c r="W4287" s="204"/>
      <c r="X4287" s="207"/>
      <c r="Y4287" s="207"/>
      <c r="Z4287" s="204"/>
      <c r="AA4287" s="204"/>
      <c r="AB4287" s="204"/>
      <c r="AC4287" s="204"/>
    </row>
    <row r="4288" spans="1:29">
      <c r="A4288" s="204"/>
      <c r="B4288" s="204"/>
      <c r="C4288" s="204"/>
      <c r="D4288" s="204"/>
      <c r="E4288" s="204"/>
      <c r="F4288" s="204"/>
      <c r="G4288" s="204"/>
      <c r="H4288" s="204"/>
      <c r="I4288" s="204"/>
      <c r="J4288" s="204"/>
      <c r="K4288" s="204"/>
      <c r="L4288" s="205"/>
      <c r="M4288" s="205"/>
      <c r="N4288" s="204"/>
      <c r="O4288" s="204"/>
      <c r="P4288" s="206"/>
      <c r="Q4288" s="206"/>
      <c r="R4288" s="206"/>
      <c r="S4288" s="206"/>
      <c r="T4288" s="204"/>
      <c r="U4288" s="207"/>
      <c r="V4288" s="204"/>
      <c r="W4288" s="204"/>
      <c r="X4288" s="207"/>
      <c r="Y4288" s="207"/>
      <c r="Z4288" s="204"/>
      <c r="AA4288" s="204"/>
      <c r="AB4288" s="204"/>
      <c r="AC4288" s="204"/>
    </row>
    <row r="4289" spans="1:29">
      <c r="A4289" s="204"/>
      <c r="B4289" s="204"/>
      <c r="C4289" s="204"/>
      <c r="D4289" s="204"/>
      <c r="E4289" s="204"/>
      <c r="F4289" s="204"/>
      <c r="G4289" s="204"/>
      <c r="H4289" s="204"/>
      <c r="I4289" s="204"/>
      <c r="J4289" s="204"/>
      <c r="K4289" s="204"/>
      <c r="L4289" s="205"/>
      <c r="M4289" s="205"/>
      <c r="N4289" s="204"/>
      <c r="O4289" s="204"/>
      <c r="P4289" s="206"/>
      <c r="Q4289" s="206"/>
      <c r="R4289" s="206"/>
      <c r="S4289" s="206"/>
      <c r="T4289" s="204"/>
      <c r="U4289" s="207"/>
      <c r="V4289" s="204"/>
      <c r="W4289" s="204"/>
      <c r="X4289" s="207"/>
      <c r="Y4289" s="207"/>
      <c r="Z4289" s="204"/>
      <c r="AA4289" s="204"/>
      <c r="AB4289" s="204"/>
      <c r="AC4289" s="204"/>
    </row>
    <row r="4290" spans="1:29">
      <c r="A4290" s="204"/>
      <c r="B4290" s="204"/>
      <c r="C4290" s="204"/>
      <c r="D4290" s="204"/>
      <c r="E4290" s="204"/>
      <c r="F4290" s="204"/>
      <c r="G4290" s="204"/>
      <c r="H4290" s="204"/>
      <c r="I4290" s="204"/>
      <c r="J4290" s="204"/>
      <c r="K4290" s="204"/>
      <c r="L4290" s="205"/>
      <c r="M4290" s="205"/>
      <c r="N4290" s="204"/>
      <c r="O4290" s="204"/>
      <c r="P4290" s="206"/>
      <c r="Q4290" s="206"/>
      <c r="R4290" s="206"/>
      <c r="S4290" s="206"/>
      <c r="T4290" s="204"/>
      <c r="U4290" s="207"/>
      <c r="V4290" s="204"/>
      <c r="W4290" s="204"/>
      <c r="X4290" s="207"/>
      <c r="Y4290" s="207"/>
      <c r="Z4290" s="204"/>
      <c r="AA4290" s="204"/>
      <c r="AB4290" s="204"/>
      <c r="AC4290" s="204"/>
    </row>
    <row r="4291" spans="1:29">
      <c r="A4291" s="204"/>
      <c r="B4291" s="204"/>
      <c r="C4291" s="204"/>
      <c r="D4291" s="204"/>
      <c r="E4291" s="204"/>
      <c r="F4291" s="204"/>
      <c r="G4291" s="204"/>
      <c r="H4291" s="204"/>
      <c r="I4291" s="204"/>
      <c r="J4291" s="204"/>
      <c r="K4291" s="204"/>
      <c r="L4291" s="205"/>
      <c r="M4291" s="205"/>
      <c r="N4291" s="204"/>
      <c r="O4291" s="204"/>
      <c r="P4291" s="206"/>
      <c r="Q4291" s="206"/>
      <c r="R4291" s="206"/>
      <c r="S4291" s="206"/>
      <c r="T4291" s="204"/>
      <c r="U4291" s="207"/>
      <c r="V4291" s="204"/>
      <c r="W4291" s="204"/>
      <c r="X4291" s="207"/>
      <c r="Y4291" s="207"/>
      <c r="Z4291" s="204"/>
      <c r="AA4291" s="204"/>
      <c r="AB4291" s="204"/>
      <c r="AC4291" s="204"/>
    </row>
    <row r="4292" spans="1:29">
      <c r="A4292" s="204"/>
      <c r="B4292" s="204"/>
      <c r="C4292" s="204"/>
      <c r="D4292" s="204"/>
      <c r="E4292" s="204"/>
      <c r="F4292" s="204"/>
      <c r="G4292" s="204"/>
      <c r="H4292" s="204"/>
      <c r="I4292" s="204"/>
      <c r="J4292" s="204"/>
      <c r="K4292" s="204"/>
      <c r="L4292" s="205"/>
      <c r="M4292" s="205"/>
      <c r="N4292" s="204"/>
      <c r="O4292" s="204"/>
      <c r="P4292" s="206"/>
      <c r="Q4292" s="206"/>
      <c r="R4292" s="206"/>
      <c r="S4292" s="206"/>
      <c r="T4292" s="204"/>
      <c r="U4292" s="207"/>
      <c r="V4292" s="204"/>
      <c r="W4292" s="204"/>
      <c r="X4292" s="207"/>
      <c r="Y4292" s="207"/>
      <c r="Z4292" s="204"/>
      <c r="AA4292" s="204"/>
      <c r="AB4292" s="204"/>
      <c r="AC4292" s="204"/>
    </row>
    <row r="4293" spans="1:29">
      <c r="A4293" s="204"/>
      <c r="B4293" s="204"/>
      <c r="C4293" s="204"/>
      <c r="D4293" s="204"/>
      <c r="E4293" s="204"/>
      <c r="F4293" s="204"/>
      <c r="G4293" s="204"/>
      <c r="H4293" s="204"/>
      <c r="I4293" s="204"/>
      <c r="J4293" s="204"/>
      <c r="K4293" s="204"/>
      <c r="L4293" s="205"/>
      <c r="M4293" s="205"/>
      <c r="N4293" s="204"/>
      <c r="O4293" s="204"/>
      <c r="P4293" s="206"/>
      <c r="Q4293" s="206"/>
      <c r="R4293" s="206"/>
      <c r="S4293" s="206"/>
      <c r="T4293" s="204"/>
      <c r="U4293" s="207"/>
      <c r="V4293" s="204"/>
      <c r="W4293" s="204"/>
      <c r="X4293" s="207"/>
      <c r="Y4293" s="207"/>
      <c r="Z4293" s="204"/>
      <c r="AA4293" s="204"/>
      <c r="AB4293" s="204"/>
      <c r="AC4293" s="204"/>
    </row>
    <row r="4294" spans="1:29">
      <c r="A4294" s="204"/>
      <c r="B4294" s="204"/>
      <c r="C4294" s="204"/>
      <c r="D4294" s="204"/>
      <c r="E4294" s="204"/>
      <c r="F4294" s="204"/>
      <c r="G4294" s="204"/>
      <c r="H4294" s="204"/>
      <c r="I4294" s="204"/>
      <c r="J4294" s="204"/>
      <c r="K4294" s="204"/>
      <c r="L4294" s="205"/>
      <c r="M4294" s="205"/>
      <c r="N4294" s="204"/>
      <c r="O4294" s="204"/>
      <c r="P4294" s="206"/>
      <c r="Q4294" s="206"/>
      <c r="R4294" s="206"/>
      <c r="S4294" s="206"/>
      <c r="T4294" s="204"/>
      <c r="U4294" s="207"/>
      <c r="V4294" s="204"/>
      <c r="W4294" s="204"/>
      <c r="X4294" s="207"/>
      <c r="Y4294" s="207"/>
      <c r="Z4294" s="204"/>
      <c r="AA4294" s="204"/>
      <c r="AB4294" s="204"/>
      <c r="AC4294" s="204"/>
    </row>
    <row r="4295" spans="1:29">
      <c r="A4295" s="204"/>
      <c r="B4295" s="204"/>
      <c r="C4295" s="204"/>
      <c r="D4295" s="204"/>
      <c r="E4295" s="204"/>
      <c r="F4295" s="204"/>
      <c r="G4295" s="204"/>
      <c r="H4295" s="204"/>
      <c r="I4295" s="204"/>
      <c r="J4295" s="204"/>
      <c r="K4295" s="204"/>
      <c r="L4295" s="205"/>
      <c r="M4295" s="205"/>
      <c r="N4295" s="204"/>
      <c r="O4295" s="204"/>
      <c r="P4295" s="206"/>
      <c r="Q4295" s="206"/>
      <c r="R4295" s="206"/>
      <c r="S4295" s="206"/>
      <c r="T4295" s="204"/>
      <c r="U4295" s="207"/>
      <c r="V4295" s="204"/>
      <c r="W4295" s="204"/>
      <c r="X4295" s="207"/>
      <c r="Y4295" s="207"/>
      <c r="Z4295" s="204"/>
      <c r="AA4295" s="204"/>
      <c r="AB4295" s="204"/>
      <c r="AC4295" s="204"/>
    </row>
    <row r="4296" spans="1:29">
      <c r="A4296" s="204"/>
      <c r="B4296" s="204"/>
      <c r="C4296" s="204"/>
      <c r="D4296" s="204"/>
      <c r="E4296" s="204"/>
      <c r="F4296" s="204"/>
      <c r="G4296" s="204"/>
      <c r="H4296" s="204"/>
      <c r="I4296" s="204"/>
      <c r="J4296" s="204"/>
      <c r="K4296" s="204"/>
      <c r="L4296" s="205"/>
      <c r="M4296" s="205"/>
      <c r="N4296" s="204"/>
      <c r="O4296" s="204"/>
      <c r="P4296" s="206"/>
      <c r="Q4296" s="206"/>
      <c r="R4296" s="206"/>
      <c r="S4296" s="206"/>
      <c r="T4296" s="204"/>
      <c r="U4296" s="207"/>
      <c r="V4296" s="204"/>
      <c r="W4296" s="204"/>
      <c r="X4296" s="207"/>
      <c r="Y4296" s="207"/>
      <c r="Z4296" s="204"/>
      <c r="AA4296" s="204"/>
      <c r="AB4296" s="204"/>
      <c r="AC4296" s="204"/>
    </row>
    <row r="4297" spans="1:29">
      <c r="A4297" s="204"/>
      <c r="B4297" s="204"/>
      <c r="C4297" s="204"/>
      <c r="D4297" s="204"/>
      <c r="E4297" s="204"/>
      <c r="F4297" s="204"/>
      <c r="G4297" s="204"/>
      <c r="H4297" s="204"/>
      <c r="I4297" s="204"/>
      <c r="J4297" s="204"/>
      <c r="K4297" s="204"/>
      <c r="L4297" s="205"/>
      <c r="M4297" s="205"/>
      <c r="N4297" s="204"/>
      <c r="O4297" s="204"/>
      <c r="P4297" s="206"/>
      <c r="Q4297" s="206"/>
      <c r="R4297" s="206"/>
      <c r="S4297" s="206"/>
      <c r="T4297" s="204"/>
      <c r="U4297" s="207"/>
      <c r="V4297" s="204"/>
      <c r="W4297" s="204"/>
      <c r="X4297" s="207"/>
      <c r="Y4297" s="207"/>
      <c r="Z4297" s="204"/>
      <c r="AA4297" s="204"/>
      <c r="AB4297" s="204"/>
      <c r="AC4297" s="204"/>
    </row>
    <row r="4298" spans="1:29">
      <c r="A4298" s="204"/>
      <c r="B4298" s="204"/>
      <c r="C4298" s="204"/>
      <c r="D4298" s="204"/>
      <c r="E4298" s="204"/>
      <c r="F4298" s="204"/>
      <c r="G4298" s="204"/>
      <c r="H4298" s="204"/>
      <c r="I4298" s="204"/>
      <c r="J4298" s="204"/>
      <c r="K4298" s="204"/>
      <c r="L4298" s="205"/>
      <c r="M4298" s="205"/>
      <c r="N4298" s="204"/>
      <c r="O4298" s="204"/>
      <c r="P4298" s="206"/>
      <c r="Q4298" s="206"/>
      <c r="R4298" s="206"/>
      <c r="S4298" s="206"/>
      <c r="T4298" s="204"/>
      <c r="U4298" s="207"/>
      <c r="V4298" s="204"/>
      <c r="W4298" s="204"/>
      <c r="X4298" s="207"/>
      <c r="Y4298" s="207"/>
      <c r="Z4298" s="204"/>
      <c r="AA4298" s="204"/>
      <c r="AB4298" s="204"/>
      <c r="AC4298" s="204"/>
    </row>
    <row r="4299" spans="1:29">
      <c r="A4299" s="204"/>
      <c r="B4299" s="204"/>
      <c r="C4299" s="204"/>
      <c r="D4299" s="204"/>
      <c r="E4299" s="204"/>
      <c r="F4299" s="204"/>
      <c r="G4299" s="204"/>
      <c r="H4299" s="204"/>
      <c r="I4299" s="204"/>
      <c r="J4299" s="204"/>
      <c r="K4299" s="204"/>
      <c r="L4299" s="205"/>
      <c r="M4299" s="205"/>
      <c r="N4299" s="204"/>
      <c r="O4299" s="204"/>
      <c r="P4299" s="206"/>
      <c r="Q4299" s="206"/>
      <c r="R4299" s="206"/>
      <c r="S4299" s="206"/>
      <c r="T4299" s="204"/>
      <c r="U4299" s="207"/>
      <c r="V4299" s="204"/>
      <c r="W4299" s="204"/>
      <c r="X4299" s="207"/>
      <c r="Y4299" s="207"/>
      <c r="Z4299" s="204"/>
      <c r="AA4299" s="204"/>
      <c r="AB4299" s="204"/>
      <c r="AC4299" s="204"/>
    </row>
    <row r="4300" spans="1:29">
      <c r="A4300" s="204"/>
      <c r="B4300" s="204"/>
      <c r="C4300" s="204"/>
      <c r="D4300" s="204"/>
      <c r="E4300" s="204"/>
      <c r="F4300" s="204"/>
      <c r="G4300" s="204"/>
      <c r="H4300" s="204"/>
      <c r="I4300" s="204"/>
      <c r="J4300" s="204"/>
      <c r="K4300" s="204"/>
      <c r="L4300" s="205"/>
      <c r="M4300" s="205"/>
      <c r="N4300" s="204"/>
      <c r="O4300" s="204"/>
      <c r="P4300" s="206"/>
      <c r="Q4300" s="206"/>
      <c r="R4300" s="206"/>
      <c r="S4300" s="206"/>
      <c r="T4300" s="204"/>
      <c r="U4300" s="207"/>
      <c r="V4300" s="204"/>
      <c r="W4300" s="204"/>
      <c r="X4300" s="207"/>
      <c r="Y4300" s="207"/>
      <c r="Z4300" s="204"/>
      <c r="AA4300" s="204"/>
      <c r="AB4300" s="204"/>
      <c r="AC4300" s="204"/>
    </row>
    <row r="4301" spans="1:29">
      <c r="A4301" s="204"/>
      <c r="B4301" s="204"/>
      <c r="C4301" s="204"/>
      <c r="D4301" s="204"/>
      <c r="E4301" s="204"/>
      <c r="F4301" s="204"/>
      <c r="G4301" s="204"/>
      <c r="H4301" s="204"/>
      <c r="I4301" s="204"/>
      <c r="J4301" s="204"/>
      <c r="K4301" s="204"/>
      <c r="L4301" s="205"/>
      <c r="M4301" s="205"/>
      <c r="N4301" s="204"/>
      <c r="O4301" s="204"/>
      <c r="P4301" s="206"/>
      <c r="Q4301" s="206"/>
      <c r="R4301" s="206"/>
      <c r="S4301" s="206"/>
      <c r="T4301" s="204"/>
      <c r="U4301" s="207"/>
      <c r="V4301" s="204"/>
      <c r="W4301" s="204"/>
      <c r="X4301" s="207"/>
      <c r="Y4301" s="207"/>
      <c r="Z4301" s="204"/>
      <c r="AA4301" s="204"/>
      <c r="AB4301" s="204"/>
      <c r="AC4301" s="204"/>
    </row>
    <row r="4302" spans="1:29">
      <c r="A4302" s="204"/>
      <c r="B4302" s="204"/>
      <c r="C4302" s="204"/>
      <c r="D4302" s="204"/>
      <c r="E4302" s="204"/>
      <c r="F4302" s="204"/>
      <c r="G4302" s="204"/>
      <c r="H4302" s="204"/>
      <c r="I4302" s="204"/>
      <c r="J4302" s="204"/>
      <c r="K4302" s="204"/>
      <c r="L4302" s="205"/>
      <c r="M4302" s="205"/>
      <c r="N4302" s="204"/>
      <c r="O4302" s="204"/>
      <c r="P4302" s="206"/>
      <c r="Q4302" s="206"/>
      <c r="R4302" s="206"/>
      <c r="S4302" s="206"/>
      <c r="T4302" s="204"/>
      <c r="U4302" s="207"/>
      <c r="V4302" s="204"/>
      <c r="W4302" s="204"/>
      <c r="X4302" s="207"/>
      <c r="Y4302" s="207"/>
      <c r="Z4302" s="204"/>
      <c r="AA4302" s="204"/>
      <c r="AB4302" s="204"/>
      <c r="AC4302" s="204"/>
    </row>
    <row r="4303" spans="1:29">
      <c r="A4303" s="204"/>
      <c r="B4303" s="204"/>
      <c r="C4303" s="204"/>
      <c r="D4303" s="204"/>
      <c r="E4303" s="204"/>
      <c r="F4303" s="204"/>
      <c r="G4303" s="204"/>
      <c r="H4303" s="204"/>
      <c r="I4303" s="204"/>
      <c r="J4303" s="204"/>
      <c r="K4303" s="204"/>
      <c r="L4303" s="205"/>
      <c r="M4303" s="205"/>
      <c r="N4303" s="204"/>
      <c r="O4303" s="204"/>
      <c r="P4303" s="206"/>
      <c r="Q4303" s="206"/>
      <c r="R4303" s="206"/>
      <c r="S4303" s="206"/>
      <c r="T4303" s="204"/>
      <c r="U4303" s="207"/>
      <c r="V4303" s="204"/>
      <c r="W4303" s="204"/>
      <c r="X4303" s="207"/>
      <c r="Y4303" s="207"/>
      <c r="Z4303" s="204"/>
      <c r="AA4303" s="204"/>
      <c r="AB4303" s="204"/>
      <c r="AC4303" s="204"/>
    </row>
    <row r="4304" spans="1:29">
      <c r="A4304" s="204"/>
      <c r="B4304" s="204"/>
      <c r="C4304" s="204"/>
      <c r="D4304" s="204"/>
      <c r="E4304" s="204"/>
      <c r="F4304" s="204"/>
      <c r="G4304" s="204"/>
      <c r="H4304" s="204"/>
      <c r="I4304" s="204"/>
      <c r="J4304" s="204"/>
      <c r="K4304" s="204"/>
      <c r="L4304" s="205"/>
      <c r="M4304" s="205"/>
      <c r="N4304" s="204"/>
      <c r="O4304" s="204"/>
      <c r="P4304" s="206"/>
      <c r="Q4304" s="206"/>
      <c r="R4304" s="206"/>
      <c r="S4304" s="206"/>
      <c r="T4304" s="204"/>
      <c r="U4304" s="207"/>
      <c r="V4304" s="204"/>
      <c r="W4304" s="204"/>
      <c r="X4304" s="207"/>
      <c r="Y4304" s="207"/>
      <c r="Z4304" s="204"/>
      <c r="AA4304" s="204"/>
      <c r="AB4304" s="204"/>
      <c r="AC4304" s="204"/>
    </row>
    <row r="4305" spans="1:29">
      <c r="A4305" s="204"/>
      <c r="B4305" s="204"/>
      <c r="C4305" s="204"/>
      <c r="D4305" s="204"/>
      <c r="E4305" s="204"/>
      <c r="F4305" s="204"/>
      <c r="G4305" s="204"/>
      <c r="H4305" s="204"/>
      <c r="I4305" s="204"/>
      <c r="J4305" s="204"/>
      <c r="K4305" s="204"/>
      <c r="L4305" s="205"/>
      <c r="M4305" s="205"/>
      <c r="N4305" s="204"/>
      <c r="O4305" s="204"/>
      <c r="P4305" s="206"/>
      <c r="Q4305" s="206"/>
      <c r="R4305" s="206"/>
      <c r="S4305" s="206"/>
      <c r="T4305" s="204"/>
      <c r="U4305" s="207"/>
      <c r="V4305" s="204"/>
      <c r="W4305" s="204"/>
      <c r="X4305" s="207"/>
      <c r="Y4305" s="207"/>
      <c r="Z4305" s="204"/>
      <c r="AA4305" s="204"/>
      <c r="AB4305" s="204"/>
      <c r="AC4305" s="204"/>
    </row>
    <row r="4306" spans="1:29">
      <c r="A4306" s="204"/>
      <c r="B4306" s="204"/>
      <c r="C4306" s="204"/>
      <c r="D4306" s="204"/>
      <c r="E4306" s="204"/>
      <c r="F4306" s="204"/>
      <c r="G4306" s="204"/>
      <c r="H4306" s="204"/>
      <c r="I4306" s="204"/>
      <c r="J4306" s="204"/>
      <c r="K4306" s="204"/>
      <c r="L4306" s="205"/>
      <c r="M4306" s="205"/>
      <c r="N4306" s="204"/>
      <c r="O4306" s="204"/>
      <c r="P4306" s="206"/>
      <c r="Q4306" s="206"/>
      <c r="R4306" s="206"/>
      <c r="S4306" s="206"/>
      <c r="T4306" s="204"/>
      <c r="U4306" s="207"/>
      <c r="V4306" s="204"/>
      <c r="W4306" s="204"/>
      <c r="X4306" s="207"/>
      <c r="Y4306" s="207"/>
      <c r="Z4306" s="204"/>
      <c r="AA4306" s="204"/>
      <c r="AB4306" s="204"/>
      <c r="AC4306" s="204"/>
    </row>
    <row r="4307" spans="1:29">
      <c r="A4307" s="204"/>
      <c r="B4307" s="204"/>
      <c r="C4307" s="204"/>
      <c r="D4307" s="204"/>
      <c r="E4307" s="204"/>
      <c r="F4307" s="204"/>
      <c r="G4307" s="204"/>
      <c r="H4307" s="204"/>
      <c r="I4307" s="204"/>
      <c r="J4307" s="204"/>
      <c r="K4307" s="204"/>
      <c r="L4307" s="205"/>
      <c r="M4307" s="205"/>
      <c r="N4307" s="204"/>
      <c r="O4307" s="204"/>
      <c r="P4307" s="206"/>
      <c r="Q4307" s="206"/>
      <c r="R4307" s="206"/>
      <c r="S4307" s="206"/>
      <c r="T4307" s="204"/>
      <c r="U4307" s="207"/>
      <c r="V4307" s="204"/>
      <c r="W4307" s="204"/>
      <c r="X4307" s="207"/>
      <c r="Y4307" s="207"/>
      <c r="Z4307" s="204"/>
      <c r="AA4307" s="204"/>
      <c r="AB4307" s="204"/>
      <c r="AC4307" s="204"/>
    </row>
    <row r="4308" spans="1:29">
      <c r="A4308" s="204"/>
      <c r="B4308" s="204"/>
      <c r="C4308" s="204"/>
      <c r="D4308" s="204"/>
      <c r="E4308" s="204"/>
      <c r="F4308" s="204"/>
      <c r="G4308" s="204"/>
      <c r="H4308" s="204"/>
      <c r="I4308" s="204"/>
      <c r="J4308" s="204"/>
      <c r="K4308" s="204"/>
      <c r="L4308" s="205"/>
      <c r="M4308" s="205"/>
      <c r="N4308" s="204"/>
      <c r="O4308" s="204"/>
      <c r="P4308" s="206"/>
      <c r="Q4308" s="206"/>
      <c r="R4308" s="206"/>
      <c r="S4308" s="206"/>
      <c r="T4308" s="204"/>
      <c r="U4308" s="207"/>
      <c r="V4308" s="204"/>
      <c r="W4308" s="204"/>
      <c r="X4308" s="207"/>
      <c r="Y4308" s="207"/>
      <c r="Z4308" s="204"/>
      <c r="AA4308" s="204"/>
      <c r="AB4308" s="204"/>
      <c r="AC4308" s="204"/>
    </row>
    <row r="4309" spans="1:29">
      <c r="A4309" s="204"/>
      <c r="B4309" s="204"/>
      <c r="C4309" s="204"/>
      <c r="D4309" s="204"/>
      <c r="E4309" s="204"/>
      <c r="F4309" s="204"/>
      <c r="G4309" s="204"/>
      <c r="H4309" s="204"/>
      <c r="I4309" s="204"/>
      <c r="J4309" s="204"/>
      <c r="K4309" s="204"/>
      <c r="L4309" s="205"/>
      <c r="M4309" s="205"/>
      <c r="N4309" s="204"/>
      <c r="O4309" s="204"/>
      <c r="P4309" s="206"/>
      <c r="Q4309" s="206"/>
      <c r="R4309" s="206"/>
      <c r="S4309" s="206"/>
      <c r="T4309" s="204"/>
      <c r="U4309" s="207"/>
      <c r="V4309" s="204"/>
      <c r="W4309" s="204"/>
      <c r="X4309" s="207"/>
      <c r="Y4309" s="207"/>
      <c r="Z4309" s="204"/>
      <c r="AA4309" s="204"/>
      <c r="AB4309" s="204"/>
      <c r="AC4309" s="204"/>
    </row>
    <row r="4310" spans="1:29">
      <c r="A4310" s="204"/>
      <c r="B4310" s="204"/>
      <c r="C4310" s="204"/>
      <c r="D4310" s="204"/>
      <c r="E4310" s="204"/>
      <c r="F4310" s="204"/>
      <c r="G4310" s="204"/>
      <c r="H4310" s="204"/>
      <c r="I4310" s="204"/>
      <c r="J4310" s="204"/>
      <c r="K4310" s="204"/>
      <c r="L4310" s="205"/>
      <c r="M4310" s="205"/>
      <c r="N4310" s="204"/>
      <c r="O4310" s="204"/>
      <c r="P4310" s="206"/>
      <c r="Q4310" s="206"/>
      <c r="R4310" s="206"/>
      <c r="S4310" s="206"/>
      <c r="T4310" s="204"/>
      <c r="U4310" s="207"/>
      <c r="V4310" s="204"/>
      <c r="W4310" s="204"/>
      <c r="X4310" s="207"/>
      <c r="Y4310" s="207"/>
      <c r="Z4310" s="204"/>
      <c r="AA4310" s="204"/>
      <c r="AB4310" s="204"/>
      <c r="AC4310" s="204"/>
    </row>
    <row r="4311" spans="1:29">
      <c r="A4311" s="204"/>
      <c r="B4311" s="204"/>
      <c r="C4311" s="204"/>
      <c r="D4311" s="204"/>
      <c r="E4311" s="204"/>
      <c r="F4311" s="204"/>
      <c r="G4311" s="204"/>
      <c r="H4311" s="204"/>
      <c r="I4311" s="204"/>
      <c r="J4311" s="204"/>
      <c r="K4311" s="204"/>
      <c r="L4311" s="205"/>
      <c r="M4311" s="205"/>
      <c r="N4311" s="204"/>
      <c r="O4311" s="204"/>
      <c r="P4311" s="206"/>
      <c r="Q4311" s="206"/>
      <c r="R4311" s="206"/>
      <c r="S4311" s="206"/>
      <c r="T4311" s="204"/>
      <c r="U4311" s="207"/>
      <c r="V4311" s="204"/>
      <c r="W4311" s="204"/>
      <c r="X4311" s="207"/>
      <c r="Y4311" s="207"/>
      <c r="Z4311" s="204"/>
      <c r="AA4311" s="204"/>
      <c r="AB4311" s="204"/>
      <c r="AC4311" s="204"/>
    </row>
    <row r="4312" spans="1:29">
      <c r="A4312" s="204"/>
      <c r="B4312" s="204"/>
      <c r="C4312" s="204"/>
      <c r="D4312" s="204"/>
      <c r="E4312" s="204"/>
      <c r="F4312" s="204"/>
      <c r="G4312" s="204"/>
      <c r="H4312" s="204"/>
      <c r="I4312" s="204"/>
      <c r="J4312" s="204"/>
      <c r="K4312" s="204"/>
      <c r="L4312" s="205"/>
      <c r="M4312" s="205"/>
      <c r="N4312" s="204"/>
      <c r="O4312" s="204"/>
      <c r="P4312" s="206"/>
      <c r="Q4312" s="206"/>
      <c r="R4312" s="206"/>
      <c r="S4312" s="206"/>
      <c r="T4312" s="204"/>
      <c r="U4312" s="207"/>
      <c r="V4312" s="204"/>
      <c r="W4312" s="204"/>
      <c r="X4312" s="207"/>
      <c r="Y4312" s="207"/>
      <c r="Z4312" s="204"/>
      <c r="AA4312" s="204"/>
      <c r="AB4312" s="204"/>
      <c r="AC4312" s="204"/>
    </row>
    <row r="4313" spans="1:29">
      <c r="A4313" s="204"/>
      <c r="B4313" s="204"/>
      <c r="C4313" s="204"/>
      <c r="D4313" s="204"/>
      <c r="E4313" s="204"/>
      <c r="F4313" s="204"/>
      <c r="G4313" s="204"/>
      <c r="H4313" s="204"/>
      <c r="I4313" s="204"/>
      <c r="J4313" s="204"/>
      <c r="K4313" s="204"/>
      <c r="L4313" s="205"/>
      <c r="M4313" s="205"/>
      <c r="N4313" s="204"/>
      <c r="O4313" s="204"/>
      <c r="P4313" s="206"/>
      <c r="Q4313" s="206"/>
      <c r="R4313" s="206"/>
      <c r="S4313" s="206"/>
      <c r="T4313" s="204"/>
      <c r="U4313" s="207"/>
      <c r="V4313" s="204"/>
      <c r="W4313" s="204"/>
      <c r="X4313" s="207"/>
      <c r="Y4313" s="207"/>
      <c r="Z4313" s="204"/>
      <c r="AA4313" s="204"/>
      <c r="AB4313" s="204"/>
      <c r="AC4313" s="204"/>
    </row>
    <row r="4314" spans="1:29">
      <c r="A4314" s="204"/>
      <c r="B4314" s="204"/>
      <c r="C4314" s="204"/>
      <c r="D4314" s="204"/>
      <c r="E4314" s="204"/>
      <c r="F4314" s="204"/>
      <c r="G4314" s="204"/>
      <c r="H4314" s="204"/>
      <c r="I4314" s="204"/>
      <c r="J4314" s="204"/>
      <c r="K4314" s="204"/>
      <c r="L4314" s="205"/>
      <c r="M4314" s="205"/>
      <c r="N4314" s="204"/>
      <c r="O4314" s="204"/>
      <c r="P4314" s="206"/>
      <c r="Q4314" s="206"/>
      <c r="R4314" s="206"/>
      <c r="S4314" s="206"/>
      <c r="T4314" s="204"/>
      <c r="U4314" s="207"/>
      <c r="V4314" s="204"/>
      <c r="W4314" s="204"/>
      <c r="X4314" s="207"/>
      <c r="Y4314" s="207"/>
      <c r="Z4314" s="204"/>
      <c r="AA4314" s="204"/>
      <c r="AB4314" s="204"/>
      <c r="AC4314" s="204"/>
    </row>
    <row r="4315" spans="1:29">
      <c r="A4315" s="204"/>
      <c r="B4315" s="204"/>
      <c r="C4315" s="204"/>
      <c r="D4315" s="204"/>
      <c r="E4315" s="204"/>
      <c r="F4315" s="204"/>
      <c r="G4315" s="204"/>
      <c r="H4315" s="204"/>
      <c r="I4315" s="204"/>
      <c r="J4315" s="204"/>
      <c r="K4315" s="204"/>
      <c r="L4315" s="205"/>
      <c r="M4315" s="205"/>
      <c r="N4315" s="204"/>
      <c r="O4315" s="204"/>
      <c r="P4315" s="206"/>
      <c r="Q4315" s="206"/>
      <c r="R4315" s="206"/>
      <c r="S4315" s="206"/>
      <c r="T4315" s="204"/>
      <c r="U4315" s="207"/>
      <c r="V4315" s="204"/>
      <c r="W4315" s="204"/>
      <c r="X4315" s="207"/>
      <c r="Y4315" s="207"/>
      <c r="Z4315" s="204"/>
      <c r="AA4315" s="204"/>
      <c r="AB4315" s="204"/>
      <c r="AC4315" s="204"/>
    </row>
    <row r="4316" spans="1:29">
      <c r="A4316" s="204"/>
      <c r="B4316" s="204"/>
      <c r="C4316" s="204"/>
      <c r="D4316" s="204"/>
      <c r="E4316" s="204"/>
      <c r="F4316" s="204"/>
      <c r="G4316" s="204"/>
      <c r="H4316" s="204"/>
      <c r="I4316" s="204"/>
      <c r="J4316" s="204"/>
      <c r="K4316" s="204"/>
      <c r="L4316" s="205"/>
      <c r="M4316" s="205"/>
      <c r="N4316" s="204"/>
      <c r="O4316" s="204"/>
      <c r="P4316" s="206"/>
      <c r="Q4316" s="206"/>
      <c r="R4316" s="206"/>
      <c r="S4316" s="206"/>
      <c r="T4316" s="204"/>
      <c r="U4316" s="207"/>
      <c r="V4316" s="204"/>
      <c r="W4316" s="204"/>
      <c r="X4316" s="207"/>
      <c r="Y4316" s="207"/>
      <c r="Z4316" s="204"/>
      <c r="AA4316" s="204"/>
      <c r="AB4316" s="204"/>
      <c r="AC4316" s="204"/>
    </row>
    <row r="4317" spans="1:29">
      <c r="A4317" s="204"/>
      <c r="B4317" s="204"/>
      <c r="C4317" s="204"/>
      <c r="D4317" s="204"/>
      <c r="E4317" s="204"/>
      <c r="F4317" s="204"/>
      <c r="G4317" s="204"/>
      <c r="H4317" s="204"/>
      <c r="I4317" s="204"/>
      <c r="J4317" s="204"/>
      <c r="K4317" s="204"/>
      <c r="L4317" s="205"/>
      <c r="M4317" s="205"/>
      <c r="N4317" s="204"/>
      <c r="O4317" s="204"/>
      <c r="P4317" s="206"/>
      <c r="Q4317" s="206"/>
      <c r="R4317" s="206"/>
      <c r="S4317" s="206"/>
      <c r="T4317" s="204"/>
      <c r="U4317" s="207"/>
      <c r="V4317" s="204"/>
      <c r="W4317" s="204"/>
      <c r="X4317" s="207"/>
      <c r="Y4317" s="207"/>
      <c r="Z4317" s="204"/>
      <c r="AA4317" s="204"/>
      <c r="AB4317" s="204"/>
      <c r="AC4317" s="204"/>
    </row>
    <row r="4318" spans="1:29">
      <c r="A4318" s="204"/>
      <c r="B4318" s="204"/>
      <c r="C4318" s="204"/>
      <c r="D4318" s="204"/>
      <c r="E4318" s="204"/>
      <c r="F4318" s="204"/>
      <c r="G4318" s="204"/>
      <c r="H4318" s="204"/>
      <c r="I4318" s="204"/>
      <c r="J4318" s="204"/>
      <c r="K4318" s="204"/>
      <c r="L4318" s="205"/>
      <c r="M4318" s="205"/>
      <c r="N4318" s="204"/>
      <c r="O4318" s="204"/>
      <c r="P4318" s="206"/>
      <c r="Q4318" s="206"/>
      <c r="R4318" s="206"/>
      <c r="S4318" s="206"/>
      <c r="T4318" s="204"/>
      <c r="U4318" s="207"/>
      <c r="V4318" s="204"/>
      <c r="W4318" s="204"/>
      <c r="X4318" s="207"/>
      <c r="Y4318" s="207"/>
      <c r="Z4318" s="204"/>
      <c r="AA4318" s="204"/>
      <c r="AB4318" s="204"/>
      <c r="AC4318" s="204"/>
    </row>
    <row r="4319" spans="1:29">
      <c r="A4319" s="204"/>
      <c r="B4319" s="204"/>
      <c r="C4319" s="204"/>
      <c r="D4319" s="204"/>
      <c r="E4319" s="204"/>
      <c r="F4319" s="204"/>
      <c r="G4319" s="204"/>
      <c r="H4319" s="204"/>
      <c r="I4319" s="204"/>
      <c r="J4319" s="204"/>
      <c r="K4319" s="204"/>
      <c r="L4319" s="205"/>
      <c r="M4319" s="205"/>
      <c r="N4319" s="204"/>
      <c r="O4319" s="204"/>
      <c r="P4319" s="206"/>
      <c r="Q4319" s="206"/>
      <c r="R4319" s="206"/>
      <c r="S4319" s="206"/>
      <c r="T4319" s="204"/>
      <c r="U4319" s="207"/>
      <c r="V4319" s="204"/>
      <c r="W4319" s="204"/>
      <c r="X4319" s="207"/>
      <c r="Y4319" s="207"/>
      <c r="Z4319" s="204"/>
      <c r="AA4319" s="204"/>
      <c r="AB4319" s="204"/>
      <c r="AC4319" s="204"/>
    </row>
    <row r="4320" spans="1:29">
      <c r="A4320" s="204"/>
      <c r="B4320" s="204"/>
      <c r="C4320" s="204"/>
      <c r="D4320" s="204"/>
      <c r="E4320" s="204"/>
      <c r="F4320" s="204"/>
      <c r="G4320" s="204"/>
      <c r="H4320" s="204"/>
      <c r="I4320" s="204"/>
      <c r="J4320" s="204"/>
      <c r="K4320" s="204"/>
      <c r="L4320" s="205"/>
      <c r="M4320" s="205"/>
      <c r="N4320" s="204"/>
      <c r="O4320" s="204"/>
      <c r="P4320" s="206"/>
      <c r="Q4320" s="206"/>
      <c r="R4320" s="206"/>
      <c r="S4320" s="206"/>
      <c r="T4320" s="204"/>
      <c r="U4320" s="207"/>
      <c r="V4320" s="204"/>
      <c r="W4320" s="204"/>
      <c r="X4320" s="207"/>
      <c r="Y4320" s="207"/>
      <c r="Z4320" s="204"/>
      <c r="AA4320" s="204"/>
      <c r="AB4320" s="204"/>
      <c r="AC4320" s="204"/>
    </row>
    <row r="4321" spans="1:29">
      <c r="A4321" s="204"/>
      <c r="B4321" s="204"/>
      <c r="C4321" s="204"/>
      <c r="D4321" s="204"/>
      <c r="E4321" s="204"/>
      <c r="F4321" s="204"/>
      <c r="G4321" s="204"/>
      <c r="H4321" s="204"/>
      <c r="I4321" s="204"/>
      <c r="J4321" s="204"/>
      <c r="K4321" s="204"/>
      <c r="L4321" s="205"/>
      <c r="M4321" s="205"/>
      <c r="N4321" s="204"/>
      <c r="O4321" s="204"/>
      <c r="P4321" s="206"/>
      <c r="Q4321" s="206"/>
      <c r="R4321" s="206"/>
      <c r="S4321" s="206"/>
      <c r="T4321" s="204"/>
      <c r="U4321" s="207"/>
      <c r="V4321" s="204"/>
      <c r="W4321" s="204"/>
      <c r="X4321" s="207"/>
      <c r="Y4321" s="207"/>
      <c r="Z4321" s="204"/>
      <c r="AA4321" s="204"/>
      <c r="AB4321" s="204"/>
      <c r="AC4321" s="204"/>
    </row>
    <row r="4322" spans="1:29">
      <c r="A4322" s="204"/>
      <c r="B4322" s="204"/>
      <c r="C4322" s="204"/>
      <c r="D4322" s="204"/>
      <c r="E4322" s="204"/>
      <c r="F4322" s="204"/>
      <c r="G4322" s="204"/>
      <c r="H4322" s="204"/>
      <c r="I4322" s="204"/>
      <c r="J4322" s="204"/>
      <c r="K4322" s="204"/>
      <c r="L4322" s="205"/>
      <c r="M4322" s="205"/>
      <c r="N4322" s="204"/>
      <c r="O4322" s="204"/>
      <c r="P4322" s="206"/>
      <c r="Q4322" s="206"/>
      <c r="R4322" s="206"/>
      <c r="S4322" s="206"/>
      <c r="T4322" s="204"/>
      <c r="U4322" s="207"/>
      <c r="V4322" s="204"/>
      <c r="W4322" s="204"/>
      <c r="X4322" s="207"/>
      <c r="Y4322" s="207"/>
      <c r="Z4322" s="204"/>
      <c r="AA4322" s="204"/>
      <c r="AB4322" s="204"/>
      <c r="AC4322" s="204"/>
    </row>
    <row r="4323" spans="1:29">
      <c r="A4323" s="204"/>
      <c r="B4323" s="204"/>
      <c r="C4323" s="204"/>
      <c r="D4323" s="204"/>
      <c r="E4323" s="204"/>
      <c r="F4323" s="204"/>
      <c r="G4323" s="204"/>
      <c r="H4323" s="204"/>
      <c r="I4323" s="204"/>
      <c r="J4323" s="204"/>
      <c r="K4323" s="204"/>
      <c r="L4323" s="205"/>
      <c r="M4323" s="205"/>
      <c r="N4323" s="204"/>
      <c r="O4323" s="204"/>
      <c r="P4323" s="206"/>
      <c r="Q4323" s="206"/>
      <c r="R4323" s="206"/>
      <c r="S4323" s="206"/>
      <c r="T4323" s="204"/>
      <c r="U4323" s="207"/>
      <c r="V4323" s="204"/>
      <c r="W4323" s="204"/>
      <c r="X4323" s="207"/>
      <c r="Y4323" s="207"/>
      <c r="Z4323" s="204"/>
      <c r="AA4323" s="204"/>
      <c r="AB4323" s="204"/>
      <c r="AC4323" s="204"/>
    </row>
    <row r="4324" spans="1:29">
      <c r="A4324" s="204"/>
      <c r="B4324" s="204"/>
      <c r="C4324" s="204"/>
      <c r="D4324" s="204"/>
      <c r="E4324" s="204"/>
      <c r="F4324" s="204"/>
      <c r="G4324" s="204"/>
      <c r="H4324" s="204"/>
      <c r="I4324" s="204"/>
      <c r="J4324" s="204"/>
      <c r="K4324" s="204"/>
      <c r="L4324" s="205"/>
      <c r="M4324" s="205"/>
      <c r="N4324" s="204"/>
      <c r="O4324" s="204"/>
      <c r="P4324" s="206"/>
      <c r="Q4324" s="206"/>
      <c r="R4324" s="206"/>
      <c r="S4324" s="206"/>
      <c r="T4324" s="204"/>
      <c r="U4324" s="207"/>
      <c r="V4324" s="204"/>
      <c r="W4324" s="204"/>
      <c r="X4324" s="207"/>
      <c r="Y4324" s="207"/>
      <c r="Z4324" s="204"/>
      <c r="AA4324" s="204"/>
      <c r="AB4324" s="204"/>
      <c r="AC4324" s="204"/>
    </row>
    <row r="4325" spans="1:29">
      <c r="A4325" s="204"/>
      <c r="B4325" s="204"/>
      <c r="C4325" s="204"/>
      <c r="D4325" s="204"/>
      <c r="E4325" s="204"/>
      <c r="F4325" s="204"/>
      <c r="G4325" s="204"/>
      <c r="H4325" s="204"/>
      <c r="I4325" s="204"/>
      <c r="J4325" s="204"/>
      <c r="K4325" s="204"/>
      <c r="L4325" s="205"/>
      <c r="M4325" s="205"/>
      <c r="N4325" s="204"/>
      <c r="O4325" s="204"/>
      <c r="P4325" s="206"/>
      <c r="Q4325" s="206"/>
      <c r="R4325" s="206"/>
      <c r="S4325" s="206"/>
      <c r="T4325" s="204"/>
      <c r="U4325" s="207"/>
      <c r="V4325" s="204"/>
      <c r="W4325" s="204"/>
      <c r="X4325" s="207"/>
      <c r="Y4325" s="207"/>
      <c r="Z4325" s="204"/>
      <c r="AA4325" s="204"/>
      <c r="AB4325" s="204"/>
      <c r="AC4325" s="204"/>
    </row>
    <row r="4326" spans="1:29">
      <c r="A4326" s="204"/>
      <c r="B4326" s="204"/>
      <c r="C4326" s="204"/>
      <c r="D4326" s="204"/>
      <c r="E4326" s="204"/>
      <c r="F4326" s="204"/>
      <c r="G4326" s="204"/>
      <c r="H4326" s="204"/>
      <c r="I4326" s="204"/>
      <c r="J4326" s="204"/>
      <c r="K4326" s="204"/>
      <c r="L4326" s="205"/>
      <c r="M4326" s="205"/>
      <c r="N4326" s="204"/>
      <c r="O4326" s="204"/>
      <c r="P4326" s="206"/>
      <c r="Q4326" s="206"/>
      <c r="R4326" s="206"/>
      <c r="S4326" s="206"/>
      <c r="T4326" s="204"/>
      <c r="U4326" s="207"/>
      <c r="V4326" s="204"/>
      <c r="W4326" s="204"/>
      <c r="X4326" s="207"/>
      <c r="Y4326" s="207"/>
      <c r="Z4326" s="204"/>
      <c r="AA4326" s="204"/>
      <c r="AB4326" s="204"/>
      <c r="AC4326" s="204"/>
    </row>
    <row r="4327" spans="1:29">
      <c r="A4327" s="204"/>
      <c r="B4327" s="204"/>
      <c r="C4327" s="204"/>
      <c r="D4327" s="204"/>
      <c r="E4327" s="204"/>
      <c r="F4327" s="204"/>
      <c r="G4327" s="204"/>
      <c r="H4327" s="204"/>
      <c r="I4327" s="204"/>
      <c r="J4327" s="204"/>
      <c r="K4327" s="204"/>
      <c r="L4327" s="205"/>
      <c r="M4327" s="205"/>
      <c r="N4327" s="204"/>
      <c r="O4327" s="204"/>
      <c r="P4327" s="206"/>
      <c r="Q4327" s="206"/>
      <c r="R4327" s="206"/>
      <c r="S4327" s="206"/>
      <c r="T4327" s="204"/>
      <c r="U4327" s="207"/>
      <c r="V4327" s="204"/>
      <c r="W4327" s="204"/>
      <c r="X4327" s="207"/>
      <c r="Y4327" s="207"/>
      <c r="Z4327" s="204"/>
      <c r="AA4327" s="204"/>
      <c r="AB4327" s="204"/>
      <c r="AC4327" s="204"/>
    </row>
    <row r="4328" spans="1:29">
      <c r="A4328" s="204"/>
      <c r="B4328" s="204"/>
      <c r="C4328" s="204"/>
      <c r="D4328" s="204"/>
      <c r="E4328" s="204"/>
      <c r="F4328" s="204"/>
      <c r="G4328" s="204"/>
      <c r="H4328" s="204"/>
      <c r="I4328" s="204"/>
      <c r="J4328" s="204"/>
      <c r="K4328" s="204"/>
      <c r="L4328" s="205"/>
      <c r="M4328" s="205"/>
      <c r="N4328" s="204"/>
      <c r="O4328" s="204"/>
      <c r="P4328" s="206"/>
      <c r="Q4328" s="206"/>
      <c r="R4328" s="206"/>
      <c r="S4328" s="206"/>
      <c r="T4328" s="204"/>
      <c r="U4328" s="207"/>
      <c r="V4328" s="204"/>
      <c r="W4328" s="204"/>
      <c r="X4328" s="207"/>
      <c r="Y4328" s="207"/>
      <c r="Z4328" s="204"/>
      <c r="AA4328" s="204"/>
      <c r="AB4328" s="204"/>
      <c r="AC4328" s="204"/>
    </row>
    <row r="4329" spans="1:29">
      <c r="A4329" s="204"/>
      <c r="B4329" s="204"/>
      <c r="C4329" s="204"/>
      <c r="D4329" s="204"/>
      <c r="E4329" s="204"/>
      <c r="F4329" s="204"/>
      <c r="G4329" s="204"/>
      <c r="H4329" s="204"/>
      <c r="I4329" s="204"/>
      <c r="J4329" s="204"/>
      <c r="K4329" s="204"/>
      <c r="L4329" s="205"/>
      <c r="M4329" s="205"/>
      <c r="N4329" s="204"/>
      <c r="O4329" s="204"/>
      <c r="P4329" s="206"/>
      <c r="Q4329" s="206"/>
      <c r="R4329" s="206"/>
      <c r="S4329" s="206"/>
      <c r="T4329" s="204"/>
      <c r="U4329" s="207"/>
      <c r="V4329" s="204"/>
      <c r="W4329" s="204"/>
      <c r="X4329" s="207"/>
      <c r="Y4329" s="207"/>
      <c r="Z4329" s="204"/>
      <c r="AA4329" s="204"/>
      <c r="AB4329" s="204"/>
      <c r="AC4329" s="204"/>
    </row>
    <row r="4330" spans="1:29">
      <c r="A4330" s="204"/>
      <c r="B4330" s="204"/>
      <c r="C4330" s="204"/>
      <c r="D4330" s="204"/>
      <c r="E4330" s="204"/>
      <c r="F4330" s="204"/>
      <c r="G4330" s="204"/>
      <c r="H4330" s="204"/>
      <c r="I4330" s="204"/>
      <c r="J4330" s="204"/>
      <c r="K4330" s="204"/>
      <c r="L4330" s="205"/>
      <c r="M4330" s="205"/>
      <c r="N4330" s="204"/>
      <c r="O4330" s="204"/>
      <c r="P4330" s="206"/>
      <c r="Q4330" s="206"/>
      <c r="R4330" s="206"/>
      <c r="S4330" s="206"/>
      <c r="T4330" s="204"/>
      <c r="U4330" s="207"/>
      <c r="V4330" s="204"/>
      <c r="W4330" s="204"/>
      <c r="X4330" s="207"/>
      <c r="Y4330" s="207"/>
      <c r="Z4330" s="204"/>
      <c r="AA4330" s="204"/>
      <c r="AB4330" s="204"/>
      <c r="AC4330" s="204"/>
    </row>
    <row r="4331" spans="1:29">
      <c r="A4331" s="204"/>
      <c r="B4331" s="204"/>
      <c r="C4331" s="204"/>
      <c r="D4331" s="204"/>
      <c r="E4331" s="204"/>
      <c r="F4331" s="204"/>
      <c r="G4331" s="204"/>
      <c r="H4331" s="204"/>
      <c r="I4331" s="204"/>
      <c r="J4331" s="204"/>
      <c r="K4331" s="204"/>
      <c r="L4331" s="205"/>
      <c r="M4331" s="205"/>
      <c r="N4331" s="204"/>
      <c r="O4331" s="204"/>
      <c r="P4331" s="206"/>
      <c r="Q4331" s="206"/>
      <c r="R4331" s="206"/>
      <c r="S4331" s="206"/>
      <c r="T4331" s="204"/>
      <c r="U4331" s="207"/>
      <c r="V4331" s="204"/>
      <c r="W4331" s="204"/>
      <c r="X4331" s="207"/>
      <c r="Y4331" s="207"/>
      <c r="Z4331" s="204"/>
      <c r="AA4331" s="204"/>
      <c r="AB4331" s="204"/>
      <c r="AC4331" s="204"/>
    </row>
    <row r="4332" spans="1:29">
      <c r="A4332" s="204"/>
      <c r="B4332" s="204"/>
      <c r="C4332" s="204"/>
      <c r="D4332" s="204"/>
      <c r="E4332" s="204"/>
      <c r="F4332" s="204"/>
      <c r="G4332" s="204"/>
      <c r="H4332" s="204"/>
      <c r="I4332" s="204"/>
      <c r="J4332" s="204"/>
      <c r="K4332" s="204"/>
      <c r="L4332" s="205"/>
      <c r="M4332" s="205"/>
      <c r="N4332" s="204"/>
      <c r="O4332" s="204"/>
      <c r="P4332" s="206"/>
      <c r="Q4332" s="206"/>
      <c r="R4332" s="206"/>
      <c r="S4332" s="206"/>
      <c r="T4332" s="204"/>
      <c r="U4332" s="207"/>
      <c r="V4332" s="204"/>
      <c r="W4332" s="204"/>
      <c r="X4332" s="207"/>
      <c r="Y4332" s="207"/>
      <c r="Z4332" s="204"/>
      <c r="AA4332" s="204"/>
      <c r="AB4332" s="204"/>
      <c r="AC4332" s="204"/>
    </row>
    <row r="4333" spans="1:29">
      <c r="A4333" s="204"/>
      <c r="B4333" s="204"/>
      <c r="C4333" s="204"/>
      <c r="D4333" s="204"/>
      <c r="E4333" s="204"/>
      <c r="F4333" s="204"/>
      <c r="G4333" s="204"/>
      <c r="H4333" s="204"/>
      <c r="I4333" s="204"/>
      <c r="J4333" s="204"/>
      <c r="K4333" s="204"/>
      <c r="L4333" s="205"/>
      <c r="M4333" s="205"/>
      <c r="N4333" s="204"/>
      <c r="O4333" s="204"/>
      <c r="P4333" s="206"/>
      <c r="Q4333" s="206"/>
      <c r="R4333" s="206"/>
      <c r="S4333" s="206"/>
      <c r="T4333" s="204"/>
      <c r="U4333" s="207"/>
      <c r="V4333" s="204"/>
      <c r="W4333" s="204"/>
      <c r="X4333" s="207"/>
      <c r="Y4333" s="207"/>
      <c r="Z4333" s="204"/>
      <c r="AA4333" s="204"/>
      <c r="AB4333" s="204"/>
      <c r="AC4333" s="204"/>
    </row>
    <row r="4334" spans="1:29">
      <c r="A4334" s="204"/>
      <c r="B4334" s="204"/>
      <c r="C4334" s="204"/>
      <c r="D4334" s="204"/>
      <c r="E4334" s="204"/>
      <c r="F4334" s="204"/>
      <c r="G4334" s="204"/>
      <c r="H4334" s="204"/>
      <c r="I4334" s="204"/>
      <c r="J4334" s="204"/>
      <c r="K4334" s="204"/>
      <c r="L4334" s="205"/>
      <c r="M4334" s="205"/>
      <c r="N4334" s="204"/>
      <c r="O4334" s="204"/>
      <c r="P4334" s="206"/>
      <c r="Q4334" s="206"/>
      <c r="R4334" s="206"/>
      <c r="S4334" s="206"/>
      <c r="T4334" s="204"/>
      <c r="U4334" s="207"/>
      <c r="V4334" s="204"/>
      <c r="W4334" s="204"/>
      <c r="X4334" s="207"/>
      <c r="Y4334" s="207"/>
      <c r="Z4334" s="204"/>
      <c r="AA4334" s="204"/>
      <c r="AB4334" s="204"/>
      <c r="AC4334" s="204"/>
    </row>
    <row r="4335" spans="1:29">
      <c r="A4335" s="204"/>
      <c r="B4335" s="204"/>
      <c r="C4335" s="204"/>
      <c r="D4335" s="204"/>
      <c r="E4335" s="204"/>
      <c r="F4335" s="204"/>
      <c r="G4335" s="204"/>
      <c r="H4335" s="204"/>
      <c r="I4335" s="204"/>
      <c r="J4335" s="204"/>
      <c r="K4335" s="204"/>
      <c r="L4335" s="205"/>
      <c r="M4335" s="205"/>
      <c r="N4335" s="204"/>
      <c r="O4335" s="204"/>
      <c r="P4335" s="206"/>
      <c r="Q4335" s="206"/>
      <c r="R4335" s="206"/>
      <c r="S4335" s="206"/>
      <c r="T4335" s="204"/>
      <c r="U4335" s="207"/>
      <c r="V4335" s="204"/>
      <c r="W4335" s="204"/>
      <c r="X4335" s="207"/>
      <c r="Y4335" s="207"/>
      <c r="Z4335" s="204"/>
      <c r="AA4335" s="204"/>
      <c r="AB4335" s="204"/>
      <c r="AC4335" s="204"/>
    </row>
    <row r="4336" spans="1:29">
      <c r="A4336" s="204"/>
      <c r="B4336" s="204"/>
      <c r="C4336" s="204"/>
      <c r="D4336" s="204"/>
      <c r="E4336" s="204"/>
      <c r="F4336" s="204"/>
      <c r="G4336" s="204"/>
      <c r="H4336" s="204"/>
      <c r="I4336" s="204"/>
      <c r="J4336" s="204"/>
      <c r="K4336" s="204"/>
      <c r="L4336" s="205"/>
      <c r="M4336" s="205"/>
      <c r="N4336" s="204"/>
      <c r="O4336" s="204"/>
      <c r="P4336" s="206"/>
      <c r="Q4336" s="206"/>
      <c r="R4336" s="206"/>
      <c r="S4336" s="206"/>
      <c r="T4336" s="204"/>
      <c r="U4336" s="207"/>
      <c r="V4336" s="204"/>
      <c r="W4336" s="204"/>
      <c r="X4336" s="207"/>
      <c r="Y4336" s="207"/>
      <c r="Z4336" s="204"/>
      <c r="AA4336" s="204"/>
      <c r="AB4336" s="204"/>
      <c r="AC4336" s="204"/>
    </row>
    <row r="4337" spans="1:29">
      <c r="A4337" s="204"/>
      <c r="B4337" s="204"/>
      <c r="C4337" s="204"/>
      <c r="D4337" s="204"/>
      <c r="E4337" s="204"/>
      <c r="F4337" s="204"/>
      <c r="G4337" s="204"/>
      <c r="H4337" s="204"/>
      <c r="I4337" s="204"/>
      <c r="J4337" s="204"/>
      <c r="K4337" s="204"/>
      <c r="L4337" s="205"/>
      <c r="M4337" s="205"/>
      <c r="N4337" s="204"/>
      <c r="O4337" s="204"/>
      <c r="P4337" s="206"/>
      <c r="Q4337" s="206"/>
      <c r="R4337" s="206"/>
      <c r="S4337" s="206"/>
      <c r="T4337" s="204"/>
      <c r="U4337" s="207"/>
      <c r="V4337" s="204"/>
      <c r="W4337" s="204"/>
      <c r="X4337" s="207"/>
      <c r="Y4337" s="207"/>
      <c r="Z4337" s="204"/>
      <c r="AA4337" s="204"/>
      <c r="AB4337" s="204"/>
      <c r="AC4337" s="204"/>
    </row>
    <row r="4338" spans="1:29">
      <c r="A4338" s="204"/>
      <c r="B4338" s="204"/>
      <c r="C4338" s="204"/>
      <c r="D4338" s="204"/>
      <c r="E4338" s="204"/>
      <c r="F4338" s="204"/>
      <c r="G4338" s="204"/>
      <c r="H4338" s="204"/>
      <c r="I4338" s="204"/>
      <c r="J4338" s="204"/>
      <c r="K4338" s="204"/>
      <c r="L4338" s="205"/>
      <c r="M4338" s="205"/>
      <c r="N4338" s="204"/>
      <c r="O4338" s="204"/>
      <c r="P4338" s="206"/>
      <c r="Q4338" s="206"/>
      <c r="R4338" s="206"/>
      <c r="S4338" s="206"/>
      <c r="T4338" s="204"/>
      <c r="U4338" s="207"/>
      <c r="V4338" s="204"/>
      <c r="W4338" s="204"/>
      <c r="X4338" s="207"/>
      <c r="Y4338" s="207"/>
      <c r="Z4338" s="204"/>
      <c r="AA4338" s="204"/>
      <c r="AB4338" s="204"/>
      <c r="AC4338" s="204"/>
    </row>
    <row r="4339" spans="1:29">
      <c r="A4339" s="204"/>
      <c r="B4339" s="204"/>
      <c r="C4339" s="204"/>
      <c r="D4339" s="204"/>
      <c r="E4339" s="204"/>
      <c r="F4339" s="204"/>
      <c r="G4339" s="204"/>
      <c r="H4339" s="204"/>
      <c r="I4339" s="204"/>
      <c r="J4339" s="204"/>
      <c r="K4339" s="204"/>
      <c r="L4339" s="205"/>
      <c r="M4339" s="205"/>
      <c r="N4339" s="204"/>
      <c r="O4339" s="204"/>
      <c r="P4339" s="206"/>
      <c r="Q4339" s="206"/>
      <c r="R4339" s="206"/>
      <c r="S4339" s="206"/>
      <c r="T4339" s="204"/>
      <c r="U4339" s="207"/>
      <c r="V4339" s="204"/>
      <c r="W4339" s="204"/>
      <c r="X4339" s="207"/>
      <c r="Y4339" s="207"/>
      <c r="Z4339" s="204"/>
      <c r="AA4339" s="204"/>
      <c r="AB4339" s="204"/>
      <c r="AC4339" s="204"/>
    </row>
    <row r="4340" spans="1:29">
      <c r="A4340" s="204"/>
      <c r="B4340" s="204"/>
      <c r="C4340" s="204"/>
      <c r="D4340" s="204"/>
      <c r="E4340" s="204"/>
      <c r="F4340" s="204"/>
      <c r="G4340" s="204"/>
      <c r="H4340" s="204"/>
      <c r="I4340" s="204"/>
      <c r="J4340" s="204"/>
      <c r="K4340" s="204"/>
      <c r="L4340" s="205"/>
      <c r="M4340" s="205"/>
      <c r="N4340" s="204"/>
      <c r="O4340" s="204"/>
      <c r="P4340" s="206"/>
      <c r="Q4340" s="206"/>
      <c r="R4340" s="206"/>
      <c r="S4340" s="206"/>
      <c r="T4340" s="204"/>
      <c r="U4340" s="207"/>
      <c r="V4340" s="204"/>
      <c r="W4340" s="204"/>
      <c r="X4340" s="207"/>
      <c r="Y4340" s="207"/>
      <c r="Z4340" s="204"/>
      <c r="AA4340" s="204"/>
      <c r="AB4340" s="204"/>
      <c r="AC4340" s="204"/>
    </row>
    <row r="4341" spans="1:29">
      <c r="A4341" s="204"/>
      <c r="B4341" s="204"/>
      <c r="C4341" s="204"/>
      <c r="D4341" s="204"/>
      <c r="E4341" s="204"/>
      <c r="F4341" s="204"/>
      <c r="G4341" s="204"/>
      <c r="H4341" s="204"/>
      <c r="I4341" s="204"/>
      <c r="J4341" s="204"/>
      <c r="K4341" s="204"/>
      <c r="L4341" s="205"/>
      <c r="M4341" s="205"/>
      <c r="N4341" s="204"/>
      <c r="O4341" s="204"/>
      <c r="P4341" s="206"/>
      <c r="Q4341" s="206"/>
      <c r="R4341" s="206"/>
      <c r="S4341" s="206"/>
      <c r="T4341" s="204"/>
      <c r="U4341" s="207"/>
      <c r="V4341" s="204"/>
      <c r="W4341" s="204"/>
      <c r="X4341" s="207"/>
      <c r="Y4341" s="207"/>
      <c r="Z4341" s="204"/>
      <c r="AA4341" s="204"/>
      <c r="AB4341" s="204"/>
      <c r="AC4341" s="204"/>
    </row>
    <row r="4342" spans="1:29">
      <c r="A4342" s="204"/>
      <c r="B4342" s="204"/>
      <c r="C4342" s="204"/>
      <c r="D4342" s="204"/>
      <c r="E4342" s="204"/>
      <c r="F4342" s="204"/>
      <c r="G4342" s="204"/>
      <c r="H4342" s="204"/>
      <c r="I4342" s="204"/>
      <c r="J4342" s="204"/>
      <c r="K4342" s="204"/>
      <c r="L4342" s="205"/>
      <c r="M4342" s="205"/>
      <c r="N4342" s="204"/>
      <c r="O4342" s="204"/>
      <c r="P4342" s="206"/>
      <c r="Q4342" s="206"/>
      <c r="R4342" s="206"/>
      <c r="S4342" s="206"/>
      <c r="T4342" s="204"/>
      <c r="U4342" s="207"/>
      <c r="V4342" s="204"/>
      <c r="W4342" s="204"/>
      <c r="X4342" s="207"/>
      <c r="Y4342" s="207"/>
      <c r="Z4342" s="204"/>
      <c r="AA4342" s="204"/>
      <c r="AB4342" s="204"/>
      <c r="AC4342" s="204"/>
    </row>
    <row r="4343" spans="1:29">
      <c r="A4343" s="204"/>
      <c r="B4343" s="204"/>
      <c r="C4343" s="204"/>
      <c r="D4343" s="204"/>
      <c r="E4343" s="204"/>
      <c r="F4343" s="204"/>
      <c r="G4343" s="204"/>
      <c r="H4343" s="204"/>
      <c r="I4343" s="204"/>
      <c r="J4343" s="204"/>
      <c r="K4343" s="204"/>
      <c r="L4343" s="205"/>
      <c r="M4343" s="205"/>
      <c r="N4343" s="204"/>
      <c r="O4343" s="204"/>
      <c r="P4343" s="206"/>
      <c r="Q4343" s="206"/>
      <c r="R4343" s="206"/>
      <c r="S4343" s="206"/>
      <c r="T4343" s="204"/>
      <c r="U4343" s="207"/>
      <c r="V4343" s="204"/>
      <c r="W4343" s="204"/>
      <c r="X4343" s="207"/>
      <c r="Y4343" s="207"/>
      <c r="Z4343" s="204"/>
      <c r="AA4343" s="204"/>
      <c r="AB4343" s="204"/>
      <c r="AC4343" s="204"/>
    </row>
    <row r="4344" spans="1:29">
      <c r="A4344" s="204"/>
      <c r="B4344" s="204"/>
      <c r="C4344" s="204"/>
      <c r="D4344" s="204"/>
      <c r="E4344" s="204"/>
      <c r="F4344" s="204"/>
      <c r="G4344" s="204"/>
      <c r="H4344" s="204"/>
      <c r="I4344" s="204"/>
      <c r="J4344" s="204"/>
      <c r="K4344" s="204"/>
      <c r="L4344" s="205"/>
      <c r="M4344" s="205"/>
      <c r="N4344" s="204"/>
      <c r="O4344" s="204"/>
      <c r="P4344" s="206"/>
      <c r="Q4344" s="206"/>
      <c r="R4344" s="206"/>
      <c r="S4344" s="206"/>
      <c r="T4344" s="204"/>
      <c r="U4344" s="207"/>
      <c r="V4344" s="204"/>
      <c r="W4344" s="204"/>
      <c r="X4344" s="207"/>
      <c r="Y4344" s="207"/>
      <c r="Z4344" s="204"/>
      <c r="AA4344" s="204"/>
      <c r="AB4344" s="204"/>
      <c r="AC4344" s="204"/>
    </row>
    <row r="4345" spans="1:29">
      <c r="A4345" s="204"/>
      <c r="B4345" s="204"/>
      <c r="C4345" s="204"/>
      <c r="D4345" s="204"/>
      <c r="E4345" s="204"/>
      <c r="F4345" s="204"/>
      <c r="G4345" s="204"/>
      <c r="H4345" s="204"/>
      <c r="I4345" s="204"/>
      <c r="J4345" s="204"/>
      <c r="K4345" s="204"/>
      <c r="L4345" s="205"/>
      <c r="M4345" s="205"/>
      <c r="N4345" s="204"/>
      <c r="O4345" s="204"/>
      <c r="P4345" s="206"/>
      <c r="Q4345" s="206"/>
      <c r="R4345" s="206"/>
      <c r="S4345" s="206"/>
      <c r="T4345" s="204"/>
      <c r="U4345" s="207"/>
      <c r="V4345" s="204"/>
      <c r="W4345" s="204"/>
      <c r="X4345" s="207"/>
      <c r="Y4345" s="207"/>
      <c r="Z4345" s="204"/>
      <c r="AA4345" s="204"/>
      <c r="AB4345" s="204"/>
      <c r="AC4345" s="204"/>
    </row>
    <row r="4346" spans="1:29">
      <c r="A4346" s="204"/>
      <c r="B4346" s="204"/>
      <c r="C4346" s="204"/>
      <c r="D4346" s="204"/>
      <c r="E4346" s="204"/>
      <c r="F4346" s="204"/>
      <c r="G4346" s="204"/>
      <c r="H4346" s="204"/>
      <c r="I4346" s="204"/>
      <c r="J4346" s="204"/>
      <c r="K4346" s="204"/>
      <c r="L4346" s="205"/>
      <c r="M4346" s="205"/>
      <c r="N4346" s="204"/>
      <c r="O4346" s="204"/>
      <c r="P4346" s="206"/>
      <c r="Q4346" s="206"/>
      <c r="R4346" s="206"/>
      <c r="S4346" s="206"/>
      <c r="T4346" s="204"/>
      <c r="U4346" s="207"/>
      <c r="V4346" s="204"/>
      <c r="W4346" s="204"/>
      <c r="X4346" s="207"/>
      <c r="Y4346" s="207"/>
      <c r="Z4346" s="204"/>
      <c r="AA4346" s="204"/>
      <c r="AB4346" s="204"/>
      <c r="AC4346" s="204"/>
    </row>
    <row r="4347" spans="1:29">
      <c r="A4347" s="204"/>
      <c r="B4347" s="204"/>
      <c r="C4347" s="204"/>
      <c r="D4347" s="204"/>
      <c r="E4347" s="204"/>
      <c r="F4347" s="204"/>
      <c r="G4347" s="204"/>
      <c r="H4347" s="204"/>
      <c r="I4347" s="204"/>
      <c r="J4347" s="204"/>
      <c r="K4347" s="204"/>
      <c r="L4347" s="205"/>
      <c r="M4347" s="205"/>
      <c r="N4347" s="204"/>
      <c r="O4347" s="204"/>
      <c r="P4347" s="206"/>
      <c r="Q4347" s="206"/>
      <c r="R4347" s="206"/>
      <c r="S4347" s="206"/>
      <c r="T4347" s="204"/>
      <c r="U4347" s="207"/>
      <c r="V4347" s="204"/>
      <c r="W4347" s="204"/>
      <c r="X4347" s="207"/>
      <c r="Y4347" s="207"/>
      <c r="Z4347" s="204"/>
      <c r="AA4347" s="204"/>
      <c r="AB4347" s="204"/>
      <c r="AC4347" s="204"/>
    </row>
    <row r="4348" spans="1:29">
      <c r="A4348" s="204"/>
      <c r="B4348" s="204"/>
      <c r="C4348" s="204"/>
      <c r="D4348" s="204"/>
      <c r="E4348" s="204"/>
      <c r="F4348" s="204"/>
      <c r="G4348" s="204"/>
      <c r="H4348" s="204"/>
      <c r="I4348" s="204"/>
      <c r="J4348" s="204"/>
      <c r="K4348" s="204"/>
      <c r="L4348" s="205"/>
      <c r="M4348" s="205"/>
      <c r="N4348" s="204"/>
      <c r="O4348" s="204"/>
      <c r="P4348" s="206"/>
      <c r="Q4348" s="206"/>
      <c r="R4348" s="206"/>
      <c r="S4348" s="206"/>
      <c r="T4348" s="204"/>
      <c r="U4348" s="207"/>
      <c r="V4348" s="204"/>
      <c r="W4348" s="204"/>
      <c r="X4348" s="207"/>
      <c r="Y4348" s="207"/>
      <c r="Z4348" s="204"/>
      <c r="AA4348" s="204"/>
      <c r="AB4348" s="204"/>
      <c r="AC4348" s="204"/>
    </row>
    <row r="4349" spans="1:29">
      <c r="A4349" s="204"/>
      <c r="B4349" s="204"/>
      <c r="C4349" s="204"/>
      <c r="D4349" s="204"/>
      <c r="E4349" s="204"/>
      <c r="F4349" s="204"/>
      <c r="G4349" s="204"/>
      <c r="H4349" s="204"/>
      <c r="I4349" s="204"/>
      <c r="J4349" s="204"/>
      <c r="K4349" s="204"/>
      <c r="L4349" s="205"/>
      <c r="M4349" s="205"/>
      <c r="N4349" s="204"/>
      <c r="O4349" s="204"/>
      <c r="P4349" s="206"/>
      <c r="Q4349" s="206"/>
      <c r="R4349" s="206"/>
      <c r="S4349" s="206"/>
      <c r="T4349" s="204"/>
      <c r="U4349" s="207"/>
      <c r="V4349" s="204"/>
      <c r="W4349" s="204"/>
      <c r="X4349" s="207"/>
      <c r="Y4349" s="207"/>
      <c r="Z4349" s="204"/>
      <c r="AA4349" s="204"/>
      <c r="AB4349" s="204"/>
      <c r="AC4349" s="204"/>
    </row>
    <row r="4350" spans="1:29">
      <c r="A4350" s="204"/>
      <c r="B4350" s="204"/>
      <c r="C4350" s="204"/>
      <c r="D4350" s="204"/>
      <c r="E4350" s="204"/>
      <c r="F4350" s="204"/>
      <c r="G4350" s="204"/>
      <c r="H4350" s="204"/>
      <c r="I4350" s="204"/>
      <c r="J4350" s="204"/>
      <c r="K4350" s="204"/>
      <c r="L4350" s="205"/>
      <c r="M4350" s="205"/>
      <c r="N4350" s="204"/>
      <c r="O4350" s="204"/>
      <c r="P4350" s="206"/>
      <c r="Q4350" s="206"/>
      <c r="R4350" s="206"/>
      <c r="S4350" s="206"/>
      <c r="T4350" s="204"/>
      <c r="U4350" s="207"/>
      <c r="V4350" s="204"/>
      <c r="W4350" s="204"/>
      <c r="X4350" s="207"/>
      <c r="Y4350" s="207"/>
      <c r="Z4350" s="204"/>
      <c r="AA4350" s="204"/>
      <c r="AB4350" s="204"/>
      <c r="AC4350" s="204"/>
    </row>
    <row r="4351" spans="1:29">
      <c r="A4351" s="204"/>
      <c r="B4351" s="204"/>
      <c r="C4351" s="204"/>
      <c r="D4351" s="204"/>
      <c r="E4351" s="204"/>
      <c r="F4351" s="204"/>
      <c r="G4351" s="204"/>
      <c r="H4351" s="204"/>
      <c r="I4351" s="204"/>
      <c r="J4351" s="204"/>
      <c r="K4351" s="204"/>
      <c r="L4351" s="205"/>
      <c r="M4351" s="205"/>
      <c r="N4351" s="204"/>
      <c r="O4351" s="204"/>
      <c r="P4351" s="206"/>
      <c r="Q4351" s="206"/>
      <c r="R4351" s="206"/>
      <c r="S4351" s="206"/>
      <c r="T4351" s="204"/>
      <c r="U4351" s="207"/>
      <c r="V4351" s="204"/>
      <c r="W4351" s="204"/>
      <c r="X4351" s="207"/>
      <c r="Y4351" s="207"/>
      <c r="Z4351" s="204"/>
      <c r="AA4351" s="204"/>
      <c r="AB4351" s="204"/>
      <c r="AC4351" s="204"/>
    </row>
    <row r="4352" spans="1:29">
      <c r="A4352" s="204"/>
      <c r="B4352" s="204"/>
      <c r="C4352" s="204"/>
      <c r="D4352" s="204"/>
      <c r="E4352" s="204"/>
      <c r="F4352" s="204"/>
      <c r="G4352" s="204"/>
      <c r="H4352" s="204"/>
      <c r="I4352" s="204"/>
      <c r="J4352" s="204"/>
      <c r="K4352" s="204"/>
      <c r="L4352" s="205"/>
      <c r="M4352" s="205"/>
      <c r="N4352" s="204"/>
      <c r="O4352" s="204"/>
      <c r="P4352" s="206"/>
      <c r="Q4352" s="206"/>
      <c r="R4352" s="206"/>
      <c r="S4352" s="206"/>
      <c r="T4352" s="204"/>
      <c r="U4352" s="207"/>
      <c r="V4352" s="204"/>
      <c r="W4352" s="204"/>
      <c r="X4352" s="207"/>
      <c r="Y4352" s="207"/>
      <c r="Z4352" s="204"/>
      <c r="AA4352" s="204"/>
      <c r="AB4352" s="204"/>
      <c r="AC4352" s="204"/>
    </row>
    <row r="4353" spans="1:29">
      <c r="A4353" s="204"/>
      <c r="B4353" s="204"/>
      <c r="C4353" s="204"/>
      <c r="D4353" s="204"/>
      <c r="E4353" s="204"/>
      <c r="F4353" s="204"/>
      <c r="G4353" s="204"/>
      <c r="H4353" s="204"/>
      <c r="I4353" s="204"/>
      <c r="J4353" s="204"/>
      <c r="K4353" s="204"/>
      <c r="L4353" s="205"/>
      <c r="M4353" s="205"/>
      <c r="N4353" s="204"/>
      <c r="O4353" s="204"/>
      <c r="P4353" s="206"/>
      <c r="Q4353" s="206"/>
      <c r="R4353" s="206"/>
      <c r="S4353" s="206"/>
      <c r="T4353" s="204"/>
      <c r="U4353" s="207"/>
      <c r="V4353" s="204"/>
      <c r="W4353" s="204"/>
      <c r="X4353" s="207"/>
      <c r="Y4353" s="207"/>
      <c r="Z4353" s="204"/>
      <c r="AA4353" s="204"/>
      <c r="AB4353" s="204"/>
      <c r="AC4353" s="204"/>
    </row>
    <row r="4354" spans="1:29">
      <c r="A4354" s="204"/>
      <c r="B4354" s="204"/>
      <c r="C4354" s="204"/>
      <c r="D4354" s="204"/>
      <c r="E4354" s="204"/>
      <c r="F4354" s="204"/>
      <c r="G4354" s="204"/>
      <c r="H4354" s="204"/>
      <c r="I4354" s="204"/>
      <c r="J4354" s="204"/>
      <c r="K4354" s="204"/>
      <c r="L4354" s="205"/>
      <c r="M4354" s="205"/>
      <c r="N4354" s="204"/>
      <c r="O4354" s="204"/>
      <c r="P4354" s="206"/>
      <c r="Q4354" s="206"/>
      <c r="R4354" s="206"/>
      <c r="S4354" s="206"/>
      <c r="T4354" s="204"/>
      <c r="U4354" s="207"/>
      <c r="V4354" s="204"/>
      <c r="W4354" s="204"/>
      <c r="X4354" s="207"/>
      <c r="Y4354" s="207"/>
      <c r="Z4354" s="204"/>
      <c r="AA4354" s="204"/>
      <c r="AB4354" s="204"/>
      <c r="AC4354" s="204"/>
    </row>
    <row r="4355" spans="1:29">
      <c r="A4355" s="204"/>
      <c r="B4355" s="204"/>
      <c r="C4355" s="204"/>
      <c r="D4355" s="204"/>
      <c r="E4355" s="204"/>
      <c r="F4355" s="204"/>
      <c r="G4355" s="204"/>
      <c r="H4355" s="204"/>
      <c r="I4355" s="204"/>
      <c r="J4355" s="204"/>
      <c r="K4355" s="204"/>
      <c r="L4355" s="205"/>
      <c r="M4355" s="205"/>
      <c r="N4355" s="204"/>
      <c r="O4355" s="204"/>
      <c r="P4355" s="206"/>
      <c r="Q4355" s="206"/>
      <c r="R4355" s="206"/>
      <c r="S4355" s="206"/>
      <c r="T4355" s="204"/>
      <c r="U4355" s="207"/>
      <c r="V4355" s="204"/>
      <c r="W4355" s="204"/>
      <c r="X4355" s="207"/>
      <c r="Y4355" s="207"/>
      <c r="Z4355" s="204"/>
      <c r="AA4355" s="204"/>
      <c r="AB4355" s="204"/>
      <c r="AC4355" s="204"/>
    </row>
    <row r="4356" spans="1:29">
      <c r="A4356" s="204"/>
      <c r="B4356" s="204"/>
      <c r="C4356" s="204"/>
      <c r="D4356" s="204"/>
      <c r="E4356" s="204"/>
      <c r="F4356" s="204"/>
      <c r="G4356" s="204"/>
      <c r="H4356" s="204"/>
      <c r="I4356" s="204"/>
      <c r="J4356" s="204"/>
      <c r="K4356" s="204"/>
      <c r="L4356" s="205"/>
      <c r="M4356" s="205"/>
      <c r="N4356" s="204"/>
      <c r="O4356" s="204"/>
      <c r="P4356" s="206"/>
      <c r="Q4356" s="206"/>
      <c r="R4356" s="206"/>
      <c r="S4356" s="206"/>
      <c r="T4356" s="204"/>
      <c r="U4356" s="207"/>
      <c r="V4356" s="204"/>
      <c r="W4356" s="204"/>
      <c r="X4356" s="207"/>
      <c r="Y4356" s="207"/>
      <c r="Z4356" s="204"/>
      <c r="AA4356" s="204"/>
      <c r="AB4356" s="204"/>
      <c r="AC4356" s="204"/>
    </row>
    <row r="4357" spans="1:29">
      <c r="A4357" s="204"/>
      <c r="B4357" s="204"/>
      <c r="C4357" s="204"/>
      <c r="D4357" s="204"/>
      <c r="E4357" s="204"/>
      <c r="F4357" s="204"/>
      <c r="G4357" s="204"/>
      <c r="H4357" s="204"/>
      <c r="I4357" s="204"/>
      <c r="J4357" s="204"/>
      <c r="K4357" s="204"/>
      <c r="L4357" s="205"/>
      <c r="M4357" s="205"/>
      <c r="N4357" s="204"/>
      <c r="O4357" s="204"/>
      <c r="P4357" s="206"/>
      <c r="Q4357" s="206"/>
      <c r="R4357" s="206"/>
      <c r="S4357" s="206"/>
      <c r="T4357" s="204"/>
      <c r="U4357" s="207"/>
      <c r="V4357" s="204"/>
      <c r="W4357" s="204"/>
      <c r="X4357" s="207"/>
      <c r="Y4357" s="207"/>
      <c r="Z4357" s="204"/>
      <c r="AA4357" s="204"/>
      <c r="AB4357" s="204"/>
      <c r="AC4357" s="204"/>
    </row>
    <row r="4358" spans="1:29">
      <c r="A4358" s="204"/>
      <c r="B4358" s="204"/>
      <c r="C4358" s="204"/>
      <c r="D4358" s="204"/>
      <c r="E4358" s="204"/>
      <c r="F4358" s="204"/>
      <c r="G4358" s="204"/>
      <c r="H4358" s="204"/>
      <c r="I4358" s="204"/>
      <c r="J4358" s="204"/>
      <c r="K4358" s="204"/>
      <c r="L4358" s="205"/>
      <c r="M4358" s="205"/>
      <c r="N4358" s="204"/>
      <c r="O4358" s="204"/>
      <c r="P4358" s="206"/>
      <c r="Q4358" s="206"/>
      <c r="R4358" s="206"/>
      <c r="S4358" s="206"/>
      <c r="T4358" s="204"/>
      <c r="U4358" s="207"/>
      <c r="V4358" s="204"/>
      <c r="W4358" s="204"/>
      <c r="X4358" s="207"/>
      <c r="Y4358" s="207"/>
      <c r="Z4358" s="204"/>
      <c r="AA4358" s="204"/>
      <c r="AB4358" s="204"/>
      <c r="AC4358" s="204"/>
    </row>
    <row r="4359" spans="1:29">
      <c r="A4359" s="204"/>
      <c r="B4359" s="204"/>
      <c r="C4359" s="204"/>
      <c r="D4359" s="204"/>
      <c r="E4359" s="204"/>
      <c r="F4359" s="204"/>
      <c r="G4359" s="204"/>
      <c r="H4359" s="204"/>
      <c r="I4359" s="204"/>
      <c r="J4359" s="204"/>
      <c r="K4359" s="204"/>
      <c r="L4359" s="205"/>
      <c r="M4359" s="205"/>
      <c r="N4359" s="204"/>
      <c r="O4359" s="204"/>
      <c r="P4359" s="206"/>
      <c r="Q4359" s="206"/>
      <c r="R4359" s="206"/>
      <c r="S4359" s="206"/>
      <c r="T4359" s="204"/>
      <c r="U4359" s="207"/>
      <c r="V4359" s="204"/>
      <c r="W4359" s="204"/>
      <c r="X4359" s="207"/>
      <c r="Y4359" s="207"/>
      <c r="Z4359" s="204"/>
      <c r="AA4359" s="204"/>
      <c r="AB4359" s="204"/>
      <c r="AC4359" s="204"/>
    </row>
    <row r="4360" spans="1:29">
      <c r="A4360" s="204"/>
      <c r="B4360" s="204"/>
      <c r="C4360" s="204"/>
      <c r="D4360" s="204"/>
      <c r="E4360" s="204"/>
      <c r="F4360" s="204"/>
      <c r="G4360" s="204"/>
      <c r="H4360" s="204"/>
      <c r="I4360" s="204"/>
      <c r="J4360" s="204"/>
      <c r="K4360" s="204"/>
      <c r="L4360" s="205"/>
      <c r="M4360" s="205"/>
      <c r="N4360" s="204"/>
      <c r="O4360" s="204"/>
      <c r="P4360" s="206"/>
      <c r="Q4360" s="206"/>
      <c r="R4360" s="206"/>
      <c r="S4360" s="206"/>
      <c r="T4360" s="204"/>
      <c r="U4360" s="207"/>
      <c r="V4360" s="204"/>
      <c r="W4360" s="204"/>
      <c r="X4360" s="207"/>
      <c r="Y4360" s="207"/>
      <c r="Z4360" s="204"/>
      <c r="AA4360" s="204"/>
      <c r="AB4360" s="204"/>
      <c r="AC4360" s="204"/>
    </row>
    <row r="4361" spans="1:29">
      <c r="A4361" s="204"/>
      <c r="B4361" s="204"/>
      <c r="C4361" s="204"/>
      <c r="D4361" s="204"/>
      <c r="E4361" s="204"/>
      <c r="F4361" s="204"/>
      <c r="G4361" s="204"/>
      <c r="H4361" s="204"/>
      <c r="I4361" s="204"/>
      <c r="J4361" s="204"/>
      <c r="K4361" s="204"/>
      <c r="L4361" s="205"/>
      <c r="M4361" s="205"/>
      <c r="N4361" s="204"/>
      <c r="O4361" s="204"/>
      <c r="P4361" s="206"/>
      <c r="Q4361" s="206"/>
      <c r="R4361" s="206"/>
      <c r="S4361" s="206"/>
      <c r="T4361" s="204"/>
      <c r="U4361" s="207"/>
      <c r="V4361" s="204"/>
      <c r="W4361" s="204"/>
      <c r="X4361" s="207"/>
      <c r="Y4361" s="207"/>
      <c r="Z4361" s="204"/>
      <c r="AA4361" s="204"/>
      <c r="AB4361" s="204"/>
      <c r="AC4361" s="204"/>
    </row>
    <row r="4362" spans="1:29">
      <c r="A4362" s="204"/>
      <c r="B4362" s="204"/>
      <c r="C4362" s="204"/>
      <c r="D4362" s="204"/>
      <c r="E4362" s="204"/>
      <c r="F4362" s="204"/>
      <c r="G4362" s="204"/>
      <c r="H4362" s="204"/>
      <c r="I4362" s="204"/>
      <c r="J4362" s="204"/>
      <c r="K4362" s="204"/>
      <c r="L4362" s="205"/>
      <c r="M4362" s="205"/>
      <c r="N4362" s="204"/>
      <c r="O4362" s="204"/>
      <c r="P4362" s="206"/>
      <c r="Q4362" s="206"/>
      <c r="R4362" s="206"/>
      <c r="S4362" s="206"/>
      <c r="T4362" s="204"/>
      <c r="U4362" s="207"/>
      <c r="V4362" s="204"/>
      <c r="W4362" s="204"/>
      <c r="X4362" s="207"/>
      <c r="Y4362" s="207"/>
      <c r="Z4362" s="204"/>
      <c r="AA4362" s="204"/>
      <c r="AB4362" s="204"/>
      <c r="AC4362" s="204"/>
    </row>
    <row r="4363" spans="1:29">
      <c r="A4363" s="204"/>
      <c r="B4363" s="204"/>
      <c r="C4363" s="204"/>
      <c r="D4363" s="204"/>
      <c r="E4363" s="204"/>
      <c r="F4363" s="204"/>
      <c r="G4363" s="204"/>
      <c r="H4363" s="204"/>
      <c r="I4363" s="204"/>
      <c r="J4363" s="204"/>
      <c r="K4363" s="204"/>
      <c r="L4363" s="205"/>
      <c r="M4363" s="205"/>
      <c r="N4363" s="204"/>
      <c r="O4363" s="204"/>
      <c r="P4363" s="206"/>
      <c r="Q4363" s="206"/>
      <c r="R4363" s="206"/>
      <c r="S4363" s="206"/>
      <c r="T4363" s="204"/>
      <c r="U4363" s="207"/>
      <c r="V4363" s="204"/>
      <c r="W4363" s="204"/>
      <c r="X4363" s="207"/>
      <c r="Y4363" s="207"/>
      <c r="Z4363" s="204"/>
      <c r="AA4363" s="204"/>
      <c r="AB4363" s="204"/>
      <c r="AC4363" s="204"/>
    </row>
    <row r="4364" spans="1:29">
      <c r="A4364" s="204"/>
      <c r="B4364" s="204"/>
      <c r="C4364" s="204"/>
      <c r="D4364" s="204"/>
      <c r="E4364" s="204"/>
      <c r="F4364" s="204"/>
      <c r="G4364" s="204"/>
      <c r="H4364" s="204"/>
      <c r="I4364" s="204"/>
      <c r="J4364" s="204"/>
      <c r="K4364" s="204"/>
      <c r="L4364" s="205"/>
      <c r="M4364" s="205"/>
      <c r="N4364" s="204"/>
      <c r="O4364" s="204"/>
      <c r="P4364" s="206"/>
      <c r="Q4364" s="206"/>
      <c r="R4364" s="206"/>
      <c r="S4364" s="206"/>
      <c r="T4364" s="204"/>
      <c r="U4364" s="207"/>
      <c r="V4364" s="204"/>
      <c r="W4364" s="204"/>
      <c r="X4364" s="207"/>
      <c r="Y4364" s="207"/>
      <c r="Z4364" s="204"/>
      <c r="AA4364" s="204"/>
      <c r="AB4364" s="204"/>
      <c r="AC4364" s="204"/>
    </row>
    <row r="4365" spans="1:29">
      <c r="A4365" s="204"/>
      <c r="B4365" s="204"/>
      <c r="C4365" s="204"/>
      <c r="D4365" s="204"/>
      <c r="E4365" s="204"/>
      <c r="F4365" s="204"/>
      <c r="G4365" s="204"/>
      <c r="H4365" s="204"/>
      <c r="I4365" s="204"/>
      <c r="J4365" s="204"/>
      <c r="K4365" s="204"/>
      <c r="L4365" s="205"/>
      <c r="M4365" s="205"/>
      <c r="N4365" s="204"/>
      <c r="O4365" s="204"/>
      <c r="P4365" s="206"/>
      <c r="Q4365" s="206"/>
      <c r="R4365" s="206"/>
      <c r="S4365" s="206"/>
      <c r="T4365" s="204"/>
      <c r="U4365" s="207"/>
      <c r="V4365" s="204"/>
      <c r="W4365" s="204"/>
      <c r="X4365" s="207"/>
      <c r="Y4365" s="207"/>
      <c r="Z4365" s="204"/>
      <c r="AA4365" s="204"/>
      <c r="AB4365" s="204"/>
      <c r="AC4365" s="204"/>
    </row>
    <row r="4366" spans="1:29">
      <c r="A4366" s="204"/>
      <c r="B4366" s="204"/>
      <c r="C4366" s="204"/>
      <c r="D4366" s="204"/>
      <c r="E4366" s="204"/>
      <c r="F4366" s="204"/>
      <c r="G4366" s="204"/>
      <c r="H4366" s="204"/>
      <c r="I4366" s="204"/>
      <c r="J4366" s="204"/>
      <c r="K4366" s="204"/>
      <c r="L4366" s="205"/>
      <c r="M4366" s="205"/>
      <c r="N4366" s="204"/>
      <c r="O4366" s="204"/>
      <c r="P4366" s="206"/>
      <c r="Q4366" s="206"/>
      <c r="R4366" s="206"/>
      <c r="S4366" s="206"/>
      <c r="T4366" s="204"/>
      <c r="U4366" s="207"/>
      <c r="V4366" s="204"/>
      <c r="W4366" s="204"/>
      <c r="X4366" s="207"/>
      <c r="Y4366" s="207"/>
      <c r="Z4366" s="204"/>
      <c r="AA4366" s="204"/>
      <c r="AB4366" s="204"/>
      <c r="AC4366" s="204"/>
    </row>
    <row r="4367" spans="1:29">
      <c r="A4367" s="204"/>
      <c r="B4367" s="204"/>
      <c r="C4367" s="204"/>
      <c r="D4367" s="204"/>
      <c r="E4367" s="204"/>
      <c r="F4367" s="204"/>
      <c r="G4367" s="204"/>
      <c r="H4367" s="204"/>
      <c r="I4367" s="204"/>
      <c r="J4367" s="204"/>
      <c r="K4367" s="204"/>
      <c r="L4367" s="205"/>
      <c r="M4367" s="205"/>
      <c r="N4367" s="204"/>
      <c r="O4367" s="204"/>
      <c r="P4367" s="206"/>
      <c r="Q4367" s="206"/>
      <c r="R4367" s="206"/>
      <c r="S4367" s="206"/>
      <c r="T4367" s="204"/>
      <c r="U4367" s="207"/>
      <c r="V4367" s="204"/>
      <c r="W4367" s="204"/>
      <c r="X4367" s="207"/>
      <c r="Y4367" s="207"/>
      <c r="Z4367" s="204"/>
      <c r="AA4367" s="204"/>
      <c r="AB4367" s="204"/>
      <c r="AC4367" s="204"/>
    </row>
    <row r="4368" spans="1:29">
      <c r="A4368" s="204"/>
      <c r="B4368" s="204"/>
      <c r="C4368" s="204"/>
      <c r="D4368" s="204"/>
      <c r="E4368" s="204"/>
      <c r="F4368" s="204"/>
      <c r="G4368" s="204"/>
      <c r="H4368" s="204"/>
      <c r="I4368" s="204"/>
      <c r="J4368" s="204"/>
      <c r="K4368" s="204"/>
      <c r="L4368" s="205"/>
      <c r="M4368" s="205"/>
      <c r="N4368" s="204"/>
      <c r="O4368" s="204"/>
      <c r="P4368" s="206"/>
      <c r="Q4368" s="206"/>
      <c r="R4368" s="206"/>
      <c r="S4368" s="206"/>
      <c r="T4368" s="204"/>
      <c r="U4368" s="207"/>
      <c r="V4368" s="204"/>
      <c r="W4368" s="204"/>
      <c r="X4368" s="207"/>
      <c r="Y4368" s="207"/>
      <c r="Z4368" s="204"/>
      <c r="AA4368" s="204"/>
      <c r="AB4368" s="204"/>
      <c r="AC4368" s="204"/>
    </row>
    <row r="4369" spans="1:29">
      <c r="A4369" s="204"/>
      <c r="B4369" s="204"/>
      <c r="C4369" s="204"/>
      <c r="D4369" s="204"/>
      <c r="E4369" s="204"/>
      <c r="F4369" s="204"/>
      <c r="G4369" s="204"/>
      <c r="H4369" s="204"/>
      <c r="I4369" s="204"/>
      <c r="J4369" s="204"/>
      <c r="K4369" s="204"/>
      <c r="L4369" s="205"/>
      <c r="M4369" s="205"/>
      <c r="N4369" s="204"/>
      <c r="O4369" s="204"/>
      <c r="P4369" s="206"/>
      <c r="Q4369" s="206"/>
      <c r="R4369" s="206"/>
      <c r="S4369" s="206"/>
      <c r="T4369" s="204"/>
      <c r="U4369" s="207"/>
      <c r="V4369" s="204"/>
      <c r="W4369" s="204"/>
      <c r="X4369" s="207"/>
      <c r="Y4369" s="207"/>
      <c r="Z4369" s="204"/>
      <c r="AA4369" s="204"/>
      <c r="AB4369" s="204"/>
      <c r="AC4369" s="204"/>
    </row>
    <row r="4370" spans="1:29">
      <c r="A4370" s="204"/>
      <c r="B4370" s="204"/>
      <c r="C4370" s="204"/>
      <c r="D4370" s="204"/>
      <c r="E4370" s="204"/>
      <c r="F4370" s="204"/>
      <c r="G4370" s="204"/>
      <c r="H4370" s="204"/>
      <c r="I4370" s="204"/>
      <c r="J4370" s="204"/>
      <c r="K4370" s="204"/>
      <c r="L4370" s="205"/>
      <c r="M4370" s="205"/>
      <c r="N4370" s="204"/>
      <c r="O4370" s="204"/>
      <c r="P4370" s="206"/>
      <c r="Q4370" s="206"/>
      <c r="R4370" s="206"/>
      <c r="S4370" s="206"/>
      <c r="T4370" s="204"/>
      <c r="U4370" s="207"/>
      <c r="V4370" s="204"/>
      <c r="W4370" s="204"/>
      <c r="X4370" s="207"/>
      <c r="Y4370" s="207"/>
      <c r="Z4370" s="204"/>
      <c r="AA4370" s="204"/>
      <c r="AB4370" s="204"/>
      <c r="AC4370" s="204"/>
    </row>
    <row r="4371" spans="1:29">
      <c r="A4371" s="204"/>
      <c r="B4371" s="204"/>
      <c r="C4371" s="204"/>
      <c r="D4371" s="204"/>
      <c r="E4371" s="204"/>
      <c r="F4371" s="204"/>
      <c r="G4371" s="204"/>
      <c r="H4371" s="204"/>
      <c r="I4371" s="204"/>
      <c r="J4371" s="204"/>
      <c r="K4371" s="204"/>
      <c r="L4371" s="205"/>
      <c r="M4371" s="205"/>
      <c r="N4371" s="204"/>
      <c r="O4371" s="204"/>
      <c r="P4371" s="206"/>
      <c r="Q4371" s="206"/>
      <c r="R4371" s="206"/>
      <c r="S4371" s="206"/>
      <c r="T4371" s="204"/>
      <c r="U4371" s="207"/>
      <c r="V4371" s="204"/>
      <c r="W4371" s="204"/>
      <c r="X4371" s="207"/>
      <c r="Y4371" s="207"/>
      <c r="Z4371" s="204"/>
      <c r="AA4371" s="204"/>
      <c r="AB4371" s="204"/>
      <c r="AC4371" s="204"/>
    </row>
    <row r="4372" spans="1:29">
      <c r="A4372" s="204"/>
      <c r="B4372" s="204"/>
      <c r="C4372" s="204"/>
      <c r="D4372" s="204"/>
      <c r="E4372" s="204"/>
      <c r="F4372" s="204"/>
      <c r="G4372" s="204"/>
      <c r="H4372" s="204"/>
      <c r="I4372" s="204"/>
      <c r="J4372" s="204"/>
      <c r="K4372" s="204"/>
      <c r="L4372" s="205"/>
      <c r="M4372" s="205"/>
      <c r="N4372" s="204"/>
      <c r="O4372" s="204"/>
      <c r="P4372" s="206"/>
      <c r="Q4372" s="206"/>
      <c r="R4372" s="206"/>
      <c r="S4372" s="206"/>
      <c r="T4372" s="204"/>
      <c r="U4372" s="207"/>
      <c r="V4372" s="204"/>
      <c r="W4372" s="204"/>
      <c r="X4372" s="207"/>
      <c r="Y4372" s="207"/>
      <c r="Z4372" s="204"/>
      <c r="AA4372" s="204"/>
      <c r="AB4372" s="204"/>
      <c r="AC4372" s="204"/>
    </row>
    <row r="4373" spans="1:29">
      <c r="A4373" s="204"/>
      <c r="B4373" s="204"/>
      <c r="C4373" s="204"/>
      <c r="D4373" s="204"/>
      <c r="E4373" s="204"/>
      <c r="F4373" s="204"/>
      <c r="G4373" s="204"/>
      <c r="H4373" s="204"/>
      <c r="I4373" s="204"/>
      <c r="J4373" s="204"/>
      <c r="K4373" s="204"/>
      <c r="L4373" s="205"/>
      <c r="M4373" s="205"/>
      <c r="N4373" s="204"/>
      <c r="O4373" s="204"/>
      <c r="P4373" s="206"/>
      <c r="Q4373" s="206"/>
      <c r="R4373" s="206"/>
      <c r="S4373" s="206"/>
      <c r="T4373" s="204"/>
      <c r="U4373" s="207"/>
      <c r="V4373" s="204"/>
      <c r="W4373" s="204"/>
      <c r="X4373" s="207"/>
      <c r="Y4373" s="207"/>
      <c r="Z4373" s="204"/>
      <c r="AA4373" s="204"/>
      <c r="AB4373" s="204"/>
      <c r="AC4373" s="204"/>
    </row>
    <row r="4374" spans="1:29">
      <c r="A4374" s="204"/>
      <c r="B4374" s="204"/>
      <c r="C4374" s="204"/>
      <c r="D4374" s="204"/>
      <c r="E4374" s="204"/>
      <c r="F4374" s="204"/>
      <c r="G4374" s="204"/>
      <c r="H4374" s="204"/>
      <c r="I4374" s="204"/>
      <c r="J4374" s="204"/>
      <c r="K4374" s="204"/>
      <c r="L4374" s="205"/>
      <c r="M4374" s="205"/>
      <c r="N4374" s="204"/>
      <c r="O4374" s="204"/>
      <c r="P4374" s="206"/>
      <c r="Q4374" s="206"/>
      <c r="R4374" s="206"/>
      <c r="S4374" s="206"/>
      <c r="T4374" s="204"/>
      <c r="U4374" s="207"/>
      <c r="V4374" s="204"/>
      <c r="W4374" s="204"/>
      <c r="X4374" s="207"/>
      <c r="Y4374" s="207"/>
      <c r="Z4374" s="204"/>
      <c r="AA4374" s="204"/>
      <c r="AB4374" s="204"/>
      <c r="AC4374" s="204"/>
    </row>
    <row r="4375" spans="1:29">
      <c r="A4375" s="204"/>
      <c r="B4375" s="204"/>
      <c r="C4375" s="204"/>
      <c r="D4375" s="204"/>
      <c r="E4375" s="204"/>
      <c r="F4375" s="204"/>
      <c r="G4375" s="204"/>
      <c r="H4375" s="204"/>
      <c r="I4375" s="204"/>
      <c r="J4375" s="204"/>
      <c r="K4375" s="204"/>
      <c r="L4375" s="205"/>
      <c r="M4375" s="205"/>
      <c r="N4375" s="204"/>
      <c r="O4375" s="204"/>
      <c r="P4375" s="206"/>
      <c r="Q4375" s="206"/>
      <c r="R4375" s="206"/>
      <c r="S4375" s="206"/>
      <c r="T4375" s="204"/>
      <c r="U4375" s="207"/>
      <c r="V4375" s="204"/>
      <c r="W4375" s="204"/>
      <c r="X4375" s="207"/>
      <c r="Y4375" s="207"/>
      <c r="Z4375" s="204"/>
      <c r="AA4375" s="204"/>
      <c r="AB4375" s="204"/>
      <c r="AC4375" s="204"/>
    </row>
    <row r="4376" spans="1:29">
      <c r="A4376" s="204"/>
      <c r="B4376" s="204"/>
      <c r="C4376" s="204"/>
      <c r="D4376" s="204"/>
      <c r="E4376" s="204"/>
      <c r="F4376" s="204"/>
      <c r="G4376" s="204"/>
      <c r="H4376" s="204"/>
      <c r="I4376" s="204"/>
      <c r="J4376" s="204"/>
      <c r="K4376" s="204"/>
      <c r="L4376" s="205"/>
      <c r="M4376" s="205"/>
      <c r="N4376" s="204"/>
      <c r="O4376" s="204"/>
      <c r="P4376" s="206"/>
      <c r="Q4376" s="206"/>
      <c r="R4376" s="206"/>
      <c r="S4376" s="206"/>
      <c r="T4376" s="204"/>
      <c r="U4376" s="207"/>
      <c r="V4376" s="204"/>
      <c r="W4376" s="204"/>
      <c r="X4376" s="207"/>
      <c r="Y4376" s="207"/>
      <c r="Z4376" s="204"/>
      <c r="AA4376" s="204"/>
      <c r="AB4376" s="204"/>
      <c r="AC4376" s="204"/>
    </row>
    <row r="4377" spans="1:29">
      <c r="A4377" s="204"/>
      <c r="B4377" s="204"/>
      <c r="C4377" s="204"/>
      <c r="D4377" s="204"/>
      <c r="E4377" s="204"/>
      <c r="F4377" s="204"/>
      <c r="G4377" s="204"/>
      <c r="H4377" s="204"/>
      <c r="I4377" s="204"/>
      <c r="J4377" s="204"/>
      <c r="K4377" s="204"/>
      <c r="L4377" s="205"/>
      <c r="M4377" s="205"/>
      <c r="N4377" s="204"/>
      <c r="O4377" s="204"/>
      <c r="P4377" s="206"/>
      <c r="Q4377" s="206"/>
      <c r="R4377" s="206"/>
      <c r="S4377" s="206"/>
      <c r="T4377" s="204"/>
      <c r="U4377" s="207"/>
      <c r="V4377" s="204"/>
      <c r="W4377" s="204"/>
      <c r="X4377" s="207"/>
      <c r="Y4377" s="207"/>
      <c r="Z4377" s="204"/>
      <c r="AA4377" s="204"/>
      <c r="AB4377" s="204"/>
      <c r="AC4377" s="204"/>
    </row>
    <row r="4378" spans="1:29">
      <c r="A4378" s="204"/>
      <c r="B4378" s="204"/>
      <c r="C4378" s="204"/>
      <c r="D4378" s="204"/>
      <c r="E4378" s="204"/>
      <c r="F4378" s="204"/>
      <c r="G4378" s="204"/>
      <c r="H4378" s="204"/>
      <c r="I4378" s="204"/>
      <c r="J4378" s="204"/>
      <c r="K4378" s="204"/>
      <c r="L4378" s="205"/>
      <c r="M4378" s="205"/>
      <c r="N4378" s="204"/>
      <c r="O4378" s="204"/>
      <c r="P4378" s="206"/>
      <c r="Q4378" s="206"/>
      <c r="R4378" s="206"/>
      <c r="S4378" s="206"/>
      <c r="T4378" s="204"/>
      <c r="U4378" s="207"/>
      <c r="V4378" s="204"/>
      <c r="W4378" s="204"/>
      <c r="X4378" s="207"/>
      <c r="Y4378" s="207"/>
      <c r="Z4378" s="204"/>
      <c r="AA4378" s="204"/>
      <c r="AB4378" s="204"/>
      <c r="AC4378" s="204"/>
    </row>
    <row r="4379" spans="1:29">
      <c r="A4379" s="204"/>
      <c r="B4379" s="204"/>
      <c r="C4379" s="204"/>
      <c r="D4379" s="204"/>
      <c r="E4379" s="204"/>
      <c r="F4379" s="204"/>
      <c r="G4379" s="204"/>
      <c r="H4379" s="204"/>
      <c r="I4379" s="204"/>
      <c r="J4379" s="204"/>
      <c r="K4379" s="204"/>
      <c r="L4379" s="205"/>
      <c r="M4379" s="205"/>
      <c r="N4379" s="204"/>
      <c r="O4379" s="204"/>
      <c r="P4379" s="206"/>
      <c r="Q4379" s="206"/>
      <c r="R4379" s="206"/>
      <c r="S4379" s="206"/>
      <c r="T4379" s="204"/>
      <c r="U4379" s="207"/>
      <c r="V4379" s="204"/>
      <c r="W4379" s="204"/>
      <c r="X4379" s="207"/>
      <c r="Y4379" s="207"/>
      <c r="Z4379" s="204"/>
      <c r="AA4379" s="204"/>
      <c r="AB4379" s="204"/>
      <c r="AC4379" s="204"/>
    </row>
    <row r="4380" spans="1:29">
      <c r="A4380" s="204"/>
      <c r="B4380" s="204"/>
      <c r="C4380" s="204"/>
      <c r="D4380" s="204"/>
      <c r="E4380" s="204"/>
      <c r="F4380" s="204"/>
      <c r="G4380" s="204"/>
      <c r="H4380" s="204"/>
      <c r="I4380" s="204"/>
      <c r="J4380" s="204"/>
      <c r="K4380" s="204"/>
      <c r="L4380" s="205"/>
      <c r="M4380" s="205"/>
      <c r="N4380" s="204"/>
      <c r="O4380" s="204"/>
      <c r="P4380" s="206"/>
      <c r="Q4380" s="206"/>
      <c r="R4380" s="206"/>
      <c r="S4380" s="206"/>
      <c r="T4380" s="204"/>
      <c r="U4380" s="207"/>
      <c r="V4380" s="204"/>
      <c r="W4380" s="204"/>
      <c r="X4380" s="207"/>
      <c r="Y4380" s="207"/>
      <c r="Z4380" s="204"/>
      <c r="AA4380" s="204"/>
      <c r="AB4380" s="204"/>
      <c r="AC4380" s="204"/>
    </row>
    <row r="4381" spans="1:29">
      <c r="A4381" s="204"/>
      <c r="B4381" s="204"/>
      <c r="C4381" s="204"/>
      <c r="D4381" s="204"/>
      <c r="E4381" s="204"/>
      <c r="F4381" s="204"/>
      <c r="G4381" s="204"/>
      <c r="H4381" s="204"/>
      <c r="I4381" s="204"/>
      <c r="J4381" s="204"/>
      <c r="K4381" s="204"/>
      <c r="L4381" s="205"/>
      <c r="M4381" s="205"/>
      <c r="N4381" s="204"/>
      <c r="O4381" s="204"/>
      <c r="P4381" s="206"/>
      <c r="Q4381" s="206"/>
      <c r="R4381" s="206"/>
      <c r="S4381" s="206"/>
      <c r="T4381" s="204"/>
      <c r="U4381" s="207"/>
      <c r="V4381" s="204"/>
      <c r="W4381" s="204"/>
      <c r="X4381" s="207"/>
      <c r="Y4381" s="207"/>
      <c r="Z4381" s="204"/>
      <c r="AA4381" s="204"/>
      <c r="AB4381" s="204"/>
      <c r="AC4381" s="204"/>
    </row>
    <row r="4382" spans="1:29">
      <c r="A4382" s="204"/>
      <c r="B4382" s="204"/>
      <c r="C4382" s="204"/>
      <c r="D4382" s="204"/>
      <c r="E4382" s="204"/>
      <c r="F4382" s="204"/>
      <c r="G4382" s="204"/>
      <c r="H4382" s="204"/>
      <c r="I4382" s="204"/>
      <c r="J4382" s="204"/>
      <c r="K4382" s="204"/>
      <c r="L4382" s="205"/>
      <c r="M4382" s="205"/>
      <c r="N4382" s="204"/>
      <c r="O4382" s="204"/>
      <c r="P4382" s="206"/>
      <c r="Q4382" s="206"/>
      <c r="R4382" s="206"/>
      <c r="S4382" s="206"/>
      <c r="T4382" s="204"/>
      <c r="U4382" s="207"/>
      <c r="V4382" s="204"/>
      <c r="W4382" s="204"/>
      <c r="X4382" s="207"/>
      <c r="Y4382" s="207"/>
      <c r="Z4382" s="204"/>
      <c r="AA4382" s="204"/>
      <c r="AB4382" s="204"/>
      <c r="AC4382" s="204"/>
    </row>
    <row r="4383" spans="1:29">
      <c r="A4383" s="204"/>
      <c r="B4383" s="204"/>
      <c r="C4383" s="204"/>
      <c r="D4383" s="204"/>
      <c r="E4383" s="204"/>
      <c r="F4383" s="204"/>
      <c r="G4383" s="204"/>
      <c r="H4383" s="204"/>
      <c r="I4383" s="204"/>
      <c r="J4383" s="204"/>
      <c r="K4383" s="204"/>
      <c r="L4383" s="205"/>
      <c r="M4383" s="205"/>
      <c r="N4383" s="204"/>
      <c r="O4383" s="204"/>
      <c r="P4383" s="206"/>
      <c r="Q4383" s="206"/>
      <c r="R4383" s="206"/>
      <c r="S4383" s="206"/>
      <c r="T4383" s="204"/>
      <c r="U4383" s="207"/>
      <c r="V4383" s="204"/>
      <c r="W4383" s="204"/>
      <c r="X4383" s="207"/>
      <c r="Y4383" s="207"/>
      <c r="Z4383" s="204"/>
      <c r="AA4383" s="204"/>
      <c r="AB4383" s="204"/>
      <c r="AC4383" s="204"/>
    </row>
    <row r="4384" spans="1:29">
      <c r="A4384" s="204"/>
      <c r="B4384" s="204"/>
      <c r="C4384" s="204"/>
      <c r="D4384" s="204"/>
      <c r="E4384" s="204"/>
      <c r="F4384" s="204"/>
      <c r="G4384" s="204"/>
      <c r="H4384" s="204"/>
      <c r="I4384" s="204"/>
      <c r="J4384" s="204"/>
      <c r="K4384" s="204"/>
      <c r="L4384" s="205"/>
      <c r="M4384" s="205"/>
      <c r="N4384" s="204"/>
      <c r="O4384" s="204"/>
      <c r="P4384" s="206"/>
      <c r="Q4384" s="206"/>
      <c r="R4384" s="206"/>
      <c r="S4384" s="206"/>
      <c r="T4384" s="204"/>
      <c r="U4384" s="207"/>
      <c r="V4384" s="204"/>
      <c r="W4384" s="204"/>
      <c r="X4384" s="207"/>
      <c r="Y4384" s="207"/>
      <c r="Z4384" s="204"/>
      <c r="AA4384" s="204"/>
      <c r="AB4384" s="204"/>
      <c r="AC4384" s="204"/>
    </row>
    <row r="4385" spans="1:29">
      <c r="A4385" s="204"/>
      <c r="B4385" s="204"/>
      <c r="C4385" s="204"/>
      <c r="D4385" s="204"/>
      <c r="E4385" s="204"/>
      <c r="F4385" s="204"/>
      <c r="G4385" s="204"/>
      <c r="H4385" s="204"/>
      <c r="I4385" s="204"/>
      <c r="J4385" s="204"/>
      <c r="K4385" s="204"/>
      <c r="L4385" s="205"/>
      <c r="M4385" s="205"/>
      <c r="N4385" s="204"/>
      <c r="O4385" s="204"/>
      <c r="P4385" s="206"/>
      <c r="Q4385" s="206"/>
      <c r="R4385" s="206"/>
      <c r="S4385" s="206"/>
      <c r="T4385" s="204"/>
      <c r="U4385" s="207"/>
      <c r="V4385" s="204"/>
      <c r="W4385" s="204"/>
      <c r="X4385" s="207"/>
      <c r="Y4385" s="207"/>
      <c r="Z4385" s="204"/>
      <c r="AA4385" s="204"/>
      <c r="AB4385" s="204"/>
      <c r="AC4385" s="204"/>
    </row>
    <row r="4386" spans="1:29">
      <c r="A4386" s="204"/>
      <c r="B4386" s="204"/>
      <c r="C4386" s="204"/>
      <c r="D4386" s="204"/>
      <c r="E4386" s="204"/>
      <c r="F4386" s="204"/>
      <c r="G4386" s="204"/>
      <c r="H4386" s="204"/>
      <c r="I4386" s="204"/>
      <c r="J4386" s="204"/>
      <c r="K4386" s="204"/>
      <c r="L4386" s="205"/>
      <c r="M4386" s="205"/>
      <c r="N4386" s="204"/>
      <c r="O4386" s="204"/>
      <c r="P4386" s="206"/>
      <c r="Q4386" s="206"/>
      <c r="R4386" s="206"/>
      <c r="S4386" s="206"/>
      <c r="T4386" s="204"/>
      <c r="U4386" s="207"/>
      <c r="V4386" s="204"/>
      <c r="W4386" s="204"/>
      <c r="X4386" s="207"/>
      <c r="Y4386" s="207"/>
      <c r="Z4386" s="204"/>
      <c r="AA4386" s="204"/>
      <c r="AB4386" s="204"/>
      <c r="AC4386" s="204"/>
    </row>
    <row r="4387" spans="1:29">
      <c r="A4387" s="204"/>
      <c r="B4387" s="204"/>
      <c r="C4387" s="204"/>
      <c r="D4387" s="204"/>
      <c r="E4387" s="204"/>
      <c r="F4387" s="204"/>
      <c r="G4387" s="204"/>
      <c r="H4387" s="204"/>
      <c r="I4387" s="204"/>
      <c r="J4387" s="204"/>
      <c r="K4387" s="204"/>
      <c r="L4387" s="205"/>
      <c r="M4387" s="205"/>
      <c r="N4387" s="204"/>
      <c r="O4387" s="204"/>
      <c r="P4387" s="206"/>
      <c r="Q4387" s="206"/>
      <c r="R4387" s="206"/>
      <c r="S4387" s="206"/>
      <c r="T4387" s="204"/>
      <c r="U4387" s="207"/>
      <c r="V4387" s="204"/>
      <c r="W4387" s="204"/>
      <c r="X4387" s="207"/>
      <c r="Y4387" s="207"/>
      <c r="Z4387" s="204"/>
      <c r="AA4387" s="204"/>
      <c r="AB4387" s="204"/>
      <c r="AC4387" s="204"/>
    </row>
    <row r="4388" spans="1:29">
      <c r="A4388" s="204"/>
      <c r="B4388" s="204"/>
      <c r="C4388" s="204"/>
      <c r="D4388" s="204"/>
      <c r="E4388" s="204"/>
      <c r="F4388" s="204"/>
      <c r="G4388" s="204"/>
      <c r="H4388" s="204"/>
      <c r="I4388" s="204"/>
      <c r="J4388" s="204"/>
      <c r="K4388" s="204"/>
      <c r="L4388" s="205"/>
      <c r="M4388" s="205"/>
      <c r="N4388" s="204"/>
      <c r="O4388" s="204"/>
      <c r="P4388" s="206"/>
      <c r="Q4388" s="206"/>
      <c r="R4388" s="206"/>
      <c r="S4388" s="206"/>
      <c r="T4388" s="204"/>
      <c r="U4388" s="207"/>
      <c r="V4388" s="204"/>
      <c r="W4388" s="204"/>
      <c r="X4388" s="207"/>
      <c r="Y4388" s="207"/>
      <c r="Z4388" s="204"/>
      <c r="AA4388" s="204"/>
      <c r="AB4388" s="204"/>
      <c r="AC4388" s="204"/>
    </row>
    <row r="4389" spans="1:29">
      <c r="A4389" s="204"/>
      <c r="B4389" s="204"/>
      <c r="C4389" s="204"/>
      <c r="D4389" s="204"/>
      <c r="E4389" s="204"/>
      <c r="F4389" s="204"/>
      <c r="G4389" s="204"/>
      <c r="H4389" s="204"/>
      <c r="I4389" s="204"/>
      <c r="J4389" s="204"/>
      <c r="K4389" s="204"/>
      <c r="L4389" s="205"/>
      <c r="M4389" s="205"/>
      <c r="N4389" s="204"/>
      <c r="O4389" s="204"/>
      <c r="P4389" s="206"/>
      <c r="Q4389" s="206"/>
      <c r="R4389" s="206"/>
      <c r="S4389" s="206"/>
      <c r="T4389" s="204"/>
      <c r="U4389" s="207"/>
      <c r="V4389" s="204"/>
      <c r="W4389" s="204"/>
      <c r="X4389" s="207"/>
      <c r="Y4389" s="207"/>
      <c r="Z4389" s="204"/>
      <c r="AA4389" s="204"/>
      <c r="AB4389" s="204"/>
      <c r="AC4389" s="204"/>
    </row>
    <row r="4390" spans="1:29">
      <c r="A4390" s="204"/>
      <c r="B4390" s="204"/>
      <c r="C4390" s="204"/>
      <c r="D4390" s="204"/>
      <c r="E4390" s="204"/>
      <c r="F4390" s="204"/>
      <c r="G4390" s="204"/>
      <c r="H4390" s="204"/>
      <c r="I4390" s="204"/>
      <c r="J4390" s="204"/>
      <c r="K4390" s="204"/>
      <c r="L4390" s="205"/>
      <c r="M4390" s="205"/>
      <c r="N4390" s="204"/>
      <c r="O4390" s="204"/>
      <c r="P4390" s="206"/>
      <c r="Q4390" s="206"/>
      <c r="R4390" s="206"/>
      <c r="S4390" s="206"/>
      <c r="T4390" s="204"/>
      <c r="U4390" s="207"/>
      <c r="V4390" s="204"/>
      <c r="W4390" s="204"/>
      <c r="X4390" s="207"/>
      <c r="Y4390" s="207"/>
      <c r="Z4390" s="204"/>
      <c r="AA4390" s="204"/>
      <c r="AB4390" s="204"/>
      <c r="AC4390" s="204"/>
    </row>
    <row r="4391" spans="1:29">
      <c r="A4391" s="204"/>
      <c r="B4391" s="204"/>
      <c r="C4391" s="204"/>
      <c r="D4391" s="204"/>
      <c r="E4391" s="204"/>
      <c r="F4391" s="204"/>
      <c r="G4391" s="204"/>
      <c r="H4391" s="204"/>
      <c r="I4391" s="204"/>
      <c r="J4391" s="204"/>
      <c r="K4391" s="204"/>
      <c r="L4391" s="205"/>
      <c r="M4391" s="205"/>
      <c r="N4391" s="204"/>
      <c r="O4391" s="204"/>
      <c r="P4391" s="206"/>
      <c r="Q4391" s="206"/>
      <c r="R4391" s="206"/>
      <c r="S4391" s="206"/>
      <c r="T4391" s="204"/>
      <c r="U4391" s="207"/>
      <c r="V4391" s="204"/>
      <c r="W4391" s="204"/>
      <c r="X4391" s="207"/>
      <c r="Y4391" s="207"/>
      <c r="Z4391" s="204"/>
      <c r="AA4391" s="204"/>
      <c r="AB4391" s="204"/>
      <c r="AC4391" s="204"/>
    </row>
    <row r="4392" spans="1:29">
      <c r="A4392" s="204"/>
      <c r="B4392" s="204"/>
      <c r="C4392" s="204"/>
      <c r="D4392" s="204"/>
      <c r="E4392" s="204"/>
      <c r="F4392" s="204"/>
      <c r="G4392" s="204"/>
      <c r="H4392" s="204"/>
      <c r="I4392" s="204"/>
      <c r="J4392" s="204"/>
      <c r="K4392" s="204"/>
      <c r="L4392" s="205"/>
      <c r="M4392" s="205"/>
      <c r="N4392" s="204"/>
      <c r="O4392" s="204"/>
      <c r="P4392" s="206"/>
      <c r="Q4392" s="206"/>
      <c r="R4392" s="206"/>
      <c r="S4392" s="206"/>
      <c r="T4392" s="204"/>
      <c r="U4392" s="207"/>
      <c r="V4392" s="204"/>
      <c r="W4392" s="204"/>
      <c r="X4392" s="207"/>
      <c r="Y4392" s="207"/>
      <c r="Z4392" s="204"/>
      <c r="AA4392" s="204"/>
      <c r="AB4392" s="204"/>
      <c r="AC4392" s="204"/>
    </row>
    <row r="4393" spans="1:29">
      <c r="A4393" s="204"/>
      <c r="B4393" s="204"/>
      <c r="C4393" s="204"/>
      <c r="D4393" s="204"/>
      <c r="E4393" s="204"/>
      <c r="F4393" s="204"/>
      <c r="G4393" s="204"/>
      <c r="H4393" s="204"/>
      <c r="I4393" s="204"/>
      <c r="J4393" s="204"/>
      <c r="K4393" s="204"/>
      <c r="L4393" s="205"/>
      <c r="M4393" s="205"/>
      <c r="N4393" s="204"/>
      <c r="O4393" s="204"/>
      <c r="P4393" s="206"/>
      <c r="Q4393" s="206"/>
      <c r="R4393" s="206"/>
      <c r="S4393" s="206"/>
      <c r="T4393" s="204"/>
      <c r="U4393" s="207"/>
      <c r="V4393" s="204"/>
      <c r="W4393" s="204"/>
      <c r="X4393" s="207"/>
      <c r="Y4393" s="207"/>
      <c r="Z4393" s="204"/>
      <c r="AA4393" s="204"/>
      <c r="AB4393" s="204"/>
      <c r="AC4393" s="204"/>
    </row>
    <row r="4394" spans="1:29">
      <c r="A4394" s="204"/>
      <c r="B4394" s="204"/>
      <c r="C4394" s="204"/>
      <c r="D4394" s="204"/>
      <c r="E4394" s="204"/>
      <c r="F4394" s="204"/>
      <c r="G4394" s="204"/>
      <c r="H4394" s="204"/>
      <c r="I4394" s="204"/>
      <c r="J4394" s="204"/>
      <c r="K4394" s="204"/>
      <c r="L4394" s="205"/>
      <c r="M4394" s="205"/>
      <c r="N4394" s="204"/>
      <c r="O4394" s="204"/>
      <c r="P4394" s="206"/>
      <c r="Q4394" s="206"/>
      <c r="R4394" s="206"/>
      <c r="S4394" s="206"/>
      <c r="T4394" s="204"/>
      <c r="U4394" s="207"/>
      <c r="V4394" s="204"/>
      <c r="W4394" s="204"/>
      <c r="X4394" s="207"/>
      <c r="Y4394" s="207"/>
      <c r="Z4394" s="204"/>
      <c r="AA4394" s="204"/>
      <c r="AB4394" s="204"/>
      <c r="AC4394" s="204"/>
    </row>
    <row r="4395" spans="1:29">
      <c r="A4395" s="204"/>
      <c r="B4395" s="204"/>
      <c r="C4395" s="204"/>
      <c r="D4395" s="204"/>
      <c r="E4395" s="204"/>
      <c r="F4395" s="204"/>
      <c r="G4395" s="204"/>
      <c r="H4395" s="204"/>
      <c r="I4395" s="204"/>
      <c r="J4395" s="204"/>
      <c r="K4395" s="204"/>
      <c r="L4395" s="205"/>
      <c r="M4395" s="205"/>
      <c r="N4395" s="204"/>
      <c r="O4395" s="204"/>
      <c r="P4395" s="206"/>
      <c r="Q4395" s="206"/>
      <c r="R4395" s="206"/>
      <c r="S4395" s="206"/>
      <c r="T4395" s="204"/>
      <c r="U4395" s="207"/>
      <c r="V4395" s="204"/>
      <c r="W4395" s="204"/>
      <c r="X4395" s="207"/>
      <c r="Y4395" s="207"/>
      <c r="Z4395" s="204"/>
      <c r="AA4395" s="204"/>
      <c r="AB4395" s="204"/>
      <c r="AC4395" s="204"/>
    </row>
    <row r="4396" spans="1:29">
      <c r="A4396" s="204"/>
      <c r="B4396" s="204"/>
      <c r="C4396" s="204"/>
      <c r="D4396" s="204"/>
      <c r="E4396" s="204"/>
      <c r="F4396" s="204"/>
      <c r="G4396" s="204"/>
      <c r="H4396" s="204"/>
      <c r="I4396" s="204"/>
      <c r="J4396" s="204"/>
      <c r="K4396" s="204"/>
      <c r="L4396" s="205"/>
      <c r="M4396" s="205"/>
      <c r="N4396" s="204"/>
      <c r="O4396" s="204"/>
      <c r="P4396" s="206"/>
      <c r="Q4396" s="206"/>
      <c r="R4396" s="206"/>
      <c r="S4396" s="206"/>
      <c r="T4396" s="204"/>
      <c r="U4396" s="207"/>
      <c r="V4396" s="204"/>
      <c r="W4396" s="204"/>
      <c r="X4396" s="207"/>
      <c r="Y4396" s="207"/>
      <c r="Z4396" s="204"/>
      <c r="AA4396" s="204"/>
      <c r="AB4396" s="204"/>
      <c r="AC4396" s="204"/>
    </row>
    <row r="4397" spans="1:29">
      <c r="A4397" s="204"/>
      <c r="B4397" s="204"/>
      <c r="C4397" s="204"/>
      <c r="D4397" s="204"/>
      <c r="E4397" s="204"/>
      <c r="F4397" s="204"/>
      <c r="G4397" s="204"/>
      <c r="H4397" s="204"/>
      <c r="I4397" s="204"/>
      <c r="J4397" s="204"/>
      <c r="K4397" s="204"/>
      <c r="L4397" s="205"/>
      <c r="M4397" s="205"/>
      <c r="N4397" s="204"/>
      <c r="O4397" s="204"/>
      <c r="P4397" s="206"/>
      <c r="Q4397" s="206"/>
      <c r="R4397" s="206"/>
      <c r="S4397" s="206"/>
      <c r="T4397" s="204"/>
      <c r="U4397" s="207"/>
      <c r="V4397" s="204"/>
      <c r="W4397" s="204"/>
      <c r="X4397" s="207"/>
      <c r="Y4397" s="207"/>
      <c r="Z4397" s="204"/>
      <c r="AA4397" s="204"/>
      <c r="AB4397" s="204"/>
      <c r="AC4397" s="204"/>
    </row>
    <row r="4398" spans="1:29">
      <c r="A4398" s="204"/>
      <c r="B4398" s="204"/>
      <c r="C4398" s="204"/>
      <c r="D4398" s="204"/>
      <c r="E4398" s="204"/>
      <c r="F4398" s="204"/>
      <c r="G4398" s="204"/>
      <c r="H4398" s="204"/>
      <c r="I4398" s="204"/>
      <c r="J4398" s="204"/>
      <c r="K4398" s="204"/>
      <c r="L4398" s="205"/>
      <c r="M4398" s="205"/>
      <c r="N4398" s="204"/>
      <c r="O4398" s="204"/>
      <c r="P4398" s="206"/>
      <c r="Q4398" s="206"/>
      <c r="R4398" s="206"/>
      <c r="S4398" s="206"/>
      <c r="T4398" s="204"/>
      <c r="U4398" s="207"/>
      <c r="V4398" s="204"/>
      <c r="W4398" s="204"/>
      <c r="X4398" s="207"/>
      <c r="Y4398" s="207"/>
      <c r="Z4398" s="204"/>
      <c r="AA4398" s="204"/>
      <c r="AB4398" s="204"/>
      <c r="AC4398" s="204"/>
    </row>
    <row r="4399" spans="1:29">
      <c r="A4399" s="204"/>
      <c r="B4399" s="204"/>
      <c r="C4399" s="204"/>
      <c r="D4399" s="204"/>
      <c r="E4399" s="204"/>
      <c r="F4399" s="204"/>
      <c r="G4399" s="204"/>
      <c r="H4399" s="204"/>
      <c r="I4399" s="204"/>
      <c r="J4399" s="204"/>
      <c r="K4399" s="204"/>
      <c r="L4399" s="205"/>
      <c r="M4399" s="205"/>
      <c r="N4399" s="204"/>
      <c r="O4399" s="204"/>
      <c r="P4399" s="206"/>
      <c r="Q4399" s="206"/>
      <c r="R4399" s="206"/>
      <c r="S4399" s="206"/>
      <c r="T4399" s="204"/>
      <c r="U4399" s="207"/>
      <c r="V4399" s="204"/>
      <c r="W4399" s="204"/>
      <c r="X4399" s="207"/>
      <c r="Y4399" s="207"/>
      <c r="Z4399" s="204"/>
      <c r="AA4399" s="204"/>
      <c r="AB4399" s="204"/>
      <c r="AC4399" s="204"/>
    </row>
    <row r="4400" spans="1:29">
      <c r="A4400" s="204"/>
      <c r="B4400" s="204"/>
      <c r="C4400" s="204"/>
      <c r="D4400" s="204"/>
      <c r="E4400" s="204"/>
      <c r="F4400" s="204"/>
      <c r="G4400" s="204"/>
      <c r="H4400" s="204"/>
      <c r="I4400" s="204"/>
      <c r="J4400" s="204"/>
      <c r="K4400" s="204"/>
      <c r="L4400" s="205"/>
      <c r="M4400" s="205"/>
      <c r="N4400" s="204"/>
      <c r="O4400" s="204"/>
      <c r="P4400" s="206"/>
      <c r="Q4400" s="206"/>
      <c r="R4400" s="206"/>
      <c r="S4400" s="206"/>
      <c r="T4400" s="204"/>
      <c r="U4400" s="207"/>
      <c r="V4400" s="204"/>
      <c r="W4400" s="204"/>
      <c r="X4400" s="207"/>
      <c r="Y4400" s="207"/>
      <c r="Z4400" s="204"/>
      <c r="AA4400" s="204"/>
      <c r="AB4400" s="204"/>
      <c r="AC4400" s="204"/>
    </row>
    <row r="4401" spans="1:29">
      <c r="A4401" s="204"/>
      <c r="B4401" s="204"/>
      <c r="C4401" s="204"/>
      <c r="D4401" s="204"/>
      <c r="E4401" s="204"/>
      <c r="F4401" s="204"/>
      <c r="G4401" s="204"/>
      <c r="H4401" s="204"/>
      <c r="I4401" s="204"/>
      <c r="J4401" s="204"/>
      <c r="K4401" s="204"/>
      <c r="L4401" s="205"/>
      <c r="M4401" s="205"/>
      <c r="N4401" s="204"/>
      <c r="O4401" s="204"/>
      <c r="P4401" s="206"/>
      <c r="Q4401" s="206"/>
      <c r="R4401" s="206"/>
      <c r="S4401" s="206"/>
      <c r="T4401" s="204"/>
      <c r="U4401" s="207"/>
      <c r="V4401" s="204"/>
      <c r="W4401" s="204"/>
      <c r="X4401" s="207"/>
      <c r="Y4401" s="207"/>
      <c r="Z4401" s="204"/>
      <c r="AA4401" s="204"/>
      <c r="AB4401" s="204"/>
      <c r="AC4401" s="204"/>
    </row>
    <row r="4402" spans="1:29">
      <c r="A4402" s="204"/>
      <c r="B4402" s="204"/>
      <c r="C4402" s="204"/>
      <c r="D4402" s="204"/>
      <c r="E4402" s="204"/>
      <c r="F4402" s="204"/>
      <c r="G4402" s="204"/>
      <c r="H4402" s="204"/>
      <c r="I4402" s="204"/>
      <c r="J4402" s="204"/>
      <c r="K4402" s="204"/>
      <c r="L4402" s="205"/>
      <c r="M4402" s="205"/>
      <c r="N4402" s="204"/>
      <c r="O4402" s="204"/>
      <c r="P4402" s="206"/>
      <c r="Q4402" s="206"/>
      <c r="R4402" s="206"/>
      <c r="S4402" s="206"/>
      <c r="T4402" s="204"/>
      <c r="U4402" s="207"/>
      <c r="V4402" s="204"/>
      <c r="W4402" s="204"/>
      <c r="X4402" s="207"/>
      <c r="Y4402" s="207"/>
      <c r="Z4402" s="204"/>
      <c r="AA4402" s="204"/>
      <c r="AB4402" s="204"/>
      <c r="AC4402" s="204"/>
    </row>
    <row r="4403" spans="1:29">
      <c r="A4403" s="204"/>
      <c r="B4403" s="204"/>
      <c r="C4403" s="204"/>
      <c r="D4403" s="204"/>
      <c r="E4403" s="204"/>
      <c r="F4403" s="204"/>
      <c r="G4403" s="204"/>
      <c r="H4403" s="204"/>
      <c r="I4403" s="204"/>
      <c r="J4403" s="204"/>
      <c r="K4403" s="204"/>
      <c r="L4403" s="205"/>
      <c r="M4403" s="205"/>
      <c r="N4403" s="204"/>
      <c r="O4403" s="204"/>
      <c r="P4403" s="206"/>
      <c r="Q4403" s="206"/>
      <c r="R4403" s="206"/>
      <c r="S4403" s="206"/>
      <c r="T4403" s="204"/>
      <c r="U4403" s="207"/>
      <c r="V4403" s="204"/>
      <c r="W4403" s="204"/>
      <c r="X4403" s="207"/>
      <c r="Y4403" s="207"/>
      <c r="Z4403" s="204"/>
      <c r="AA4403" s="204"/>
      <c r="AB4403" s="204"/>
      <c r="AC4403" s="204"/>
    </row>
    <row r="4404" spans="1:29">
      <c r="A4404" s="204"/>
      <c r="B4404" s="204"/>
      <c r="C4404" s="204"/>
      <c r="D4404" s="204"/>
      <c r="E4404" s="204"/>
      <c r="F4404" s="204"/>
      <c r="G4404" s="204"/>
      <c r="H4404" s="204"/>
      <c r="I4404" s="204"/>
      <c r="J4404" s="204"/>
      <c r="K4404" s="204"/>
      <c r="L4404" s="205"/>
      <c r="M4404" s="205"/>
      <c r="N4404" s="204"/>
      <c r="O4404" s="204"/>
      <c r="P4404" s="206"/>
      <c r="Q4404" s="206"/>
      <c r="R4404" s="206"/>
      <c r="S4404" s="206"/>
      <c r="T4404" s="204"/>
      <c r="U4404" s="207"/>
      <c r="V4404" s="204"/>
      <c r="W4404" s="204"/>
      <c r="X4404" s="207"/>
      <c r="Y4404" s="207"/>
      <c r="Z4404" s="204"/>
      <c r="AA4404" s="204"/>
      <c r="AB4404" s="204"/>
      <c r="AC4404" s="204"/>
    </row>
    <row r="4405" spans="1:29">
      <c r="A4405" s="204"/>
      <c r="B4405" s="204"/>
      <c r="C4405" s="204"/>
      <c r="D4405" s="204"/>
      <c r="E4405" s="204"/>
      <c r="F4405" s="204"/>
      <c r="G4405" s="204"/>
      <c r="H4405" s="204"/>
      <c r="I4405" s="204"/>
      <c r="J4405" s="204"/>
      <c r="K4405" s="204"/>
      <c r="L4405" s="205"/>
      <c r="M4405" s="205"/>
      <c r="N4405" s="204"/>
      <c r="O4405" s="204"/>
      <c r="P4405" s="206"/>
      <c r="Q4405" s="206"/>
      <c r="R4405" s="206"/>
      <c r="S4405" s="206"/>
      <c r="T4405" s="204"/>
      <c r="U4405" s="207"/>
      <c r="V4405" s="204"/>
      <c r="W4405" s="204"/>
      <c r="X4405" s="207"/>
      <c r="Y4405" s="207"/>
      <c r="Z4405" s="204"/>
      <c r="AA4405" s="204"/>
      <c r="AB4405" s="204"/>
      <c r="AC4405" s="204"/>
    </row>
    <row r="4406" spans="1:29">
      <c r="A4406" s="204"/>
      <c r="B4406" s="204"/>
      <c r="C4406" s="204"/>
      <c r="D4406" s="204"/>
      <c r="E4406" s="204"/>
      <c r="F4406" s="204"/>
      <c r="G4406" s="204"/>
      <c r="H4406" s="204"/>
      <c r="I4406" s="204"/>
      <c r="J4406" s="204"/>
      <c r="K4406" s="204"/>
      <c r="L4406" s="205"/>
      <c r="M4406" s="205"/>
      <c r="N4406" s="204"/>
      <c r="O4406" s="204"/>
      <c r="P4406" s="206"/>
      <c r="Q4406" s="206"/>
      <c r="R4406" s="206"/>
      <c r="S4406" s="206"/>
      <c r="T4406" s="204"/>
      <c r="U4406" s="207"/>
      <c r="V4406" s="204"/>
      <c r="W4406" s="204"/>
      <c r="X4406" s="207"/>
      <c r="Y4406" s="207"/>
      <c r="Z4406" s="204"/>
      <c r="AA4406" s="204"/>
      <c r="AB4406" s="204"/>
      <c r="AC4406" s="204"/>
    </row>
    <row r="4407" spans="1:29">
      <c r="A4407" s="204"/>
      <c r="B4407" s="204"/>
      <c r="C4407" s="204"/>
      <c r="D4407" s="204"/>
      <c r="E4407" s="204"/>
      <c r="F4407" s="204"/>
      <c r="G4407" s="204"/>
      <c r="H4407" s="204"/>
      <c r="I4407" s="204"/>
      <c r="J4407" s="204"/>
      <c r="K4407" s="204"/>
      <c r="L4407" s="205"/>
      <c r="M4407" s="205"/>
      <c r="N4407" s="204"/>
      <c r="O4407" s="204"/>
      <c r="P4407" s="206"/>
      <c r="Q4407" s="206"/>
      <c r="R4407" s="206"/>
      <c r="S4407" s="206"/>
      <c r="T4407" s="204"/>
      <c r="U4407" s="207"/>
      <c r="V4407" s="204"/>
      <c r="W4407" s="204"/>
      <c r="X4407" s="207"/>
      <c r="Y4407" s="207"/>
      <c r="Z4407" s="204"/>
      <c r="AA4407" s="204"/>
      <c r="AB4407" s="204"/>
      <c r="AC4407" s="204"/>
    </row>
    <row r="4408" spans="1:29">
      <c r="A4408" s="204"/>
      <c r="B4408" s="204"/>
      <c r="C4408" s="204"/>
      <c r="D4408" s="204"/>
      <c r="E4408" s="204"/>
      <c r="F4408" s="204"/>
      <c r="G4408" s="204"/>
      <c r="H4408" s="204"/>
      <c r="I4408" s="204"/>
      <c r="J4408" s="204"/>
      <c r="K4408" s="204"/>
      <c r="L4408" s="205"/>
      <c r="M4408" s="205"/>
      <c r="N4408" s="204"/>
      <c r="O4408" s="204"/>
      <c r="P4408" s="206"/>
      <c r="Q4408" s="206"/>
      <c r="R4408" s="206"/>
      <c r="S4408" s="206"/>
      <c r="T4408" s="204"/>
      <c r="U4408" s="207"/>
      <c r="V4408" s="204"/>
      <c r="W4408" s="204"/>
      <c r="X4408" s="207"/>
      <c r="Y4408" s="207"/>
      <c r="Z4408" s="204"/>
      <c r="AA4408" s="204"/>
      <c r="AB4408" s="204"/>
      <c r="AC4408" s="204"/>
    </row>
    <row r="4409" spans="1:29">
      <c r="A4409" s="204"/>
      <c r="B4409" s="204"/>
      <c r="C4409" s="204"/>
      <c r="D4409" s="204"/>
      <c r="E4409" s="204"/>
      <c r="F4409" s="204"/>
      <c r="G4409" s="204"/>
      <c r="H4409" s="204"/>
      <c r="I4409" s="204"/>
      <c r="J4409" s="204"/>
      <c r="K4409" s="204"/>
      <c r="L4409" s="205"/>
      <c r="M4409" s="205"/>
      <c r="N4409" s="204"/>
      <c r="O4409" s="204"/>
      <c r="P4409" s="206"/>
      <c r="Q4409" s="206"/>
      <c r="R4409" s="206"/>
      <c r="S4409" s="206"/>
      <c r="T4409" s="204"/>
      <c r="U4409" s="207"/>
      <c r="V4409" s="204"/>
      <c r="W4409" s="204"/>
      <c r="X4409" s="207"/>
      <c r="Y4409" s="207"/>
      <c r="Z4409" s="204"/>
      <c r="AA4409" s="204"/>
      <c r="AB4409" s="204"/>
      <c r="AC4409" s="204"/>
    </row>
    <row r="4410" spans="1:29">
      <c r="A4410" s="204"/>
      <c r="B4410" s="204"/>
      <c r="C4410" s="204"/>
      <c r="D4410" s="204"/>
      <c r="E4410" s="204"/>
      <c r="F4410" s="204"/>
      <c r="G4410" s="204"/>
      <c r="H4410" s="204"/>
      <c r="I4410" s="204"/>
      <c r="J4410" s="204"/>
      <c r="K4410" s="204"/>
      <c r="L4410" s="205"/>
      <c r="M4410" s="205"/>
      <c r="N4410" s="204"/>
      <c r="O4410" s="204"/>
      <c r="P4410" s="206"/>
      <c r="Q4410" s="206"/>
      <c r="R4410" s="206"/>
      <c r="S4410" s="206"/>
      <c r="T4410" s="204"/>
      <c r="U4410" s="207"/>
      <c r="V4410" s="204"/>
      <c r="W4410" s="204"/>
      <c r="X4410" s="207"/>
      <c r="Y4410" s="207"/>
      <c r="Z4410" s="204"/>
      <c r="AA4410" s="204"/>
      <c r="AB4410" s="204"/>
      <c r="AC4410" s="204"/>
    </row>
    <row r="4411" spans="1:29">
      <c r="A4411" s="204"/>
      <c r="B4411" s="204"/>
      <c r="C4411" s="204"/>
      <c r="D4411" s="204"/>
      <c r="E4411" s="204"/>
      <c r="F4411" s="204"/>
      <c r="G4411" s="204"/>
      <c r="H4411" s="204"/>
      <c r="I4411" s="204"/>
      <c r="J4411" s="204"/>
      <c r="K4411" s="204"/>
      <c r="L4411" s="205"/>
      <c r="M4411" s="205"/>
      <c r="N4411" s="204"/>
      <c r="O4411" s="204"/>
      <c r="P4411" s="206"/>
      <c r="Q4411" s="206"/>
      <c r="R4411" s="206"/>
      <c r="S4411" s="206"/>
      <c r="T4411" s="204"/>
      <c r="U4411" s="207"/>
      <c r="V4411" s="204"/>
      <c r="W4411" s="204"/>
      <c r="X4411" s="207"/>
      <c r="Y4411" s="207"/>
      <c r="Z4411" s="204"/>
      <c r="AA4411" s="204"/>
      <c r="AB4411" s="204"/>
      <c r="AC4411" s="204"/>
    </row>
    <row r="4412" spans="1:29">
      <c r="A4412" s="204"/>
      <c r="B4412" s="204"/>
      <c r="C4412" s="204"/>
      <c r="D4412" s="204"/>
      <c r="E4412" s="204"/>
      <c r="F4412" s="204"/>
      <c r="G4412" s="204"/>
      <c r="H4412" s="204"/>
      <c r="I4412" s="204"/>
      <c r="J4412" s="204"/>
      <c r="K4412" s="204"/>
      <c r="L4412" s="205"/>
      <c r="M4412" s="205"/>
      <c r="N4412" s="204"/>
      <c r="O4412" s="204"/>
      <c r="P4412" s="206"/>
      <c r="Q4412" s="206"/>
      <c r="R4412" s="206"/>
      <c r="S4412" s="206"/>
      <c r="T4412" s="204"/>
      <c r="U4412" s="207"/>
      <c r="V4412" s="204"/>
      <c r="W4412" s="204"/>
      <c r="X4412" s="207"/>
      <c r="Y4412" s="207"/>
      <c r="Z4412" s="204"/>
      <c r="AA4412" s="204"/>
      <c r="AB4412" s="204"/>
      <c r="AC4412" s="204"/>
    </row>
    <row r="4413" spans="1:29">
      <c r="A4413" s="204"/>
      <c r="B4413" s="204"/>
      <c r="C4413" s="204"/>
      <c r="D4413" s="204"/>
      <c r="E4413" s="204"/>
      <c r="F4413" s="204"/>
      <c r="G4413" s="204"/>
      <c r="H4413" s="204"/>
      <c r="I4413" s="204"/>
      <c r="J4413" s="204"/>
      <c r="K4413" s="204"/>
      <c r="L4413" s="205"/>
      <c r="M4413" s="205"/>
      <c r="N4413" s="204"/>
      <c r="O4413" s="204"/>
      <c r="P4413" s="206"/>
      <c r="Q4413" s="206"/>
      <c r="R4413" s="206"/>
      <c r="S4413" s="206"/>
      <c r="T4413" s="204"/>
      <c r="U4413" s="207"/>
      <c r="V4413" s="204"/>
      <c r="W4413" s="204"/>
      <c r="X4413" s="207"/>
      <c r="Y4413" s="207"/>
      <c r="Z4413" s="204"/>
      <c r="AA4413" s="204"/>
      <c r="AB4413" s="204"/>
      <c r="AC4413" s="204"/>
    </row>
    <row r="4414" spans="1:29">
      <c r="A4414" s="204"/>
      <c r="B4414" s="204"/>
      <c r="C4414" s="204"/>
      <c r="D4414" s="204"/>
      <c r="E4414" s="204"/>
      <c r="F4414" s="204"/>
      <c r="G4414" s="204"/>
      <c r="H4414" s="204"/>
      <c r="I4414" s="204"/>
      <c r="J4414" s="204"/>
      <c r="K4414" s="204"/>
      <c r="L4414" s="205"/>
      <c r="M4414" s="205"/>
      <c r="N4414" s="204"/>
      <c r="O4414" s="204"/>
      <c r="P4414" s="206"/>
      <c r="Q4414" s="206"/>
      <c r="R4414" s="206"/>
      <c r="S4414" s="206"/>
      <c r="T4414" s="204"/>
      <c r="U4414" s="207"/>
      <c r="V4414" s="204"/>
      <c r="W4414" s="204"/>
      <c r="X4414" s="207"/>
      <c r="Y4414" s="207"/>
      <c r="Z4414" s="204"/>
      <c r="AA4414" s="204"/>
      <c r="AB4414" s="204"/>
      <c r="AC4414" s="204"/>
    </row>
    <row r="4415" spans="1:29">
      <c r="A4415" s="204"/>
      <c r="B4415" s="204"/>
      <c r="C4415" s="204"/>
      <c r="D4415" s="204"/>
      <c r="E4415" s="204"/>
      <c r="F4415" s="204"/>
      <c r="G4415" s="204"/>
      <c r="H4415" s="204"/>
      <c r="I4415" s="204"/>
      <c r="J4415" s="204"/>
      <c r="K4415" s="204"/>
      <c r="L4415" s="205"/>
      <c r="M4415" s="205"/>
      <c r="N4415" s="204"/>
      <c r="O4415" s="204"/>
      <c r="P4415" s="206"/>
      <c r="Q4415" s="206"/>
      <c r="R4415" s="206"/>
      <c r="S4415" s="206"/>
      <c r="T4415" s="204"/>
      <c r="U4415" s="207"/>
      <c r="V4415" s="204"/>
      <c r="W4415" s="204"/>
      <c r="X4415" s="207"/>
      <c r="Y4415" s="207"/>
      <c r="Z4415" s="204"/>
      <c r="AA4415" s="204"/>
      <c r="AB4415" s="204"/>
      <c r="AC4415" s="204"/>
    </row>
    <row r="4416" spans="1:29">
      <c r="A4416" s="204"/>
      <c r="B4416" s="204"/>
      <c r="C4416" s="204"/>
      <c r="D4416" s="204"/>
      <c r="E4416" s="204"/>
      <c r="F4416" s="204"/>
      <c r="G4416" s="204"/>
      <c r="H4416" s="204"/>
      <c r="I4416" s="204"/>
      <c r="J4416" s="204"/>
      <c r="K4416" s="204"/>
      <c r="L4416" s="205"/>
      <c r="M4416" s="205"/>
      <c r="N4416" s="204"/>
      <c r="O4416" s="204"/>
      <c r="P4416" s="206"/>
      <c r="Q4416" s="206"/>
      <c r="R4416" s="206"/>
      <c r="S4416" s="206"/>
      <c r="T4416" s="204"/>
      <c r="U4416" s="207"/>
      <c r="V4416" s="204"/>
      <c r="W4416" s="204"/>
      <c r="X4416" s="207"/>
      <c r="Y4416" s="207"/>
      <c r="Z4416" s="204"/>
      <c r="AA4416" s="204"/>
      <c r="AB4416" s="204"/>
      <c r="AC4416" s="204"/>
    </row>
    <row r="4417" spans="1:29">
      <c r="A4417" s="204"/>
      <c r="B4417" s="204"/>
      <c r="C4417" s="204"/>
      <c r="D4417" s="204"/>
      <c r="E4417" s="204"/>
      <c r="F4417" s="204"/>
      <c r="G4417" s="204"/>
      <c r="H4417" s="204"/>
      <c r="I4417" s="204"/>
      <c r="J4417" s="204"/>
      <c r="K4417" s="204"/>
      <c r="L4417" s="205"/>
      <c r="M4417" s="205"/>
      <c r="N4417" s="204"/>
      <c r="O4417" s="204"/>
      <c r="P4417" s="206"/>
      <c r="Q4417" s="206"/>
      <c r="R4417" s="206"/>
      <c r="S4417" s="206"/>
      <c r="T4417" s="204"/>
      <c r="U4417" s="207"/>
      <c r="V4417" s="204"/>
      <c r="W4417" s="204"/>
      <c r="X4417" s="207"/>
      <c r="Y4417" s="207"/>
      <c r="Z4417" s="204"/>
      <c r="AA4417" s="204"/>
      <c r="AB4417" s="204"/>
      <c r="AC4417" s="204"/>
    </row>
    <row r="4418" spans="1:29">
      <c r="A4418" s="204"/>
      <c r="B4418" s="204"/>
      <c r="C4418" s="204"/>
      <c r="D4418" s="204"/>
      <c r="E4418" s="204"/>
      <c r="F4418" s="204"/>
      <c r="G4418" s="204"/>
      <c r="H4418" s="204"/>
      <c r="I4418" s="204"/>
      <c r="J4418" s="204"/>
      <c r="K4418" s="204"/>
      <c r="L4418" s="205"/>
      <c r="M4418" s="205"/>
      <c r="N4418" s="204"/>
      <c r="O4418" s="204"/>
      <c r="P4418" s="206"/>
      <c r="Q4418" s="206"/>
      <c r="R4418" s="206"/>
      <c r="S4418" s="206"/>
      <c r="T4418" s="204"/>
      <c r="U4418" s="207"/>
      <c r="V4418" s="204"/>
      <c r="W4418" s="204"/>
      <c r="X4418" s="207"/>
      <c r="Y4418" s="207"/>
      <c r="Z4418" s="204"/>
      <c r="AA4418" s="204"/>
      <c r="AB4418" s="204"/>
      <c r="AC4418" s="204"/>
    </row>
    <row r="4419" spans="1:29">
      <c r="A4419" s="204"/>
      <c r="B4419" s="204"/>
      <c r="C4419" s="204"/>
      <c r="D4419" s="204"/>
      <c r="E4419" s="204"/>
      <c r="F4419" s="204"/>
      <c r="G4419" s="204"/>
      <c r="H4419" s="204"/>
      <c r="I4419" s="204"/>
      <c r="J4419" s="204"/>
      <c r="K4419" s="204"/>
      <c r="L4419" s="205"/>
      <c r="M4419" s="205"/>
      <c r="N4419" s="204"/>
      <c r="O4419" s="204"/>
      <c r="P4419" s="206"/>
      <c r="Q4419" s="206"/>
      <c r="R4419" s="206"/>
      <c r="S4419" s="206"/>
      <c r="T4419" s="204"/>
      <c r="U4419" s="207"/>
      <c r="V4419" s="204"/>
      <c r="W4419" s="204"/>
      <c r="X4419" s="207"/>
      <c r="Y4419" s="207"/>
      <c r="Z4419" s="204"/>
      <c r="AA4419" s="204"/>
      <c r="AB4419" s="204"/>
      <c r="AC4419" s="204"/>
    </row>
    <row r="4420" spans="1:29">
      <c r="A4420" s="204"/>
      <c r="B4420" s="204"/>
      <c r="C4420" s="204"/>
      <c r="D4420" s="204"/>
      <c r="E4420" s="204"/>
      <c r="F4420" s="204"/>
      <c r="G4420" s="204"/>
      <c r="H4420" s="204"/>
      <c r="I4420" s="204"/>
      <c r="J4420" s="204"/>
      <c r="K4420" s="204"/>
      <c r="L4420" s="205"/>
      <c r="M4420" s="205"/>
      <c r="N4420" s="204"/>
      <c r="O4420" s="204"/>
      <c r="P4420" s="206"/>
      <c r="Q4420" s="206"/>
      <c r="R4420" s="206"/>
      <c r="S4420" s="206"/>
      <c r="T4420" s="204"/>
      <c r="U4420" s="207"/>
      <c r="V4420" s="204"/>
      <c r="W4420" s="204"/>
      <c r="X4420" s="207"/>
      <c r="Y4420" s="207"/>
      <c r="Z4420" s="204"/>
      <c r="AA4420" s="204"/>
      <c r="AB4420" s="204"/>
      <c r="AC4420" s="204"/>
    </row>
    <row r="4421" spans="1:29">
      <c r="A4421" s="204"/>
      <c r="B4421" s="204"/>
      <c r="C4421" s="204"/>
      <c r="D4421" s="204"/>
      <c r="E4421" s="204"/>
      <c r="F4421" s="204"/>
      <c r="G4421" s="204"/>
      <c r="H4421" s="204"/>
      <c r="I4421" s="204"/>
      <c r="J4421" s="204"/>
      <c r="K4421" s="204"/>
      <c r="L4421" s="205"/>
      <c r="M4421" s="205"/>
      <c r="N4421" s="204"/>
      <c r="O4421" s="204"/>
      <c r="P4421" s="206"/>
      <c r="Q4421" s="206"/>
      <c r="R4421" s="206"/>
      <c r="S4421" s="206"/>
      <c r="T4421" s="204"/>
      <c r="U4421" s="207"/>
      <c r="V4421" s="204"/>
      <c r="W4421" s="204"/>
      <c r="X4421" s="207"/>
      <c r="Y4421" s="207"/>
      <c r="Z4421" s="204"/>
      <c r="AA4421" s="204"/>
      <c r="AB4421" s="204"/>
      <c r="AC4421" s="204"/>
    </row>
    <row r="4422" spans="1:29">
      <c r="A4422" s="204"/>
      <c r="B4422" s="204"/>
      <c r="C4422" s="204"/>
      <c r="D4422" s="204"/>
      <c r="E4422" s="204"/>
      <c r="F4422" s="204"/>
      <c r="G4422" s="204"/>
      <c r="H4422" s="204"/>
      <c r="I4422" s="204"/>
      <c r="J4422" s="204"/>
      <c r="K4422" s="204"/>
      <c r="L4422" s="205"/>
      <c r="M4422" s="205"/>
      <c r="N4422" s="204"/>
      <c r="O4422" s="204"/>
      <c r="P4422" s="206"/>
      <c r="Q4422" s="206"/>
      <c r="R4422" s="206"/>
      <c r="S4422" s="206"/>
      <c r="T4422" s="204"/>
      <c r="U4422" s="207"/>
      <c r="V4422" s="204"/>
      <c r="W4422" s="204"/>
      <c r="X4422" s="207"/>
      <c r="Y4422" s="207"/>
      <c r="Z4422" s="204"/>
      <c r="AA4422" s="204"/>
      <c r="AB4422" s="204"/>
      <c r="AC4422" s="204"/>
    </row>
    <row r="4423" spans="1:29">
      <c r="A4423" s="204"/>
      <c r="B4423" s="204"/>
      <c r="C4423" s="204"/>
      <c r="D4423" s="204"/>
      <c r="E4423" s="204"/>
      <c r="F4423" s="204"/>
      <c r="G4423" s="204"/>
      <c r="H4423" s="204"/>
      <c r="I4423" s="204"/>
      <c r="J4423" s="204"/>
      <c r="K4423" s="204"/>
      <c r="L4423" s="205"/>
      <c r="M4423" s="205"/>
      <c r="N4423" s="204"/>
      <c r="O4423" s="204"/>
      <c r="P4423" s="206"/>
      <c r="Q4423" s="206"/>
      <c r="R4423" s="206"/>
      <c r="S4423" s="206"/>
      <c r="T4423" s="204"/>
      <c r="U4423" s="207"/>
      <c r="V4423" s="204"/>
      <c r="W4423" s="204"/>
      <c r="X4423" s="207"/>
      <c r="Y4423" s="207"/>
      <c r="Z4423" s="204"/>
      <c r="AA4423" s="204"/>
      <c r="AB4423" s="204"/>
      <c r="AC4423" s="204"/>
    </row>
    <row r="4424" spans="1:29">
      <c r="A4424" s="204"/>
      <c r="B4424" s="204"/>
      <c r="C4424" s="204"/>
      <c r="D4424" s="204"/>
      <c r="E4424" s="204"/>
      <c r="F4424" s="204"/>
      <c r="G4424" s="204"/>
      <c r="H4424" s="204"/>
      <c r="I4424" s="204"/>
      <c r="J4424" s="204"/>
      <c r="K4424" s="204"/>
      <c r="L4424" s="205"/>
      <c r="M4424" s="205"/>
      <c r="N4424" s="204"/>
      <c r="O4424" s="204"/>
      <c r="P4424" s="206"/>
      <c r="Q4424" s="206"/>
      <c r="R4424" s="206"/>
      <c r="S4424" s="206"/>
      <c r="T4424" s="204"/>
      <c r="U4424" s="207"/>
      <c r="V4424" s="204"/>
      <c r="W4424" s="204"/>
      <c r="X4424" s="207"/>
      <c r="Y4424" s="207"/>
      <c r="Z4424" s="204"/>
      <c r="AA4424" s="204"/>
      <c r="AB4424" s="204"/>
      <c r="AC4424" s="204"/>
    </row>
    <row r="4425" spans="1:29">
      <c r="A4425" s="204"/>
      <c r="B4425" s="204"/>
      <c r="C4425" s="204"/>
      <c r="D4425" s="204"/>
      <c r="E4425" s="204"/>
      <c r="F4425" s="204"/>
      <c r="G4425" s="204"/>
      <c r="H4425" s="204"/>
      <c r="I4425" s="204"/>
      <c r="J4425" s="204"/>
      <c r="K4425" s="204"/>
      <c r="L4425" s="205"/>
      <c r="M4425" s="205"/>
      <c r="N4425" s="204"/>
      <c r="O4425" s="204"/>
      <c r="P4425" s="206"/>
      <c r="Q4425" s="206"/>
      <c r="R4425" s="206"/>
      <c r="S4425" s="206"/>
      <c r="T4425" s="204"/>
      <c r="U4425" s="207"/>
      <c r="V4425" s="204"/>
      <c r="W4425" s="204"/>
      <c r="X4425" s="207"/>
      <c r="Y4425" s="207"/>
      <c r="Z4425" s="204"/>
      <c r="AA4425" s="204"/>
      <c r="AB4425" s="204"/>
      <c r="AC4425" s="204"/>
    </row>
    <row r="4426" spans="1:29">
      <c r="A4426" s="204"/>
      <c r="B4426" s="204"/>
      <c r="C4426" s="204"/>
      <c r="D4426" s="204"/>
      <c r="E4426" s="204"/>
      <c r="F4426" s="204"/>
      <c r="G4426" s="204"/>
      <c r="H4426" s="204"/>
      <c r="I4426" s="204"/>
      <c r="J4426" s="204"/>
      <c r="K4426" s="204"/>
      <c r="L4426" s="205"/>
      <c r="M4426" s="205"/>
      <c r="N4426" s="204"/>
      <c r="O4426" s="204"/>
      <c r="P4426" s="206"/>
      <c r="Q4426" s="206"/>
      <c r="R4426" s="206"/>
      <c r="S4426" s="206"/>
      <c r="T4426" s="204"/>
      <c r="U4426" s="207"/>
      <c r="V4426" s="204"/>
      <c r="W4426" s="204"/>
      <c r="X4426" s="207"/>
      <c r="Y4426" s="207"/>
      <c r="Z4426" s="204"/>
      <c r="AA4426" s="204"/>
      <c r="AB4426" s="204"/>
      <c r="AC4426" s="204"/>
    </row>
    <row r="4427" spans="1:29">
      <c r="A4427" s="204"/>
      <c r="B4427" s="204"/>
      <c r="C4427" s="204"/>
      <c r="D4427" s="204"/>
      <c r="E4427" s="204"/>
      <c r="F4427" s="204"/>
      <c r="G4427" s="204"/>
      <c r="H4427" s="204"/>
      <c r="I4427" s="204"/>
      <c r="J4427" s="204"/>
      <c r="K4427" s="204"/>
      <c r="L4427" s="205"/>
      <c r="M4427" s="205"/>
      <c r="N4427" s="204"/>
      <c r="O4427" s="204"/>
      <c r="P4427" s="206"/>
      <c r="Q4427" s="206"/>
      <c r="R4427" s="206"/>
      <c r="S4427" s="206"/>
      <c r="T4427" s="204"/>
      <c r="U4427" s="207"/>
      <c r="V4427" s="204"/>
      <c r="W4427" s="204"/>
      <c r="X4427" s="207"/>
      <c r="Y4427" s="207"/>
      <c r="Z4427" s="204"/>
      <c r="AA4427" s="204"/>
      <c r="AB4427" s="204"/>
      <c r="AC4427" s="204"/>
    </row>
    <row r="4428" spans="1:29">
      <c r="A4428" s="204"/>
      <c r="B4428" s="204"/>
      <c r="C4428" s="204"/>
      <c r="D4428" s="204"/>
      <c r="E4428" s="204"/>
      <c r="F4428" s="204"/>
      <c r="G4428" s="204"/>
      <c r="H4428" s="204"/>
      <c r="I4428" s="204"/>
      <c r="J4428" s="204"/>
      <c r="K4428" s="204"/>
      <c r="L4428" s="205"/>
      <c r="M4428" s="205"/>
      <c r="N4428" s="204"/>
      <c r="O4428" s="204"/>
      <c r="P4428" s="206"/>
      <c r="Q4428" s="206"/>
      <c r="R4428" s="206"/>
      <c r="S4428" s="206"/>
      <c r="T4428" s="204"/>
      <c r="U4428" s="207"/>
      <c r="V4428" s="204"/>
      <c r="W4428" s="204"/>
      <c r="X4428" s="207"/>
      <c r="Y4428" s="207"/>
      <c r="Z4428" s="204"/>
      <c r="AA4428" s="204"/>
      <c r="AB4428" s="204"/>
      <c r="AC4428" s="204"/>
    </row>
    <row r="4429" spans="1:29">
      <c r="A4429" s="204"/>
      <c r="B4429" s="204"/>
      <c r="C4429" s="204"/>
      <c r="D4429" s="204"/>
      <c r="E4429" s="204"/>
      <c r="F4429" s="204"/>
      <c r="G4429" s="204"/>
      <c r="H4429" s="204"/>
      <c r="I4429" s="204"/>
      <c r="J4429" s="204"/>
      <c r="K4429" s="204"/>
      <c r="L4429" s="205"/>
      <c r="M4429" s="205"/>
      <c r="N4429" s="204"/>
      <c r="O4429" s="204"/>
      <c r="P4429" s="206"/>
      <c r="Q4429" s="206"/>
      <c r="R4429" s="206"/>
      <c r="S4429" s="206"/>
      <c r="T4429" s="204"/>
      <c r="U4429" s="207"/>
      <c r="V4429" s="204"/>
      <c r="W4429" s="204"/>
      <c r="X4429" s="207"/>
      <c r="Y4429" s="207"/>
      <c r="Z4429" s="204"/>
      <c r="AA4429" s="204"/>
      <c r="AB4429" s="204"/>
      <c r="AC4429" s="204"/>
    </row>
    <row r="4430" spans="1:29">
      <c r="A4430" s="204"/>
      <c r="B4430" s="204"/>
      <c r="C4430" s="204"/>
      <c r="D4430" s="204"/>
      <c r="E4430" s="204"/>
      <c r="F4430" s="204"/>
      <c r="G4430" s="204"/>
      <c r="H4430" s="204"/>
      <c r="I4430" s="204"/>
      <c r="J4430" s="204"/>
      <c r="K4430" s="204"/>
      <c r="L4430" s="205"/>
      <c r="M4430" s="205"/>
      <c r="N4430" s="204"/>
      <c r="O4430" s="204"/>
      <c r="P4430" s="206"/>
      <c r="Q4430" s="206"/>
      <c r="R4430" s="206"/>
      <c r="S4430" s="206"/>
      <c r="T4430" s="204"/>
      <c r="U4430" s="207"/>
      <c r="V4430" s="204"/>
      <c r="W4430" s="204"/>
      <c r="X4430" s="207"/>
      <c r="Y4430" s="207"/>
      <c r="Z4430" s="204"/>
      <c r="AA4430" s="204"/>
      <c r="AB4430" s="204"/>
      <c r="AC4430" s="204"/>
    </row>
    <row r="4431" spans="1:29">
      <c r="A4431" s="204"/>
      <c r="B4431" s="204"/>
      <c r="C4431" s="204"/>
      <c r="D4431" s="204"/>
      <c r="E4431" s="204"/>
      <c r="F4431" s="204"/>
      <c r="G4431" s="204"/>
      <c r="H4431" s="204"/>
      <c r="I4431" s="204"/>
      <c r="J4431" s="204"/>
      <c r="K4431" s="204"/>
      <c r="L4431" s="205"/>
      <c r="M4431" s="205"/>
      <c r="N4431" s="204"/>
      <c r="O4431" s="204"/>
      <c r="P4431" s="206"/>
      <c r="Q4431" s="206"/>
      <c r="R4431" s="206"/>
      <c r="S4431" s="206"/>
      <c r="T4431" s="204"/>
      <c r="U4431" s="207"/>
      <c r="V4431" s="204"/>
      <c r="W4431" s="204"/>
      <c r="X4431" s="207"/>
      <c r="Y4431" s="207"/>
      <c r="Z4431" s="204"/>
      <c r="AA4431" s="204"/>
      <c r="AB4431" s="204"/>
      <c r="AC4431" s="204"/>
    </row>
    <row r="4432" spans="1:29">
      <c r="A4432" s="204"/>
      <c r="B4432" s="204"/>
      <c r="C4432" s="204"/>
      <c r="D4432" s="204"/>
      <c r="E4432" s="204"/>
      <c r="F4432" s="204"/>
      <c r="G4432" s="204"/>
      <c r="H4432" s="204"/>
      <c r="I4432" s="204"/>
      <c r="J4432" s="204"/>
      <c r="K4432" s="204"/>
      <c r="L4432" s="205"/>
      <c r="M4432" s="205"/>
      <c r="N4432" s="204"/>
      <c r="O4432" s="204"/>
      <c r="P4432" s="206"/>
      <c r="Q4432" s="206"/>
      <c r="R4432" s="206"/>
      <c r="S4432" s="206"/>
      <c r="T4432" s="204"/>
      <c r="U4432" s="207"/>
      <c r="V4432" s="204"/>
      <c r="W4432" s="204"/>
      <c r="X4432" s="207"/>
      <c r="Y4432" s="207"/>
      <c r="Z4432" s="204"/>
      <c r="AA4432" s="204"/>
      <c r="AB4432" s="204"/>
      <c r="AC4432" s="204"/>
    </row>
    <row r="4433" spans="1:29">
      <c r="A4433" s="204"/>
      <c r="B4433" s="204"/>
      <c r="C4433" s="204"/>
      <c r="D4433" s="204"/>
      <c r="E4433" s="204"/>
      <c r="F4433" s="204"/>
      <c r="G4433" s="204"/>
      <c r="H4433" s="204"/>
      <c r="I4433" s="204"/>
      <c r="J4433" s="204"/>
      <c r="K4433" s="204"/>
      <c r="L4433" s="205"/>
      <c r="M4433" s="205"/>
      <c r="N4433" s="204"/>
      <c r="O4433" s="204"/>
      <c r="P4433" s="206"/>
      <c r="Q4433" s="206"/>
      <c r="R4433" s="206"/>
      <c r="S4433" s="206"/>
      <c r="T4433" s="204"/>
      <c r="U4433" s="207"/>
      <c r="V4433" s="204"/>
      <c r="W4433" s="204"/>
      <c r="X4433" s="207"/>
      <c r="Y4433" s="207"/>
      <c r="Z4433" s="204"/>
      <c r="AA4433" s="204"/>
      <c r="AB4433" s="204"/>
      <c r="AC4433" s="204"/>
    </row>
    <row r="4434" spans="1:29">
      <c r="A4434" s="204"/>
      <c r="B4434" s="204"/>
      <c r="C4434" s="204"/>
      <c r="D4434" s="204"/>
      <c r="E4434" s="204"/>
      <c r="F4434" s="204"/>
      <c r="G4434" s="204"/>
      <c r="H4434" s="204"/>
      <c r="I4434" s="204"/>
      <c r="J4434" s="204"/>
      <c r="K4434" s="204"/>
      <c r="L4434" s="205"/>
      <c r="M4434" s="205"/>
      <c r="N4434" s="204"/>
      <c r="O4434" s="204"/>
      <c r="P4434" s="206"/>
      <c r="Q4434" s="206"/>
      <c r="R4434" s="206"/>
      <c r="S4434" s="206"/>
      <c r="T4434" s="204"/>
      <c r="U4434" s="207"/>
      <c r="V4434" s="204"/>
      <c r="W4434" s="204"/>
      <c r="X4434" s="207"/>
      <c r="Y4434" s="207"/>
      <c r="Z4434" s="204"/>
      <c r="AA4434" s="204"/>
      <c r="AB4434" s="204"/>
      <c r="AC4434" s="204"/>
    </row>
    <row r="4435" spans="1:29">
      <c r="A4435" s="204"/>
      <c r="B4435" s="204"/>
      <c r="C4435" s="204"/>
      <c r="D4435" s="204"/>
      <c r="E4435" s="204"/>
      <c r="F4435" s="204"/>
      <c r="G4435" s="204"/>
      <c r="H4435" s="204"/>
      <c r="I4435" s="204"/>
      <c r="J4435" s="204"/>
      <c r="K4435" s="204"/>
      <c r="L4435" s="205"/>
      <c r="M4435" s="205"/>
      <c r="N4435" s="204"/>
      <c r="O4435" s="204"/>
      <c r="P4435" s="206"/>
      <c r="Q4435" s="206"/>
      <c r="R4435" s="206"/>
      <c r="S4435" s="206"/>
      <c r="T4435" s="204"/>
      <c r="U4435" s="207"/>
      <c r="V4435" s="204"/>
      <c r="W4435" s="204"/>
      <c r="X4435" s="207"/>
      <c r="Y4435" s="207"/>
      <c r="Z4435" s="204"/>
      <c r="AA4435" s="204"/>
      <c r="AB4435" s="204"/>
      <c r="AC4435" s="204"/>
    </row>
    <row r="4436" spans="1:29">
      <c r="A4436" s="204"/>
      <c r="B4436" s="204"/>
      <c r="C4436" s="204"/>
      <c r="D4436" s="204"/>
      <c r="E4436" s="204"/>
      <c r="F4436" s="204"/>
      <c r="G4436" s="204"/>
      <c r="H4436" s="204"/>
      <c r="I4436" s="204"/>
      <c r="J4436" s="204"/>
      <c r="K4436" s="204"/>
      <c r="L4436" s="205"/>
      <c r="M4436" s="205"/>
      <c r="N4436" s="204"/>
      <c r="O4436" s="204"/>
      <c r="P4436" s="206"/>
      <c r="Q4436" s="206"/>
      <c r="R4436" s="206"/>
      <c r="S4436" s="206"/>
      <c r="T4436" s="204"/>
      <c r="U4436" s="207"/>
      <c r="V4436" s="204"/>
      <c r="W4436" s="204"/>
      <c r="X4436" s="207"/>
      <c r="Y4436" s="207"/>
      <c r="Z4436" s="204"/>
      <c r="AA4436" s="204"/>
      <c r="AB4436" s="204"/>
      <c r="AC4436" s="204"/>
    </row>
    <row r="4437" spans="1:29">
      <c r="A4437" s="204"/>
      <c r="B4437" s="204"/>
      <c r="C4437" s="204"/>
      <c r="D4437" s="204"/>
      <c r="E4437" s="204"/>
      <c r="F4437" s="204"/>
      <c r="G4437" s="204"/>
      <c r="H4437" s="204"/>
      <c r="I4437" s="204"/>
      <c r="J4437" s="204"/>
      <c r="K4437" s="204"/>
      <c r="L4437" s="205"/>
      <c r="M4437" s="205"/>
      <c r="N4437" s="204"/>
      <c r="O4437" s="204"/>
      <c r="P4437" s="206"/>
      <c r="Q4437" s="206"/>
      <c r="R4437" s="206"/>
      <c r="S4437" s="206"/>
      <c r="T4437" s="204"/>
      <c r="U4437" s="207"/>
      <c r="V4437" s="204"/>
      <c r="W4437" s="204"/>
      <c r="X4437" s="207"/>
      <c r="Y4437" s="207"/>
      <c r="Z4437" s="204"/>
      <c r="AA4437" s="204"/>
      <c r="AB4437" s="204"/>
      <c r="AC4437" s="204"/>
    </row>
    <row r="4438" spans="1:29">
      <c r="A4438" s="204"/>
      <c r="B4438" s="204"/>
      <c r="C4438" s="204"/>
      <c r="D4438" s="204"/>
      <c r="E4438" s="204"/>
      <c r="F4438" s="204"/>
      <c r="G4438" s="204"/>
      <c r="H4438" s="204"/>
      <c r="I4438" s="204"/>
      <c r="J4438" s="204"/>
      <c r="K4438" s="204"/>
      <c r="L4438" s="205"/>
      <c r="M4438" s="205"/>
      <c r="N4438" s="204"/>
      <c r="O4438" s="204"/>
      <c r="P4438" s="206"/>
      <c r="Q4438" s="206"/>
      <c r="R4438" s="206"/>
      <c r="S4438" s="206"/>
      <c r="T4438" s="204"/>
      <c r="U4438" s="207"/>
      <c r="V4438" s="204"/>
      <c r="W4438" s="204"/>
      <c r="X4438" s="207"/>
      <c r="Y4438" s="207"/>
      <c r="Z4438" s="204"/>
      <c r="AA4438" s="204"/>
      <c r="AB4438" s="204"/>
      <c r="AC4438" s="204"/>
    </row>
    <row r="4439" spans="1:29">
      <c r="A4439" s="204"/>
      <c r="B4439" s="204"/>
      <c r="C4439" s="204"/>
      <c r="D4439" s="204"/>
      <c r="E4439" s="204"/>
      <c r="F4439" s="204"/>
      <c r="G4439" s="204"/>
      <c r="H4439" s="204"/>
      <c r="I4439" s="204"/>
      <c r="J4439" s="204"/>
      <c r="K4439" s="204"/>
      <c r="L4439" s="205"/>
      <c r="M4439" s="205"/>
      <c r="N4439" s="204"/>
      <c r="O4439" s="204"/>
      <c r="P4439" s="206"/>
      <c r="Q4439" s="206"/>
      <c r="R4439" s="206"/>
      <c r="S4439" s="206"/>
      <c r="T4439" s="204"/>
      <c r="U4439" s="207"/>
      <c r="V4439" s="204"/>
      <c r="W4439" s="204"/>
      <c r="X4439" s="207"/>
      <c r="Y4439" s="207"/>
      <c r="Z4439" s="204"/>
      <c r="AA4439" s="204"/>
      <c r="AB4439" s="204"/>
      <c r="AC4439" s="204"/>
    </row>
    <row r="4440" spans="1:29">
      <c r="A4440" s="204"/>
      <c r="B4440" s="204"/>
      <c r="C4440" s="204"/>
      <c r="D4440" s="204"/>
      <c r="E4440" s="204"/>
      <c r="F4440" s="204"/>
      <c r="G4440" s="204"/>
      <c r="H4440" s="204"/>
      <c r="I4440" s="204"/>
      <c r="J4440" s="204"/>
      <c r="K4440" s="204"/>
      <c r="L4440" s="205"/>
      <c r="M4440" s="205"/>
      <c r="N4440" s="204"/>
      <c r="O4440" s="204"/>
      <c r="P4440" s="206"/>
      <c r="Q4440" s="206"/>
      <c r="R4440" s="206"/>
      <c r="S4440" s="206"/>
      <c r="T4440" s="204"/>
      <c r="U4440" s="207"/>
      <c r="V4440" s="204"/>
      <c r="W4440" s="204"/>
      <c r="X4440" s="207"/>
      <c r="Y4440" s="207"/>
      <c r="Z4440" s="204"/>
      <c r="AA4440" s="204"/>
      <c r="AB4440" s="204"/>
      <c r="AC4440" s="204"/>
    </row>
    <row r="4441" spans="1:29">
      <c r="A4441" s="204"/>
      <c r="B4441" s="204"/>
      <c r="C4441" s="204"/>
      <c r="D4441" s="204"/>
      <c r="E4441" s="204"/>
      <c r="F4441" s="204"/>
      <c r="G4441" s="204"/>
      <c r="H4441" s="204"/>
      <c r="I4441" s="204"/>
      <c r="J4441" s="204"/>
      <c r="K4441" s="204"/>
      <c r="L4441" s="205"/>
      <c r="M4441" s="205"/>
      <c r="N4441" s="204"/>
      <c r="O4441" s="204"/>
      <c r="P4441" s="206"/>
      <c r="Q4441" s="206"/>
      <c r="R4441" s="206"/>
      <c r="S4441" s="206"/>
      <c r="T4441" s="204"/>
      <c r="U4441" s="207"/>
      <c r="V4441" s="204"/>
      <c r="W4441" s="204"/>
      <c r="X4441" s="207"/>
      <c r="Y4441" s="207"/>
      <c r="Z4441" s="204"/>
      <c r="AA4441" s="204"/>
      <c r="AB4441" s="204"/>
      <c r="AC4441" s="204"/>
    </row>
    <row r="4442" spans="1:29">
      <c r="A4442" s="204"/>
      <c r="B4442" s="204"/>
      <c r="C4442" s="204"/>
      <c r="D4442" s="204"/>
      <c r="E4442" s="204"/>
      <c r="F4442" s="204"/>
      <c r="G4442" s="204"/>
      <c r="H4442" s="204"/>
      <c r="I4442" s="204"/>
      <c r="J4442" s="204"/>
      <c r="K4442" s="204"/>
      <c r="L4442" s="205"/>
      <c r="M4442" s="205"/>
      <c r="N4442" s="204"/>
      <c r="O4442" s="204"/>
      <c r="P4442" s="206"/>
      <c r="Q4442" s="206"/>
      <c r="R4442" s="206"/>
      <c r="S4442" s="206"/>
      <c r="T4442" s="204"/>
      <c r="U4442" s="207"/>
      <c r="V4442" s="204"/>
      <c r="W4442" s="204"/>
      <c r="X4442" s="207"/>
      <c r="Y4442" s="207"/>
      <c r="Z4442" s="204"/>
      <c r="AA4442" s="204"/>
      <c r="AB4442" s="204"/>
      <c r="AC4442" s="204"/>
    </row>
    <row r="4443" spans="1:29">
      <c r="A4443" s="204"/>
      <c r="B4443" s="204"/>
      <c r="C4443" s="204"/>
      <c r="D4443" s="204"/>
      <c r="E4443" s="204"/>
      <c r="F4443" s="204"/>
      <c r="G4443" s="204"/>
      <c r="H4443" s="204"/>
      <c r="I4443" s="204"/>
      <c r="J4443" s="204"/>
      <c r="K4443" s="204"/>
      <c r="L4443" s="205"/>
      <c r="M4443" s="205"/>
      <c r="N4443" s="204"/>
      <c r="O4443" s="204"/>
      <c r="P4443" s="206"/>
      <c r="Q4443" s="206"/>
      <c r="R4443" s="206"/>
      <c r="S4443" s="206"/>
      <c r="T4443" s="204"/>
      <c r="U4443" s="207"/>
      <c r="V4443" s="204"/>
      <c r="W4443" s="204"/>
      <c r="X4443" s="207"/>
      <c r="Y4443" s="207"/>
      <c r="Z4443" s="204"/>
      <c r="AA4443" s="204"/>
      <c r="AB4443" s="204"/>
      <c r="AC4443" s="204"/>
    </row>
    <row r="4444" spans="1:29">
      <c r="A4444" s="204"/>
      <c r="B4444" s="204"/>
      <c r="C4444" s="204"/>
      <c r="D4444" s="204"/>
      <c r="E4444" s="204"/>
      <c r="F4444" s="204"/>
      <c r="G4444" s="204"/>
      <c r="H4444" s="204"/>
      <c r="I4444" s="204"/>
      <c r="J4444" s="204"/>
      <c r="K4444" s="204"/>
      <c r="L4444" s="205"/>
      <c r="M4444" s="205"/>
      <c r="N4444" s="204"/>
      <c r="O4444" s="204"/>
      <c r="P4444" s="206"/>
      <c r="Q4444" s="206"/>
      <c r="R4444" s="206"/>
      <c r="S4444" s="206"/>
      <c r="T4444" s="204"/>
      <c r="U4444" s="207"/>
      <c r="V4444" s="204"/>
      <c r="W4444" s="204"/>
      <c r="X4444" s="207"/>
      <c r="Y4444" s="207"/>
      <c r="Z4444" s="204"/>
      <c r="AA4444" s="204"/>
      <c r="AB4444" s="204"/>
      <c r="AC4444" s="204"/>
    </row>
    <row r="4445" spans="1:29">
      <c r="A4445" s="204"/>
      <c r="B4445" s="204"/>
      <c r="C4445" s="204"/>
      <c r="D4445" s="204"/>
      <c r="E4445" s="204"/>
      <c r="F4445" s="204"/>
      <c r="G4445" s="204"/>
      <c r="H4445" s="204"/>
      <c r="I4445" s="204"/>
      <c r="J4445" s="204"/>
      <c r="K4445" s="204"/>
      <c r="L4445" s="205"/>
      <c r="M4445" s="205"/>
      <c r="N4445" s="204"/>
      <c r="O4445" s="204"/>
      <c r="P4445" s="206"/>
      <c r="Q4445" s="206"/>
      <c r="R4445" s="206"/>
      <c r="S4445" s="206"/>
      <c r="T4445" s="204"/>
      <c r="U4445" s="207"/>
      <c r="V4445" s="204"/>
      <c r="W4445" s="204"/>
      <c r="X4445" s="207"/>
      <c r="Y4445" s="207"/>
      <c r="Z4445" s="204"/>
      <c r="AA4445" s="204"/>
      <c r="AB4445" s="204"/>
      <c r="AC4445" s="204"/>
    </row>
    <row r="4446" spans="1:29">
      <c r="A4446" s="204"/>
      <c r="B4446" s="204"/>
      <c r="C4446" s="204"/>
      <c r="D4446" s="204"/>
      <c r="E4446" s="204"/>
      <c r="F4446" s="204"/>
      <c r="G4446" s="204"/>
      <c r="H4446" s="204"/>
      <c r="I4446" s="204"/>
      <c r="J4446" s="204"/>
      <c r="K4446" s="204"/>
      <c r="L4446" s="205"/>
      <c r="M4446" s="205"/>
      <c r="N4446" s="204"/>
      <c r="O4446" s="204"/>
      <c r="P4446" s="206"/>
      <c r="Q4446" s="206"/>
      <c r="R4446" s="206"/>
      <c r="S4446" s="206"/>
      <c r="T4446" s="204"/>
      <c r="U4446" s="207"/>
      <c r="V4446" s="204"/>
      <c r="W4446" s="204"/>
      <c r="X4446" s="207"/>
      <c r="Y4446" s="207"/>
      <c r="Z4446" s="204"/>
      <c r="AA4446" s="204"/>
      <c r="AB4446" s="204"/>
      <c r="AC4446" s="204"/>
    </row>
    <row r="4447" spans="1:29">
      <c r="A4447" s="204"/>
      <c r="B4447" s="204"/>
      <c r="C4447" s="204"/>
      <c r="D4447" s="204"/>
      <c r="E4447" s="204"/>
      <c r="F4447" s="204"/>
      <c r="G4447" s="204"/>
      <c r="H4447" s="204"/>
      <c r="I4447" s="204"/>
      <c r="J4447" s="204"/>
      <c r="K4447" s="204"/>
      <c r="L4447" s="205"/>
      <c r="M4447" s="205"/>
      <c r="N4447" s="204"/>
      <c r="O4447" s="204"/>
      <c r="P4447" s="206"/>
      <c r="Q4447" s="206"/>
      <c r="R4447" s="206"/>
      <c r="S4447" s="206"/>
      <c r="T4447" s="204"/>
      <c r="U4447" s="207"/>
      <c r="V4447" s="204"/>
      <c r="W4447" s="204"/>
      <c r="X4447" s="207"/>
      <c r="Y4447" s="207"/>
      <c r="Z4447" s="204"/>
      <c r="AA4447" s="204"/>
      <c r="AB4447" s="204"/>
      <c r="AC4447" s="204"/>
    </row>
    <row r="4448" spans="1:29">
      <c r="A4448" s="204"/>
      <c r="B4448" s="204"/>
      <c r="C4448" s="204"/>
      <c r="D4448" s="204"/>
      <c r="E4448" s="204"/>
      <c r="F4448" s="204"/>
      <c r="G4448" s="204"/>
      <c r="H4448" s="204"/>
      <c r="I4448" s="204"/>
      <c r="J4448" s="204"/>
      <c r="K4448" s="204"/>
      <c r="L4448" s="205"/>
      <c r="M4448" s="205"/>
      <c r="N4448" s="204"/>
      <c r="O4448" s="204"/>
      <c r="P4448" s="206"/>
      <c r="Q4448" s="206"/>
      <c r="R4448" s="206"/>
      <c r="S4448" s="206"/>
      <c r="T4448" s="204"/>
      <c r="U4448" s="207"/>
      <c r="V4448" s="204"/>
      <c r="W4448" s="204"/>
      <c r="X4448" s="207"/>
      <c r="Y4448" s="207"/>
      <c r="Z4448" s="204"/>
      <c r="AA4448" s="204"/>
      <c r="AB4448" s="204"/>
      <c r="AC4448" s="204"/>
    </row>
    <row r="4449" spans="1:29">
      <c r="A4449" s="204"/>
      <c r="B4449" s="204"/>
      <c r="C4449" s="204"/>
      <c r="D4449" s="204"/>
      <c r="E4449" s="204"/>
      <c r="F4449" s="204"/>
      <c r="G4449" s="204"/>
      <c r="H4449" s="204"/>
      <c r="I4449" s="204"/>
      <c r="J4449" s="204"/>
      <c r="K4449" s="204"/>
      <c r="L4449" s="205"/>
      <c r="M4449" s="205"/>
      <c r="N4449" s="204"/>
      <c r="O4449" s="204"/>
      <c r="P4449" s="206"/>
      <c r="Q4449" s="206"/>
      <c r="R4449" s="206"/>
      <c r="S4449" s="206"/>
      <c r="T4449" s="204"/>
      <c r="U4449" s="207"/>
      <c r="V4449" s="204"/>
      <c r="W4449" s="204"/>
      <c r="X4449" s="207"/>
      <c r="Y4449" s="207"/>
      <c r="Z4449" s="204"/>
      <c r="AA4449" s="204"/>
      <c r="AB4449" s="204"/>
      <c r="AC4449" s="204"/>
    </row>
    <row r="4450" spans="1:29">
      <c r="A4450" s="204"/>
      <c r="B4450" s="204"/>
      <c r="C4450" s="204"/>
      <c r="D4450" s="204"/>
      <c r="E4450" s="204"/>
      <c r="F4450" s="204"/>
      <c r="G4450" s="204"/>
      <c r="H4450" s="204"/>
      <c r="I4450" s="204"/>
      <c r="J4450" s="204"/>
      <c r="K4450" s="204"/>
      <c r="L4450" s="205"/>
      <c r="M4450" s="205"/>
      <c r="N4450" s="204"/>
      <c r="O4450" s="204"/>
      <c r="P4450" s="206"/>
      <c r="Q4450" s="206"/>
      <c r="R4450" s="206"/>
      <c r="S4450" s="206"/>
      <c r="T4450" s="204"/>
      <c r="U4450" s="207"/>
      <c r="V4450" s="204"/>
      <c r="W4450" s="204"/>
      <c r="X4450" s="207"/>
      <c r="Y4450" s="207"/>
      <c r="Z4450" s="204"/>
      <c r="AA4450" s="204"/>
      <c r="AB4450" s="204"/>
      <c r="AC4450" s="204"/>
    </row>
    <row r="4451" spans="1:29">
      <c r="A4451" s="204"/>
      <c r="B4451" s="204"/>
      <c r="C4451" s="204"/>
      <c r="D4451" s="204"/>
      <c r="E4451" s="204"/>
      <c r="F4451" s="204"/>
      <c r="G4451" s="204"/>
      <c r="H4451" s="204"/>
      <c r="I4451" s="204"/>
      <c r="J4451" s="204"/>
      <c r="K4451" s="204"/>
      <c r="L4451" s="205"/>
      <c r="M4451" s="205"/>
      <c r="N4451" s="204"/>
      <c r="O4451" s="204"/>
      <c r="P4451" s="206"/>
      <c r="Q4451" s="206"/>
      <c r="R4451" s="206"/>
      <c r="S4451" s="206"/>
      <c r="T4451" s="204"/>
      <c r="U4451" s="207"/>
      <c r="V4451" s="204"/>
      <c r="W4451" s="204"/>
      <c r="X4451" s="207"/>
      <c r="Y4451" s="207"/>
      <c r="Z4451" s="204"/>
      <c r="AA4451" s="204"/>
      <c r="AB4451" s="204"/>
      <c r="AC4451" s="204"/>
    </row>
    <row r="4452" spans="1:29">
      <c r="A4452" s="204"/>
      <c r="B4452" s="204"/>
      <c r="C4452" s="204"/>
      <c r="D4452" s="204"/>
      <c r="E4452" s="204"/>
      <c r="F4452" s="204"/>
      <c r="G4452" s="204"/>
      <c r="H4452" s="204"/>
      <c r="I4452" s="204"/>
      <c r="J4452" s="204"/>
      <c r="K4452" s="204"/>
      <c r="L4452" s="205"/>
      <c r="M4452" s="205"/>
      <c r="N4452" s="204"/>
      <c r="O4452" s="204"/>
      <c r="P4452" s="206"/>
      <c r="Q4452" s="206"/>
      <c r="R4452" s="206"/>
      <c r="S4452" s="206"/>
      <c r="T4452" s="204"/>
      <c r="U4452" s="207"/>
      <c r="V4452" s="204"/>
      <c r="W4452" s="204"/>
      <c r="X4452" s="207"/>
      <c r="Y4452" s="207"/>
      <c r="Z4452" s="204"/>
      <c r="AA4452" s="204"/>
      <c r="AB4452" s="204"/>
      <c r="AC4452" s="204"/>
    </row>
    <row r="4453" spans="1:29">
      <c r="A4453" s="204"/>
      <c r="B4453" s="204"/>
      <c r="C4453" s="204"/>
      <c r="D4453" s="204"/>
      <c r="E4453" s="204"/>
      <c r="F4453" s="204"/>
      <c r="G4453" s="204"/>
      <c r="H4453" s="204"/>
      <c r="I4453" s="204"/>
      <c r="J4453" s="204"/>
      <c r="K4453" s="204"/>
      <c r="L4453" s="205"/>
      <c r="M4453" s="205"/>
      <c r="N4453" s="204"/>
      <c r="O4453" s="204"/>
      <c r="P4453" s="206"/>
      <c r="Q4453" s="206"/>
      <c r="R4453" s="206"/>
      <c r="S4453" s="206"/>
      <c r="T4453" s="204"/>
      <c r="U4453" s="207"/>
      <c r="V4453" s="204"/>
      <c r="W4453" s="204"/>
      <c r="X4453" s="207"/>
      <c r="Y4453" s="207"/>
      <c r="Z4453" s="204"/>
      <c r="AA4453" s="204"/>
      <c r="AB4453" s="204"/>
      <c r="AC4453" s="204"/>
    </row>
    <row r="4454" spans="1:29">
      <c r="A4454" s="204"/>
      <c r="B4454" s="204"/>
      <c r="C4454" s="204"/>
      <c r="D4454" s="204"/>
      <c r="E4454" s="204"/>
      <c r="F4454" s="204"/>
      <c r="G4454" s="204"/>
      <c r="H4454" s="204"/>
      <c r="I4454" s="204"/>
      <c r="J4454" s="204"/>
      <c r="K4454" s="204"/>
      <c r="L4454" s="205"/>
      <c r="M4454" s="205"/>
      <c r="N4454" s="204"/>
      <c r="O4454" s="204"/>
      <c r="P4454" s="206"/>
      <c r="Q4454" s="206"/>
      <c r="R4454" s="206"/>
      <c r="S4454" s="206"/>
      <c r="T4454" s="204"/>
      <c r="U4454" s="207"/>
      <c r="V4454" s="204"/>
      <c r="W4454" s="204"/>
      <c r="X4454" s="207"/>
      <c r="Y4454" s="207"/>
      <c r="Z4454" s="204"/>
      <c r="AA4454" s="204"/>
      <c r="AB4454" s="204"/>
      <c r="AC4454" s="204"/>
    </row>
    <row r="4455" spans="1:29">
      <c r="A4455" s="204"/>
      <c r="B4455" s="204"/>
      <c r="C4455" s="204"/>
      <c r="D4455" s="204"/>
      <c r="E4455" s="204"/>
      <c r="F4455" s="204"/>
      <c r="G4455" s="204"/>
      <c r="H4455" s="204"/>
      <c r="I4455" s="204"/>
      <c r="J4455" s="204"/>
      <c r="K4455" s="204"/>
      <c r="L4455" s="205"/>
      <c r="M4455" s="205"/>
      <c r="N4455" s="204"/>
      <c r="O4455" s="204"/>
      <c r="P4455" s="206"/>
      <c r="Q4455" s="206"/>
      <c r="R4455" s="206"/>
      <c r="S4455" s="206"/>
      <c r="T4455" s="204"/>
      <c r="U4455" s="207"/>
      <c r="V4455" s="204"/>
      <c r="W4455" s="204"/>
      <c r="X4455" s="207"/>
      <c r="Y4455" s="207"/>
      <c r="Z4455" s="204"/>
      <c r="AA4455" s="204"/>
      <c r="AB4455" s="204"/>
      <c r="AC4455" s="204"/>
    </row>
    <row r="4456" spans="1:29">
      <c r="A4456" s="204"/>
      <c r="B4456" s="204"/>
      <c r="C4456" s="204"/>
      <c r="D4456" s="204"/>
      <c r="E4456" s="204"/>
      <c r="F4456" s="204"/>
      <c r="G4456" s="204"/>
      <c r="H4456" s="204"/>
      <c r="I4456" s="204"/>
      <c r="J4456" s="204"/>
      <c r="K4456" s="204"/>
      <c r="L4456" s="205"/>
      <c r="M4456" s="205"/>
      <c r="N4456" s="204"/>
      <c r="O4456" s="204"/>
      <c r="P4456" s="206"/>
      <c r="Q4456" s="206"/>
      <c r="R4456" s="206"/>
      <c r="S4456" s="206"/>
      <c r="T4456" s="204"/>
      <c r="U4456" s="207"/>
      <c r="V4456" s="204"/>
      <c r="W4456" s="204"/>
      <c r="X4456" s="207"/>
      <c r="Y4456" s="207"/>
      <c r="Z4456" s="204"/>
      <c r="AA4456" s="204"/>
      <c r="AB4456" s="204"/>
      <c r="AC4456" s="204"/>
    </row>
    <row r="4457" spans="1:29">
      <c r="A4457" s="204"/>
      <c r="B4457" s="204"/>
      <c r="C4457" s="204"/>
      <c r="D4457" s="204"/>
      <c r="E4457" s="204"/>
      <c r="F4457" s="204"/>
      <c r="G4457" s="204"/>
      <c r="H4457" s="204"/>
      <c r="I4457" s="204"/>
      <c r="J4457" s="204"/>
      <c r="K4457" s="204"/>
      <c r="L4457" s="205"/>
      <c r="M4457" s="205"/>
      <c r="N4457" s="204"/>
      <c r="O4457" s="204"/>
      <c r="P4457" s="206"/>
      <c r="Q4457" s="206"/>
      <c r="R4457" s="206"/>
      <c r="S4457" s="206"/>
      <c r="T4457" s="204"/>
      <c r="U4457" s="207"/>
      <c r="V4457" s="204"/>
      <c r="W4457" s="204"/>
      <c r="X4457" s="207"/>
      <c r="Y4457" s="207"/>
      <c r="Z4457" s="204"/>
      <c r="AA4457" s="204"/>
      <c r="AB4457" s="204"/>
      <c r="AC4457" s="204"/>
    </row>
    <row r="4458" spans="1:29">
      <c r="A4458" s="204"/>
      <c r="B4458" s="204"/>
      <c r="C4458" s="204"/>
      <c r="D4458" s="204"/>
      <c r="E4458" s="204"/>
      <c r="F4458" s="204"/>
      <c r="G4458" s="204"/>
      <c r="H4458" s="204"/>
      <c r="I4458" s="204"/>
      <c r="J4458" s="204"/>
      <c r="K4458" s="204"/>
      <c r="L4458" s="205"/>
      <c r="M4458" s="205"/>
      <c r="N4458" s="204"/>
      <c r="O4458" s="204"/>
      <c r="P4458" s="206"/>
      <c r="Q4458" s="206"/>
      <c r="R4458" s="206"/>
      <c r="S4458" s="206"/>
      <c r="T4458" s="204"/>
      <c r="U4458" s="207"/>
      <c r="V4458" s="204"/>
      <c r="W4458" s="204"/>
      <c r="X4458" s="207"/>
      <c r="Y4458" s="207"/>
      <c r="Z4458" s="204"/>
      <c r="AA4458" s="204"/>
      <c r="AB4458" s="204"/>
      <c r="AC4458" s="204"/>
    </row>
    <row r="4459" spans="1:29">
      <c r="A4459" s="204"/>
      <c r="B4459" s="204"/>
      <c r="C4459" s="204"/>
      <c r="D4459" s="204"/>
      <c r="E4459" s="204"/>
      <c r="F4459" s="204"/>
      <c r="G4459" s="204"/>
      <c r="H4459" s="204"/>
      <c r="I4459" s="204"/>
      <c r="J4459" s="204"/>
      <c r="K4459" s="204"/>
      <c r="L4459" s="205"/>
      <c r="M4459" s="205"/>
      <c r="N4459" s="204"/>
      <c r="O4459" s="204"/>
      <c r="P4459" s="206"/>
      <c r="Q4459" s="206"/>
      <c r="R4459" s="206"/>
      <c r="S4459" s="206"/>
      <c r="T4459" s="204"/>
      <c r="U4459" s="207"/>
      <c r="V4459" s="204"/>
      <c r="W4459" s="204"/>
      <c r="X4459" s="207"/>
      <c r="Y4459" s="207"/>
      <c r="Z4459" s="204"/>
      <c r="AA4459" s="204"/>
      <c r="AB4459" s="204"/>
      <c r="AC4459" s="204"/>
    </row>
    <row r="4460" spans="1:29">
      <c r="A4460" s="204"/>
      <c r="B4460" s="204"/>
      <c r="C4460" s="204"/>
      <c r="D4460" s="204"/>
      <c r="E4460" s="204"/>
      <c r="F4460" s="204"/>
      <c r="G4460" s="204"/>
      <c r="H4460" s="204"/>
      <c r="I4460" s="204"/>
      <c r="J4460" s="204"/>
      <c r="K4460" s="204"/>
      <c r="L4460" s="205"/>
      <c r="M4460" s="205"/>
      <c r="N4460" s="204"/>
      <c r="O4460" s="204"/>
      <c r="P4460" s="206"/>
      <c r="Q4460" s="206"/>
      <c r="R4460" s="206"/>
      <c r="S4460" s="206"/>
      <c r="T4460" s="204"/>
      <c r="U4460" s="207"/>
      <c r="V4460" s="204"/>
      <c r="W4460" s="204"/>
      <c r="X4460" s="207"/>
      <c r="Y4460" s="207"/>
      <c r="Z4460" s="204"/>
      <c r="AA4460" s="204"/>
      <c r="AB4460" s="204"/>
      <c r="AC4460" s="204"/>
    </row>
    <row r="4461" spans="1:29">
      <c r="A4461" s="204"/>
      <c r="B4461" s="204"/>
      <c r="C4461" s="204"/>
      <c r="D4461" s="204"/>
      <c r="E4461" s="204"/>
      <c r="F4461" s="204"/>
      <c r="G4461" s="204"/>
      <c r="H4461" s="204"/>
      <c r="I4461" s="204"/>
      <c r="J4461" s="204"/>
      <c r="K4461" s="204"/>
      <c r="L4461" s="205"/>
      <c r="M4461" s="205"/>
      <c r="N4461" s="204"/>
      <c r="O4461" s="204"/>
      <c r="P4461" s="206"/>
      <c r="Q4461" s="206"/>
      <c r="R4461" s="206"/>
      <c r="S4461" s="206"/>
      <c r="T4461" s="204"/>
      <c r="U4461" s="207"/>
      <c r="V4461" s="204"/>
      <c r="W4461" s="204"/>
      <c r="X4461" s="207"/>
      <c r="Y4461" s="207"/>
      <c r="Z4461" s="204"/>
      <c r="AA4461" s="204"/>
      <c r="AB4461" s="204"/>
      <c r="AC4461" s="204"/>
    </row>
    <row r="4462" spans="1:29">
      <c r="A4462" s="204"/>
      <c r="B4462" s="204"/>
      <c r="C4462" s="204"/>
      <c r="D4462" s="204"/>
      <c r="E4462" s="204"/>
      <c r="F4462" s="204"/>
      <c r="G4462" s="204"/>
      <c r="H4462" s="204"/>
      <c r="I4462" s="204"/>
      <c r="J4462" s="204"/>
      <c r="K4462" s="204"/>
      <c r="L4462" s="205"/>
      <c r="M4462" s="205"/>
      <c r="N4462" s="204"/>
      <c r="O4462" s="204"/>
      <c r="P4462" s="206"/>
      <c r="Q4462" s="206"/>
      <c r="R4462" s="206"/>
      <c r="S4462" s="206"/>
      <c r="T4462" s="204"/>
      <c r="U4462" s="207"/>
      <c r="V4462" s="204"/>
      <c r="W4462" s="204"/>
      <c r="X4462" s="207"/>
      <c r="Y4462" s="207"/>
      <c r="Z4462" s="204"/>
      <c r="AA4462" s="204"/>
      <c r="AB4462" s="204"/>
      <c r="AC4462" s="204"/>
    </row>
    <row r="4463" spans="1:29">
      <c r="A4463" s="204"/>
      <c r="B4463" s="204"/>
      <c r="C4463" s="204"/>
      <c r="D4463" s="204"/>
      <c r="E4463" s="204"/>
      <c r="F4463" s="204"/>
      <c r="G4463" s="204"/>
      <c r="H4463" s="204"/>
      <c r="I4463" s="204"/>
      <c r="J4463" s="204"/>
      <c r="K4463" s="204"/>
      <c r="L4463" s="205"/>
      <c r="M4463" s="205"/>
      <c r="N4463" s="204"/>
      <c r="O4463" s="204"/>
      <c r="P4463" s="206"/>
      <c r="Q4463" s="206"/>
      <c r="R4463" s="206"/>
      <c r="S4463" s="206"/>
      <c r="T4463" s="204"/>
      <c r="U4463" s="207"/>
      <c r="V4463" s="204"/>
      <c r="W4463" s="204"/>
      <c r="X4463" s="207"/>
      <c r="Y4463" s="207"/>
      <c r="Z4463" s="204"/>
      <c r="AA4463" s="204"/>
      <c r="AB4463" s="204"/>
      <c r="AC4463" s="204"/>
    </row>
    <row r="4464" spans="1:29">
      <c r="A4464" s="204"/>
      <c r="B4464" s="204"/>
      <c r="C4464" s="204"/>
      <c r="D4464" s="204"/>
      <c r="E4464" s="204"/>
      <c r="F4464" s="204"/>
      <c r="G4464" s="204"/>
      <c r="H4464" s="204"/>
      <c r="I4464" s="204"/>
      <c r="J4464" s="204"/>
      <c r="K4464" s="204"/>
      <c r="L4464" s="205"/>
      <c r="M4464" s="205"/>
      <c r="N4464" s="204"/>
      <c r="O4464" s="204"/>
      <c r="P4464" s="206"/>
      <c r="Q4464" s="206"/>
      <c r="R4464" s="206"/>
      <c r="S4464" s="206"/>
      <c r="T4464" s="204"/>
      <c r="U4464" s="207"/>
      <c r="V4464" s="204"/>
      <c r="W4464" s="204"/>
      <c r="X4464" s="207"/>
      <c r="Y4464" s="207"/>
      <c r="Z4464" s="204"/>
      <c r="AA4464" s="204"/>
      <c r="AB4464" s="204"/>
      <c r="AC4464" s="204"/>
    </row>
    <row r="4465" spans="1:29">
      <c r="A4465" s="204"/>
      <c r="B4465" s="204"/>
      <c r="C4465" s="204"/>
      <c r="D4465" s="204"/>
      <c r="E4465" s="204"/>
      <c r="F4465" s="204"/>
      <c r="G4465" s="204"/>
      <c r="H4465" s="204"/>
      <c r="I4465" s="204"/>
      <c r="J4465" s="204"/>
      <c r="K4465" s="204"/>
      <c r="L4465" s="205"/>
      <c r="M4465" s="205"/>
      <c r="N4465" s="204"/>
      <c r="O4465" s="204"/>
      <c r="P4465" s="206"/>
      <c r="Q4465" s="206"/>
      <c r="R4465" s="206"/>
      <c r="S4465" s="206"/>
      <c r="T4465" s="204"/>
      <c r="U4465" s="207"/>
      <c r="V4465" s="204"/>
      <c r="W4465" s="204"/>
      <c r="X4465" s="207"/>
      <c r="Y4465" s="207"/>
      <c r="Z4465" s="204"/>
      <c r="AA4465" s="204"/>
      <c r="AB4465" s="204"/>
      <c r="AC4465" s="204"/>
    </row>
    <row r="4466" spans="1:29">
      <c r="A4466" s="204"/>
      <c r="B4466" s="204"/>
      <c r="C4466" s="204"/>
      <c r="D4466" s="204"/>
      <c r="E4466" s="204"/>
      <c r="F4466" s="204"/>
      <c r="G4466" s="204"/>
      <c r="H4466" s="204"/>
      <c r="I4466" s="204"/>
      <c r="J4466" s="204"/>
      <c r="K4466" s="204"/>
      <c r="L4466" s="205"/>
      <c r="M4466" s="205"/>
      <c r="N4466" s="204"/>
      <c r="O4466" s="204"/>
      <c r="P4466" s="206"/>
      <c r="Q4466" s="206"/>
      <c r="R4466" s="206"/>
      <c r="S4466" s="206"/>
      <c r="T4466" s="204"/>
      <c r="U4466" s="207"/>
      <c r="V4466" s="204"/>
      <c r="W4466" s="204"/>
      <c r="X4466" s="207"/>
      <c r="Y4466" s="207"/>
      <c r="Z4466" s="204"/>
      <c r="AA4466" s="204"/>
      <c r="AB4466" s="204"/>
      <c r="AC4466" s="204"/>
    </row>
    <row r="4467" spans="1:29">
      <c r="A4467" s="204"/>
      <c r="B4467" s="204"/>
      <c r="C4467" s="204"/>
      <c r="D4467" s="204"/>
      <c r="E4467" s="204"/>
      <c r="F4467" s="204"/>
      <c r="G4467" s="204"/>
      <c r="H4467" s="204"/>
      <c r="I4467" s="204"/>
      <c r="J4467" s="204"/>
      <c r="K4467" s="204"/>
      <c r="L4467" s="205"/>
      <c r="M4467" s="205"/>
      <c r="N4467" s="204"/>
      <c r="O4467" s="204"/>
      <c r="P4467" s="206"/>
      <c r="Q4467" s="206"/>
      <c r="R4467" s="206"/>
      <c r="S4467" s="206"/>
      <c r="T4467" s="204"/>
      <c r="U4467" s="207"/>
      <c r="V4467" s="204"/>
      <c r="W4467" s="204"/>
      <c r="X4467" s="207"/>
      <c r="Y4467" s="207"/>
      <c r="Z4467" s="204"/>
      <c r="AA4467" s="204"/>
      <c r="AB4467" s="204"/>
      <c r="AC4467" s="204"/>
    </row>
    <row r="4468" spans="1:29">
      <c r="A4468" s="204"/>
      <c r="B4468" s="204"/>
      <c r="C4468" s="204"/>
      <c r="D4468" s="204"/>
      <c r="E4468" s="204"/>
      <c r="F4468" s="204"/>
      <c r="G4468" s="204"/>
      <c r="H4468" s="204"/>
      <c r="I4468" s="204"/>
      <c r="J4468" s="204"/>
      <c r="K4468" s="204"/>
      <c r="L4468" s="205"/>
      <c r="M4468" s="205"/>
      <c r="N4468" s="204"/>
      <c r="O4468" s="204"/>
      <c r="P4468" s="206"/>
      <c r="Q4468" s="206"/>
      <c r="R4468" s="206"/>
      <c r="S4468" s="206"/>
      <c r="T4468" s="204"/>
      <c r="U4468" s="207"/>
      <c r="V4468" s="204"/>
      <c r="W4468" s="204"/>
      <c r="X4468" s="207"/>
      <c r="Y4468" s="207"/>
      <c r="Z4468" s="204"/>
      <c r="AA4468" s="204"/>
      <c r="AB4468" s="204"/>
      <c r="AC4468" s="204"/>
    </row>
    <row r="4469" spans="1:29">
      <c r="A4469" s="204"/>
      <c r="B4469" s="204"/>
      <c r="C4469" s="204"/>
      <c r="D4469" s="204"/>
      <c r="E4469" s="204"/>
      <c r="F4469" s="204"/>
      <c r="G4469" s="204"/>
      <c r="H4469" s="204"/>
      <c r="I4469" s="204"/>
      <c r="J4469" s="204"/>
      <c r="K4469" s="204"/>
      <c r="L4469" s="205"/>
      <c r="M4469" s="205"/>
      <c r="N4469" s="204"/>
      <c r="O4469" s="204"/>
      <c r="P4469" s="206"/>
      <c r="Q4469" s="206"/>
      <c r="R4469" s="206"/>
      <c r="S4469" s="206"/>
      <c r="T4469" s="204"/>
      <c r="U4469" s="207"/>
      <c r="V4469" s="204"/>
      <c r="W4469" s="204"/>
      <c r="X4469" s="207"/>
      <c r="Y4469" s="207"/>
      <c r="Z4469" s="204"/>
      <c r="AA4469" s="204"/>
      <c r="AB4469" s="204"/>
      <c r="AC4469" s="204"/>
    </row>
    <row r="4470" spans="1:29">
      <c r="A4470" s="204"/>
      <c r="B4470" s="204"/>
      <c r="C4470" s="204"/>
      <c r="D4470" s="204"/>
      <c r="E4470" s="204"/>
      <c r="F4470" s="204"/>
      <c r="G4470" s="204"/>
      <c r="H4470" s="204"/>
      <c r="I4470" s="204"/>
      <c r="J4470" s="204"/>
      <c r="K4470" s="204"/>
      <c r="L4470" s="205"/>
      <c r="M4470" s="205"/>
      <c r="N4470" s="204"/>
      <c r="O4470" s="204"/>
      <c r="P4470" s="206"/>
      <c r="Q4470" s="206"/>
      <c r="R4470" s="206"/>
      <c r="S4470" s="206"/>
      <c r="T4470" s="204"/>
      <c r="U4470" s="207"/>
      <c r="V4470" s="204"/>
      <c r="W4470" s="204"/>
      <c r="X4470" s="207"/>
      <c r="Y4470" s="207"/>
      <c r="Z4470" s="204"/>
      <c r="AA4470" s="204"/>
      <c r="AB4470" s="204"/>
      <c r="AC4470" s="204"/>
    </row>
    <row r="4471" spans="1:29">
      <c r="A4471" s="204"/>
      <c r="B4471" s="204"/>
      <c r="C4471" s="204"/>
      <c r="D4471" s="204"/>
      <c r="E4471" s="204"/>
      <c r="F4471" s="204"/>
      <c r="G4471" s="204"/>
      <c r="H4471" s="204"/>
      <c r="I4471" s="204"/>
      <c r="J4471" s="204"/>
      <c r="K4471" s="204"/>
      <c r="L4471" s="205"/>
      <c r="M4471" s="205"/>
      <c r="N4471" s="204"/>
      <c r="O4471" s="204"/>
      <c r="P4471" s="206"/>
      <c r="Q4471" s="206"/>
      <c r="R4471" s="206"/>
      <c r="S4471" s="206"/>
      <c r="T4471" s="204"/>
      <c r="U4471" s="207"/>
      <c r="V4471" s="204"/>
      <c r="W4471" s="204"/>
      <c r="X4471" s="207"/>
      <c r="Y4471" s="207"/>
      <c r="Z4471" s="204"/>
      <c r="AA4471" s="204"/>
      <c r="AB4471" s="204"/>
      <c r="AC4471" s="204"/>
    </row>
    <row r="4472" spans="1:29">
      <c r="A4472" s="204"/>
      <c r="B4472" s="204"/>
      <c r="C4472" s="204"/>
      <c r="D4472" s="204"/>
      <c r="E4472" s="204"/>
      <c r="F4472" s="204"/>
      <c r="G4472" s="204"/>
      <c r="H4472" s="204"/>
      <c r="I4472" s="204"/>
      <c r="J4472" s="204"/>
      <c r="K4472" s="204"/>
      <c r="L4472" s="205"/>
      <c r="M4472" s="205"/>
      <c r="N4472" s="204"/>
      <c r="O4472" s="204"/>
      <c r="P4472" s="206"/>
      <c r="Q4472" s="206"/>
      <c r="R4472" s="206"/>
      <c r="S4472" s="206"/>
      <c r="T4472" s="204"/>
      <c r="U4472" s="207"/>
      <c r="V4472" s="204"/>
      <c r="W4472" s="204"/>
      <c r="X4472" s="207"/>
      <c r="Y4472" s="207"/>
      <c r="Z4472" s="204"/>
      <c r="AA4472" s="204"/>
      <c r="AB4472" s="204"/>
      <c r="AC4472" s="204"/>
    </row>
    <row r="4473" spans="1:29">
      <c r="A4473" s="204"/>
      <c r="B4473" s="204"/>
      <c r="C4473" s="204"/>
      <c r="D4473" s="204"/>
      <c r="E4473" s="204"/>
      <c r="F4473" s="204"/>
      <c r="G4473" s="204"/>
      <c r="H4473" s="204"/>
      <c r="I4473" s="204"/>
      <c r="J4473" s="204"/>
      <c r="K4473" s="204"/>
      <c r="L4473" s="205"/>
      <c r="M4473" s="205"/>
      <c r="N4473" s="204"/>
      <c r="O4473" s="204"/>
      <c r="P4473" s="206"/>
      <c r="Q4473" s="206"/>
      <c r="R4473" s="206"/>
      <c r="S4473" s="206"/>
      <c r="T4473" s="204"/>
      <c r="U4473" s="207"/>
      <c r="V4473" s="204"/>
      <c r="W4473" s="204"/>
      <c r="X4473" s="207"/>
      <c r="Y4473" s="207"/>
      <c r="Z4473" s="204"/>
      <c r="AA4473" s="204"/>
      <c r="AB4473" s="204"/>
      <c r="AC4473" s="204"/>
    </row>
    <row r="4474" spans="1:29">
      <c r="A4474" s="204"/>
      <c r="B4474" s="204"/>
      <c r="C4474" s="204"/>
      <c r="D4474" s="204"/>
      <c r="E4474" s="204"/>
      <c r="F4474" s="204"/>
      <c r="G4474" s="204"/>
      <c r="H4474" s="204"/>
      <c r="I4474" s="204"/>
      <c r="J4474" s="204"/>
      <c r="K4474" s="204"/>
      <c r="L4474" s="205"/>
      <c r="M4474" s="205"/>
      <c r="N4474" s="204"/>
      <c r="O4474" s="204"/>
      <c r="P4474" s="206"/>
      <c r="Q4474" s="206"/>
      <c r="R4474" s="206"/>
      <c r="S4474" s="206"/>
      <c r="T4474" s="204"/>
      <c r="U4474" s="207"/>
      <c r="V4474" s="204"/>
      <c r="W4474" s="204"/>
      <c r="X4474" s="207"/>
      <c r="Y4474" s="207"/>
      <c r="Z4474" s="204"/>
      <c r="AA4474" s="204"/>
      <c r="AB4474" s="204"/>
      <c r="AC4474" s="204"/>
    </row>
    <row r="4475" spans="1:29">
      <c r="A4475" s="204"/>
      <c r="B4475" s="204"/>
      <c r="C4475" s="204"/>
      <c r="D4475" s="204"/>
      <c r="E4475" s="204"/>
      <c r="F4475" s="204"/>
      <c r="G4475" s="204"/>
      <c r="H4475" s="204"/>
      <c r="I4475" s="204"/>
      <c r="J4475" s="204"/>
      <c r="K4475" s="204"/>
      <c r="L4475" s="205"/>
      <c r="M4475" s="205"/>
      <c r="N4475" s="204"/>
      <c r="O4475" s="204"/>
      <c r="P4475" s="206"/>
      <c r="Q4475" s="206"/>
      <c r="R4475" s="206"/>
      <c r="S4475" s="206"/>
      <c r="T4475" s="204"/>
      <c r="U4475" s="207"/>
      <c r="V4475" s="204"/>
      <c r="W4475" s="204"/>
      <c r="X4475" s="207"/>
      <c r="Y4475" s="207"/>
      <c r="Z4475" s="204"/>
      <c r="AA4475" s="204"/>
      <c r="AB4475" s="204"/>
      <c r="AC4475" s="204"/>
    </row>
    <row r="4476" spans="1:29">
      <c r="A4476" s="204"/>
      <c r="B4476" s="204"/>
      <c r="C4476" s="204"/>
      <c r="D4476" s="204"/>
      <c r="E4476" s="204"/>
      <c r="F4476" s="204"/>
      <c r="G4476" s="204"/>
      <c r="H4476" s="204"/>
      <c r="I4476" s="204"/>
      <c r="J4476" s="204"/>
      <c r="K4476" s="204"/>
      <c r="L4476" s="205"/>
      <c r="M4476" s="205"/>
      <c r="N4476" s="204"/>
      <c r="O4476" s="204"/>
      <c r="P4476" s="206"/>
      <c r="Q4476" s="206"/>
      <c r="R4476" s="206"/>
      <c r="S4476" s="206"/>
      <c r="T4476" s="204"/>
      <c r="U4476" s="207"/>
      <c r="V4476" s="204"/>
      <c r="W4476" s="204"/>
      <c r="X4476" s="207"/>
      <c r="Y4476" s="207"/>
      <c r="Z4476" s="204"/>
      <c r="AA4476" s="204"/>
      <c r="AB4476" s="204"/>
      <c r="AC4476" s="204"/>
    </row>
    <row r="4477" spans="1:29">
      <c r="A4477" s="204"/>
      <c r="B4477" s="204"/>
      <c r="C4477" s="204"/>
      <c r="D4477" s="204"/>
      <c r="E4477" s="204"/>
      <c r="F4477" s="204"/>
      <c r="G4477" s="204"/>
      <c r="H4477" s="204"/>
      <c r="I4477" s="204"/>
      <c r="J4477" s="204"/>
      <c r="K4477" s="204"/>
      <c r="L4477" s="205"/>
      <c r="M4477" s="205"/>
      <c r="N4477" s="204"/>
      <c r="O4477" s="204"/>
      <c r="P4477" s="206"/>
      <c r="Q4477" s="206"/>
      <c r="R4477" s="206"/>
      <c r="S4477" s="206"/>
      <c r="T4477" s="204"/>
      <c r="U4477" s="207"/>
      <c r="V4477" s="204"/>
      <c r="W4477" s="204"/>
      <c r="X4477" s="207"/>
      <c r="Y4477" s="207"/>
      <c r="Z4477" s="204"/>
      <c r="AA4477" s="204"/>
      <c r="AB4477" s="204"/>
      <c r="AC4477" s="204"/>
    </row>
    <row r="4478" spans="1:29">
      <c r="A4478" s="204"/>
      <c r="B4478" s="204"/>
      <c r="C4478" s="204"/>
      <c r="D4478" s="204"/>
      <c r="E4478" s="204"/>
      <c r="F4478" s="204"/>
      <c r="G4478" s="204"/>
      <c r="H4478" s="204"/>
      <c r="I4478" s="204"/>
      <c r="J4478" s="204"/>
      <c r="K4478" s="204"/>
      <c r="L4478" s="205"/>
      <c r="M4478" s="205"/>
      <c r="N4478" s="204"/>
      <c r="O4478" s="204"/>
      <c r="P4478" s="206"/>
      <c r="Q4478" s="206"/>
      <c r="R4478" s="206"/>
      <c r="S4478" s="206"/>
      <c r="T4478" s="204"/>
      <c r="U4478" s="207"/>
      <c r="V4478" s="204"/>
      <c r="W4478" s="204"/>
      <c r="X4478" s="207"/>
      <c r="Y4478" s="207"/>
      <c r="Z4478" s="204"/>
      <c r="AA4478" s="204"/>
      <c r="AB4478" s="204"/>
      <c r="AC4478" s="204"/>
    </row>
    <row r="4479" spans="1:29">
      <c r="A4479" s="204"/>
      <c r="B4479" s="204"/>
      <c r="C4479" s="204"/>
      <c r="D4479" s="204"/>
      <c r="E4479" s="204"/>
      <c r="F4479" s="204"/>
      <c r="G4479" s="204"/>
      <c r="H4479" s="204"/>
      <c r="I4479" s="204"/>
      <c r="J4479" s="204"/>
      <c r="K4479" s="204"/>
      <c r="L4479" s="205"/>
      <c r="M4479" s="205"/>
      <c r="N4479" s="204"/>
      <c r="O4479" s="204"/>
      <c r="P4479" s="206"/>
      <c r="Q4479" s="206"/>
      <c r="R4479" s="206"/>
      <c r="S4479" s="206"/>
      <c r="T4479" s="204"/>
      <c r="U4479" s="207"/>
      <c r="V4479" s="204"/>
      <c r="W4479" s="204"/>
      <c r="X4479" s="207"/>
      <c r="Y4479" s="207"/>
      <c r="Z4479" s="204"/>
      <c r="AA4479" s="204"/>
      <c r="AB4479" s="204"/>
      <c r="AC4479" s="204"/>
    </row>
    <row r="4480" spans="1:29">
      <c r="A4480" s="204"/>
      <c r="B4480" s="204"/>
      <c r="C4480" s="204"/>
      <c r="D4480" s="204"/>
      <c r="E4480" s="204"/>
      <c r="F4480" s="204"/>
      <c r="G4480" s="204"/>
      <c r="H4480" s="204"/>
      <c r="I4480" s="204"/>
      <c r="J4480" s="204"/>
      <c r="K4480" s="204"/>
      <c r="L4480" s="205"/>
      <c r="M4480" s="205"/>
      <c r="N4480" s="204"/>
      <c r="O4480" s="204"/>
      <c r="P4480" s="206"/>
      <c r="Q4480" s="206"/>
      <c r="R4480" s="206"/>
      <c r="S4480" s="206"/>
      <c r="T4480" s="204"/>
      <c r="U4480" s="207"/>
      <c r="V4480" s="204"/>
      <c r="W4480" s="204"/>
      <c r="X4480" s="207"/>
      <c r="Y4480" s="207"/>
      <c r="Z4480" s="204"/>
      <c r="AA4480" s="204"/>
      <c r="AB4480" s="204"/>
      <c r="AC4480" s="204"/>
    </row>
    <row r="4481" spans="1:29">
      <c r="A4481" s="204"/>
      <c r="B4481" s="204"/>
      <c r="C4481" s="204"/>
      <c r="D4481" s="204"/>
      <c r="E4481" s="204"/>
      <c r="F4481" s="204"/>
      <c r="G4481" s="204"/>
      <c r="H4481" s="204"/>
      <c r="I4481" s="204"/>
      <c r="J4481" s="204"/>
      <c r="K4481" s="204"/>
      <c r="L4481" s="205"/>
      <c r="M4481" s="205"/>
      <c r="N4481" s="204"/>
      <c r="O4481" s="204"/>
      <c r="P4481" s="206"/>
      <c r="Q4481" s="206"/>
      <c r="R4481" s="206"/>
      <c r="S4481" s="206"/>
      <c r="T4481" s="204"/>
      <c r="U4481" s="207"/>
      <c r="V4481" s="204"/>
      <c r="W4481" s="204"/>
      <c r="X4481" s="207"/>
      <c r="Y4481" s="207"/>
      <c r="Z4481" s="204"/>
      <c r="AA4481" s="204"/>
      <c r="AB4481" s="204"/>
      <c r="AC4481" s="204"/>
    </row>
    <row r="4482" spans="1:29">
      <c r="A4482" s="204"/>
      <c r="B4482" s="204"/>
      <c r="C4482" s="204"/>
      <c r="D4482" s="204"/>
      <c r="E4482" s="204"/>
      <c r="F4482" s="204"/>
      <c r="G4482" s="204"/>
      <c r="H4482" s="204"/>
      <c r="I4482" s="204"/>
      <c r="J4482" s="204"/>
      <c r="K4482" s="204"/>
      <c r="L4482" s="205"/>
      <c r="M4482" s="205"/>
      <c r="N4482" s="204"/>
      <c r="O4482" s="204"/>
      <c r="P4482" s="206"/>
      <c r="Q4482" s="206"/>
      <c r="R4482" s="206"/>
      <c r="S4482" s="206"/>
      <c r="T4482" s="204"/>
      <c r="U4482" s="207"/>
      <c r="V4482" s="204"/>
      <c r="W4482" s="204"/>
      <c r="X4482" s="207"/>
      <c r="Y4482" s="207"/>
      <c r="Z4482" s="204"/>
      <c r="AA4482" s="204"/>
      <c r="AB4482" s="204"/>
      <c r="AC4482" s="204"/>
    </row>
    <row r="4483" spans="1:29">
      <c r="A4483" s="204"/>
      <c r="B4483" s="204"/>
      <c r="C4483" s="204"/>
      <c r="D4483" s="204"/>
      <c r="E4483" s="204"/>
      <c r="F4483" s="204"/>
      <c r="G4483" s="204"/>
      <c r="H4483" s="204"/>
      <c r="I4483" s="204"/>
      <c r="J4483" s="204"/>
      <c r="K4483" s="204"/>
      <c r="L4483" s="205"/>
      <c r="M4483" s="205"/>
      <c r="N4483" s="204"/>
      <c r="O4483" s="204"/>
      <c r="P4483" s="206"/>
      <c r="Q4483" s="206"/>
      <c r="R4483" s="206"/>
      <c r="S4483" s="206"/>
      <c r="T4483" s="204"/>
      <c r="U4483" s="207"/>
      <c r="V4483" s="204"/>
      <c r="W4483" s="204"/>
      <c r="X4483" s="207"/>
      <c r="Y4483" s="207"/>
      <c r="Z4483" s="204"/>
      <c r="AA4483" s="204"/>
      <c r="AB4483" s="204"/>
      <c r="AC4483" s="204"/>
    </row>
    <row r="4484" spans="1:29">
      <c r="A4484" s="204"/>
      <c r="B4484" s="204"/>
      <c r="C4484" s="204"/>
      <c r="D4484" s="204"/>
      <c r="E4484" s="204"/>
      <c r="F4484" s="204"/>
      <c r="G4484" s="204"/>
      <c r="H4484" s="204"/>
      <c r="I4484" s="204"/>
      <c r="J4484" s="204"/>
      <c r="K4484" s="204"/>
      <c r="L4484" s="205"/>
      <c r="M4484" s="205"/>
      <c r="N4484" s="204"/>
      <c r="O4484" s="204"/>
      <c r="P4484" s="206"/>
      <c r="Q4484" s="206"/>
      <c r="R4484" s="206"/>
      <c r="S4484" s="206"/>
      <c r="T4484" s="204"/>
      <c r="U4484" s="207"/>
      <c r="V4484" s="204"/>
      <c r="W4484" s="204"/>
      <c r="X4484" s="207"/>
      <c r="Y4484" s="207"/>
      <c r="Z4484" s="204"/>
      <c r="AA4484" s="204"/>
      <c r="AB4484" s="204"/>
      <c r="AC4484" s="204"/>
    </row>
    <row r="4485" spans="1:29">
      <c r="A4485" s="204"/>
      <c r="B4485" s="204"/>
      <c r="C4485" s="204"/>
      <c r="D4485" s="204"/>
      <c r="E4485" s="204"/>
      <c r="F4485" s="204"/>
      <c r="G4485" s="204"/>
      <c r="H4485" s="204"/>
      <c r="I4485" s="204"/>
      <c r="J4485" s="204"/>
      <c r="K4485" s="204"/>
      <c r="L4485" s="205"/>
      <c r="M4485" s="205"/>
      <c r="N4485" s="204"/>
      <c r="O4485" s="204"/>
      <c r="P4485" s="206"/>
      <c r="Q4485" s="206"/>
      <c r="R4485" s="206"/>
      <c r="S4485" s="206"/>
      <c r="T4485" s="204"/>
      <c r="U4485" s="207"/>
      <c r="V4485" s="204"/>
      <c r="W4485" s="204"/>
      <c r="X4485" s="207"/>
      <c r="Y4485" s="207"/>
      <c r="Z4485" s="204"/>
      <c r="AA4485" s="204"/>
      <c r="AB4485" s="204"/>
      <c r="AC4485" s="204"/>
    </row>
    <row r="4486" spans="1:29">
      <c r="A4486" s="204"/>
      <c r="B4486" s="204"/>
      <c r="C4486" s="204"/>
      <c r="D4486" s="204"/>
      <c r="E4486" s="204"/>
      <c r="F4486" s="204"/>
      <c r="G4486" s="204"/>
      <c r="H4486" s="204"/>
      <c r="I4486" s="204"/>
      <c r="J4486" s="204"/>
      <c r="K4486" s="204"/>
      <c r="L4486" s="205"/>
      <c r="M4486" s="205"/>
      <c r="N4486" s="204"/>
      <c r="O4486" s="204"/>
      <c r="P4486" s="206"/>
      <c r="Q4486" s="206"/>
      <c r="R4486" s="206"/>
      <c r="S4486" s="206"/>
      <c r="T4486" s="204"/>
      <c r="U4486" s="207"/>
      <c r="V4486" s="204"/>
      <c r="W4486" s="204"/>
      <c r="X4486" s="207"/>
      <c r="Y4486" s="207"/>
      <c r="Z4486" s="204"/>
      <c r="AA4486" s="204"/>
      <c r="AB4486" s="204"/>
      <c r="AC4486" s="204"/>
    </row>
    <row r="4487" spans="1:29">
      <c r="A4487" s="204"/>
      <c r="B4487" s="204"/>
      <c r="C4487" s="204"/>
      <c r="D4487" s="204"/>
      <c r="E4487" s="204"/>
      <c r="F4487" s="204"/>
      <c r="G4487" s="204"/>
      <c r="H4487" s="204"/>
      <c r="I4487" s="204"/>
      <c r="J4487" s="204"/>
      <c r="K4487" s="204"/>
      <c r="L4487" s="205"/>
      <c r="M4487" s="205"/>
      <c r="N4487" s="204"/>
      <c r="O4487" s="204"/>
      <c r="P4487" s="206"/>
      <c r="Q4487" s="206"/>
      <c r="R4487" s="206"/>
      <c r="S4487" s="206"/>
      <c r="T4487" s="204"/>
      <c r="U4487" s="207"/>
      <c r="V4487" s="204"/>
      <c r="W4487" s="204"/>
      <c r="X4487" s="207"/>
      <c r="Y4487" s="207"/>
      <c r="Z4487" s="204"/>
      <c r="AA4487" s="204"/>
      <c r="AB4487" s="204"/>
      <c r="AC4487" s="204"/>
    </row>
    <row r="4488" spans="1:29">
      <c r="A4488" s="204"/>
      <c r="B4488" s="204"/>
      <c r="C4488" s="204"/>
      <c r="D4488" s="204"/>
      <c r="E4488" s="204"/>
      <c r="F4488" s="204"/>
      <c r="G4488" s="204"/>
      <c r="H4488" s="204"/>
      <c r="I4488" s="204"/>
      <c r="J4488" s="204"/>
      <c r="K4488" s="204"/>
      <c r="L4488" s="205"/>
      <c r="M4488" s="205"/>
      <c r="N4488" s="204"/>
      <c r="O4488" s="204"/>
      <c r="P4488" s="206"/>
      <c r="Q4488" s="206"/>
      <c r="R4488" s="206"/>
      <c r="S4488" s="206"/>
      <c r="T4488" s="204"/>
      <c r="U4488" s="207"/>
      <c r="V4488" s="204"/>
      <c r="W4488" s="204"/>
      <c r="X4488" s="207"/>
      <c r="Y4488" s="207"/>
      <c r="Z4488" s="204"/>
      <c r="AA4488" s="204"/>
      <c r="AB4488" s="204"/>
      <c r="AC4488" s="204"/>
    </row>
    <row r="4489" spans="1:29">
      <c r="A4489" s="204"/>
      <c r="B4489" s="204"/>
      <c r="C4489" s="204"/>
      <c r="D4489" s="204"/>
      <c r="E4489" s="204"/>
      <c r="F4489" s="204"/>
      <c r="G4489" s="204"/>
      <c r="H4489" s="204"/>
      <c r="I4489" s="204"/>
      <c r="J4489" s="204"/>
      <c r="K4489" s="204"/>
      <c r="L4489" s="205"/>
      <c r="M4489" s="205"/>
      <c r="N4489" s="204"/>
      <c r="O4489" s="204"/>
      <c r="P4489" s="206"/>
      <c r="Q4489" s="206"/>
      <c r="R4489" s="206"/>
      <c r="S4489" s="206"/>
      <c r="T4489" s="204"/>
      <c r="U4489" s="207"/>
      <c r="V4489" s="204"/>
      <c r="W4489" s="204"/>
      <c r="X4489" s="207"/>
      <c r="Y4489" s="207"/>
      <c r="Z4489" s="204"/>
      <c r="AA4489" s="204"/>
      <c r="AB4489" s="204"/>
      <c r="AC4489" s="204"/>
    </row>
    <row r="4490" spans="1:29">
      <c r="A4490" s="204"/>
      <c r="B4490" s="204"/>
      <c r="C4490" s="204"/>
      <c r="D4490" s="204"/>
      <c r="E4490" s="204"/>
      <c r="F4490" s="204"/>
      <c r="G4490" s="204"/>
      <c r="H4490" s="204"/>
      <c r="I4490" s="204"/>
      <c r="J4490" s="204"/>
      <c r="K4490" s="204"/>
      <c r="L4490" s="205"/>
      <c r="M4490" s="205"/>
      <c r="N4490" s="204"/>
      <c r="O4490" s="204"/>
      <c r="P4490" s="206"/>
      <c r="Q4490" s="206"/>
      <c r="R4490" s="206"/>
      <c r="S4490" s="206"/>
      <c r="T4490" s="204"/>
      <c r="U4490" s="207"/>
      <c r="V4490" s="204"/>
      <c r="W4490" s="204"/>
      <c r="X4490" s="207"/>
      <c r="Y4490" s="207"/>
      <c r="Z4490" s="204"/>
      <c r="AA4490" s="204"/>
      <c r="AB4490" s="204"/>
      <c r="AC4490" s="204"/>
    </row>
    <row r="4491" spans="1:29">
      <c r="A4491" s="204"/>
      <c r="B4491" s="204"/>
      <c r="C4491" s="204"/>
      <c r="D4491" s="204"/>
      <c r="E4491" s="204"/>
      <c r="F4491" s="204"/>
      <c r="G4491" s="204"/>
      <c r="H4491" s="204"/>
      <c r="I4491" s="204"/>
      <c r="J4491" s="204"/>
      <c r="K4491" s="204"/>
      <c r="L4491" s="205"/>
      <c r="M4491" s="205"/>
      <c r="N4491" s="204"/>
      <c r="O4491" s="204"/>
      <c r="P4491" s="206"/>
      <c r="Q4491" s="206"/>
      <c r="R4491" s="206"/>
      <c r="S4491" s="206"/>
      <c r="T4491" s="204"/>
      <c r="U4491" s="207"/>
      <c r="V4491" s="204"/>
      <c r="W4491" s="204"/>
      <c r="X4491" s="207"/>
      <c r="Y4491" s="207"/>
      <c r="Z4491" s="204"/>
      <c r="AA4491" s="204"/>
      <c r="AB4491" s="204"/>
      <c r="AC4491" s="204"/>
    </row>
    <row r="4492" spans="1:29">
      <c r="A4492" s="204"/>
      <c r="B4492" s="204"/>
      <c r="C4492" s="204"/>
      <c r="D4492" s="204"/>
      <c r="E4492" s="204"/>
      <c r="F4492" s="204"/>
      <c r="G4492" s="204"/>
      <c r="H4492" s="204"/>
      <c r="I4492" s="204"/>
      <c r="J4492" s="204"/>
      <c r="K4492" s="204"/>
      <c r="L4492" s="205"/>
      <c r="M4492" s="205"/>
      <c r="N4492" s="204"/>
      <c r="O4492" s="204"/>
      <c r="P4492" s="206"/>
      <c r="Q4492" s="206"/>
      <c r="R4492" s="206"/>
      <c r="S4492" s="206"/>
      <c r="T4492" s="204"/>
      <c r="U4492" s="207"/>
      <c r="V4492" s="204"/>
      <c r="W4492" s="204"/>
      <c r="X4492" s="207"/>
      <c r="Y4492" s="207"/>
      <c r="Z4492" s="204"/>
      <c r="AA4492" s="204"/>
      <c r="AB4492" s="204"/>
      <c r="AC4492" s="204"/>
    </row>
    <row r="4493" spans="1:29">
      <c r="A4493" s="204"/>
      <c r="B4493" s="204"/>
      <c r="C4493" s="204"/>
      <c r="D4493" s="204"/>
      <c r="E4493" s="204"/>
      <c r="F4493" s="204"/>
      <c r="G4493" s="204"/>
      <c r="H4493" s="204"/>
      <c r="I4493" s="204"/>
      <c r="J4493" s="204"/>
      <c r="K4493" s="204"/>
      <c r="L4493" s="205"/>
      <c r="M4493" s="205"/>
      <c r="N4493" s="204"/>
      <c r="O4493" s="204"/>
      <c r="P4493" s="206"/>
      <c r="Q4493" s="206"/>
      <c r="R4493" s="206"/>
      <c r="S4493" s="206"/>
      <c r="T4493" s="204"/>
      <c r="U4493" s="207"/>
      <c r="V4493" s="204"/>
      <c r="W4493" s="204"/>
      <c r="X4493" s="207"/>
      <c r="Y4493" s="207"/>
      <c r="Z4493" s="204"/>
      <c r="AA4493" s="204"/>
      <c r="AB4493" s="204"/>
      <c r="AC4493" s="204"/>
    </row>
    <row r="4494" spans="1:29">
      <c r="A4494" s="204"/>
      <c r="B4494" s="204"/>
      <c r="C4494" s="204"/>
      <c r="D4494" s="204"/>
      <c r="E4494" s="204"/>
      <c r="F4494" s="204"/>
      <c r="G4494" s="204"/>
      <c r="H4494" s="204"/>
      <c r="I4494" s="204"/>
      <c r="J4494" s="204"/>
      <c r="K4494" s="204"/>
      <c r="L4494" s="205"/>
      <c r="M4494" s="205"/>
      <c r="N4494" s="204"/>
      <c r="O4494" s="204"/>
      <c r="P4494" s="206"/>
      <c r="Q4494" s="206"/>
      <c r="R4494" s="206"/>
      <c r="S4494" s="206"/>
      <c r="T4494" s="204"/>
      <c r="U4494" s="207"/>
      <c r="V4494" s="204"/>
      <c r="W4494" s="204"/>
      <c r="X4494" s="207"/>
      <c r="Y4494" s="207"/>
      <c r="Z4494" s="204"/>
      <c r="AA4494" s="204"/>
      <c r="AB4494" s="204"/>
      <c r="AC4494" s="204"/>
    </row>
    <row r="4495" spans="1:29">
      <c r="A4495" s="204"/>
      <c r="B4495" s="204"/>
      <c r="C4495" s="204"/>
      <c r="D4495" s="204"/>
      <c r="E4495" s="204"/>
      <c r="F4495" s="204"/>
      <c r="G4495" s="204"/>
      <c r="H4495" s="204"/>
      <c r="I4495" s="204"/>
      <c r="J4495" s="204"/>
      <c r="K4495" s="204"/>
      <c r="L4495" s="205"/>
      <c r="M4495" s="205"/>
      <c r="N4495" s="204"/>
      <c r="O4495" s="204"/>
      <c r="P4495" s="206"/>
      <c r="Q4495" s="206"/>
      <c r="R4495" s="206"/>
      <c r="S4495" s="206"/>
      <c r="T4495" s="204"/>
      <c r="U4495" s="207"/>
      <c r="V4495" s="204"/>
      <c r="W4495" s="204"/>
      <c r="X4495" s="207"/>
      <c r="Y4495" s="207"/>
      <c r="Z4495" s="204"/>
      <c r="AA4495" s="204"/>
      <c r="AB4495" s="204"/>
      <c r="AC4495" s="204"/>
    </row>
    <row r="4496" spans="1:29">
      <c r="A4496" s="204"/>
      <c r="B4496" s="204"/>
      <c r="C4496" s="204"/>
      <c r="D4496" s="204"/>
      <c r="E4496" s="204"/>
      <c r="F4496" s="204"/>
      <c r="G4496" s="204"/>
      <c r="H4496" s="204"/>
      <c r="I4496" s="204"/>
      <c r="J4496" s="204"/>
      <c r="K4496" s="204"/>
      <c r="L4496" s="205"/>
      <c r="M4496" s="205"/>
      <c r="N4496" s="204"/>
      <c r="O4496" s="204"/>
      <c r="P4496" s="206"/>
      <c r="Q4496" s="206"/>
      <c r="R4496" s="206"/>
      <c r="S4496" s="206"/>
      <c r="T4496" s="204"/>
      <c r="U4496" s="207"/>
      <c r="V4496" s="204"/>
      <c r="W4496" s="204"/>
      <c r="X4496" s="207"/>
      <c r="Y4496" s="207"/>
      <c r="Z4496" s="204"/>
      <c r="AA4496" s="204"/>
      <c r="AB4496" s="204"/>
      <c r="AC4496" s="204"/>
    </row>
    <row r="4497" spans="1:29">
      <c r="A4497" s="204"/>
      <c r="B4497" s="204"/>
      <c r="C4497" s="204"/>
      <c r="D4497" s="204"/>
      <c r="E4497" s="204"/>
      <c r="F4497" s="204"/>
      <c r="G4497" s="204"/>
      <c r="H4497" s="204"/>
      <c r="I4497" s="204"/>
      <c r="J4497" s="204"/>
      <c r="K4497" s="204"/>
      <c r="L4497" s="205"/>
      <c r="M4497" s="205"/>
      <c r="N4497" s="204"/>
      <c r="O4497" s="204"/>
      <c r="P4497" s="206"/>
      <c r="Q4497" s="206"/>
      <c r="R4497" s="206"/>
      <c r="S4497" s="206"/>
      <c r="T4497" s="204"/>
      <c r="U4497" s="207"/>
      <c r="V4497" s="204"/>
      <c r="W4497" s="204"/>
      <c r="X4497" s="207"/>
      <c r="Y4497" s="207"/>
      <c r="Z4497" s="204"/>
      <c r="AA4497" s="204"/>
      <c r="AB4497" s="204"/>
      <c r="AC4497" s="204"/>
    </row>
    <row r="4498" spans="1:29">
      <c r="A4498" s="204"/>
      <c r="B4498" s="204"/>
      <c r="C4498" s="204"/>
      <c r="D4498" s="204"/>
      <c r="E4498" s="204"/>
      <c r="F4498" s="204"/>
      <c r="G4498" s="204"/>
      <c r="H4498" s="204"/>
      <c r="I4498" s="204"/>
      <c r="J4498" s="204"/>
      <c r="K4498" s="204"/>
      <c r="L4498" s="205"/>
      <c r="M4498" s="205"/>
      <c r="N4498" s="204"/>
      <c r="O4498" s="204"/>
      <c r="P4498" s="206"/>
      <c r="Q4498" s="206"/>
      <c r="R4498" s="206"/>
      <c r="S4498" s="206"/>
      <c r="T4498" s="204"/>
      <c r="U4498" s="207"/>
      <c r="V4498" s="204"/>
      <c r="W4498" s="204"/>
      <c r="X4498" s="207"/>
      <c r="Y4498" s="207"/>
      <c r="Z4498" s="204"/>
      <c r="AA4498" s="204"/>
      <c r="AB4498" s="204"/>
      <c r="AC4498" s="204"/>
    </row>
    <row r="4499" spans="1:29">
      <c r="A4499" s="204"/>
      <c r="B4499" s="204"/>
      <c r="C4499" s="204"/>
      <c r="D4499" s="204"/>
      <c r="E4499" s="204"/>
      <c r="F4499" s="204"/>
      <c r="G4499" s="204"/>
      <c r="H4499" s="204"/>
      <c r="I4499" s="204"/>
      <c r="J4499" s="204"/>
      <c r="K4499" s="204"/>
      <c r="L4499" s="205"/>
      <c r="M4499" s="205"/>
      <c r="N4499" s="204"/>
      <c r="O4499" s="204"/>
      <c r="P4499" s="206"/>
      <c r="Q4499" s="206"/>
      <c r="R4499" s="206"/>
      <c r="S4499" s="206"/>
      <c r="T4499" s="204"/>
      <c r="U4499" s="207"/>
      <c r="V4499" s="204"/>
      <c r="W4499" s="204"/>
      <c r="X4499" s="207"/>
      <c r="Y4499" s="207"/>
      <c r="Z4499" s="204"/>
      <c r="AA4499" s="204"/>
      <c r="AB4499" s="204"/>
      <c r="AC4499" s="204"/>
    </row>
    <row r="4500" spans="1:29">
      <c r="A4500" s="204"/>
      <c r="B4500" s="204"/>
      <c r="C4500" s="204"/>
      <c r="D4500" s="204"/>
      <c r="E4500" s="204"/>
      <c r="F4500" s="204"/>
      <c r="G4500" s="204"/>
      <c r="H4500" s="204"/>
      <c r="I4500" s="204"/>
      <c r="J4500" s="204"/>
      <c r="K4500" s="204"/>
      <c r="L4500" s="205"/>
      <c r="M4500" s="205"/>
      <c r="N4500" s="204"/>
      <c r="O4500" s="204"/>
      <c r="P4500" s="206"/>
      <c r="Q4500" s="206"/>
      <c r="R4500" s="206"/>
      <c r="S4500" s="206"/>
      <c r="T4500" s="204"/>
      <c r="U4500" s="207"/>
      <c r="V4500" s="204"/>
      <c r="W4500" s="204"/>
      <c r="X4500" s="207"/>
      <c r="Y4500" s="207"/>
      <c r="Z4500" s="204"/>
      <c r="AA4500" s="204"/>
      <c r="AB4500" s="204"/>
      <c r="AC4500" s="204"/>
    </row>
    <row r="4501" spans="1:29">
      <c r="A4501" s="204"/>
      <c r="B4501" s="204"/>
      <c r="C4501" s="204"/>
      <c r="D4501" s="204"/>
      <c r="E4501" s="204"/>
      <c r="F4501" s="204"/>
      <c r="G4501" s="204"/>
      <c r="H4501" s="204"/>
      <c r="I4501" s="204"/>
      <c r="J4501" s="204"/>
      <c r="K4501" s="204"/>
      <c r="L4501" s="205"/>
      <c r="M4501" s="205"/>
      <c r="N4501" s="204"/>
      <c r="O4501" s="204"/>
      <c r="P4501" s="206"/>
      <c r="Q4501" s="206"/>
      <c r="R4501" s="206"/>
      <c r="S4501" s="206"/>
      <c r="T4501" s="204"/>
      <c r="U4501" s="207"/>
      <c r="V4501" s="204"/>
      <c r="W4501" s="204"/>
      <c r="X4501" s="207"/>
      <c r="Y4501" s="207"/>
      <c r="Z4501" s="204"/>
      <c r="AA4501" s="204"/>
      <c r="AB4501" s="204"/>
      <c r="AC4501" s="204"/>
    </row>
    <row r="4502" spans="1:29">
      <c r="A4502" s="204"/>
      <c r="B4502" s="204"/>
      <c r="C4502" s="204"/>
      <c r="D4502" s="204"/>
      <c r="E4502" s="204"/>
      <c r="F4502" s="204"/>
      <c r="G4502" s="204"/>
      <c r="H4502" s="204"/>
      <c r="I4502" s="204"/>
      <c r="J4502" s="204"/>
      <c r="K4502" s="204"/>
      <c r="L4502" s="205"/>
      <c r="M4502" s="205"/>
      <c r="N4502" s="204"/>
      <c r="O4502" s="204"/>
      <c r="P4502" s="206"/>
      <c r="Q4502" s="206"/>
      <c r="R4502" s="206"/>
      <c r="S4502" s="206"/>
      <c r="T4502" s="204"/>
      <c r="U4502" s="207"/>
      <c r="V4502" s="204"/>
      <c r="W4502" s="204"/>
      <c r="X4502" s="207"/>
      <c r="Y4502" s="207"/>
      <c r="Z4502" s="204"/>
      <c r="AA4502" s="204"/>
      <c r="AB4502" s="204"/>
      <c r="AC4502" s="204"/>
    </row>
    <row r="4503" spans="1:29">
      <c r="A4503" s="204"/>
      <c r="B4503" s="204"/>
      <c r="C4503" s="204"/>
      <c r="D4503" s="204"/>
      <c r="E4503" s="204"/>
      <c r="F4503" s="204"/>
      <c r="G4503" s="204"/>
      <c r="H4503" s="204"/>
      <c r="I4503" s="204"/>
      <c r="J4503" s="204"/>
      <c r="K4503" s="204"/>
      <c r="L4503" s="205"/>
      <c r="M4503" s="205"/>
      <c r="N4503" s="204"/>
      <c r="O4503" s="204"/>
      <c r="P4503" s="206"/>
      <c r="Q4503" s="206"/>
      <c r="R4503" s="206"/>
      <c r="S4503" s="206"/>
      <c r="T4503" s="204"/>
      <c r="U4503" s="207"/>
      <c r="V4503" s="204"/>
      <c r="W4503" s="204"/>
      <c r="X4503" s="207"/>
      <c r="Y4503" s="207"/>
      <c r="Z4503" s="204"/>
      <c r="AA4503" s="204"/>
      <c r="AB4503" s="204"/>
      <c r="AC4503" s="204"/>
    </row>
    <row r="4504" spans="1:29">
      <c r="A4504" s="204"/>
      <c r="B4504" s="204"/>
      <c r="C4504" s="204"/>
      <c r="D4504" s="204"/>
      <c r="E4504" s="204"/>
      <c r="F4504" s="204"/>
      <c r="G4504" s="204"/>
      <c r="H4504" s="204"/>
      <c r="I4504" s="204"/>
      <c r="J4504" s="204"/>
      <c r="K4504" s="204"/>
      <c r="L4504" s="205"/>
      <c r="M4504" s="205"/>
      <c r="N4504" s="204"/>
      <c r="O4504" s="204"/>
      <c r="P4504" s="206"/>
      <c r="Q4504" s="206"/>
      <c r="R4504" s="206"/>
      <c r="S4504" s="206"/>
      <c r="T4504" s="204"/>
      <c r="U4504" s="207"/>
      <c r="V4504" s="204"/>
      <c r="W4504" s="204"/>
      <c r="X4504" s="207"/>
      <c r="Y4504" s="207"/>
      <c r="Z4504" s="204"/>
      <c r="AA4504" s="204"/>
      <c r="AB4504" s="204"/>
      <c r="AC4504" s="204"/>
    </row>
    <row r="4505" spans="1:29">
      <c r="A4505" s="204"/>
      <c r="B4505" s="204"/>
      <c r="C4505" s="204"/>
      <c r="D4505" s="204"/>
      <c r="E4505" s="204"/>
      <c r="F4505" s="204"/>
      <c r="G4505" s="204"/>
      <c r="H4505" s="204"/>
      <c r="I4505" s="204"/>
      <c r="J4505" s="204"/>
      <c r="K4505" s="204"/>
      <c r="L4505" s="205"/>
      <c r="M4505" s="205"/>
      <c r="N4505" s="204"/>
      <c r="O4505" s="204"/>
      <c r="P4505" s="206"/>
      <c r="Q4505" s="206"/>
      <c r="R4505" s="206"/>
      <c r="S4505" s="206"/>
      <c r="T4505" s="204"/>
      <c r="U4505" s="207"/>
      <c r="V4505" s="204"/>
      <c r="W4505" s="204"/>
      <c r="X4505" s="207"/>
      <c r="Y4505" s="207"/>
      <c r="Z4505" s="204"/>
      <c r="AA4505" s="204"/>
      <c r="AB4505" s="204"/>
      <c r="AC4505" s="204"/>
    </row>
    <row r="4506" spans="1:29">
      <c r="A4506" s="204"/>
      <c r="B4506" s="204"/>
      <c r="C4506" s="204"/>
      <c r="D4506" s="204"/>
      <c r="E4506" s="204"/>
      <c r="F4506" s="204"/>
      <c r="G4506" s="204"/>
      <c r="H4506" s="204"/>
      <c r="I4506" s="204"/>
      <c r="J4506" s="204"/>
      <c r="K4506" s="204"/>
      <c r="L4506" s="205"/>
      <c r="M4506" s="205"/>
      <c r="N4506" s="204"/>
      <c r="O4506" s="204"/>
      <c r="P4506" s="206"/>
      <c r="Q4506" s="206"/>
      <c r="R4506" s="206"/>
      <c r="S4506" s="206"/>
      <c r="T4506" s="204"/>
      <c r="U4506" s="207"/>
      <c r="V4506" s="204"/>
      <c r="W4506" s="204"/>
      <c r="X4506" s="207"/>
      <c r="Y4506" s="207"/>
      <c r="Z4506" s="204"/>
      <c r="AA4506" s="204"/>
      <c r="AB4506" s="204"/>
      <c r="AC4506" s="204"/>
    </row>
    <row r="4507" spans="1:29">
      <c r="A4507" s="204"/>
      <c r="B4507" s="204"/>
      <c r="C4507" s="204"/>
      <c r="D4507" s="204"/>
      <c r="E4507" s="204"/>
      <c r="F4507" s="204"/>
      <c r="G4507" s="204"/>
      <c r="H4507" s="204"/>
      <c r="I4507" s="204"/>
      <c r="J4507" s="204"/>
      <c r="K4507" s="204"/>
      <c r="L4507" s="205"/>
      <c r="M4507" s="205"/>
      <c r="N4507" s="204"/>
      <c r="O4507" s="204"/>
      <c r="P4507" s="206"/>
      <c r="Q4507" s="206"/>
      <c r="R4507" s="206"/>
      <c r="S4507" s="206"/>
      <c r="T4507" s="204"/>
      <c r="U4507" s="207"/>
      <c r="V4507" s="204"/>
      <c r="W4507" s="204"/>
      <c r="X4507" s="207"/>
      <c r="Y4507" s="207"/>
      <c r="Z4507" s="204"/>
      <c r="AA4507" s="204"/>
      <c r="AB4507" s="204"/>
      <c r="AC4507" s="204"/>
    </row>
    <row r="4508" spans="1:29">
      <c r="A4508" s="204"/>
      <c r="B4508" s="204"/>
      <c r="C4508" s="204"/>
      <c r="D4508" s="204"/>
      <c r="E4508" s="204"/>
      <c r="F4508" s="204"/>
      <c r="G4508" s="204"/>
      <c r="H4508" s="204"/>
      <c r="I4508" s="204"/>
      <c r="J4508" s="204"/>
      <c r="K4508" s="204"/>
      <c r="L4508" s="205"/>
      <c r="M4508" s="205"/>
      <c r="N4508" s="204"/>
      <c r="O4508" s="204"/>
      <c r="P4508" s="206"/>
      <c r="Q4508" s="206"/>
      <c r="R4508" s="206"/>
      <c r="S4508" s="206"/>
      <c r="T4508" s="204"/>
      <c r="U4508" s="207"/>
      <c r="V4508" s="204"/>
      <c r="W4508" s="204"/>
      <c r="X4508" s="207"/>
      <c r="Y4508" s="207"/>
      <c r="Z4508" s="204"/>
      <c r="AA4508" s="204"/>
      <c r="AB4508" s="204"/>
      <c r="AC4508" s="204"/>
    </row>
    <row r="4509" spans="1:29">
      <c r="A4509" s="204"/>
      <c r="B4509" s="204"/>
      <c r="C4509" s="204"/>
      <c r="D4509" s="204"/>
      <c r="E4509" s="204"/>
      <c r="F4509" s="204"/>
      <c r="G4509" s="204"/>
      <c r="H4509" s="204"/>
      <c r="I4509" s="204"/>
      <c r="J4509" s="204"/>
      <c r="K4509" s="204"/>
      <c r="L4509" s="205"/>
      <c r="M4509" s="205"/>
      <c r="N4509" s="204"/>
      <c r="O4509" s="204"/>
      <c r="P4509" s="206"/>
      <c r="Q4509" s="206"/>
      <c r="R4509" s="206"/>
      <c r="S4509" s="206"/>
      <c r="T4509" s="204"/>
      <c r="U4509" s="207"/>
      <c r="V4509" s="204"/>
      <c r="W4509" s="204"/>
      <c r="X4509" s="207"/>
      <c r="Y4509" s="207"/>
      <c r="Z4509" s="204"/>
      <c r="AA4509" s="204"/>
      <c r="AB4509" s="204"/>
      <c r="AC4509" s="204"/>
    </row>
    <row r="4510" spans="1:29">
      <c r="A4510" s="204"/>
      <c r="B4510" s="204"/>
      <c r="C4510" s="204"/>
      <c r="D4510" s="204"/>
      <c r="E4510" s="204"/>
      <c r="F4510" s="204"/>
      <c r="G4510" s="204"/>
      <c r="H4510" s="204"/>
      <c r="I4510" s="204"/>
      <c r="J4510" s="204"/>
      <c r="K4510" s="204"/>
      <c r="L4510" s="205"/>
      <c r="M4510" s="205"/>
      <c r="N4510" s="204"/>
      <c r="O4510" s="204"/>
      <c r="P4510" s="206"/>
      <c r="Q4510" s="206"/>
      <c r="R4510" s="206"/>
      <c r="S4510" s="206"/>
      <c r="T4510" s="204"/>
      <c r="U4510" s="207"/>
      <c r="V4510" s="204"/>
      <c r="W4510" s="204"/>
      <c r="X4510" s="207"/>
      <c r="Y4510" s="207"/>
      <c r="Z4510" s="204"/>
      <c r="AA4510" s="204"/>
      <c r="AB4510" s="204"/>
      <c r="AC4510" s="204"/>
    </row>
    <row r="4511" spans="1:29">
      <c r="A4511" s="204"/>
      <c r="B4511" s="204"/>
      <c r="C4511" s="204"/>
      <c r="D4511" s="204"/>
      <c r="E4511" s="204"/>
      <c r="F4511" s="204"/>
      <c r="G4511" s="204"/>
      <c r="H4511" s="204"/>
      <c r="I4511" s="204"/>
      <c r="J4511" s="204"/>
      <c r="K4511" s="204"/>
      <c r="L4511" s="205"/>
      <c r="M4511" s="205"/>
      <c r="N4511" s="204"/>
      <c r="O4511" s="204"/>
      <c r="P4511" s="206"/>
      <c r="Q4511" s="206"/>
      <c r="R4511" s="206"/>
      <c r="S4511" s="206"/>
      <c r="T4511" s="204"/>
      <c r="U4511" s="207"/>
      <c r="V4511" s="204"/>
      <c r="W4511" s="204"/>
      <c r="X4511" s="207"/>
      <c r="Y4511" s="207"/>
      <c r="Z4511" s="204"/>
      <c r="AA4511" s="204"/>
      <c r="AB4511" s="204"/>
      <c r="AC4511" s="204"/>
    </row>
    <row r="4512" spans="1:29">
      <c r="A4512" s="204"/>
      <c r="B4512" s="204"/>
      <c r="C4512" s="204"/>
      <c r="D4512" s="204"/>
      <c r="E4512" s="204"/>
      <c r="F4512" s="204"/>
      <c r="G4512" s="204"/>
      <c r="H4512" s="204"/>
      <c r="I4512" s="204"/>
      <c r="J4512" s="204"/>
      <c r="K4512" s="204"/>
      <c r="L4512" s="205"/>
      <c r="M4512" s="205"/>
      <c r="N4512" s="204"/>
      <c r="O4512" s="204"/>
      <c r="P4512" s="206"/>
      <c r="Q4512" s="206"/>
      <c r="R4512" s="206"/>
      <c r="S4512" s="206"/>
      <c r="T4512" s="204"/>
      <c r="U4512" s="207"/>
      <c r="V4512" s="204"/>
      <c r="W4512" s="204"/>
      <c r="X4512" s="207"/>
      <c r="Y4512" s="207"/>
      <c r="Z4512" s="204"/>
      <c r="AA4512" s="204"/>
      <c r="AB4512" s="204"/>
      <c r="AC4512" s="204"/>
    </row>
    <row r="4513" spans="1:29">
      <c r="A4513" s="204"/>
      <c r="B4513" s="204"/>
      <c r="C4513" s="204"/>
      <c r="D4513" s="204"/>
      <c r="E4513" s="204"/>
      <c r="F4513" s="204"/>
      <c r="G4513" s="204"/>
      <c r="H4513" s="204"/>
      <c r="I4513" s="204"/>
      <c r="J4513" s="204"/>
      <c r="K4513" s="204"/>
      <c r="L4513" s="205"/>
      <c r="M4513" s="205"/>
      <c r="N4513" s="204"/>
      <c r="O4513" s="204"/>
      <c r="P4513" s="206"/>
      <c r="Q4513" s="206"/>
      <c r="R4513" s="206"/>
      <c r="S4513" s="206"/>
      <c r="T4513" s="204"/>
      <c r="U4513" s="207"/>
      <c r="V4513" s="204"/>
      <c r="W4513" s="204"/>
      <c r="X4513" s="207"/>
      <c r="Y4513" s="207"/>
      <c r="Z4513" s="204"/>
      <c r="AA4513" s="204"/>
      <c r="AB4513" s="204"/>
      <c r="AC4513" s="204"/>
    </row>
    <row r="4514" spans="1:29">
      <c r="A4514" s="204"/>
      <c r="B4514" s="204"/>
      <c r="C4514" s="204"/>
      <c r="D4514" s="204"/>
      <c r="E4514" s="204"/>
      <c r="F4514" s="204"/>
      <c r="G4514" s="204"/>
      <c r="H4514" s="204"/>
      <c r="I4514" s="204"/>
      <c r="J4514" s="204"/>
      <c r="K4514" s="204"/>
      <c r="L4514" s="205"/>
      <c r="M4514" s="205"/>
      <c r="N4514" s="204"/>
      <c r="O4514" s="204"/>
      <c r="P4514" s="206"/>
      <c r="Q4514" s="206"/>
      <c r="R4514" s="206"/>
      <c r="S4514" s="206"/>
      <c r="T4514" s="204"/>
      <c r="U4514" s="207"/>
      <c r="V4514" s="204"/>
      <c r="W4514" s="204"/>
      <c r="X4514" s="207"/>
      <c r="Y4514" s="207"/>
      <c r="Z4514" s="204"/>
      <c r="AA4514" s="204"/>
      <c r="AB4514" s="204"/>
      <c r="AC4514" s="204"/>
    </row>
    <row r="4515" spans="1:29">
      <c r="A4515" s="204"/>
      <c r="B4515" s="204"/>
      <c r="C4515" s="204"/>
      <c r="D4515" s="204"/>
      <c r="E4515" s="204"/>
      <c r="F4515" s="204"/>
      <c r="G4515" s="204"/>
      <c r="H4515" s="204"/>
      <c r="I4515" s="204"/>
      <c r="J4515" s="204"/>
      <c r="K4515" s="204"/>
      <c r="L4515" s="205"/>
      <c r="M4515" s="205"/>
      <c r="N4515" s="204"/>
      <c r="O4515" s="204"/>
      <c r="P4515" s="206"/>
      <c r="Q4515" s="206"/>
      <c r="R4515" s="206"/>
      <c r="S4515" s="206"/>
      <c r="T4515" s="204"/>
      <c r="U4515" s="207"/>
      <c r="V4515" s="204"/>
      <c r="W4515" s="204"/>
      <c r="X4515" s="207"/>
      <c r="Y4515" s="207"/>
      <c r="Z4515" s="204"/>
      <c r="AA4515" s="204"/>
      <c r="AB4515" s="204"/>
      <c r="AC4515" s="204"/>
    </row>
    <row r="4516" spans="1:29">
      <c r="A4516" s="204"/>
      <c r="B4516" s="204"/>
      <c r="C4516" s="204"/>
      <c r="D4516" s="204"/>
      <c r="E4516" s="204"/>
      <c r="F4516" s="204"/>
      <c r="G4516" s="204"/>
      <c r="H4516" s="204"/>
      <c r="I4516" s="204"/>
      <c r="J4516" s="204"/>
      <c r="K4516" s="204"/>
      <c r="L4516" s="205"/>
      <c r="M4516" s="205"/>
      <c r="N4516" s="204"/>
      <c r="O4516" s="204"/>
      <c r="P4516" s="206"/>
      <c r="Q4516" s="206"/>
      <c r="R4516" s="206"/>
      <c r="S4516" s="206"/>
      <c r="T4516" s="204"/>
      <c r="U4516" s="207"/>
      <c r="V4516" s="204"/>
      <c r="W4516" s="204"/>
      <c r="X4516" s="207"/>
      <c r="Y4516" s="207"/>
      <c r="Z4516" s="204"/>
      <c r="AA4516" s="204"/>
      <c r="AB4516" s="204"/>
      <c r="AC4516" s="204"/>
    </row>
    <row r="4517" spans="1:29">
      <c r="A4517" s="204"/>
      <c r="B4517" s="204"/>
      <c r="C4517" s="204"/>
      <c r="D4517" s="204"/>
      <c r="E4517" s="204"/>
      <c r="F4517" s="204"/>
      <c r="G4517" s="204"/>
      <c r="H4517" s="204"/>
      <c r="I4517" s="204"/>
      <c r="J4517" s="204"/>
      <c r="K4517" s="204"/>
      <c r="L4517" s="205"/>
      <c r="M4517" s="205"/>
      <c r="N4517" s="204"/>
      <c r="O4517" s="204"/>
      <c r="P4517" s="206"/>
      <c r="Q4517" s="206"/>
      <c r="R4517" s="206"/>
      <c r="S4517" s="206"/>
      <c r="T4517" s="204"/>
      <c r="U4517" s="207"/>
      <c r="V4517" s="204"/>
      <c r="W4517" s="204"/>
      <c r="X4517" s="207"/>
      <c r="Y4517" s="207"/>
      <c r="Z4517" s="204"/>
      <c r="AA4517" s="204"/>
      <c r="AB4517" s="204"/>
      <c r="AC4517" s="204"/>
    </row>
    <row r="4518" spans="1:29">
      <c r="A4518" s="204"/>
      <c r="B4518" s="204"/>
      <c r="C4518" s="204"/>
      <c r="D4518" s="204"/>
      <c r="E4518" s="204"/>
      <c r="F4518" s="204"/>
      <c r="G4518" s="204"/>
      <c r="H4518" s="204"/>
      <c r="I4518" s="204"/>
      <c r="J4518" s="204"/>
      <c r="K4518" s="204"/>
      <c r="L4518" s="205"/>
      <c r="M4518" s="205"/>
      <c r="N4518" s="204"/>
      <c r="O4518" s="204"/>
      <c r="P4518" s="206"/>
      <c r="Q4518" s="206"/>
      <c r="R4518" s="206"/>
      <c r="S4518" s="206"/>
      <c r="T4518" s="204"/>
      <c r="U4518" s="207"/>
      <c r="V4518" s="204"/>
      <c r="W4518" s="204"/>
      <c r="X4518" s="207"/>
      <c r="Y4518" s="207"/>
      <c r="Z4518" s="204"/>
      <c r="AA4518" s="204"/>
      <c r="AB4518" s="204"/>
      <c r="AC4518" s="204"/>
    </row>
    <row r="4519" spans="1:29">
      <c r="A4519" s="204"/>
      <c r="B4519" s="204"/>
      <c r="C4519" s="204"/>
      <c r="D4519" s="204"/>
      <c r="E4519" s="204"/>
      <c r="F4519" s="204"/>
      <c r="G4519" s="204"/>
      <c r="H4519" s="204"/>
      <c r="I4519" s="204"/>
      <c r="J4519" s="204"/>
      <c r="K4519" s="204"/>
      <c r="L4519" s="205"/>
      <c r="M4519" s="205"/>
      <c r="N4519" s="204"/>
      <c r="O4519" s="204"/>
      <c r="P4519" s="206"/>
      <c r="Q4519" s="206"/>
      <c r="R4519" s="206"/>
      <c r="S4519" s="206"/>
      <c r="T4519" s="204"/>
      <c r="U4519" s="207"/>
      <c r="V4519" s="204"/>
      <c r="W4519" s="204"/>
      <c r="X4519" s="207"/>
      <c r="Y4519" s="207"/>
      <c r="Z4519" s="204"/>
      <c r="AA4519" s="204"/>
      <c r="AB4519" s="204"/>
      <c r="AC4519" s="204"/>
    </row>
    <row r="4520" spans="1:29">
      <c r="A4520" s="204"/>
      <c r="B4520" s="204"/>
      <c r="C4520" s="204"/>
      <c r="D4520" s="204"/>
      <c r="E4520" s="204"/>
      <c r="F4520" s="204"/>
      <c r="G4520" s="204"/>
      <c r="H4520" s="204"/>
      <c r="I4520" s="204"/>
      <c r="J4520" s="204"/>
      <c r="K4520" s="204"/>
      <c r="L4520" s="205"/>
      <c r="M4520" s="205"/>
      <c r="N4520" s="204"/>
      <c r="O4520" s="204"/>
      <c r="P4520" s="206"/>
      <c r="Q4520" s="206"/>
      <c r="R4520" s="206"/>
      <c r="S4520" s="206"/>
      <c r="T4520" s="204"/>
      <c r="U4520" s="207"/>
      <c r="V4520" s="204"/>
      <c r="W4520" s="204"/>
      <c r="X4520" s="207"/>
      <c r="Y4520" s="207"/>
      <c r="Z4520" s="204"/>
      <c r="AA4520" s="204"/>
      <c r="AB4520" s="204"/>
      <c r="AC4520" s="204"/>
    </row>
    <row r="4521" spans="1:29">
      <c r="A4521" s="204"/>
      <c r="B4521" s="204"/>
      <c r="C4521" s="204"/>
      <c r="D4521" s="204"/>
      <c r="E4521" s="204"/>
      <c r="F4521" s="204"/>
      <c r="G4521" s="204"/>
      <c r="H4521" s="204"/>
      <c r="I4521" s="204"/>
      <c r="J4521" s="204"/>
      <c r="K4521" s="204"/>
      <c r="L4521" s="205"/>
      <c r="M4521" s="205"/>
      <c r="N4521" s="204"/>
      <c r="O4521" s="204"/>
      <c r="P4521" s="206"/>
      <c r="Q4521" s="206"/>
      <c r="R4521" s="206"/>
      <c r="S4521" s="206"/>
      <c r="T4521" s="204"/>
      <c r="U4521" s="207"/>
      <c r="V4521" s="204"/>
      <c r="W4521" s="204"/>
      <c r="X4521" s="207"/>
      <c r="Y4521" s="207"/>
      <c r="Z4521" s="204"/>
      <c r="AA4521" s="204"/>
      <c r="AB4521" s="204"/>
      <c r="AC4521" s="204"/>
    </row>
    <row r="4522" spans="1:29">
      <c r="A4522" s="204"/>
      <c r="B4522" s="204"/>
      <c r="C4522" s="204"/>
      <c r="D4522" s="204"/>
      <c r="E4522" s="204"/>
      <c r="F4522" s="204"/>
      <c r="G4522" s="204"/>
      <c r="H4522" s="204"/>
      <c r="I4522" s="204"/>
      <c r="J4522" s="204"/>
      <c r="K4522" s="204"/>
      <c r="L4522" s="205"/>
      <c r="M4522" s="205"/>
      <c r="N4522" s="204"/>
      <c r="O4522" s="204"/>
      <c r="P4522" s="206"/>
      <c r="Q4522" s="206"/>
      <c r="R4522" s="206"/>
      <c r="S4522" s="206"/>
      <c r="T4522" s="204"/>
      <c r="U4522" s="207"/>
      <c r="V4522" s="204"/>
      <c r="W4522" s="204"/>
      <c r="X4522" s="207"/>
      <c r="Y4522" s="207"/>
      <c r="Z4522" s="204"/>
      <c r="AA4522" s="204"/>
      <c r="AB4522" s="204"/>
      <c r="AC4522" s="204"/>
    </row>
    <row r="4523" spans="1:29">
      <c r="A4523" s="204"/>
      <c r="B4523" s="204"/>
      <c r="C4523" s="204"/>
      <c r="D4523" s="204"/>
      <c r="E4523" s="204"/>
      <c r="F4523" s="204"/>
      <c r="G4523" s="204"/>
      <c r="H4523" s="204"/>
      <c r="I4523" s="204"/>
      <c r="J4523" s="204"/>
      <c r="K4523" s="204"/>
      <c r="L4523" s="205"/>
      <c r="M4523" s="205"/>
      <c r="N4523" s="204"/>
      <c r="O4523" s="204"/>
      <c r="P4523" s="206"/>
      <c r="Q4523" s="206"/>
      <c r="R4523" s="206"/>
      <c r="S4523" s="206"/>
      <c r="T4523" s="204"/>
      <c r="U4523" s="207"/>
      <c r="V4523" s="204"/>
      <c r="W4523" s="204"/>
      <c r="X4523" s="207"/>
      <c r="Y4523" s="207"/>
      <c r="Z4523" s="204"/>
      <c r="AA4523" s="204"/>
      <c r="AB4523" s="204"/>
      <c r="AC4523" s="204"/>
    </row>
    <row r="4524" spans="1:29">
      <c r="A4524" s="204"/>
      <c r="B4524" s="204"/>
      <c r="C4524" s="204"/>
      <c r="D4524" s="204"/>
      <c r="E4524" s="204"/>
      <c r="F4524" s="204"/>
      <c r="G4524" s="204"/>
      <c r="H4524" s="204"/>
      <c r="I4524" s="204"/>
      <c r="J4524" s="204"/>
      <c r="K4524" s="204"/>
      <c r="L4524" s="205"/>
      <c r="M4524" s="205"/>
      <c r="N4524" s="204"/>
      <c r="O4524" s="204"/>
      <c r="P4524" s="206"/>
      <c r="Q4524" s="206"/>
      <c r="R4524" s="206"/>
      <c r="S4524" s="206"/>
      <c r="T4524" s="204"/>
      <c r="U4524" s="207"/>
      <c r="V4524" s="204"/>
      <c r="W4524" s="204"/>
      <c r="X4524" s="207"/>
      <c r="Y4524" s="207"/>
      <c r="Z4524" s="204"/>
      <c r="AA4524" s="204"/>
      <c r="AB4524" s="204"/>
      <c r="AC4524" s="204"/>
    </row>
    <row r="4525" spans="1:29">
      <c r="A4525" s="204"/>
      <c r="B4525" s="204"/>
      <c r="C4525" s="204"/>
      <c r="D4525" s="204"/>
      <c r="E4525" s="204"/>
      <c r="F4525" s="204"/>
      <c r="G4525" s="204"/>
      <c r="H4525" s="204"/>
      <c r="I4525" s="204"/>
      <c r="J4525" s="204"/>
      <c r="K4525" s="204"/>
      <c r="L4525" s="205"/>
      <c r="M4525" s="205"/>
      <c r="N4525" s="204"/>
      <c r="O4525" s="204"/>
      <c r="P4525" s="206"/>
      <c r="Q4525" s="206"/>
      <c r="R4525" s="206"/>
      <c r="S4525" s="206"/>
      <c r="T4525" s="204"/>
      <c r="U4525" s="207"/>
      <c r="V4525" s="204"/>
      <c r="W4525" s="204"/>
      <c r="X4525" s="207"/>
      <c r="Y4525" s="207"/>
      <c r="Z4525" s="204"/>
      <c r="AA4525" s="204"/>
      <c r="AB4525" s="204"/>
      <c r="AC4525" s="204"/>
    </row>
    <row r="4526" spans="1:29">
      <c r="A4526" s="204"/>
      <c r="B4526" s="204"/>
      <c r="C4526" s="204"/>
      <c r="D4526" s="204"/>
      <c r="E4526" s="204"/>
      <c r="F4526" s="204"/>
      <c r="G4526" s="204"/>
      <c r="H4526" s="204"/>
      <c r="I4526" s="204"/>
      <c r="J4526" s="204"/>
      <c r="K4526" s="204"/>
      <c r="L4526" s="205"/>
      <c r="M4526" s="205"/>
      <c r="N4526" s="204"/>
      <c r="O4526" s="204"/>
      <c r="P4526" s="206"/>
      <c r="Q4526" s="206"/>
      <c r="R4526" s="206"/>
      <c r="S4526" s="206"/>
      <c r="T4526" s="204"/>
      <c r="U4526" s="207"/>
      <c r="V4526" s="204"/>
      <c r="W4526" s="204"/>
      <c r="X4526" s="207"/>
      <c r="Y4526" s="207"/>
      <c r="Z4526" s="204"/>
      <c r="AA4526" s="204"/>
      <c r="AB4526" s="204"/>
      <c r="AC4526" s="204"/>
    </row>
    <row r="4527" spans="1:29">
      <c r="A4527" s="204"/>
      <c r="B4527" s="204"/>
      <c r="C4527" s="204"/>
      <c r="D4527" s="204"/>
      <c r="E4527" s="204"/>
      <c r="F4527" s="204"/>
      <c r="G4527" s="204"/>
      <c r="H4527" s="204"/>
      <c r="I4527" s="204"/>
      <c r="J4527" s="204"/>
      <c r="K4527" s="204"/>
      <c r="L4527" s="205"/>
      <c r="M4527" s="205"/>
      <c r="N4527" s="204"/>
      <c r="O4527" s="204"/>
      <c r="P4527" s="206"/>
      <c r="Q4527" s="206"/>
      <c r="R4527" s="206"/>
      <c r="S4527" s="206"/>
      <c r="T4527" s="204"/>
      <c r="U4527" s="207"/>
      <c r="V4527" s="204"/>
      <c r="W4527" s="204"/>
      <c r="X4527" s="207"/>
      <c r="Y4527" s="207"/>
      <c r="Z4527" s="204"/>
      <c r="AA4527" s="204"/>
      <c r="AB4527" s="204"/>
      <c r="AC4527" s="204"/>
    </row>
    <row r="4528" spans="1:29">
      <c r="A4528" s="204"/>
      <c r="B4528" s="204"/>
      <c r="C4528" s="204"/>
      <c r="D4528" s="204"/>
      <c r="E4528" s="204"/>
      <c r="F4528" s="204"/>
      <c r="G4528" s="204"/>
      <c r="H4528" s="204"/>
      <c r="I4528" s="204"/>
      <c r="J4528" s="204"/>
      <c r="K4528" s="204"/>
      <c r="L4528" s="205"/>
      <c r="M4528" s="205"/>
      <c r="N4528" s="204"/>
      <c r="O4528" s="204"/>
      <c r="P4528" s="206"/>
      <c r="Q4528" s="206"/>
      <c r="R4528" s="206"/>
      <c r="S4528" s="206"/>
      <c r="T4528" s="204"/>
      <c r="U4528" s="207"/>
      <c r="V4528" s="204"/>
      <c r="W4528" s="204"/>
      <c r="X4528" s="207"/>
      <c r="Y4528" s="207"/>
      <c r="Z4528" s="204"/>
      <c r="AA4528" s="204"/>
      <c r="AB4528" s="204"/>
      <c r="AC4528" s="204"/>
    </row>
    <row r="4529" spans="1:29">
      <c r="A4529" s="204"/>
      <c r="B4529" s="204"/>
      <c r="C4529" s="204"/>
      <c r="D4529" s="204"/>
      <c r="E4529" s="204"/>
      <c r="F4529" s="204"/>
      <c r="G4529" s="204"/>
      <c r="H4529" s="204"/>
      <c r="I4529" s="204"/>
      <c r="J4529" s="204"/>
      <c r="K4529" s="204"/>
      <c r="L4529" s="205"/>
      <c r="M4529" s="205"/>
      <c r="N4529" s="204"/>
      <c r="O4529" s="204"/>
      <c r="P4529" s="206"/>
      <c r="Q4529" s="206"/>
      <c r="R4529" s="206"/>
      <c r="S4529" s="206"/>
      <c r="T4529" s="204"/>
      <c r="U4529" s="207"/>
      <c r="V4529" s="204"/>
      <c r="W4529" s="204"/>
      <c r="X4529" s="207"/>
      <c r="Y4529" s="207"/>
      <c r="Z4529" s="204"/>
      <c r="AA4529" s="204"/>
      <c r="AB4529" s="204"/>
      <c r="AC4529" s="204"/>
    </row>
    <row r="4530" spans="1:29">
      <c r="A4530" s="204"/>
      <c r="B4530" s="204"/>
      <c r="C4530" s="204"/>
      <c r="D4530" s="204"/>
      <c r="E4530" s="204"/>
      <c r="F4530" s="204"/>
      <c r="G4530" s="204"/>
      <c r="H4530" s="204"/>
      <c r="I4530" s="204"/>
      <c r="J4530" s="204"/>
      <c r="K4530" s="204"/>
      <c r="L4530" s="205"/>
      <c r="M4530" s="205"/>
      <c r="N4530" s="204"/>
      <c r="O4530" s="204"/>
      <c r="P4530" s="206"/>
      <c r="Q4530" s="206"/>
      <c r="R4530" s="206"/>
      <c r="S4530" s="206"/>
      <c r="T4530" s="204"/>
      <c r="U4530" s="207"/>
      <c r="V4530" s="204"/>
      <c r="W4530" s="204"/>
      <c r="X4530" s="207"/>
      <c r="Y4530" s="207"/>
      <c r="Z4530" s="204"/>
      <c r="AA4530" s="204"/>
      <c r="AB4530" s="204"/>
      <c r="AC4530" s="204"/>
    </row>
    <row r="4531" spans="1:29">
      <c r="A4531" s="204"/>
      <c r="B4531" s="204"/>
      <c r="C4531" s="204"/>
      <c r="D4531" s="204"/>
      <c r="E4531" s="204"/>
      <c r="F4531" s="204"/>
      <c r="G4531" s="204"/>
      <c r="H4531" s="204"/>
      <c r="I4531" s="204"/>
      <c r="J4531" s="204"/>
      <c r="K4531" s="204"/>
      <c r="L4531" s="205"/>
      <c r="M4531" s="205"/>
      <c r="N4531" s="204"/>
      <c r="O4531" s="204"/>
      <c r="P4531" s="206"/>
      <c r="Q4531" s="206"/>
      <c r="R4531" s="206"/>
      <c r="S4531" s="206"/>
      <c r="T4531" s="204"/>
      <c r="U4531" s="207"/>
      <c r="V4531" s="204"/>
      <c r="W4531" s="204"/>
      <c r="X4531" s="207"/>
      <c r="Y4531" s="207"/>
      <c r="Z4531" s="204"/>
      <c r="AA4531" s="204"/>
      <c r="AB4531" s="204"/>
      <c r="AC4531" s="204"/>
    </row>
    <row r="4532" spans="1:29">
      <c r="A4532" s="204"/>
      <c r="B4532" s="204"/>
      <c r="C4532" s="204"/>
      <c r="D4532" s="204"/>
      <c r="E4532" s="204"/>
      <c r="F4532" s="204"/>
      <c r="G4532" s="204"/>
      <c r="H4532" s="204"/>
      <c r="I4532" s="204"/>
      <c r="J4532" s="204"/>
      <c r="K4532" s="204"/>
      <c r="L4532" s="205"/>
      <c r="M4532" s="205"/>
      <c r="N4532" s="204"/>
      <c r="O4532" s="204"/>
      <c r="P4532" s="206"/>
      <c r="Q4532" s="206"/>
      <c r="R4532" s="206"/>
      <c r="S4532" s="206"/>
      <c r="T4532" s="204"/>
      <c r="U4532" s="207"/>
      <c r="V4532" s="204"/>
      <c r="W4532" s="204"/>
      <c r="X4532" s="207"/>
      <c r="Y4532" s="207"/>
      <c r="Z4532" s="204"/>
      <c r="AA4532" s="204"/>
      <c r="AB4532" s="204"/>
      <c r="AC4532" s="204"/>
    </row>
    <row r="4533" spans="1:29">
      <c r="A4533" s="204"/>
      <c r="B4533" s="204"/>
      <c r="C4533" s="204"/>
      <c r="D4533" s="204"/>
      <c r="E4533" s="204"/>
      <c r="F4533" s="204"/>
      <c r="G4533" s="204"/>
      <c r="H4533" s="204"/>
      <c r="I4533" s="204"/>
      <c r="J4533" s="204"/>
      <c r="K4533" s="204"/>
      <c r="L4533" s="205"/>
      <c r="M4533" s="205"/>
      <c r="N4533" s="204"/>
      <c r="O4533" s="204"/>
      <c r="P4533" s="206"/>
      <c r="Q4533" s="206"/>
      <c r="R4533" s="206"/>
      <c r="S4533" s="206"/>
      <c r="T4533" s="204"/>
      <c r="U4533" s="207"/>
      <c r="V4533" s="204"/>
      <c r="W4533" s="204"/>
      <c r="X4533" s="207"/>
      <c r="Y4533" s="207"/>
      <c r="Z4533" s="204"/>
      <c r="AA4533" s="204"/>
      <c r="AB4533" s="204"/>
      <c r="AC4533" s="204"/>
    </row>
    <row r="4534" spans="1:29">
      <c r="A4534" s="204"/>
      <c r="B4534" s="204"/>
      <c r="C4534" s="204"/>
      <c r="D4534" s="204"/>
      <c r="E4534" s="204"/>
      <c r="F4534" s="204"/>
      <c r="G4534" s="204"/>
      <c r="H4534" s="204"/>
      <c r="I4534" s="204"/>
      <c r="J4534" s="204"/>
      <c r="K4534" s="204"/>
      <c r="L4534" s="205"/>
      <c r="M4534" s="205"/>
      <c r="N4534" s="204"/>
      <c r="O4534" s="204"/>
      <c r="P4534" s="206"/>
      <c r="Q4534" s="206"/>
      <c r="R4534" s="206"/>
      <c r="S4534" s="206"/>
      <c r="T4534" s="204"/>
      <c r="U4534" s="207"/>
      <c r="V4534" s="204"/>
      <c r="W4534" s="204"/>
      <c r="X4534" s="207"/>
      <c r="Y4534" s="207"/>
      <c r="Z4534" s="204"/>
      <c r="AA4534" s="204"/>
      <c r="AB4534" s="204"/>
      <c r="AC4534" s="204"/>
    </row>
    <row r="4535" spans="1:29">
      <c r="A4535" s="204"/>
      <c r="B4535" s="204"/>
      <c r="C4535" s="204"/>
      <c r="D4535" s="204"/>
      <c r="E4535" s="204"/>
      <c r="F4535" s="204"/>
      <c r="G4535" s="204"/>
      <c r="H4535" s="204"/>
      <c r="I4535" s="204"/>
      <c r="J4535" s="204"/>
      <c r="K4535" s="204"/>
      <c r="L4535" s="205"/>
      <c r="M4535" s="205"/>
      <c r="N4535" s="204"/>
      <c r="O4535" s="204"/>
      <c r="P4535" s="206"/>
      <c r="Q4535" s="206"/>
      <c r="R4535" s="206"/>
      <c r="S4535" s="206"/>
      <c r="T4535" s="204"/>
      <c r="U4535" s="207"/>
      <c r="V4535" s="204"/>
      <c r="W4535" s="204"/>
      <c r="X4535" s="207"/>
      <c r="Y4535" s="207"/>
      <c r="Z4535" s="204"/>
      <c r="AA4535" s="204"/>
      <c r="AB4535" s="204"/>
      <c r="AC4535" s="204"/>
    </row>
    <row r="4536" spans="1:29">
      <c r="A4536" s="204"/>
      <c r="B4536" s="204"/>
      <c r="C4536" s="204"/>
      <c r="D4536" s="204"/>
      <c r="E4536" s="204"/>
      <c r="F4536" s="204"/>
      <c r="G4536" s="204"/>
      <c r="H4536" s="204"/>
      <c r="I4536" s="204"/>
      <c r="J4536" s="204"/>
      <c r="K4536" s="204"/>
      <c r="L4536" s="205"/>
      <c r="M4536" s="205"/>
      <c r="N4536" s="204"/>
      <c r="O4536" s="204"/>
      <c r="P4536" s="206"/>
      <c r="Q4536" s="206"/>
      <c r="R4536" s="206"/>
      <c r="S4536" s="206"/>
      <c r="T4536" s="204"/>
      <c r="U4536" s="207"/>
      <c r="V4536" s="204"/>
      <c r="W4536" s="204"/>
      <c r="X4536" s="207"/>
      <c r="Y4536" s="207"/>
      <c r="Z4536" s="204"/>
      <c r="AA4536" s="204"/>
      <c r="AB4536" s="204"/>
      <c r="AC4536" s="204"/>
    </row>
    <row r="4537" spans="1:29">
      <c r="A4537" s="204"/>
      <c r="B4537" s="204"/>
      <c r="C4537" s="204"/>
      <c r="D4537" s="204"/>
      <c r="E4537" s="204"/>
      <c r="F4537" s="204"/>
      <c r="G4537" s="204"/>
      <c r="H4537" s="204"/>
      <c r="I4537" s="204"/>
      <c r="J4537" s="204"/>
      <c r="K4537" s="204"/>
      <c r="L4537" s="205"/>
      <c r="M4537" s="205"/>
      <c r="N4537" s="204"/>
      <c r="O4537" s="204"/>
      <c r="P4537" s="206"/>
      <c r="Q4537" s="206"/>
      <c r="R4537" s="206"/>
      <c r="S4537" s="206"/>
      <c r="T4537" s="204"/>
      <c r="U4537" s="207"/>
      <c r="V4537" s="204"/>
      <c r="W4537" s="204"/>
      <c r="X4537" s="207"/>
      <c r="Y4537" s="207"/>
      <c r="Z4537" s="204"/>
      <c r="AA4537" s="204"/>
      <c r="AB4537" s="204"/>
      <c r="AC4537" s="204"/>
    </row>
    <row r="4538" spans="1:29">
      <c r="A4538" s="204"/>
      <c r="B4538" s="204"/>
      <c r="C4538" s="204"/>
      <c r="D4538" s="204"/>
      <c r="E4538" s="204"/>
      <c r="F4538" s="204"/>
      <c r="G4538" s="204"/>
      <c r="H4538" s="204"/>
      <c r="I4538" s="204"/>
      <c r="J4538" s="204"/>
      <c r="K4538" s="204"/>
      <c r="L4538" s="205"/>
      <c r="M4538" s="205"/>
      <c r="N4538" s="204"/>
      <c r="O4538" s="204"/>
      <c r="P4538" s="206"/>
      <c r="Q4538" s="206"/>
      <c r="R4538" s="206"/>
      <c r="S4538" s="206"/>
      <c r="T4538" s="204"/>
      <c r="U4538" s="207"/>
      <c r="V4538" s="204"/>
      <c r="W4538" s="204"/>
      <c r="X4538" s="207"/>
      <c r="Y4538" s="207"/>
      <c r="Z4538" s="204"/>
      <c r="AA4538" s="204"/>
      <c r="AB4538" s="204"/>
      <c r="AC4538" s="204"/>
    </row>
    <row r="4539" spans="1:29">
      <c r="A4539" s="204"/>
      <c r="B4539" s="204"/>
      <c r="C4539" s="204"/>
      <c r="D4539" s="204"/>
      <c r="E4539" s="204"/>
      <c r="F4539" s="204"/>
      <c r="G4539" s="204"/>
      <c r="H4539" s="204"/>
      <c r="I4539" s="204"/>
      <c r="J4539" s="204"/>
      <c r="K4539" s="204"/>
      <c r="L4539" s="205"/>
      <c r="M4539" s="205"/>
      <c r="N4539" s="204"/>
      <c r="O4539" s="204"/>
      <c r="P4539" s="206"/>
      <c r="Q4539" s="206"/>
      <c r="R4539" s="206"/>
      <c r="S4539" s="206"/>
      <c r="T4539" s="204"/>
      <c r="U4539" s="207"/>
      <c r="V4539" s="204"/>
      <c r="W4539" s="204"/>
      <c r="X4539" s="207"/>
      <c r="Y4539" s="207"/>
      <c r="Z4539" s="204"/>
      <c r="AA4539" s="204"/>
      <c r="AB4539" s="204"/>
      <c r="AC4539" s="204"/>
    </row>
    <row r="4540" spans="1:29">
      <c r="A4540" s="204"/>
      <c r="B4540" s="204"/>
      <c r="C4540" s="204"/>
      <c r="D4540" s="204"/>
      <c r="E4540" s="204"/>
      <c r="F4540" s="204"/>
      <c r="G4540" s="204"/>
      <c r="H4540" s="204"/>
      <c r="I4540" s="204"/>
      <c r="J4540" s="204"/>
      <c r="K4540" s="204"/>
      <c r="L4540" s="205"/>
      <c r="M4540" s="205"/>
      <c r="N4540" s="204"/>
      <c r="O4540" s="204"/>
      <c r="P4540" s="206"/>
      <c r="Q4540" s="206"/>
      <c r="R4540" s="206"/>
      <c r="S4540" s="206"/>
      <c r="T4540" s="204"/>
      <c r="U4540" s="207"/>
      <c r="V4540" s="204"/>
      <c r="W4540" s="204"/>
      <c r="X4540" s="207"/>
      <c r="Y4540" s="207"/>
      <c r="Z4540" s="204"/>
      <c r="AA4540" s="204"/>
      <c r="AB4540" s="204"/>
      <c r="AC4540" s="204"/>
    </row>
    <row r="4541" spans="1:29">
      <c r="A4541" s="204"/>
      <c r="B4541" s="204"/>
      <c r="C4541" s="204"/>
      <c r="D4541" s="204"/>
      <c r="E4541" s="204"/>
      <c r="F4541" s="204"/>
      <c r="G4541" s="204"/>
      <c r="H4541" s="204"/>
      <c r="I4541" s="204"/>
      <c r="J4541" s="204"/>
      <c r="K4541" s="204"/>
      <c r="L4541" s="205"/>
      <c r="M4541" s="205"/>
      <c r="N4541" s="204"/>
      <c r="O4541" s="204"/>
      <c r="P4541" s="206"/>
      <c r="Q4541" s="206"/>
      <c r="R4541" s="206"/>
      <c r="S4541" s="206"/>
      <c r="T4541" s="204"/>
      <c r="U4541" s="207"/>
      <c r="V4541" s="204"/>
      <c r="W4541" s="204"/>
      <c r="X4541" s="207"/>
      <c r="Y4541" s="207"/>
      <c r="Z4541" s="204"/>
      <c r="AA4541" s="204"/>
      <c r="AB4541" s="204"/>
      <c r="AC4541" s="204"/>
    </row>
    <row r="4542" spans="1:29">
      <c r="A4542" s="204"/>
      <c r="B4542" s="204"/>
      <c r="C4542" s="204"/>
      <c r="D4542" s="204"/>
      <c r="E4542" s="204"/>
      <c r="F4542" s="204"/>
      <c r="G4542" s="204"/>
      <c r="H4542" s="204"/>
      <c r="I4542" s="204"/>
      <c r="J4542" s="204"/>
      <c r="K4542" s="204"/>
      <c r="L4542" s="205"/>
      <c r="M4542" s="205"/>
      <c r="N4542" s="204"/>
      <c r="O4542" s="204"/>
      <c r="P4542" s="206"/>
      <c r="Q4542" s="206"/>
      <c r="R4542" s="206"/>
      <c r="S4542" s="206"/>
      <c r="T4542" s="204"/>
      <c r="U4542" s="207"/>
      <c r="V4542" s="204"/>
      <c r="W4542" s="204"/>
      <c r="X4542" s="207"/>
      <c r="Y4542" s="207"/>
      <c r="Z4542" s="204"/>
      <c r="AA4542" s="204"/>
      <c r="AB4542" s="204"/>
      <c r="AC4542" s="204"/>
    </row>
    <row r="4543" spans="1:29">
      <c r="A4543" s="204"/>
      <c r="B4543" s="204"/>
      <c r="C4543" s="204"/>
      <c r="D4543" s="204"/>
      <c r="E4543" s="204"/>
      <c r="F4543" s="204"/>
      <c r="G4543" s="204"/>
      <c r="H4543" s="204"/>
      <c r="I4543" s="204"/>
      <c r="J4543" s="204"/>
      <c r="K4543" s="204"/>
      <c r="L4543" s="205"/>
      <c r="M4543" s="205"/>
      <c r="N4543" s="204"/>
      <c r="O4543" s="204"/>
      <c r="P4543" s="206"/>
      <c r="Q4543" s="206"/>
      <c r="R4543" s="206"/>
      <c r="S4543" s="206"/>
      <c r="T4543" s="204"/>
      <c r="U4543" s="207"/>
      <c r="V4543" s="204"/>
      <c r="W4543" s="204"/>
      <c r="X4543" s="207"/>
      <c r="Y4543" s="207"/>
      <c r="Z4543" s="204"/>
      <c r="AA4543" s="204"/>
      <c r="AB4543" s="204"/>
      <c r="AC4543" s="204"/>
    </row>
    <row r="4544" spans="1:29">
      <c r="A4544" s="204"/>
      <c r="B4544" s="204"/>
      <c r="C4544" s="204"/>
      <c r="D4544" s="204"/>
      <c r="E4544" s="204"/>
      <c r="F4544" s="204"/>
      <c r="G4544" s="204"/>
      <c r="H4544" s="204"/>
      <c r="I4544" s="204"/>
      <c r="J4544" s="204"/>
      <c r="K4544" s="204"/>
      <c r="L4544" s="205"/>
      <c r="M4544" s="205"/>
      <c r="N4544" s="204"/>
      <c r="O4544" s="204"/>
      <c r="P4544" s="206"/>
      <c r="Q4544" s="206"/>
      <c r="R4544" s="206"/>
      <c r="S4544" s="206"/>
      <c r="T4544" s="204"/>
      <c r="U4544" s="207"/>
      <c r="V4544" s="204"/>
      <c r="W4544" s="204"/>
      <c r="X4544" s="207"/>
      <c r="Y4544" s="207"/>
      <c r="Z4544" s="204"/>
      <c r="AA4544" s="204"/>
      <c r="AB4544" s="204"/>
      <c r="AC4544" s="204"/>
    </row>
    <row r="4545" spans="1:29">
      <c r="A4545" s="204"/>
      <c r="B4545" s="204"/>
      <c r="C4545" s="204"/>
      <c r="D4545" s="204"/>
      <c r="E4545" s="204"/>
      <c r="F4545" s="204"/>
      <c r="G4545" s="204"/>
      <c r="H4545" s="204"/>
      <c r="I4545" s="204"/>
      <c r="J4545" s="204"/>
      <c r="K4545" s="204"/>
      <c r="L4545" s="205"/>
      <c r="M4545" s="205"/>
      <c r="N4545" s="204"/>
      <c r="O4545" s="204"/>
      <c r="P4545" s="206"/>
      <c r="Q4545" s="206"/>
      <c r="R4545" s="206"/>
      <c r="S4545" s="206"/>
      <c r="T4545" s="204"/>
      <c r="U4545" s="207"/>
      <c r="V4545" s="204"/>
      <c r="W4545" s="204"/>
      <c r="X4545" s="207"/>
      <c r="Y4545" s="207"/>
      <c r="Z4545" s="204"/>
      <c r="AA4545" s="204"/>
      <c r="AB4545" s="204"/>
      <c r="AC4545" s="204"/>
    </row>
    <row r="4546" spans="1:29">
      <c r="A4546" s="204"/>
      <c r="B4546" s="204"/>
      <c r="C4546" s="204"/>
      <c r="D4546" s="204"/>
      <c r="E4546" s="204"/>
      <c r="F4546" s="204"/>
      <c r="G4546" s="204"/>
      <c r="H4546" s="204"/>
      <c r="I4546" s="204"/>
      <c r="J4546" s="204"/>
      <c r="K4546" s="204"/>
      <c r="L4546" s="205"/>
      <c r="M4546" s="205"/>
      <c r="N4546" s="204"/>
      <c r="O4546" s="204"/>
      <c r="P4546" s="206"/>
      <c r="Q4546" s="206"/>
      <c r="R4546" s="206"/>
      <c r="S4546" s="206"/>
      <c r="T4546" s="204"/>
      <c r="U4546" s="207"/>
      <c r="V4546" s="204"/>
      <c r="W4546" s="204"/>
      <c r="X4546" s="207"/>
      <c r="Y4546" s="207"/>
      <c r="Z4546" s="204"/>
      <c r="AA4546" s="204"/>
      <c r="AB4546" s="204"/>
      <c r="AC4546" s="204"/>
    </row>
    <row r="4547" spans="1:29">
      <c r="A4547" s="204"/>
      <c r="B4547" s="204"/>
      <c r="C4547" s="204"/>
      <c r="D4547" s="204"/>
      <c r="E4547" s="204"/>
      <c r="F4547" s="204"/>
      <c r="G4547" s="204"/>
      <c r="H4547" s="204"/>
      <c r="I4547" s="204"/>
      <c r="J4547" s="204"/>
      <c r="K4547" s="204"/>
      <c r="L4547" s="205"/>
      <c r="M4547" s="205"/>
      <c r="N4547" s="204"/>
      <c r="O4547" s="204"/>
      <c r="P4547" s="206"/>
      <c r="Q4547" s="206"/>
      <c r="R4547" s="206"/>
      <c r="S4547" s="206"/>
      <c r="T4547" s="204"/>
      <c r="U4547" s="207"/>
      <c r="V4547" s="204"/>
      <c r="W4547" s="204"/>
      <c r="X4547" s="207"/>
      <c r="Y4547" s="207"/>
      <c r="Z4547" s="204"/>
      <c r="AA4547" s="204"/>
      <c r="AB4547" s="204"/>
      <c r="AC4547" s="204"/>
    </row>
    <row r="4548" spans="1:29">
      <c r="A4548" s="204"/>
      <c r="B4548" s="204"/>
      <c r="C4548" s="204"/>
      <c r="D4548" s="204"/>
      <c r="E4548" s="204"/>
      <c r="F4548" s="204"/>
      <c r="G4548" s="204"/>
      <c r="H4548" s="204"/>
      <c r="I4548" s="204"/>
      <c r="J4548" s="204"/>
      <c r="K4548" s="204"/>
      <c r="L4548" s="205"/>
      <c r="M4548" s="205"/>
      <c r="N4548" s="204"/>
      <c r="O4548" s="204"/>
      <c r="P4548" s="206"/>
      <c r="Q4548" s="206"/>
      <c r="R4548" s="206"/>
      <c r="S4548" s="206"/>
      <c r="T4548" s="204"/>
      <c r="U4548" s="207"/>
      <c r="V4548" s="204"/>
      <c r="W4548" s="204"/>
      <c r="X4548" s="207"/>
      <c r="Y4548" s="207"/>
      <c r="Z4548" s="204"/>
      <c r="AA4548" s="204"/>
      <c r="AB4548" s="204"/>
      <c r="AC4548" s="204"/>
    </row>
    <row r="4549" spans="1:29">
      <c r="A4549" s="204"/>
      <c r="B4549" s="204"/>
      <c r="C4549" s="204"/>
      <c r="D4549" s="204"/>
      <c r="E4549" s="204"/>
      <c r="F4549" s="204"/>
      <c r="G4549" s="204"/>
      <c r="H4549" s="204"/>
      <c r="I4549" s="204"/>
      <c r="J4549" s="204"/>
      <c r="K4549" s="204"/>
      <c r="L4549" s="205"/>
      <c r="M4549" s="205"/>
      <c r="N4549" s="204"/>
      <c r="O4549" s="204"/>
      <c r="P4549" s="206"/>
      <c r="Q4549" s="206"/>
      <c r="R4549" s="206"/>
      <c r="S4549" s="206"/>
      <c r="T4549" s="204"/>
      <c r="U4549" s="207"/>
      <c r="V4549" s="204"/>
      <c r="W4549" s="204"/>
      <c r="X4549" s="207"/>
      <c r="Y4549" s="207"/>
      <c r="Z4549" s="204"/>
      <c r="AA4549" s="204"/>
      <c r="AB4549" s="204"/>
      <c r="AC4549" s="204"/>
    </row>
    <row r="4550" spans="1:29">
      <c r="A4550" s="204"/>
      <c r="B4550" s="204"/>
      <c r="C4550" s="204"/>
      <c r="D4550" s="204"/>
      <c r="E4550" s="204"/>
      <c r="F4550" s="204"/>
      <c r="G4550" s="204"/>
      <c r="H4550" s="204"/>
      <c r="I4550" s="204"/>
      <c r="J4550" s="204"/>
      <c r="K4550" s="204"/>
      <c r="L4550" s="205"/>
      <c r="M4550" s="205"/>
      <c r="N4550" s="204"/>
      <c r="O4550" s="204"/>
      <c r="P4550" s="206"/>
      <c r="Q4550" s="206"/>
      <c r="R4550" s="206"/>
      <c r="S4550" s="206"/>
      <c r="T4550" s="204"/>
      <c r="U4550" s="207"/>
      <c r="V4550" s="204"/>
      <c r="W4550" s="204"/>
      <c r="X4550" s="207"/>
      <c r="Y4550" s="207"/>
      <c r="Z4550" s="204"/>
      <c r="AA4550" s="204"/>
      <c r="AB4550" s="204"/>
      <c r="AC4550" s="204"/>
    </row>
    <row r="4551" spans="1:29">
      <c r="A4551" s="204"/>
      <c r="B4551" s="204"/>
      <c r="C4551" s="204"/>
      <c r="D4551" s="204"/>
      <c r="E4551" s="204"/>
      <c r="F4551" s="204"/>
      <c r="G4551" s="204"/>
      <c r="H4551" s="204"/>
      <c r="I4551" s="204"/>
      <c r="J4551" s="204"/>
      <c r="K4551" s="204"/>
      <c r="L4551" s="205"/>
      <c r="M4551" s="205"/>
      <c r="N4551" s="204"/>
      <c r="O4551" s="204"/>
      <c r="P4551" s="206"/>
      <c r="Q4551" s="206"/>
      <c r="R4551" s="206"/>
      <c r="S4551" s="206"/>
      <c r="T4551" s="204"/>
      <c r="U4551" s="207"/>
      <c r="V4551" s="204"/>
      <c r="W4551" s="204"/>
      <c r="X4551" s="207"/>
      <c r="Y4551" s="207"/>
      <c r="Z4551" s="204"/>
      <c r="AA4551" s="204"/>
      <c r="AB4551" s="204"/>
      <c r="AC4551" s="204"/>
    </row>
    <row r="4552" spans="1:29">
      <c r="A4552" s="204"/>
      <c r="B4552" s="204"/>
      <c r="C4552" s="204"/>
      <c r="D4552" s="204"/>
      <c r="E4552" s="204"/>
      <c r="F4552" s="204"/>
      <c r="G4552" s="204"/>
      <c r="H4552" s="204"/>
      <c r="I4552" s="204"/>
      <c r="J4552" s="204"/>
      <c r="K4552" s="204"/>
      <c r="L4552" s="205"/>
      <c r="M4552" s="205"/>
      <c r="N4552" s="204"/>
      <c r="O4552" s="204"/>
      <c r="P4552" s="206"/>
      <c r="Q4552" s="206"/>
      <c r="R4552" s="206"/>
      <c r="S4552" s="206"/>
      <c r="T4552" s="204"/>
      <c r="U4552" s="207"/>
      <c r="V4552" s="204"/>
      <c r="W4552" s="204"/>
      <c r="X4552" s="207"/>
      <c r="Y4552" s="207"/>
      <c r="Z4552" s="204"/>
      <c r="AA4552" s="204"/>
      <c r="AB4552" s="204"/>
      <c r="AC4552" s="204"/>
    </row>
    <row r="4553" spans="1:29">
      <c r="A4553" s="204"/>
      <c r="B4553" s="204"/>
      <c r="C4553" s="204"/>
      <c r="D4553" s="204"/>
      <c r="E4553" s="204"/>
      <c r="F4553" s="204"/>
      <c r="G4553" s="204"/>
      <c r="H4553" s="204"/>
      <c r="I4553" s="204"/>
      <c r="J4553" s="204"/>
      <c r="K4553" s="204"/>
      <c r="L4553" s="205"/>
      <c r="M4553" s="205"/>
      <c r="N4553" s="204"/>
      <c r="O4553" s="204"/>
      <c r="P4553" s="206"/>
      <c r="Q4553" s="206"/>
      <c r="R4553" s="206"/>
      <c r="S4553" s="206"/>
      <c r="T4553" s="204"/>
      <c r="U4553" s="207"/>
      <c r="V4553" s="204"/>
      <c r="W4553" s="204"/>
      <c r="X4553" s="207"/>
      <c r="Y4553" s="207"/>
      <c r="Z4553" s="204"/>
      <c r="AA4553" s="204"/>
      <c r="AB4553" s="204"/>
      <c r="AC4553" s="204"/>
    </row>
    <row r="4554" spans="1:29">
      <c r="A4554" s="204"/>
      <c r="B4554" s="204"/>
      <c r="C4554" s="204"/>
      <c r="D4554" s="204"/>
      <c r="E4554" s="204"/>
      <c r="F4554" s="204"/>
      <c r="G4554" s="204"/>
      <c r="H4554" s="204"/>
      <c r="I4554" s="204"/>
      <c r="J4554" s="204"/>
      <c r="K4554" s="204"/>
      <c r="L4554" s="205"/>
      <c r="M4554" s="205"/>
      <c r="N4554" s="204"/>
      <c r="O4554" s="204"/>
      <c r="P4554" s="206"/>
      <c r="Q4554" s="206"/>
      <c r="R4554" s="206"/>
      <c r="S4554" s="206"/>
      <c r="T4554" s="204"/>
      <c r="U4554" s="207"/>
      <c r="V4554" s="204"/>
      <c r="W4554" s="204"/>
      <c r="X4554" s="207"/>
      <c r="Y4554" s="207"/>
      <c r="Z4554" s="204"/>
      <c r="AA4554" s="204"/>
      <c r="AB4554" s="204"/>
      <c r="AC4554" s="204"/>
    </row>
    <row r="4555" spans="1:29">
      <c r="A4555" s="204"/>
      <c r="B4555" s="204"/>
      <c r="C4555" s="204"/>
      <c r="D4555" s="204"/>
      <c r="E4555" s="204"/>
      <c r="F4555" s="204"/>
      <c r="G4555" s="204"/>
      <c r="H4555" s="204"/>
      <c r="I4555" s="204"/>
      <c r="J4555" s="204"/>
      <c r="K4555" s="204"/>
      <c r="L4555" s="205"/>
      <c r="M4555" s="205"/>
      <c r="N4555" s="204"/>
      <c r="O4555" s="204"/>
      <c r="P4555" s="206"/>
      <c r="Q4555" s="206"/>
      <c r="R4555" s="206"/>
      <c r="S4555" s="206"/>
      <c r="T4555" s="204"/>
      <c r="U4555" s="207"/>
      <c r="V4555" s="204"/>
      <c r="W4555" s="204"/>
      <c r="X4555" s="207"/>
      <c r="Y4555" s="207"/>
      <c r="Z4555" s="204"/>
      <c r="AA4555" s="204"/>
      <c r="AB4555" s="204"/>
      <c r="AC4555" s="204"/>
    </row>
    <row r="4556" spans="1:29">
      <c r="A4556" s="204"/>
      <c r="B4556" s="204"/>
      <c r="C4556" s="204"/>
      <c r="D4556" s="204"/>
      <c r="E4556" s="204"/>
      <c r="F4556" s="204"/>
      <c r="G4556" s="204"/>
      <c r="H4556" s="204"/>
      <c r="I4556" s="204"/>
      <c r="J4556" s="204"/>
      <c r="K4556" s="204"/>
      <c r="L4556" s="205"/>
      <c r="M4556" s="205"/>
      <c r="N4556" s="204"/>
      <c r="O4556" s="204"/>
      <c r="P4556" s="206"/>
      <c r="Q4556" s="206"/>
      <c r="R4556" s="206"/>
      <c r="S4556" s="206"/>
      <c r="T4556" s="204"/>
      <c r="U4556" s="207"/>
      <c r="V4556" s="204"/>
      <c r="W4556" s="204"/>
      <c r="X4556" s="207"/>
      <c r="Y4556" s="207"/>
      <c r="Z4556" s="204"/>
      <c r="AA4556" s="204"/>
      <c r="AB4556" s="204"/>
      <c r="AC4556" s="204"/>
    </row>
    <row r="4557" spans="1:29">
      <c r="A4557" s="204"/>
      <c r="B4557" s="204"/>
      <c r="C4557" s="204"/>
      <c r="D4557" s="204"/>
      <c r="E4557" s="204"/>
      <c r="F4557" s="204"/>
      <c r="G4557" s="204"/>
      <c r="H4557" s="204"/>
      <c r="I4557" s="204"/>
      <c r="J4557" s="204"/>
      <c r="K4557" s="204"/>
      <c r="L4557" s="205"/>
      <c r="M4557" s="205"/>
      <c r="N4557" s="204"/>
      <c r="O4557" s="204"/>
      <c r="P4557" s="206"/>
      <c r="Q4557" s="206"/>
      <c r="R4557" s="206"/>
      <c r="S4557" s="206"/>
      <c r="T4557" s="204"/>
      <c r="U4557" s="207"/>
      <c r="V4557" s="204"/>
      <c r="W4557" s="204"/>
      <c r="X4557" s="207"/>
      <c r="Y4557" s="207"/>
      <c r="Z4557" s="204"/>
      <c r="AA4557" s="204"/>
      <c r="AB4557" s="204"/>
      <c r="AC4557" s="204"/>
    </row>
    <row r="4558" spans="1:29">
      <c r="A4558" s="204"/>
      <c r="B4558" s="204"/>
      <c r="C4558" s="204"/>
      <c r="D4558" s="204"/>
      <c r="E4558" s="204"/>
      <c r="F4558" s="204"/>
      <c r="G4558" s="204"/>
      <c r="H4558" s="204"/>
      <c r="I4558" s="204"/>
      <c r="J4558" s="204"/>
      <c r="K4558" s="204"/>
      <c r="L4558" s="205"/>
      <c r="M4558" s="205"/>
      <c r="N4558" s="204"/>
      <c r="O4558" s="204"/>
      <c r="P4558" s="206"/>
      <c r="Q4558" s="206"/>
      <c r="R4558" s="206"/>
      <c r="S4558" s="206"/>
      <c r="T4558" s="204"/>
      <c r="U4558" s="207"/>
      <c r="V4558" s="204"/>
      <c r="W4558" s="204"/>
      <c r="X4558" s="207"/>
      <c r="Y4558" s="207"/>
      <c r="Z4558" s="204"/>
      <c r="AA4558" s="204"/>
      <c r="AB4558" s="204"/>
      <c r="AC4558" s="204"/>
    </row>
    <row r="4559" spans="1:29">
      <c r="A4559" s="204"/>
      <c r="B4559" s="204"/>
      <c r="C4559" s="204"/>
      <c r="D4559" s="204"/>
      <c r="E4559" s="204"/>
      <c r="F4559" s="204"/>
      <c r="G4559" s="204"/>
      <c r="H4559" s="204"/>
      <c r="I4559" s="204"/>
      <c r="J4559" s="204"/>
      <c r="K4559" s="204"/>
      <c r="L4559" s="205"/>
      <c r="M4559" s="205"/>
      <c r="N4559" s="204"/>
      <c r="O4559" s="204"/>
      <c r="P4559" s="206"/>
      <c r="Q4559" s="206"/>
      <c r="R4559" s="206"/>
      <c r="S4559" s="206"/>
      <c r="T4559" s="204"/>
      <c r="U4559" s="207"/>
      <c r="V4559" s="204"/>
      <c r="W4559" s="204"/>
      <c r="X4559" s="207"/>
      <c r="Y4559" s="207"/>
      <c r="Z4559" s="204"/>
      <c r="AA4559" s="204"/>
      <c r="AB4559" s="204"/>
      <c r="AC4559" s="204"/>
    </row>
    <row r="4560" spans="1:29">
      <c r="A4560" s="204"/>
      <c r="B4560" s="204"/>
      <c r="C4560" s="204"/>
      <c r="D4560" s="204"/>
      <c r="E4560" s="204"/>
      <c r="F4560" s="204"/>
      <c r="G4560" s="204"/>
      <c r="H4560" s="204"/>
      <c r="I4560" s="204"/>
      <c r="J4560" s="204"/>
      <c r="K4560" s="204"/>
      <c r="L4560" s="205"/>
      <c r="M4560" s="205"/>
      <c r="N4560" s="204"/>
      <c r="O4560" s="204"/>
      <c r="P4560" s="206"/>
      <c r="Q4560" s="206"/>
      <c r="R4560" s="206"/>
      <c r="S4560" s="206"/>
      <c r="T4560" s="204"/>
      <c r="U4560" s="207"/>
      <c r="V4560" s="204"/>
      <c r="W4560" s="204"/>
      <c r="X4560" s="207"/>
      <c r="Y4560" s="207"/>
      <c r="Z4560" s="204"/>
      <c r="AA4560" s="204"/>
      <c r="AB4560" s="204"/>
      <c r="AC4560" s="204"/>
    </row>
    <row r="4561" spans="1:29">
      <c r="A4561" s="204"/>
      <c r="B4561" s="204"/>
      <c r="C4561" s="204"/>
      <c r="D4561" s="204"/>
      <c r="E4561" s="204"/>
      <c r="F4561" s="204"/>
      <c r="G4561" s="204"/>
      <c r="H4561" s="204"/>
      <c r="I4561" s="204"/>
      <c r="J4561" s="204"/>
      <c r="K4561" s="204"/>
      <c r="L4561" s="205"/>
      <c r="M4561" s="205"/>
      <c r="N4561" s="204"/>
      <c r="O4561" s="204"/>
      <c r="P4561" s="206"/>
      <c r="Q4561" s="206"/>
      <c r="R4561" s="206"/>
      <c r="S4561" s="206"/>
      <c r="T4561" s="204"/>
      <c r="U4561" s="207"/>
      <c r="V4561" s="204"/>
      <c r="W4561" s="204"/>
      <c r="X4561" s="207"/>
      <c r="Y4561" s="207"/>
      <c r="Z4561" s="204"/>
      <c r="AA4561" s="204"/>
      <c r="AB4561" s="204"/>
      <c r="AC4561" s="204"/>
    </row>
    <row r="4562" spans="1:29">
      <c r="A4562" s="204"/>
      <c r="B4562" s="204"/>
      <c r="C4562" s="204"/>
      <c r="D4562" s="204"/>
      <c r="E4562" s="204"/>
      <c r="F4562" s="204"/>
      <c r="G4562" s="204"/>
      <c r="H4562" s="204"/>
      <c r="I4562" s="204"/>
      <c r="J4562" s="204"/>
      <c r="K4562" s="204"/>
      <c r="L4562" s="205"/>
      <c r="M4562" s="205"/>
      <c r="N4562" s="204"/>
      <c r="O4562" s="204"/>
      <c r="P4562" s="206"/>
      <c r="Q4562" s="206"/>
      <c r="R4562" s="206"/>
      <c r="S4562" s="206"/>
      <c r="T4562" s="204"/>
      <c r="U4562" s="207"/>
      <c r="V4562" s="204"/>
      <c r="W4562" s="204"/>
      <c r="X4562" s="207"/>
      <c r="Y4562" s="207"/>
      <c r="Z4562" s="204"/>
      <c r="AA4562" s="204"/>
      <c r="AB4562" s="204"/>
      <c r="AC4562" s="204"/>
    </row>
    <row r="4563" spans="1:29">
      <c r="A4563" s="204"/>
      <c r="B4563" s="204"/>
      <c r="C4563" s="204"/>
      <c r="D4563" s="204"/>
      <c r="E4563" s="204"/>
      <c r="F4563" s="204"/>
      <c r="G4563" s="204"/>
      <c r="H4563" s="204"/>
      <c r="I4563" s="204"/>
      <c r="J4563" s="204"/>
      <c r="K4563" s="204"/>
      <c r="L4563" s="205"/>
      <c r="M4563" s="205"/>
      <c r="N4563" s="204"/>
      <c r="O4563" s="204"/>
      <c r="P4563" s="206"/>
      <c r="Q4563" s="206"/>
      <c r="R4563" s="206"/>
      <c r="S4563" s="206"/>
      <c r="T4563" s="204"/>
      <c r="U4563" s="207"/>
      <c r="V4563" s="204"/>
      <c r="W4563" s="204"/>
      <c r="X4563" s="207"/>
      <c r="Y4563" s="207"/>
      <c r="Z4563" s="204"/>
      <c r="AA4563" s="204"/>
      <c r="AB4563" s="204"/>
      <c r="AC4563" s="204"/>
    </row>
    <row r="4564" spans="1:29">
      <c r="A4564" s="204"/>
      <c r="B4564" s="204"/>
      <c r="C4564" s="204"/>
      <c r="D4564" s="204"/>
      <c r="E4564" s="204"/>
      <c r="F4564" s="204"/>
      <c r="G4564" s="204"/>
      <c r="H4564" s="204"/>
      <c r="I4564" s="204"/>
      <c r="J4564" s="204"/>
      <c r="K4564" s="204"/>
      <c r="L4564" s="205"/>
      <c r="M4564" s="205"/>
      <c r="N4564" s="204"/>
      <c r="O4564" s="204"/>
      <c r="P4564" s="206"/>
      <c r="Q4564" s="206"/>
      <c r="R4564" s="206"/>
      <c r="S4564" s="206"/>
      <c r="T4564" s="204"/>
      <c r="U4564" s="207"/>
      <c r="V4564" s="204"/>
      <c r="W4564" s="204"/>
      <c r="X4564" s="207"/>
      <c r="Y4564" s="207"/>
      <c r="Z4564" s="204"/>
      <c r="AA4564" s="204"/>
      <c r="AB4564" s="204"/>
      <c r="AC4564" s="204"/>
    </row>
    <row r="4565" spans="1:29">
      <c r="A4565" s="204"/>
      <c r="B4565" s="204"/>
      <c r="C4565" s="204"/>
      <c r="D4565" s="204"/>
      <c r="E4565" s="204"/>
      <c r="F4565" s="204"/>
      <c r="G4565" s="204"/>
      <c r="H4565" s="204"/>
      <c r="I4565" s="204"/>
      <c r="J4565" s="204"/>
      <c r="K4565" s="204"/>
      <c r="L4565" s="205"/>
      <c r="M4565" s="205"/>
      <c r="N4565" s="204"/>
      <c r="O4565" s="204"/>
      <c r="P4565" s="206"/>
      <c r="Q4565" s="206"/>
      <c r="R4565" s="206"/>
      <c r="S4565" s="206"/>
      <c r="T4565" s="204"/>
      <c r="U4565" s="207"/>
      <c r="V4565" s="204"/>
      <c r="W4565" s="204"/>
      <c r="X4565" s="207"/>
      <c r="Y4565" s="207"/>
      <c r="Z4565" s="204"/>
      <c r="AA4565" s="204"/>
      <c r="AB4565" s="204"/>
      <c r="AC4565" s="204"/>
    </row>
    <row r="4566" spans="1:29">
      <c r="A4566" s="204"/>
      <c r="B4566" s="204"/>
      <c r="C4566" s="204"/>
      <c r="D4566" s="204"/>
      <c r="E4566" s="204"/>
      <c r="F4566" s="204"/>
      <c r="G4566" s="204"/>
      <c r="H4566" s="204"/>
      <c r="I4566" s="204"/>
      <c r="J4566" s="204"/>
      <c r="K4566" s="204"/>
      <c r="L4566" s="205"/>
      <c r="M4566" s="205"/>
      <c r="N4566" s="204"/>
      <c r="O4566" s="204"/>
      <c r="P4566" s="206"/>
      <c r="Q4566" s="206"/>
      <c r="R4566" s="206"/>
      <c r="S4566" s="206"/>
      <c r="T4566" s="204"/>
      <c r="U4566" s="207"/>
      <c r="V4566" s="204"/>
      <c r="W4566" s="204"/>
      <c r="X4566" s="207"/>
      <c r="Y4566" s="207"/>
      <c r="Z4566" s="204"/>
      <c r="AA4566" s="204"/>
      <c r="AB4566" s="204"/>
      <c r="AC4566" s="204"/>
    </row>
    <row r="4567" spans="1:29">
      <c r="A4567" s="204"/>
      <c r="B4567" s="204"/>
      <c r="C4567" s="204"/>
      <c r="D4567" s="204"/>
      <c r="E4567" s="204"/>
      <c r="F4567" s="204"/>
      <c r="G4567" s="204"/>
      <c r="H4567" s="204"/>
      <c r="I4567" s="204"/>
      <c r="J4567" s="204"/>
      <c r="K4567" s="204"/>
      <c r="L4567" s="205"/>
      <c r="M4567" s="205"/>
      <c r="N4567" s="204"/>
      <c r="O4567" s="204"/>
      <c r="P4567" s="206"/>
      <c r="Q4567" s="206"/>
      <c r="R4567" s="206"/>
      <c r="S4567" s="206"/>
      <c r="T4567" s="204"/>
      <c r="U4567" s="207"/>
      <c r="V4567" s="204"/>
      <c r="W4567" s="204"/>
      <c r="X4567" s="207"/>
      <c r="Y4567" s="207"/>
      <c r="Z4567" s="204"/>
      <c r="AA4567" s="204"/>
      <c r="AB4567" s="204"/>
      <c r="AC4567" s="204"/>
    </row>
    <row r="4568" spans="1:29">
      <c r="A4568" s="204"/>
      <c r="B4568" s="204"/>
      <c r="C4568" s="204"/>
      <c r="D4568" s="204"/>
      <c r="E4568" s="204"/>
      <c r="F4568" s="204"/>
      <c r="G4568" s="204"/>
      <c r="H4568" s="204"/>
      <c r="I4568" s="204"/>
      <c r="J4568" s="204"/>
      <c r="K4568" s="204"/>
      <c r="L4568" s="205"/>
      <c r="M4568" s="205"/>
      <c r="N4568" s="204"/>
      <c r="O4568" s="204"/>
      <c r="P4568" s="206"/>
      <c r="Q4568" s="206"/>
      <c r="R4568" s="206"/>
      <c r="S4568" s="206"/>
      <c r="T4568" s="204"/>
      <c r="U4568" s="207"/>
      <c r="V4568" s="204"/>
      <c r="W4568" s="204"/>
      <c r="X4568" s="207"/>
      <c r="Y4568" s="207"/>
      <c r="Z4568" s="204"/>
      <c r="AA4568" s="204"/>
      <c r="AB4568" s="204"/>
      <c r="AC4568" s="204"/>
    </row>
    <row r="4569" spans="1:29">
      <c r="A4569" s="204"/>
      <c r="B4569" s="204"/>
      <c r="C4569" s="204"/>
      <c r="D4569" s="204"/>
      <c r="E4569" s="204"/>
      <c r="F4569" s="204"/>
      <c r="G4569" s="204"/>
      <c r="H4569" s="204"/>
      <c r="I4569" s="204"/>
      <c r="J4569" s="204"/>
      <c r="K4569" s="204"/>
      <c r="L4569" s="205"/>
      <c r="M4569" s="205"/>
      <c r="N4569" s="204"/>
      <c r="O4569" s="204"/>
      <c r="P4569" s="206"/>
      <c r="Q4569" s="206"/>
      <c r="R4569" s="206"/>
      <c r="S4569" s="206"/>
      <c r="T4569" s="204"/>
      <c r="U4569" s="207"/>
      <c r="V4569" s="204"/>
      <c r="W4569" s="204"/>
      <c r="X4569" s="207"/>
      <c r="Y4569" s="207"/>
      <c r="Z4569" s="204"/>
      <c r="AA4569" s="204"/>
      <c r="AB4569" s="204"/>
      <c r="AC4569" s="204"/>
    </row>
    <row r="4570" spans="1:29">
      <c r="A4570" s="204"/>
      <c r="B4570" s="204"/>
      <c r="C4570" s="204"/>
      <c r="D4570" s="204"/>
      <c r="E4570" s="204"/>
      <c r="F4570" s="204"/>
      <c r="G4570" s="204"/>
      <c r="H4570" s="204"/>
      <c r="I4570" s="204"/>
      <c r="J4570" s="204"/>
      <c r="K4570" s="204"/>
      <c r="L4570" s="205"/>
      <c r="M4570" s="205"/>
      <c r="N4570" s="204"/>
      <c r="O4570" s="204"/>
      <c r="P4570" s="206"/>
      <c r="Q4570" s="206"/>
      <c r="R4570" s="206"/>
      <c r="S4570" s="206"/>
      <c r="T4570" s="204"/>
      <c r="U4570" s="207"/>
      <c r="V4570" s="204"/>
      <c r="W4570" s="204"/>
      <c r="X4570" s="207"/>
      <c r="Y4570" s="207"/>
      <c r="Z4570" s="204"/>
      <c r="AA4570" s="204"/>
      <c r="AB4570" s="204"/>
      <c r="AC4570" s="204"/>
    </row>
    <row r="4571" spans="1:29">
      <c r="A4571" s="204"/>
      <c r="B4571" s="204"/>
      <c r="C4571" s="204"/>
      <c r="D4571" s="204"/>
      <c r="E4571" s="204"/>
      <c r="F4571" s="204"/>
      <c r="G4571" s="204"/>
      <c r="H4571" s="204"/>
      <c r="I4571" s="204"/>
      <c r="J4571" s="204"/>
      <c r="K4571" s="204"/>
      <c r="L4571" s="205"/>
      <c r="M4571" s="205"/>
      <c r="N4571" s="204"/>
      <c r="O4571" s="204"/>
      <c r="P4571" s="206"/>
      <c r="Q4571" s="206"/>
      <c r="R4571" s="206"/>
      <c r="S4571" s="206"/>
      <c r="T4571" s="204"/>
      <c r="U4571" s="207"/>
      <c r="V4571" s="204"/>
      <c r="W4571" s="204"/>
      <c r="X4571" s="207"/>
      <c r="Y4571" s="207"/>
      <c r="Z4571" s="204"/>
      <c r="AA4571" s="204"/>
      <c r="AB4571" s="204"/>
      <c r="AC4571" s="204"/>
    </row>
    <row r="4572" spans="1:29">
      <c r="A4572" s="204"/>
      <c r="B4572" s="204"/>
      <c r="C4572" s="204"/>
      <c r="D4572" s="204"/>
      <c r="E4572" s="204"/>
      <c r="F4572" s="204"/>
      <c r="G4572" s="204"/>
      <c r="H4572" s="204"/>
      <c r="I4572" s="204"/>
      <c r="J4572" s="204"/>
      <c r="K4572" s="204"/>
      <c r="L4572" s="205"/>
      <c r="M4572" s="205"/>
      <c r="N4572" s="204"/>
      <c r="O4572" s="204"/>
      <c r="P4572" s="206"/>
      <c r="Q4572" s="206"/>
      <c r="R4572" s="206"/>
      <c r="S4572" s="206"/>
      <c r="T4572" s="204"/>
      <c r="U4572" s="207"/>
      <c r="V4572" s="204"/>
      <c r="W4572" s="204"/>
      <c r="X4572" s="207"/>
      <c r="Y4572" s="207"/>
      <c r="Z4572" s="204"/>
      <c r="AA4572" s="204"/>
      <c r="AB4572" s="204"/>
      <c r="AC4572" s="204"/>
    </row>
    <row r="4573" spans="1:29">
      <c r="A4573" s="204"/>
      <c r="B4573" s="204"/>
      <c r="C4573" s="204"/>
      <c r="D4573" s="204"/>
      <c r="E4573" s="204"/>
      <c r="F4573" s="204"/>
      <c r="G4573" s="204"/>
      <c r="H4573" s="204"/>
      <c r="I4573" s="204"/>
      <c r="J4573" s="204"/>
      <c r="K4573" s="204"/>
      <c r="L4573" s="205"/>
      <c r="M4573" s="205"/>
      <c r="N4573" s="204"/>
      <c r="O4573" s="204"/>
      <c r="P4573" s="206"/>
      <c r="Q4573" s="206"/>
      <c r="R4573" s="206"/>
      <c r="S4573" s="206"/>
      <c r="T4573" s="204"/>
      <c r="U4573" s="207"/>
      <c r="V4573" s="204"/>
      <c r="W4573" s="204"/>
      <c r="X4573" s="207"/>
      <c r="Y4573" s="207"/>
      <c r="Z4573" s="204"/>
      <c r="AA4573" s="204"/>
      <c r="AB4573" s="204"/>
      <c r="AC4573" s="204"/>
    </row>
    <row r="4574" spans="1:29">
      <c r="A4574" s="204"/>
      <c r="B4574" s="204"/>
      <c r="C4574" s="204"/>
      <c r="D4574" s="204"/>
      <c r="E4574" s="204"/>
      <c r="F4574" s="204"/>
      <c r="G4574" s="204"/>
      <c r="H4574" s="204"/>
      <c r="I4574" s="204"/>
      <c r="J4574" s="204"/>
      <c r="K4574" s="204"/>
      <c r="L4574" s="205"/>
      <c r="M4574" s="205"/>
      <c r="N4574" s="204"/>
      <c r="O4574" s="204"/>
      <c r="P4574" s="206"/>
      <c r="Q4574" s="206"/>
      <c r="R4574" s="206"/>
      <c r="S4574" s="206"/>
      <c r="T4574" s="204"/>
      <c r="U4574" s="207"/>
      <c r="V4574" s="204"/>
      <c r="W4574" s="204"/>
      <c r="X4574" s="207"/>
      <c r="Y4574" s="207"/>
      <c r="Z4574" s="204"/>
      <c r="AA4574" s="204"/>
      <c r="AB4574" s="204"/>
      <c r="AC4574" s="204"/>
    </row>
    <row r="4575" spans="1:29">
      <c r="A4575" s="204"/>
      <c r="B4575" s="204"/>
      <c r="C4575" s="204"/>
      <c r="D4575" s="204"/>
      <c r="E4575" s="204"/>
      <c r="F4575" s="204"/>
      <c r="G4575" s="204"/>
      <c r="H4575" s="204"/>
      <c r="I4575" s="204"/>
      <c r="J4575" s="204"/>
      <c r="K4575" s="204"/>
      <c r="L4575" s="205"/>
      <c r="M4575" s="205"/>
      <c r="N4575" s="204"/>
      <c r="O4575" s="204"/>
      <c r="P4575" s="206"/>
      <c r="Q4575" s="206"/>
      <c r="R4575" s="206"/>
      <c r="S4575" s="206"/>
      <c r="T4575" s="204"/>
      <c r="U4575" s="207"/>
      <c r="V4575" s="204"/>
      <c r="W4575" s="204"/>
      <c r="X4575" s="207"/>
      <c r="Y4575" s="207"/>
      <c r="Z4575" s="204"/>
      <c r="AA4575" s="204"/>
      <c r="AB4575" s="204"/>
      <c r="AC4575" s="204"/>
    </row>
    <row r="4576" spans="1:29">
      <c r="A4576" s="204"/>
      <c r="B4576" s="204"/>
      <c r="C4576" s="204"/>
      <c r="D4576" s="204"/>
      <c r="E4576" s="204"/>
      <c r="F4576" s="204"/>
      <c r="G4576" s="204"/>
      <c r="H4576" s="204"/>
      <c r="I4576" s="204"/>
      <c r="J4576" s="204"/>
      <c r="K4576" s="204"/>
      <c r="L4576" s="205"/>
      <c r="M4576" s="205"/>
      <c r="N4576" s="204"/>
      <c r="O4576" s="204"/>
      <c r="P4576" s="206"/>
      <c r="Q4576" s="206"/>
      <c r="R4576" s="206"/>
      <c r="S4576" s="206"/>
      <c r="T4576" s="204"/>
      <c r="U4576" s="207"/>
      <c r="V4576" s="204"/>
      <c r="W4576" s="204"/>
      <c r="X4576" s="207"/>
      <c r="Y4576" s="207"/>
      <c r="Z4576" s="204"/>
      <c r="AA4576" s="204"/>
      <c r="AB4576" s="204"/>
      <c r="AC4576" s="204"/>
    </row>
    <row r="4577" spans="1:29">
      <c r="A4577" s="204"/>
      <c r="B4577" s="204"/>
      <c r="C4577" s="204"/>
      <c r="D4577" s="204"/>
      <c r="E4577" s="204"/>
      <c r="F4577" s="204"/>
      <c r="G4577" s="204"/>
      <c r="H4577" s="204"/>
      <c r="I4577" s="204"/>
      <c r="J4577" s="204"/>
      <c r="K4577" s="204"/>
      <c r="L4577" s="205"/>
      <c r="M4577" s="205"/>
      <c r="N4577" s="204"/>
      <c r="O4577" s="204"/>
      <c r="P4577" s="206"/>
      <c r="Q4577" s="206"/>
      <c r="R4577" s="206"/>
      <c r="S4577" s="206"/>
      <c r="T4577" s="204"/>
      <c r="U4577" s="207"/>
      <c r="V4577" s="204"/>
      <c r="W4577" s="204"/>
      <c r="X4577" s="207"/>
      <c r="Y4577" s="207"/>
      <c r="Z4577" s="204"/>
      <c r="AA4577" s="204"/>
      <c r="AB4577" s="204"/>
      <c r="AC4577" s="204"/>
    </row>
    <row r="4578" spans="1:29">
      <c r="A4578" s="204"/>
      <c r="B4578" s="204"/>
      <c r="C4578" s="204"/>
      <c r="D4578" s="204"/>
      <c r="E4578" s="204"/>
      <c r="F4578" s="204"/>
      <c r="G4578" s="204"/>
      <c r="H4578" s="204"/>
      <c r="I4578" s="204"/>
      <c r="J4578" s="204"/>
      <c r="K4578" s="204"/>
      <c r="L4578" s="205"/>
      <c r="M4578" s="205"/>
      <c r="N4578" s="204"/>
      <c r="O4578" s="204"/>
      <c r="P4578" s="206"/>
      <c r="Q4578" s="206"/>
      <c r="R4578" s="206"/>
      <c r="S4578" s="206"/>
      <c r="T4578" s="204"/>
      <c r="U4578" s="207"/>
      <c r="V4578" s="204"/>
      <c r="W4578" s="204"/>
      <c r="X4578" s="207"/>
      <c r="Y4578" s="207"/>
      <c r="Z4578" s="204"/>
      <c r="AA4578" s="204"/>
      <c r="AB4578" s="204"/>
      <c r="AC4578" s="204"/>
    </row>
    <row r="4579" spans="1:29">
      <c r="A4579" s="204"/>
      <c r="B4579" s="204"/>
      <c r="C4579" s="204"/>
      <c r="D4579" s="204"/>
      <c r="E4579" s="204"/>
      <c r="F4579" s="204"/>
      <c r="G4579" s="204"/>
      <c r="H4579" s="204"/>
      <c r="I4579" s="204"/>
      <c r="J4579" s="204"/>
      <c r="K4579" s="204"/>
      <c r="L4579" s="205"/>
      <c r="M4579" s="205"/>
      <c r="N4579" s="204"/>
      <c r="O4579" s="204"/>
      <c r="P4579" s="206"/>
      <c r="Q4579" s="206"/>
      <c r="R4579" s="206"/>
      <c r="S4579" s="206"/>
      <c r="T4579" s="204"/>
      <c r="U4579" s="207"/>
      <c r="V4579" s="204"/>
      <c r="W4579" s="204"/>
      <c r="X4579" s="207"/>
      <c r="Y4579" s="207"/>
      <c r="Z4579" s="204"/>
      <c r="AA4579" s="204"/>
      <c r="AB4579" s="204"/>
      <c r="AC4579" s="204"/>
    </row>
    <row r="4580" spans="1:29">
      <c r="A4580" s="204"/>
      <c r="B4580" s="204"/>
      <c r="C4580" s="204"/>
      <c r="D4580" s="204"/>
      <c r="E4580" s="204"/>
      <c r="F4580" s="204"/>
      <c r="G4580" s="204"/>
      <c r="H4580" s="204"/>
      <c r="I4580" s="204"/>
      <c r="J4580" s="204"/>
      <c r="K4580" s="204"/>
      <c r="L4580" s="205"/>
      <c r="M4580" s="205"/>
      <c r="N4580" s="204"/>
      <c r="O4580" s="204"/>
      <c r="P4580" s="206"/>
      <c r="Q4580" s="206"/>
      <c r="R4580" s="206"/>
      <c r="S4580" s="206"/>
      <c r="T4580" s="204"/>
      <c r="U4580" s="207"/>
      <c r="V4580" s="204"/>
      <c r="W4580" s="204"/>
      <c r="X4580" s="207"/>
      <c r="Y4580" s="207"/>
      <c r="Z4580" s="204"/>
      <c r="AA4580" s="204"/>
      <c r="AB4580" s="204"/>
      <c r="AC4580" s="204"/>
    </row>
    <row r="4581" spans="1:29">
      <c r="A4581" s="204"/>
      <c r="B4581" s="204"/>
      <c r="C4581" s="204"/>
      <c r="D4581" s="204"/>
      <c r="E4581" s="204"/>
      <c r="F4581" s="204"/>
      <c r="G4581" s="204"/>
      <c r="H4581" s="204"/>
      <c r="I4581" s="204"/>
      <c r="J4581" s="204"/>
      <c r="K4581" s="204"/>
      <c r="L4581" s="205"/>
      <c r="M4581" s="205"/>
      <c r="N4581" s="204"/>
      <c r="O4581" s="204"/>
      <c r="P4581" s="206"/>
      <c r="Q4581" s="206"/>
      <c r="R4581" s="206"/>
      <c r="S4581" s="206"/>
      <c r="T4581" s="204"/>
      <c r="U4581" s="207"/>
      <c r="V4581" s="204"/>
      <c r="W4581" s="204"/>
      <c r="X4581" s="207"/>
      <c r="Y4581" s="207"/>
      <c r="Z4581" s="204"/>
      <c r="AA4581" s="204"/>
      <c r="AB4581" s="204"/>
      <c r="AC4581" s="204"/>
    </row>
    <row r="4582" spans="1:29">
      <c r="A4582" s="204"/>
      <c r="B4582" s="204"/>
      <c r="C4582" s="204"/>
      <c r="D4582" s="204"/>
      <c r="E4582" s="204"/>
      <c r="F4582" s="204"/>
      <c r="G4582" s="204"/>
      <c r="H4582" s="204"/>
      <c r="I4582" s="204"/>
      <c r="J4582" s="204"/>
      <c r="K4582" s="204"/>
      <c r="L4582" s="205"/>
      <c r="M4582" s="205"/>
      <c r="N4582" s="204"/>
      <c r="O4582" s="204"/>
      <c r="P4582" s="206"/>
      <c r="Q4582" s="206"/>
      <c r="R4582" s="206"/>
      <c r="S4582" s="206"/>
      <c r="T4582" s="204"/>
      <c r="U4582" s="207"/>
      <c r="V4582" s="204"/>
      <c r="W4582" s="204"/>
      <c r="X4582" s="207"/>
      <c r="Y4582" s="207"/>
      <c r="Z4582" s="204"/>
      <c r="AA4582" s="204"/>
      <c r="AB4582" s="204"/>
      <c r="AC4582" s="204"/>
    </row>
    <row r="4583" spans="1:29">
      <c r="A4583" s="204"/>
      <c r="B4583" s="204"/>
      <c r="C4583" s="204"/>
      <c r="D4583" s="204"/>
      <c r="E4583" s="204"/>
      <c r="F4583" s="204"/>
      <c r="G4583" s="204"/>
      <c r="H4583" s="204"/>
      <c r="I4583" s="204"/>
      <c r="J4583" s="204"/>
      <c r="K4583" s="204"/>
      <c r="L4583" s="205"/>
      <c r="M4583" s="205"/>
      <c r="N4583" s="204"/>
      <c r="O4583" s="204"/>
      <c r="P4583" s="206"/>
      <c r="Q4583" s="206"/>
      <c r="R4583" s="206"/>
      <c r="S4583" s="206"/>
      <c r="T4583" s="204"/>
      <c r="U4583" s="207"/>
      <c r="V4583" s="204"/>
      <c r="W4583" s="204"/>
      <c r="X4583" s="207"/>
      <c r="Y4583" s="207"/>
      <c r="Z4583" s="204"/>
      <c r="AA4583" s="204"/>
      <c r="AB4583" s="204"/>
      <c r="AC4583" s="204"/>
    </row>
    <row r="4584" spans="1:29">
      <c r="A4584" s="204"/>
      <c r="B4584" s="204"/>
      <c r="C4584" s="204"/>
      <c r="D4584" s="204"/>
      <c r="E4584" s="204"/>
      <c r="F4584" s="204"/>
      <c r="G4584" s="204"/>
      <c r="H4584" s="204"/>
      <c r="I4584" s="204"/>
      <c r="J4584" s="204"/>
      <c r="K4584" s="204"/>
      <c r="L4584" s="205"/>
      <c r="M4584" s="205"/>
      <c r="N4584" s="204"/>
      <c r="O4584" s="204"/>
      <c r="P4584" s="206"/>
      <c r="Q4584" s="206"/>
      <c r="R4584" s="206"/>
      <c r="S4584" s="206"/>
      <c r="T4584" s="204"/>
      <c r="U4584" s="207"/>
      <c r="V4584" s="204"/>
      <c r="W4584" s="204"/>
      <c r="X4584" s="207"/>
      <c r="Y4584" s="207"/>
      <c r="Z4584" s="204"/>
      <c r="AA4584" s="204"/>
      <c r="AB4584" s="204"/>
      <c r="AC4584" s="204"/>
    </row>
    <row r="4585" spans="1:29">
      <c r="A4585" s="204"/>
      <c r="B4585" s="204"/>
      <c r="C4585" s="204"/>
      <c r="D4585" s="204"/>
      <c r="E4585" s="204"/>
      <c r="F4585" s="204"/>
      <c r="G4585" s="204"/>
      <c r="H4585" s="204"/>
      <c r="I4585" s="204"/>
      <c r="J4585" s="204"/>
      <c r="K4585" s="204"/>
      <c r="L4585" s="205"/>
      <c r="M4585" s="205"/>
      <c r="N4585" s="204"/>
      <c r="O4585" s="204"/>
      <c r="P4585" s="206"/>
      <c r="Q4585" s="206"/>
      <c r="R4585" s="206"/>
      <c r="S4585" s="206"/>
      <c r="T4585" s="204"/>
      <c r="U4585" s="207"/>
      <c r="V4585" s="204"/>
      <c r="W4585" s="204"/>
      <c r="X4585" s="207"/>
      <c r="Y4585" s="207"/>
      <c r="Z4585" s="204"/>
      <c r="AA4585" s="204"/>
      <c r="AB4585" s="204"/>
      <c r="AC4585" s="204"/>
    </row>
    <row r="4586" spans="1:29">
      <c r="A4586" s="204"/>
      <c r="B4586" s="204"/>
      <c r="C4586" s="204"/>
      <c r="D4586" s="204"/>
      <c r="E4586" s="204"/>
      <c r="F4586" s="204"/>
      <c r="G4586" s="204"/>
      <c r="H4586" s="204"/>
      <c r="I4586" s="204"/>
      <c r="J4586" s="204"/>
      <c r="K4586" s="204"/>
      <c r="L4586" s="205"/>
      <c r="M4586" s="205"/>
      <c r="N4586" s="204"/>
      <c r="O4586" s="204"/>
      <c r="P4586" s="206"/>
      <c r="Q4586" s="206"/>
      <c r="R4586" s="206"/>
      <c r="S4586" s="206"/>
      <c r="T4586" s="204"/>
      <c r="U4586" s="207"/>
      <c r="V4586" s="204"/>
      <c r="W4586" s="204"/>
      <c r="X4586" s="207"/>
      <c r="Y4586" s="207"/>
      <c r="Z4586" s="204"/>
      <c r="AA4586" s="204"/>
      <c r="AB4586" s="204"/>
      <c r="AC4586" s="204"/>
    </row>
    <row r="4587" spans="1:29">
      <c r="A4587" s="204"/>
      <c r="B4587" s="204"/>
      <c r="C4587" s="204"/>
      <c r="D4587" s="204"/>
      <c r="E4587" s="204"/>
      <c r="F4587" s="204"/>
      <c r="G4587" s="204"/>
      <c r="H4587" s="204"/>
      <c r="I4587" s="204"/>
      <c r="J4587" s="204"/>
      <c r="K4587" s="204"/>
      <c r="L4587" s="205"/>
      <c r="M4587" s="205"/>
      <c r="N4587" s="204"/>
      <c r="O4587" s="204"/>
      <c r="P4587" s="206"/>
      <c r="Q4587" s="206"/>
      <c r="R4587" s="206"/>
      <c r="S4587" s="206"/>
      <c r="T4587" s="204"/>
      <c r="U4587" s="207"/>
      <c r="V4587" s="204"/>
      <c r="W4587" s="204"/>
      <c r="X4587" s="207"/>
      <c r="Y4587" s="207"/>
      <c r="Z4587" s="204"/>
      <c r="AA4587" s="204"/>
      <c r="AB4587" s="204"/>
      <c r="AC4587" s="204"/>
    </row>
    <row r="4588" spans="1:29">
      <c r="A4588" s="204"/>
      <c r="B4588" s="204"/>
      <c r="C4588" s="204"/>
      <c r="D4588" s="204"/>
      <c r="E4588" s="204"/>
      <c r="F4588" s="204"/>
      <c r="G4588" s="204"/>
      <c r="H4588" s="204"/>
      <c r="I4588" s="204"/>
      <c r="J4588" s="204"/>
      <c r="K4588" s="204"/>
      <c r="L4588" s="205"/>
      <c r="M4588" s="205"/>
      <c r="N4588" s="204"/>
      <c r="O4588" s="204"/>
      <c r="P4588" s="206"/>
      <c r="Q4588" s="206"/>
      <c r="R4588" s="206"/>
      <c r="S4588" s="206"/>
      <c r="T4588" s="204"/>
      <c r="U4588" s="207"/>
      <c r="V4588" s="204"/>
      <c r="W4588" s="204"/>
      <c r="X4588" s="207"/>
      <c r="Y4588" s="207"/>
      <c r="Z4588" s="204"/>
      <c r="AA4588" s="204"/>
      <c r="AB4588" s="204"/>
      <c r="AC4588" s="204"/>
    </row>
    <row r="4589" spans="1:29">
      <c r="A4589" s="204"/>
      <c r="B4589" s="204"/>
      <c r="C4589" s="204"/>
      <c r="D4589" s="204"/>
      <c r="E4589" s="204"/>
      <c r="F4589" s="204"/>
      <c r="G4589" s="204"/>
      <c r="H4589" s="204"/>
      <c r="I4589" s="204"/>
      <c r="J4589" s="204"/>
      <c r="K4589" s="204"/>
      <c r="L4589" s="205"/>
      <c r="M4589" s="205"/>
      <c r="N4589" s="204"/>
      <c r="O4589" s="204"/>
      <c r="P4589" s="206"/>
      <c r="Q4589" s="206"/>
      <c r="R4589" s="206"/>
      <c r="S4589" s="206"/>
      <c r="T4589" s="204"/>
      <c r="U4589" s="207"/>
      <c r="V4589" s="204"/>
      <c r="W4589" s="204"/>
      <c r="X4589" s="207"/>
      <c r="Y4589" s="207"/>
      <c r="Z4589" s="204"/>
      <c r="AA4589" s="204"/>
      <c r="AB4589" s="204"/>
      <c r="AC4589" s="204"/>
    </row>
    <row r="4590" spans="1:29">
      <c r="A4590" s="204"/>
      <c r="B4590" s="204"/>
      <c r="C4590" s="204"/>
      <c r="D4590" s="204"/>
      <c r="E4590" s="204"/>
      <c r="F4590" s="204"/>
      <c r="G4590" s="204"/>
      <c r="H4590" s="204"/>
      <c r="I4590" s="204"/>
      <c r="J4590" s="204"/>
      <c r="K4590" s="204"/>
      <c r="L4590" s="205"/>
      <c r="M4590" s="205"/>
      <c r="N4590" s="204"/>
      <c r="O4590" s="204"/>
      <c r="P4590" s="206"/>
      <c r="Q4590" s="206"/>
      <c r="R4590" s="206"/>
      <c r="S4590" s="206"/>
      <c r="T4590" s="204"/>
      <c r="U4590" s="207"/>
      <c r="V4590" s="204"/>
      <c r="W4590" s="204"/>
      <c r="X4590" s="207"/>
      <c r="Y4590" s="207"/>
      <c r="Z4590" s="204"/>
      <c r="AA4590" s="204"/>
      <c r="AB4590" s="204"/>
      <c r="AC4590" s="204"/>
    </row>
    <row r="4591" spans="1:29">
      <c r="A4591" s="204"/>
      <c r="B4591" s="204"/>
      <c r="C4591" s="204"/>
      <c r="D4591" s="204"/>
      <c r="E4591" s="204"/>
      <c r="F4591" s="204"/>
      <c r="G4591" s="204"/>
      <c r="H4591" s="204"/>
      <c r="I4591" s="204"/>
      <c r="J4591" s="204"/>
      <c r="K4591" s="204"/>
      <c r="L4591" s="205"/>
      <c r="M4591" s="205"/>
      <c r="N4591" s="204"/>
      <c r="O4591" s="204"/>
      <c r="P4591" s="206"/>
      <c r="Q4591" s="206"/>
      <c r="R4591" s="206"/>
      <c r="S4591" s="206"/>
      <c r="T4591" s="204"/>
      <c r="U4591" s="207"/>
      <c r="V4591" s="204"/>
      <c r="W4591" s="204"/>
      <c r="X4591" s="207"/>
      <c r="Y4591" s="207"/>
      <c r="Z4591" s="204"/>
      <c r="AA4591" s="204"/>
      <c r="AB4591" s="204"/>
      <c r="AC4591" s="204"/>
    </row>
    <row r="4592" spans="1:29">
      <c r="A4592" s="204"/>
      <c r="B4592" s="204"/>
      <c r="C4592" s="204"/>
      <c r="D4592" s="204"/>
      <c r="E4592" s="204"/>
      <c r="F4592" s="204"/>
      <c r="G4592" s="204"/>
      <c r="H4592" s="204"/>
      <c r="I4592" s="204"/>
      <c r="J4592" s="204"/>
      <c r="K4592" s="204"/>
      <c r="L4592" s="205"/>
      <c r="M4592" s="205"/>
      <c r="N4592" s="204"/>
      <c r="O4592" s="204"/>
      <c r="P4592" s="206"/>
      <c r="Q4592" s="206"/>
      <c r="R4592" s="206"/>
      <c r="S4592" s="206"/>
      <c r="T4592" s="204"/>
      <c r="U4592" s="207"/>
      <c r="V4592" s="204"/>
      <c r="W4592" s="204"/>
      <c r="X4592" s="207"/>
      <c r="Y4592" s="207"/>
      <c r="Z4592" s="204"/>
      <c r="AA4592" s="204"/>
      <c r="AB4592" s="204"/>
      <c r="AC4592" s="204"/>
    </row>
    <row r="4593" spans="1:29">
      <c r="A4593" s="204"/>
      <c r="B4593" s="204"/>
      <c r="C4593" s="204"/>
      <c r="D4593" s="204"/>
      <c r="E4593" s="204"/>
      <c r="F4593" s="204"/>
      <c r="G4593" s="204"/>
      <c r="H4593" s="204"/>
      <c r="I4593" s="204"/>
      <c r="J4593" s="204"/>
      <c r="K4593" s="204"/>
      <c r="L4593" s="205"/>
      <c r="M4593" s="205"/>
      <c r="N4593" s="204"/>
      <c r="O4593" s="204"/>
      <c r="P4593" s="206"/>
      <c r="Q4593" s="206"/>
      <c r="R4593" s="206"/>
      <c r="S4593" s="206"/>
      <c r="T4593" s="204"/>
      <c r="U4593" s="207"/>
      <c r="V4593" s="204"/>
      <c r="W4593" s="204"/>
      <c r="X4593" s="207"/>
      <c r="Y4593" s="207"/>
      <c r="Z4593" s="204"/>
      <c r="AA4593" s="204"/>
      <c r="AB4593" s="204"/>
      <c r="AC4593" s="204"/>
    </row>
    <row r="4594" spans="1:29">
      <c r="A4594" s="204"/>
      <c r="B4594" s="204"/>
      <c r="C4594" s="204"/>
      <c r="D4594" s="204"/>
      <c r="E4594" s="204"/>
      <c r="F4594" s="204"/>
      <c r="G4594" s="204"/>
      <c r="H4594" s="204"/>
      <c r="I4594" s="204"/>
      <c r="J4594" s="204"/>
      <c r="K4594" s="204"/>
      <c r="L4594" s="205"/>
      <c r="M4594" s="205"/>
      <c r="N4594" s="204"/>
      <c r="O4594" s="204"/>
      <c r="P4594" s="206"/>
      <c r="Q4594" s="206"/>
      <c r="R4594" s="206"/>
      <c r="S4594" s="206"/>
      <c r="T4594" s="204"/>
      <c r="U4594" s="207"/>
      <c r="V4594" s="204"/>
      <c r="W4594" s="204"/>
      <c r="X4594" s="207"/>
      <c r="Y4594" s="207"/>
      <c r="Z4594" s="204"/>
      <c r="AA4594" s="204"/>
      <c r="AB4594" s="204"/>
      <c r="AC4594" s="204"/>
    </row>
    <row r="4595" spans="1:29">
      <c r="A4595" s="204"/>
      <c r="B4595" s="204"/>
      <c r="C4595" s="204"/>
      <c r="D4595" s="204"/>
      <c r="E4595" s="204"/>
      <c r="F4595" s="204"/>
      <c r="G4595" s="204"/>
      <c r="H4595" s="204"/>
      <c r="I4595" s="204"/>
      <c r="J4595" s="204"/>
      <c r="K4595" s="204"/>
      <c r="L4595" s="205"/>
      <c r="M4595" s="205"/>
      <c r="N4595" s="204"/>
      <c r="O4595" s="204"/>
      <c r="P4595" s="206"/>
      <c r="Q4595" s="206"/>
      <c r="R4595" s="206"/>
      <c r="S4595" s="206"/>
      <c r="T4595" s="204"/>
      <c r="U4595" s="207"/>
      <c r="V4595" s="204"/>
      <c r="W4595" s="204"/>
      <c r="X4595" s="207"/>
      <c r="Y4595" s="207"/>
      <c r="Z4595" s="204"/>
      <c r="AA4595" s="204"/>
      <c r="AB4595" s="204"/>
      <c r="AC4595" s="204"/>
    </row>
    <row r="4596" spans="1:29">
      <c r="A4596" s="204"/>
      <c r="B4596" s="204"/>
      <c r="C4596" s="204"/>
      <c r="D4596" s="204"/>
      <c r="E4596" s="204"/>
      <c r="F4596" s="204"/>
      <c r="G4596" s="204"/>
      <c r="H4596" s="204"/>
      <c r="I4596" s="204"/>
      <c r="J4596" s="204"/>
      <c r="K4596" s="204"/>
      <c r="L4596" s="205"/>
      <c r="M4596" s="205"/>
      <c r="N4596" s="204"/>
      <c r="O4596" s="204"/>
      <c r="P4596" s="206"/>
      <c r="Q4596" s="206"/>
      <c r="R4596" s="206"/>
      <c r="S4596" s="206"/>
      <c r="T4596" s="204"/>
      <c r="U4596" s="207"/>
      <c r="V4596" s="204"/>
      <c r="W4596" s="204"/>
      <c r="X4596" s="207"/>
      <c r="Y4596" s="207"/>
      <c r="Z4596" s="204"/>
      <c r="AA4596" s="204"/>
      <c r="AB4596" s="204"/>
      <c r="AC4596" s="204"/>
    </row>
    <row r="4597" spans="1:29">
      <c r="A4597" s="204"/>
      <c r="B4597" s="204"/>
      <c r="C4597" s="204"/>
      <c r="D4597" s="204"/>
      <c r="E4597" s="204"/>
      <c r="F4597" s="204"/>
      <c r="G4597" s="204"/>
      <c r="H4597" s="204"/>
      <c r="I4597" s="204"/>
      <c r="J4597" s="204"/>
      <c r="K4597" s="204"/>
      <c r="L4597" s="205"/>
      <c r="M4597" s="205"/>
      <c r="N4597" s="204"/>
      <c r="O4597" s="204"/>
      <c r="P4597" s="206"/>
      <c r="Q4597" s="206"/>
      <c r="R4597" s="206"/>
      <c r="S4597" s="206"/>
      <c r="T4597" s="204"/>
      <c r="U4597" s="207"/>
      <c r="V4597" s="204"/>
      <c r="W4597" s="204"/>
      <c r="X4597" s="207"/>
      <c r="Y4597" s="207"/>
      <c r="Z4597" s="204"/>
      <c r="AA4597" s="204"/>
      <c r="AB4597" s="204"/>
      <c r="AC4597" s="204"/>
    </row>
    <row r="4598" spans="1:29">
      <c r="A4598" s="204"/>
      <c r="B4598" s="204"/>
      <c r="C4598" s="204"/>
      <c r="D4598" s="204"/>
      <c r="E4598" s="204"/>
      <c r="F4598" s="204"/>
      <c r="G4598" s="204"/>
      <c r="H4598" s="204"/>
      <c r="I4598" s="204"/>
      <c r="J4598" s="204"/>
      <c r="K4598" s="204"/>
      <c r="L4598" s="205"/>
      <c r="M4598" s="205"/>
      <c r="N4598" s="204"/>
      <c r="O4598" s="204"/>
      <c r="P4598" s="206"/>
      <c r="Q4598" s="206"/>
      <c r="R4598" s="206"/>
      <c r="S4598" s="206"/>
      <c r="T4598" s="204"/>
      <c r="U4598" s="207"/>
      <c r="V4598" s="204"/>
      <c r="W4598" s="204"/>
      <c r="X4598" s="207"/>
      <c r="Y4598" s="207"/>
      <c r="Z4598" s="204"/>
      <c r="AA4598" s="204"/>
      <c r="AB4598" s="204"/>
      <c r="AC4598" s="204"/>
    </row>
    <row r="4599" spans="1:29">
      <c r="A4599" s="204"/>
      <c r="B4599" s="204"/>
      <c r="C4599" s="204"/>
      <c r="D4599" s="204"/>
      <c r="E4599" s="204"/>
      <c r="F4599" s="204"/>
      <c r="G4599" s="204"/>
      <c r="H4599" s="204"/>
      <c r="I4599" s="204"/>
      <c r="J4599" s="204"/>
      <c r="K4599" s="204"/>
      <c r="L4599" s="205"/>
      <c r="M4599" s="205"/>
      <c r="N4599" s="204"/>
      <c r="O4599" s="204"/>
      <c r="P4599" s="206"/>
      <c r="Q4599" s="206"/>
      <c r="R4599" s="206"/>
      <c r="S4599" s="206"/>
      <c r="T4599" s="204"/>
      <c r="U4599" s="207"/>
      <c r="V4599" s="204"/>
      <c r="W4599" s="204"/>
      <c r="X4599" s="207"/>
      <c r="Y4599" s="207"/>
      <c r="Z4599" s="204"/>
      <c r="AA4599" s="204"/>
      <c r="AB4599" s="204"/>
      <c r="AC4599" s="204"/>
    </row>
    <row r="4600" spans="1:29">
      <c r="A4600" s="204"/>
      <c r="B4600" s="204"/>
      <c r="C4600" s="204"/>
      <c r="D4600" s="204"/>
      <c r="E4600" s="204"/>
      <c r="F4600" s="204"/>
      <c r="G4600" s="204"/>
      <c r="H4600" s="204"/>
      <c r="I4600" s="204"/>
      <c r="J4600" s="204"/>
      <c r="K4600" s="204"/>
      <c r="L4600" s="205"/>
      <c r="M4600" s="205"/>
      <c r="N4600" s="204"/>
      <c r="O4600" s="204"/>
      <c r="P4600" s="206"/>
      <c r="Q4600" s="206"/>
      <c r="R4600" s="206"/>
      <c r="S4600" s="206"/>
      <c r="T4600" s="204"/>
      <c r="U4600" s="207"/>
      <c r="V4600" s="204"/>
      <c r="W4600" s="204"/>
      <c r="X4600" s="207"/>
      <c r="Y4600" s="207"/>
      <c r="Z4600" s="204"/>
      <c r="AA4600" s="204"/>
      <c r="AB4600" s="204"/>
      <c r="AC4600" s="204"/>
    </row>
    <row r="4601" spans="1:29">
      <c r="A4601" s="204"/>
      <c r="B4601" s="204"/>
      <c r="C4601" s="204"/>
      <c r="D4601" s="204"/>
      <c r="E4601" s="204"/>
      <c r="F4601" s="204"/>
      <c r="G4601" s="204"/>
      <c r="H4601" s="204"/>
      <c r="I4601" s="204"/>
      <c r="J4601" s="204"/>
      <c r="K4601" s="204"/>
      <c r="L4601" s="205"/>
      <c r="M4601" s="205"/>
      <c r="N4601" s="204"/>
      <c r="O4601" s="204"/>
      <c r="P4601" s="206"/>
      <c r="Q4601" s="206"/>
      <c r="R4601" s="206"/>
      <c r="S4601" s="206"/>
      <c r="T4601" s="204"/>
      <c r="U4601" s="207"/>
      <c r="V4601" s="204"/>
      <c r="W4601" s="204"/>
      <c r="X4601" s="207"/>
      <c r="Y4601" s="207"/>
      <c r="Z4601" s="204"/>
      <c r="AA4601" s="204"/>
      <c r="AB4601" s="204"/>
      <c r="AC4601" s="204"/>
    </row>
    <row r="4602" spans="1:29">
      <c r="A4602" s="204"/>
      <c r="B4602" s="204"/>
      <c r="C4602" s="204"/>
      <c r="D4602" s="204"/>
      <c r="E4602" s="204"/>
      <c r="F4602" s="204"/>
      <c r="G4602" s="204"/>
      <c r="H4602" s="204"/>
      <c r="I4602" s="204"/>
      <c r="J4602" s="204"/>
      <c r="K4602" s="204"/>
      <c r="L4602" s="205"/>
      <c r="M4602" s="205"/>
      <c r="N4602" s="204"/>
      <c r="O4602" s="204"/>
      <c r="P4602" s="206"/>
      <c r="Q4602" s="206"/>
      <c r="R4602" s="206"/>
      <c r="S4602" s="206"/>
      <c r="T4602" s="204"/>
      <c r="U4602" s="207"/>
      <c r="V4602" s="204"/>
      <c r="W4602" s="204"/>
      <c r="X4602" s="207"/>
      <c r="Y4602" s="207"/>
      <c r="Z4602" s="204"/>
      <c r="AA4602" s="204"/>
      <c r="AB4602" s="204"/>
      <c r="AC4602" s="204"/>
    </row>
    <row r="4603" spans="1:29">
      <c r="A4603" s="204"/>
      <c r="B4603" s="204"/>
      <c r="C4603" s="204"/>
      <c r="D4603" s="204"/>
      <c r="E4603" s="204"/>
      <c r="F4603" s="204"/>
      <c r="G4603" s="204"/>
      <c r="H4603" s="204"/>
      <c r="I4603" s="204"/>
      <c r="J4603" s="204"/>
      <c r="K4603" s="204"/>
      <c r="L4603" s="205"/>
      <c r="M4603" s="205"/>
      <c r="N4603" s="204"/>
      <c r="O4603" s="204"/>
      <c r="P4603" s="206"/>
      <c r="Q4603" s="206"/>
      <c r="R4603" s="206"/>
      <c r="S4603" s="206"/>
      <c r="T4603" s="204"/>
      <c r="U4603" s="207"/>
      <c r="V4603" s="204"/>
      <c r="W4603" s="204"/>
      <c r="X4603" s="207"/>
      <c r="Y4603" s="207"/>
      <c r="Z4603" s="204"/>
      <c r="AA4603" s="204"/>
      <c r="AB4603" s="204"/>
      <c r="AC4603" s="204"/>
    </row>
    <row r="4604" spans="1:29">
      <c r="A4604" s="204"/>
      <c r="B4604" s="204"/>
      <c r="C4604" s="204"/>
      <c r="D4604" s="204"/>
      <c r="E4604" s="204"/>
      <c r="F4604" s="204"/>
      <c r="G4604" s="204"/>
      <c r="H4604" s="204"/>
      <c r="I4604" s="204"/>
      <c r="J4604" s="204"/>
      <c r="K4604" s="204"/>
      <c r="L4604" s="205"/>
      <c r="M4604" s="205"/>
      <c r="N4604" s="204"/>
      <c r="O4604" s="204"/>
      <c r="P4604" s="206"/>
      <c r="Q4604" s="206"/>
      <c r="R4604" s="206"/>
      <c r="S4604" s="206"/>
      <c r="T4604" s="204"/>
      <c r="U4604" s="207"/>
      <c r="V4604" s="204"/>
      <c r="W4604" s="204"/>
      <c r="X4604" s="207"/>
      <c r="Y4604" s="207"/>
      <c r="Z4604" s="204"/>
      <c r="AA4604" s="204"/>
      <c r="AB4604" s="204"/>
      <c r="AC4604" s="204"/>
    </row>
    <row r="4605" spans="1:29">
      <c r="A4605" s="204"/>
      <c r="B4605" s="204"/>
      <c r="C4605" s="204"/>
      <c r="D4605" s="204"/>
      <c r="E4605" s="204"/>
      <c r="F4605" s="204"/>
      <c r="G4605" s="204"/>
      <c r="H4605" s="204"/>
      <c r="I4605" s="204"/>
      <c r="J4605" s="204"/>
      <c r="K4605" s="204"/>
      <c r="L4605" s="205"/>
      <c r="M4605" s="205"/>
      <c r="N4605" s="204"/>
      <c r="O4605" s="204"/>
      <c r="P4605" s="206"/>
      <c r="Q4605" s="206"/>
      <c r="R4605" s="206"/>
      <c r="S4605" s="206"/>
      <c r="T4605" s="204"/>
      <c r="U4605" s="207"/>
      <c r="V4605" s="204"/>
      <c r="W4605" s="204"/>
      <c r="X4605" s="207"/>
      <c r="Y4605" s="207"/>
      <c r="Z4605" s="204"/>
      <c r="AA4605" s="204"/>
      <c r="AB4605" s="204"/>
      <c r="AC4605" s="204"/>
    </row>
    <row r="4606" spans="1:29">
      <c r="A4606" s="204"/>
      <c r="B4606" s="204"/>
      <c r="C4606" s="204"/>
      <c r="D4606" s="204"/>
      <c r="E4606" s="204"/>
      <c r="F4606" s="204"/>
      <c r="G4606" s="204"/>
      <c r="H4606" s="204"/>
      <c r="I4606" s="204"/>
      <c r="J4606" s="204"/>
      <c r="K4606" s="204"/>
      <c r="L4606" s="205"/>
      <c r="M4606" s="205"/>
      <c r="N4606" s="204"/>
      <c r="O4606" s="204"/>
      <c r="P4606" s="206"/>
      <c r="Q4606" s="206"/>
      <c r="R4606" s="206"/>
      <c r="S4606" s="206"/>
      <c r="T4606" s="204"/>
      <c r="U4606" s="207"/>
      <c r="V4606" s="204"/>
      <c r="W4606" s="204"/>
      <c r="X4606" s="207"/>
      <c r="Y4606" s="207"/>
      <c r="Z4606" s="204"/>
      <c r="AA4606" s="204"/>
      <c r="AB4606" s="204"/>
      <c r="AC4606" s="204"/>
    </row>
    <row r="4607" spans="1:29">
      <c r="A4607" s="204"/>
      <c r="B4607" s="204"/>
      <c r="C4607" s="204"/>
      <c r="D4607" s="204"/>
      <c r="E4607" s="204"/>
      <c r="F4607" s="204"/>
      <c r="G4607" s="204"/>
      <c r="H4607" s="204"/>
      <c r="I4607" s="204"/>
      <c r="J4607" s="204"/>
      <c r="K4607" s="204"/>
      <c r="L4607" s="205"/>
      <c r="M4607" s="205"/>
      <c r="N4607" s="204"/>
      <c r="O4607" s="204"/>
      <c r="P4607" s="206"/>
      <c r="Q4607" s="206"/>
      <c r="R4607" s="206"/>
      <c r="S4607" s="206"/>
      <c r="T4607" s="204"/>
      <c r="U4607" s="207"/>
      <c r="V4607" s="204"/>
      <c r="W4607" s="204"/>
      <c r="X4607" s="207"/>
      <c r="Y4607" s="207"/>
      <c r="Z4607" s="204"/>
      <c r="AA4607" s="204"/>
      <c r="AB4607" s="204"/>
      <c r="AC4607" s="204"/>
    </row>
    <row r="4608" spans="1:29">
      <c r="A4608" s="204"/>
      <c r="B4608" s="204"/>
      <c r="C4608" s="204"/>
      <c r="D4608" s="204"/>
      <c r="E4608" s="204"/>
      <c r="F4608" s="204"/>
      <c r="G4608" s="204"/>
      <c r="H4608" s="204"/>
      <c r="I4608" s="204"/>
      <c r="J4608" s="204"/>
      <c r="K4608" s="204"/>
      <c r="L4608" s="205"/>
      <c r="M4608" s="205"/>
      <c r="N4608" s="204"/>
      <c r="O4608" s="204"/>
      <c r="P4608" s="206"/>
      <c r="Q4608" s="206"/>
      <c r="R4608" s="206"/>
      <c r="S4608" s="206"/>
      <c r="T4608" s="204"/>
      <c r="U4608" s="207"/>
      <c r="V4608" s="204"/>
      <c r="W4608" s="204"/>
      <c r="X4608" s="207"/>
      <c r="Y4608" s="207"/>
      <c r="Z4608" s="204"/>
      <c r="AA4608" s="204"/>
      <c r="AB4608" s="204"/>
      <c r="AC4608" s="204"/>
    </row>
    <row r="4609" spans="1:29">
      <c r="A4609" s="204"/>
      <c r="B4609" s="204"/>
      <c r="C4609" s="204"/>
      <c r="D4609" s="204"/>
      <c r="E4609" s="204"/>
      <c r="F4609" s="204"/>
      <c r="G4609" s="204"/>
      <c r="H4609" s="204"/>
      <c r="I4609" s="204"/>
      <c r="J4609" s="204"/>
      <c r="K4609" s="204"/>
      <c r="L4609" s="205"/>
      <c r="M4609" s="205"/>
      <c r="N4609" s="204"/>
      <c r="O4609" s="204"/>
      <c r="P4609" s="206"/>
      <c r="Q4609" s="206"/>
      <c r="R4609" s="206"/>
      <c r="S4609" s="206"/>
      <c r="T4609" s="204"/>
      <c r="U4609" s="207"/>
      <c r="V4609" s="204"/>
      <c r="W4609" s="204"/>
      <c r="X4609" s="207"/>
      <c r="Y4609" s="207"/>
      <c r="Z4609" s="204"/>
      <c r="AA4609" s="204"/>
      <c r="AB4609" s="204"/>
      <c r="AC4609" s="204"/>
    </row>
    <row r="4610" spans="1:29">
      <c r="A4610" s="204"/>
      <c r="B4610" s="204"/>
      <c r="C4610" s="204"/>
      <c r="D4610" s="204"/>
      <c r="E4610" s="204"/>
      <c r="F4610" s="204"/>
      <c r="G4610" s="204"/>
      <c r="H4610" s="204"/>
      <c r="I4610" s="204"/>
      <c r="J4610" s="204"/>
      <c r="K4610" s="204"/>
      <c r="L4610" s="205"/>
      <c r="M4610" s="205"/>
      <c r="N4610" s="204"/>
      <c r="O4610" s="204"/>
      <c r="P4610" s="206"/>
      <c r="Q4610" s="206"/>
      <c r="R4610" s="206"/>
      <c r="S4610" s="206"/>
      <c r="T4610" s="204"/>
      <c r="U4610" s="207"/>
      <c r="V4610" s="204"/>
      <c r="W4610" s="204"/>
      <c r="X4610" s="207"/>
      <c r="Y4610" s="207"/>
      <c r="Z4610" s="204"/>
      <c r="AA4610" s="204"/>
      <c r="AB4610" s="204"/>
      <c r="AC4610" s="204"/>
    </row>
    <row r="4611" spans="1:29">
      <c r="A4611" s="204"/>
      <c r="B4611" s="204"/>
      <c r="C4611" s="204"/>
      <c r="D4611" s="204"/>
      <c r="E4611" s="204"/>
      <c r="F4611" s="204"/>
      <c r="G4611" s="204"/>
      <c r="H4611" s="204"/>
      <c r="I4611" s="204"/>
      <c r="J4611" s="204"/>
      <c r="K4611" s="204"/>
      <c r="L4611" s="205"/>
      <c r="M4611" s="205"/>
      <c r="N4611" s="204"/>
      <c r="O4611" s="204"/>
      <c r="P4611" s="206"/>
      <c r="Q4611" s="206"/>
      <c r="R4611" s="206"/>
      <c r="S4611" s="206"/>
      <c r="T4611" s="204"/>
      <c r="U4611" s="207"/>
      <c r="V4611" s="204"/>
      <c r="W4611" s="204"/>
      <c r="X4611" s="207"/>
      <c r="Y4611" s="207"/>
      <c r="Z4611" s="204"/>
      <c r="AA4611" s="204"/>
      <c r="AB4611" s="204"/>
      <c r="AC4611" s="204"/>
    </row>
    <row r="4612" spans="1:29">
      <c r="A4612" s="204"/>
      <c r="B4612" s="204"/>
      <c r="C4612" s="204"/>
      <c r="D4612" s="204"/>
      <c r="E4612" s="204"/>
      <c r="F4612" s="204"/>
      <c r="G4612" s="204"/>
      <c r="H4612" s="204"/>
      <c r="I4612" s="204"/>
      <c r="J4612" s="204"/>
      <c r="K4612" s="204"/>
      <c r="L4612" s="205"/>
      <c r="M4612" s="205"/>
      <c r="N4612" s="204"/>
      <c r="O4612" s="204"/>
      <c r="P4612" s="206"/>
      <c r="Q4612" s="206"/>
      <c r="R4612" s="206"/>
      <c r="S4612" s="206"/>
      <c r="T4612" s="204"/>
      <c r="U4612" s="207"/>
      <c r="V4612" s="204"/>
      <c r="W4612" s="204"/>
      <c r="X4612" s="207"/>
      <c r="Y4612" s="207"/>
      <c r="Z4612" s="204"/>
      <c r="AA4612" s="204"/>
      <c r="AB4612" s="204"/>
      <c r="AC4612" s="204"/>
    </row>
    <row r="4613" spans="1:29">
      <c r="A4613" s="204"/>
      <c r="B4613" s="204"/>
      <c r="C4613" s="204"/>
      <c r="D4613" s="204"/>
      <c r="E4613" s="204"/>
      <c r="F4613" s="204"/>
      <c r="G4613" s="204"/>
      <c r="H4613" s="204"/>
      <c r="I4613" s="204"/>
      <c r="J4613" s="204"/>
      <c r="K4613" s="204"/>
      <c r="L4613" s="205"/>
      <c r="M4613" s="205"/>
      <c r="N4613" s="204"/>
      <c r="O4613" s="204"/>
      <c r="P4613" s="206"/>
      <c r="Q4613" s="206"/>
      <c r="R4613" s="206"/>
      <c r="S4613" s="206"/>
      <c r="T4613" s="204"/>
      <c r="U4613" s="207"/>
      <c r="V4613" s="204"/>
      <c r="W4613" s="204"/>
      <c r="X4613" s="207"/>
      <c r="Y4613" s="207"/>
      <c r="Z4613" s="204"/>
      <c r="AA4613" s="204"/>
      <c r="AB4613" s="204"/>
      <c r="AC4613" s="204"/>
    </row>
    <row r="4614" spans="1:29">
      <c r="A4614" s="204"/>
      <c r="B4614" s="204"/>
      <c r="C4614" s="204"/>
      <c r="D4614" s="204"/>
      <c r="E4614" s="204"/>
      <c r="F4614" s="204"/>
      <c r="G4614" s="204"/>
      <c r="H4614" s="204"/>
      <c r="I4614" s="204"/>
      <c r="J4614" s="204"/>
      <c r="K4614" s="204"/>
      <c r="L4614" s="205"/>
      <c r="M4614" s="205"/>
      <c r="N4614" s="204"/>
      <c r="O4614" s="204"/>
      <c r="P4614" s="206"/>
      <c r="Q4614" s="206"/>
      <c r="R4614" s="206"/>
      <c r="S4614" s="206"/>
      <c r="T4614" s="204"/>
      <c r="U4614" s="207"/>
      <c r="V4614" s="204"/>
      <c r="W4614" s="204"/>
      <c r="X4614" s="207"/>
      <c r="Y4614" s="207"/>
      <c r="Z4614" s="204"/>
      <c r="AA4614" s="204"/>
      <c r="AB4614" s="204"/>
      <c r="AC4614" s="204"/>
    </row>
    <row r="4615" spans="1:29">
      <c r="A4615" s="204"/>
      <c r="B4615" s="204"/>
      <c r="C4615" s="204"/>
      <c r="D4615" s="204"/>
      <c r="E4615" s="204"/>
      <c r="F4615" s="204"/>
      <c r="G4615" s="204"/>
      <c r="H4615" s="204"/>
      <c r="I4615" s="204"/>
      <c r="J4615" s="204"/>
      <c r="K4615" s="204"/>
      <c r="L4615" s="205"/>
      <c r="M4615" s="205"/>
      <c r="N4615" s="204"/>
      <c r="O4615" s="204"/>
      <c r="P4615" s="206"/>
      <c r="Q4615" s="206"/>
      <c r="R4615" s="206"/>
      <c r="S4615" s="206"/>
      <c r="T4615" s="204"/>
      <c r="U4615" s="207"/>
      <c r="V4615" s="204"/>
      <c r="W4615" s="204"/>
      <c r="X4615" s="207"/>
      <c r="Y4615" s="207"/>
      <c r="Z4615" s="204"/>
      <c r="AA4615" s="204"/>
      <c r="AB4615" s="204"/>
      <c r="AC4615" s="204"/>
    </row>
    <row r="4616" spans="1:29">
      <c r="A4616" s="204"/>
      <c r="B4616" s="204"/>
      <c r="C4616" s="204"/>
      <c r="D4616" s="204"/>
      <c r="E4616" s="204"/>
      <c r="F4616" s="204"/>
      <c r="G4616" s="204"/>
      <c r="H4616" s="204"/>
      <c r="I4616" s="204"/>
      <c r="J4616" s="204"/>
      <c r="K4616" s="204"/>
      <c r="L4616" s="205"/>
      <c r="M4616" s="205"/>
      <c r="N4616" s="204"/>
      <c r="O4616" s="204"/>
      <c r="P4616" s="206"/>
      <c r="Q4616" s="206"/>
      <c r="R4616" s="206"/>
      <c r="S4616" s="206"/>
      <c r="T4616" s="204"/>
      <c r="U4616" s="207"/>
      <c r="V4616" s="204"/>
      <c r="W4616" s="204"/>
      <c r="X4616" s="207"/>
      <c r="Y4616" s="207"/>
      <c r="Z4616" s="204"/>
      <c r="AA4616" s="204"/>
      <c r="AB4616" s="204"/>
      <c r="AC4616" s="204"/>
    </row>
    <row r="4617" spans="1:29">
      <c r="A4617" s="204"/>
      <c r="B4617" s="204"/>
      <c r="C4617" s="204"/>
      <c r="D4617" s="204"/>
      <c r="E4617" s="204"/>
      <c r="F4617" s="204"/>
      <c r="G4617" s="204"/>
      <c r="H4617" s="204"/>
      <c r="I4617" s="204"/>
      <c r="J4617" s="204"/>
      <c r="K4617" s="204"/>
      <c r="L4617" s="205"/>
      <c r="M4617" s="205"/>
      <c r="N4617" s="204"/>
      <c r="O4617" s="204"/>
      <c r="P4617" s="206"/>
      <c r="Q4617" s="206"/>
      <c r="R4617" s="206"/>
      <c r="S4617" s="206"/>
      <c r="T4617" s="204"/>
      <c r="U4617" s="207"/>
      <c r="V4617" s="204"/>
      <c r="W4617" s="204"/>
      <c r="X4617" s="207"/>
      <c r="Y4617" s="207"/>
      <c r="Z4617" s="204"/>
      <c r="AA4617" s="204"/>
      <c r="AB4617" s="204"/>
      <c r="AC4617" s="204"/>
    </row>
    <row r="4618" spans="1:29">
      <c r="A4618" s="204"/>
      <c r="B4618" s="204"/>
      <c r="C4618" s="204"/>
      <c r="D4618" s="204"/>
      <c r="E4618" s="204"/>
      <c r="F4618" s="204"/>
      <c r="G4618" s="204"/>
      <c r="H4618" s="204"/>
      <c r="I4618" s="204"/>
      <c r="J4618" s="204"/>
      <c r="K4618" s="204"/>
      <c r="L4618" s="205"/>
      <c r="M4618" s="205"/>
      <c r="N4618" s="204"/>
      <c r="O4618" s="204"/>
      <c r="P4618" s="206"/>
      <c r="Q4618" s="206"/>
      <c r="R4618" s="206"/>
      <c r="S4618" s="206"/>
      <c r="T4618" s="204"/>
      <c r="U4618" s="207"/>
      <c r="V4618" s="204"/>
      <c r="W4618" s="204"/>
      <c r="X4618" s="207"/>
      <c r="Y4618" s="207"/>
      <c r="Z4618" s="204"/>
      <c r="AA4618" s="204"/>
      <c r="AB4618" s="204"/>
      <c r="AC4618" s="204"/>
    </row>
    <row r="4619" spans="1:29">
      <c r="A4619" s="204"/>
      <c r="B4619" s="204"/>
      <c r="C4619" s="204"/>
      <c r="D4619" s="204"/>
      <c r="E4619" s="204"/>
      <c r="F4619" s="204"/>
      <c r="G4619" s="204"/>
      <c r="H4619" s="204"/>
      <c r="I4619" s="204"/>
      <c r="J4619" s="204"/>
      <c r="K4619" s="204"/>
      <c r="L4619" s="205"/>
      <c r="M4619" s="205"/>
      <c r="N4619" s="204"/>
      <c r="O4619" s="204"/>
      <c r="P4619" s="206"/>
      <c r="Q4619" s="206"/>
      <c r="R4619" s="206"/>
      <c r="S4619" s="206"/>
      <c r="T4619" s="204"/>
      <c r="U4619" s="207"/>
      <c r="V4619" s="204"/>
      <c r="W4619" s="204"/>
      <c r="X4619" s="207"/>
      <c r="Y4619" s="207"/>
      <c r="Z4619" s="204"/>
      <c r="AA4619" s="204"/>
      <c r="AB4619" s="204"/>
      <c r="AC4619" s="204"/>
    </row>
    <row r="4620" spans="1:29">
      <c r="A4620" s="204"/>
      <c r="B4620" s="204"/>
      <c r="C4620" s="204"/>
      <c r="D4620" s="204"/>
      <c r="E4620" s="204"/>
      <c r="F4620" s="204"/>
      <c r="G4620" s="204"/>
      <c r="H4620" s="204"/>
      <c r="I4620" s="204"/>
      <c r="J4620" s="204"/>
      <c r="K4620" s="204"/>
      <c r="L4620" s="205"/>
      <c r="M4620" s="205"/>
      <c r="N4620" s="204"/>
      <c r="O4620" s="204"/>
      <c r="P4620" s="206"/>
      <c r="Q4620" s="206"/>
      <c r="R4620" s="206"/>
      <c r="S4620" s="206"/>
      <c r="T4620" s="204"/>
      <c r="U4620" s="207"/>
      <c r="V4620" s="204"/>
      <c r="W4620" s="204"/>
      <c r="X4620" s="207"/>
      <c r="Y4620" s="207"/>
      <c r="Z4620" s="204"/>
      <c r="AA4620" s="204"/>
      <c r="AB4620" s="204"/>
      <c r="AC4620" s="204"/>
    </row>
    <row r="4621" spans="1:29">
      <c r="A4621" s="204"/>
      <c r="B4621" s="204"/>
      <c r="C4621" s="204"/>
      <c r="D4621" s="204"/>
      <c r="E4621" s="204"/>
      <c r="F4621" s="204"/>
      <c r="G4621" s="204"/>
      <c r="H4621" s="204"/>
      <c r="I4621" s="204"/>
      <c r="J4621" s="204"/>
      <c r="K4621" s="204"/>
      <c r="L4621" s="205"/>
      <c r="M4621" s="205"/>
      <c r="N4621" s="204"/>
      <c r="O4621" s="204"/>
      <c r="P4621" s="206"/>
      <c r="Q4621" s="206"/>
      <c r="R4621" s="206"/>
      <c r="S4621" s="206"/>
      <c r="T4621" s="204"/>
      <c r="U4621" s="207"/>
      <c r="V4621" s="204"/>
      <c r="W4621" s="204"/>
      <c r="X4621" s="207"/>
      <c r="Y4621" s="207"/>
      <c r="Z4621" s="204"/>
      <c r="AA4621" s="204"/>
      <c r="AB4621" s="204"/>
      <c r="AC4621" s="204"/>
    </row>
    <row r="4622" spans="1:29">
      <c r="A4622" s="204"/>
      <c r="B4622" s="204"/>
      <c r="C4622" s="204"/>
      <c r="D4622" s="204"/>
      <c r="E4622" s="204"/>
      <c r="F4622" s="204"/>
      <c r="G4622" s="204"/>
      <c r="H4622" s="204"/>
      <c r="I4622" s="204"/>
      <c r="J4622" s="204"/>
      <c r="K4622" s="204"/>
      <c r="L4622" s="205"/>
      <c r="M4622" s="205"/>
      <c r="N4622" s="204"/>
      <c r="O4622" s="204"/>
      <c r="P4622" s="206"/>
      <c r="Q4622" s="206"/>
      <c r="R4622" s="206"/>
      <c r="S4622" s="206"/>
      <c r="T4622" s="204"/>
      <c r="U4622" s="207"/>
      <c r="V4622" s="204"/>
      <c r="W4622" s="204"/>
      <c r="X4622" s="207"/>
      <c r="Y4622" s="207"/>
      <c r="Z4622" s="204"/>
      <c r="AA4622" s="204"/>
      <c r="AB4622" s="204"/>
      <c r="AC4622" s="204"/>
    </row>
    <row r="4623" spans="1:29">
      <c r="A4623" s="204"/>
      <c r="B4623" s="204"/>
      <c r="C4623" s="204"/>
      <c r="D4623" s="204"/>
      <c r="E4623" s="204"/>
      <c r="F4623" s="204"/>
      <c r="G4623" s="204"/>
      <c r="H4623" s="204"/>
      <c r="I4623" s="204"/>
      <c r="J4623" s="204"/>
      <c r="K4623" s="204"/>
      <c r="L4623" s="205"/>
      <c r="M4623" s="205"/>
      <c r="N4623" s="204"/>
      <c r="O4623" s="204"/>
      <c r="P4623" s="206"/>
      <c r="Q4623" s="206"/>
      <c r="R4623" s="206"/>
      <c r="S4623" s="206"/>
      <c r="T4623" s="204"/>
      <c r="U4623" s="207"/>
      <c r="V4623" s="204"/>
      <c r="W4623" s="204"/>
      <c r="X4623" s="207"/>
      <c r="Y4623" s="207"/>
      <c r="Z4623" s="204"/>
      <c r="AA4623" s="204"/>
      <c r="AB4623" s="204"/>
      <c r="AC4623" s="204"/>
    </row>
    <row r="4624" spans="1:29">
      <c r="A4624" s="204"/>
      <c r="B4624" s="204"/>
      <c r="C4624" s="204"/>
      <c r="D4624" s="204"/>
      <c r="E4624" s="204"/>
      <c r="F4624" s="204"/>
      <c r="G4624" s="204"/>
      <c r="H4624" s="204"/>
      <c r="I4624" s="204"/>
      <c r="J4624" s="204"/>
      <c r="K4624" s="204"/>
      <c r="L4624" s="205"/>
      <c r="M4624" s="205"/>
      <c r="N4624" s="204"/>
      <c r="O4624" s="204"/>
      <c r="P4624" s="206"/>
      <c r="Q4624" s="206"/>
      <c r="R4624" s="206"/>
      <c r="S4624" s="206"/>
      <c r="T4624" s="204"/>
      <c r="U4624" s="207"/>
      <c r="V4624" s="204"/>
      <c r="W4624" s="204"/>
      <c r="X4624" s="207"/>
      <c r="Y4624" s="207"/>
      <c r="Z4624" s="204"/>
      <c r="AA4624" s="204"/>
      <c r="AB4624" s="204"/>
      <c r="AC4624" s="204"/>
    </row>
    <row r="4625" spans="1:29">
      <c r="A4625" s="204"/>
      <c r="B4625" s="204"/>
      <c r="C4625" s="204"/>
      <c r="D4625" s="204"/>
      <c r="E4625" s="204"/>
      <c r="F4625" s="204"/>
      <c r="G4625" s="204"/>
      <c r="H4625" s="204"/>
      <c r="I4625" s="204"/>
      <c r="J4625" s="204"/>
      <c r="K4625" s="204"/>
      <c r="L4625" s="205"/>
      <c r="M4625" s="205"/>
      <c r="N4625" s="204"/>
      <c r="O4625" s="204"/>
      <c r="P4625" s="206"/>
      <c r="Q4625" s="206"/>
      <c r="R4625" s="206"/>
      <c r="S4625" s="206"/>
      <c r="T4625" s="204"/>
      <c r="U4625" s="207"/>
      <c r="V4625" s="204"/>
      <c r="W4625" s="204"/>
      <c r="X4625" s="207"/>
      <c r="Y4625" s="207"/>
      <c r="Z4625" s="204"/>
      <c r="AA4625" s="204"/>
      <c r="AB4625" s="204"/>
      <c r="AC4625" s="204"/>
    </row>
    <row r="4626" spans="1:29">
      <c r="A4626" s="204"/>
      <c r="B4626" s="204"/>
      <c r="C4626" s="204"/>
      <c r="D4626" s="204"/>
      <c r="E4626" s="204"/>
      <c r="F4626" s="204"/>
      <c r="G4626" s="204"/>
      <c r="H4626" s="204"/>
      <c r="I4626" s="204"/>
      <c r="J4626" s="204"/>
      <c r="K4626" s="204"/>
      <c r="L4626" s="205"/>
      <c r="M4626" s="205"/>
      <c r="N4626" s="204"/>
      <c r="O4626" s="204"/>
      <c r="P4626" s="206"/>
      <c r="Q4626" s="206"/>
      <c r="R4626" s="206"/>
      <c r="S4626" s="206"/>
      <c r="T4626" s="204"/>
      <c r="U4626" s="207"/>
      <c r="V4626" s="204"/>
      <c r="W4626" s="204"/>
      <c r="X4626" s="207"/>
      <c r="Y4626" s="207"/>
      <c r="Z4626" s="204"/>
      <c r="AA4626" s="204"/>
      <c r="AB4626" s="204"/>
      <c r="AC4626" s="204"/>
    </row>
    <row r="4627" spans="1:29">
      <c r="A4627" s="204"/>
      <c r="B4627" s="204"/>
      <c r="C4627" s="204"/>
      <c r="D4627" s="204"/>
      <c r="E4627" s="204"/>
      <c r="F4627" s="204"/>
      <c r="G4627" s="204"/>
      <c r="H4627" s="204"/>
      <c r="I4627" s="204"/>
      <c r="J4627" s="204"/>
      <c r="K4627" s="204"/>
      <c r="L4627" s="205"/>
      <c r="M4627" s="205"/>
      <c r="N4627" s="204"/>
      <c r="O4627" s="204"/>
      <c r="P4627" s="206"/>
      <c r="Q4627" s="206"/>
      <c r="R4627" s="206"/>
      <c r="S4627" s="206"/>
      <c r="T4627" s="204"/>
      <c r="U4627" s="207"/>
      <c r="V4627" s="204"/>
      <c r="W4627" s="204"/>
      <c r="X4627" s="207"/>
      <c r="Y4627" s="207"/>
      <c r="Z4627" s="204"/>
      <c r="AA4627" s="204"/>
      <c r="AB4627" s="204"/>
      <c r="AC4627" s="204"/>
    </row>
    <row r="4628" spans="1:29">
      <c r="A4628" s="204"/>
      <c r="B4628" s="204"/>
      <c r="C4628" s="204"/>
      <c r="D4628" s="204"/>
      <c r="E4628" s="204"/>
      <c r="F4628" s="204"/>
      <c r="G4628" s="204"/>
      <c r="H4628" s="204"/>
      <c r="I4628" s="204"/>
      <c r="J4628" s="204"/>
      <c r="K4628" s="204"/>
      <c r="L4628" s="205"/>
      <c r="M4628" s="205"/>
      <c r="N4628" s="204"/>
      <c r="O4628" s="204"/>
      <c r="P4628" s="206"/>
      <c r="Q4628" s="206"/>
      <c r="R4628" s="206"/>
      <c r="S4628" s="206"/>
      <c r="T4628" s="204"/>
      <c r="U4628" s="207"/>
      <c r="V4628" s="204"/>
      <c r="W4628" s="204"/>
      <c r="X4628" s="207"/>
      <c r="Y4628" s="207"/>
      <c r="Z4628" s="204"/>
      <c r="AA4628" s="204"/>
      <c r="AB4628" s="204"/>
      <c r="AC4628" s="204"/>
    </row>
    <row r="4629" spans="1:29">
      <c r="A4629" s="204"/>
      <c r="B4629" s="204"/>
      <c r="C4629" s="204"/>
      <c r="D4629" s="204"/>
      <c r="E4629" s="204"/>
      <c r="F4629" s="204"/>
      <c r="G4629" s="204"/>
      <c r="H4629" s="204"/>
      <c r="I4629" s="204"/>
      <c r="J4629" s="204"/>
      <c r="K4629" s="204"/>
      <c r="L4629" s="205"/>
      <c r="M4629" s="205"/>
      <c r="N4629" s="204"/>
      <c r="O4629" s="204"/>
      <c r="P4629" s="206"/>
      <c r="Q4629" s="206"/>
      <c r="R4629" s="206"/>
      <c r="S4629" s="206"/>
      <c r="T4629" s="204"/>
      <c r="U4629" s="207"/>
      <c r="V4629" s="204"/>
      <c r="W4629" s="204"/>
      <c r="X4629" s="207"/>
      <c r="Y4629" s="207"/>
      <c r="Z4629" s="204"/>
      <c r="AA4629" s="204"/>
      <c r="AB4629" s="204"/>
      <c r="AC4629" s="204"/>
    </row>
    <row r="4630" spans="1:29">
      <c r="A4630" s="204"/>
      <c r="B4630" s="204"/>
      <c r="C4630" s="204"/>
      <c r="D4630" s="204"/>
      <c r="E4630" s="204"/>
      <c r="F4630" s="204"/>
      <c r="G4630" s="204"/>
      <c r="H4630" s="204"/>
      <c r="I4630" s="204"/>
      <c r="J4630" s="204"/>
      <c r="K4630" s="204"/>
      <c r="L4630" s="205"/>
      <c r="M4630" s="205"/>
      <c r="N4630" s="204"/>
      <c r="O4630" s="204"/>
      <c r="P4630" s="206"/>
      <c r="Q4630" s="206"/>
      <c r="R4630" s="206"/>
      <c r="S4630" s="206"/>
      <c r="T4630" s="204"/>
      <c r="U4630" s="207"/>
      <c r="V4630" s="204"/>
      <c r="W4630" s="204"/>
      <c r="X4630" s="207"/>
      <c r="Y4630" s="207"/>
      <c r="Z4630" s="204"/>
      <c r="AA4630" s="204"/>
      <c r="AB4630" s="204"/>
      <c r="AC4630" s="204"/>
    </row>
    <row r="4631" spans="1:29">
      <c r="A4631" s="204"/>
      <c r="B4631" s="204"/>
      <c r="C4631" s="204"/>
      <c r="D4631" s="204"/>
      <c r="E4631" s="204"/>
      <c r="F4631" s="204"/>
      <c r="G4631" s="204"/>
      <c r="H4631" s="204"/>
      <c r="I4631" s="204"/>
      <c r="J4631" s="204"/>
      <c r="K4631" s="204"/>
      <c r="L4631" s="205"/>
      <c r="M4631" s="205"/>
      <c r="N4631" s="204"/>
      <c r="O4631" s="204"/>
      <c r="P4631" s="206"/>
      <c r="Q4631" s="206"/>
      <c r="R4631" s="206"/>
      <c r="S4631" s="206"/>
      <c r="T4631" s="204"/>
      <c r="U4631" s="207"/>
      <c r="V4631" s="204"/>
      <c r="W4631" s="204"/>
      <c r="X4631" s="207"/>
      <c r="Y4631" s="207"/>
      <c r="Z4631" s="204"/>
      <c r="AA4631" s="204"/>
      <c r="AB4631" s="204"/>
      <c r="AC4631" s="204"/>
    </row>
    <row r="4632" spans="1:29">
      <c r="A4632" s="204"/>
      <c r="B4632" s="204"/>
      <c r="C4632" s="204"/>
      <c r="D4632" s="204"/>
      <c r="E4632" s="204"/>
      <c r="F4632" s="204"/>
      <c r="G4632" s="204"/>
      <c r="H4632" s="204"/>
      <c r="I4632" s="204"/>
      <c r="J4632" s="204"/>
      <c r="K4632" s="204"/>
      <c r="L4632" s="205"/>
      <c r="M4632" s="205"/>
      <c r="N4632" s="204"/>
      <c r="O4632" s="204"/>
      <c r="P4632" s="206"/>
      <c r="Q4632" s="206"/>
      <c r="R4632" s="206"/>
      <c r="S4632" s="206"/>
      <c r="T4632" s="204"/>
      <c r="U4632" s="207"/>
      <c r="V4632" s="204"/>
      <c r="W4632" s="204"/>
      <c r="X4632" s="207"/>
      <c r="Y4632" s="207"/>
      <c r="Z4632" s="204"/>
      <c r="AA4632" s="204"/>
      <c r="AB4632" s="204"/>
      <c r="AC4632" s="204"/>
    </row>
    <row r="4633" spans="1:29">
      <c r="A4633" s="204"/>
      <c r="B4633" s="204"/>
      <c r="C4633" s="204"/>
      <c r="D4633" s="204"/>
      <c r="E4633" s="204"/>
      <c r="F4633" s="204"/>
      <c r="G4633" s="204"/>
      <c r="H4633" s="204"/>
      <c r="I4633" s="204"/>
      <c r="J4633" s="204"/>
      <c r="K4633" s="204"/>
      <c r="L4633" s="205"/>
      <c r="M4633" s="205"/>
      <c r="N4633" s="204"/>
      <c r="O4633" s="204"/>
      <c r="P4633" s="206"/>
      <c r="Q4633" s="206"/>
      <c r="R4633" s="206"/>
      <c r="S4633" s="206"/>
      <c r="T4633" s="204"/>
      <c r="U4633" s="207"/>
      <c r="V4633" s="204"/>
      <c r="W4633" s="204"/>
      <c r="X4633" s="207"/>
      <c r="Y4633" s="207"/>
      <c r="Z4633" s="204"/>
      <c r="AA4633" s="204"/>
      <c r="AB4633" s="204"/>
      <c r="AC4633" s="204"/>
    </row>
    <row r="4634" spans="1:29">
      <c r="A4634" s="204"/>
      <c r="B4634" s="204"/>
      <c r="C4634" s="204"/>
      <c r="D4634" s="204"/>
      <c r="E4634" s="204"/>
      <c r="F4634" s="204"/>
      <c r="G4634" s="204"/>
      <c r="H4634" s="204"/>
      <c r="I4634" s="204"/>
      <c r="J4634" s="204"/>
      <c r="K4634" s="204"/>
      <c r="L4634" s="205"/>
      <c r="M4634" s="205"/>
      <c r="N4634" s="204"/>
      <c r="O4634" s="204"/>
      <c r="P4634" s="206"/>
      <c r="Q4634" s="206"/>
      <c r="R4634" s="206"/>
      <c r="S4634" s="206"/>
      <c r="T4634" s="204"/>
      <c r="U4634" s="207"/>
      <c r="V4634" s="204"/>
      <c r="W4634" s="204"/>
      <c r="X4634" s="207"/>
      <c r="Y4634" s="207"/>
      <c r="Z4634" s="204"/>
      <c r="AA4634" s="204"/>
      <c r="AB4634" s="204"/>
      <c r="AC4634" s="204"/>
    </row>
    <row r="4635" spans="1:29">
      <c r="A4635" s="204"/>
      <c r="B4635" s="204"/>
      <c r="C4635" s="204"/>
      <c r="D4635" s="204"/>
      <c r="E4635" s="204"/>
      <c r="F4635" s="204"/>
      <c r="G4635" s="204"/>
      <c r="H4635" s="204"/>
      <c r="I4635" s="204"/>
      <c r="J4635" s="204"/>
      <c r="K4635" s="204"/>
      <c r="L4635" s="205"/>
      <c r="M4635" s="205"/>
      <c r="N4635" s="204"/>
      <c r="O4635" s="204"/>
      <c r="P4635" s="206"/>
      <c r="Q4635" s="206"/>
      <c r="R4635" s="206"/>
      <c r="S4635" s="206"/>
      <c r="T4635" s="204"/>
      <c r="U4635" s="207"/>
      <c r="V4635" s="204"/>
      <c r="W4635" s="204"/>
      <c r="X4635" s="207"/>
      <c r="Y4635" s="207"/>
      <c r="Z4635" s="204"/>
      <c r="AA4635" s="204"/>
      <c r="AB4635" s="204"/>
      <c r="AC4635" s="204"/>
    </row>
    <row r="4636" spans="1:29">
      <c r="A4636" s="204"/>
      <c r="B4636" s="204"/>
      <c r="C4636" s="204"/>
      <c r="D4636" s="204"/>
      <c r="E4636" s="204"/>
      <c r="F4636" s="204"/>
      <c r="G4636" s="204"/>
      <c r="H4636" s="204"/>
      <c r="I4636" s="204"/>
      <c r="J4636" s="204"/>
      <c r="K4636" s="204"/>
      <c r="L4636" s="205"/>
      <c r="M4636" s="205"/>
      <c r="N4636" s="204"/>
      <c r="O4636" s="204"/>
      <c r="P4636" s="206"/>
      <c r="Q4636" s="206"/>
      <c r="R4636" s="206"/>
      <c r="S4636" s="206"/>
      <c r="T4636" s="204"/>
      <c r="U4636" s="207"/>
      <c r="V4636" s="204"/>
      <c r="W4636" s="204"/>
      <c r="X4636" s="207"/>
      <c r="Y4636" s="207"/>
      <c r="Z4636" s="204"/>
      <c r="AA4636" s="204"/>
      <c r="AB4636" s="204"/>
      <c r="AC4636" s="204"/>
    </row>
    <row r="4637" spans="1:29">
      <c r="A4637" s="204"/>
      <c r="B4637" s="204"/>
      <c r="C4637" s="204"/>
      <c r="D4637" s="204"/>
      <c r="E4637" s="204"/>
      <c r="F4637" s="204"/>
      <c r="G4637" s="204"/>
      <c r="H4637" s="204"/>
      <c r="I4637" s="204"/>
      <c r="J4637" s="204"/>
      <c r="K4637" s="204"/>
      <c r="L4637" s="205"/>
      <c r="M4637" s="205"/>
      <c r="N4637" s="204"/>
      <c r="O4637" s="204"/>
      <c r="P4637" s="206"/>
      <c r="Q4637" s="206"/>
      <c r="R4637" s="206"/>
      <c r="S4637" s="206"/>
      <c r="T4637" s="204"/>
      <c r="U4637" s="207"/>
      <c r="V4637" s="204"/>
      <c r="W4637" s="204"/>
      <c r="X4637" s="207"/>
      <c r="Y4637" s="207"/>
      <c r="Z4637" s="204"/>
      <c r="AA4637" s="204"/>
      <c r="AB4637" s="204"/>
      <c r="AC4637" s="204"/>
    </row>
    <row r="4638" spans="1:29">
      <c r="A4638" s="204"/>
      <c r="B4638" s="204"/>
      <c r="C4638" s="204"/>
      <c r="D4638" s="204"/>
      <c r="E4638" s="204"/>
      <c r="F4638" s="204"/>
      <c r="G4638" s="204"/>
      <c r="H4638" s="204"/>
      <c r="I4638" s="204"/>
      <c r="J4638" s="204"/>
      <c r="K4638" s="204"/>
      <c r="L4638" s="205"/>
      <c r="M4638" s="205"/>
      <c r="N4638" s="204"/>
      <c r="O4638" s="204"/>
      <c r="P4638" s="206"/>
      <c r="Q4638" s="206"/>
      <c r="R4638" s="206"/>
      <c r="S4638" s="206"/>
      <c r="T4638" s="204"/>
      <c r="U4638" s="207"/>
      <c r="V4638" s="204"/>
      <c r="W4638" s="204"/>
      <c r="X4638" s="207"/>
      <c r="Y4638" s="207"/>
      <c r="Z4638" s="204"/>
      <c r="AA4638" s="204"/>
      <c r="AB4638" s="204"/>
      <c r="AC4638" s="204"/>
    </row>
    <row r="4639" spans="1:29">
      <c r="A4639" s="204"/>
      <c r="B4639" s="204"/>
      <c r="C4639" s="204"/>
      <c r="D4639" s="204"/>
      <c r="E4639" s="204"/>
      <c r="F4639" s="204"/>
      <c r="G4639" s="204"/>
      <c r="H4639" s="204"/>
      <c r="I4639" s="204"/>
      <c r="J4639" s="204"/>
      <c r="K4639" s="204"/>
      <c r="L4639" s="205"/>
      <c r="M4639" s="205"/>
      <c r="N4639" s="204"/>
      <c r="O4639" s="204"/>
      <c r="P4639" s="206"/>
      <c r="Q4639" s="206"/>
      <c r="R4639" s="206"/>
      <c r="S4639" s="206"/>
      <c r="T4639" s="204"/>
      <c r="U4639" s="207"/>
      <c r="V4639" s="204"/>
      <c r="W4639" s="204"/>
      <c r="X4639" s="207"/>
      <c r="Y4639" s="207"/>
      <c r="Z4639" s="204"/>
      <c r="AA4639" s="204"/>
      <c r="AB4639" s="204"/>
      <c r="AC4639" s="204"/>
    </row>
    <row r="4640" spans="1:29">
      <c r="A4640" s="204"/>
      <c r="B4640" s="204"/>
      <c r="C4640" s="204"/>
      <c r="D4640" s="204"/>
      <c r="E4640" s="204"/>
      <c r="F4640" s="204"/>
      <c r="G4640" s="204"/>
      <c r="H4640" s="204"/>
      <c r="I4640" s="204"/>
      <c r="J4640" s="204"/>
      <c r="K4640" s="204"/>
      <c r="L4640" s="205"/>
      <c r="M4640" s="205"/>
      <c r="N4640" s="204"/>
      <c r="O4640" s="204"/>
      <c r="P4640" s="206"/>
      <c r="Q4640" s="206"/>
      <c r="R4640" s="206"/>
      <c r="S4640" s="206"/>
      <c r="T4640" s="204"/>
      <c r="U4640" s="207"/>
      <c r="V4640" s="204"/>
      <c r="W4640" s="204"/>
      <c r="X4640" s="207"/>
      <c r="Y4640" s="207"/>
      <c r="Z4640" s="204"/>
      <c r="AA4640" s="204"/>
      <c r="AB4640" s="204"/>
      <c r="AC4640" s="204"/>
    </row>
    <row r="4641" spans="1:29">
      <c r="A4641" s="204"/>
      <c r="B4641" s="204"/>
      <c r="C4641" s="204"/>
      <c r="D4641" s="204"/>
      <c r="E4641" s="204"/>
      <c r="F4641" s="204"/>
      <c r="G4641" s="204"/>
      <c r="H4641" s="204"/>
      <c r="I4641" s="204"/>
      <c r="J4641" s="204"/>
      <c r="K4641" s="204"/>
      <c r="L4641" s="205"/>
      <c r="M4641" s="205"/>
      <c r="N4641" s="204"/>
      <c r="O4641" s="204"/>
      <c r="P4641" s="206"/>
      <c r="Q4641" s="206"/>
      <c r="R4641" s="206"/>
      <c r="S4641" s="206"/>
      <c r="T4641" s="204"/>
      <c r="U4641" s="207"/>
      <c r="V4641" s="204"/>
      <c r="W4641" s="204"/>
      <c r="X4641" s="207"/>
      <c r="Y4641" s="207"/>
      <c r="Z4641" s="204"/>
      <c r="AA4641" s="204"/>
      <c r="AB4641" s="204"/>
      <c r="AC4641" s="204"/>
    </row>
    <row r="4642" spans="1:29">
      <c r="A4642" s="204"/>
      <c r="B4642" s="204"/>
      <c r="C4642" s="204"/>
      <c r="D4642" s="204"/>
      <c r="E4642" s="204"/>
      <c r="F4642" s="204"/>
      <c r="G4642" s="204"/>
      <c r="H4642" s="204"/>
      <c r="I4642" s="204"/>
      <c r="J4642" s="204"/>
      <c r="K4642" s="204"/>
      <c r="L4642" s="205"/>
      <c r="M4642" s="205"/>
      <c r="N4642" s="204"/>
      <c r="O4642" s="204"/>
      <c r="P4642" s="206"/>
      <c r="Q4642" s="206"/>
      <c r="R4642" s="206"/>
      <c r="S4642" s="206"/>
      <c r="T4642" s="204"/>
      <c r="U4642" s="207"/>
      <c r="V4642" s="204"/>
      <c r="W4642" s="204"/>
      <c r="X4642" s="207"/>
      <c r="Y4642" s="207"/>
      <c r="Z4642" s="204"/>
      <c r="AA4642" s="204"/>
      <c r="AB4642" s="204"/>
      <c r="AC4642" s="204"/>
    </row>
    <row r="4643" spans="1:29">
      <c r="A4643" s="204"/>
      <c r="B4643" s="204"/>
      <c r="C4643" s="204"/>
      <c r="D4643" s="204"/>
      <c r="E4643" s="204"/>
      <c r="F4643" s="204"/>
      <c r="G4643" s="204"/>
      <c r="H4643" s="204"/>
      <c r="I4643" s="204"/>
      <c r="J4643" s="204"/>
      <c r="K4643" s="204"/>
      <c r="L4643" s="205"/>
      <c r="M4643" s="205"/>
      <c r="N4643" s="204"/>
      <c r="O4643" s="204"/>
      <c r="P4643" s="206"/>
      <c r="Q4643" s="206"/>
      <c r="R4643" s="206"/>
      <c r="S4643" s="206"/>
      <c r="T4643" s="204"/>
      <c r="U4643" s="207"/>
      <c r="V4643" s="204"/>
      <c r="W4643" s="204"/>
      <c r="X4643" s="207"/>
      <c r="Y4643" s="207"/>
      <c r="Z4643" s="204"/>
      <c r="AA4643" s="204"/>
      <c r="AB4643" s="204"/>
      <c r="AC4643" s="204"/>
    </row>
    <row r="4644" spans="1:29">
      <c r="A4644" s="204"/>
      <c r="B4644" s="204"/>
      <c r="C4644" s="204"/>
      <c r="D4644" s="204"/>
      <c r="E4644" s="204"/>
      <c r="F4644" s="204"/>
      <c r="G4644" s="204"/>
      <c r="H4644" s="204"/>
      <c r="I4644" s="204"/>
      <c r="J4644" s="204"/>
      <c r="K4644" s="204"/>
      <c r="L4644" s="205"/>
      <c r="M4644" s="205"/>
      <c r="N4644" s="204"/>
      <c r="O4644" s="204"/>
      <c r="P4644" s="206"/>
      <c r="Q4644" s="206"/>
      <c r="R4644" s="206"/>
      <c r="S4644" s="206"/>
      <c r="T4644" s="204"/>
      <c r="U4644" s="207"/>
      <c r="V4644" s="204"/>
      <c r="W4644" s="204"/>
      <c r="X4644" s="207"/>
      <c r="Y4644" s="207"/>
      <c r="Z4644" s="204"/>
      <c r="AA4644" s="204"/>
      <c r="AB4644" s="204"/>
      <c r="AC4644" s="204"/>
    </row>
    <row r="4645" spans="1:29">
      <c r="A4645" s="204"/>
      <c r="B4645" s="204"/>
      <c r="C4645" s="204"/>
      <c r="D4645" s="204"/>
      <c r="E4645" s="204"/>
      <c r="F4645" s="204"/>
      <c r="G4645" s="204"/>
      <c r="H4645" s="204"/>
      <c r="I4645" s="204"/>
      <c r="J4645" s="204"/>
      <c r="K4645" s="204"/>
      <c r="L4645" s="205"/>
      <c r="M4645" s="205"/>
      <c r="N4645" s="204"/>
      <c r="O4645" s="204"/>
      <c r="P4645" s="206"/>
      <c r="Q4645" s="206"/>
      <c r="R4645" s="206"/>
      <c r="S4645" s="206"/>
      <c r="T4645" s="204"/>
      <c r="U4645" s="207"/>
      <c r="V4645" s="204"/>
      <c r="W4645" s="204"/>
      <c r="X4645" s="207"/>
      <c r="Y4645" s="207"/>
      <c r="Z4645" s="204"/>
      <c r="AA4645" s="204"/>
      <c r="AB4645" s="204"/>
      <c r="AC4645" s="204"/>
    </row>
    <row r="4646" spans="1:29">
      <c r="A4646" s="204"/>
      <c r="B4646" s="204"/>
      <c r="C4646" s="204"/>
      <c r="D4646" s="204"/>
      <c r="E4646" s="204"/>
      <c r="F4646" s="204"/>
      <c r="G4646" s="204"/>
      <c r="H4646" s="204"/>
      <c r="I4646" s="204"/>
      <c r="J4646" s="204"/>
      <c r="K4646" s="204"/>
      <c r="L4646" s="205"/>
      <c r="M4646" s="205"/>
      <c r="N4646" s="204"/>
      <c r="O4646" s="204"/>
      <c r="P4646" s="206"/>
      <c r="Q4646" s="206"/>
      <c r="R4646" s="206"/>
      <c r="S4646" s="206"/>
      <c r="T4646" s="204"/>
      <c r="U4646" s="207"/>
      <c r="V4646" s="204"/>
      <c r="W4646" s="204"/>
      <c r="X4646" s="207"/>
      <c r="Y4646" s="207"/>
      <c r="Z4646" s="204"/>
      <c r="AA4646" s="204"/>
      <c r="AB4646" s="204"/>
      <c r="AC4646" s="204"/>
    </row>
    <row r="4647" spans="1:29">
      <c r="A4647" s="204"/>
      <c r="B4647" s="204"/>
      <c r="C4647" s="204"/>
      <c r="D4647" s="204"/>
      <c r="E4647" s="204"/>
      <c r="F4647" s="204"/>
      <c r="G4647" s="204"/>
      <c r="H4647" s="204"/>
      <c r="I4647" s="204"/>
      <c r="J4647" s="204"/>
      <c r="K4647" s="204"/>
      <c r="L4647" s="205"/>
      <c r="M4647" s="205"/>
      <c r="N4647" s="204"/>
      <c r="O4647" s="204"/>
      <c r="P4647" s="206"/>
      <c r="Q4647" s="206"/>
      <c r="R4647" s="206"/>
      <c r="S4647" s="206"/>
      <c r="T4647" s="204"/>
      <c r="U4647" s="207"/>
      <c r="V4647" s="204"/>
      <c r="W4647" s="204"/>
      <c r="X4647" s="207"/>
      <c r="Y4647" s="207"/>
      <c r="Z4647" s="204"/>
      <c r="AA4647" s="204"/>
      <c r="AB4647" s="204"/>
      <c r="AC4647" s="204"/>
    </row>
    <row r="4648" spans="1:29">
      <c r="A4648" s="204"/>
      <c r="B4648" s="204"/>
      <c r="C4648" s="204"/>
      <c r="D4648" s="204"/>
      <c r="E4648" s="204"/>
      <c r="F4648" s="204"/>
      <c r="G4648" s="204"/>
      <c r="H4648" s="204"/>
      <c r="I4648" s="204"/>
      <c r="J4648" s="204"/>
      <c r="K4648" s="204"/>
      <c r="L4648" s="205"/>
      <c r="M4648" s="205"/>
      <c r="N4648" s="204"/>
      <c r="O4648" s="204"/>
      <c r="P4648" s="206"/>
      <c r="Q4648" s="206"/>
      <c r="R4648" s="206"/>
      <c r="S4648" s="206"/>
      <c r="T4648" s="204"/>
      <c r="U4648" s="207"/>
      <c r="V4648" s="204"/>
      <c r="W4648" s="204"/>
      <c r="X4648" s="207"/>
      <c r="Y4648" s="207"/>
      <c r="Z4648" s="204"/>
      <c r="AA4648" s="204"/>
      <c r="AB4648" s="204"/>
      <c r="AC4648" s="204"/>
    </row>
    <row r="4649" spans="1:29">
      <c r="A4649" s="204"/>
      <c r="B4649" s="204"/>
      <c r="C4649" s="204"/>
      <c r="D4649" s="204"/>
      <c r="E4649" s="204"/>
      <c r="F4649" s="204"/>
      <c r="G4649" s="204"/>
      <c r="H4649" s="204"/>
      <c r="I4649" s="204"/>
      <c r="J4649" s="204"/>
      <c r="K4649" s="204"/>
      <c r="L4649" s="205"/>
      <c r="M4649" s="205"/>
      <c r="N4649" s="204"/>
      <c r="O4649" s="204"/>
      <c r="P4649" s="206"/>
      <c r="Q4649" s="206"/>
      <c r="R4649" s="206"/>
      <c r="S4649" s="206"/>
      <c r="T4649" s="204"/>
      <c r="U4649" s="207"/>
      <c r="V4649" s="204"/>
      <c r="W4649" s="204"/>
      <c r="X4649" s="207"/>
      <c r="Y4649" s="207"/>
      <c r="Z4649" s="204"/>
      <c r="AA4649" s="204"/>
      <c r="AB4649" s="204"/>
      <c r="AC4649" s="204"/>
    </row>
    <row r="4650" spans="1:29">
      <c r="A4650" s="204"/>
      <c r="B4650" s="204"/>
      <c r="C4650" s="204"/>
      <c r="D4650" s="204"/>
      <c r="E4650" s="204"/>
      <c r="F4650" s="204"/>
      <c r="G4650" s="204"/>
      <c r="H4650" s="204"/>
      <c r="I4650" s="204"/>
      <c r="J4650" s="204"/>
      <c r="K4650" s="204"/>
      <c r="L4650" s="205"/>
      <c r="M4650" s="205"/>
      <c r="N4650" s="204"/>
      <c r="O4650" s="204"/>
      <c r="P4650" s="206"/>
      <c r="Q4650" s="206"/>
      <c r="R4650" s="206"/>
      <c r="S4650" s="206"/>
      <c r="T4650" s="204"/>
      <c r="U4650" s="207"/>
      <c r="V4650" s="204"/>
      <c r="W4650" s="204"/>
      <c r="X4650" s="207"/>
      <c r="Y4650" s="207"/>
      <c r="Z4650" s="204"/>
      <c r="AA4650" s="204"/>
      <c r="AB4650" s="204"/>
      <c r="AC4650" s="204"/>
    </row>
    <row r="4651" spans="1:29">
      <c r="A4651" s="204"/>
      <c r="B4651" s="204"/>
      <c r="C4651" s="204"/>
      <c r="D4651" s="204"/>
      <c r="E4651" s="204"/>
      <c r="F4651" s="204"/>
      <c r="G4651" s="204"/>
      <c r="H4651" s="204"/>
      <c r="I4651" s="204"/>
      <c r="J4651" s="204"/>
      <c r="K4651" s="204"/>
      <c r="L4651" s="205"/>
      <c r="M4651" s="205"/>
      <c r="N4651" s="204"/>
      <c r="O4651" s="204"/>
      <c r="P4651" s="206"/>
      <c r="Q4651" s="206"/>
      <c r="R4651" s="206"/>
      <c r="S4651" s="206"/>
      <c r="T4651" s="204"/>
      <c r="U4651" s="207"/>
      <c r="V4651" s="204"/>
      <c r="W4651" s="204"/>
      <c r="X4651" s="207"/>
      <c r="Y4651" s="207"/>
      <c r="Z4651" s="204"/>
      <c r="AA4651" s="204"/>
      <c r="AB4651" s="204"/>
      <c r="AC4651" s="204"/>
    </row>
    <row r="4652" spans="1:29">
      <c r="A4652" s="204"/>
      <c r="B4652" s="204"/>
      <c r="C4652" s="204"/>
      <c r="D4652" s="204"/>
      <c r="E4652" s="204"/>
      <c r="F4652" s="204"/>
      <c r="G4652" s="204"/>
      <c r="H4652" s="204"/>
      <c r="I4652" s="204"/>
      <c r="J4652" s="204"/>
      <c r="K4652" s="204"/>
      <c r="L4652" s="205"/>
      <c r="M4652" s="205"/>
      <c r="N4652" s="204"/>
      <c r="O4652" s="204"/>
      <c r="P4652" s="206"/>
      <c r="Q4652" s="206"/>
      <c r="R4652" s="206"/>
      <c r="S4652" s="206"/>
      <c r="T4652" s="204"/>
      <c r="U4652" s="207"/>
      <c r="V4652" s="204"/>
      <c r="W4652" s="204"/>
      <c r="X4652" s="207"/>
      <c r="Y4652" s="207"/>
      <c r="Z4652" s="204"/>
      <c r="AA4652" s="204"/>
      <c r="AB4652" s="204"/>
      <c r="AC4652" s="204"/>
    </row>
    <row r="4653" spans="1:29">
      <c r="A4653" s="204"/>
      <c r="B4653" s="204"/>
      <c r="C4653" s="204"/>
      <c r="D4653" s="204"/>
      <c r="E4653" s="204"/>
      <c r="F4653" s="204"/>
      <c r="G4653" s="204"/>
      <c r="H4653" s="204"/>
      <c r="I4653" s="204"/>
      <c r="J4653" s="204"/>
      <c r="K4653" s="204"/>
      <c r="L4653" s="205"/>
      <c r="M4653" s="205"/>
      <c r="N4653" s="204"/>
      <c r="O4653" s="204"/>
      <c r="P4653" s="206"/>
      <c r="Q4653" s="206"/>
      <c r="R4653" s="206"/>
      <c r="S4653" s="206"/>
      <c r="T4653" s="204"/>
      <c r="U4653" s="207"/>
      <c r="V4653" s="204"/>
      <c r="W4653" s="204"/>
      <c r="X4653" s="207"/>
      <c r="Y4653" s="207"/>
      <c r="Z4653" s="204"/>
      <c r="AA4653" s="204"/>
      <c r="AB4653" s="204"/>
      <c r="AC4653" s="204"/>
    </row>
    <row r="4654" spans="1:29">
      <c r="A4654" s="204"/>
      <c r="B4654" s="204"/>
      <c r="C4654" s="204"/>
      <c r="D4654" s="204"/>
      <c r="E4654" s="204"/>
      <c r="F4654" s="204"/>
      <c r="G4654" s="204"/>
      <c r="H4654" s="204"/>
      <c r="I4654" s="204"/>
      <c r="J4654" s="204"/>
      <c r="K4654" s="204"/>
      <c r="L4654" s="205"/>
      <c r="M4654" s="205"/>
      <c r="N4654" s="204"/>
      <c r="O4654" s="204"/>
      <c r="P4654" s="206"/>
      <c r="Q4654" s="206"/>
      <c r="R4654" s="206"/>
      <c r="S4654" s="206"/>
      <c r="T4654" s="204"/>
      <c r="U4654" s="207"/>
      <c r="V4654" s="204"/>
      <c r="W4654" s="204"/>
      <c r="X4654" s="207"/>
      <c r="Y4654" s="207"/>
      <c r="Z4654" s="204"/>
      <c r="AA4654" s="204"/>
      <c r="AB4654" s="204"/>
      <c r="AC4654" s="204"/>
    </row>
    <row r="4655" spans="1:29">
      <c r="A4655" s="204"/>
      <c r="B4655" s="204"/>
      <c r="C4655" s="204"/>
      <c r="D4655" s="204"/>
      <c r="E4655" s="204"/>
      <c r="F4655" s="204"/>
      <c r="G4655" s="204"/>
      <c r="H4655" s="204"/>
      <c r="I4655" s="204"/>
      <c r="J4655" s="204"/>
      <c r="K4655" s="204"/>
      <c r="L4655" s="205"/>
      <c r="M4655" s="205"/>
      <c r="N4655" s="204"/>
      <c r="O4655" s="204"/>
      <c r="P4655" s="206"/>
      <c r="Q4655" s="206"/>
      <c r="R4655" s="206"/>
      <c r="S4655" s="206"/>
      <c r="T4655" s="204"/>
      <c r="U4655" s="207"/>
      <c r="V4655" s="204"/>
      <c r="W4655" s="204"/>
      <c r="X4655" s="207"/>
      <c r="Y4655" s="207"/>
      <c r="Z4655" s="204"/>
      <c r="AA4655" s="204"/>
      <c r="AB4655" s="204"/>
      <c r="AC4655" s="204"/>
    </row>
    <row r="4656" spans="1:29">
      <c r="A4656" s="204"/>
      <c r="B4656" s="204"/>
      <c r="C4656" s="204"/>
      <c r="D4656" s="204"/>
      <c r="E4656" s="204"/>
      <c r="F4656" s="204"/>
      <c r="G4656" s="204"/>
      <c r="H4656" s="204"/>
      <c r="I4656" s="204"/>
      <c r="J4656" s="204"/>
      <c r="K4656" s="204"/>
      <c r="L4656" s="205"/>
      <c r="M4656" s="205"/>
      <c r="N4656" s="204"/>
      <c r="O4656" s="204"/>
      <c r="P4656" s="206"/>
      <c r="Q4656" s="206"/>
      <c r="R4656" s="206"/>
      <c r="S4656" s="206"/>
      <c r="T4656" s="204"/>
      <c r="U4656" s="207"/>
      <c r="V4656" s="204"/>
      <c r="W4656" s="204"/>
      <c r="X4656" s="207"/>
      <c r="Y4656" s="207"/>
      <c r="Z4656" s="204"/>
      <c r="AA4656" s="204"/>
      <c r="AB4656" s="204"/>
      <c r="AC4656" s="204"/>
    </row>
    <row r="4657" spans="1:29">
      <c r="A4657" s="204"/>
      <c r="B4657" s="204"/>
      <c r="C4657" s="204"/>
      <c r="D4657" s="204"/>
      <c r="E4657" s="204"/>
      <c r="F4657" s="204"/>
      <c r="G4657" s="204"/>
      <c r="H4657" s="204"/>
      <c r="I4657" s="204"/>
      <c r="J4657" s="204"/>
      <c r="K4657" s="204"/>
      <c r="L4657" s="205"/>
      <c r="M4657" s="205"/>
      <c r="N4657" s="204"/>
      <c r="O4657" s="204"/>
      <c r="P4657" s="206"/>
      <c r="Q4657" s="206"/>
      <c r="R4657" s="206"/>
      <c r="S4657" s="206"/>
      <c r="T4657" s="204"/>
      <c r="U4657" s="207"/>
      <c r="V4657" s="204"/>
      <c r="W4657" s="204"/>
      <c r="X4657" s="207"/>
      <c r="Y4657" s="207"/>
      <c r="Z4657" s="204"/>
      <c r="AA4657" s="204"/>
      <c r="AB4657" s="204"/>
      <c r="AC4657" s="204"/>
    </row>
    <row r="4658" spans="1:29">
      <c r="A4658" s="204"/>
      <c r="B4658" s="204"/>
      <c r="C4658" s="204"/>
      <c r="D4658" s="204"/>
      <c r="E4658" s="204"/>
      <c r="F4658" s="204"/>
      <c r="G4658" s="204"/>
      <c r="H4658" s="204"/>
      <c r="I4658" s="204"/>
      <c r="J4658" s="204"/>
      <c r="K4658" s="204"/>
      <c r="L4658" s="205"/>
      <c r="M4658" s="205"/>
      <c r="N4658" s="204"/>
      <c r="O4658" s="204"/>
      <c r="P4658" s="206"/>
      <c r="Q4658" s="206"/>
      <c r="R4658" s="206"/>
      <c r="S4658" s="206"/>
      <c r="T4658" s="204"/>
      <c r="U4658" s="207"/>
      <c r="V4658" s="204"/>
      <c r="W4658" s="204"/>
      <c r="X4658" s="207"/>
      <c r="Y4658" s="207"/>
      <c r="Z4658" s="204"/>
      <c r="AA4658" s="204"/>
      <c r="AB4658" s="204"/>
      <c r="AC4658" s="204"/>
    </row>
    <row r="4659" spans="1:29">
      <c r="A4659" s="204"/>
      <c r="B4659" s="204"/>
      <c r="C4659" s="204"/>
      <c r="D4659" s="204"/>
      <c r="E4659" s="204"/>
      <c r="F4659" s="204"/>
      <c r="G4659" s="204"/>
      <c r="H4659" s="204"/>
      <c r="I4659" s="204"/>
      <c r="J4659" s="204"/>
      <c r="K4659" s="204"/>
      <c r="L4659" s="205"/>
      <c r="M4659" s="205"/>
      <c r="N4659" s="204"/>
      <c r="O4659" s="204"/>
      <c r="P4659" s="206"/>
      <c r="Q4659" s="206"/>
      <c r="R4659" s="206"/>
      <c r="S4659" s="206"/>
      <c r="T4659" s="204"/>
      <c r="U4659" s="207"/>
      <c r="V4659" s="204"/>
      <c r="W4659" s="204"/>
      <c r="X4659" s="207"/>
      <c r="Y4659" s="207"/>
      <c r="Z4659" s="204"/>
      <c r="AA4659" s="204"/>
      <c r="AB4659" s="204"/>
      <c r="AC4659" s="204"/>
    </row>
    <row r="4660" spans="1:29">
      <c r="A4660" s="204"/>
      <c r="B4660" s="204"/>
      <c r="C4660" s="204"/>
      <c r="D4660" s="204"/>
      <c r="E4660" s="204"/>
      <c r="F4660" s="204"/>
      <c r="G4660" s="204"/>
      <c r="H4660" s="204"/>
      <c r="I4660" s="204"/>
      <c r="J4660" s="204"/>
      <c r="K4660" s="204"/>
      <c r="L4660" s="205"/>
      <c r="M4660" s="205"/>
      <c r="N4660" s="204"/>
      <c r="O4660" s="204"/>
      <c r="P4660" s="206"/>
      <c r="Q4660" s="206"/>
      <c r="R4660" s="206"/>
      <c r="S4660" s="206"/>
      <c r="T4660" s="204"/>
      <c r="U4660" s="207"/>
      <c r="V4660" s="204"/>
      <c r="W4660" s="204"/>
      <c r="X4660" s="207"/>
      <c r="Y4660" s="207"/>
      <c r="Z4660" s="204"/>
      <c r="AA4660" s="204"/>
      <c r="AB4660" s="204"/>
      <c r="AC4660" s="204"/>
    </row>
    <row r="4661" spans="1:29">
      <c r="A4661" s="204"/>
      <c r="B4661" s="204"/>
      <c r="C4661" s="204"/>
      <c r="D4661" s="204"/>
      <c r="E4661" s="204"/>
      <c r="F4661" s="204"/>
      <c r="G4661" s="204"/>
      <c r="H4661" s="204"/>
      <c r="I4661" s="204"/>
      <c r="J4661" s="204"/>
      <c r="K4661" s="204"/>
      <c r="L4661" s="205"/>
      <c r="M4661" s="205"/>
      <c r="N4661" s="204"/>
      <c r="O4661" s="204"/>
      <c r="P4661" s="206"/>
      <c r="Q4661" s="206"/>
      <c r="R4661" s="206"/>
      <c r="S4661" s="206"/>
      <c r="T4661" s="204"/>
      <c r="U4661" s="207"/>
      <c r="V4661" s="204"/>
      <c r="W4661" s="204"/>
      <c r="X4661" s="207"/>
      <c r="Y4661" s="207"/>
      <c r="Z4661" s="204"/>
      <c r="AA4661" s="204"/>
      <c r="AB4661" s="204"/>
      <c r="AC4661" s="204"/>
    </row>
    <row r="4662" spans="1:29">
      <c r="A4662" s="204"/>
      <c r="B4662" s="204"/>
      <c r="C4662" s="204"/>
      <c r="D4662" s="204"/>
      <c r="E4662" s="204"/>
      <c r="F4662" s="204"/>
      <c r="G4662" s="204"/>
      <c r="H4662" s="204"/>
      <c r="I4662" s="204"/>
      <c r="J4662" s="204"/>
      <c r="K4662" s="204"/>
      <c r="L4662" s="205"/>
      <c r="M4662" s="205"/>
      <c r="N4662" s="204"/>
      <c r="O4662" s="204"/>
      <c r="P4662" s="206"/>
      <c r="Q4662" s="206"/>
      <c r="R4662" s="206"/>
      <c r="S4662" s="206"/>
      <c r="T4662" s="204"/>
      <c r="U4662" s="207"/>
      <c r="V4662" s="204"/>
      <c r="W4662" s="204"/>
      <c r="X4662" s="207"/>
      <c r="Y4662" s="207"/>
      <c r="Z4662" s="204"/>
      <c r="AA4662" s="204"/>
      <c r="AB4662" s="204"/>
      <c r="AC4662" s="204"/>
    </row>
    <row r="4663" spans="1:29">
      <c r="A4663" s="204"/>
      <c r="B4663" s="204"/>
      <c r="C4663" s="204"/>
      <c r="D4663" s="204"/>
      <c r="E4663" s="204"/>
      <c r="F4663" s="204"/>
      <c r="G4663" s="204"/>
      <c r="H4663" s="204"/>
      <c r="I4663" s="204"/>
      <c r="J4663" s="204"/>
      <c r="K4663" s="204"/>
      <c r="L4663" s="205"/>
      <c r="M4663" s="205"/>
      <c r="N4663" s="204"/>
      <c r="O4663" s="204"/>
      <c r="P4663" s="206"/>
      <c r="Q4663" s="206"/>
      <c r="R4663" s="206"/>
      <c r="S4663" s="206"/>
      <c r="T4663" s="204"/>
      <c r="U4663" s="207"/>
      <c r="V4663" s="204"/>
      <c r="W4663" s="204"/>
      <c r="X4663" s="207"/>
      <c r="Y4663" s="207"/>
      <c r="Z4663" s="204"/>
      <c r="AA4663" s="204"/>
      <c r="AB4663" s="204"/>
      <c r="AC4663" s="204"/>
    </row>
    <row r="4664" spans="1:29">
      <c r="A4664" s="204"/>
      <c r="B4664" s="204"/>
      <c r="C4664" s="204"/>
      <c r="D4664" s="204"/>
      <c r="E4664" s="204"/>
      <c r="F4664" s="204"/>
      <c r="G4664" s="204"/>
      <c r="H4664" s="204"/>
      <c r="I4664" s="204"/>
      <c r="J4664" s="204"/>
      <c r="K4664" s="204"/>
      <c r="L4664" s="205"/>
      <c r="M4664" s="205"/>
      <c r="N4664" s="204"/>
      <c r="O4664" s="204"/>
      <c r="P4664" s="206"/>
      <c r="Q4664" s="206"/>
      <c r="R4664" s="206"/>
      <c r="S4664" s="206"/>
      <c r="T4664" s="204"/>
      <c r="U4664" s="207"/>
      <c r="V4664" s="204"/>
      <c r="W4664" s="204"/>
      <c r="X4664" s="207"/>
      <c r="Y4664" s="207"/>
      <c r="Z4664" s="204"/>
      <c r="AA4664" s="204"/>
      <c r="AB4664" s="204"/>
      <c r="AC4664" s="204"/>
    </row>
    <row r="4665" spans="1:29">
      <c r="A4665" s="204"/>
      <c r="B4665" s="204"/>
      <c r="C4665" s="204"/>
      <c r="D4665" s="204"/>
      <c r="E4665" s="204"/>
      <c r="F4665" s="204"/>
      <c r="G4665" s="204"/>
      <c r="H4665" s="204"/>
      <c r="I4665" s="204"/>
      <c r="J4665" s="204"/>
      <c r="K4665" s="204"/>
      <c r="L4665" s="205"/>
      <c r="M4665" s="205"/>
      <c r="N4665" s="204"/>
      <c r="O4665" s="204"/>
      <c r="P4665" s="206"/>
      <c r="Q4665" s="206"/>
      <c r="R4665" s="206"/>
      <c r="S4665" s="206"/>
      <c r="T4665" s="204"/>
      <c r="U4665" s="207"/>
      <c r="V4665" s="204"/>
      <c r="W4665" s="204"/>
      <c r="X4665" s="207"/>
      <c r="Y4665" s="207"/>
      <c r="Z4665" s="204"/>
      <c r="AA4665" s="204"/>
      <c r="AB4665" s="204"/>
      <c r="AC4665" s="204"/>
    </row>
    <row r="4666" spans="1:29">
      <c r="A4666" s="204"/>
      <c r="B4666" s="204"/>
      <c r="C4666" s="204"/>
      <c r="D4666" s="204"/>
      <c r="E4666" s="204"/>
      <c r="F4666" s="204"/>
      <c r="G4666" s="204"/>
      <c r="H4666" s="204"/>
      <c r="I4666" s="204"/>
      <c r="J4666" s="204"/>
      <c r="K4666" s="204"/>
      <c r="L4666" s="205"/>
      <c r="M4666" s="205"/>
      <c r="N4666" s="204"/>
      <c r="O4666" s="204"/>
      <c r="P4666" s="206"/>
      <c r="Q4666" s="206"/>
      <c r="R4666" s="206"/>
      <c r="S4666" s="206"/>
      <c r="T4666" s="204"/>
      <c r="U4666" s="207"/>
      <c r="V4666" s="204"/>
      <c r="W4666" s="204"/>
      <c r="X4666" s="207"/>
      <c r="Y4666" s="207"/>
      <c r="Z4666" s="204"/>
      <c r="AA4666" s="204"/>
      <c r="AB4666" s="204"/>
      <c r="AC4666" s="204"/>
    </row>
    <row r="4667" spans="1:29">
      <c r="A4667" s="204"/>
      <c r="B4667" s="204"/>
      <c r="C4667" s="204"/>
      <c r="D4667" s="204"/>
      <c r="E4667" s="204"/>
      <c r="F4667" s="204"/>
      <c r="G4667" s="204"/>
      <c r="H4667" s="204"/>
      <c r="I4667" s="204"/>
      <c r="J4667" s="204"/>
      <c r="K4667" s="204"/>
      <c r="L4667" s="205"/>
      <c r="M4667" s="205"/>
      <c r="N4667" s="204"/>
      <c r="O4667" s="204"/>
      <c r="P4667" s="206"/>
      <c r="Q4667" s="206"/>
      <c r="R4667" s="206"/>
      <c r="S4667" s="206"/>
      <c r="T4667" s="204"/>
      <c r="U4667" s="207"/>
      <c r="V4667" s="204"/>
      <c r="W4667" s="204"/>
      <c r="X4667" s="207"/>
      <c r="Y4667" s="207"/>
      <c r="Z4667" s="204"/>
      <c r="AA4667" s="204"/>
      <c r="AB4667" s="204"/>
      <c r="AC4667" s="204"/>
    </row>
    <row r="4668" spans="1:29">
      <c r="A4668" s="204"/>
      <c r="B4668" s="204"/>
      <c r="C4668" s="204"/>
      <c r="D4668" s="204"/>
      <c r="E4668" s="204"/>
      <c r="F4668" s="204"/>
      <c r="G4668" s="204"/>
      <c r="H4668" s="204"/>
      <c r="I4668" s="204"/>
      <c r="J4668" s="204"/>
      <c r="K4668" s="204"/>
      <c r="L4668" s="205"/>
      <c r="M4668" s="205"/>
      <c r="N4668" s="204"/>
      <c r="O4668" s="204"/>
      <c r="P4668" s="206"/>
      <c r="Q4668" s="206"/>
      <c r="R4668" s="206"/>
      <c r="S4668" s="206"/>
      <c r="T4668" s="204"/>
      <c r="U4668" s="207"/>
      <c r="V4668" s="204"/>
      <c r="W4668" s="204"/>
      <c r="X4668" s="207"/>
      <c r="Y4668" s="207"/>
      <c r="Z4668" s="204"/>
      <c r="AA4668" s="204"/>
      <c r="AB4668" s="204"/>
      <c r="AC4668" s="204"/>
    </row>
    <row r="4669" spans="1:29">
      <c r="A4669" s="204"/>
      <c r="B4669" s="204"/>
      <c r="C4669" s="204"/>
      <c r="D4669" s="204"/>
      <c r="E4669" s="204"/>
      <c r="F4669" s="204"/>
      <c r="G4669" s="204"/>
      <c r="H4669" s="204"/>
      <c r="I4669" s="204"/>
      <c r="J4669" s="204"/>
      <c r="K4669" s="204"/>
      <c r="L4669" s="205"/>
      <c r="M4669" s="205"/>
      <c r="N4669" s="204"/>
      <c r="O4669" s="204"/>
      <c r="P4669" s="206"/>
      <c r="Q4669" s="206"/>
      <c r="R4669" s="206"/>
      <c r="S4669" s="206"/>
      <c r="T4669" s="204"/>
      <c r="U4669" s="207"/>
      <c r="V4669" s="204"/>
      <c r="W4669" s="204"/>
      <c r="X4669" s="207"/>
      <c r="Y4669" s="207"/>
      <c r="Z4669" s="204"/>
      <c r="AA4669" s="204"/>
      <c r="AB4669" s="204"/>
      <c r="AC4669" s="204"/>
    </row>
    <row r="4670" spans="1:29">
      <c r="A4670" s="204"/>
      <c r="B4670" s="204"/>
      <c r="C4670" s="204"/>
      <c r="D4670" s="204"/>
      <c r="E4670" s="204"/>
      <c r="F4670" s="204"/>
      <c r="G4670" s="204"/>
      <c r="H4670" s="204"/>
      <c r="I4670" s="204"/>
      <c r="J4670" s="204"/>
      <c r="K4670" s="204"/>
      <c r="L4670" s="205"/>
      <c r="M4670" s="205"/>
      <c r="N4670" s="204"/>
      <c r="O4670" s="204"/>
      <c r="P4670" s="206"/>
      <c r="Q4670" s="206"/>
      <c r="R4670" s="206"/>
      <c r="S4670" s="206"/>
      <c r="T4670" s="204"/>
      <c r="U4670" s="207"/>
      <c r="V4670" s="204"/>
      <c r="W4670" s="204"/>
      <c r="X4670" s="207"/>
      <c r="Y4670" s="207"/>
      <c r="Z4670" s="204"/>
      <c r="AA4670" s="204"/>
      <c r="AB4670" s="204"/>
      <c r="AC4670" s="204"/>
    </row>
    <row r="4671" spans="1:29">
      <c r="A4671" s="204"/>
      <c r="B4671" s="204"/>
      <c r="C4671" s="204"/>
      <c r="D4671" s="204"/>
      <c r="E4671" s="204"/>
      <c r="F4671" s="204"/>
      <c r="G4671" s="204"/>
      <c r="H4671" s="204"/>
      <c r="I4671" s="204"/>
      <c r="J4671" s="204"/>
      <c r="K4671" s="204"/>
      <c r="L4671" s="205"/>
      <c r="M4671" s="205"/>
      <c r="N4671" s="204"/>
      <c r="O4671" s="204"/>
      <c r="P4671" s="206"/>
      <c r="Q4671" s="206"/>
      <c r="R4671" s="206"/>
      <c r="S4671" s="206"/>
      <c r="T4671" s="204"/>
      <c r="U4671" s="207"/>
      <c r="V4671" s="204"/>
      <c r="W4671" s="204"/>
      <c r="X4671" s="207"/>
      <c r="Y4671" s="207"/>
      <c r="Z4671" s="204"/>
      <c r="AA4671" s="204"/>
      <c r="AB4671" s="204"/>
      <c r="AC4671" s="204"/>
    </row>
    <row r="4672" spans="1:29">
      <c r="A4672" s="204"/>
      <c r="B4672" s="204"/>
      <c r="C4672" s="204"/>
      <c r="D4672" s="204"/>
      <c r="E4672" s="204"/>
      <c r="F4672" s="204"/>
      <c r="G4672" s="204"/>
      <c r="H4672" s="204"/>
      <c r="I4672" s="204"/>
      <c r="J4672" s="204"/>
      <c r="K4672" s="204"/>
      <c r="L4672" s="205"/>
      <c r="M4672" s="205"/>
      <c r="N4672" s="204"/>
      <c r="O4672" s="204"/>
      <c r="P4672" s="206"/>
      <c r="Q4672" s="206"/>
      <c r="R4672" s="206"/>
      <c r="S4672" s="206"/>
      <c r="T4672" s="204"/>
      <c r="U4672" s="207"/>
      <c r="V4672" s="204"/>
      <c r="W4672" s="204"/>
      <c r="X4672" s="207"/>
      <c r="Y4672" s="207"/>
      <c r="Z4672" s="204"/>
      <c r="AA4672" s="204"/>
      <c r="AB4672" s="204"/>
      <c r="AC4672" s="204"/>
    </row>
    <row r="4673" spans="1:29">
      <c r="A4673" s="204"/>
      <c r="B4673" s="204"/>
      <c r="C4673" s="204"/>
      <c r="D4673" s="204"/>
      <c r="E4673" s="204"/>
      <c r="F4673" s="204"/>
      <c r="G4673" s="204"/>
      <c r="H4673" s="204"/>
      <c r="I4673" s="204"/>
      <c r="J4673" s="204"/>
      <c r="K4673" s="204"/>
      <c r="L4673" s="205"/>
      <c r="M4673" s="205"/>
      <c r="N4673" s="204"/>
      <c r="O4673" s="204"/>
      <c r="P4673" s="206"/>
      <c r="Q4673" s="206"/>
      <c r="R4673" s="206"/>
      <c r="S4673" s="206"/>
      <c r="T4673" s="204"/>
      <c r="U4673" s="207"/>
      <c r="V4673" s="204"/>
      <c r="W4673" s="204"/>
      <c r="X4673" s="207"/>
      <c r="Y4673" s="207"/>
      <c r="Z4673" s="204"/>
      <c r="AA4673" s="204"/>
      <c r="AB4673" s="204"/>
      <c r="AC4673" s="204"/>
    </row>
    <row r="4674" spans="1:29">
      <c r="A4674" s="204"/>
      <c r="B4674" s="204"/>
      <c r="C4674" s="204"/>
      <c r="D4674" s="204"/>
      <c r="E4674" s="204"/>
      <c r="F4674" s="204"/>
      <c r="G4674" s="204"/>
      <c r="H4674" s="204"/>
      <c r="I4674" s="204"/>
      <c r="J4674" s="204"/>
      <c r="K4674" s="204"/>
      <c r="L4674" s="205"/>
      <c r="M4674" s="205"/>
      <c r="N4674" s="204"/>
      <c r="O4674" s="204"/>
      <c r="P4674" s="206"/>
      <c r="Q4674" s="206"/>
      <c r="R4674" s="206"/>
      <c r="S4674" s="206"/>
      <c r="T4674" s="204"/>
      <c r="U4674" s="207"/>
      <c r="V4674" s="204"/>
      <c r="W4674" s="204"/>
      <c r="X4674" s="207"/>
      <c r="Y4674" s="207"/>
      <c r="Z4674" s="204"/>
      <c r="AA4674" s="204"/>
      <c r="AB4674" s="204"/>
      <c r="AC4674" s="204"/>
    </row>
    <row r="4675" spans="1:29">
      <c r="A4675" s="204"/>
      <c r="B4675" s="204"/>
      <c r="C4675" s="204"/>
      <c r="D4675" s="204"/>
      <c r="E4675" s="204"/>
      <c r="F4675" s="204"/>
      <c r="G4675" s="204"/>
      <c r="H4675" s="204"/>
      <c r="I4675" s="204"/>
      <c r="J4675" s="204"/>
      <c r="K4675" s="204"/>
      <c r="L4675" s="205"/>
      <c r="M4675" s="205"/>
      <c r="N4675" s="204"/>
      <c r="O4675" s="204"/>
      <c r="P4675" s="206"/>
      <c r="Q4675" s="206"/>
      <c r="R4675" s="206"/>
      <c r="S4675" s="206"/>
      <c r="T4675" s="204"/>
      <c r="U4675" s="207"/>
      <c r="V4675" s="204"/>
      <c r="W4675" s="204"/>
      <c r="X4675" s="207"/>
      <c r="Y4675" s="207"/>
      <c r="Z4675" s="204"/>
      <c r="AA4675" s="204"/>
      <c r="AB4675" s="204"/>
      <c r="AC4675" s="204"/>
    </row>
    <row r="4676" spans="1:29">
      <c r="A4676" s="204"/>
      <c r="B4676" s="204"/>
      <c r="C4676" s="204"/>
      <c r="D4676" s="204"/>
      <c r="E4676" s="204"/>
      <c r="F4676" s="204"/>
      <c r="G4676" s="204"/>
      <c r="H4676" s="204"/>
      <c r="I4676" s="204"/>
      <c r="J4676" s="204"/>
      <c r="K4676" s="204"/>
      <c r="L4676" s="205"/>
      <c r="M4676" s="205"/>
      <c r="N4676" s="204"/>
      <c r="O4676" s="204"/>
      <c r="P4676" s="206"/>
      <c r="Q4676" s="206"/>
      <c r="R4676" s="206"/>
      <c r="S4676" s="206"/>
      <c r="T4676" s="204"/>
      <c r="U4676" s="207"/>
      <c r="V4676" s="204"/>
      <c r="W4676" s="204"/>
      <c r="X4676" s="207"/>
      <c r="Y4676" s="207"/>
      <c r="Z4676" s="204"/>
      <c r="AA4676" s="204"/>
      <c r="AB4676" s="204"/>
      <c r="AC4676" s="204"/>
    </row>
    <row r="4677" spans="1:29">
      <c r="A4677" s="204"/>
      <c r="B4677" s="204"/>
      <c r="C4677" s="204"/>
      <c r="D4677" s="204"/>
      <c r="E4677" s="204"/>
      <c r="F4677" s="204"/>
      <c r="G4677" s="204"/>
      <c r="H4677" s="204"/>
      <c r="I4677" s="204"/>
      <c r="J4677" s="204"/>
      <c r="K4677" s="204"/>
      <c r="L4677" s="205"/>
      <c r="M4677" s="205"/>
      <c r="N4677" s="204"/>
      <c r="O4677" s="204"/>
      <c r="P4677" s="206"/>
      <c r="Q4677" s="206"/>
      <c r="R4677" s="206"/>
      <c r="S4677" s="206"/>
      <c r="T4677" s="204"/>
      <c r="U4677" s="207"/>
      <c r="V4677" s="204"/>
      <c r="W4677" s="204"/>
      <c r="X4677" s="207"/>
      <c r="Y4677" s="207"/>
      <c r="Z4677" s="204"/>
      <c r="AA4677" s="204"/>
      <c r="AB4677" s="204"/>
      <c r="AC4677" s="204"/>
    </row>
    <row r="4678" spans="1:29">
      <c r="A4678" s="204"/>
      <c r="B4678" s="204"/>
      <c r="C4678" s="204"/>
      <c r="D4678" s="204"/>
      <c r="E4678" s="204"/>
      <c r="F4678" s="204"/>
      <c r="G4678" s="204"/>
      <c r="H4678" s="204"/>
      <c r="I4678" s="204"/>
      <c r="J4678" s="204"/>
      <c r="K4678" s="204"/>
      <c r="L4678" s="205"/>
      <c r="M4678" s="205"/>
      <c r="N4678" s="204"/>
      <c r="O4678" s="204"/>
      <c r="P4678" s="206"/>
      <c r="Q4678" s="206"/>
      <c r="R4678" s="206"/>
      <c r="S4678" s="206"/>
      <c r="T4678" s="204"/>
      <c r="U4678" s="207"/>
      <c r="V4678" s="204"/>
      <c r="W4678" s="204"/>
      <c r="X4678" s="207"/>
      <c r="Y4678" s="207"/>
      <c r="Z4678" s="204"/>
      <c r="AA4678" s="204"/>
      <c r="AB4678" s="204"/>
      <c r="AC4678" s="204"/>
    </row>
    <row r="4679" spans="1:29">
      <c r="A4679" s="204"/>
      <c r="B4679" s="204"/>
      <c r="C4679" s="204"/>
      <c r="D4679" s="204"/>
      <c r="E4679" s="204"/>
      <c r="F4679" s="204"/>
      <c r="G4679" s="204"/>
      <c r="H4679" s="204"/>
      <c r="I4679" s="204"/>
      <c r="J4679" s="204"/>
      <c r="K4679" s="204"/>
      <c r="L4679" s="205"/>
      <c r="M4679" s="205"/>
      <c r="N4679" s="204"/>
      <c r="O4679" s="204"/>
      <c r="P4679" s="206"/>
      <c r="Q4679" s="206"/>
      <c r="R4679" s="206"/>
      <c r="S4679" s="206"/>
      <c r="T4679" s="204"/>
      <c r="U4679" s="207"/>
      <c r="V4679" s="204"/>
      <c r="W4679" s="204"/>
      <c r="X4679" s="207"/>
      <c r="Y4679" s="207"/>
      <c r="Z4679" s="204"/>
      <c r="AA4679" s="204"/>
      <c r="AB4679" s="204"/>
      <c r="AC4679" s="204"/>
    </row>
    <row r="4680" spans="1:29">
      <c r="A4680" s="204"/>
      <c r="B4680" s="204"/>
      <c r="C4680" s="204"/>
      <c r="D4680" s="204"/>
      <c r="E4680" s="204"/>
      <c r="F4680" s="204"/>
      <c r="G4680" s="204"/>
      <c r="H4680" s="204"/>
      <c r="I4680" s="204"/>
      <c r="J4680" s="204"/>
      <c r="K4680" s="204"/>
      <c r="L4680" s="205"/>
      <c r="M4680" s="205"/>
      <c r="N4680" s="204"/>
      <c r="O4680" s="204"/>
      <c r="P4680" s="206"/>
      <c r="Q4680" s="206"/>
      <c r="R4680" s="206"/>
      <c r="S4680" s="206"/>
      <c r="T4680" s="204"/>
      <c r="U4680" s="207"/>
      <c r="V4680" s="204"/>
      <c r="W4680" s="204"/>
      <c r="X4680" s="207"/>
      <c r="Y4680" s="207"/>
      <c r="Z4680" s="204"/>
      <c r="AA4680" s="204"/>
      <c r="AB4680" s="204"/>
      <c r="AC4680" s="204"/>
    </row>
    <row r="4681" spans="1:29">
      <c r="A4681" s="204"/>
      <c r="B4681" s="204"/>
      <c r="C4681" s="204"/>
      <c r="D4681" s="204"/>
      <c r="E4681" s="204"/>
      <c r="F4681" s="204"/>
      <c r="G4681" s="204"/>
      <c r="H4681" s="204"/>
      <c r="I4681" s="204"/>
      <c r="J4681" s="204"/>
      <c r="K4681" s="204"/>
      <c r="L4681" s="205"/>
      <c r="M4681" s="205"/>
      <c r="N4681" s="204"/>
      <c r="O4681" s="204"/>
      <c r="P4681" s="206"/>
      <c r="Q4681" s="206"/>
      <c r="R4681" s="206"/>
      <c r="S4681" s="206"/>
      <c r="T4681" s="204"/>
      <c r="U4681" s="207"/>
      <c r="V4681" s="204"/>
      <c r="W4681" s="204"/>
      <c r="X4681" s="207"/>
      <c r="Y4681" s="207"/>
      <c r="Z4681" s="204"/>
      <c r="AA4681" s="204"/>
      <c r="AB4681" s="204"/>
      <c r="AC4681" s="204"/>
    </row>
    <row r="4682" spans="1:29">
      <c r="A4682" s="204"/>
      <c r="B4682" s="204"/>
      <c r="C4682" s="204"/>
      <c r="D4682" s="204"/>
      <c r="E4682" s="204"/>
      <c r="F4682" s="204"/>
      <c r="G4682" s="204"/>
      <c r="H4682" s="204"/>
      <c r="I4682" s="204"/>
      <c r="J4682" s="204"/>
      <c r="K4682" s="204"/>
      <c r="L4682" s="205"/>
      <c r="M4682" s="205"/>
      <c r="N4682" s="204"/>
      <c r="O4682" s="204"/>
      <c r="P4682" s="206"/>
      <c r="Q4682" s="206"/>
      <c r="R4682" s="206"/>
      <c r="S4682" s="206"/>
      <c r="T4682" s="204"/>
      <c r="U4682" s="207"/>
      <c r="V4682" s="204"/>
      <c r="W4682" s="204"/>
      <c r="X4682" s="207"/>
      <c r="Y4682" s="207"/>
      <c r="Z4682" s="204"/>
      <c r="AA4682" s="204"/>
      <c r="AB4682" s="204"/>
      <c r="AC4682" s="204"/>
    </row>
    <row r="4683" spans="1:29">
      <c r="A4683" s="204"/>
      <c r="B4683" s="204"/>
      <c r="C4683" s="204"/>
      <c r="D4683" s="204"/>
      <c r="E4683" s="204"/>
      <c r="F4683" s="204"/>
      <c r="G4683" s="204"/>
      <c r="H4683" s="204"/>
      <c r="I4683" s="204"/>
      <c r="J4683" s="204"/>
      <c r="K4683" s="204"/>
      <c r="L4683" s="205"/>
      <c r="M4683" s="205"/>
      <c r="N4683" s="204"/>
      <c r="O4683" s="204"/>
      <c r="P4683" s="206"/>
      <c r="Q4683" s="206"/>
      <c r="R4683" s="206"/>
      <c r="S4683" s="206"/>
      <c r="T4683" s="204"/>
      <c r="U4683" s="207"/>
      <c r="V4683" s="204"/>
      <c r="W4683" s="204"/>
      <c r="X4683" s="207"/>
      <c r="Y4683" s="207"/>
      <c r="Z4683" s="204"/>
      <c r="AA4683" s="204"/>
      <c r="AB4683" s="204"/>
      <c r="AC4683" s="204"/>
    </row>
    <row r="4684" spans="1:29">
      <c r="A4684" s="204"/>
      <c r="B4684" s="204"/>
      <c r="C4684" s="204"/>
      <c r="D4684" s="204"/>
      <c r="E4684" s="204"/>
      <c r="F4684" s="204"/>
      <c r="G4684" s="204"/>
      <c r="H4684" s="204"/>
      <c r="I4684" s="204"/>
      <c r="J4684" s="204"/>
      <c r="K4684" s="204"/>
      <c r="L4684" s="205"/>
      <c r="M4684" s="205"/>
      <c r="N4684" s="204"/>
      <c r="O4684" s="204"/>
      <c r="P4684" s="206"/>
      <c r="Q4684" s="206"/>
      <c r="R4684" s="206"/>
      <c r="S4684" s="206"/>
      <c r="T4684" s="204"/>
      <c r="U4684" s="207"/>
      <c r="V4684" s="204"/>
      <c r="W4684" s="204"/>
      <c r="X4684" s="207"/>
      <c r="Y4684" s="207"/>
      <c r="Z4684" s="204"/>
      <c r="AA4684" s="204"/>
      <c r="AB4684" s="204"/>
      <c r="AC4684" s="204"/>
    </row>
    <row r="4685" spans="1:29">
      <c r="A4685" s="204"/>
      <c r="B4685" s="204"/>
      <c r="C4685" s="204"/>
      <c r="D4685" s="204"/>
      <c r="E4685" s="204"/>
      <c r="F4685" s="204"/>
      <c r="G4685" s="204"/>
      <c r="H4685" s="204"/>
      <c r="I4685" s="204"/>
      <c r="J4685" s="204"/>
      <c r="K4685" s="204"/>
      <c r="L4685" s="205"/>
      <c r="M4685" s="205"/>
      <c r="N4685" s="204"/>
      <c r="O4685" s="204"/>
      <c r="P4685" s="206"/>
      <c r="Q4685" s="206"/>
      <c r="R4685" s="206"/>
      <c r="S4685" s="206"/>
      <c r="T4685" s="204"/>
      <c r="U4685" s="207"/>
      <c r="V4685" s="204"/>
      <c r="W4685" s="204"/>
      <c r="X4685" s="207"/>
      <c r="Y4685" s="207"/>
      <c r="Z4685" s="204"/>
      <c r="AA4685" s="204"/>
      <c r="AB4685" s="204"/>
      <c r="AC4685" s="204"/>
    </row>
    <row r="4686" spans="1:29">
      <c r="A4686" s="204"/>
      <c r="B4686" s="204"/>
      <c r="C4686" s="204"/>
      <c r="D4686" s="204"/>
      <c r="E4686" s="204"/>
      <c r="F4686" s="204"/>
      <c r="G4686" s="204"/>
      <c r="H4686" s="204"/>
      <c r="I4686" s="204"/>
      <c r="J4686" s="204"/>
      <c r="K4686" s="204"/>
      <c r="L4686" s="205"/>
      <c r="M4686" s="205"/>
      <c r="N4686" s="204"/>
      <c r="O4686" s="204"/>
      <c r="P4686" s="206"/>
      <c r="Q4686" s="206"/>
      <c r="R4686" s="206"/>
      <c r="S4686" s="206"/>
      <c r="T4686" s="204"/>
      <c r="U4686" s="207"/>
      <c r="V4686" s="204"/>
      <c r="W4686" s="204"/>
      <c r="X4686" s="207"/>
      <c r="Y4686" s="207"/>
      <c r="Z4686" s="204"/>
      <c r="AA4686" s="204"/>
      <c r="AB4686" s="204"/>
      <c r="AC4686" s="204"/>
    </row>
    <row r="4687" spans="1:29">
      <c r="A4687" s="204"/>
      <c r="B4687" s="204"/>
      <c r="C4687" s="204"/>
      <c r="D4687" s="204"/>
      <c r="E4687" s="204"/>
      <c r="F4687" s="204"/>
      <c r="G4687" s="204"/>
      <c r="H4687" s="204"/>
      <c r="I4687" s="204"/>
      <c r="J4687" s="204"/>
      <c r="K4687" s="204"/>
      <c r="L4687" s="205"/>
      <c r="M4687" s="205"/>
      <c r="N4687" s="204"/>
      <c r="O4687" s="204"/>
      <c r="P4687" s="206"/>
      <c r="Q4687" s="206"/>
      <c r="R4687" s="206"/>
      <c r="S4687" s="206"/>
      <c r="T4687" s="204"/>
      <c r="U4687" s="207"/>
      <c r="V4687" s="204"/>
      <c r="W4687" s="204"/>
      <c r="X4687" s="207"/>
      <c r="Y4687" s="207"/>
      <c r="Z4687" s="204"/>
      <c r="AA4687" s="204"/>
      <c r="AB4687" s="204"/>
      <c r="AC4687" s="204"/>
    </row>
    <row r="4688" spans="1:29">
      <c r="A4688" s="204"/>
      <c r="B4688" s="204"/>
      <c r="C4688" s="204"/>
      <c r="D4688" s="204"/>
      <c r="E4688" s="204"/>
      <c r="F4688" s="204"/>
      <c r="G4688" s="204"/>
      <c r="H4688" s="204"/>
      <c r="I4688" s="204"/>
      <c r="J4688" s="204"/>
      <c r="K4688" s="204"/>
      <c r="L4688" s="205"/>
      <c r="M4688" s="205"/>
      <c r="N4688" s="204"/>
      <c r="O4688" s="204"/>
      <c r="P4688" s="206"/>
      <c r="Q4688" s="206"/>
      <c r="R4688" s="206"/>
      <c r="S4688" s="206"/>
      <c r="T4688" s="204"/>
      <c r="U4688" s="207"/>
      <c r="V4688" s="204"/>
      <c r="W4688" s="204"/>
      <c r="X4688" s="207"/>
      <c r="Y4688" s="207"/>
      <c r="Z4688" s="204"/>
      <c r="AA4688" s="204"/>
      <c r="AB4688" s="204"/>
      <c r="AC4688" s="204"/>
    </row>
    <row r="4689" spans="1:29">
      <c r="A4689" s="204"/>
      <c r="B4689" s="204"/>
      <c r="C4689" s="204"/>
      <c r="D4689" s="204"/>
      <c r="E4689" s="204"/>
      <c r="F4689" s="204"/>
      <c r="G4689" s="204"/>
      <c r="H4689" s="204"/>
      <c r="I4689" s="204"/>
      <c r="J4689" s="204"/>
      <c r="K4689" s="204"/>
      <c r="L4689" s="205"/>
      <c r="M4689" s="205"/>
      <c r="N4689" s="204"/>
      <c r="O4689" s="204"/>
      <c r="P4689" s="206"/>
      <c r="Q4689" s="206"/>
      <c r="R4689" s="206"/>
      <c r="S4689" s="206"/>
      <c r="T4689" s="204"/>
      <c r="U4689" s="207"/>
      <c r="V4689" s="204"/>
      <c r="W4689" s="204"/>
      <c r="X4689" s="207"/>
      <c r="Y4689" s="207"/>
      <c r="Z4689" s="204"/>
      <c r="AA4689" s="204"/>
      <c r="AB4689" s="204"/>
      <c r="AC4689" s="204"/>
    </row>
    <row r="4690" spans="1:29">
      <c r="A4690" s="204"/>
      <c r="B4690" s="204"/>
      <c r="C4690" s="204"/>
      <c r="D4690" s="204"/>
      <c r="E4690" s="204"/>
      <c r="F4690" s="204"/>
      <c r="G4690" s="204"/>
      <c r="H4690" s="204"/>
      <c r="I4690" s="204"/>
      <c r="J4690" s="204"/>
      <c r="K4690" s="204"/>
      <c r="L4690" s="205"/>
      <c r="M4690" s="205"/>
      <c r="N4690" s="204"/>
      <c r="O4690" s="204"/>
      <c r="P4690" s="206"/>
      <c r="Q4690" s="206"/>
      <c r="R4690" s="206"/>
      <c r="S4690" s="206"/>
      <c r="T4690" s="204"/>
      <c r="U4690" s="207"/>
      <c r="V4690" s="204"/>
      <c r="W4690" s="204"/>
      <c r="X4690" s="207"/>
      <c r="Y4690" s="207"/>
      <c r="Z4690" s="204"/>
      <c r="AA4690" s="204"/>
      <c r="AB4690" s="204"/>
      <c r="AC4690" s="204"/>
    </row>
    <row r="4691" spans="1:29">
      <c r="A4691" s="204"/>
      <c r="B4691" s="204"/>
      <c r="C4691" s="204"/>
      <c r="D4691" s="204"/>
      <c r="E4691" s="204"/>
      <c r="F4691" s="204"/>
      <c r="G4691" s="204"/>
      <c r="H4691" s="204"/>
      <c r="I4691" s="204"/>
      <c r="J4691" s="204"/>
      <c r="K4691" s="204"/>
      <c r="L4691" s="205"/>
      <c r="M4691" s="205"/>
      <c r="N4691" s="204"/>
      <c r="O4691" s="204"/>
      <c r="P4691" s="206"/>
      <c r="Q4691" s="206"/>
      <c r="R4691" s="206"/>
      <c r="S4691" s="206"/>
      <c r="T4691" s="204"/>
      <c r="U4691" s="207"/>
      <c r="V4691" s="204"/>
      <c r="W4691" s="204"/>
      <c r="X4691" s="207"/>
      <c r="Y4691" s="207"/>
      <c r="Z4691" s="204"/>
      <c r="AA4691" s="204"/>
      <c r="AB4691" s="204"/>
      <c r="AC4691" s="204"/>
    </row>
    <row r="4692" spans="1:29">
      <c r="A4692" s="204"/>
      <c r="B4692" s="204"/>
      <c r="C4692" s="204"/>
      <c r="D4692" s="204"/>
      <c r="E4692" s="204"/>
      <c r="F4692" s="204"/>
      <c r="G4692" s="204"/>
      <c r="H4692" s="204"/>
      <c r="I4692" s="204"/>
      <c r="J4692" s="204"/>
      <c r="K4692" s="204"/>
      <c r="L4692" s="205"/>
      <c r="M4692" s="205"/>
      <c r="N4692" s="204"/>
      <c r="O4692" s="204"/>
      <c r="P4692" s="206"/>
      <c r="Q4692" s="206"/>
      <c r="R4692" s="206"/>
      <c r="S4692" s="206"/>
      <c r="T4692" s="204"/>
      <c r="U4692" s="207"/>
      <c r="V4692" s="204"/>
      <c r="W4692" s="204"/>
      <c r="X4692" s="207"/>
      <c r="Y4692" s="207"/>
      <c r="Z4692" s="204"/>
      <c r="AA4692" s="204"/>
      <c r="AB4692" s="204"/>
      <c r="AC4692" s="204"/>
    </row>
    <row r="4693" spans="1:29">
      <c r="A4693" s="204"/>
      <c r="B4693" s="204"/>
      <c r="C4693" s="204"/>
      <c r="D4693" s="204"/>
      <c r="E4693" s="204"/>
      <c r="F4693" s="204"/>
      <c r="G4693" s="204"/>
      <c r="H4693" s="204"/>
      <c r="I4693" s="204"/>
      <c r="J4693" s="204"/>
      <c r="K4693" s="204"/>
      <c r="L4693" s="205"/>
      <c r="M4693" s="205"/>
      <c r="N4693" s="204"/>
      <c r="O4693" s="204"/>
      <c r="P4693" s="206"/>
      <c r="Q4693" s="206"/>
      <c r="R4693" s="206"/>
      <c r="S4693" s="206"/>
      <c r="T4693" s="204"/>
      <c r="U4693" s="207"/>
      <c r="V4693" s="204"/>
      <c r="W4693" s="204"/>
      <c r="X4693" s="207"/>
      <c r="Y4693" s="207"/>
      <c r="Z4693" s="204"/>
      <c r="AA4693" s="204"/>
      <c r="AB4693" s="204"/>
      <c r="AC4693" s="204"/>
    </row>
    <row r="4694" spans="1:29">
      <c r="A4694" s="204"/>
      <c r="B4694" s="204"/>
      <c r="C4694" s="204"/>
      <c r="D4694" s="204"/>
      <c r="E4694" s="204"/>
      <c r="F4694" s="204"/>
      <c r="G4694" s="204"/>
      <c r="H4694" s="204"/>
      <c r="I4694" s="204"/>
      <c r="J4694" s="204"/>
      <c r="K4694" s="204"/>
      <c r="L4694" s="205"/>
      <c r="M4694" s="205"/>
      <c r="N4694" s="204"/>
      <c r="O4694" s="204"/>
      <c r="P4694" s="206"/>
      <c r="Q4694" s="206"/>
      <c r="R4694" s="206"/>
      <c r="S4694" s="206"/>
      <c r="T4694" s="204"/>
      <c r="U4694" s="207"/>
      <c r="V4694" s="204"/>
      <c r="W4694" s="204"/>
      <c r="X4694" s="207"/>
      <c r="Y4694" s="207"/>
      <c r="Z4694" s="204"/>
      <c r="AA4694" s="204"/>
      <c r="AB4694" s="204"/>
      <c r="AC4694" s="204"/>
    </row>
    <row r="4695" spans="1:29">
      <c r="A4695" s="204"/>
      <c r="B4695" s="204"/>
      <c r="C4695" s="204"/>
      <c r="D4695" s="204"/>
      <c r="E4695" s="204"/>
      <c r="F4695" s="204"/>
      <c r="G4695" s="204"/>
      <c r="H4695" s="204"/>
      <c r="I4695" s="204"/>
      <c r="J4695" s="204"/>
      <c r="K4695" s="204"/>
      <c r="L4695" s="205"/>
      <c r="M4695" s="205"/>
      <c r="N4695" s="204"/>
      <c r="O4695" s="204"/>
      <c r="P4695" s="206"/>
      <c r="Q4695" s="206"/>
      <c r="R4695" s="206"/>
      <c r="S4695" s="206"/>
      <c r="T4695" s="204"/>
      <c r="U4695" s="207"/>
      <c r="V4695" s="204"/>
      <c r="W4695" s="204"/>
      <c r="X4695" s="207"/>
      <c r="Y4695" s="207"/>
      <c r="Z4695" s="204"/>
      <c r="AA4695" s="204"/>
      <c r="AB4695" s="204"/>
      <c r="AC4695" s="204"/>
    </row>
    <row r="4696" spans="1:29">
      <c r="A4696" s="204"/>
      <c r="B4696" s="204"/>
      <c r="C4696" s="204"/>
      <c r="D4696" s="204"/>
      <c r="E4696" s="204"/>
      <c r="F4696" s="204"/>
      <c r="G4696" s="204"/>
      <c r="H4696" s="204"/>
      <c r="I4696" s="204"/>
      <c r="J4696" s="204"/>
      <c r="K4696" s="204"/>
      <c r="L4696" s="205"/>
      <c r="M4696" s="205"/>
      <c r="N4696" s="204"/>
      <c r="O4696" s="204"/>
      <c r="P4696" s="206"/>
      <c r="Q4696" s="206"/>
      <c r="R4696" s="206"/>
      <c r="S4696" s="206"/>
      <c r="T4696" s="204"/>
      <c r="U4696" s="207"/>
      <c r="V4696" s="204"/>
      <c r="W4696" s="204"/>
      <c r="X4696" s="207"/>
      <c r="Y4696" s="207"/>
      <c r="Z4696" s="204"/>
      <c r="AA4696" s="204"/>
      <c r="AB4696" s="204"/>
      <c r="AC4696" s="204"/>
    </row>
    <row r="4697" spans="1:29">
      <c r="A4697" s="204"/>
      <c r="B4697" s="204"/>
      <c r="C4697" s="204"/>
      <c r="D4697" s="204"/>
      <c r="E4697" s="204"/>
      <c r="F4697" s="204"/>
      <c r="G4697" s="204"/>
      <c r="H4697" s="204"/>
      <c r="I4697" s="204"/>
      <c r="J4697" s="204"/>
      <c r="K4697" s="204"/>
      <c r="L4697" s="205"/>
      <c r="M4697" s="205"/>
      <c r="N4697" s="204"/>
      <c r="O4697" s="204"/>
      <c r="P4697" s="206"/>
      <c r="Q4697" s="206"/>
      <c r="R4697" s="206"/>
      <c r="S4697" s="206"/>
      <c r="T4697" s="204"/>
      <c r="U4697" s="207"/>
      <c r="V4697" s="204"/>
      <c r="W4697" s="204"/>
      <c r="X4697" s="207"/>
      <c r="Y4697" s="207"/>
      <c r="Z4697" s="204"/>
      <c r="AA4697" s="204"/>
      <c r="AB4697" s="204"/>
      <c r="AC4697" s="204"/>
    </row>
    <row r="4698" spans="1:29">
      <c r="A4698" s="204"/>
      <c r="B4698" s="204"/>
      <c r="C4698" s="204"/>
      <c r="D4698" s="204"/>
      <c r="E4698" s="204"/>
      <c r="F4698" s="204"/>
      <c r="G4698" s="204"/>
      <c r="H4698" s="204"/>
      <c r="I4698" s="204"/>
      <c r="J4698" s="204"/>
      <c r="K4698" s="204"/>
      <c r="L4698" s="205"/>
      <c r="M4698" s="205"/>
      <c r="N4698" s="204"/>
      <c r="O4698" s="204"/>
      <c r="P4698" s="206"/>
      <c r="Q4698" s="206"/>
      <c r="R4698" s="206"/>
      <c r="S4698" s="206"/>
      <c r="T4698" s="204"/>
      <c r="U4698" s="207"/>
      <c r="V4698" s="204"/>
      <c r="W4698" s="204"/>
      <c r="X4698" s="207"/>
      <c r="Y4698" s="207"/>
      <c r="Z4698" s="204"/>
      <c r="AA4698" s="204"/>
      <c r="AB4698" s="204"/>
      <c r="AC4698" s="204"/>
    </row>
    <row r="4699" spans="1:29">
      <c r="A4699" s="204"/>
      <c r="B4699" s="204"/>
      <c r="C4699" s="204"/>
      <c r="D4699" s="204"/>
      <c r="E4699" s="204"/>
      <c r="F4699" s="204"/>
      <c r="G4699" s="204"/>
      <c r="H4699" s="204"/>
      <c r="I4699" s="204"/>
      <c r="J4699" s="204"/>
      <c r="K4699" s="204"/>
      <c r="L4699" s="205"/>
      <c r="M4699" s="205"/>
      <c r="N4699" s="204"/>
      <c r="O4699" s="204"/>
      <c r="P4699" s="206"/>
      <c r="Q4699" s="206"/>
      <c r="R4699" s="206"/>
      <c r="S4699" s="206"/>
      <c r="T4699" s="204"/>
      <c r="U4699" s="207"/>
      <c r="V4699" s="204"/>
      <c r="W4699" s="204"/>
      <c r="X4699" s="207"/>
      <c r="Y4699" s="207"/>
      <c r="Z4699" s="204"/>
      <c r="AA4699" s="204"/>
      <c r="AB4699" s="204"/>
      <c r="AC4699" s="204"/>
    </row>
    <row r="4700" spans="1:29">
      <c r="A4700" s="204"/>
      <c r="B4700" s="204"/>
      <c r="C4700" s="204"/>
      <c r="D4700" s="204"/>
      <c r="E4700" s="204"/>
      <c r="F4700" s="204"/>
      <c r="G4700" s="204"/>
      <c r="H4700" s="204"/>
      <c r="I4700" s="204"/>
      <c r="J4700" s="204"/>
      <c r="K4700" s="204"/>
      <c r="L4700" s="205"/>
      <c r="M4700" s="205"/>
      <c r="N4700" s="204"/>
      <c r="O4700" s="204"/>
      <c r="P4700" s="206"/>
      <c r="Q4700" s="206"/>
      <c r="R4700" s="206"/>
      <c r="S4700" s="206"/>
      <c r="T4700" s="204"/>
      <c r="U4700" s="207"/>
      <c r="V4700" s="204"/>
      <c r="W4700" s="204"/>
      <c r="X4700" s="207"/>
      <c r="Y4700" s="207"/>
      <c r="Z4700" s="204"/>
      <c r="AA4700" s="204"/>
      <c r="AB4700" s="204"/>
      <c r="AC4700" s="204"/>
    </row>
    <row r="4701" spans="1:29">
      <c r="A4701" s="204"/>
      <c r="B4701" s="204"/>
      <c r="C4701" s="204"/>
      <c r="D4701" s="204"/>
      <c r="E4701" s="204"/>
      <c r="F4701" s="204"/>
      <c r="G4701" s="204"/>
      <c r="H4701" s="204"/>
      <c r="I4701" s="204"/>
      <c r="J4701" s="204"/>
      <c r="K4701" s="204"/>
      <c r="L4701" s="205"/>
      <c r="M4701" s="205"/>
      <c r="N4701" s="204"/>
      <c r="O4701" s="204"/>
      <c r="P4701" s="206"/>
      <c r="Q4701" s="206"/>
      <c r="R4701" s="206"/>
      <c r="S4701" s="206"/>
      <c r="T4701" s="204"/>
      <c r="U4701" s="207"/>
      <c r="V4701" s="204"/>
      <c r="W4701" s="204"/>
      <c r="X4701" s="207"/>
      <c r="Y4701" s="207"/>
      <c r="Z4701" s="204"/>
      <c r="AA4701" s="204"/>
      <c r="AB4701" s="204"/>
      <c r="AC4701" s="204"/>
    </row>
    <row r="4702" spans="1:29">
      <c r="A4702" s="204"/>
      <c r="B4702" s="204"/>
      <c r="C4702" s="204"/>
      <c r="D4702" s="204"/>
      <c r="E4702" s="204"/>
      <c r="F4702" s="204"/>
      <c r="G4702" s="204"/>
      <c r="H4702" s="204"/>
      <c r="I4702" s="204"/>
      <c r="J4702" s="204"/>
      <c r="K4702" s="204"/>
      <c r="L4702" s="205"/>
      <c r="M4702" s="205"/>
      <c r="N4702" s="204"/>
      <c r="O4702" s="204"/>
      <c r="P4702" s="206"/>
      <c r="Q4702" s="206"/>
      <c r="R4702" s="206"/>
      <c r="S4702" s="206"/>
      <c r="T4702" s="204"/>
      <c r="U4702" s="207"/>
      <c r="V4702" s="204"/>
      <c r="W4702" s="204"/>
      <c r="X4702" s="207"/>
      <c r="Y4702" s="207"/>
      <c r="Z4702" s="204"/>
      <c r="AA4702" s="204"/>
      <c r="AB4702" s="204"/>
      <c r="AC4702" s="204"/>
    </row>
    <row r="4703" spans="1:29">
      <c r="A4703" s="204"/>
      <c r="B4703" s="204"/>
      <c r="C4703" s="204"/>
      <c r="D4703" s="204"/>
      <c r="E4703" s="204"/>
      <c r="F4703" s="204"/>
      <c r="G4703" s="204"/>
      <c r="H4703" s="204"/>
      <c r="I4703" s="204"/>
      <c r="J4703" s="204"/>
      <c r="K4703" s="204"/>
      <c r="L4703" s="205"/>
      <c r="M4703" s="205"/>
      <c r="N4703" s="204"/>
      <c r="O4703" s="204"/>
      <c r="P4703" s="206"/>
      <c r="Q4703" s="206"/>
      <c r="R4703" s="206"/>
      <c r="S4703" s="206"/>
      <c r="T4703" s="204"/>
      <c r="U4703" s="207"/>
      <c r="V4703" s="204"/>
      <c r="W4703" s="204"/>
      <c r="X4703" s="207"/>
      <c r="Y4703" s="207"/>
      <c r="Z4703" s="204"/>
      <c r="AA4703" s="204"/>
      <c r="AB4703" s="204"/>
      <c r="AC4703" s="204"/>
    </row>
    <row r="4704" spans="1:29">
      <c r="A4704" s="204"/>
      <c r="B4704" s="204"/>
      <c r="C4704" s="204"/>
      <c r="D4704" s="204"/>
      <c r="E4704" s="204"/>
      <c r="F4704" s="204"/>
      <c r="G4704" s="204"/>
      <c r="H4704" s="204"/>
      <c r="I4704" s="204"/>
      <c r="J4704" s="204"/>
      <c r="K4704" s="204"/>
      <c r="L4704" s="205"/>
      <c r="M4704" s="205"/>
      <c r="N4704" s="204"/>
      <c r="O4704" s="204"/>
      <c r="P4704" s="206"/>
      <c r="Q4704" s="206"/>
      <c r="R4704" s="206"/>
      <c r="S4704" s="206"/>
      <c r="T4704" s="204"/>
      <c r="U4704" s="207"/>
      <c r="V4704" s="204"/>
      <c r="W4704" s="204"/>
      <c r="X4704" s="207"/>
      <c r="Y4704" s="207"/>
      <c r="Z4704" s="204"/>
      <c r="AA4704" s="204"/>
      <c r="AB4704" s="204"/>
      <c r="AC4704" s="204"/>
    </row>
    <row r="4705" spans="1:29">
      <c r="A4705" s="204"/>
      <c r="B4705" s="204"/>
      <c r="C4705" s="204"/>
      <c r="D4705" s="204"/>
      <c r="E4705" s="204"/>
      <c r="F4705" s="204"/>
      <c r="G4705" s="204"/>
      <c r="H4705" s="204"/>
      <c r="I4705" s="204"/>
      <c r="J4705" s="204"/>
      <c r="K4705" s="204"/>
      <c r="L4705" s="205"/>
      <c r="M4705" s="205"/>
      <c r="N4705" s="204"/>
      <c r="O4705" s="204"/>
      <c r="P4705" s="206"/>
      <c r="Q4705" s="206"/>
      <c r="R4705" s="206"/>
      <c r="S4705" s="206"/>
      <c r="T4705" s="204"/>
      <c r="U4705" s="207"/>
      <c r="V4705" s="204"/>
      <c r="W4705" s="204"/>
      <c r="X4705" s="207"/>
      <c r="Y4705" s="207"/>
      <c r="Z4705" s="204"/>
      <c r="AA4705" s="204"/>
      <c r="AB4705" s="204"/>
      <c r="AC4705" s="204"/>
    </row>
    <row r="4706" spans="1:29">
      <c r="A4706" s="204"/>
      <c r="B4706" s="204"/>
      <c r="C4706" s="204"/>
      <c r="D4706" s="204"/>
      <c r="E4706" s="204"/>
      <c r="F4706" s="204"/>
      <c r="G4706" s="204"/>
      <c r="H4706" s="204"/>
      <c r="I4706" s="204"/>
      <c r="J4706" s="204"/>
      <c r="K4706" s="204"/>
      <c r="L4706" s="205"/>
      <c r="M4706" s="205"/>
      <c r="N4706" s="204"/>
      <c r="O4706" s="204"/>
      <c r="P4706" s="206"/>
      <c r="Q4706" s="206"/>
      <c r="R4706" s="206"/>
      <c r="S4706" s="206"/>
      <c r="T4706" s="204"/>
      <c r="U4706" s="207"/>
      <c r="V4706" s="204"/>
      <c r="W4706" s="204"/>
      <c r="X4706" s="207"/>
      <c r="Y4706" s="207"/>
      <c r="Z4706" s="204"/>
      <c r="AA4706" s="204"/>
      <c r="AB4706" s="204"/>
      <c r="AC4706" s="204"/>
    </row>
    <row r="4707" spans="1:29">
      <c r="A4707" s="204"/>
      <c r="B4707" s="204"/>
      <c r="C4707" s="204"/>
      <c r="D4707" s="204"/>
      <c r="E4707" s="204"/>
      <c r="F4707" s="204"/>
      <c r="G4707" s="204"/>
      <c r="H4707" s="204"/>
      <c r="I4707" s="204"/>
      <c r="J4707" s="204"/>
      <c r="K4707" s="204"/>
      <c r="L4707" s="205"/>
      <c r="M4707" s="205"/>
      <c r="N4707" s="204"/>
      <c r="O4707" s="204"/>
      <c r="P4707" s="206"/>
      <c r="Q4707" s="206"/>
      <c r="R4707" s="206"/>
      <c r="S4707" s="206"/>
      <c r="T4707" s="204"/>
      <c r="U4707" s="207"/>
      <c r="V4707" s="204"/>
      <c r="W4707" s="204"/>
      <c r="X4707" s="207"/>
      <c r="Y4707" s="207"/>
      <c r="Z4707" s="204"/>
      <c r="AA4707" s="204"/>
      <c r="AB4707" s="204"/>
      <c r="AC4707" s="204"/>
    </row>
    <row r="4708" spans="1:29">
      <c r="A4708" s="204"/>
      <c r="B4708" s="204"/>
      <c r="C4708" s="204"/>
      <c r="D4708" s="204"/>
      <c r="E4708" s="204"/>
      <c r="F4708" s="204"/>
      <c r="G4708" s="204"/>
      <c r="H4708" s="204"/>
      <c r="I4708" s="204"/>
      <c r="J4708" s="204"/>
      <c r="K4708" s="204"/>
      <c r="L4708" s="205"/>
      <c r="M4708" s="205"/>
      <c r="N4708" s="204"/>
      <c r="O4708" s="204"/>
      <c r="P4708" s="206"/>
      <c r="Q4708" s="206"/>
      <c r="R4708" s="206"/>
      <c r="S4708" s="206"/>
      <c r="T4708" s="204"/>
      <c r="U4708" s="207"/>
      <c r="V4708" s="204"/>
      <c r="W4708" s="204"/>
      <c r="X4708" s="207"/>
      <c r="Y4708" s="207"/>
      <c r="Z4708" s="204"/>
      <c r="AA4708" s="204"/>
      <c r="AB4708" s="204"/>
      <c r="AC4708" s="204"/>
    </row>
    <row r="4709" spans="1:29">
      <c r="A4709" s="204"/>
      <c r="B4709" s="204"/>
      <c r="C4709" s="204"/>
      <c r="D4709" s="204"/>
      <c r="E4709" s="204"/>
      <c r="F4709" s="204"/>
      <c r="G4709" s="204"/>
      <c r="H4709" s="204"/>
      <c r="I4709" s="204"/>
      <c r="J4709" s="204"/>
      <c r="K4709" s="204"/>
      <c r="L4709" s="205"/>
      <c r="M4709" s="205"/>
      <c r="N4709" s="204"/>
      <c r="O4709" s="204"/>
      <c r="P4709" s="206"/>
      <c r="Q4709" s="206"/>
      <c r="R4709" s="206"/>
      <c r="S4709" s="206"/>
      <c r="T4709" s="204"/>
      <c r="U4709" s="207"/>
      <c r="V4709" s="204"/>
      <c r="W4709" s="204"/>
      <c r="X4709" s="207"/>
      <c r="Y4709" s="207"/>
      <c r="Z4709" s="204"/>
      <c r="AA4709" s="204"/>
      <c r="AB4709" s="204"/>
      <c r="AC4709" s="204"/>
    </row>
    <row r="4710" spans="1:29">
      <c r="A4710" s="204"/>
      <c r="B4710" s="204"/>
      <c r="C4710" s="204"/>
      <c r="D4710" s="204"/>
      <c r="E4710" s="204"/>
      <c r="F4710" s="204"/>
      <c r="G4710" s="204"/>
      <c r="H4710" s="204"/>
      <c r="I4710" s="204"/>
      <c r="J4710" s="204"/>
      <c r="K4710" s="204"/>
      <c r="L4710" s="205"/>
      <c r="M4710" s="205"/>
      <c r="N4710" s="204"/>
      <c r="O4710" s="204"/>
      <c r="P4710" s="206"/>
      <c r="Q4710" s="206"/>
      <c r="R4710" s="206"/>
      <c r="S4710" s="206"/>
      <c r="T4710" s="204"/>
      <c r="U4710" s="207"/>
      <c r="V4710" s="204"/>
      <c r="W4710" s="204"/>
      <c r="X4710" s="207"/>
      <c r="Y4710" s="207"/>
      <c r="Z4710" s="204"/>
      <c r="AA4710" s="204"/>
      <c r="AB4710" s="204"/>
      <c r="AC4710" s="204"/>
    </row>
    <row r="4711" spans="1:29">
      <c r="A4711" s="204"/>
      <c r="B4711" s="204"/>
      <c r="C4711" s="204"/>
      <c r="D4711" s="204"/>
      <c r="E4711" s="204"/>
      <c r="F4711" s="204"/>
      <c r="G4711" s="204"/>
      <c r="H4711" s="204"/>
      <c r="I4711" s="204"/>
      <c r="J4711" s="204"/>
      <c r="K4711" s="204"/>
      <c r="L4711" s="205"/>
      <c r="M4711" s="205"/>
      <c r="N4711" s="204"/>
      <c r="O4711" s="204"/>
      <c r="P4711" s="206"/>
      <c r="Q4711" s="206"/>
      <c r="R4711" s="206"/>
      <c r="S4711" s="206"/>
      <c r="T4711" s="204"/>
      <c r="U4711" s="207"/>
      <c r="V4711" s="204"/>
      <c r="W4711" s="204"/>
      <c r="X4711" s="207"/>
      <c r="Y4711" s="207"/>
      <c r="Z4711" s="204"/>
      <c r="AA4711" s="204"/>
      <c r="AB4711" s="204"/>
      <c r="AC4711" s="204"/>
    </row>
    <row r="4712" spans="1:29">
      <c r="A4712" s="204"/>
      <c r="B4712" s="204"/>
      <c r="C4712" s="204"/>
      <c r="D4712" s="204"/>
      <c r="E4712" s="204"/>
      <c r="F4712" s="204"/>
      <c r="G4712" s="204"/>
      <c r="H4712" s="204"/>
      <c r="I4712" s="204"/>
      <c r="J4712" s="204"/>
      <c r="K4712" s="204"/>
      <c r="L4712" s="205"/>
      <c r="M4712" s="205"/>
      <c r="N4712" s="204"/>
      <c r="O4712" s="204"/>
      <c r="P4712" s="206"/>
      <c r="Q4712" s="206"/>
      <c r="R4712" s="206"/>
      <c r="S4712" s="206"/>
      <c r="T4712" s="204"/>
      <c r="U4712" s="207"/>
      <c r="V4712" s="204"/>
      <c r="W4712" s="204"/>
      <c r="X4712" s="207"/>
      <c r="Y4712" s="207"/>
      <c r="Z4712" s="204"/>
      <c r="AA4712" s="204"/>
      <c r="AB4712" s="204"/>
      <c r="AC4712" s="204"/>
    </row>
    <row r="4713" spans="1:29">
      <c r="A4713" s="204"/>
      <c r="B4713" s="204"/>
      <c r="C4713" s="204"/>
      <c r="D4713" s="204"/>
      <c r="E4713" s="204"/>
      <c r="F4713" s="204"/>
      <c r="G4713" s="204"/>
      <c r="H4713" s="204"/>
      <c r="I4713" s="204"/>
      <c r="J4713" s="204"/>
      <c r="K4713" s="204"/>
      <c r="L4713" s="205"/>
      <c r="M4713" s="205"/>
      <c r="N4713" s="204"/>
      <c r="O4713" s="204"/>
      <c r="P4713" s="206"/>
      <c r="Q4713" s="206"/>
      <c r="R4713" s="206"/>
      <c r="S4713" s="206"/>
      <c r="T4713" s="204"/>
      <c r="U4713" s="207"/>
      <c r="V4713" s="204"/>
      <c r="W4713" s="204"/>
      <c r="X4713" s="207"/>
      <c r="Y4713" s="207"/>
      <c r="Z4713" s="204"/>
      <c r="AA4713" s="204"/>
      <c r="AB4713" s="204"/>
      <c r="AC4713" s="204"/>
    </row>
    <row r="4714" spans="1:29">
      <c r="A4714" s="204"/>
      <c r="B4714" s="204"/>
      <c r="C4714" s="204"/>
      <c r="D4714" s="204"/>
      <c r="E4714" s="204"/>
      <c r="F4714" s="204"/>
      <c r="G4714" s="204"/>
      <c r="H4714" s="204"/>
      <c r="I4714" s="204"/>
      <c r="J4714" s="204"/>
      <c r="K4714" s="204"/>
      <c r="L4714" s="205"/>
      <c r="M4714" s="205"/>
      <c r="N4714" s="204"/>
      <c r="O4714" s="204"/>
      <c r="P4714" s="206"/>
      <c r="Q4714" s="206"/>
      <c r="R4714" s="206"/>
      <c r="S4714" s="206"/>
      <c r="T4714" s="204"/>
      <c r="U4714" s="207"/>
      <c r="V4714" s="204"/>
      <c r="W4714" s="204"/>
      <c r="X4714" s="207"/>
      <c r="Y4714" s="207"/>
      <c r="Z4714" s="204"/>
      <c r="AA4714" s="204"/>
      <c r="AB4714" s="204"/>
      <c r="AC4714" s="204"/>
    </row>
    <row r="4715" spans="1:29">
      <c r="A4715" s="204"/>
      <c r="B4715" s="204"/>
      <c r="C4715" s="204"/>
      <c r="D4715" s="204"/>
      <c r="E4715" s="204"/>
      <c r="F4715" s="204"/>
      <c r="G4715" s="204"/>
      <c r="H4715" s="204"/>
      <c r="I4715" s="204"/>
      <c r="J4715" s="204"/>
      <c r="K4715" s="204"/>
      <c r="L4715" s="205"/>
      <c r="M4715" s="205"/>
      <c r="N4715" s="204"/>
      <c r="O4715" s="204"/>
      <c r="P4715" s="206"/>
      <c r="Q4715" s="206"/>
      <c r="R4715" s="206"/>
      <c r="S4715" s="206"/>
      <c r="T4715" s="204"/>
      <c r="U4715" s="207"/>
      <c r="V4715" s="204"/>
      <c r="W4715" s="204"/>
      <c r="X4715" s="207"/>
      <c r="Y4715" s="207"/>
      <c r="Z4715" s="204"/>
      <c r="AA4715" s="204"/>
      <c r="AB4715" s="204"/>
      <c r="AC4715" s="204"/>
    </row>
    <row r="4716" spans="1:29">
      <c r="A4716" s="204"/>
      <c r="B4716" s="204"/>
      <c r="C4716" s="204"/>
      <c r="D4716" s="204"/>
      <c r="E4716" s="204"/>
      <c r="F4716" s="204"/>
      <c r="G4716" s="204"/>
      <c r="H4716" s="204"/>
      <c r="I4716" s="204"/>
      <c r="J4716" s="204"/>
      <c r="K4716" s="204"/>
      <c r="L4716" s="205"/>
      <c r="M4716" s="205"/>
      <c r="N4716" s="204"/>
      <c r="O4716" s="204"/>
      <c r="P4716" s="206"/>
      <c r="Q4716" s="206"/>
      <c r="R4716" s="206"/>
      <c r="S4716" s="206"/>
      <c r="T4716" s="204"/>
      <c r="U4716" s="207"/>
      <c r="V4716" s="204"/>
      <c r="W4716" s="204"/>
      <c r="X4716" s="207"/>
      <c r="Y4716" s="207"/>
      <c r="Z4716" s="204"/>
      <c r="AA4716" s="204"/>
      <c r="AB4716" s="204"/>
      <c r="AC4716" s="204"/>
    </row>
    <row r="4717" spans="1:29">
      <c r="A4717" s="204"/>
      <c r="B4717" s="204"/>
      <c r="C4717" s="204"/>
      <c r="D4717" s="204"/>
      <c r="E4717" s="204"/>
      <c r="F4717" s="204"/>
      <c r="G4717" s="204"/>
      <c r="H4717" s="204"/>
      <c r="I4717" s="204"/>
      <c r="J4717" s="204"/>
      <c r="K4717" s="204"/>
      <c r="L4717" s="205"/>
      <c r="M4717" s="205"/>
      <c r="N4717" s="204"/>
      <c r="O4717" s="204"/>
      <c r="P4717" s="206"/>
      <c r="Q4717" s="206"/>
      <c r="R4717" s="206"/>
      <c r="S4717" s="206"/>
      <c r="T4717" s="204"/>
      <c r="U4717" s="207"/>
      <c r="V4717" s="204"/>
      <c r="W4717" s="204"/>
      <c r="X4717" s="207"/>
      <c r="Y4717" s="207"/>
      <c r="Z4717" s="204"/>
      <c r="AA4717" s="204"/>
      <c r="AB4717" s="204"/>
      <c r="AC4717" s="204"/>
    </row>
    <row r="4718" spans="1:29">
      <c r="A4718" s="204"/>
      <c r="B4718" s="204"/>
      <c r="C4718" s="204"/>
      <c r="D4718" s="204"/>
      <c r="E4718" s="204"/>
      <c r="F4718" s="204"/>
      <c r="G4718" s="204"/>
      <c r="H4718" s="204"/>
      <c r="I4718" s="204"/>
      <c r="J4718" s="204"/>
      <c r="K4718" s="204"/>
      <c r="L4718" s="205"/>
      <c r="M4718" s="205"/>
      <c r="N4718" s="204"/>
      <c r="O4718" s="204"/>
      <c r="P4718" s="206"/>
      <c r="Q4718" s="206"/>
      <c r="R4718" s="206"/>
      <c r="S4718" s="206"/>
      <c r="T4718" s="204"/>
      <c r="U4718" s="207"/>
      <c r="V4718" s="204"/>
      <c r="W4718" s="204"/>
      <c r="X4718" s="207"/>
      <c r="Y4718" s="207"/>
      <c r="Z4718" s="204"/>
      <c r="AA4718" s="204"/>
      <c r="AB4718" s="204"/>
      <c r="AC4718" s="204"/>
    </row>
    <row r="4719" spans="1:29">
      <c r="A4719" s="204"/>
      <c r="B4719" s="204"/>
      <c r="C4719" s="204"/>
      <c r="D4719" s="204"/>
      <c r="E4719" s="204"/>
      <c r="F4719" s="204"/>
      <c r="G4719" s="204"/>
      <c r="H4719" s="204"/>
      <c r="I4719" s="204"/>
      <c r="J4719" s="204"/>
      <c r="K4719" s="204"/>
      <c r="L4719" s="205"/>
      <c r="M4719" s="205"/>
      <c r="N4719" s="204"/>
      <c r="O4719" s="204"/>
      <c r="P4719" s="206"/>
      <c r="Q4719" s="206"/>
      <c r="R4719" s="206"/>
      <c r="S4719" s="206"/>
      <c r="T4719" s="204"/>
      <c r="U4719" s="207"/>
      <c r="V4719" s="204"/>
      <c r="W4719" s="204"/>
      <c r="X4719" s="207"/>
      <c r="Y4719" s="207"/>
      <c r="Z4719" s="204"/>
      <c r="AA4719" s="204"/>
      <c r="AB4719" s="204"/>
      <c r="AC4719" s="204"/>
    </row>
    <row r="4720" spans="1:29">
      <c r="A4720" s="204"/>
      <c r="B4720" s="204"/>
      <c r="C4720" s="204"/>
      <c r="D4720" s="204"/>
      <c r="E4720" s="204"/>
      <c r="F4720" s="204"/>
      <c r="G4720" s="204"/>
      <c r="H4720" s="204"/>
      <c r="I4720" s="204"/>
      <c r="J4720" s="204"/>
      <c r="K4720" s="204"/>
      <c r="L4720" s="205"/>
      <c r="M4720" s="205"/>
      <c r="N4720" s="204"/>
      <c r="O4720" s="204"/>
      <c r="P4720" s="206"/>
      <c r="Q4720" s="206"/>
      <c r="R4720" s="206"/>
      <c r="S4720" s="206"/>
      <c r="T4720" s="204"/>
      <c r="U4720" s="207"/>
      <c r="V4720" s="204"/>
      <c r="W4720" s="204"/>
      <c r="X4720" s="207"/>
      <c r="Y4720" s="207"/>
      <c r="Z4720" s="204"/>
      <c r="AA4720" s="204"/>
      <c r="AB4720" s="204"/>
      <c r="AC4720" s="204"/>
    </row>
    <row r="4721" spans="1:29">
      <c r="A4721" s="204"/>
      <c r="B4721" s="204"/>
      <c r="C4721" s="204"/>
      <c r="D4721" s="204"/>
      <c r="E4721" s="204"/>
      <c r="F4721" s="204"/>
      <c r="G4721" s="204"/>
      <c r="H4721" s="204"/>
      <c r="I4721" s="204"/>
      <c r="J4721" s="204"/>
      <c r="K4721" s="204"/>
      <c r="L4721" s="205"/>
      <c r="M4721" s="205"/>
      <c r="N4721" s="204"/>
      <c r="O4721" s="204"/>
      <c r="P4721" s="206"/>
      <c r="Q4721" s="206"/>
      <c r="R4721" s="206"/>
      <c r="S4721" s="206"/>
      <c r="T4721" s="204"/>
      <c r="U4721" s="207"/>
      <c r="V4721" s="204"/>
      <c r="W4721" s="204"/>
      <c r="X4721" s="207"/>
      <c r="Y4721" s="207"/>
      <c r="Z4721" s="204"/>
      <c r="AA4721" s="204"/>
      <c r="AB4721" s="204"/>
      <c r="AC4721" s="204"/>
    </row>
    <row r="4722" spans="1:29">
      <c r="A4722" s="204"/>
      <c r="B4722" s="204"/>
      <c r="C4722" s="204"/>
      <c r="D4722" s="204"/>
      <c r="E4722" s="204"/>
      <c r="F4722" s="204"/>
      <c r="G4722" s="204"/>
      <c r="H4722" s="204"/>
      <c r="I4722" s="204"/>
      <c r="J4722" s="204"/>
      <c r="K4722" s="204"/>
      <c r="L4722" s="205"/>
      <c r="M4722" s="205"/>
      <c r="N4722" s="204"/>
      <c r="O4722" s="204"/>
      <c r="P4722" s="206"/>
      <c r="Q4722" s="206"/>
      <c r="R4722" s="206"/>
      <c r="S4722" s="206"/>
      <c r="T4722" s="204"/>
      <c r="U4722" s="207"/>
      <c r="V4722" s="204"/>
      <c r="W4722" s="204"/>
      <c r="X4722" s="207"/>
      <c r="Y4722" s="207"/>
      <c r="Z4722" s="204"/>
      <c r="AA4722" s="204"/>
      <c r="AB4722" s="204"/>
      <c r="AC4722" s="204"/>
    </row>
    <row r="4723" spans="1:29">
      <c r="A4723" s="204"/>
      <c r="B4723" s="204"/>
      <c r="C4723" s="204"/>
      <c r="D4723" s="204"/>
      <c r="E4723" s="204"/>
      <c r="F4723" s="204"/>
      <c r="G4723" s="204"/>
      <c r="H4723" s="204"/>
      <c r="I4723" s="204"/>
      <c r="J4723" s="204"/>
      <c r="K4723" s="204"/>
      <c r="L4723" s="205"/>
      <c r="M4723" s="205"/>
      <c r="N4723" s="204"/>
      <c r="O4723" s="204"/>
      <c r="P4723" s="206"/>
      <c r="Q4723" s="206"/>
      <c r="R4723" s="206"/>
      <c r="S4723" s="206"/>
      <c r="T4723" s="204"/>
      <c r="U4723" s="207"/>
      <c r="V4723" s="204"/>
      <c r="W4723" s="204"/>
      <c r="X4723" s="207"/>
      <c r="Y4723" s="207"/>
      <c r="Z4723" s="204"/>
      <c r="AA4723" s="204"/>
      <c r="AB4723" s="204"/>
      <c r="AC4723" s="204"/>
    </row>
    <row r="4724" spans="1:29">
      <c r="A4724" s="204"/>
      <c r="B4724" s="204"/>
      <c r="C4724" s="204"/>
      <c r="D4724" s="204"/>
      <c r="E4724" s="204"/>
      <c r="F4724" s="204"/>
      <c r="G4724" s="204"/>
      <c r="H4724" s="204"/>
      <c r="I4724" s="204"/>
      <c r="J4724" s="204"/>
      <c r="K4724" s="204"/>
      <c r="L4724" s="205"/>
      <c r="M4724" s="205"/>
      <c r="N4724" s="204"/>
      <c r="O4724" s="204"/>
      <c r="P4724" s="206"/>
      <c r="Q4724" s="206"/>
      <c r="R4724" s="206"/>
      <c r="S4724" s="206"/>
      <c r="T4724" s="204"/>
      <c r="U4724" s="207"/>
      <c r="V4724" s="204"/>
      <c r="W4724" s="204"/>
      <c r="X4724" s="207"/>
      <c r="Y4724" s="207"/>
      <c r="Z4724" s="204"/>
      <c r="AA4724" s="204"/>
      <c r="AB4724" s="204"/>
      <c r="AC4724" s="204"/>
    </row>
    <row r="4725" spans="1:29">
      <c r="A4725" s="204"/>
      <c r="B4725" s="204"/>
      <c r="C4725" s="204"/>
      <c r="D4725" s="204"/>
      <c r="E4725" s="204"/>
      <c r="F4725" s="204"/>
      <c r="G4725" s="204"/>
      <c r="H4725" s="204"/>
      <c r="I4725" s="204"/>
      <c r="J4725" s="204"/>
      <c r="K4725" s="204"/>
      <c r="L4725" s="205"/>
      <c r="M4725" s="205"/>
      <c r="N4725" s="204"/>
      <c r="O4725" s="204"/>
      <c r="P4725" s="206"/>
      <c r="Q4725" s="206"/>
      <c r="R4725" s="206"/>
      <c r="S4725" s="206"/>
      <c r="T4725" s="204"/>
      <c r="U4725" s="207"/>
      <c r="V4725" s="204"/>
      <c r="W4725" s="204"/>
      <c r="X4725" s="207"/>
      <c r="Y4725" s="207"/>
      <c r="Z4725" s="204"/>
      <c r="AA4725" s="204"/>
      <c r="AB4725" s="204"/>
      <c r="AC4725" s="204"/>
    </row>
    <row r="4726" spans="1:29">
      <c r="A4726" s="204"/>
      <c r="B4726" s="204"/>
      <c r="C4726" s="204"/>
      <c r="D4726" s="204"/>
      <c r="E4726" s="204"/>
      <c r="F4726" s="204"/>
      <c r="G4726" s="204"/>
      <c r="H4726" s="204"/>
      <c r="I4726" s="204"/>
      <c r="J4726" s="204"/>
      <c r="K4726" s="204"/>
      <c r="L4726" s="205"/>
      <c r="M4726" s="205"/>
      <c r="N4726" s="204"/>
      <c r="O4726" s="204"/>
      <c r="P4726" s="206"/>
      <c r="Q4726" s="206"/>
      <c r="R4726" s="206"/>
      <c r="S4726" s="206"/>
      <c r="T4726" s="204"/>
      <c r="U4726" s="207"/>
      <c r="V4726" s="204"/>
      <c r="W4726" s="204"/>
      <c r="X4726" s="207"/>
      <c r="Y4726" s="207"/>
      <c r="Z4726" s="204"/>
      <c r="AA4726" s="204"/>
      <c r="AB4726" s="204"/>
      <c r="AC4726" s="204"/>
    </row>
    <row r="4727" spans="1:29">
      <c r="A4727" s="204"/>
      <c r="B4727" s="204"/>
      <c r="C4727" s="204"/>
      <c r="D4727" s="204"/>
      <c r="E4727" s="204"/>
      <c r="F4727" s="204"/>
      <c r="G4727" s="204"/>
      <c r="H4727" s="204"/>
      <c r="I4727" s="204"/>
      <c r="J4727" s="204"/>
      <c r="K4727" s="204"/>
      <c r="L4727" s="205"/>
      <c r="M4727" s="205"/>
      <c r="N4727" s="204"/>
      <c r="O4727" s="204"/>
      <c r="P4727" s="206"/>
      <c r="Q4727" s="206"/>
      <c r="R4727" s="206"/>
      <c r="S4727" s="206"/>
      <c r="T4727" s="204"/>
      <c r="U4727" s="207"/>
      <c r="V4727" s="204"/>
      <c r="W4727" s="204"/>
      <c r="X4727" s="207"/>
      <c r="Y4727" s="207"/>
      <c r="Z4727" s="204"/>
      <c r="AA4727" s="204"/>
      <c r="AB4727" s="204"/>
      <c r="AC4727" s="204"/>
    </row>
    <row r="4728" spans="1:29">
      <c r="A4728" s="204"/>
      <c r="B4728" s="204"/>
      <c r="C4728" s="204"/>
      <c r="D4728" s="204"/>
      <c r="E4728" s="204"/>
      <c r="F4728" s="204"/>
      <c r="G4728" s="204"/>
      <c r="H4728" s="204"/>
      <c r="I4728" s="204"/>
      <c r="J4728" s="204"/>
      <c r="K4728" s="204"/>
      <c r="L4728" s="205"/>
      <c r="M4728" s="205"/>
      <c r="N4728" s="204"/>
      <c r="O4728" s="204"/>
      <c r="P4728" s="206"/>
      <c r="Q4728" s="206"/>
      <c r="R4728" s="206"/>
      <c r="S4728" s="206"/>
      <c r="T4728" s="204"/>
      <c r="U4728" s="207"/>
      <c r="V4728" s="204"/>
      <c r="W4728" s="204"/>
      <c r="X4728" s="207"/>
      <c r="Y4728" s="207"/>
      <c r="Z4728" s="204"/>
      <c r="AA4728" s="204"/>
      <c r="AB4728" s="204"/>
      <c r="AC4728" s="204"/>
    </row>
    <row r="4729" spans="1:29">
      <c r="A4729" s="204"/>
      <c r="B4729" s="204"/>
      <c r="C4729" s="204"/>
      <c r="D4729" s="204"/>
      <c r="E4729" s="204"/>
      <c r="F4729" s="204"/>
      <c r="G4729" s="204"/>
      <c r="H4729" s="204"/>
      <c r="I4729" s="204"/>
      <c r="J4729" s="204"/>
      <c r="K4729" s="204"/>
      <c r="L4729" s="205"/>
      <c r="M4729" s="205"/>
      <c r="N4729" s="204"/>
      <c r="O4729" s="204"/>
      <c r="P4729" s="206"/>
      <c r="Q4729" s="206"/>
      <c r="R4729" s="206"/>
      <c r="S4729" s="206"/>
      <c r="T4729" s="204"/>
      <c r="U4729" s="207"/>
      <c r="V4729" s="204"/>
      <c r="W4729" s="204"/>
      <c r="X4729" s="207"/>
      <c r="Y4729" s="207"/>
      <c r="Z4729" s="204"/>
      <c r="AA4729" s="204"/>
      <c r="AB4729" s="204"/>
      <c r="AC4729" s="204"/>
    </row>
    <row r="4730" spans="1:29">
      <c r="A4730" s="204"/>
      <c r="B4730" s="204"/>
      <c r="C4730" s="204"/>
      <c r="D4730" s="204"/>
      <c r="E4730" s="204"/>
      <c r="F4730" s="204"/>
      <c r="G4730" s="204"/>
      <c r="H4730" s="204"/>
      <c r="I4730" s="204"/>
      <c r="J4730" s="204"/>
      <c r="K4730" s="204"/>
      <c r="L4730" s="205"/>
      <c r="M4730" s="205"/>
      <c r="N4730" s="204"/>
      <c r="O4730" s="204"/>
      <c r="P4730" s="206"/>
      <c r="Q4730" s="206"/>
      <c r="R4730" s="206"/>
      <c r="S4730" s="206"/>
      <c r="T4730" s="204"/>
      <c r="U4730" s="207"/>
      <c r="V4730" s="204"/>
      <c r="W4730" s="204"/>
      <c r="X4730" s="207"/>
      <c r="Y4730" s="207"/>
      <c r="Z4730" s="204"/>
      <c r="AA4730" s="204"/>
      <c r="AB4730" s="204"/>
      <c r="AC4730" s="204"/>
    </row>
    <row r="4731" spans="1:29">
      <c r="A4731" s="204"/>
      <c r="B4731" s="204"/>
      <c r="C4731" s="204"/>
      <c r="D4731" s="204"/>
      <c r="E4731" s="204"/>
      <c r="F4731" s="204"/>
      <c r="G4731" s="204"/>
      <c r="H4731" s="204"/>
      <c r="I4731" s="204"/>
      <c r="J4731" s="204"/>
      <c r="K4731" s="204"/>
      <c r="L4731" s="205"/>
      <c r="M4731" s="205"/>
      <c r="N4731" s="204"/>
      <c r="O4731" s="204"/>
      <c r="P4731" s="206"/>
      <c r="Q4731" s="206"/>
      <c r="R4731" s="206"/>
      <c r="S4731" s="206"/>
      <c r="T4731" s="204"/>
      <c r="U4731" s="207"/>
      <c r="V4731" s="204"/>
      <c r="W4731" s="204"/>
      <c r="X4731" s="207"/>
      <c r="Y4731" s="207"/>
      <c r="Z4731" s="204"/>
      <c r="AA4731" s="204"/>
      <c r="AB4731" s="204"/>
      <c r="AC4731" s="204"/>
    </row>
    <row r="4732" spans="1:29">
      <c r="A4732" s="204"/>
      <c r="B4732" s="204"/>
      <c r="C4732" s="204"/>
      <c r="D4732" s="204"/>
      <c r="E4732" s="204"/>
      <c r="F4732" s="204"/>
      <c r="G4732" s="204"/>
      <c r="H4732" s="204"/>
      <c r="I4732" s="204"/>
      <c r="J4732" s="204"/>
      <c r="K4732" s="204"/>
      <c r="L4732" s="205"/>
      <c r="M4732" s="205"/>
      <c r="N4732" s="204"/>
      <c r="O4732" s="204"/>
      <c r="P4732" s="206"/>
      <c r="Q4732" s="206"/>
      <c r="R4732" s="206"/>
      <c r="S4732" s="206"/>
      <c r="T4732" s="204"/>
      <c r="U4732" s="207"/>
      <c r="V4732" s="204"/>
      <c r="W4732" s="204"/>
      <c r="X4732" s="207"/>
      <c r="Y4732" s="207"/>
      <c r="Z4732" s="204"/>
      <c r="AA4732" s="204"/>
      <c r="AB4732" s="204"/>
      <c r="AC4732" s="204"/>
    </row>
    <row r="4733" spans="1:29">
      <c r="A4733" s="204"/>
      <c r="B4733" s="204"/>
      <c r="C4733" s="204"/>
      <c r="D4733" s="204"/>
      <c r="E4733" s="204"/>
      <c r="F4733" s="204"/>
      <c r="G4733" s="204"/>
      <c r="H4733" s="204"/>
      <c r="I4733" s="204"/>
      <c r="J4733" s="204"/>
      <c r="K4733" s="204"/>
      <c r="L4733" s="205"/>
      <c r="M4733" s="205"/>
      <c r="N4733" s="204"/>
      <c r="O4733" s="204"/>
      <c r="P4733" s="206"/>
      <c r="Q4733" s="206"/>
      <c r="R4733" s="206"/>
      <c r="S4733" s="206"/>
      <c r="T4733" s="204"/>
      <c r="U4733" s="207"/>
      <c r="V4733" s="204"/>
      <c r="W4733" s="204"/>
      <c r="X4733" s="207"/>
      <c r="Y4733" s="207"/>
      <c r="Z4733" s="204"/>
      <c r="AA4733" s="204"/>
      <c r="AB4733" s="204"/>
      <c r="AC4733" s="204"/>
    </row>
    <row r="4734" spans="1:29">
      <c r="A4734" s="204"/>
      <c r="B4734" s="204"/>
      <c r="C4734" s="204"/>
      <c r="D4734" s="204"/>
      <c r="E4734" s="204"/>
      <c r="F4734" s="204"/>
      <c r="G4734" s="204"/>
      <c r="H4734" s="204"/>
      <c r="I4734" s="204"/>
      <c r="J4734" s="204"/>
      <c r="K4734" s="204"/>
      <c r="L4734" s="205"/>
      <c r="M4734" s="205"/>
      <c r="N4734" s="204"/>
      <c r="O4734" s="204"/>
      <c r="P4734" s="206"/>
      <c r="Q4734" s="206"/>
      <c r="R4734" s="206"/>
      <c r="S4734" s="206"/>
      <c r="T4734" s="204"/>
      <c r="U4734" s="207"/>
      <c r="V4734" s="204"/>
      <c r="W4734" s="204"/>
      <c r="X4734" s="207"/>
      <c r="Y4734" s="207"/>
      <c r="Z4734" s="204"/>
      <c r="AA4734" s="204"/>
      <c r="AB4734" s="204"/>
      <c r="AC4734" s="204"/>
    </row>
    <row r="4735" spans="1:29">
      <c r="A4735" s="204"/>
      <c r="B4735" s="204"/>
      <c r="C4735" s="204"/>
      <c r="D4735" s="204"/>
      <c r="E4735" s="204"/>
      <c r="F4735" s="204"/>
      <c r="G4735" s="204"/>
      <c r="H4735" s="204"/>
      <c r="I4735" s="204"/>
      <c r="J4735" s="204"/>
      <c r="K4735" s="204"/>
      <c r="L4735" s="205"/>
      <c r="M4735" s="205"/>
      <c r="N4735" s="204"/>
      <c r="O4735" s="204"/>
      <c r="P4735" s="206"/>
      <c r="Q4735" s="206"/>
      <c r="R4735" s="206"/>
      <c r="S4735" s="206"/>
      <c r="T4735" s="204"/>
      <c r="U4735" s="207"/>
      <c r="V4735" s="204"/>
      <c r="W4735" s="204"/>
      <c r="X4735" s="207"/>
      <c r="Y4735" s="207"/>
      <c r="Z4735" s="204"/>
      <c r="AA4735" s="204"/>
      <c r="AB4735" s="204"/>
      <c r="AC4735" s="204"/>
    </row>
    <row r="4736" spans="1:29">
      <c r="A4736" s="204"/>
      <c r="B4736" s="204"/>
      <c r="C4736" s="204"/>
      <c r="D4736" s="204"/>
      <c r="E4736" s="204"/>
      <c r="F4736" s="204"/>
      <c r="G4736" s="204"/>
      <c r="H4736" s="204"/>
      <c r="I4736" s="204"/>
      <c r="J4736" s="204"/>
      <c r="K4736" s="204"/>
      <c r="L4736" s="205"/>
      <c r="M4736" s="205"/>
      <c r="N4736" s="204"/>
      <c r="O4736" s="204"/>
      <c r="P4736" s="206"/>
      <c r="Q4736" s="206"/>
      <c r="R4736" s="206"/>
      <c r="S4736" s="206"/>
      <c r="T4736" s="204"/>
      <c r="U4736" s="207"/>
      <c r="V4736" s="204"/>
      <c r="W4736" s="204"/>
      <c r="X4736" s="207"/>
      <c r="Y4736" s="207"/>
      <c r="Z4736" s="204"/>
      <c r="AA4736" s="204"/>
      <c r="AB4736" s="204"/>
      <c r="AC4736" s="204"/>
    </row>
    <row r="4737" spans="1:29">
      <c r="A4737" s="204"/>
      <c r="B4737" s="204"/>
      <c r="C4737" s="204"/>
      <c r="D4737" s="204"/>
      <c r="E4737" s="204"/>
      <c r="F4737" s="204"/>
      <c r="G4737" s="204"/>
      <c r="H4737" s="204"/>
      <c r="I4737" s="204"/>
      <c r="J4737" s="204"/>
      <c r="K4737" s="204"/>
      <c r="L4737" s="205"/>
      <c r="M4737" s="205"/>
      <c r="N4737" s="204"/>
      <c r="O4737" s="204"/>
      <c r="P4737" s="206"/>
      <c r="Q4737" s="206"/>
      <c r="R4737" s="206"/>
      <c r="S4737" s="206"/>
      <c r="T4737" s="204"/>
      <c r="U4737" s="207"/>
      <c r="V4737" s="204"/>
      <c r="W4737" s="204"/>
      <c r="X4737" s="207"/>
      <c r="Y4737" s="207"/>
      <c r="Z4737" s="204"/>
      <c r="AA4737" s="204"/>
      <c r="AB4737" s="204"/>
      <c r="AC4737" s="204"/>
    </row>
    <row r="4738" spans="1:29">
      <c r="A4738" s="204"/>
      <c r="B4738" s="204"/>
      <c r="C4738" s="204"/>
      <c r="D4738" s="204"/>
      <c r="E4738" s="204"/>
      <c r="F4738" s="204"/>
      <c r="G4738" s="204"/>
      <c r="H4738" s="204"/>
      <c r="I4738" s="204"/>
      <c r="J4738" s="204"/>
      <c r="K4738" s="204"/>
      <c r="L4738" s="205"/>
      <c r="M4738" s="205"/>
      <c r="N4738" s="204"/>
      <c r="O4738" s="204"/>
      <c r="P4738" s="206"/>
      <c r="Q4738" s="206"/>
      <c r="R4738" s="206"/>
      <c r="S4738" s="206"/>
      <c r="T4738" s="204"/>
      <c r="U4738" s="207"/>
      <c r="V4738" s="204"/>
      <c r="W4738" s="204"/>
      <c r="X4738" s="207"/>
      <c r="Y4738" s="207"/>
      <c r="Z4738" s="204"/>
      <c r="AA4738" s="204"/>
      <c r="AB4738" s="204"/>
      <c r="AC4738" s="204"/>
    </row>
    <row r="4739" spans="1:29">
      <c r="A4739" s="204"/>
      <c r="B4739" s="204"/>
      <c r="C4739" s="204"/>
      <c r="D4739" s="204"/>
      <c r="E4739" s="204"/>
      <c r="F4739" s="204"/>
      <c r="G4739" s="204"/>
      <c r="H4739" s="204"/>
      <c r="I4739" s="204"/>
      <c r="J4739" s="204"/>
      <c r="K4739" s="204"/>
      <c r="L4739" s="205"/>
      <c r="M4739" s="205"/>
      <c r="N4739" s="204"/>
      <c r="O4739" s="204"/>
      <c r="P4739" s="206"/>
      <c r="Q4739" s="206"/>
      <c r="R4739" s="206"/>
      <c r="S4739" s="206"/>
      <c r="T4739" s="204"/>
      <c r="U4739" s="207"/>
      <c r="V4739" s="204"/>
      <c r="W4739" s="204"/>
      <c r="X4739" s="207"/>
      <c r="Y4739" s="207"/>
      <c r="Z4739" s="204"/>
      <c r="AA4739" s="204"/>
      <c r="AB4739" s="204"/>
      <c r="AC4739" s="204"/>
    </row>
    <row r="4740" spans="1:29">
      <c r="A4740" s="204"/>
      <c r="B4740" s="204"/>
      <c r="C4740" s="204"/>
      <c r="D4740" s="204"/>
      <c r="E4740" s="204"/>
      <c r="F4740" s="204"/>
      <c r="G4740" s="204"/>
      <c r="H4740" s="204"/>
      <c r="I4740" s="204"/>
      <c r="J4740" s="204"/>
      <c r="K4740" s="204"/>
      <c r="L4740" s="205"/>
      <c r="M4740" s="205"/>
      <c r="N4740" s="204"/>
      <c r="O4740" s="204"/>
      <c r="P4740" s="206"/>
      <c r="Q4740" s="206"/>
      <c r="R4740" s="206"/>
      <c r="S4740" s="206"/>
      <c r="T4740" s="204"/>
      <c r="U4740" s="207"/>
      <c r="V4740" s="204"/>
      <c r="W4740" s="204"/>
      <c r="X4740" s="207"/>
      <c r="Y4740" s="207"/>
      <c r="Z4740" s="204"/>
      <c r="AA4740" s="204"/>
      <c r="AB4740" s="204"/>
      <c r="AC4740" s="204"/>
    </row>
    <row r="4741" spans="1:29">
      <c r="A4741" s="204"/>
      <c r="B4741" s="204"/>
      <c r="C4741" s="204"/>
      <c r="D4741" s="204"/>
      <c r="E4741" s="204"/>
      <c r="F4741" s="204"/>
      <c r="G4741" s="204"/>
      <c r="H4741" s="204"/>
      <c r="I4741" s="204"/>
      <c r="J4741" s="204"/>
      <c r="K4741" s="204"/>
      <c r="L4741" s="205"/>
      <c r="M4741" s="205"/>
      <c r="N4741" s="204"/>
      <c r="O4741" s="204"/>
      <c r="P4741" s="206"/>
      <c r="Q4741" s="206"/>
      <c r="R4741" s="206"/>
      <c r="S4741" s="206"/>
      <c r="T4741" s="204"/>
      <c r="U4741" s="207"/>
      <c r="V4741" s="204"/>
      <c r="W4741" s="204"/>
      <c r="X4741" s="207"/>
      <c r="Y4741" s="207"/>
      <c r="Z4741" s="204"/>
      <c r="AA4741" s="204"/>
      <c r="AB4741" s="204"/>
      <c r="AC4741" s="204"/>
    </row>
    <row r="4742" spans="1:29">
      <c r="A4742" s="204"/>
      <c r="B4742" s="204"/>
      <c r="C4742" s="204"/>
      <c r="D4742" s="204"/>
      <c r="E4742" s="204"/>
      <c r="F4742" s="204"/>
      <c r="G4742" s="204"/>
      <c r="H4742" s="204"/>
      <c r="I4742" s="204"/>
      <c r="J4742" s="204"/>
      <c r="K4742" s="204"/>
      <c r="L4742" s="205"/>
      <c r="M4742" s="205"/>
      <c r="N4742" s="204"/>
      <c r="O4742" s="204"/>
      <c r="P4742" s="206"/>
      <c r="Q4742" s="206"/>
      <c r="R4742" s="206"/>
      <c r="S4742" s="206"/>
      <c r="T4742" s="204"/>
      <c r="U4742" s="207"/>
      <c r="V4742" s="204"/>
      <c r="W4742" s="204"/>
      <c r="X4742" s="207"/>
      <c r="Y4742" s="207"/>
      <c r="Z4742" s="204"/>
      <c r="AA4742" s="204"/>
      <c r="AB4742" s="204"/>
      <c r="AC4742" s="204"/>
    </row>
    <row r="4743" spans="1:29">
      <c r="A4743" s="204"/>
      <c r="B4743" s="204"/>
      <c r="C4743" s="204"/>
      <c r="D4743" s="204"/>
      <c r="E4743" s="204"/>
      <c r="F4743" s="204"/>
      <c r="G4743" s="204"/>
      <c r="H4743" s="204"/>
      <c r="I4743" s="204"/>
      <c r="J4743" s="204"/>
      <c r="K4743" s="204"/>
      <c r="L4743" s="205"/>
      <c r="M4743" s="205"/>
      <c r="N4743" s="204"/>
      <c r="O4743" s="204"/>
      <c r="P4743" s="206"/>
      <c r="Q4743" s="206"/>
      <c r="R4743" s="206"/>
      <c r="S4743" s="206"/>
      <c r="T4743" s="204"/>
      <c r="U4743" s="207"/>
      <c r="V4743" s="204"/>
      <c r="W4743" s="204"/>
      <c r="X4743" s="207"/>
      <c r="Y4743" s="207"/>
      <c r="Z4743" s="204"/>
      <c r="AA4743" s="204"/>
      <c r="AB4743" s="204"/>
      <c r="AC4743" s="204"/>
    </row>
    <row r="4744" spans="1:29">
      <c r="A4744" s="204"/>
      <c r="B4744" s="204"/>
      <c r="C4744" s="204"/>
      <c r="D4744" s="204"/>
      <c r="E4744" s="204"/>
      <c r="F4744" s="204"/>
      <c r="G4744" s="204"/>
      <c r="H4744" s="204"/>
      <c r="I4744" s="204"/>
      <c r="J4744" s="204"/>
      <c r="K4744" s="204"/>
      <c r="L4744" s="205"/>
      <c r="M4744" s="205"/>
      <c r="N4744" s="204"/>
      <c r="O4744" s="204"/>
      <c r="P4744" s="206"/>
      <c r="Q4744" s="206"/>
      <c r="R4744" s="206"/>
      <c r="S4744" s="206"/>
      <c r="T4744" s="204"/>
      <c r="U4744" s="207"/>
      <c r="V4744" s="204"/>
      <c r="W4744" s="204"/>
      <c r="X4744" s="207"/>
      <c r="Y4744" s="207"/>
      <c r="Z4744" s="204"/>
      <c r="AA4744" s="204"/>
      <c r="AB4744" s="204"/>
      <c r="AC4744" s="204"/>
    </row>
    <row r="4745" spans="1:29">
      <c r="A4745" s="204"/>
      <c r="B4745" s="204"/>
      <c r="C4745" s="204"/>
      <c r="D4745" s="204"/>
      <c r="E4745" s="204"/>
      <c r="F4745" s="204"/>
      <c r="G4745" s="204"/>
      <c r="H4745" s="204"/>
      <c r="I4745" s="204"/>
      <c r="J4745" s="204"/>
      <c r="K4745" s="204"/>
      <c r="L4745" s="205"/>
      <c r="M4745" s="205"/>
      <c r="N4745" s="204"/>
      <c r="O4745" s="204"/>
      <c r="P4745" s="206"/>
      <c r="Q4745" s="206"/>
      <c r="R4745" s="206"/>
      <c r="S4745" s="206"/>
      <c r="T4745" s="204"/>
      <c r="U4745" s="207"/>
      <c r="V4745" s="204"/>
      <c r="W4745" s="204"/>
      <c r="X4745" s="207"/>
      <c r="Y4745" s="207"/>
      <c r="Z4745" s="204"/>
      <c r="AA4745" s="204"/>
      <c r="AB4745" s="204"/>
      <c r="AC4745" s="204"/>
    </row>
    <row r="4746" spans="1:29">
      <c r="A4746" s="204"/>
      <c r="B4746" s="204"/>
      <c r="C4746" s="204"/>
      <c r="D4746" s="204"/>
      <c r="E4746" s="204"/>
      <c r="F4746" s="204"/>
      <c r="G4746" s="204"/>
      <c r="H4746" s="204"/>
      <c r="I4746" s="204"/>
      <c r="J4746" s="204"/>
      <c r="K4746" s="204"/>
      <c r="L4746" s="205"/>
      <c r="M4746" s="205"/>
      <c r="N4746" s="204"/>
      <c r="O4746" s="204"/>
      <c r="P4746" s="206"/>
      <c r="Q4746" s="206"/>
      <c r="R4746" s="206"/>
      <c r="S4746" s="206"/>
      <c r="T4746" s="204"/>
      <c r="U4746" s="207"/>
      <c r="V4746" s="204"/>
      <c r="W4746" s="204"/>
      <c r="X4746" s="207"/>
      <c r="Y4746" s="207"/>
      <c r="Z4746" s="204"/>
      <c r="AA4746" s="204"/>
      <c r="AB4746" s="204"/>
      <c r="AC4746" s="204"/>
    </row>
    <row r="4747" spans="1:29">
      <c r="A4747" s="204"/>
      <c r="B4747" s="204"/>
      <c r="C4747" s="204"/>
      <c r="D4747" s="204"/>
      <c r="E4747" s="204"/>
      <c r="F4747" s="204"/>
      <c r="G4747" s="204"/>
      <c r="H4747" s="204"/>
      <c r="I4747" s="204"/>
      <c r="J4747" s="204"/>
      <c r="K4747" s="204"/>
      <c r="L4747" s="205"/>
      <c r="M4747" s="205"/>
      <c r="N4747" s="204"/>
      <c r="O4747" s="204"/>
      <c r="P4747" s="206"/>
      <c r="Q4747" s="206"/>
      <c r="R4747" s="206"/>
      <c r="S4747" s="206"/>
      <c r="T4747" s="204"/>
      <c r="U4747" s="207"/>
      <c r="V4747" s="204"/>
      <c r="W4747" s="204"/>
      <c r="X4747" s="207"/>
      <c r="Y4747" s="207"/>
      <c r="Z4747" s="204"/>
      <c r="AA4747" s="204"/>
      <c r="AB4747" s="204"/>
      <c r="AC4747" s="204"/>
    </row>
    <row r="4748" spans="1:29">
      <c r="A4748" s="204"/>
      <c r="B4748" s="204"/>
      <c r="C4748" s="204"/>
      <c r="D4748" s="204"/>
      <c r="E4748" s="204"/>
      <c r="F4748" s="204"/>
      <c r="G4748" s="204"/>
      <c r="H4748" s="204"/>
      <c r="I4748" s="204"/>
      <c r="J4748" s="204"/>
      <c r="K4748" s="204"/>
      <c r="L4748" s="205"/>
      <c r="M4748" s="205"/>
      <c r="N4748" s="204"/>
      <c r="O4748" s="204"/>
      <c r="P4748" s="206"/>
      <c r="Q4748" s="206"/>
      <c r="R4748" s="206"/>
      <c r="S4748" s="206"/>
      <c r="T4748" s="204"/>
      <c r="U4748" s="207"/>
      <c r="V4748" s="204"/>
      <c r="W4748" s="204"/>
      <c r="X4748" s="207"/>
      <c r="Y4748" s="207"/>
      <c r="Z4748" s="204"/>
      <c r="AA4748" s="204"/>
      <c r="AB4748" s="204"/>
      <c r="AC4748" s="204"/>
    </row>
    <row r="4749" spans="1:29">
      <c r="A4749" s="204"/>
      <c r="B4749" s="204"/>
      <c r="C4749" s="204"/>
      <c r="D4749" s="204"/>
      <c r="E4749" s="204"/>
      <c r="F4749" s="204"/>
      <c r="G4749" s="204"/>
      <c r="H4749" s="204"/>
      <c r="I4749" s="204"/>
      <c r="J4749" s="204"/>
      <c r="K4749" s="204"/>
      <c r="L4749" s="205"/>
      <c r="M4749" s="205"/>
      <c r="N4749" s="204"/>
      <c r="O4749" s="204"/>
      <c r="P4749" s="206"/>
      <c r="Q4749" s="206"/>
      <c r="R4749" s="206"/>
      <c r="S4749" s="206"/>
      <c r="T4749" s="204"/>
      <c r="U4749" s="207"/>
      <c r="V4749" s="204"/>
      <c r="W4749" s="204"/>
      <c r="X4749" s="207"/>
      <c r="Y4749" s="207"/>
      <c r="Z4749" s="204"/>
      <c r="AA4749" s="204"/>
      <c r="AB4749" s="204"/>
      <c r="AC4749" s="204"/>
    </row>
    <row r="4750" spans="1:29">
      <c r="A4750" s="204"/>
      <c r="B4750" s="204"/>
      <c r="C4750" s="204"/>
      <c r="D4750" s="204"/>
      <c r="E4750" s="204"/>
      <c r="F4750" s="204"/>
      <c r="G4750" s="204"/>
      <c r="H4750" s="204"/>
      <c r="I4750" s="204"/>
      <c r="J4750" s="204"/>
      <c r="K4750" s="204"/>
      <c r="L4750" s="205"/>
      <c r="M4750" s="205"/>
      <c r="N4750" s="204"/>
      <c r="O4750" s="204"/>
      <c r="P4750" s="206"/>
      <c r="Q4750" s="206"/>
      <c r="R4750" s="206"/>
      <c r="S4750" s="206"/>
      <c r="T4750" s="204"/>
      <c r="U4750" s="207"/>
      <c r="V4750" s="204"/>
      <c r="W4750" s="204"/>
      <c r="X4750" s="207"/>
      <c r="Y4750" s="207"/>
      <c r="Z4750" s="204"/>
      <c r="AA4750" s="204"/>
      <c r="AB4750" s="204"/>
      <c r="AC4750" s="204"/>
    </row>
    <row r="4751" spans="1:29">
      <c r="A4751" s="204"/>
      <c r="B4751" s="204"/>
      <c r="C4751" s="204"/>
      <c r="D4751" s="204"/>
      <c r="E4751" s="204"/>
      <c r="F4751" s="204"/>
      <c r="G4751" s="204"/>
      <c r="H4751" s="204"/>
      <c r="I4751" s="204"/>
      <c r="J4751" s="204"/>
      <c r="K4751" s="204"/>
      <c r="L4751" s="205"/>
      <c r="M4751" s="205"/>
      <c r="N4751" s="204"/>
      <c r="O4751" s="204"/>
      <c r="P4751" s="206"/>
      <c r="Q4751" s="206"/>
      <c r="R4751" s="206"/>
      <c r="S4751" s="206"/>
      <c r="T4751" s="204"/>
      <c r="U4751" s="207"/>
      <c r="V4751" s="204"/>
      <c r="W4751" s="204"/>
      <c r="X4751" s="207"/>
      <c r="Y4751" s="207"/>
      <c r="Z4751" s="204"/>
      <c r="AA4751" s="204"/>
      <c r="AB4751" s="204"/>
      <c r="AC4751" s="204"/>
    </row>
    <row r="4752" spans="1:29">
      <c r="A4752" s="204"/>
      <c r="B4752" s="204"/>
      <c r="C4752" s="204"/>
      <c r="D4752" s="204"/>
      <c r="E4752" s="204"/>
      <c r="F4752" s="204"/>
      <c r="G4752" s="204"/>
      <c r="H4752" s="204"/>
      <c r="I4752" s="204"/>
      <c r="J4752" s="204"/>
      <c r="K4752" s="204"/>
      <c r="L4752" s="205"/>
      <c r="M4752" s="205"/>
      <c r="N4752" s="204"/>
      <c r="O4752" s="204"/>
      <c r="P4752" s="206"/>
      <c r="Q4752" s="206"/>
      <c r="R4752" s="206"/>
      <c r="S4752" s="206"/>
      <c r="T4752" s="204"/>
      <c r="U4752" s="207"/>
      <c r="V4752" s="204"/>
      <c r="W4752" s="204"/>
      <c r="X4752" s="207"/>
      <c r="Y4752" s="207"/>
      <c r="Z4752" s="204"/>
      <c r="AA4752" s="204"/>
      <c r="AB4752" s="204"/>
      <c r="AC4752" s="204"/>
    </row>
    <row r="4753" spans="1:29">
      <c r="A4753" s="204"/>
      <c r="B4753" s="204"/>
      <c r="C4753" s="204"/>
      <c r="D4753" s="204"/>
      <c r="E4753" s="204"/>
      <c r="F4753" s="204"/>
      <c r="G4753" s="204"/>
      <c r="H4753" s="204"/>
      <c r="I4753" s="204"/>
      <c r="J4753" s="204"/>
      <c r="K4753" s="204"/>
      <c r="L4753" s="205"/>
      <c r="M4753" s="205"/>
      <c r="N4753" s="204"/>
      <c r="O4753" s="204"/>
      <c r="P4753" s="206"/>
      <c r="Q4753" s="206"/>
      <c r="R4753" s="206"/>
      <c r="S4753" s="206"/>
      <c r="T4753" s="204"/>
      <c r="U4753" s="207"/>
      <c r="V4753" s="204"/>
      <c r="W4753" s="204"/>
      <c r="X4753" s="207"/>
      <c r="Y4753" s="207"/>
      <c r="Z4753" s="204"/>
      <c r="AA4753" s="204"/>
      <c r="AB4753" s="204"/>
      <c r="AC4753" s="204"/>
    </row>
    <row r="4754" spans="1:29">
      <c r="A4754" s="204"/>
      <c r="B4754" s="204"/>
      <c r="C4754" s="204"/>
      <c r="D4754" s="204"/>
      <c r="E4754" s="204"/>
      <c r="F4754" s="204"/>
      <c r="G4754" s="204"/>
      <c r="H4754" s="204"/>
      <c r="I4754" s="204"/>
      <c r="J4754" s="204"/>
      <c r="K4754" s="204"/>
      <c r="L4754" s="205"/>
      <c r="M4754" s="205"/>
      <c r="N4754" s="204"/>
      <c r="O4754" s="204"/>
      <c r="P4754" s="206"/>
      <c r="Q4754" s="206"/>
      <c r="R4754" s="206"/>
      <c r="S4754" s="206"/>
      <c r="T4754" s="204"/>
      <c r="U4754" s="207"/>
      <c r="V4754" s="204"/>
      <c r="W4754" s="204"/>
      <c r="X4754" s="207"/>
      <c r="Y4754" s="207"/>
      <c r="Z4754" s="204"/>
      <c r="AA4754" s="204"/>
      <c r="AB4754" s="204"/>
      <c r="AC4754" s="204"/>
    </row>
    <row r="4755" spans="1:29">
      <c r="A4755" s="204"/>
      <c r="B4755" s="204"/>
      <c r="C4755" s="204"/>
      <c r="D4755" s="204"/>
      <c r="E4755" s="204"/>
      <c r="F4755" s="204"/>
      <c r="G4755" s="204"/>
      <c r="H4755" s="204"/>
      <c r="I4755" s="204"/>
      <c r="J4755" s="204"/>
      <c r="K4755" s="204"/>
      <c r="L4755" s="205"/>
      <c r="M4755" s="205"/>
      <c r="N4755" s="204"/>
      <c r="O4755" s="204"/>
      <c r="P4755" s="206"/>
      <c r="Q4755" s="206"/>
      <c r="R4755" s="206"/>
      <c r="S4755" s="206"/>
      <c r="T4755" s="204"/>
      <c r="U4755" s="207"/>
      <c r="V4755" s="204"/>
      <c r="W4755" s="204"/>
      <c r="X4755" s="207"/>
      <c r="Y4755" s="207"/>
      <c r="Z4755" s="204"/>
      <c r="AA4755" s="204"/>
      <c r="AB4755" s="204"/>
      <c r="AC4755" s="204"/>
    </row>
    <row r="4756" spans="1:29">
      <c r="A4756" s="204"/>
      <c r="B4756" s="204"/>
      <c r="C4756" s="204"/>
      <c r="D4756" s="204"/>
      <c r="E4756" s="204"/>
      <c r="F4756" s="204"/>
      <c r="G4756" s="204"/>
      <c r="H4756" s="204"/>
      <c r="I4756" s="204"/>
      <c r="J4756" s="204"/>
      <c r="K4756" s="204"/>
      <c r="L4756" s="205"/>
      <c r="M4756" s="205"/>
      <c r="N4756" s="204"/>
      <c r="O4756" s="204"/>
      <c r="P4756" s="206"/>
      <c r="Q4756" s="206"/>
      <c r="R4756" s="206"/>
      <c r="S4756" s="206"/>
      <c r="T4756" s="204"/>
      <c r="U4756" s="207"/>
      <c r="V4756" s="204"/>
      <c r="W4756" s="204"/>
      <c r="X4756" s="207"/>
      <c r="Y4756" s="207"/>
      <c r="Z4756" s="204"/>
      <c r="AA4756" s="204"/>
      <c r="AB4756" s="204"/>
      <c r="AC4756" s="204"/>
    </row>
    <row r="4757" spans="1:29">
      <c r="A4757" s="204"/>
      <c r="B4757" s="204"/>
      <c r="C4757" s="204"/>
      <c r="D4757" s="204"/>
      <c r="E4757" s="204"/>
      <c r="F4757" s="204"/>
      <c r="G4757" s="204"/>
      <c r="H4757" s="204"/>
      <c r="I4757" s="204"/>
      <c r="J4757" s="204"/>
      <c r="K4757" s="204"/>
      <c r="L4757" s="205"/>
      <c r="M4757" s="205"/>
      <c r="N4757" s="204"/>
      <c r="O4757" s="204"/>
      <c r="P4757" s="206"/>
      <c r="Q4757" s="206"/>
      <c r="R4757" s="206"/>
      <c r="S4757" s="206"/>
      <c r="T4757" s="204"/>
      <c r="U4757" s="207"/>
      <c r="V4757" s="204"/>
      <c r="W4757" s="204"/>
      <c r="X4757" s="207"/>
      <c r="Y4757" s="207"/>
      <c r="Z4757" s="204"/>
      <c r="AA4757" s="204"/>
      <c r="AB4757" s="204"/>
      <c r="AC4757" s="204"/>
    </row>
    <row r="4758" spans="1:29">
      <c r="A4758" s="204"/>
      <c r="B4758" s="204"/>
      <c r="C4758" s="204"/>
      <c r="D4758" s="204"/>
      <c r="E4758" s="204"/>
      <c r="F4758" s="204"/>
      <c r="G4758" s="204"/>
      <c r="H4758" s="204"/>
      <c r="I4758" s="204"/>
      <c r="J4758" s="204"/>
      <c r="K4758" s="204"/>
      <c r="L4758" s="205"/>
      <c r="M4758" s="205"/>
      <c r="N4758" s="204"/>
      <c r="O4758" s="204"/>
      <c r="P4758" s="206"/>
      <c r="Q4758" s="206"/>
      <c r="R4758" s="206"/>
      <c r="S4758" s="206"/>
      <c r="T4758" s="204"/>
      <c r="U4758" s="207"/>
      <c r="V4758" s="204"/>
      <c r="W4758" s="204"/>
      <c r="X4758" s="207"/>
      <c r="Y4758" s="207"/>
      <c r="Z4758" s="204"/>
      <c r="AA4758" s="204"/>
      <c r="AB4758" s="204"/>
      <c r="AC4758" s="204"/>
    </row>
    <row r="4759" spans="1:29">
      <c r="A4759" s="204"/>
      <c r="B4759" s="204"/>
      <c r="C4759" s="204"/>
      <c r="D4759" s="204"/>
      <c r="E4759" s="204"/>
      <c r="F4759" s="204"/>
      <c r="G4759" s="204"/>
      <c r="H4759" s="204"/>
      <c r="I4759" s="204"/>
      <c r="J4759" s="204"/>
      <c r="K4759" s="204"/>
      <c r="L4759" s="205"/>
      <c r="M4759" s="205"/>
      <c r="N4759" s="204"/>
      <c r="O4759" s="204"/>
      <c r="P4759" s="206"/>
      <c r="Q4759" s="206"/>
      <c r="R4759" s="206"/>
      <c r="S4759" s="206"/>
      <c r="T4759" s="204"/>
      <c r="U4759" s="207"/>
      <c r="V4759" s="204"/>
      <c r="W4759" s="204"/>
      <c r="X4759" s="207"/>
      <c r="Y4759" s="207"/>
      <c r="Z4759" s="204"/>
      <c r="AA4759" s="204"/>
      <c r="AB4759" s="204"/>
      <c r="AC4759" s="204"/>
    </row>
    <row r="4760" spans="1:29">
      <c r="A4760" s="204"/>
      <c r="B4760" s="204"/>
      <c r="C4760" s="204"/>
      <c r="D4760" s="204"/>
      <c r="E4760" s="204"/>
      <c r="F4760" s="204"/>
      <c r="G4760" s="204"/>
      <c r="H4760" s="204"/>
      <c r="I4760" s="204"/>
      <c r="J4760" s="204"/>
      <c r="K4760" s="204"/>
      <c r="L4760" s="205"/>
      <c r="M4760" s="205"/>
      <c r="N4760" s="204"/>
      <c r="O4760" s="204"/>
      <c r="P4760" s="206"/>
      <c r="Q4760" s="206"/>
      <c r="R4760" s="206"/>
      <c r="S4760" s="206"/>
      <c r="T4760" s="204"/>
      <c r="U4760" s="207"/>
      <c r="V4760" s="204"/>
      <c r="W4760" s="204"/>
      <c r="X4760" s="207"/>
      <c r="Y4760" s="207"/>
      <c r="Z4760" s="204"/>
      <c r="AA4760" s="204"/>
      <c r="AB4760" s="204"/>
      <c r="AC4760" s="204"/>
    </row>
    <row r="4761" spans="1:29">
      <c r="A4761" s="204"/>
      <c r="B4761" s="204"/>
      <c r="C4761" s="204"/>
      <c r="D4761" s="204"/>
      <c r="E4761" s="204"/>
      <c r="F4761" s="204"/>
      <c r="G4761" s="204"/>
      <c r="H4761" s="204"/>
      <c r="I4761" s="204"/>
      <c r="J4761" s="204"/>
      <c r="K4761" s="204"/>
      <c r="L4761" s="205"/>
      <c r="M4761" s="205"/>
      <c r="N4761" s="204"/>
      <c r="O4761" s="204"/>
      <c r="P4761" s="206"/>
      <c r="Q4761" s="206"/>
      <c r="R4761" s="206"/>
      <c r="S4761" s="206"/>
      <c r="T4761" s="204"/>
      <c r="U4761" s="207"/>
      <c r="V4761" s="204"/>
      <c r="W4761" s="204"/>
      <c r="X4761" s="207"/>
      <c r="Y4761" s="207"/>
      <c r="Z4761" s="204"/>
      <c r="AA4761" s="204"/>
      <c r="AB4761" s="204"/>
      <c r="AC4761" s="204"/>
    </row>
    <row r="4762" spans="1:29">
      <c r="A4762" s="204"/>
      <c r="B4762" s="204"/>
      <c r="C4762" s="204"/>
      <c r="D4762" s="204"/>
      <c r="E4762" s="204"/>
      <c r="F4762" s="204"/>
      <c r="G4762" s="204"/>
      <c r="H4762" s="204"/>
      <c r="I4762" s="204"/>
      <c r="J4762" s="204"/>
      <c r="K4762" s="204"/>
      <c r="L4762" s="205"/>
      <c r="M4762" s="205"/>
      <c r="N4762" s="204"/>
      <c r="O4762" s="204"/>
      <c r="P4762" s="206"/>
      <c r="Q4762" s="206"/>
      <c r="R4762" s="206"/>
      <c r="S4762" s="206"/>
      <c r="T4762" s="204"/>
      <c r="U4762" s="207"/>
      <c r="V4762" s="204"/>
      <c r="W4762" s="204"/>
      <c r="X4762" s="207"/>
      <c r="Y4762" s="207"/>
      <c r="Z4762" s="204"/>
      <c r="AA4762" s="204"/>
      <c r="AB4762" s="204"/>
      <c r="AC4762" s="204"/>
    </row>
    <row r="4763" spans="1:29">
      <c r="A4763" s="204"/>
      <c r="B4763" s="204"/>
      <c r="C4763" s="204"/>
      <c r="D4763" s="204"/>
      <c r="E4763" s="204"/>
      <c r="F4763" s="204"/>
      <c r="G4763" s="204"/>
      <c r="H4763" s="204"/>
      <c r="I4763" s="204"/>
      <c r="J4763" s="204"/>
      <c r="K4763" s="204"/>
      <c r="L4763" s="205"/>
      <c r="M4763" s="205"/>
      <c r="N4763" s="204"/>
      <c r="O4763" s="204"/>
      <c r="P4763" s="206"/>
      <c r="Q4763" s="206"/>
      <c r="R4763" s="206"/>
      <c r="S4763" s="206"/>
      <c r="T4763" s="204"/>
      <c r="U4763" s="207"/>
      <c r="V4763" s="204"/>
      <c r="W4763" s="204"/>
      <c r="X4763" s="207"/>
      <c r="Y4763" s="207"/>
      <c r="Z4763" s="204"/>
      <c r="AA4763" s="204"/>
      <c r="AB4763" s="204"/>
      <c r="AC4763" s="204"/>
    </row>
    <row r="4764" spans="1:29">
      <c r="A4764" s="204"/>
      <c r="B4764" s="204"/>
      <c r="C4764" s="204"/>
      <c r="D4764" s="204"/>
      <c r="E4764" s="204"/>
      <c r="F4764" s="204"/>
      <c r="G4764" s="204"/>
      <c r="H4764" s="204"/>
      <c r="I4764" s="204"/>
      <c r="J4764" s="204"/>
      <c r="K4764" s="204"/>
      <c r="L4764" s="205"/>
      <c r="M4764" s="205"/>
      <c r="N4764" s="204"/>
      <c r="O4764" s="204"/>
      <c r="P4764" s="206"/>
      <c r="Q4764" s="206"/>
      <c r="R4764" s="206"/>
      <c r="S4764" s="206"/>
      <c r="T4764" s="204"/>
      <c r="U4764" s="207"/>
      <c r="V4764" s="204"/>
      <c r="W4764" s="204"/>
      <c r="X4764" s="207"/>
      <c r="Y4764" s="207"/>
      <c r="Z4764" s="204"/>
      <c r="AA4764" s="204"/>
      <c r="AB4764" s="204"/>
      <c r="AC4764" s="204"/>
    </row>
    <row r="4765" spans="1:29">
      <c r="A4765" s="204"/>
      <c r="B4765" s="204"/>
      <c r="C4765" s="204"/>
      <c r="D4765" s="204"/>
      <c r="E4765" s="204"/>
      <c r="F4765" s="204"/>
      <c r="G4765" s="204"/>
      <c r="H4765" s="204"/>
      <c r="I4765" s="204"/>
      <c r="J4765" s="204"/>
      <c r="K4765" s="204"/>
      <c r="L4765" s="205"/>
      <c r="M4765" s="205"/>
      <c r="N4765" s="204"/>
      <c r="O4765" s="204"/>
      <c r="P4765" s="206"/>
      <c r="Q4765" s="206"/>
      <c r="R4765" s="206"/>
      <c r="S4765" s="206"/>
      <c r="T4765" s="204"/>
      <c r="U4765" s="207"/>
      <c r="V4765" s="204"/>
      <c r="W4765" s="204"/>
      <c r="X4765" s="207"/>
      <c r="Y4765" s="207"/>
      <c r="Z4765" s="204"/>
      <c r="AA4765" s="204"/>
      <c r="AB4765" s="204"/>
      <c r="AC4765" s="204"/>
    </row>
    <row r="4766" spans="1:29">
      <c r="A4766" s="204"/>
      <c r="B4766" s="204"/>
      <c r="C4766" s="204"/>
      <c r="D4766" s="204"/>
      <c r="E4766" s="204"/>
      <c r="F4766" s="204"/>
      <c r="G4766" s="204"/>
      <c r="H4766" s="204"/>
      <c r="I4766" s="204"/>
      <c r="J4766" s="204"/>
      <c r="K4766" s="204"/>
      <c r="L4766" s="205"/>
      <c r="M4766" s="205"/>
      <c r="N4766" s="204"/>
      <c r="O4766" s="204"/>
      <c r="P4766" s="206"/>
      <c r="Q4766" s="206"/>
      <c r="R4766" s="206"/>
      <c r="S4766" s="206"/>
      <c r="T4766" s="204"/>
      <c r="U4766" s="207"/>
      <c r="V4766" s="204"/>
      <c r="W4766" s="204"/>
      <c r="X4766" s="207"/>
      <c r="Y4766" s="207"/>
      <c r="Z4766" s="204"/>
      <c r="AA4766" s="204"/>
      <c r="AB4766" s="204"/>
      <c r="AC4766" s="204"/>
    </row>
    <row r="4767" spans="1:29">
      <c r="A4767" s="204"/>
      <c r="B4767" s="204"/>
      <c r="C4767" s="204"/>
      <c r="D4767" s="204"/>
      <c r="E4767" s="204"/>
      <c r="F4767" s="204"/>
      <c r="G4767" s="204"/>
      <c r="H4767" s="204"/>
      <c r="I4767" s="204"/>
      <c r="J4767" s="204"/>
      <c r="K4767" s="204"/>
      <c r="L4767" s="205"/>
      <c r="M4767" s="205"/>
      <c r="N4767" s="204"/>
      <c r="O4767" s="204"/>
      <c r="P4767" s="206"/>
      <c r="Q4767" s="206"/>
      <c r="R4767" s="206"/>
      <c r="S4767" s="206"/>
      <c r="T4767" s="204"/>
      <c r="U4767" s="207"/>
      <c r="V4767" s="204"/>
      <c r="W4767" s="204"/>
      <c r="X4767" s="207"/>
      <c r="Y4767" s="207"/>
      <c r="Z4767" s="204"/>
      <c r="AA4767" s="204"/>
      <c r="AB4767" s="204"/>
      <c r="AC4767" s="204"/>
    </row>
    <row r="4768" spans="1:29">
      <c r="A4768" s="204"/>
      <c r="B4768" s="204"/>
      <c r="C4768" s="204"/>
      <c r="D4768" s="204"/>
      <c r="E4768" s="204"/>
      <c r="F4768" s="204"/>
      <c r="G4768" s="204"/>
      <c r="H4768" s="204"/>
      <c r="I4768" s="204"/>
      <c r="J4768" s="204"/>
      <c r="K4768" s="204"/>
      <c r="L4768" s="205"/>
      <c r="M4768" s="205"/>
      <c r="N4768" s="204"/>
      <c r="O4768" s="204"/>
      <c r="P4768" s="206"/>
      <c r="Q4768" s="206"/>
      <c r="R4768" s="206"/>
      <c r="S4768" s="206"/>
      <c r="T4768" s="204"/>
      <c r="U4768" s="207"/>
      <c r="V4768" s="204"/>
      <c r="W4768" s="204"/>
      <c r="X4768" s="207"/>
      <c r="Y4768" s="207"/>
      <c r="Z4768" s="204"/>
      <c r="AA4768" s="204"/>
      <c r="AB4768" s="204"/>
      <c r="AC4768" s="204"/>
    </row>
    <row r="4769" spans="1:29">
      <c r="A4769" s="204"/>
      <c r="B4769" s="204"/>
      <c r="C4769" s="204"/>
      <c r="D4769" s="204"/>
      <c r="E4769" s="204"/>
      <c r="F4769" s="204"/>
      <c r="G4769" s="204"/>
      <c r="H4769" s="204"/>
      <c r="I4769" s="204"/>
      <c r="J4769" s="204"/>
      <c r="K4769" s="204"/>
      <c r="L4769" s="205"/>
      <c r="M4769" s="205"/>
      <c r="N4769" s="204"/>
      <c r="O4769" s="204"/>
      <c r="P4769" s="206"/>
      <c r="Q4769" s="206"/>
      <c r="R4769" s="206"/>
      <c r="S4769" s="206"/>
      <c r="T4769" s="204"/>
      <c r="U4769" s="207"/>
      <c r="V4769" s="204"/>
      <c r="W4769" s="204"/>
      <c r="X4769" s="207"/>
      <c r="Y4769" s="207"/>
      <c r="Z4769" s="204"/>
      <c r="AA4769" s="204"/>
      <c r="AB4769" s="204"/>
      <c r="AC4769" s="204"/>
    </row>
    <row r="4770" spans="1:29">
      <c r="A4770" s="204"/>
      <c r="B4770" s="204"/>
      <c r="C4770" s="204"/>
      <c r="D4770" s="204"/>
      <c r="E4770" s="204"/>
      <c r="F4770" s="204"/>
      <c r="G4770" s="204"/>
      <c r="H4770" s="204"/>
      <c r="I4770" s="204"/>
      <c r="J4770" s="204"/>
      <c r="K4770" s="204"/>
      <c r="L4770" s="205"/>
      <c r="M4770" s="205"/>
      <c r="N4770" s="204"/>
      <c r="O4770" s="204"/>
      <c r="P4770" s="206"/>
      <c r="Q4770" s="206"/>
      <c r="R4770" s="206"/>
      <c r="S4770" s="206"/>
      <c r="T4770" s="204"/>
      <c r="U4770" s="207"/>
      <c r="V4770" s="204"/>
      <c r="W4770" s="204"/>
      <c r="X4770" s="207"/>
      <c r="Y4770" s="207"/>
      <c r="Z4770" s="204"/>
      <c r="AA4770" s="204"/>
      <c r="AB4770" s="204"/>
      <c r="AC4770" s="204"/>
    </row>
    <row r="4771" spans="1:29">
      <c r="A4771" s="204"/>
      <c r="B4771" s="204"/>
      <c r="C4771" s="204"/>
      <c r="D4771" s="204"/>
      <c r="E4771" s="204"/>
      <c r="F4771" s="204"/>
      <c r="G4771" s="204"/>
      <c r="H4771" s="204"/>
      <c r="I4771" s="204"/>
      <c r="J4771" s="204"/>
      <c r="K4771" s="204"/>
      <c r="L4771" s="205"/>
      <c r="M4771" s="205"/>
      <c r="N4771" s="204"/>
      <c r="O4771" s="204"/>
      <c r="P4771" s="206"/>
      <c r="Q4771" s="206"/>
      <c r="R4771" s="206"/>
      <c r="S4771" s="206"/>
      <c r="T4771" s="204"/>
      <c r="U4771" s="207"/>
      <c r="V4771" s="204"/>
      <c r="W4771" s="204"/>
      <c r="X4771" s="207"/>
      <c r="Y4771" s="207"/>
      <c r="Z4771" s="204"/>
      <c r="AA4771" s="204"/>
      <c r="AB4771" s="204"/>
      <c r="AC4771" s="204"/>
    </row>
    <row r="4772" spans="1:29">
      <c r="A4772" s="204"/>
      <c r="B4772" s="204"/>
      <c r="C4772" s="204"/>
      <c r="D4772" s="204"/>
      <c r="E4772" s="204"/>
      <c r="F4772" s="204"/>
      <c r="G4772" s="204"/>
      <c r="H4772" s="204"/>
      <c r="I4772" s="204"/>
      <c r="J4772" s="204"/>
      <c r="K4772" s="204"/>
      <c r="L4772" s="205"/>
      <c r="M4772" s="205"/>
      <c r="N4772" s="204"/>
      <c r="O4772" s="204"/>
      <c r="P4772" s="206"/>
      <c r="Q4772" s="206"/>
      <c r="R4772" s="206"/>
      <c r="S4772" s="206"/>
      <c r="T4772" s="204"/>
      <c r="U4772" s="207"/>
      <c r="V4772" s="204"/>
      <c r="W4772" s="204"/>
      <c r="X4772" s="207"/>
      <c r="Y4772" s="207"/>
      <c r="Z4772" s="204"/>
      <c r="AA4772" s="204"/>
      <c r="AB4772" s="204"/>
      <c r="AC4772" s="204"/>
    </row>
    <row r="4773" spans="1:29">
      <c r="A4773" s="204"/>
      <c r="B4773" s="204"/>
      <c r="C4773" s="204"/>
      <c r="D4773" s="204"/>
      <c r="E4773" s="204"/>
      <c r="F4773" s="204"/>
      <c r="G4773" s="204"/>
      <c r="H4773" s="204"/>
      <c r="I4773" s="204"/>
      <c r="J4773" s="204"/>
      <c r="K4773" s="204"/>
      <c r="L4773" s="205"/>
      <c r="M4773" s="205"/>
      <c r="N4773" s="204"/>
      <c r="O4773" s="204"/>
      <c r="P4773" s="206"/>
      <c r="Q4773" s="206"/>
      <c r="R4773" s="206"/>
      <c r="S4773" s="206"/>
      <c r="T4773" s="204"/>
      <c r="U4773" s="207"/>
      <c r="V4773" s="204"/>
      <c r="W4773" s="204"/>
      <c r="X4773" s="207"/>
      <c r="Y4773" s="207"/>
      <c r="Z4773" s="204"/>
      <c r="AA4773" s="204"/>
      <c r="AB4773" s="204"/>
      <c r="AC4773" s="204"/>
    </row>
    <row r="4774" spans="1:29">
      <c r="A4774" s="204"/>
      <c r="B4774" s="204"/>
      <c r="C4774" s="204"/>
      <c r="D4774" s="204"/>
      <c r="E4774" s="204"/>
      <c r="F4774" s="204"/>
      <c r="G4774" s="204"/>
      <c r="H4774" s="204"/>
      <c r="I4774" s="204"/>
      <c r="J4774" s="204"/>
      <c r="K4774" s="204"/>
      <c r="L4774" s="205"/>
      <c r="M4774" s="205"/>
      <c r="N4774" s="204"/>
      <c r="O4774" s="204"/>
      <c r="P4774" s="206"/>
      <c r="Q4774" s="206"/>
      <c r="R4774" s="206"/>
      <c r="S4774" s="206"/>
      <c r="T4774" s="204"/>
      <c r="U4774" s="207"/>
      <c r="V4774" s="204"/>
      <c r="W4774" s="204"/>
      <c r="X4774" s="207"/>
      <c r="Y4774" s="207"/>
      <c r="Z4774" s="204"/>
      <c r="AA4774" s="204"/>
      <c r="AB4774" s="204"/>
      <c r="AC4774" s="204"/>
    </row>
    <row r="4775" spans="1:29">
      <c r="A4775" s="204"/>
      <c r="B4775" s="204"/>
      <c r="C4775" s="204"/>
      <c r="D4775" s="204"/>
      <c r="E4775" s="204"/>
      <c r="F4775" s="204"/>
      <c r="G4775" s="204"/>
      <c r="H4775" s="204"/>
      <c r="I4775" s="204"/>
      <c r="J4775" s="204"/>
      <c r="K4775" s="204"/>
      <c r="L4775" s="205"/>
      <c r="M4775" s="205"/>
      <c r="N4775" s="204"/>
      <c r="O4775" s="204"/>
      <c r="P4775" s="206"/>
      <c r="Q4775" s="206"/>
      <c r="R4775" s="206"/>
      <c r="S4775" s="206"/>
      <c r="T4775" s="204"/>
      <c r="U4775" s="207"/>
      <c r="V4775" s="204"/>
      <c r="W4775" s="204"/>
      <c r="X4775" s="207"/>
      <c r="Y4775" s="207"/>
      <c r="Z4775" s="204"/>
      <c r="AA4775" s="204"/>
      <c r="AB4775" s="204"/>
      <c r="AC4775" s="204"/>
    </row>
    <row r="4776" spans="1:29">
      <c r="A4776" s="204"/>
      <c r="B4776" s="204"/>
      <c r="C4776" s="204"/>
      <c r="D4776" s="204"/>
      <c r="E4776" s="204"/>
      <c r="F4776" s="204"/>
      <c r="G4776" s="204"/>
      <c r="H4776" s="204"/>
      <c r="I4776" s="204"/>
      <c r="J4776" s="204"/>
      <c r="K4776" s="204"/>
      <c r="L4776" s="205"/>
      <c r="M4776" s="205"/>
      <c r="N4776" s="204"/>
      <c r="O4776" s="204"/>
      <c r="P4776" s="206"/>
      <c r="Q4776" s="206"/>
      <c r="R4776" s="206"/>
      <c r="S4776" s="206"/>
      <c r="T4776" s="204"/>
      <c r="U4776" s="207"/>
      <c r="V4776" s="204"/>
      <c r="W4776" s="204"/>
      <c r="X4776" s="207"/>
      <c r="Y4776" s="207"/>
      <c r="Z4776" s="204"/>
      <c r="AA4776" s="204"/>
      <c r="AB4776" s="204"/>
      <c r="AC4776" s="204"/>
    </row>
    <row r="4777" spans="1:29">
      <c r="A4777" s="204"/>
      <c r="B4777" s="204"/>
      <c r="C4777" s="204"/>
      <c r="D4777" s="204"/>
      <c r="E4777" s="204"/>
      <c r="F4777" s="204"/>
      <c r="G4777" s="204"/>
      <c r="H4777" s="204"/>
      <c r="I4777" s="204"/>
      <c r="J4777" s="204"/>
      <c r="K4777" s="204"/>
      <c r="L4777" s="205"/>
      <c r="M4777" s="205"/>
      <c r="N4777" s="204"/>
      <c r="O4777" s="204"/>
      <c r="P4777" s="206"/>
      <c r="Q4777" s="206"/>
      <c r="R4777" s="206"/>
      <c r="S4777" s="206"/>
      <c r="T4777" s="204"/>
      <c r="U4777" s="207"/>
      <c r="V4777" s="204"/>
      <c r="W4777" s="204"/>
      <c r="X4777" s="207"/>
      <c r="Y4777" s="207"/>
      <c r="Z4777" s="204"/>
      <c r="AA4777" s="204"/>
      <c r="AB4777" s="204"/>
      <c r="AC4777" s="204"/>
    </row>
    <row r="4778" spans="1:29">
      <c r="A4778" s="204"/>
      <c r="B4778" s="204"/>
      <c r="C4778" s="204"/>
      <c r="D4778" s="204"/>
      <c r="E4778" s="204"/>
      <c r="F4778" s="204"/>
      <c r="G4778" s="204"/>
      <c r="H4778" s="204"/>
      <c r="I4778" s="204"/>
      <c r="J4778" s="204"/>
      <c r="K4778" s="204"/>
      <c r="L4778" s="205"/>
      <c r="M4778" s="205"/>
      <c r="N4778" s="204"/>
      <c r="O4778" s="204"/>
      <c r="P4778" s="206"/>
      <c r="Q4778" s="206"/>
      <c r="R4778" s="206"/>
      <c r="S4778" s="206"/>
      <c r="T4778" s="204"/>
      <c r="U4778" s="207"/>
      <c r="V4778" s="204"/>
      <c r="W4778" s="204"/>
      <c r="X4778" s="207"/>
      <c r="Y4778" s="207"/>
      <c r="Z4778" s="204"/>
      <c r="AA4778" s="204"/>
      <c r="AB4778" s="204"/>
      <c r="AC4778" s="204"/>
    </row>
    <row r="4779" spans="1:29">
      <c r="A4779" s="204"/>
      <c r="B4779" s="204"/>
      <c r="C4779" s="204"/>
      <c r="D4779" s="204"/>
      <c r="E4779" s="204"/>
      <c r="F4779" s="204"/>
      <c r="G4779" s="204"/>
      <c r="H4779" s="204"/>
      <c r="I4779" s="204"/>
      <c r="J4779" s="204"/>
      <c r="K4779" s="204"/>
      <c r="L4779" s="205"/>
      <c r="M4779" s="205"/>
      <c r="N4779" s="204"/>
      <c r="O4779" s="204"/>
      <c r="P4779" s="206"/>
      <c r="Q4779" s="206"/>
      <c r="R4779" s="206"/>
      <c r="S4779" s="206"/>
      <c r="T4779" s="204"/>
      <c r="U4779" s="207"/>
      <c r="V4779" s="204"/>
      <c r="W4779" s="204"/>
      <c r="X4779" s="207"/>
      <c r="Y4779" s="207"/>
      <c r="Z4779" s="204"/>
      <c r="AA4779" s="204"/>
      <c r="AB4779" s="204"/>
      <c r="AC4779" s="204"/>
    </row>
    <row r="4780" spans="1:29">
      <c r="A4780" s="204"/>
      <c r="B4780" s="204"/>
      <c r="C4780" s="204"/>
      <c r="D4780" s="204"/>
      <c r="E4780" s="204"/>
      <c r="F4780" s="204"/>
      <c r="G4780" s="204"/>
      <c r="H4780" s="204"/>
      <c r="I4780" s="204"/>
      <c r="J4780" s="204"/>
      <c r="K4780" s="204"/>
      <c r="L4780" s="205"/>
      <c r="M4780" s="205"/>
      <c r="N4780" s="204"/>
      <c r="O4780" s="204"/>
      <c r="P4780" s="206"/>
      <c r="Q4780" s="206"/>
      <c r="R4780" s="206"/>
      <c r="S4780" s="206"/>
      <c r="T4780" s="204"/>
      <c r="U4780" s="207"/>
      <c r="V4780" s="204"/>
      <c r="W4780" s="204"/>
      <c r="X4780" s="207"/>
      <c r="Y4780" s="207"/>
      <c r="Z4780" s="204"/>
      <c r="AA4780" s="204"/>
      <c r="AB4780" s="204"/>
      <c r="AC4780" s="204"/>
    </row>
    <row r="4781" spans="1:29">
      <c r="A4781" s="204"/>
      <c r="B4781" s="204"/>
      <c r="C4781" s="204"/>
      <c r="D4781" s="204"/>
      <c r="E4781" s="204"/>
      <c r="F4781" s="204"/>
      <c r="G4781" s="204"/>
      <c r="H4781" s="204"/>
      <c r="I4781" s="204"/>
      <c r="J4781" s="204"/>
      <c r="K4781" s="204"/>
      <c r="L4781" s="205"/>
      <c r="M4781" s="205"/>
      <c r="N4781" s="204"/>
      <c r="O4781" s="204"/>
      <c r="P4781" s="206"/>
      <c r="Q4781" s="206"/>
      <c r="R4781" s="206"/>
      <c r="S4781" s="206"/>
      <c r="T4781" s="204"/>
      <c r="U4781" s="207"/>
      <c r="V4781" s="204"/>
      <c r="W4781" s="204"/>
      <c r="X4781" s="207"/>
      <c r="Y4781" s="207"/>
      <c r="Z4781" s="204"/>
      <c r="AA4781" s="204"/>
      <c r="AB4781" s="204"/>
      <c r="AC4781" s="204"/>
    </row>
    <row r="4782" spans="1:29">
      <c r="A4782" s="204"/>
      <c r="B4782" s="204"/>
      <c r="C4782" s="204"/>
      <c r="D4782" s="204"/>
      <c r="E4782" s="204"/>
      <c r="F4782" s="204"/>
      <c r="G4782" s="204"/>
      <c r="H4782" s="204"/>
      <c r="I4782" s="204"/>
      <c r="J4782" s="204"/>
      <c r="K4782" s="204"/>
      <c r="L4782" s="205"/>
      <c r="M4782" s="205"/>
      <c r="N4782" s="204"/>
      <c r="O4782" s="204"/>
      <c r="P4782" s="206"/>
      <c r="Q4782" s="206"/>
      <c r="R4782" s="206"/>
      <c r="S4782" s="206"/>
      <c r="T4782" s="204"/>
      <c r="U4782" s="207"/>
      <c r="V4782" s="204"/>
      <c r="W4782" s="204"/>
      <c r="X4782" s="207"/>
      <c r="Y4782" s="207"/>
      <c r="Z4782" s="204"/>
      <c r="AA4782" s="204"/>
      <c r="AB4782" s="204"/>
      <c r="AC4782" s="204"/>
    </row>
    <row r="4783" spans="1:29">
      <c r="A4783" s="204"/>
      <c r="B4783" s="204"/>
      <c r="C4783" s="204"/>
      <c r="D4783" s="204"/>
      <c r="E4783" s="204"/>
      <c r="F4783" s="204"/>
      <c r="G4783" s="204"/>
      <c r="H4783" s="204"/>
      <c r="I4783" s="204"/>
      <c r="J4783" s="204"/>
      <c r="K4783" s="204"/>
      <c r="L4783" s="205"/>
      <c r="M4783" s="205"/>
      <c r="N4783" s="204"/>
      <c r="O4783" s="204"/>
      <c r="P4783" s="206"/>
      <c r="Q4783" s="206"/>
      <c r="R4783" s="206"/>
      <c r="S4783" s="206"/>
      <c r="T4783" s="204"/>
      <c r="U4783" s="207"/>
      <c r="V4783" s="204"/>
      <c r="W4783" s="204"/>
      <c r="X4783" s="207"/>
      <c r="Y4783" s="207"/>
      <c r="Z4783" s="204"/>
      <c r="AA4783" s="204"/>
      <c r="AB4783" s="204"/>
      <c r="AC4783" s="204"/>
    </row>
    <row r="4784" spans="1:29">
      <c r="A4784" s="204"/>
      <c r="B4784" s="204"/>
      <c r="C4784" s="204"/>
      <c r="D4784" s="204"/>
      <c r="E4784" s="204"/>
      <c r="F4784" s="204"/>
      <c r="G4784" s="204"/>
      <c r="H4784" s="204"/>
      <c r="I4784" s="204"/>
      <c r="J4784" s="204"/>
      <c r="K4784" s="204"/>
      <c r="L4784" s="205"/>
      <c r="M4784" s="205"/>
      <c r="N4784" s="204"/>
      <c r="O4784" s="204"/>
      <c r="P4784" s="206"/>
      <c r="Q4784" s="206"/>
      <c r="R4784" s="206"/>
      <c r="S4784" s="206"/>
      <c r="T4784" s="204"/>
      <c r="U4784" s="207"/>
      <c r="V4784" s="204"/>
      <c r="W4784" s="204"/>
      <c r="X4784" s="207"/>
      <c r="Y4784" s="207"/>
      <c r="Z4784" s="204"/>
      <c r="AA4784" s="204"/>
      <c r="AB4784" s="204"/>
      <c r="AC4784" s="204"/>
    </row>
    <row r="4785" spans="1:29">
      <c r="A4785" s="204"/>
      <c r="B4785" s="204"/>
      <c r="C4785" s="204"/>
      <c r="D4785" s="204"/>
      <c r="E4785" s="204"/>
      <c r="F4785" s="204"/>
      <c r="G4785" s="204"/>
      <c r="H4785" s="204"/>
      <c r="I4785" s="204"/>
      <c r="J4785" s="204"/>
      <c r="K4785" s="204"/>
      <c r="L4785" s="205"/>
      <c r="M4785" s="205"/>
      <c r="N4785" s="204"/>
      <c r="O4785" s="204"/>
      <c r="P4785" s="206"/>
      <c r="Q4785" s="206"/>
      <c r="R4785" s="206"/>
      <c r="S4785" s="206"/>
      <c r="T4785" s="204"/>
      <c r="U4785" s="207"/>
      <c r="V4785" s="204"/>
      <c r="W4785" s="204"/>
      <c r="X4785" s="207"/>
      <c r="Y4785" s="207"/>
      <c r="Z4785" s="204"/>
      <c r="AA4785" s="204"/>
      <c r="AB4785" s="204"/>
      <c r="AC4785" s="204"/>
    </row>
    <row r="4786" spans="1:29">
      <c r="A4786" s="204"/>
      <c r="B4786" s="204"/>
      <c r="C4786" s="204"/>
      <c r="D4786" s="204"/>
      <c r="E4786" s="204"/>
      <c r="F4786" s="204"/>
      <c r="G4786" s="204"/>
      <c r="H4786" s="204"/>
      <c r="I4786" s="204"/>
      <c r="J4786" s="204"/>
      <c r="K4786" s="204"/>
      <c r="L4786" s="205"/>
      <c r="M4786" s="205"/>
      <c r="N4786" s="204"/>
      <c r="O4786" s="204"/>
      <c r="P4786" s="206"/>
      <c r="Q4786" s="206"/>
      <c r="R4786" s="206"/>
      <c r="S4786" s="206"/>
      <c r="T4786" s="204"/>
      <c r="U4786" s="207"/>
      <c r="V4786" s="204"/>
      <c r="W4786" s="204"/>
      <c r="X4786" s="207"/>
      <c r="Y4786" s="207"/>
      <c r="Z4786" s="204"/>
      <c r="AA4786" s="204"/>
      <c r="AB4786" s="204"/>
      <c r="AC4786" s="204"/>
    </row>
    <row r="4787" spans="1:29">
      <c r="A4787" s="204"/>
      <c r="B4787" s="204"/>
      <c r="C4787" s="204"/>
      <c r="D4787" s="204"/>
      <c r="E4787" s="204"/>
      <c r="F4787" s="204"/>
      <c r="G4787" s="204"/>
      <c r="H4787" s="204"/>
      <c r="I4787" s="204"/>
      <c r="J4787" s="204"/>
      <c r="K4787" s="204"/>
      <c r="L4787" s="205"/>
      <c r="M4787" s="205"/>
      <c r="N4787" s="204"/>
      <c r="O4787" s="204"/>
      <c r="P4787" s="206"/>
      <c r="Q4787" s="206"/>
      <c r="R4787" s="206"/>
      <c r="S4787" s="206"/>
      <c r="T4787" s="204"/>
      <c r="U4787" s="207"/>
      <c r="V4787" s="204"/>
      <c r="W4787" s="204"/>
      <c r="X4787" s="207"/>
      <c r="Y4787" s="207"/>
      <c r="Z4787" s="204"/>
      <c r="AA4787" s="204"/>
      <c r="AB4787" s="204"/>
      <c r="AC4787" s="204"/>
    </row>
    <row r="4788" spans="1:29">
      <c r="A4788" s="204"/>
      <c r="B4788" s="204"/>
      <c r="C4788" s="204"/>
      <c r="D4788" s="204"/>
      <c r="E4788" s="204"/>
      <c r="F4788" s="204"/>
      <c r="G4788" s="204"/>
      <c r="H4788" s="204"/>
      <c r="I4788" s="204"/>
      <c r="J4788" s="204"/>
      <c r="K4788" s="204"/>
      <c r="L4788" s="205"/>
      <c r="M4788" s="205"/>
      <c r="N4788" s="204"/>
      <c r="O4788" s="204"/>
      <c r="P4788" s="206"/>
      <c r="Q4788" s="206"/>
      <c r="R4788" s="206"/>
      <c r="S4788" s="206"/>
      <c r="T4788" s="204"/>
      <c r="U4788" s="207"/>
      <c r="V4788" s="204"/>
      <c r="W4788" s="204"/>
      <c r="X4788" s="207"/>
      <c r="Y4788" s="207"/>
      <c r="Z4788" s="204"/>
      <c r="AA4788" s="204"/>
      <c r="AB4788" s="204"/>
      <c r="AC4788" s="204"/>
    </row>
    <row r="4789" spans="1:29">
      <c r="A4789" s="204"/>
      <c r="B4789" s="204"/>
      <c r="C4789" s="204"/>
      <c r="D4789" s="204"/>
      <c r="E4789" s="204"/>
      <c r="F4789" s="204"/>
      <c r="G4789" s="204"/>
      <c r="H4789" s="204"/>
      <c r="I4789" s="204"/>
      <c r="J4789" s="204"/>
      <c r="K4789" s="204"/>
      <c r="L4789" s="205"/>
      <c r="M4789" s="205"/>
      <c r="N4789" s="204"/>
      <c r="O4789" s="204"/>
      <c r="P4789" s="206"/>
      <c r="Q4789" s="206"/>
      <c r="R4789" s="206"/>
      <c r="S4789" s="206"/>
      <c r="T4789" s="204"/>
      <c r="U4789" s="207"/>
      <c r="V4789" s="204"/>
      <c r="W4789" s="204"/>
      <c r="X4789" s="207"/>
      <c r="Y4789" s="207"/>
      <c r="Z4789" s="204"/>
      <c r="AA4789" s="204"/>
      <c r="AB4789" s="204"/>
      <c r="AC4789" s="204"/>
    </row>
    <row r="4790" spans="1:29">
      <c r="A4790" s="204"/>
      <c r="B4790" s="204"/>
      <c r="C4790" s="204"/>
      <c r="D4790" s="204"/>
      <c r="E4790" s="204"/>
      <c r="F4790" s="204"/>
      <c r="G4790" s="204"/>
      <c r="H4790" s="204"/>
      <c r="I4790" s="204"/>
      <c r="J4790" s="204"/>
      <c r="K4790" s="204"/>
      <c r="L4790" s="205"/>
      <c r="M4790" s="205"/>
      <c r="N4790" s="204"/>
      <c r="O4790" s="204"/>
      <c r="P4790" s="206"/>
      <c r="Q4790" s="206"/>
      <c r="R4790" s="206"/>
      <c r="S4790" s="206"/>
      <c r="T4790" s="204"/>
      <c r="U4790" s="207"/>
      <c r="V4790" s="204"/>
      <c r="W4790" s="204"/>
      <c r="X4790" s="207"/>
      <c r="Y4790" s="207"/>
      <c r="Z4790" s="204"/>
      <c r="AA4790" s="204"/>
      <c r="AB4790" s="204"/>
      <c r="AC4790" s="204"/>
    </row>
    <row r="4791" spans="1:29">
      <c r="A4791" s="204"/>
      <c r="B4791" s="204"/>
      <c r="C4791" s="204"/>
      <c r="D4791" s="204"/>
      <c r="E4791" s="204"/>
      <c r="F4791" s="204"/>
      <c r="G4791" s="204"/>
      <c r="H4791" s="204"/>
      <c r="I4791" s="204"/>
      <c r="J4791" s="204"/>
      <c r="K4791" s="204"/>
      <c r="L4791" s="205"/>
      <c r="M4791" s="205"/>
      <c r="N4791" s="204"/>
      <c r="O4791" s="204"/>
      <c r="P4791" s="206"/>
      <c r="Q4791" s="206"/>
      <c r="R4791" s="206"/>
      <c r="S4791" s="206"/>
      <c r="T4791" s="204"/>
      <c r="U4791" s="207"/>
      <c r="V4791" s="204"/>
      <c r="W4791" s="204"/>
      <c r="X4791" s="207"/>
      <c r="Y4791" s="207"/>
      <c r="Z4791" s="204"/>
      <c r="AA4791" s="204"/>
      <c r="AB4791" s="204"/>
      <c r="AC4791" s="204"/>
    </row>
    <row r="4792" spans="1:29">
      <c r="A4792" s="204"/>
      <c r="B4792" s="204"/>
      <c r="C4792" s="204"/>
      <c r="D4792" s="204"/>
      <c r="E4792" s="204"/>
      <c r="F4792" s="204"/>
      <c r="G4792" s="204"/>
      <c r="H4792" s="204"/>
      <c r="I4792" s="204"/>
      <c r="J4792" s="204"/>
      <c r="K4792" s="204"/>
      <c r="L4792" s="205"/>
      <c r="M4792" s="205"/>
      <c r="N4792" s="204"/>
      <c r="O4792" s="204"/>
      <c r="P4792" s="206"/>
      <c r="Q4792" s="206"/>
      <c r="R4792" s="206"/>
      <c r="S4792" s="206"/>
      <c r="T4792" s="204"/>
      <c r="U4792" s="207"/>
      <c r="V4792" s="204"/>
      <c r="W4792" s="204"/>
      <c r="X4792" s="207"/>
      <c r="Y4792" s="207"/>
      <c r="Z4792" s="204"/>
      <c r="AA4792" s="204"/>
      <c r="AB4792" s="204"/>
      <c r="AC4792" s="204"/>
    </row>
    <row r="4793" spans="1:29">
      <c r="A4793" s="204"/>
      <c r="B4793" s="204"/>
      <c r="C4793" s="204"/>
      <c r="D4793" s="204"/>
      <c r="E4793" s="204"/>
      <c r="F4793" s="204"/>
      <c r="G4793" s="204"/>
      <c r="H4793" s="204"/>
      <c r="I4793" s="204"/>
      <c r="J4793" s="204"/>
      <c r="K4793" s="204"/>
      <c r="L4793" s="205"/>
      <c r="M4793" s="205"/>
      <c r="N4793" s="204"/>
      <c r="O4793" s="204"/>
      <c r="P4793" s="206"/>
      <c r="Q4793" s="206"/>
      <c r="R4793" s="206"/>
      <c r="S4793" s="206"/>
      <c r="T4793" s="204"/>
      <c r="U4793" s="207"/>
      <c r="V4793" s="204"/>
      <c r="W4793" s="204"/>
      <c r="X4793" s="207"/>
      <c r="Y4793" s="207"/>
      <c r="Z4793" s="204"/>
      <c r="AA4793" s="204"/>
      <c r="AB4793" s="204"/>
      <c r="AC4793" s="204"/>
    </row>
    <row r="4794" spans="1:29">
      <c r="A4794" s="204"/>
      <c r="B4794" s="204"/>
      <c r="C4794" s="204"/>
      <c r="D4794" s="204"/>
      <c r="E4794" s="204"/>
      <c r="F4794" s="204"/>
      <c r="G4794" s="204"/>
      <c r="H4794" s="204"/>
      <c r="I4794" s="204"/>
      <c r="J4794" s="204"/>
      <c r="K4794" s="204"/>
      <c r="L4794" s="205"/>
      <c r="M4794" s="205"/>
      <c r="N4794" s="204"/>
      <c r="O4794" s="204"/>
      <c r="P4794" s="206"/>
      <c r="Q4794" s="206"/>
      <c r="R4794" s="206"/>
      <c r="S4794" s="206"/>
      <c r="T4794" s="204"/>
      <c r="U4794" s="207"/>
      <c r="V4794" s="204"/>
      <c r="W4794" s="204"/>
      <c r="X4794" s="207"/>
      <c r="Y4794" s="207"/>
      <c r="Z4794" s="204"/>
      <c r="AA4794" s="204"/>
      <c r="AB4794" s="204"/>
      <c r="AC4794" s="204"/>
    </row>
    <row r="4795" spans="1:29">
      <c r="A4795" s="204"/>
      <c r="B4795" s="204"/>
      <c r="C4795" s="204"/>
      <c r="D4795" s="204"/>
      <c r="E4795" s="204"/>
      <c r="F4795" s="204"/>
      <c r="G4795" s="204"/>
      <c r="H4795" s="204"/>
      <c r="I4795" s="204"/>
      <c r="J4795" s="204"/>
      <c r="K4795" s="204"/>
      <c r="L4795" s="205"/>
      <c r="M4795" s="205"/>
      <c r="N4795" s="204"/>
      <c r="O4795" s="204"/>
      <c r="P4795" s="206"/>
      <c r="Q4795" s="206"/>
      <c r="R4795" s="206"/>
      <c r="S4795" s="206"/>
      <c r="T4795" s="204"/>
      <c r="U4795" s="207"/>
      <c r="V4795" s="204"/>
      <c r="W4795" s="204"/>
      <c r="X4795" s="207"/>
      <c r="Y4795" s="207"/>
      <c r="Z4795" s="204"/>
      <c r="AA4795" s="204"/>
      <c r="AB4795" s="204"/>
      <c r="AC4795" s="204"/>
    </row>
    <row r="4796" spans="1:29">
      <c r="A4796" s="204"/>
      <c r="B4796" s="204"/>
      <c r="C4796" s="204"/>
      <c r="D4796" s="204"/>
      <c r="E4796" s="204"/>
      <c r="F4796" s="204"/>
      <c r="G4796" s="204"/>
      <c r="H4796" s="204"/>
      <c r="I4796" s="204"/>
      <c r="J4796" s="204"/>
      <c r="K4796" s="204"/>
      <c r="L4796" s="205"/>
      <c r="M4796" s="205"/>
      <c r="N4796" s="204"/>
      <c r="O4796" s="204"/>
      <c r="P4796" s="206"/>
      <c r="Q4796" s="206"/>
      <c r="R4796" s="206"/>
      <c r="S4796" s="206"/>
      <c r="T4796" s="204"/>
      <c r="U4796" s="207"/>
      <c r="V4796" s="204"/>
      <c r="W4796" s="204"/>
      <c r="X4796" s="207"/>
      <c r="Y4796" s="207"/>
      <c r="Z4796" s="204"/>
      <c r="AA4796" s="204"/>
      <c r="AB4796" s="204"/>
      <c r="AC4796" s="204"/>
    </row>
    <row r="4797" spans="1:29">
      <c r="A4797" s="204"/>
      <c r="B4797" s="204"/>
      <c r="C4797" s="204"/>
      <c r="D4797" s="204"/>
      <c r="E4797" s="204"/>
      <c r="F4797" s="204"/>
      <c r="G4797" s="204"/>
      <c r="H4797" s="204"/>
      <c r="I4797" s="204"/>
      <c r="J4797" s="204"/>
      <c r="K4797" s="204"/>
      <c r="L4797" s="205"/>
      <c r="M4797" s="205"/>
      <c r="N4797" s="204"/>
      <c r="O4797" s="204"/>
      <c r="P4797" s="206"/>
      <c r="Q4797" s="206"/>
      <c r="R4797" s="206"/>
      <c r="S4797" s="206"/>
      <c r="T4797" s="204"/>
      <c r="U4797" s="207"/>
      <c r="V4797" s="204"/>
      <c r="W4797" s="204"/>
      <c r="X4797" s="207"/>
      <c r="Y4797" s="207"/>
      <c r="Z4797" s="204"/>
      <c r="AA4797" s="204"/>
      <c r="AB4797" s="204"/>
      <c r="AC4797" s="204"/>
    </row>
    <row r="4798" spans="1:29">
      <c r="A4798" s="204"/>
      <c r="B4798" s="204"/>
      <c r="C4798" s="204"/>
      <c r="D4798" s="204"/>
      <c r="E4798" s="204"/>
      <c r="F4798" s="204"/>
      <c r="G4798" s="204"/>
      <c r="H4798" s="204"/>
      <c r="I4798" s="204"/>
      <c r="J4798" s="204"/>
      <c r="K4798" s="204"/>
      <c r="L4798" s="205"/>
      <c r="M4798" s="205"/>
      <c r="N4798" s="204"/>
      <c r="O4798" s="204"/>
      <c r="P4798" s="206"/>
      <c r="Q4798" s="206"/>
      <c r="R4798" s="206"/>
      <c r="S4798" s="206"/>
      <c r="T4798" s="204"/>
      <c r="U4798" s="207"/>
      <c r="V4798" s="204"/>
      <c r="W4798" s="204"/>
      <c r="X4798" s="207"/>
      <c r="Y4798" s="207"/>
      <c r="Z4798" s="204"/>
      <c r="AA4798" s="204"/>
      <c r="AB4798" s="204"/>
      <c r="AC4798" s="204"/>
    </row>
    <row r="4799" spans="1:29">
      <c r="A4799" s="204"/>
      <c r="B4799" s="204"/>
      <c r="C4799" s="204"/>
      <c r="D4799" s="204"/>
      <c r="E4799" s="204"/>
      <c r="F4799" s="204"/>
      <c r="G4799" s="204"/>
      <c r="H4799" s="204"/>
      <c r="I4799" s="204"/>
      <c r="J4799" s="204"/>
      <c r="K4799" s="204"/>
      <c r="L4799" s="205"/>
      <c r="M4799" s="205"/>
      <c r="N4799" s="204"/>
      <c r="O4799" s="204"/>
      <c r="P4799" s="206"/>
      <c r="Q4799" s="206"/>
      <c r="R4799" s="206"/>
      <c r="S4799" s="206"/>
      <c r="T4799" s="204"/>
      <c r="U4799" s="207"/>
      <c r="V4799" s="204"/>
      <c r="W4799" s="204"/>
      <c r="X4799" s="207"/>
      <c r="Y4799" s="207"/>
      <c r="Z4799" s="204"/>
      <c r="AA4799" s="204"/>
      <c r="AB4799" s="204"/>
      <c r="AC4799" s="204"/>
    </row>
    <row r="4800" spans="1:29">
      <c r="A4800" s="204"/>
      <c r="B4800" s="204"/>
      <c r="C4800" s="204"/>
      <c r="D4800" s="204"/>
      <c r="E4800" s="204"/>
      <c r="F4800" s="204"/>
      <c r="G4800" s="204"/>
      <c r="H4800" s="204"/>
      <c r="I4800" s="204"/>
      <c r="J4800" s="204"/>
      <c r="K4800" s="204"/>
      <c r="L4800" s="205"/>
      <c r="M4800" s="205"/>
      <c r="N4800" s="204"/>
      <c r="O4800" s="204"/>
      <c r="P4800" s="206"/>
      <c r="Q4800" s="206"/>
      <c r="R4800" s="206"/>
      <c r="S4800" s="206"/>
      <c r="T4800" s="204"/>
      <c r="U4800" s="207"/>
      <c r="V4800" s="204"/>
      <c r="W4800" s="204"/>
      <c r="X4800" s="207"/>
      <c r="Y4800" s="207"/>
      <c r="Z4800" s="204"/>
      <c r="AA4800" s="204"/>
      <c r="AB4800" s="204"/>
      <c r="AC4800" s="204"/>
    </row>
    <row r="4801" spans="1:29">
      <c r="A4801" s="204"/>
      <c r="B4801" s="204"/>
      <c r="C4801" s="204"/>
      <c r="D4801" s="204"/>
      <c r="E4801" s="204"/>
      <c r="F4801" s="204"/>
      <c r="G4801" s="204"/>
      <c r="H4801" s="204"/>
      <c r="I4801" s="204"/>
      <c r="J4801" s="204"/>
      <c r="K4801" s="204"/>
      <c r="L4801" s="205"/>
      <c r="M4801" s="205"/>
      <c r="N4801" s="204"/>
      <c r="O4801" s="204"/>
      <c r="P4801" s="206"/>
      <c r="Q4801" s="206"/>
      <c r="R4801" s="206"/>
      <c r="S4801" s="206"/>
      <c r="T4801" s="204"/>
      <c r="U4801" s="207"/>
      <c r="V4801" s="204"/>
      <c r="W4801" s="204"/>
      <c r="X4801" s="207"/>
      <c r="Y4801" s="207"/>
      <c r="Z4801" s="204"/>
      <c r="AA4801" s="204"/>
      <c r="AB4801" s="204"/>
      <c r="AC4801" s="204"/>
    </row>
    <row r="4802" spans="1:29">
      <c r="A4802" s="204"/>
      <c r="B4802" s="204"/>
      <c r="C4802" s="204"/>
      <c r="D4802" s="204"/>
      <c r="E4802" s="204"/>
      <c r="F4802" s="204"/>
      <c r="G4802" s="204"/>
      <c r="H4802" s="204"/>
      <c r="I4802" s="204"/>
      <c r="J4802" s="204"/>
      <c r="K4802" s="204"/>
      <c r="L4802" s="205"/>
      <c r="M4802" s="205"/>
      <c r="N4802" s="204"/>
      <c r="O4802" s="204"/>
      <c r="P4802" s="206"/>
      <c r="Q4802" s="206"/>
      <c r="R4802" s="206"/>
      <c r="S4802" s="206"/>
      <c r="T4802" s="204"/>
      <c r="U4802" s="207"/>
      <c r="V4802" s="204"/>
      <c r="W4802" s="204"/>
      <c r="X4802" s="207"/>
      <c r="Y4802" s="207"/>
      <c r="Z4802" s="204"/>
      <c r="AA4802" s="204"/>
      <c r="AB4802" s="204"/>
      <c r="AC4802" s="204"/>
    </row>
    <row r="4803" spans="1:29">
      <c r="A4803" s="204"/>
      <c r="B4803" s="204"/>
      <c r="C4803" s="204"/>
      <c r="D4803" s="204"/>
      <c r="E4803" s="204"/>
      <c r="F4803" s="204"/>
      <c r="G4803" s="204"/>
      <c r="H4803" s="204"/>
      <c r="I4803" s="204"/>
      <c r="J4803" s="204"/>
      <c r="K4803" s="204"/>
      <c r="L4803" s="205"/>
      <c r="M4803" s="205"/>
      <c r="N4803" s="204"/>
      <c r="O4803" s="204"/>
      <c r="P4803" s="206"/>
      <c r="Q4803" s="206"/>
      <c r="R4803" s="206"/>
      <c r="S4803" s="206"/>
      <c r="T4803" s="204"/>
      <c r="U4803" s="207"/>
      <c r="V4803" s="204"/>
      <c r="W4803" s="204"/>
      <c r="X4803" s="207"/>
      <c r="Y4803" s="207"/>
      <c r="Z4803" s="204"/>
      <c r="AA4803" s="204"/>
      <c r="AB4803" s="204"/>
      <c r="AC4803" s="204"/>
    </row>
    <row r="4804" spans="1:29">
      <c r="A4804" s="204"/>
      <c r="B4804" s="204"/>
      <c r="C4804" s="204"/>
      <c r="D4804" s="204"/>
      <c r="E4804" s="204"/>
      <c r="F4804" s="204"/>
      <c r="G4804" s="204"/>
      <c r="H4804" s="204"/>
      <c r="I4804" s="204"/>
      <c r="J4804" s="204"/>
      <c r="K4804" s="204"/>
      <c r="L4804" s="205"/>
      <c r="M4804" s="205"/>
      <c r="N4804" s="204"/>
      <c r="O4804" s="204"/>
      <c r="P4804" s="206"/>
      <c r="Q4804" s="206"/>
      <c r="R4804" s="206"/>
      <c r="S4804" s="206"/>
      <c r="T4804" s="204"/>
      <c r="U4804" s="207"/>
      <c r="V4804" s="204"/>
      <c r="W4804" s="204"/>
      <c r="X4804" s="207"/>
      <c r="Y4804" s="207"/>
      <c r="Z4804" s="204"/>
      <c r="AA4804" s="204"/>
      <c r="AB4804" s="204"/>
      <c r="AC4804" s="204"/>
    </row>
    <row r="4805" spans="1:29">
      <c r="A4805" s="204"/>
      <c r="B4805" s="204"/>
      <c r="C4805" s="204"/>
      <c r="D4805" s="204"/>
      <c r="E4805" s="204"/>
      <c r="F4805" s="204"/>
      <c r="G4805" s="204"/>
      <c r="H4805" s="204"/>
      <c r="I4805" s="204"/>
      <c r="J4805" s="204"/>
      <c r="K4805" s="204"/>
      <c r="L4805" s="205"/>
      <c r="M4805" s="205"/>
      <c r="N4805" s="204"/>
      <c r="O4805" s="204"/>
      <c r="P4805" s="206"/>
      <c r="Q4805" s="206"/>
      <c r="R4805" s="206"/>
      <c r="S4805" s="206"/>
      <c r="T4805" s="204"/>
      <c r="U4805" s="207"/>
      <c r="V4805" s="204"/>
      <c r="W4805" s="204"/>
      <c r="X4805" s="207"/>
      <c r="Y4805" s="207"/>
      <c r="Z4805" s="204"/>
      <c r="AA4805" s="204"/>
      <c r="AB4805" s="204"/>
      <c r="AC4805" s="204"/>
    </row>
    <row r="4806" spans="1:29">
      <c r="A4806" s="204"/>
      <c r="B4806" s="204"/>
      <c r="C4806" s="204"/>
      <c r="D4806" s="204"/>
      <c r="E4806" s="204"/>
      <c r="F4806" s="204"/>
      <c r="G4806" s="204"/>
      <c r="H4806" s="204"/>
      <c r="I4806" s="204"/>
      <c r="J4806" s="204"/>
      <c r="K4806" s="204"/>
      <c r="L4806" s="205"/>
      <c r="M4806" s="205"/>
      <c r="N4806" s="204"/>
      <c r="O4806" s="204"/>
      <c r="P4806" s="206"/>
      <c r="Q4806" s="206"/>
      <c r="R4806" s="206"/>
      <c r="S4806" s="206"/>
      <c r="T4806" s="204"/>
      <c r="U4806" s="207"/>
      <c r="V4806" s="204"/>
      <c r="W4806" s="204"/>
      <c r="X4806" s="207"/>
      <c r="Y4806" s="207"/>
      <c r="Z4806" s="204"/>
      <c r="AA4806" s="204"/>
      <c r="AB4806" s="204"/>
      <c r="AC4806" s="204"/>
    </row>
    <row r="4807" spans="1:29">
      <c r="A4807" s="204"/>
      <c r="B4807" s="204"/>
      <c r="C4807" s="204"/>
      <c r="D4807" s="204"/>
      <c r="E4807" s="204"/>
      <c r="F4807" s="204"/>
      <c r="G4807" s="204"/>
      <c r="H4807" s="204"/>
      <c r="I4807" s="204"/>
      <c r="J4807" s="204"/>
      <c r="K4807" s="204"/>
      <c r="L4807" s="205"/>
      <c r="M4807" s="205"/>
      <c r="N4807" s="204"/>
      <c r="O4807" s="204"/>
      <c r="P4807" s="206"/>
      <c r="Q4807" s="206"/>
      <c r="R4807" s="206"/>
      <c r="S4807" s="206"/>
      <c r="T4807" s="204"/>
      <c r="U4807" s="207"/>
      <c r="V4807" s="204"/>
      <c r="W4807" s="204"/>
      <c r="X4807" s="207"/>
      <c r="Y4807" s="207"/>
      <c r="Z4807" s="204"/>
      <c r="AA4807" s="204"/>
      <c r="AB4807" s="204"/>
      <c r="AC4807" s="204"/>
    </row>
    <row r="4808" spans="1:29">
      <c r="A4808" s="204"/>
      <c r="B4808" s="204"/>
      <c r="C4808" s="204"/>
      <c r="D4808" s="204"/>
      <c r="E4808" s="204"/>
      <c r="F4808" s="204"/>
      <c r="G4808" s="204"/>
      <c r="H4808" s="204"/>
      <c r="I4808" s="204"/>
      <c r="J4808" s="204"/>
      <c r="K4808" s="204"/>
      <c r="L4808" s="205"/>
      <c r="M4808" s="205"/>
      <c r="N4808" s="204"/>
      <c r="O4808" s="204"/>
      <c r="P4808" s="206"/>
      <c r="Q4808" s="206"/>
      <c r="R4808" s="206"/>
      <c r="S4808" s="206"/>
      <c r="T4808" s="204"/>
      <c r="U4808" s="207"/>
      <c r="V4808" s="204"/>
      <c r="W4808" s="204"/>
      <c r="X4808" s="207"/>
      <c r="Y4808" s="207"/>
      <c r="Z4808" s="204"/>
      <c r="AA4808" s="204"/>
      <c r="AB4808" s="204"/>
      <c r="AC4808" s="204"/>
    </row>
    <row r="4809" spans="1:29">
      <c r="A4809" s="204"/>
      <c r="B4809" s="204"/>
      <c r="C4809" s="204"/>
      <c r="D4809" s="204"/>
      <c r="E4809" s="204"/>
      <c r="F4809" s="204"/>
      <c r="G4809" s="204"/>
      <c r="H4809" s="204"/>
      <c r="I4809" s="204"/>
      <c r="J4809" s="204"/>
      <c r="K4809" s="204"/>
      <c r="L4809" s="205"/>
      <c r="M4809" s="205"/>
      <c r="N4809" s="204"/>
      <c r="O4809" s="204"/>
      <c r="P4809" s="206"/>
      <c r="Q4809" s="206"/>
      <c r="R4809" s="206"/>
      <c r="S4809" s="206"/>
      <c r="T4809" s="204"/>
      <c r="U4809" s="207"/>
      <c r="V4809" s="204"/>
      <c r="W4809" s="204"/>
      <c r="X4809" s="207"/>
      <c r="Y4809" s="207"/>
      <c r="Z4809" s="204"/>
      <c r="AA4809" s="204"/>
      <c r="AB4809" s="204"/>
      <c r="AC4809" s="204"/>
    </row>
    <row r="4810" spans="1:29">
      <c r="A4810" s="204"/>
      <c r="B4810" s="204"/>
      <c r="C4810" s="204"/>
      <c r="D4810" s="204"/>
      <c r="E4810" s="204"/>
      <c r="F4810" s="204"/>
      <c r="G4810" s="204"/>
      <c r="H4810" s="204"/>
      <c r="I4810" s="204"/>
      <c r="J4810" s="204"/>
      <c r="K4810" s="204"/>
      <c r="L4810" s="205"/>
      <c r="M4810" s="205"/>
      <c r="N4810" s="204"/>
      <c r="O4810" s="204"/>
      <c r="P4810" s="206"/>
      <c r="Q4810" s="206"/>
      <c r="R4810" s="206"/>
      <c r="S4810" s="206"/>
      <c r="T4810" s="204"/>
      <c r="U4810" s="207"/>
      <c r="V4810" s="204"/>
      <c r="W4810" s="204"/>
      <c r="X4810" s="207"/>
      <c r="Y4810" s="207"/>
      <c r="Z4810" s="204"/>
      <c r="AA4810" s="204"/>
      <c r="AB4810" s="204"/>
      <c r="AC4810" s="204"/>
    </row>
    <row r="4811" spans="1:29">
      <c r="A4811" s="204"/>
      <c r="B4811" s="204"/>
      <c r="C4811" s="204"/>
      <c r="D4811" s="204"/>
      <c r="E4811" s="204"/>
      <c r="F4811" s="204"/>
      <c r="G4811" s="204"/>
      <c r="H4811" s="204"/>
      <c r="I4811" s="204"/>
      <c r="J4811" s="204"/>
      <c r="K4811" s="204"/>
      <c r="L4811" s="205"/>
      <c r="M4811" s="205"/>
      <c r="N4811" s="204"/>
      <c r="O4811" s="204"/>
      <c r="P4811" s="206"/>
      <c r="Q4811" s="206"/>
      <c r="R4811" s="206"/>
      <c r="S4811" s="206"/>
      <c r="T4811" s="204"/>
      <c r="U4811" s="207"/>
      <c r="V4811" s="204"/>
      <c r="W4811" s="204"/>
      <c r="X4811" s="207"/>
      <c r="Y4811" s="207"/>
      <c r="Z4811" s="204"/>
      <c r="AA4811" s="204"/>
      <c r="AB4811" s="204"/>
      <c r="AC4811" s="204"/>
    </row>
    <row r="4812" spans="1:29">
      <c r="A4812" s="204"/>
      <c r="B4812" s="204"/>
      <c r="C4812" s="204"/>
      <c r="D4812" s="204"/>
      <c r="E4812" s="204"/>
      <c r="F4812" s="204"/>
      <c r="G4812" s="204"/>
      <c r="H4812" s="204"/>
      <c r="I4812" s="204"/>
      <c r="J4812" s="204"/>
      <c r="K4812" s="204"/>
      <c r="L4812" s="205"/>
      <c r="M4812" s="205"/>
      <c r="N4812" s="204"/>
      <c r="O4812" s="204"/>
      <c r="P4812" s="206"/>
      <c r="Q4812" s="206"/>
      <c r="R4812" s="206"/>
      <c r="S4812" s="206"/>
      <c r="T4812" s="204"/>
      <c r="U4812" s="207"/>
      <c r="V4812" s="204"/>
      <c r="W4812" s="204"/>
      <c r="X4812" s="207"/>
      <c r="Y4812" s="207"/>
      <c r="Z4812" s="204"/>
      <c r="AA4812" s="204"/>
      <c r="AB4812" s="204"/>
      <c r="AC4812" s="204"/>
    </row>
    <row r="4813" spans="1:29">
      <c r="A4813" s="204"/>
      <c r="B4813" s="204"/>
      <c r="C4813" s="204"/>
      <c r="D4813" s="204"/>
      <c r="E4813" s="204"/>
      <c r="F4813" s="204"/>
      <c r="G4813" s="204"/>
      <c r="H4813" s="204"/>
      <c r="I4813" s="204"/>
      <c r="J4813" s="204"/>
      <c r="K4813" s="204"/>
      <c r="L4813" s="205"/>
      <c r="M4813" s="205"/>
      <c r="N4813" s="204"/>
      <c r="O4813" s="204"/>
      <c r="P4813" s="206"/>
      <c r="Q4813" s="206"/>
      <c r="R4813" s="206"/>
      <c r="S4813" s="206"/>
      <c r="T4813" s="204"/>
      <c r="U4813" s="207"/>
      <c r="V4813" s="204"/>
      <c r="W4813" s="204"/>
      <c r="X4813" s="207"/>
      <c r="Y4813" s="207"/>
      <c r="Z4813" s="204"/>
      <c r="AA4813" s="204"/>
      <c r="AB4813" s="204"/>
      <c r="AC4813" s="204"/>
    </row>
    <row r="4814" spans="1:29">
      <c r="A4814" s="204"/>
      <c r="B4814" s="204"/>
      <c r="C4814" s="204"/>
      <c r="D4814" s="204"/>
      <c r="E4814" s="204"/>
      <c r="F4814" s="204"/>
      <c r="G4814" s="204"/>
      <c r="H4814" s="204"/>
      <c r="I4814" s="204"/>
      <c r="J4814" s="204"/>
      <c r="K4814" s="204"/>
      <c r="L4814" s="205"/>
      <c r="M4814" s="205"/>
      <c r="N4814" s="204"/>
      <c r="O4814" s="204"/>
      <c r="P4814" s="206"/>
      <c r="Q4814" s="206"/>
      <c r="R4814" s="206"/>
      <c r="S4814" s="206"/>
      <c r="T4814" s="204"/>
      <c r="U4814" s="207"/>
      <c r="V4814" s="204"/>
      <c r="W4814" s="204"/>
      <c r="X4814" s="207"/>
      <c r="Y4814" s="207"/>
      <c r="Z4814" s="204"/>
      <c r="AA4814" s="204"/>
      <c r="AB4814" s="204"/>
      <c r="AC4814" s="204"/>
    </row>
    <row r="4815" spans="1:29">
      <c r="A4815" s="204"/>
      <c r="B4815" s="204"/>
      <c r="C4815" s="204"/>
      <c r="D4815" s="204"/>
      <c r="E4815" s="204"/>
      <c r="F4815" s="204"/>
      <c r="G4815" s="204"/>
      <c r="H4815" s="204"/>
      <c r="I4815" s="204"/>
      <c r="J4815" s="204"/>
      <c r="K4815" s="204"/>
      <c r="L4815" s="205"/>
      <c r="M4815" s="205"/>
      <c r="N4815" s="204"/>
      <c r="O4815" s="204"/>
      <c r="P4815" s="206"/>
      <c r="Q4815" s="206"/>
      <c r="R4815" s="206"/>
      <c r="S4815" s="206"/>
      <c r="T4815" s="204"/>
      <c r="U4815" s="207"/>
      <c r="V4815" s="204"/>
      <c r="W4815" s="204"/>
      <c r="X4815" s="207"/>
      <c r="Y4815" s="207"/>
      <c r="Z4815" s="204"/>
      <c r="AA4815" s="204"/>
      <c r="AB4815" s="204"/>
      <c r="AC4815" s="204"/>
    </row>
    <row r="4816" spans="1:29">
      <c r="A4816" s="204"/>
      <c r="B4816" s="204"/>
      <c r="C4816" s="204"/>
      <c r="D4816" s="204"/>
      <c r="E4816" s="204"/>
      <c r="F4816" s="204"/>
      <c r="G4816" s="204"/>
      <c r="H4816" s="204"/>
      <c r="I4816" s="204"/>
      <c r="J4816" s="204"/>
      <c r="K4816" s="204"/>
      <c r="L4816" s="205"/>
      <c r="M4816" s="205"/>
      <c r="N4816" s="204"/>
      <c r="O4816" s="204"/>
      <c r="P4816" s="206"/>
      <c r="Q4816" s="206"/>
      <c r="R4816" s="206"/>
      <c r="S4816" s="206"/>
      <c r="T4816" s="204"/>
      <c r="U4816" s="207"/>
      <c r="V4816" s="204"/>
      <c r="W4816" s="204"/>
      <c r="X4816" s="207"/>
      <c r="Y4816" s="207"/>
      <c r="Z4816" s="204"/>
      <c r="AA4816" s="204"/>
      <c r="AB4816" s="204"/>
      <c r="AC4816" s="204"/>
    </row>
    <row r="4817" spans="1:29">
      <c r="A4817" s="204"/>
      <c r="B4817" s="204"/>
      <c r="C4817" s="204"/>
      <c r="D4817" s="204"/>
      <c r="E4817" s="204"/>
      <c r="F4817" s="204"/>
      <c r="G4817" s="204"/>
      <c r="H4817" s="204"/>
      <c r="I4817" s="204"/>
      <c r="J4817" s="204"/>
      <c r="K4817" s="204"/>
      <c r="L4817" s="205"/>
      <c r="M4817" s="205"/>
      <c r="N4817" s="204"/>
      <c r="O4817" s="204"/>
      <c r="P4817" s="206"/>
      <c r="Q4817" s="206"/>
      <c r="R4817" s="206"/>
      <c r="S4817" s="206"/>
      <c r="T4817" s="204"/>
      <c r="U4817" s="207"/>
      <c r="V4817" s="204"/>
      <c r="W4817" s="204"/>
      <c r="X4817" s="207"/>
      <c r="Y4817" s="207"/>
      <c r="Z4817" s="204"/>
      <c r="AA4817" s="204"/>
      <c r="AB4817" s="204"/>
      <c r="AC4817" s="204"/>
    </row>
    <row r="4818" spans="1:29">
      <c r="A4818" s="204"/>
      <c r="B4818" s="204"/>
      <c r="C4818" s="204"/>
      <c r="D4818" s="204"/>
      <c r="E4818" s="204"/>
      <c r="F4818" s="204"/>
      <c r="G4818" s="204"/>
      <c r="H4818" s="204"/>
      <c r="I4818" s="204"/>
      <c r="J4818" s="204"/>
      <c r="K4818" s="204"/>
      <c r="L4818" s="205"/>
      <c r="M4818" s="205"/>
      <c r="N4818" s="204"/>
      <c r="O4818" s="204"/>
      <c r="P4818" s="206"/>
      <c r="Q4818" s="206"/>
      <c r="R4818" s="206"/>
      <c r="S4818" s="206"/>
      <c r="T4818" s="204"/>
      <c r="U4818" s="207"/>
      <c r="V4818" s="204"/>
      <c r="W4818" s="204"/>
      <c r="X4818" s="207"/>
      <c r="Y4818" s="207"/>
      <c r="Z4818" s="204"/>
      <c r="AA4818" s="204"/>
      <c r="AB4818" s="204"/>
      <c r="AC4818" s="204"/>
    </row>
    <row r="4819" spans="1:29">
      <c r="A4819" s="204"/>
      <c r="B4819" s="204"/>
      <c r="C4819" s="204"/>
      <c r="D4819" s="204"/>
      <c r="E4819" s="204"/>
      <c r="F4819" s="204"/>
      <c r="G4819" s="204"/>
      <c r="H4819" s="204"/>
      <c r="I4819" s="204"/>
      <c r="J4819" s="204"/>
      <c r="K4819" s="204"/>
      <c r="L4819" s="205"/>
      <c r="M4819" s="205"/>
      <c r="N4819" s="204"/>
      <c r="O4819" s="204"/>
      <c r="P4819" s="206"/>
      <c r="Q4819" s="206"/>
      <c r="R4819" s="206"/>
      <c r="S4819" s="206"/>
      <c r="T4819" s="204"/>
      <c r="U4819" s="207"/>
      <c r="V4819" s="204"/>
      <c r="W4819" s="204"/>
      <c r="X4819" s="207"/>
      <c r="Y4819" s="207"/>
      <c r="Z4819" s="204"/>
      <c r="AA4819" s="204"/>
      <c r="AB4819" s="204"/>
      <c r="AC4819" s="204"/>
    </row>
    <row r="4820" spans="1:29">
      <c r="A4820" s="204"/>
      <c r="B4820" s="204"/>
      <c r="C4820" s="204"/>
      <c r="D4820" s="204"/>
      <c r="E4820" s="204"/>
      <c r="F4820" s="204"/>
      <c r="G4820" s="204"/>
      <c r="H4820" s="204"/>
      <c r="I4820" s="204"/>
      <c r="J4820" s="204"/>
      <c r="K4820" s="204"/>
      <c r="L4820" s="205"/>
      <c r="M4820" s="205"/>
      <c r="N4820" s="204"/>
      <c r="O4820" s="204"/>
      <c r="P4820" s="206"/>
      <c r="Q4820" s="206"/>
      <c r="R4820" s="206"/>
      <c r="S4820" s="206"/>
      <c r="T4820" s="204"/>
      <c r="U4820" s="207"/>
      <c r="V4820" s="204"/>
      <c r="W4820" s="204"/>
      <c r="X4820" s="207"/>
      <c r="Y4820" s="207"/>
      <c r="Z4820" s="204"/>
      <c r="AA4820" s="204"/>
      <c r="AB4820" s="204"/>
      <c r="AC4820" s="204"/>
    </row>
    <row r="4821" spans="1:29">
      <c r="A4821" s="204"/>
      <c r="B4821" s="204"/>
      <c r="C4821" s="204"/>
      <c r="D4821" s="204"/>
      <c r="E4821" s="204"/>
      <c r="F4821" s="204"/>
      <c r="G4821" s="204"/>
      <c r="H4821" s="204"/>
      <c r="I4821" s="204"/>
      <c r="J4821" s="204"/>
      <c r="K4821" s="204"/>
      <c r="L4821" s="205"/>
      <c r="M4821" s="205"/>
      <c r="N4821" s="204"/>
      <c r="O4821" s="204"/>
      <c r="P4821" s="206"/>
      <c r="Q4821" s="206"/>
      <c r="R4821" s="206"/>
      <c r="S4821" s="206"/>
      <c r="T4821" s="204"/>
      <c r="U4821" s="207"/>
      <c r="V4821" s="204"/>
      <c r="W4821" s="204"/>
      <c r="X4821" s="207"/>
      <c r="Y4821" s="207"/>
      <c r="Z4821" s="204"/>
      <c r="AA4821" s="204"/>
      <c r="AB4821" s="204"/>
      <c r="AC4821" s="204"/>
    </row>
    <row r="4822" spans="1:29">
      <c r="A4822" s="204"/>
      <c r="B4822" s="204"/>
      <c r="C4822" s="204"/>
      <c r="D4822" s="204"/>
      <c r="E4822" s="204"/>
      <c r="F4822" s="204"/>
      <c r="G4822" s="204"/>
      <c r="H4822" s="204"/>
      <c r="I4822" s="204"/>
      <c r="J4822" s="204"/>
      <c r="K4822" s="204"/>
      <c r="L4822" s="205"/>
      <c r="M4822" s="205"/>
      <c r="N4822" s="204"/>
      <c r="O4822" s="204"/>
      <c r="P4822" s="206"/>
      <c r="Q4822" s="206"/>
      <c r="R4822" s="206"/>
      <c r="S4822" s="206"/>
      <c r="T4822" s="204"/>
      <c r="U4822" s="207"/>
      <c r="V4822" s="204"/>
      <c r="W4822" s="204"/>
      <c r="X4822" s="207"/>
      <c r="Y4822" s="207"/>
      <c r="Z4822" s="204"/>
      <c r="AA4822" s="204"/>
      <c r="AB4822" s="204"/>
      <c r="AC4822" s="204"/>
    </row>
    <row r="4823" spans="1:29">
      <c r="A4823" s="204"/>
      <c r="B4823" s="204"/>
      <c r="C4823" s="204"/>
      <c r="D4823" s="204"/>
      <c r="E4823" s="204"/>
      <c r="F4823" s="204"/>
      <c r="G4823" s="204"/>
      <c r="H4823" s="204"/>
      <c r="I4823" s="204"/>
      <c r="J4823" s="204"/>
      <c r="K4823" s="204"/>
      <c r="L4823" s="205"/>
      <c r="M4823" s="205"/>
      <c r="N4823" s="204"/>
      <c r="O4823" s="204"/>
      <c r="P4823" s="206"/>
      <c r="Q4823" s="206"/>
      <c r="R4823" s="206"/>
      <c r="S4823" s="206"/>
      <c r="T4823" s="204"/>
      <c r="U4823" s="207"/>
      <c r="V4823" s="204"/>
      <c r="W4823" s="204"/>
      <c r="X4823" s="207"/>
      <c r="Y4823" s="207"/>
      <c r="Z4823" s="204"/>
      <c r="AA4823" s="204"/>
      <c r="AB4823" s="204"/>
      <c r="AC4823" s="204"/>
    </row>
    <row r="4824" spans="1:29">
      <c r="A4824" s="204"/>
      <c r="B4824" s="204"/>
      <c r="C4824" s="204"/>
      <c r="D4824" s="204"/>
      <c r="E4824" s="204"/>
      <c r="F4824" s="204"/>
      <c r="G4824" s="204"/>
      <c r="H4824" s="204"/>
      <c r="I4824" s="204"/>
      <c r="J4824" s="204"/>
      <c r="K4824" s="204"/>
      <c r="L4824" s="205"/>
      <c r="M4824" s="205"/>
      <c r="N4824" s="204"/>
      <c r="O4824" s="204"/>
      <c r="P4824" s="206"/>
      <c r="Q4824" s="206"/>
      <c r="R4824" s="206"/>
      <c r="S4824" s="206"/>
      <c r="T4824" s="204"/>
      <c r="U4824" s="207"/>
      <c r="V4824" s="204"/>
      <c r="W4824" s="204"/>
      <c r="X4824" s="207"/>
      <c r="Y4824" s="207"/>
      <c r="Z4824" s="204"/>
      <c r="AA4824" s="204"/>
      <c r="AB4824" s="204"/>
      <c r="AC4824" s="204"/>
    </row>
    <row r="4825" spans="1:29">
      <c r="A4825" s="204"/>
      <c r="B4825" s="204"/>
      <c r="C4825" s="204"/>
      <c r="D4825" s="204"/>
      <c r="E4825" s="204"/>
      <c r="F4825" s="204"/>
      <c r="G4825" s="204"/>
      <c r="H4825" s="204"/>
      <c r="I4825" s="204"/>
      <c r="J4825" s="204"/>
      <c r="K4825" s="204"/>
      <c r="L4825" s="205"/>
      <c r="M4825" s="205"/>
      <c r="N4825" s="204"/>
      <c r="O4825" s="204"/>
      <c r="P4825" s="206"/>
      <c r="Q4825" s="206"/>
      <c r="R4825" s="206"/>
      <c r="S4825" s="206"/>
      <c r="T4825" s="204"/>
      <c r="U4825" s="207"/>
      <c r="V4825" s="204"/>
      <c r="W4825" s="204"/>
      <c r="X4825" s="207"/>
      <c r="Y4825" s="207"/>
      <c r="Z4825" s="204"/>
      <c r="AA4825" s="204"/>
      <c r="AB4825" s="204"/>
      <c r="AC4825" s="204"/>
    </row>
    <row r="4826" spans="1:29">
      <c r="A4826" s="204"/>
      <c r="B4826" s="204"/>
      <c r="C4826" s="204"/>
      <c r="D4826" s="204"/>
      <c r="E4826" s="204"/>
      <c r="F4826" s="204"/>
      <c r="G4826" s="204"/>
      <c r="H4826" s="204"/>
      <c r="I4826" s="204"/>
      <c r="J4826" s="204"/>
      <c r="K4826" s="204"/>
      <c r="L4826" s="205"/>
      <c r="M4826" s="205"/>
      <c r="N4826" s="204"/>
      <c r="O4826" s="204"/>
      <c r="P4826" s="206"/>
      <c r="Q4826" s="206"/>
      <c r="R4826" s="206"/>
      <c r="S4826" s="206"/>
      <c r="T4826" s="204"/>
      <c r="U4826" s="207"/>
      <c r="V4826" s="204"/>
      <c r="W4826" s="204"/>
      <c r="X4826" s="207"/>
      <c r="Y4826" s="207"/>
      <c r="Z4826" s="204"/>
      <c r="AA4826" s="204"/>
      <c r="AB4826" s="204"/>
      <c r="AC4826" s="204"/>
    </row>
    <row r="4827" spans="1:29">
      <c r="A4827" s="204"/>
      <c r="B4827" s="204"/>
      <c r="C4827" s="204"/>
      <c r="D4827" s="204"/>
      <c r="E4827" s="204"/>
      <c r="F4827" s="204"/>
      <c r="G4827" s="204"/>
      <c r="H4827" s="204"/>
      <c r="I4827" s="204"/>
      <c r="J4827" s="204"/>
      <c r="K4827" s="204"/>
      <c r="L4827" s="205"/>
      <c r="M4827" s="205"/>
      <c r="N4827" s="204"/>
      <c r="O4827" s="204"/>
      <c r="P4827" s="206"/>
      <c r="Q4827" s="206"/>
      <c r="R4827" s="206"/>
      <c r="S4827" s="206"/>
      <c r="T4827" s="204"/>
      <c r="U4827" s="207"/>
      <c r="V4827" s="204"/>
      <c r="W4827" s="204"/>
      <c r="X4827" s="207"/>
      <c r="Y4827" s="207"/>
      <c r="Z4827" s="204"/>
      <c r="AA4827" s="204"/>
      <c r="AB4827" s="204"/>
      <c r="AC4827" s="204"/>
    </row>
    <row r="4828" spans="1:29">
      <c r="A4828" s="204"/>
      <c r="B4828" s="204"/>
      <c r="C4828" s="204"/>
      <c r="D4828" s="204"/>
      <c r="E4828" s="204"/>
      <c r="F4828" s="204"/>
      <c r="G4828" s="204"/>
      <c r="H4828" s="204"/>
      <c r="I4828" s="204"/>
      <c r="J4828" s="204"/>
      <c r="K4828" s="204"/>
      <c r="L4828" s="205"/>
      <c r="M4828" s="205"/>
      <c r="N4828" s="204"/>
      <c r="O4828" s="204"/>
      <c r="P4828" s="206"/>
      <c r="Q4828" s="206"/>
      <c r="R4828" s="206"/>
      <c r="S4828" s="206"/>
      <c r="T4828" s="204"/>
      <c r="U4828" s="207"/>
      <c r="V4828" s="204"/>
      <c r="W4828" s="204"/>
      <c r="X4828" s="207"/>
      <c r="Y4828" s="207"/>
      <c r="Z4828" s="204"/>
      <c r="AA4828" s="204"/>
      <c r="AB4828" s="204"/>
      <c r="AC4828" s="204"/>
    </row>
    <row r="4829" spans="1:29">
      <c r="A4829" s="204"/>
      <c r="B4829" s="204"/>
      <c r="C4829" s="204"/>
      <c r="D4829" s="204"/>
      <c r="E4829" s="204"/>
      <c r="F4829" s="204"/>
      <c r="G4829" s="204"/>
      <c r="H4829" s="204"/>
      <c r="I4829" s="204"/>
      <c r="J4829" s="204"/>
      <c r="K4829" s="204"/>
      <c r="L4829" s="205"/>
      <c r="M4829" s="205"/>
      <c r="N4829" s="204"/>
      <c r="O4829" s="204"/>
      <c r="P4829" s="206"/>
      <c r="Q4829" s="206"/>
      <c r="R4829" s="206"/>
      <c r="S4829" s="206"/>
      <c r="T4829" s="204"/>
      <c r="U4829" s="207"/>
      <c r="V4829" s="204"/>
      <c r="W4829" s="204"/>
      <c r="X4829" s="207"/>
      <c r="Y4829" s="207"/>
      <c r="Z4829" s="204"/>
      <c r="AA4829" s="204"/>
      <c r="AB4829" s="204"/>
      <c r="AC4829" s="204"/>
    </row>
    <row r="4830" spans="1:29">
      <c r="A4830" s="204"/>
      <c r="B4830" s="204"/>
      <c r="C4830" s="204"/>
      <c r="D4830" s="204"/>
      <c r="E4830" s="204"/>
      <c r="F4830" s="204"/>
      <c r="G4830" s="204"/>
      <c r="H4830" s="204"/>
      <c r="I4830" s="204"/>
      <c r="J4830" s="204"/>
      <c r="K4830" s="204"/>
      <c r="L4830" s="205"/>
      <c r="M4830" s="205"/>
      <c r="N4830" s="204"/>
      <c r="O4830" s="204"/>
      <c r="P4830" s="206"/>
      <c r="Q4830" s="206"/>
      <c r="R4830" s="206"/>
      <c r="S4830" s="206"/>
      <c r="T4830" s="204"/>
      <c r="U4830" s="207"/>
      <c r="V4830" s="204"/>
      <c r="W4830" s="204"/>
      <c r="X4830" s="207"/>
      <c r="Y4830" s="207"/>
      <c r="Z4830" s="204"/>
      <c r="AA4830" s="204"/>
      <c r="AB4830" s="204"/>
      <c r="AC4830" s="204"/>
    </row>
    <row r="4831" spans="1:29">
      <c r="A4831" s="204"/>
      <c r="B4831" s="204"/>
      <c r="C4831" s="204"/>
      <c r="D4831" s="204"/>
      <c r="E4831" s="204"/>
      <c r="F4831" s="204"/>
      <c r="G4831" s="204"/>
      <c r="H4831" s="204"/>
      <c r="I4831" s="204"/>
      <c r="J4831" s="204"/>
      <c r="K4831" s="204"/>
      <c r="L4831" s="205"/>
      <c r="M4831" s="205"/>
      <c r="N4831" s="204"/>
      <c r="O4831" s="204"/>
      <c r="P4831" s="206"/>
      <c r="Q4831" s="206"/>
      <c r="R4831" s="206"/>
      <c r="S4831" s="206"/>
      <c r="T4831" s="204"/>
      <c r="U4831" s="207"/>
      <c r="V4831" s="204"/>
      <c r="W4831" s="204"/>
      <c r="X4831" s="207"/>
      <c r="Y4831" s="207"/>
      <c r="Z4831" s="204"/>
      <c r="AA4831" s="204"/>
      <c r="AB4831" s="204"/>
      <c r="AC4831" s="204"/>
    </row>
    <row r="4832" spans="1:29">
      <c r="A4832" s="204"/>
      <c r="B4832" s="204"/>
      <c r="C4832" s="204"/>
      <c r="D4832" s="204"/>
      <c r="E4832" s="204"/>
      <c r="F4832" s="204"/>
      <c r="G4832" s="204"/>
      <c r="H4832" s="204"/>
      <c r="I4832" s="204"/>
      <c r="J4832" s="204"/>
      <c r="K4832" s="204"/>
      <c r="L4832" s="205"/>
      <c r="M4832" s="205"/>
      <c r="N4832" s="204"/>
      <c r="O4832" s="204"/>
      <c r="P4832" s="206"/>
      <c r="Q4832" s="206"/>
      <c r="R4832" s="206"/>
      <c r="S4832" s="206"/>
      <c r="T4832" s="204"/>
      <c r="U4832" s="207"/>
      <c r="V4832" s="204"/>
      <c r="W4832" s="204"/>
      <c r="X4832" s="207"/>
      <c r="Y4832" s="207"/>
      <c r="Z4832" s="204"/>
      <c r="AA4832" s="204"/>
      <c r="AB4832" s="204"/>
      <c r="AC4832" s="204"/>
    </row>
    <row r="4833" spans="1:29">
      <c r="A4833" s="204"/>
      <c r="B4833" s="204"/>
      <c r="C4833" s="204"/>
      <c r="D4833" s="204"/>
      <c r="E4833" s="204"/>
      <c r="F4833" s="204"/>
      <c r="G4833" s="204"/>
      <c r="H4833" s="204"/>
      <c r="I4833" s="204"/>
      <c r="J4833" s="204"/>
      <c r="K4833" s="204"/>
      <c r="L4833" s="205"/>
      <c r="M4833" s="205"/>
      <c r="N4833" s="204"/>
      <c r="O4833" s="204"/>
      <c r="P4833" s="206"/>
      <c r="Q4833" s="206"/>
      <c r="R4833" s="206"/>
      <c r="S4833" s="206"/>
      <c r="T4833" s="204"/>
      <c r="U4833" s="207"/>
      <c r="V4833" s="204"/>
      <c r="W4833" s="204"/>
      <c r="X4833" s="207"/>
      <c r="Y4833" s="207"/>
      <c r="Z4833" s="204"/>
      <c r="AA4833" s="204"/>
      <c r="AB4833" s="204"/>
      <c r="AC4833" s="204"/>
    </row>
    <row r="4834" spans="1:29">
      <c r="A4834" s="204"/>
      <c r="B4834" s="204"/>
      <c r="C4834" s="204"/>
      <c r="D4834" s="204"/>
      <c r="E4834" s="204"/>
      <c r="F4834" s="204"/>
      <c r="G4834" s="204"/>
      <c r="H4834" s="204"/>
      <c r="I4834" s="204"/>
      <c r="J4834" s="204"/>
      <c r="K4834" s="204"/>
      <c r="L4834" s="205"/>
      <c r="M4834" s="205"/>
      <c r="N4834" s="204"/>
      <c r="O4834" s="204"/>
      <c r="P4834" s="206"/>
      <c r="Q4834" s="206"/>
      <c r="R4834" s="206"/>
      <c r="S4834" s="206"/>
      <c r="T4834" s="204"/>
      <c r="U4834" s="207"/>
      <c r="V4834" s="204"/>
      <c r="W4834" s="204"/>
      <c r="X4834" s="207"/>
      <c r="Y4834" s="207"/>
      <c r="Z4834" s="204"/>
      <c r="AA4834" s="204"/>
      <c r="AB4834" s="204"/>
      <c r="AC4834" s="204"/>
    </row>
    <row r="4835" spans="1:29">
      <c r="A4835" s="204"/>
      <c r="B4835" s="204"/>
      <c r="C4835" s="204"/>
      <c r="D4835" s="204"/>
      <c r="E4835" s="204"/>
      <c r="F4835" s="204"/>
      <c r="G4835" s="204"/>
      <c r="H4835" s="204"/>
      <c r="I4835" s="204"/>
      <c r="J4835" s="204"/>
      <c r="K4835" s="204"/>
      <c r="L4835" s="205"/>
      <c r="M4835" s="205"/>
      <c r="N4835" s="204"/>
      <c r="O4835" s="204"/>
      <c r="P4835" s="206"/>
      <c r="Q4835" s="206"/>
      <c r="R4835" s="206"/>
      <c r="S4835" s="206"/>
      <c r="T4835" s="204"/>
      <c r="U4835" s="207"/>
      <c r="V4835" s="204"/>
      <c r="W4835" s="204"/>
      <c r="X4835" s="207"/>
      <c r="Y4835" s="207"/>
      <c r="Z4835" s="204"/>
      <c r="AA4835" s="204"/>
      <c r="AB4835" s="204"/>
      <c r="AC4835" s="204"/>
    </row>
    <row r="4836" spans="1:29">
      <c r="A4836" s="204"/>
      <c r="B4836" s="204"/>
      <c r="C4836" s="204"/>
      <c r="D4836" s="204"/>
      <c r="E4836" s="204"/>
      <c r="F4836" s="204"/>
      <c r="G4836" s="204"/>
      <c r="H4836" s="204"/>
      <c r="I4836" s="204"/>
      <c r="J4836" s="204"/>
      <c r="K4836" s="204"/>
      <c r="L4836" s="205"/>
      <c r="M4836" s="205"/>
      <c r="N4836" s="204"/>
      <c r="O4836" s="204"/>
      <c r="P4836" s="206"/>
      <c r="Q4836" s="206"/>
      <c r="R4836" s="206"/>
      <c r="S4836" s="206"/>
      <c r="T4836" s="204"/>
      <c r="U4836" s="207"/>
      <c r="V4836" s="204"/>
      <c r="W4836" s="204"/>
      <c r="X4836" s="207"/>
      <c r="Y4836" s="207"/>
      <c r="Z4836" s="204"/>
      <c r="AA4836" s="204"/>
      <c r="AB4836" s="204"/>
      <c r="AC4836" s="204"/>
    </row>
    <row r="4837" spans="1:29">
      <c r="A4837" s="204"/>
      <c r="B4837" s="204"/>
      <c r="C4837" s="204"/>
      <c r="D4837" s="204"/>
      <c r="E4837" s="204"/>
      <c r="F4837" s="204"/>
      <c r="G4837" s="204"/>
      <c r="H4837" s="204"/>
      <c r="I4837" s="204"/>
      <c r="J4837" s="204"/>
      <c r="K4837" s="204"/>
      <c r="L4837" s="205"/>
      <c r="M4837" s="205"/>
      <c r="N4837" s="204"/>
      <c r="O4837" s="204"/>
      <c r="P4837" s="206"/>
      <c r="Q4837" s="206"/>
      <c r="R4837" s="206"/>
      <c r="S4837" s="206"/>
      <c r="T4837" s="204"/>
      <c r="U4837" s="207"/>
      <c r="V4837" s="204"/>
      <c r="W4837" s="204"/>
      <c r="X4837" s="207"/>
      <c r="Y4837" s="207"/>
      <c r="Z4837" s="204"/>
      <c r="AA4837" s="204"/>
      <c r="AB4837" s="204"/>
      <c r="AC4837" s="204"/>
    </row>
    <row r="4838" spans="1:29">
      <c r="A4838" s="204"/>
      <c r="B4838" s="204"/>
      <c r="C4838" s="204"/>
      <c r="D4838" s="204"/>
      <c r="E4838" s="204"/>
      <c r="F4838" s="204"/>
      <c r="G4838" s="204"/>
      <c r="H4838" s="204"/>
      <c r="I4838" s="204"/>
      <c r="J4838" s="204"/>
      <c r="K4838" s="204"/>
      <c r="L4838" s="205"/>
      <c r="M4838" s="205"/>
      <c r="N4838" s="204"/>
      <c r="O4838" s="204"/>
      <c r="P4838" s="206"/>
      <c r="Q4838" s="206"/>
      <c r="R4838" s="206"/>
      <c r="S4838" s="206"/>
      <c r="T4838" s="204"/>
      <c r="U4838" s="207"/>
      <c r="V4838" s="204"/>
      <c r="W4838" s="204"/>
      <c r="X4838" s="207"/>
      <c r="Y4838" s="207"/>
      <c r="Z4838" s="204"/>
      <c r="AA4838" s="204"/>
      <c r="AB4838" s="204"/>
      <c r="AC4838" s="204"/>
    </row>
    <row r="4839" spans="1:29">
      <c r="A4839" s="204"/>
      <c r="B4839" s="204"/>
      <c r="C4839" s="204"/>
      <c r="D4839" s="204"/>
      <c r="E4839" s="204"/>
      <c r="F4839" s="204"/>
      <c r="G4839" s="204"/>
      <c r="H4839" s="204"/>
      <c r="I4839" s="204"/>
      <c r="J4839" s="204"/>
      <c r="K4839" s="204"/>
      <c r="L4839" s="205"/>
      <c r="M4839" s="205"/>
      <c r="N4839" s="204"/>
      <c r="O4839" s="204"/>
      <c r="P4839" s="206"/>
      <c r="Q4839" s="206"/>
      <c r="R4839" s="206"/>
      <c r="S4839" s="206"/>
      <c r="T4839" s="204"/>
      <c r="U4839" s="207"/>
      <c r="V4839" s="204"/>
      <c r="W4839" s="204"/>
      <c r="X4839" s="207"/>
      <c r="Y4839" s="207"/>
      <c r="Z4839" s="204"/>
      <c r="AA4839" s="204"/>
      <c r="AB4839" s="204"/>
      <c r="AC4839" s="204"/>
    </row>
    <row r="4840" spans="1:29">
      <c r="A4840" s="204"/>
      <c r="B4840" s="204"/>
      <c r="C4840" s="204"/>
      <c r="D4840" s="204"/>
      <c r="E4840" s="204"/>
      <c r="F4840" s="204"/>
      <c r="G4840" s="204"/>
      <c r="H4840" s="204"/>
      <c r="I4840" s="204"/>
      <c r="J4840" s="204"/>
      <c r="K4840" s="204"/>
      <c r="L4840" s="205"/>
      <c r="M4840" s="205"/>
      <c r="N4840" s="204"/>
      <c r="O4840" s="204"/>
      <c r="P4840" s="206"/>
      <c r="Q4840" s="206"/>
      <c r="R4840" s="206"/>
      <c r="S4840" s="206"/>
      <c r="T4840" s="204"/>
      <c r="U4840" s="207"/>
      <c r="V4840" s="204"/>
      <c r="W4840" s="204"/>
      <c r="X4840" s="207"/>
      <c r="Y4840" s="207"/>
      <c r="Z4840" s="204"/>
      <c r="AA4840" s="204"/>
      <c r="AB4840" s="204"/>
      <c r="AC4840" s="204"/>
    </row>
    <row r="4841" spans="1:29">
      <c r="A4841" s="204"/>
      <c r="B4841" s="204"/>
      <c r="C4841" s="204"/>
      <c r="D4841" s="204"/>
      <c r="E4841" s="204"/>
      <c r="F4841" s="204"/>
      <c r="G4841" s="204"/>
      <c r="H4841" s="204"/>
      <c r="I4841" s="204"/>
      <c r="J4841" s="204"/>
      <c r="K4841" s="204"/>
      <c r="L4841" s="205"/>
      <c r="M4841" s="205"/>
      <c r="N4841" s="204"/>
      <c r="O4841" s="204"/>
      <c r="P4841" s="206"/>
      <c r="Q4841" s="206"/>
      <c r="R4841" s="206"/>
      <c r="S4841" s="206"/>
      <c r="T4841" s="204"/>
      <c r="U4841" s="207"/>
      <c r="V4841" s="204"/>
      <c r="W4841" s="204"/>
      <c r="X4841" s="207"/>
      <c r="Y4841" s="207"/>
      <c r="Z4841" s="204"/>
      <c r="AA4841" s="204"/>
      <c r="AB4841" s="204"/>
      <c r="AC4841" s="204"/>
    </row>
    <row r="4842" spans="1:29">
      <c r="A4842" s="204"/>
      <c r="B4842" s="204"/>
      <c r="C4842" s="204"/>
      <c r="D4842" s="204"/>
      <c r="E4842" s="204"/>
      <c r="F4842" s="204"/>
      <c r="G4842" s="204"/>
      <c r="H4842" s="204"/>
      <c r="I4842" s="204"/>
      <c r="J4842" s="204"/>
      <c r="K4842" s="204"/>
      <c r="L4842" s="205"/>
      <c r="M4842" s="205"/>
      <c r="N4842" s="204"/>
      <c r="O4842" s="204"/>
      <c r="P4842" s="206"/>
      <c r="Q4842" s="206"/>
      <c r="R4842" s="206"/>
      <c r="S4842" s="206"/>
      <c r="T4842" s="204"/>
      <c r="U4842" s="207"/>
      <c r="V4842" s="204"/>
      <c r="W4842" s="204"/>
      <c r="X4842" s="207"/>
      <c r="Y4842" s="207"/>
      <c r="Z4842" s="204"/>
      <c r="AA4842" s="204"/>
      <c r="AB4842" s="204"/>
      <c r="AC4842" s="204"/>
    </row>
    <row r="4843" spans="1:29">
      <c r="A4843" s="204"/>
      <c r="B4843" s="204"/>
      <c r="C4843" s="204"/>
      <c r="D4843" s="204"/>
      <c r="E4843" s="204"/>
      <c r="F4843" s="204"/>
      <c r="G4843" s="204"/>
      <c r="H4843" s="204"/>
      <c r="I4843" s="204"/>
      <c r="J4843" s="204"/>
      <c r="K4843" s="204"/>
      <c r="L4843" s="205"/>
      <c r="M4843" s="205"/>
      <c r="N4843" s="204"/>
      <c r="O4843" s="204"/>
      <c r="P4843" s="206"/>
      <c r="Q4843" s="206"/>
      <c r="R4843" s="206"/>
      <c r="S4843" s="206"/>
      <c r="T4843" s="204"/>
      <c r="U4843" s="207"/>
      <c r="V4843" s="204"/>
      <c r="W4843" s="204"/>
      <c r="X4843" s="207"/>
      <c r="Y4843" s="207"/>
      <c r="Z4843" s="204"/>
      <c r="AA4843" s="204"/>
      <c r="AB4843" s="204"/>
      <c r="AC4843" s="204"/>
    </row>
    <row r="4844" spans="1:29">
      <c r="A4844" s="204"/>
      <c r="B4844" s="204"/>
      <c r="C4844" s="204"/>
      <c r="D4844" s="204"/>
      <c r="E4844" s="204"/>
      <c r="F4844" s="204"/>
      <c r="G4844" s="204"/>
      <c r="H4844" s="204"/>
      <c r="I4844" s="204"/>
      <c r="J4844" s="204"/>
      <c r="K4844" s="204"/>
      <c r="L4844" s="205"/>
      <c r="M4844" s="205"/>
      <c r="N4844" s="204"/>
      <c r="O4844" s="204"/>
      <c r="P4844" s="206"/>
      <c r="Q4844" s="206"/>
      <c r="R4844" s="206"/>
      <c r="S4844" s="206"/>
      <c r="T4844" s="204"/>
      <c r="U4844" s="207"/>
      <c r="V4844" s="204"/>
      <c r="W4844" s="204"/>
      <c r="X4844" s="207"/>
      <c r="Y4844" s="207"/>
      <c r="Z4844" s="204"/>
      <c r="AA4844" s="204"/>
      <c r="AB4844" s="204"/>
      <c r="AC4844" s="204"/>
    </row>
    <row r="4845" spans="1:29">
      <c r="A4845" s="204"/>
      <c r="B4845" s="204"/>
      <c r="C4845" s="204"/>
      <c r="D4845" s="204"/>
      <c r="E4845" s="204"/>
      <c r="F4845" s="204"/>
      <c r="G4845" s="204"/>
      <c r="H4845" s="204"/>
      <c r="I4845" s="204"/>
      <c r="J4845" s="204"/>
      <c r="K4845" s="204"/>
      <c r="L4845" s="205"/>
      <c r="M4845" s="205"/>
      <c r="N4845" s="204"/>
      <c r="O4845" s="204"/>
      <c r="P4845" s="206"/>
      <c r="Q4845" s="206"/>
      <c r="R4845" s="206"/>
      <c r="S4845" s="206"/>
      <c r="T4845" s="204"/>
      <c r="U4845" s="207"/>
      <c r="V4845" s="204"/>
      <c r="W4845" s="204"/>
      <c r="X4845" s="207"/>
      <c r="Y4845" s="207"/>
      <c r="Z4845" s="204"/>
      <c r="AA4845" s="204"/>
      <c r="AB4845" s="204"/>
      <c r="AC4845" s="204"/>
    </row>
    <row r="4846" spans="1:29">
      <c r="A4846" s="204"/>
      <c r="B4846" s="204"/>
      <c r="C4846" s="204"/>
      <c r="D4846" s="204"/>
      <c r="E4846" s="204"/>
      <c r="F4846" s="204"/>
      <c r="G4846" s="204"/>
      <c r="H4846" s="204"/>
      <c r="I4846" s="204"/>
      <c r="J4846" s="204"/>
      <c r="K4846" s="204"/>
      <c r="L4846" s="205"/>
      <c r="M4846" s="205"/>
      <c r="N4846" s="204"/>
      <c r="O4846" s="204"/>
      <c r="P4846" s="206"/>
      <c r="Q4846" s="206"/>
      <c r="R4846" s="206"/>
      <c r="S4846" s="206"/>
      <c r="T4846" s="204"/>
      <c r="U4846" s="207"/>
      <c r="V4846" s="204"/>
      <c r="W4846" s="204"/>
      <c r="X4846" s="207"/>
      <c r="Y4846" s="207"/>
      <c r="Z4846" s="204"/>
      <c r="AA4846" s="204"/>
      <c r="AB4846" s="204"/>
      <c r="AC4846" s="204"/>
    </row>
    <row r="4847" spans="1:29">
      <c r="A4847" s="204"/>
      <c r="B4847" s="204"/>
      <c r="C4847" s="204"/>
      <c r="D4847" s="204"/>
      <c r="E4847" s="204"/>
      <c r="F4847" s="204"/>
      <c r="G4847" s="204"/>
      <c r="H4847" s="204"/>
      <c r="I4847" s="204"/>
      <c r="J4847" s="204"/>
      <c r="K4847" s="204"/>
      <c r="L4847" s="205"/>
      <c r="M4847" s="205"/>
      <c r="N4847" s="204"/>
      <c r="O4847" s="204"/>
      <c r="P4847" s="206"/>
      <c r="Q4847" s="206"/>
      <c r="R4847" s="206"/>
      <c r="S4847" s="206"/>
      <c r="T4847" s="204"/>
      <c r="U4847" s="207"/>
      <c r="V4847" s="204"/>
      <c r="W4847" s="204"/>
      <c r="X4847" s="207"/>
      <c r="Y4847" s="207"/>
      <c r="Z4847" s="204"/>
      <c r="AA4847" s="204"/>
      <c r="AB4847" s="204"/>
      <c r="AC4847" s="204"/>
    </row>
    <row r="4848" spans="1:29">
      <c r="A4848" s="204"/>
      <c r="B4848" s="204"/>
      <c r="C4848" s="204"/>
      <c r="D4848" s="204"/>
      <c r="E4848" s="204"/>
      <c r="F4848" s="204"/>
      <c r="G4848" s="204"/>
      <c r="H4848" s="204"/>
      <c r="I4848" s="204"/>
      <c r="J4848" s="204"/>
      <c r="K4848" s="204"/>
      <c r="L4848" s="205"/>
      <c r="M4848" s="205"/>
      <c r="N4848" s="204"/>
      <c r="O4848" s="204"/>
      <c r="P4848" s="206"/>
      <c r="Q4848" s="206"/>
      <c r="R4848" s="206"/>
      <c r="S4848" s="206"/>
      <c r="T4848" s="204"/>
      <c r="U4848" s="207"/>
      <c r="V4848" s="204"/>
      <c r="W4848" s="204"/>
      <c r="X4848" s="207"/>
      <c r="Y4848" s="207"/>
      <c r="Z4848" s="204"/>
      <c r="AA4848" s="204"/>
      <c r="AB4848" s="204"/>
      <c r="AC4848" s="204"/>
    </row>
    <row r="4849" spans="1:29">
      <c r="A4849" s="204"/>
      <c r="B4849" s="204"/>
      <c r="C4849" s="204"/>
      <c r="D4849" s="204"/>
      <c r="E4849" s="204"/>
      <c r="F4849" s="204"/>
      <c r="G4849" s="204"/>
      <c r="H4849" s="204"/>
      <c r="I4849" s="204"/>
      <c r="J4849" s="204"/>
      <c r="K4849" s="204"/>
      <c r="L4849" s="205"/>
      <c r="M4849" s="205"/>
      <c r="N4849" s="204"/>
      <c r="O4849" s="204"/>
      <c r="P4849" s="206"/>
      <c r="Q4849" s="206"/>
      <c r="R4849" s="206"/>
      <c r="S4849" s="206"/>
      <c r="T4849" s="204"/>
      <c r="U4849" s="207"/>
      <c r="V4849" s="204"/>
      <c r="W4849" s="204"/>
      <c r="X4849" s="207"/>
      <c r="Y4849" s="207"/>
      <c r="Z4849" s="204"/>
      <c r="AA4849" s="204"/>
      <c r="AB4849" s="204"/>
      <c r="AC4849" s="204"/>
    </row>
    <row r="4850" spans="1:29">
      <c r="A4850" s="204"/>
      <c r="B4850" s="204"/>
      <c r="C4850" s="204"/>
      <c r="D4850" s="204"/>
      <c r="E4850" s="204"/>
      <c r="F4850" s="204"/>
      <c r="G4850" s="204"/>
      <c r="H4850" s="204"/>
      <c r="I4850" s="204"/>
      <c r="J4850" s="204"/>
      <c r="K4850" s="204"/>
      <c r="L4850" s="205"/>
      <c r="M4850" s="205"/>
      <c r="N4850" s="204"/>
      <c r="O4850" s="204"/>
      <c r="P4850" s="206"/>
      <c r="Q4850" s="206"/>
      <c r="R4850" s="206"/>
      <c r="S4850" s="206"/>
      <c r="T4850" s="204"/>
      <c r="U4850" s="207"/>
      <c r="V4850" s="204"/>
      <c r="W4850" s="204"/>
      <c r="X4850" s="207"/>
      <c r="Y4850" s="207"/>
      <c r="Z4850" s="204"/>
      <c r="AA4850" s="204"/>
      <c r="AB4850" s="204"/>
      <c r="AC4850" s="204"/>
    </row>
    <row r="4851" spans="1:29">
      <c r="A4851" s="204"/>
      <c r="B4851" s="204"/>
      <c r="C4851" s="204"/>
      <c r="D4851" s="204"/>
      <c r="E4851" s="204"/>
      <c r="F4851" s="204"/>
      <c r="G4851" s="204"/>
      <c r="H4851" s="204"/>
      <c r="I4851" s="204"/>
      <c r="J4851" s="204"/>
      <c r="K4851" s="204"/>
      <c r="L4851" s="205"/>
      <c r="M4851" s="205"/>
      <c r="N4851" s="204"/>
      <c r="O4851" s="204"/>
      <c r="P4851" s="206"/>
      <c r="Q4851" s="206"/>
      <c r="R4851" s="206"/>
      <c r="S4851" s="206"/>
      <c r="T4851" s="204"/>
      <c r="U4851" s="207"/>
      <c r="V4851" s="204"/>
      <c r="W4851" s="204"/>
      <c r="X4851" s="207"/>
      <c r="Y4851" s="207"/>
      <c r="Z4851" s="204"/>
      <c r="AA4851" s="204"/>
      <c r="AB4851" s="204"/>
      <c r="AC4851" s="204"/>
    </row>
    <row r="4852" spans="1:29">
      <c r="A4852" s="204"/>
      <c r="B4852" s="204"/>
      <c r="C4852" s="204"/>
      <c r="D4852" s="204"/>
      <c r="E4852" s="204"/>
      <c r="F4852" s="204"/>
      <c r="G4852" s="204"/>
      <c r="H4852" s="204"/>
      <c r="I4852" s="204"/>
      <c r="J4852" s="204"/>
      <c r="K4852" s="204"/>
      <c r="L4852" s="205"/>
      <c r="M4852" s="205"/>
      <c r="N4852" s="204"/>
      <c r="O4852" s="204"/>
      <c r="P4852" s="206"/>
      <c r="Q4852" s="206"/>
      <c r="R4852" s="206"/>
      <c r="S4852" s="206"/>
      <c r="T4852" s="204"/>
      <c r="U4852" s="207"/>
      <c r="V4852" s="204"/>
      <c r="W4852" s="204"/>
      <c r="X4852" s="207"/>
      <c r="Y4852" s="207"/>
      <c r="Z4852" s="204"/>
      <c r="AA4852" s="204"/>
      <c r="AB4852" s="204"/>
      <c r="AC4852" s="204"/>
    </row>
    <row r="4853" spans="1:29">
      <c r="A4853" s="204"/>
      <c r="B4853" s="204"/>
      <c r="C4853" s="204"/>
      <c r="D4853" s="204"/>
      <c r="E4853" s="204"/>
      <c r="F4853" s="204"/>
      <c r="G4853" s="204"/>
      <c r="H4853" s="204"/>
      <c r="I4853" s="204"/>
      <c r="J4853" s="204"/>
      <c r="K4853" s="204"/>
      <c r="L4853" s="205"/>
      <c r="M4853" s="205"/>
      <c r="N4853" s="204"/>
      <c r="O4853" s="204"/>
      <c r="P4853" s="206"/>
      <c r="Q4853" s="206"/>
      <c r="R4853" s="206"/>
      <c r="S4853" s="206"/>
      <c r="T4853" s="204"/>
      <c r="U4853" s="207"/>
      <c r="V4853" s="204"/>
      <c r="W4853" s="204"/>
      <c r="X4853" s="207"/>
      <c r="Y4853" s="207"/>
      <c r="Z4853" s="204"/>
      <c r="AA4853" s="204"/>
      <c r="AB4853" s="204"/>
      <c r="AC4853" s="204"/>
    </row>
    <row r="4854" spans="1:29">
      <c r="A4854" s="204"/>
      <c r="B4854" s="204"/>
      <c r="C4854" s="204"/>
      <c r="D4854" s="204"/>
      <c r="E4854" s="204"/>
      <c r="F4854" s="204"/>
      <c r="G4854" s="204"/>
      <c r="H4854" s="204"/>
      <c r="I4854" s="204"/>
      <c r="J4854" s="204"/>
      <c r="K4854" s="204"/>
      <c r="L4854" s="205"/>
      <c r="M4854" s="205"/>
      <c r="N4854" s="204"/>
      <c r="O4854" s="204"/>
      <c r="P4854" s="206"/>
      <c r="Q4854" s="206"/>
      <c r="R4854" s="206"/>
      <c r="S4854" s="206"/>
      <c r="T4854" s="204"/>
      <c r="U4854" s="207"/>
      <c r="V4854" s="204"/>
      <c r="W4854" s="204"/>
      <c r="X4854" s="207"/>
      <c r="Y4854" s="207"/>
      <c r="Z4854" s="204"/>
      <c r="AA4854" s="204"/>
      <c r="AB4854" s="204"/>
      <c r="AC4854" s="204"/>
    </row>
    <row r="4855" spans="1:29">
      <c r="A4855" s="204"/>
      <c r="B4855" s="204"/>
      <c r="C4855" s="204"/>
      <c r="D4855" s="204"/>
      <c r="E4855" s="204"/>
      <c r="F4855" s="204"/>
      <c r="G4855" s="204"/>
      <c r="H4855" s="204"/>
      <c r="I4855" s="204"/>
      <c r="J4855" s="204"/>
      <c r="K4855" s="204"/>
      <c r="L4855" s="205"/>
      <c r="M4855" s="205"/>
      <c r="N4855" s="204"/>
      <c r="O4855" s="204"/>
      <c r="P4855" s="206"/>
      <c r="Q4855" s="206"/>
      <c r="R4855" s="206"/>
      <c r="S4855" s="206"/>
      <c r="T4855" s="204"/>
      <c r="U4855" s="207"/>
      <c r="V4855" s="204"/>
      <c r="W4855" s="204"/>
      <c r="X4855" s="207"/>
      <c r="Y4855" s="207"/>
      <c r="Z4855" s="204"/>
      <c r="AA4855" s="204"/>
      <c r="AB4855" s="204"/>
      <c r="AC4855" s="204"/>
    </row>
    <row r="4856" spans="1:29">
      <c r="A4856" s="204"/>
      <c r="B4856" s="204"/>
      <c r="C4856" s="204"/>
      <c r="D4856" s="204"/>
      <c r="E4856" s="204"/>
      <c r="F4856" s="204"/>
      <c r="G4856" s="204"/>
      <c r="H4856" s="204"/>
      <c r="I4856" s="204"/>
      <c r="J4856" s="204"/>
      <c r="K4856" s="204"/>
      <c r="L4856" s="205"/>
      <c r="M4856" s="205"/>
      <c r="N4856" s="204"/>
      <c r="O4856" s="204"/>
      <c r="P4856" s="206"/>
      <c r="Q4856" s="206"/>
      <c r="R4856" s="206"/>
      <c r="S4856" s="206"/>
      <c r="T4856" s="204"/>
      <c r="U4856" s="207"/>
      <c r="V4856" s="204"/>
      <c r="W4856" s="204"/>
      <c r="X4856" s="207"/>
      <c r="Y4856" s="207"/>
      <c r="Z4856" s="204"/>
      <c r="AA4856" s="204"/>
      <c r="AB4856" s="204"/>
      <c r="AC4856" s="204"/>
    </row>
    <row r="4857" spans="1:29">
      <c r="A4857" s="204"/>
      <c r="B4857" s="204"/>
      <c r="C4857" s="204"/>
      <c r="D4857" s="204"/>
      <c r="E4857" s="204"/>
      <c r="F4857" s="204"/>
      <c r="G4857" s="204"/>
      <c r="H4857" s="204"/>
      <c r="I4857" s="204"/>
      <c r="J4857" s="204"/>
      <c r="K4857" s="204"/>
      <c r="L4857" s="205"/>
      <c r="M4857" s="205"/>
      <c r="N4857" s="204"/>
      <c r="O4857" s="204"/>
      <c r="P4857" s="206"/>
      <c r="Q4857" s="206"/>
      <c r="R4857" s="206"/>
      <c r="S4857" s="206"/>
      <c r="T4857" s="204"/>
      <c r="U4857" s="207"/>
      <c r="V4857" s="204"/>
      <c r="W4857" s="204"/>
      <c r="X4857" s="207"/>
      <c r="Y4857" s="207"/>
      <c r="Z4857" s="204"/>
      <c r="AA4857" s="204"/>
      <c r="AB4857" s="204"/>
      <c r="AC4857" s="204"/>
    </row>
    <row r="4858" spans="1:29">
      <c r="A4858" s="204"/>
      <c r="B4858" s="204"/>
      <c r="C4858" s="204"/>
      <c r="D4858" s="204"/>
      <c r="E4858" s="204"/>
      <c r="F4858" s="204"/>
      <c r="G4858" s="204"/>
      <c r="H4858" s="204"/>
      <c r="I4858" s="204"/>
      <c r="J4858" s="204"/>
      <c r="K4858" s="204"/>
      <c r="L4858" s="205"/>
      <c r="M4858" s="205"/>
      <c r="N4858" s="204"/>
      <c r="O4858" s="204"/>
      <c r="P4858" s="206"/>
      <c r="Q4858" s="206"/>
      <c r="R4858" s="206"/>
      <c r="S4858" s="206"/>
      <c r="T4858" s="204"/>
      <c r="U4858" s="207"/>
      <c r="V4858" s="204"/>
      <c r="W4858" s="204"/>
      <c r="X4858" s="207"/>
      <c r="Y4858" s="207"/>
      <c r="Z4858" s="204"/>
      <c r="AA4858" s="204"/>
      <c r="AB4858" s="204"/>
      <c r="AC4858" s="204"/>
    </row>
    <row r="4859" spans="1:29">
      <c r="A4859" s="204"/>
      <c r="B4859" s="204"/>
      <c r="C4859" s="204"/>
      <c r="D4859" s="204"/>
      <c r="E4859" s="204"/>
      <c r="F4859" s="204"/>
      <c r="G4859" s="204"/>
      <c r="H4859" s="204"/>
      <c r="I4859" s="204"/>
      <c r="J4859" s="204"/>
      <c r="K4859" s="204"/>
      <c r="L4859" s="205"/>
      <c r="M4859" s="205"/>
      <c r="N4859" s="204"/>
      <c r="O4859" s="204"/>
      <c r="P4859" s="206"/>
      <c r="Q4859" s="206"/>
      <c r="R4859" s="206"/>
      <c r="S4859" s="206"/>
      <c r="T4859" s="204"/>
      <c r="U4859" s="207"/>
      <c r="V4859" s="204"/>
      <c r="W4859" s="204"/>
      <c r="X4859" s="207"/>
      <c r="Y4859" s="207"/>
      <c r="Z4859" s="204"/>
      <c r="AA4859" s="204"/>
      <c r="AB4859" s="204"/>
      <c r="AC4859" s="204"/>
    </row>
    <row r="4860" spans="1:29">
      <c r="A4860" s="204"/>
      <c r="B4860" s="204"/>
      <c r="C4860" s="204"/>
      <c r="D4860" s="204"/>
      <c r="E4860" s="204"/>
      <c r="F4860" s="204"/>
      <c r="G4860" s="204"/>
      <c r="H4860" s="204"/>
      <c r="I4860" s="204"/>
      <c r="J4860" s="204"/>
      <c r="K4860" s="204"/>
      <c r="L4860" s="205"/>
      <c r="M4860" s="205"/>
      <c r="N4860" s="204"/>
      <c r="O4860" s="204"/>
      <c r="P4860" s="206"/>
      <c r="Q4860" s="206"/>
      <c r="R4860" s="206"/>
      <c r="S4860" s="206"/>
      <c r="T4860" s="204"/>
      <c r="U4860" s="207"/>
      <c r="V4860" s="204"/>
      <c r="W4860" s="204"/>
      <c r="X4860" s="207"/>
      <c r="Y4860" s="207"/>
      <c r="Z4860" s="204"/>
      <c r="AA4860" s="204"/>
      <c r="AB4860" s="204"/>
      <c r="AC4860" s="204"/>
    </row>
    <row r="4861" spans="1:29">
      <c r="A4861" s="204"/>
      <c r="B4861" s="204"/>
      <c r="C4861" s="204"/>
      <c r="D4861" s="204"/>
      <c r="E4861" s="204"/>
      <c r="F4861" s="204"/>
      <c r="G4861" s="204"/>
      <c r="H4861" s="204"/>
      <c r="I4861" s="204"/>
      <c r="J4861" s="204"/>
      <c r="K4861" s="204"/>
      <c r="L4861" s="205"/>
      <c r="M4861" s="205"/>
      <c r="N4861" s="204"/>
      <c r="O4861" s="204"/>
      <c r="P4861" s="206"/>
      <c r="Q4861" s="206"/>
      <c r="R4861" s="206"/>
      <c r="S4861" s="206"/>
      <c r="T4861" s="204"/>
      <c r="U4861" s="207"/>
      <c r="V4861" s="204"/>
      <c r="W4861" s="204"/>
      <c r="X4861" s="207"/>
      <c r="Y4861" s="207"/>
      <c r="Z4861" s="204"/>
      <c r="AA4861" s="204"/>
      <c r="AB4861" s="204"/>
      <c r="AC4861" s="204"/>
    </row>
    <row r="4862" spans="1:29">
      <c r="A4862" s="204"/>
      <c r="B4862" s="204"/>
      <c r="C4862" s="204"/>
      <c r="D4862" s="204"/>
      <c r="E4862" s="204"/>
      <c r="F4862" s="204"/>
      <c r="G4862" s="204"/>
      <c r="H4862" s="204"/>
      <c r="I4862" s="204"/>
      <c r="J4862" s="204"/>
      <c r="K4862" s="204"/>
      <c r="L4862" s="205"/>
      <c r="M4862" s="205"/>
      <c r="N4862" s="204"/>
      <c r="O4862" s="204"/>
      <c r="P4862" s="206"/>
      <c r="Q4862" s="206"/>
      <c r="R4862" s="206"/>
      <c r="S4862" s="206"/>
      <c r="T4862" s="204"/>
      <c r="U4862" s="207"/>
      <c r="V4862" s="204"/>
      <c r="W4862" s="204"/>
      <c r="X4862" s="207"/>
      <c r="Y4862" s="207"/>
      <c r="Z4862" s="204"/>
      <c r="AA4862" s="204"/>
      <c r="AB4862" s="204"/>
      <c r="AC4862" s="204"/>
    </row>
    <row r="4863" spans="1:29">
      <c r="A4863" s="204"/>
      <c r="B4863" s="204"/>
      <c r="C4863" s="204"/>
      <c r="D4863" s="204"/>
      <c r="E4863" s="204"/>
      <c r="F4863" s="204"/>
      <c r="G4863" s="204"/>
      <c r="H4863" s="204"/>
      <c r="I4863" s="204"/>
      <c r="J4863" s="204"/>
      <c r="K4863" s="204"/>
      <c r="L4863" s="205"/>
      <c r="M4863" s="205"/>
      <c r="N4863" s="204"/>
      <c r="O4863" s="204"/>
      <c r="P4863" s="206"/>
      <c r="Q4863" s="206"/>
      <c r="R4863" s="206"/>
      <c r="S4863" s="206"/>
      <c r="T4863" s="204"/>
      <c r="U4863" s="207"/>
      <c r="V4863" s="204"/>
      <c r="W4863" s="204"/>
      <c r="X4863" s="207"/>
      <c r="Y4863" s="207"/>
      <c r="Z4863" s="204"/>
      <c r="AA4863" s="204"/>
      <c r="AB4863" s="204"/>
      <c r="AC4863" s="204"/>
    </row>
    <row r="4864" spans="1:29">
      <c r="A4864" s="204"/>
      <c r="B4864" s="204"/>
      <c r="C4864" s="204"/>
      <c r="D4864" s="204"/>
      <c r="E4864" s="204"/>
      <c r="F4864" s="204"/>
      <c r="G4864" s="204"/>
      <c r="H4864" s="204"/>
      <c r="I4864" s="204"/>
      <c r="J4864" s="204"/>
      <c r="K4864" s="204"/>
      <c r="L4864" s="205"/>
      <c r="M4864" s="205"/>
      <c r="N4864" s="204"/>
      <c r="O4864" s="204"/>
      <c r="P4864" s="206"/>
      <c r="Q4864" s="206"/>
      <c r="R4864" s="206"/>
      <c r="S4864" s="206"/>
      <c r="T4864" s="204"/>
      <c r="U4864" s="207"/>
      <c r="V4864" s="204"/>
      <c r="W4864" s="204"/>
      <c r="X4864" s="207"/>
      <c r="Y4864" s="207"/>
      <c r="Z4864" s="204"/>
      <c r="AA4864" s="204"/>
      <c r="AB4864" s="204"/>
      <c r="AC4864" s="204"/>
    </row>
    <row r="4865" spans="1:29">
      <c r="A4865" s="204"/>
      <c r="B4865" s="204"/>
      <c r="C4865" s="204"/>
      <c r="D4865" s="204"/>
      <c r="E4865" s="204"/>
      <c r="F4865" s="204"/>
      <c r="G4865" s="204"/>
      <c r="H4865" s="204"/>
      <c r="I4865" s="204"/>
      <c r="J4865" s="204"/>
      <c r="K4865" s="204"/>
      <c r="L4865" s="205"/>
      <c r="M4865" s="205"/>
      <c r="N4865" s="204"/>
      <c r="O4865" s="204"/>
      <c r="P4865" s="206"/>
      <c r="Q4865" s="206"/>
      <c r="R4865" s="206"/>
      <c r="S4865" s="206"/>
      <c r="T4865" s="204"/>
      <c r="U4865" s="207"/>
      <c r="V4865" s="204"/>
      <c r="W4865" s="204"/>
      <c r="X4865" s="207"/>
      <c r="Y4865" s="207"/>
      <c r="Z4865" s="204"/>
      <c r="AA4865" s="204"/>
      <c r="AB4865" s="204"/>
      <c r="AC4865" s="204"/>
    </row>
    <row r="4866" spans="1:29">
      <c r="A4866" s="204"/>
      <c r="B4866" s="204"/>
      <c r="C4866" s="204"/>
      <c r="D4866" s="204"/>
      <c r="E4866" s="204"/>
      <c r="F4866" s="204"/>
      <c r="G4866" s="204"/>
      <c r="H4866" s="204"/>
      <c r="I4866" s="204"/>
      <c r="J4866" s="204"/>
      <c r="K4866" s="204"/>
      <c r="L4866" s="205"/>
      <c r="M4866" s="205"/>
      <c r="N4866" s="204"/>
      <c r="O4866" s="204"/>
      <c r="P4866" s="206"/>
      <c r="Q4866" s="206"/>
      <c r="R4866" s="206"/>
      <c r="S4866" s="206"/>
      <c r="T4866" s="204"/>
      <c r="U4866" s="207"/>
      <c r="V4866" s="204"/>
      <c r="W4866" s="204"/>
      <c r="X4866" s="207"/>
      <c r="Y4866" s="207"/>
      <c r="Z4866" s="204"/>
      <c r="AA4866" s="204"/>
      <c r="AB4866" s="204"/>
      <c r="AC4866" s="204"/>
    </row>
    <row r="4867" spans="1:29">
      <c r="A4867" s="204"/>
      <c r="B4867" s="204"/>
      <c r="C4867" s="204"/>
      <c r="D4867" s="204"/>
      <c r="E4867" s="204"/>
      <c r="F4867" s="204"/>
      <c r="G4867" s="204"/>
      <c r="H4867" s="204"/>
      <c r="I4867" s="204"/>
      <c r="J4867" s="204"/>
      <c r="K4867" s="204"/>
      <c r="L4867" s="205"/>
      <c r="M4867" s="205"/>
      <c r="N4867" s="204"/>
      <c r="O4867" s="204"/>
      <c r="P4867" s="206"/>
      <c r="Q4867" s="206"/>
      <c r="R4867" s="206"/>
      <c r="S4867" s="206"/>
      <c r="T4867" s="204"/>
      <c r="U4867" s="207"/>
      <c r="V4867" s="204"/>
      <c r="W4867" s="204"/>
      <c r="X4867" s="207"/>
      <c r="Y4867" s="207"/>
      <c r="Z4867" s="204"/>
      <c r="AA4867" s="204"/>
      <c r="AB4867" s="204"/>
      <c r="AC4867" s="204"/>
    </row>
    <row r="4868" spans="1:29">
      <c r="A4868" s="204"/>
      <c r="B4868" s="204"/>
      <c r="C4868" s="204"/>
      <c r="D4868" s="204"/>
      <c r="E4868" s="204"/>
      <c r="F4868" s="204"/>
      <c r="G4868" s="204"/>
      <c r="H4868" s="204"/>
      <c r="I4868" s="204"/>
      <c r="J4868" s="204"/>
      <c r="K4868" s="204"/>
      <c r="L4868" s="205"/>
      <c r="M4868" s="205"/>
      <c r="N4868" s="204"/>
      <c r="O4868" s="204"/>
      <c r="P4868" s="206"/>
      <c r="Q4868" s="206"/>
      <c r="R4868" s="206"/>
      <c r="S4868" s="206"/>
      <c r="T4868" s="204"/>
      <c r="U4868" s="207"/>
      <c r="V4868" s="204"/>
      <c r="W4868" s="204"/>
      <c r="X4868" s="207"/>
      <c r="Y4868" s="207"/>
      <c r="Z4868" s="204"/>
      <c r="AA4868" s="204"/>
      <c r="AB4868" s="204"/>
      <c r="AC4868" s="204"/>
    </row>
    <row r="4869" spans="1:29">
      <c r="A4869" s="204"/>
      <c r="B4869" s="204"/>
      <c r="C4869" s="204"/>
      <c r="D4869" s="204"/>
      <c r="E4869" s="204"/>
      <c r="F4869" s="204"/>
      <c r="G4869" s="204"/>
      <c r="H4869" s="204"/>
      <c r="I4869" s="204"/>
      <c r="J4869" s="204"/>
      <c r="K4869" s="204"/>
      <c r="L4869" s="205"/>
      <c r="M4869" s="205"/>
      <c r="N4869" s="204"/>
      <c r="O4869" s="204"/>
      <c r="P4869" s="206"/>
      <c r="Q4869" s="206"/>
      <c r="R4869" s="206"/>
      <c r="S4869" s="206"/>
      <c r="T4869" s="204"/>
      <c r="U4869" s="207"/>
      <c r="V4869" s="204"/>
      <c r="W4869" s="204"/>
      <c r="X4869" s="207"/>
      <c r="Y4869" s="207"/>
      <c r="Z4869" s="204"/>
      <c r="AA4869" s="204"/>
      <c r="AB4869" s="204"/>
      <c r="AC4869" s="204"/>
    </row>
    <row r="4870" spans="1:29">
      <c r="A4870" s="204"/>
      <c r="B4870" s="204"/>
      <c r="C4870" s="204"/>
      <c r="D4870" s="204"/>
      <c r="E4870" s="204"/>
      <c r="F4870" s="204"/>
      <c r="G4870" s="204"/>
      <c r="H4870" s="204"/>
      <c r="I4870" s="204"/>
      <c r="J4870" s="204"/>
      <c r="K4870" s="204"/>
      <c r="L4870" s="205"/>
      <c r="M4870" s="205"/>
      <c r="N4870" s="204"/>
      <c r="O4870" s="204"/>
      <c r="P4870" s="206"/>
      <c r="Q4870" s="206"/>
      <c r="R4870" s="206"/>
      <c r="S4870" s="206"/>
      <c r="T4870" s="204"/>
      <c r="U4870" s="207"/>
      <c r="V4870" s="204"/>
      <c r="W4870" s="204"/>
      <c r="X4870" s="207"/>
      <c r="Y4870" s="207"/>
      <c r="Z4870" s="204"/>
      <c r="AA4870" s="204"/>
      <c r="AB4870" s="204"/>
      <c r="AC4870" s="204"/>
    </row>
    <row r="4871" spans="1:29">
      <c r="A4871" s="204"/>
      <c r="B4871" s="204"/>
      <c r="C4871" s="204"/>
      <c r="D4871" s="204"/>
      <c r="E4871" s="204"/>
      <c r="F4871" s="204"/>
      <c r="G4871" s="204"/>
      <c r="H4871" s="204"/>
      <c r="I4871" s="204"/>
      <c r="J4871" s="204"/>
      <c r="K4871" s="204"/>
      <c r="L4871" s="205"/>
      <c r="M4871" s="205"/>
      <c r="N4871" s="204"/>
      <c r="O4871" s="204"/>
      <c r="P4871" s="206"/>
      <c r="Q4871" s="206"/>
      <c r="R4871" s="206"/>
      <c r="S4871" s="206"/>
      <c r="T4871" s="204"/>
      <c r="U4871" s="207"/>
      <c r="V4871" s="204"/>
      <c r="W4871" s="204"/>
      <c r="X4871" s="207"/>
      <c r="Y4871" s="207"/>
      <c r="Z4871" s="204"/>
      <c r="AA4871" s="204"/>
      <c r="AB4871" s="204"/>
      <c r="AC4871" s="204"/>
    </row>
    <row r="4872" spans="1:29">
      <c r="A4872" s="204"/>
      <c r="B4872" s="204"/>
      <c r="C4872" s="204"/>
      <c r="D4872" s="204"/>
      <c r="E4872" s="204"/>
      <c r="F4872" s="204"/>
      <c r="G4872" s="204"/>
      <c r="H4872" s="204"/>
      <c r="I4872" s="204"/>
      <c r="J4872" s="204"/>
      <c r="K4872" s="204"/>
      <c r="L4872" s="205"/>
      <c r="M4872" s="205"/>
      <c r="N4872" s="204"/>
      <c r="O4872" s="204"/>
      <c r="P4872" s="206"/>
      <c r="Q4872" s="206"/>
      <c r="R4872" s="206"/>
      <c r="S4872" s="206"/>
      <c r="T4872" s="204"/>
      <c r="U4872" s="207"/>
      <c r="V4872" s="204"/>
      <c r="W4872" s="204"/>
      <c r="X4872" s="207"/>
      <c r="Y4872" s="207"/>
      <c r="Z4872" s="204"/>
      <c r="AA4872" s="204"/>
      <c r="AB4872" s="204"/>
      <c r="AC4872" s="204"/>
    </row>
    <row r="4873" spans="1:29">
      <c r="A4873" s="204"/>
      <c r="B4873" s="204"/>
      <c r="C4873" s="204"/>
      <c r="D4873" s="204"/>
      <c r="E4873" s="204"/>
      <c r="F4873" s="204"/>
      <c r="G4873" s="204"/>
      <c r="H4873" s="204"/>
      <c r="I4873" s="204"/>
      <c r="J4873" s="204"/>
      <c r="K4873" s="204"/>
      <c r="L4873" s="205"/>
      <c r="M4873" s="205"/>
      <c r="N4873" s="204"/>
      <c r="O4873" s="204"/>
      <c r="P4873" s="206"/>
      <c r="Q4873" s="206"/>
      <c r="R4873" s="206"/>
      <c r="S4873" s="206"/>
      <c r="T4873" s="204"/>
      <c r="U4873" s="207"/>
      <c r="V4873" s="204"/>
      <c r="W4873" s="204"/>
      <c r="X4873" s="207"/>
      <c r="Y4873" s="207"/>
      <c r="Z4873" s="204"/>
      <c r="AA4873" s="204"/>
      <c r="AB4873" s="204"/>
      <c r="AC4873" s="204"/>
    </row>
    <row r="4874" spans="1:29">
      <c r="A4874" s="204"/>
      <c r="B4874" s="204"/>
      <c r="C4874" s="204"/>
      <c r="D4874" s="204"/>
      <c r="E4874" s="204"/>
      <c r="F4874" s="204"/>
      <c r="G4874" s="204"/>
      <c r="H4874" s="204"/>
      <c r="I4874" s="204"/>
      <c r="J4874" s="204"/>
      <c r="K4874" s="204"/>
      <c r="L4874" s="205"/>
      <c r="M4874" s="205"/>
      <c r="N4874" s="204"/>
      <c r="O4874" s="204"/>
      <c r="P4874" s="206"/>
      <c r="Q4874" s="206"/>
      <c r="R4874" s="206"/>
      <c r="S4874" s="206"/>
      <c r="T4874" s="204"/>
      <c r="U4874" s="207"/>
      <c r="V4874" s="204"/>
      <c r="W4874" s="204"/>
      <c r="X4874" s="207"/>
      <c r="Y4874" s="207"/>
      <c r="Z4874" s="204"/>
      <c r="AA4874" s="204"/>
      <c r="AB4874" s="204"/>
      <c r="AC4874" s="204"/>
    </row>
    <row r="4875" spans="1:29">
      <c r="A4875" s="204"/>
      <c r="B4875" s="204"/>
      <c r="C4875" s="204"/>
      <c r="D4875" s="204"/>
      <c r="E4875" s="204"/>
      <c r="F4875" s="204"/>
      <c r="G4875" s="204"/>
      <c r="H4875" s="204"/>
      <c r="I4875" s="204"/>
      <c r="J4875" s="204"/>
      <c r="K4875" s="204"/>
      <c r="L4875" s="205"/>
      <c r="M4875" s="205"/>
      <c r="N4875" s="204"/>
      <c r="O4875" s="204"/>
      <c r="P4875" s="206"/>
      <c r="Q4875" s="206"/>
      <c r="R4875" s="206"/>
      <c r="S4875" s="206"/>
      <c r="T4875" s="204"/>
      <c r="U4875" s="207"/>
      <c r="V4875" s="204"/>
      <c r="W4875" s="204"/>
      <c r="X4875" s="207"/>
      <c r="Y4875" s="207"/>
      <c r="Z4875" s="204"/>
      <c r="AA4875" s="204"/>
      <c r="AB4875" s="204"/>
      <c r="AC4875" s="204"/>
    </row>
    <row r="4876" spans="1:29">
      <c r="A4876" s="204"/>
      <c r="B4876" s="204"/>
      <c r="C4876" s="204"/>
      <c r="D4876" s="204"/>
      <c r="E4876" s="204"/>
      <c r="F4876" s="204"/>
      <c r="G4876" s="204"/>
      <c r="H4876" s="204"/>
      <c r="I4876" s="204"/>
      <c r="J4876" s="204"/>
      <c r="K4876" s="204"/>
      <c r="L4876" s="205"/>
      <c r="M4876" s="205"/>
      <c r="N4876" s="204"/>
      <c r="O4876" s="204"/>
      <c r="P4876" s="206"/>
      <c r="Q4876" s="206"/>
      <c r="R4876" s="206"/>
      <c r="S4876" s="206"/>
      <c r="T4876" s="204"/>
      <c r="U4876" s="207"/>
      <c r="V4876" s="204"/>
      <c r="W4876" s="204"/>
      <c r="X4876" s="207"/>
      <c r="Y4876" s="207"/>
      <c r="Z4876" s="204"/>
      <c r="AA4876" s="204"/>
      <c r="AB4876" s="204"/>
      <c r="AC4876" s="204"/>
    </row>
    <row r="4877" spans="1:29">
      <c r="A4877" s="204"/>
      <c r="B4877" s="204"/>
      <c r="C4877" s="204"/>
      <c r="D4877" s="204"/>
      <c r="E4877" s="204"/>
      <c r="F4877" s="204"/>
      <c r="G4877" s="204"/>
      <c r="H4877" s="204"/>
      <c r="I4877" s="204"/>
      <c r="J4877" s="204"/>
      <c r="K4877" s="204"/>
      <c r="L4877" s="205"/>
      <c r="M4877" s="205"/>
      <c r="N4877" s="204"/>
      <c r="O4877" s="204"/>
      <c r="P4877" s="206"/>
      <c r="Q4877" s="206"/>
      <c r="R4877" s="206"/>
      <c r="S4877" s="206"/>
      <c r="T4877" s="204"/>
      <c r="U4877" s="207"/>
      <c r="V4877" s="204"/>
      <c r="W4877" s="204"/>
      <c r="X4877" s="207"/>
      <c r="Y4877" s="207"/>
      <c r="Z4877" s="204"/>
      <c r="AA4877" s="204"/>
      <c r="AB4877" s="204"/>
      <c r="AC4877" s="204"/>
    </row>
    <row r="4878" spans="1:29">
      <c r="A4878" s="204"/>
      <c r="B4878" s="204"/>
      <c r="C4878" s="204"/>
      <c r="D4878" s="204"/>
      <c r="E4878" s="204"/>
      <c r="F4878" s="204"/>
      <c r="G4878" s="204"/>
      <c r="H4878" s="204"/>
      <c r="I4878" s="204"/>
      <c r="J4878" s="204"/>
      <c r="K4878" s="204"/>
      <c r="L4878" s="205"/>
      <c r="M4878" s="205"/>
      <c r="N4878" s="204"/>
      <c r="O4878" s="204"/>
      <c r="P4878" s="206"/>
      <c r="Q4878" s="206"/>
      <c r="R4878" s="206"/>
      <c r="S4878" s="206"/>
      <c r="T4878" s="204"/>
      <c r="U4878" s="207"/>
      <c r="V4878" s="204"/>
      <c r="W4878" s="204"/>
      <c r="X4878" s="207"/>
      <c r="Y4878" s="207"/>
      <c r="Z4878" s="204"/>
      <c r="AA4878" s="204"/>
      <c r="AB4878" s="204"/>
      <c r="AC4878" s="204"/>
    </row>
    <row r="4879" spans="1:29">
      <c r="A4879" s="204"/>
      <c r="B4879" s="204"/>
      <c r="C4879" s="204"/>
      <c r="D4879" s="204"/>
      <c r="E4879" s="204"/>
      <c r="F4879" s="204"/>
      <c r="G4879" s="204"/>
      <c r="H4879" s="204"/>
      <c r="I4879" s="204"/>
      <c r="J4879" s="204"/>
      <c r="K4879" s="204"/>
      <c r="L4879" s="205"/>
      <c r="M4879" s="205"/>
      <c r="N4879" s="204"/>
      <c r="O4879" s="204"/>
      <c r="P4879" s="206"/>
      <c r="Q4879" s="206"/>
      <c r="R4879" s="206"/>
      <c r="S4879" s="206"/>
      <c r="T4879" s="204"/>
      <c r="U4879" s="207"/>
      <c r="V4879" s="204"/>
      <c r="W4879" s="204"/>
      <c r="X4879" s="207"/>
      <c r="Y4879" s="207"/>
      <c r="Z4879" s="204"/>
      <c r="AA4879" s="204"/>
      <c r="AB4879" s="204"/>
      <c r="AC4879" s="204"/>
    </row>
    <row r="4880" spans="1:29">
      <c r="A4880" s="204"/>
      <c r="B4880" s="204"/>
      <c r="C4880" s="204"/>
      <c r="D4880" s="204"/>
      <c r="E4880" s="204"/>
      <c r="F4880" s="204"/>
      <c r="G4880" s="204"/>
      <c r="H4880" s="204"/>
      <c r="I4880" s="204"/>
      <c r="J4880" s="204"/>
      <c r="K4880" s="204"/>
      <c r="L4880" s="205"/>
      <c r="M4880" s="205"/>
      <c r="N4880" s="204"/>
      <c r="O4880" s="204"/>
      <c r="P4880" s="206"/>
      <c r="Q4880" s="206"/>
      <c r="R4880" s="206"/>
      <c r="S4880" s="206"/>
      <c r="T4880" s="204"/>
      <c r="U4880" s="207"/>
      <c r="V4880" s="204"/>
      <c r="W4880" s="204"/>
      <c r="X4880" s="207"/>
      <c r="Y4880" s="207"/>
      <c r="Z4880" s="204"/>
      <c r="AA4880" s="204"/>
      <c r="AB4880" s="204"/>
      <c r="AC4880" s="204"/>
    </row>
    <row r="4881" spans="1:29">
      <c r="A4881" s="204"/>
      <c r="B4881" s="204"/>
      <c r="C4881" s="204"/>
      <c r="D4881" s="204"/>
      <c r="E4881" s="204"/>
      <c r="F4881" s="204"/>
      <c r="G4881" s="204"/>
      <c r="H4881" s="204"/>
      <c r="I4881" s="204"/>
      <c r="J4881" s="204"/>
      <c r="K4881" s="204"/>
      <c r="L4881" s="205"/>
      <c r="M4881" s="205"/>
      <c r="N4881" s="204"/>
      <c r="O4881" s="204"/>
      <c r="P4881" s="206"/>
      <c r="Q4881" s="206"/>
      <c r="R4881" s="206"/>
      <c r="S4881" s="206"/>
      <c r="T4881" s="204"/>
      <c r="U4881" s="207"/>
      <c r="V4881" s="204"/>
      <c r="W4881" s="204"/>
      <c r="X4881" s="207"/>
      <c r="Y4881" s="207"/>
      <c r="Z4881" s="204"/>
      <c r="AA4881" s="204"/>
      <c r="AB4881" s="204"/>
      <c r="AC4881" s="204"/>
    </row>
    <row r="4882" spans="1:29">
      <c r="A4882" s="204"/>
      <c r="B4882" s="204"/>
      <c r="C4882" s="204"/>
      <c r="D4882" s="204"/>
      <c r="E4882" s="204"/>
      <c r="F4882" s="204"/>
      <c r="G4882" s="204"/>
      <c r="H4882" s="204"/>
      <c r="I4882" s="204"/>
      <c r="J4882" s="204"/>
      <c r="K4882" s="204"/>
      <c r="L4882" s="205"/>
      <c r="M4882" s="205"/>
      <c r="N4882" s="204"/>
      <c r="O4882" s="204"/>
      <c r="P4882" s="206"/>
      <c r="Q4882" s="206"/>
      <c r="R4882" s="206"/>
      <c r="S4882" s="206"/>
      <c r="T4882" s="204"/>
      <c r="U4882" s="207"/>
      <c r="V4882" s="204"/>
      <c r="W4882" s="204"/>
      <c r="X4882" s="207"/>
      <c r="Y4882" s="207"/>
      <c r="Z4882" s="204"/>
      <c r="AA4882" s="204"/>
      <c r="AB4882" s="204"/>
      <c r="AC4882" s="204"/>
    </row>
    <row r="4883" spans="1:29">
      <c r="A4883" s="204"/>
      <c r="B4883" s="204"/>
      <c r="C4883" s="204"/>
      <c r="D4883" s="204"/>
      <c r="E4883" s="204"/>
      <c r="F4883" s="204"/>
      <c r="G4883" s="204"/>
      <c r="H4883" s="204"/>
      <c r="I4883" s="204"/>
      <c r="J4883" s="204"/>
      <c r="K4883" s="204"/>
      <c r="L4883" s="205"/>
      <c r="M4883" s="205"/>
      <c r="N4883" s="204"/>
      <c r="O4883" s="204"/>
      <c r="P4883" s="206"/>
      <c r="Q4883" s="206"/>
      <c r="R4883" s="206"/>
      <c r="S4883" s="206"/>
      <c r="T4883" s="204"/>
      <c r="U4883" s="207"/>
      <c r="V4883" s="204"/>
      <c r="W4883" s="204"/>
      <c r="X4883" s="207"/>
      <c r="Y4883" s="207"/>
      <c r="Z4883" s="204"/>
      <c r="AA4883" s="204"/>
      <c r="AB4883" s="204"/>
      <c r="AC4883" s="204"/>
    </row>
    <row r="4884" spans="1:29">
      <c r="A4884" s="204"/>
      <c r="B4884" s="204"/>
      <c r="C4884" s="204"/>
      <c r="D4884" s="204"/>
      <c r="E4884" s="204"/>
      <c r="F4884" s="204"/>
      <c r="G4884" s="204"/>
      <c r="H4884" s="204"/>
      <c r="I4884" s="204"/>
      <c r="J4884" s="204"/>
      <c r="K4884" s="204"/>
      <c r="L4884" s="205"/>
      <c r="M4884" s="205"/>
      <c r="N4884" s="204"/>
      <c r="O4884" s="204"/>
      <c r="P4884" s="206"/>
      <c r="Q4884" s="206"/>
      <c r="R4884" s="206"/>
      <c r="S4884" s="206"/>
      <c r="T4884" s="204"/>
      <c r="U4884" s="207"/>
      <c r="V4884" s="204"/>
      <c r="W4884" s="204"/>
      <c r="X4884" s="207"/>
      <c r="Y4884" s="207"/>
      <c r="Z4884" s="204"/>
      <c r="AA4884" s="204"/>
      <c r="AB4884" s="204"/>
      <c r="AC4884" s="204"/>
    </row>
    <row r="4885" spans="1:29">
      <c r="A4885" s="204"/>
      <c r="B4885" s="204"/>
      <c r="C4885" s="204"/>
      <c r="D4885" s="204"/>
      <c r="E4885" s="204"/>
      <c r="F4885" s="204"/>
      <c r="G4885" s="204"/>
      <c r="H4885" s="204"/>
      <c r="I4885" s="204"/>
      <c r="J4885" s="204"/>
      <c r="K4885" s="204"/>
      <c r="L4885" s="205"/>
      <c r="M4885" s="205"/>
      <c r="N4885" s="204"/>
      <c r="O4885" s="204"/>
      <c r="P4885" s="206"/>
      <c r="Q4885" s="206"/>
      <c r="R4885" s="206"/>
      <c r="S4885" s="206"/>
      <c r="T4885" s="204"/>
      <c r="U4885" s="207"/>
      <c r="V4885" s="204"/>
      <c r="W4885" s="204"/>
      <c r="X4885" s="207"/>
      <c r="Y4885" s="207"/>
      <c r="Z4885" s="204"/>
      <c r="AA4885" s="204"/>
      <c r="AB4885" s="204"/>
      <c r="AC4885" s="204"/>
    </row>
    <row r="4886" spans="1:29">
      <c r="A4886" s="204"/>
      <c r="B4886" s="204"/>
      <c r="C4886" s="204"/>
      <c r="D4886" s="204"/>
      <c r="E4886" s="204"/>
      <c r="F4886" s="204"/>
      <c r="G4886" s="204"/>
      <c r="H4886" s="204"/>
      <c r="I4886" s="204"/>
      <c r="J4886" s="204"/>
      <c r="K4886" s="204"/>
      <c r="L4886" s="205"/>
      <c r="M4886" s="205"/>
      <c r="N4886" s="204"/>
      <c r="O4886" s="204"/>
      <c r="P4886" s="206"/>
      <c r="Q4886" s="206"/>
      <c r="R4886" s="206"/>
      <c r="S4886" s="206"/>
      <c r="T4886" s="204"/>
      <c r="U4886" s="207"/>
      <c r="V4886" s="204"/>
      <c r="W4886" s="204"/>
      <c r="X4886" s="207"/>
      <c r="Y4886" s="207"/>
      <c r="Z4886" s="204"/>
      <c r="AA4886" s="204"/>
      <c r="AB4886" s="204"/>
      <c r="AC4886" s="204"/>
    </row>
    <row r="4887" spans="1:29">
      <c r="A4887" s="204"/>
      <c r="B4887" s="204"/>
      <c r="C4887" s="204"/>
      <c r="D4887" s="204"/>
      <c r="E4887" s="204"/>
      <c r="F4887" s="204"/>
      <c r="G4887" s="204"/>
      <c r="H4887" s="204"/>
      <c r="I4887" s="204"/>
      <c r="J4887" s="204"/>
      <c r="K4887" s="204"/>
      <c r="L4887" s="205"/>
      <c r="M4887" s="205"/>
      <c r="N4887" s="204"/>
      <c r="O4887" s="204"/>
      <c r="P4887" s="206"/>
      <c r="Q4887" s="206"/>
      <c r="R4887" s="206"/>
      <c r="S4887" s="206"/>
      <c r="T4887" s="204"/>
      <c r="U4887" s="207"/>
      <c r="V4887" s="204"/>
      <c r="W4887" s="204"/>
      <c r="X4887" s="207"/>
      <c r="Y4887" s="207"/>
      <c r="Z4887" s="204"/>
      <c r="AA4887" s="204"/>
      <c r="AB4887" s="204"/>
      <c r="AC4887" s="204"/>
    </row>
    <row r="4888" spans="1:29">
      <c r="A4888" s="204"/>
      <c r="B4888" s="204"/>
      <c r="C4888" s="204"/>
      <c r="D4888" s="204"/>
      <c r="E4888" s="204"/>
      <c r="F4888" s="204"/>
      <c r="G4888" s="204"/>
      <c r="H4888" s="204"/>
      <c r="I4888" s="204"/>
      <c r="J4888" s="204"/>
      <c r="K4888" s="204"/>
      <c r="L4888" s="205"/>
      <c r="M4888" s="205"/>
      <c r="N4888" s="204"/>
      <c r="O4888" s="204"/>
      <c r="P4888" s="206"/>
      <c r="Q4888" s="206"/>
      <c r="R4888" s="206"/>
      <c r="S4888" s="206"/>
      <c r="T4888" s="204"/>
      <c r="U4888" s="207"/>
      <c r="V4888" s="204"/>
      <c r="W4888" s="204"/>
      <c r="X4888" s="207"/>
      <c r="Y4888" s="207"/>
      <c r="Z4888" s="204"/>
      <c r="AA4888" s="204"/>
      <c r="AB4888" s="204"/>
      <c r="AC4888" s="204"/>
    </row>
    <row r="4889" spans="1:29">
      <c r="A4889" s="204"/>
      <c r="B4889" s="204"/>
      <c r="C4889" s="204"/>
      <c r="D4889" s="204"/>
      <c r="E4889" s="204"/>
      <c r="F4889" s="204"/>
      <c r="G4889" s="204"/>
      <c r="H4889" s="204"/>
      <c r="I4889" s="204"/>
      <c r="J4889" s="204"/>
      <c r="K4889" s="204"/>
      <c r="L4889" s="205"/>
      <c r="M4889" s="205"/>
      <c r="N4889" s="204"/>
      <c r="O4889" s="204"/>
      <c r="P4889" s="206"/>
      <c r="Q4889" s="206"/>
      <c r="R4889" s="206"/>
      <c r="S4889" s="206"/>
      <c r="T4889" s="204"/>
      <c r="U4889" s="207"/>
      <c r="V4889" s="204"/>
      <c r="W4889" s="204"/>
      <c r="X4889" s="207"/>
      <c r="Y4889" s="207"/>
      <c r="Z4889" s="204"/>
      <c r="AA4889" s="204"/>
      <c r="AB4889" s="204"/>
      <c r="AC4889" s="204"/>
    </row>
    <row r="4890" spans="1:29">
      <c r="A4890" s="204"/>
      <c r="B4890" s="204"/>
      <c r="C4890" s="204"/>
      <c r="D4890" s="204"/>
      <c r="E4890" s="204"/>
      <c r="F4890" s="204"/>
      <c r="G4890" s="204"/>
      <c r="H4890" s="204"/>
      <c r="I4890" s="204"/>
      <c r="J4890" s="204"/>
      <c r="K4890" s="204"/>
      <c r="L4890" s="205"/>
      <c r="M4890" s="205"/>
      <c r="N4890" s="204"/>
      <c r="O4890" s="204"/>
      <c r="P4890" s="206"/>
      <c r="Q4890" s="206"/>
      <c r="R4890" s="206"/>
      <c r="S4890" s="206"/>
      <c r="T4890" s="204"/>
      <c r="U4890" s="207"/>
      <c r="V4890" s="204"/>
      <c r="W4890" s="204"/>
      <c r="X4890" s="207"/>
      <c r="Y4890" s="207"/>
      <c r="Z4890" s="204"/>
      <c r="AA4890" s="204"/>
      <c r="AB4890" s="204"/>
      <c r="AC4890" s="204"/>
    </row>
    <row r="4891" spans="1:29">
      <c r="A4891" s="204"/>
      <c r="B4891" s="204"/>
      <c r="C4891" s="204"/>
      <c r="D4891" s="204"/>
      <c r="E4891" s="204"/>
      <c r="F4891" s="204"/>
      <c r="G4891" s="204"/>
      <c r="H4891" s="204"/>
      <c r="I4891" s="204"/>
      <c r="J4891" s="204"/>
      <c r="K4891" s="204"/>
      <c r="L4891" s="205"/>
      <c r="M4891" s="205"/>
      <c r="N4891" s="204"/>
      <c r="O4891" s="204"/>
      <c r="P4891" s="206"/>
      <c r="Q4891" s="206"/>
      <c r="R4891" s="206"/>
      <c r="S4891" s="206"/>
      <c r="T4891" s="204"/>
      <c r="U4891" s="207"/>
      <c r="V4891" s="204"/>
      <c r="W4891" s="204"/>
      <c r="X4891" s="207"/>
      <c r="Y4891" s="207"/>
      <c r="Z4891" s="204"/>
      <c r="AA4891" s="204"/>
      <c r="AB4891" s="204"/>
      <c r="AC4891" s="204"/>
    </row>
    <row r="4892" spans="1:29">
      <c r="A4892" s="204"/>
      <c r="B4892" s="204"/>
      <c r="C4892" s="204"/>
      <c r="D4892" s="204"/>
      <c r="E4892" s="204"/>
      <c r="F4892" s="204"/>
      <c r="G4892" s="204"/>
      <c r="H4892" s="204"/>
      <c r="I4892" s="204"/>
      <c r="J4892" s="204"/>
      <c r="K4892" s="204"/>
      <c r="L4892" s="205"/>
      <c r="M4892" s="205"/>
      <c r="N4892" s="204"/>
      <c r="O4892" s="204"/>
      <c r="P4892" s="206"/>
      <c r="Q4892" s="206"/>
      <c r="R4892" s="206"/>
      <c r="S4892" s="206"/>
      <c r="T4892" s="204"/>
      <c r="U4892" s="207"/>
      <c r="V4892" s="204"/>
      <c r="W4892" s="204"/>
      <c r="X4892" s="207"/>
      <c r="Y4892" s="207"/>
      <c r="Z4892" s="204"/>
      <c r="AA4892" s="204"/>
      <c r="AB4892" s="204"/>
      <c r="AC4892" s="204"/>
    </row>
    <row r="4893" spans="1:29">
      <c r="A4893" s="204"/>
      <c r="B4893" s="204"/>
      <c r="C4893" s="204"/>
      <c r="D4893" s="204"/>
      <c r="E4893" s="204"/>
      <c r="F4893" s="204"/>
      <c r="G4893" s="204"/>
      <c r="H4893" s="204"/>
      <c r="I4893" s="204"/>
      <c r="J4893" s="204"/>
      <c r="K4893" s="204"/>
      <c r="L4893" s="205"/>
      <c r="M4893" s="205"/>
      <c r="N4893" s="204"/>
      <c r="O4893" s="204"/>
      <c r="P4893" s="206"/>
      <c r="Q4893" s="206"/>
      <c r="R4893" s="206"/>
      <c r="S4893" s="206"/>
      <c r="T4893" s="204"/>
      <c r="U4893" s="207"/>
      <c r="V4893" s="204"/>
      <c r="W4893" s="204"/>
      <c r="X4893" s="207"/>
      <c r="Y4893" s="207"/>
      <c r="Z4893" s="204"/>
      <c r="AA4893" s="204"/>
      <c r="AB4893" s="204"/>
      <c r="AC4893" s="204"/>
    </row>
    <row r="4894" spans="1:29">
      <c r="A4894" s="204"/>
      <c r="B4894" s="204"/>
      <c r="C4894" s="204"/>
      <c r="D4894" s="204"/>
      <c r="E4894" s="204"/>
      <c r="F4894" s="204"/>
      <c r="G4894" s="204"/>
      <c r="H4894" s="204"/>
      <c r="I4894" s="204"/>
      <c r="J4894" s="204"/>
      <c r="K4894" s="204"/>
      <c r="L4894" s="205"/>
      <c r="M4894" s="205"/>
      <c r="N4894" s="204"/>
      <c r="O4894" s="204"/>
      <c r="P4894" s="206"/>
      <c r="Q4894" s="206"/>
      <c r="R4894" s="206"/>
      <c r="S4894" s="206"/>
      <c r="T4894" s="204"/>
      <c r="U4894" s="207"/>
      <c r="V4894" s="204"/>
      <c r="W4894" s="204"/>
      <c r="X4894" s="207"/>
      <c r="Y4894" s="207"/>
      <c r="Z4894" s="204"/>
      <c r="AA4894" s="204"/>
      <c r="AB4894" s="204"/>
      <c r="AC4894" s="204"/>
    </row>
    <row r="4895" spans="1:29">
      <c r="A4895" s="204"/>
      <c r="B4895" s="204"/>
      <c r="C4895" s="204"/>
      <c r="D4895" s="204"/>
      <c r="E4895" s="204"/>
      <c r="F4895" s="204"/>
      <c r="G4895" s="204"/>
      <c r="H4895" s="204"/>
      <c r="I4895" s="204"/>
      <c r="J4895" s="204"/>
      <c r="K4895" s="204"/>
      <c r="L4895" s="205"/>
      <c r="M4895" s="205"/>
      <c r="N4895" s="204"/>
      <c r="O4895" s="204"/>
      <c r="P4895" s="206"/>
      <c r="Q4895" s="206"/>
      <c r="R4895" s="206"/>
      <c r="S4895" s="206"/>
      <c r="T4895" s="204"/>
      <c r="U4895" s="207"/>
      <c r="V4895" s="204"/>
      <c r="W4895" s="204"/>
      <c r="X4895" s="207"/>
      <c r="Y4895" s="207"/>
      <c r="Z4895" s="204"/>
      <c r="AA4895" s="204"/>
      <c r="AB4895" s="204"/>
      <c r="AC4895" s="204"/>
    </row>
    <row r="4896" spans="1:29">
      <c r="A4896" s="204"/>
      <c r="B4896" s="204"/>
      <c r="C4896" s="204"/>
      <c r="D4896" s="204"/>
      <c r="E4896" s="204"/>
      <c r="F4896" s="204"/>
      <c r="G4896" s="204"/>
      <c r="H4896" s="204"/>
      <c r="I4896" s="204"/>
      <c r="J4896" s="204"/>
      <c r="K4896" s="204"/>
      <c r="L4896" s="205"/>
      <c r="M4896" s="205"/>
      <c r="N4896" s="204"/>
      <c r="O4896" s="204"/>
      <c r="P4896" s="206"/>
      <c r="Q4896" s="206"/>
      <c r="R4896" s="206"/>
      <c r="S4896" s="206"/>
      <c r="T4896" s="204"/>
      <c r="U4896" s="207"/>
      <c r="V4896" s="204"/>
      <c r="W4896" s="204"/>
      <c r="X4896" s="207"/>
      <c r="Y4896" s="207"/>
      <c r="Z4896" s="204"/>
      <c r="AA4896" s="204"/>
      <c r="AB4896" s="204"/>
      <c r="AC4896" s="204"/>
    </row>
    <row r="4897" spans="1:29">
      <c r="A4897" s="204"/>
      <c r="B4897" s="204"/>
      <c r="C4897" s="204"/>
      <c r="D4897" s="204"/>
      <c r="E4897" s="204"/>
      <c r="F4897" s="204"/>
      <c r="G4897" s="204"/>
      <c r="H4897" s="204"/>
      <c r="I4897" s="204"/>
      <c r="J4897" s="204"/>
      <c r="K4897" s="204"/>
      <c r="L4897" s="205"/>
      <c r="M4897" s="205"/>
      <c r="N4897" s="204"/>
      <c r="O4897" s="204"/>
      <c r="P4897" s="206"/>
      <c r="Q4897" s="206"/>
      <c r="R4897" s="206"/>
      <c r="S4897" s="206"/>
      <c r="T4897" s="204"/>
      <c r="U4897" s="207"/>
      <c r="V4897" s="204"/>
      <c r="W4897" s="204"/>
      <c r="X4897" s="207"/>
      <c r="Y4897" s="207"/>
      <c r="Z4897" s="204"/>
      <c r="AA4897" s="204"/>
      <c r="AB4897" s="204"/>
      <c r="AC4897" s="204"/>
    </row>
    <row r="4898" spans="1:29">
      <c r="A4898" s="204"/>
      <c r="B4898" s="204"/>
      <c r="C4898" s="204"/>
      <c r="D4898" s="204"/>
      <c r="E4898" s="204"/>
      <c r="F4898" s="204"/>
      <c r="G4898" s="204"/>
      <c r="H4898" s="204"/>
      <c r="I4898" s="204"/>
      <c r="J4898" s="204"/>
      <c r="K4898" s="204"/>
      <c r="L4898" s="205"/>
      <c r="M4898" s="205"/>
      <c r="N4898" s="204"/>
      <c r="O4898" s="204"/>
      <c r="P4898" s="206"/>
      <c r="Q4898" s="206"/>
      <c r="R4898" s="206"/>
      <c r="S4898" s="206"/>
      <c r="T4898" s="204"/>
      <c r="U4898" s="207"/>
      <c r="V4898" s="204"/>
      <c r="W4898" s="204"/>
      <c r="X4898" s="207"/>
      <c r="Y4898" s="207"/>
      <c r="Z4898" s="204"/>
      <c r="AA4898" s="204"/>
      <c r="AB4898" s="204"/>
      <c r="AC4898" s="204"/>
    </row>
    <row r="4899" spans="1:29">
      <c r="A4899" s="204"/>
      <c r="B4899" s="204"/>
      <c r="C4899" s="204"/>
      <c r="D4899" s="204"/>
      <c r="E4899" s="204"/>
      <c r="F4899" s="204"/>
      <c r="G4899" s="204"/>
      <c r="H4899" s="204"/>
      <c r="I4899" s="204"/>
      <c r="J4899" s="204"/>
      <c r="K4899" s="204"/>
      <c r="L4899" s="205"/>
      <c r="M4899" s="205"/>
      <c r="N4899" s="204"/>
      <c r="O4899" s="204"/>
      <c r="P4899" s="206"/>
      <c r="Q4899" s="206"/>
      <c r="R4899" s="206"/>
      <c r="S4899" s="206"/>
      <c r="T4899" s="204"/>
      <c r="U4899" s="207"/>
      <c r="V4899" s="204"/>
      <c r="W4899" s="204"/>
      <c r="X4899" s="207"/>
      <c r="Y4899" s="207"/>
      <c r="Z4899" s="204"/>
      <c r="AA4899" s="204"/>
      <c r="AB4899" s="204"/>
      <c r="AC4899" s="204"/>
    </row>
    <row r="4900" spans="1:29">
      <c r="A4900" s="204"/>
      <c r="B4900" s="204"/>
      <c r="C4900" s="204"/>
      <c r="D4900" s="204"/>
      <c r="E4900" s="204"/>
      <c r="F4900" s="204"/>
      <c r="G4900" s="204"/>
      <c r="H4900" s="204"/>
      <c r="I4900" s="204"/>
      <c r="J4900" s="204"/>
      <c r="K4900" s="204"/>
      <c r="L4900" s="205"/>
      <c r="M4900" s="205"/>
      <c r="N4900" s="204"/>
      <c r="O4900" s="204"/>
      <c r="P4900" s="206"/>
      <c r="Q4900" s="206"/>
      <c r="R4900" s="206"/>
      <c r="S4900" s="206"/>
      <c r="T4900" s="204"/>
      <c r="U4900" s="207"/>
      <c r="V4900" s="204"/>
      <c r="W4900" s="204"/>
      <c r="X4900" s="207"/>
      <c r="Y4900" s="207"/>
      <c r="Z4900" s="204"/>
      <c r="AA4900" s="204"/>
      <c r="AB4900" s="204"/>
      <c r="AC4900" s="204"/>
    </row>
    <row r="4901" spans="1:29">
      <c r="A4901" s="204"/>
      <c r="B4901" s="204"/>
      <c r="C4901" s="204"/>
      <c r="D4901" s="204"/>
      <c r="E4901" s="204"/>
      <c r="F4901" s="204"/>
      <c r="G4901" s="204"/>
      <c r="H4901" s="204"/>
      <c r="I4901" s="204"/>
      <c r="J4901" s="204"/>
      <c r="K4901" s="204"/>
      <c r="L4901" s="205"/>
      <c r="M4901" s="205"/>
      <c r="N4901" s="204"/>
      <c r="O4901" s="204"/>
      <c r="P4901" s="206"/>
      <c r="Q4901" s="206"/>
      <c r="R4901" s="206"/>
      <c r="S4901" s="206"/>
      <c r="T4901" s="204"/>
      <c r="U4901" s="207"/>
      <c r="V4901" s="204"/>
      <c r="W4901" s="204"/>
      <c r="X4901" s="207"/>
      <c r="Y4901" s="207"/>
      <c r="Z4901" s="204"/>
      <c r="AA4901" s="204"/>
      <c r="AB4901" s="204"/>
      <c r="AC4901" s="204"/>
    </row>
    <row r="4902" spans="1:29">
      <c r="A4902" s="204"/>
      <c r="B4902" s="204"/>
      <c r="C4902" s="204"/>
      <c r="D4902" s="204"/>
      <c r="E4902" s="204"/>
      <c r="F4902" s="204"/>
      <c r="G4902" s="204"/>
      <c r="H4902" s="204"/>
      <c r="I4902" s="204"/>
      <c r="J4902" s="204"/>
      <c r="K4902" s="204"/>
      <c r="L4902" s="205"/>
      <c r="M4902" s="205"/>
      <c r="N4902" s="204"/>
      <c r="O4902" s="204"/>
      <c r="P4902" s="206"/>
      <c r="Q4902" s="206"/>
      <c r="R4902" s="206"/>
      <c r="S4902" s="206"/>
      <c r="T4902" s="204"/>
      <c r="U4902" s="207"/>
      <c r="V4902" s="204"/>
      <c r="W4902" s="204"/>
      <c r="X4902" s="207"/>
      <c r="Y4902" s="207"/>
      <c r="Z4902" s="204"/>
      <c r="AA4902" s="204"/>
      <c r="AB4902" s="204"/>
      <c r="AC4902" s="204"/>
    </row>
    <row r="4903" spans="1:29">
      <c r="A4903" s="204"/>
      <c r="B4903" s="204"/>
      <c r="C4903" s="204"/>
      <c r="D4903" s="204"/>
      <c r="E4903" s="204"/>
      <c r="F4903" s="204"/>
      <c r="G4903" s="204"/>
      <c r="H4903" s="204"/>
      <c r="I4903" s="204"/>
      <c r="J4903" s="204"/>
      <c r="K4903" s="204"/>
      <c r="L4903" s="205"/>
      <c r="M4903" s="205"/>
      <c r="N4903" s="204"/>
      <c r="O4903" s="204"/>
      <c r="P4903" s="206"/>
      <c r="Q4903" s="206"/>
      <c r="R4903" s="206"/>
      <c r="S4903" s="206"/>
      <c r="T4903" s="204"/>
      <c r="U4903" s="207"/>
      <c r="V4903" s="204"/>
      <c r="W4903" s="204"/>
      <c r="X4903" s="207"/>
      <c r="Y4903" s="207"/>
      <c r="Z4903" s="204"/>
      <c r="AA4903" s="204"/>
      <c r="AB4903" s="204"/>
      <c r="AC4903" s="204"/>
    </row>
    <row r="4904" spans="1:29">
      <c r="A4904" s="204"/>
      <c r="B4904" s="204"/>
      <c r="C4904" s="204"/>
      <c r="D4904" s="204"/>
      <c r="E4904" s="204"/>
      <c r="F4904" s="204"/>
      <c r="G4904" s="204"/>
      <c r="H4904" s="204"/>
      <c r="I4904" s="204"/>
      <c r="J4904" s="204"/>
      <c r="K4904" s="204"/>
      <c r="L4904" s="205"/>
      <c r="M4904" s="205"/>
      <c r="N4904" s="204"/>
      <c r="O4904" s="204"/>
      <c r="P4904" s="206"/>
      <c r="Q4904" s="206"/>
      <c r="R4904" s="206"/>
      <c r="S4904" s="206"/>
      <c r="T4904" s="204"/>
      <c r="U4904" s="207"/>
      <c r="V4904" s="204"/>
      <c r="W4904" s="204"/>
      <c r="X4904" s="207"/>
      <c r="Y4904" s="207"/>
      <c r="Z4904" s="204"/>
      <c r="AA4904" s="204"/>
      <c r="AB4904" s="204"/>
      <c r="AC4904" s="204"/>
    </row>
    <row r="4905" spans="1:29">
      <c r="A4905" s="204"/>
      <c r="B4905" s="204"/>
      <c r="C4905" s="204"/>
      <c r="D4905" s="204"/>
      <c r="E4905" s="204"/>
      <c r="F4905" s="204"/>
      <c r="G4905" s="204"/>
      <c r="H4905" s="204"/>
      <c r="I4905" s="204"/>
      <c r="J4905" s="204"/>
      <c r="K4905" s="204"/>
      <c r="L4905" s="205"/>
      <c r="M4905" s="205"/>
      <c r="N4905" s="204"/>
      <c r="O4905" s="204"/>
      <c r="P4905" s="206"/>
      <c r="Q4905" s="206"/>
      <c r="R4905" s="206"/>
      <c r="S4905" s="206"/>
      <c r="T4905" s="204"/>
      <c r="U4905" s="207"/>
      <c r="V4905" s="204"/>
      <c r="W4905" s="204"/>
      <c r="X4905" s="207"/>
      <c r="Y4905" s="207"/>
      <c r="Z4905" s="204"/>
      <c r="AA4905" s="204"/>
      <c r="AB4905" s="204"/>
      <c r="AC4905" s="204"/>
    </row>
    <row r="4906" spans="1:29">
      <c r="A4906" s="204"/>
      <c r="B4906" s="204"/>
      <c r="C4906" s="204"/>
      <c r="D4906" s="204"/>
      <c r="E4906" s="204"/>
      <c r="F4906" s="204"/>
      <c r="G4906" s="204"/>
      <c r="H4906" s="204"/>
      <c r="I4906" s="204"/>
      <c r="J4906" s="204"/>
      <c r="K4906" s="204"/>
      <c r="L4906" s="205"/>
      <c r="M4906" s="205"/>
      <c r="N4906" s="204"/>
      <c r="O4906" s="204"/>
      <c r="P4906" s="206"/>
      <c r="Q4906" s="206"/>
      <c r="R4906" s="206"/>
      <c r="S4906" s="206"/>
      <c r="T4906" s="204"/>
      <c r="U4906" s="207"/>
      <c r="V4906" s="204"/>
      <c r="W4906" s="204"/>
      <c r="X4906" s="207"/>
      <c r="Y4906" s="207"/>
      <c r="Z4906" s="204"/>
      <c r="AA4906" s="204"/>
      <c r="AB4906" s="204"/>
      <c r="AC4906" s="204"/>
    </row>
    <row r="4907" spans="1:29">
      <c r="A4907" s="204"/>
      <c r="B4907" s="204"/>
      <c r="C4907" s="204"/>
      <c r="D4907" s="204"/>
      <c r="E4907" s="204"/>
      <c r="F4907" s="204"/>
      <c r="G4907" s="204"/>
      <c r="H4907" s="204"/>
      <c r="I4907" s="204"/>
      <c r="J4907" s="204"/>
      <c r="K4907" s="204"/>
      <c r="L4907" s="205"/>
      <c r="M4907" s="205"/>
      <c r="N4907" s="204"/>
      <c r="O4907" s="204"/>
      <c r="P4907" s="206"/>
      <c r="Q4907" s="206"/>
      <c r="R4907" s="206"/>
      <c r="S4907" s="206"/>
      <c r="T4907" s="204"/>
      <c r="U4907" s="207"/>
      <c r="V4907" s="204"/>
      <c r="W4907" s="204"/>
      <c r="X4907" s="207"/>
      <c r="Y4907" s="207"/>
      <c r="Z4907" s="204"/>
      <c r="AA4907" s="204"/>
      <c r="AB4907" s="204"/>
      <c r="AC4907" s="204"/>
    </row>
    <row r="4908" spans="1:29">
      <c r="A4908" s="204"/>
      <c r="B4908" s="204"/>
      <c r="C4908" s="204"/>
      <c r="D4908" s="204"/>
      <c r="E4908" s="204"/>
      <c r="F4908" s="204"/>
      <c r="G4908" s="204"/>
      <c r="H4908" s="204"/>
      <c r="I4908" s="204"/>
      <c r="J4908" s="204"/>
      <c r="K4908" s="204"/>
      <c r="L4908" s="205"/>
      <c r="M4908" s="205"/>
      <c r="N4908" s="204"/>
      <c r="O4908" s="204"/>
      <c r="P4908" s="206"/>
      <c r="Q4908" s="206"/>
      <c r="R4908" s="206"/>
      <c r="S4908" s="206"/>
      <c r="T4908" s="204"/>
      <c r="U4908" s="207"/>
      <c r="V4908" s="204"/>
      <c r="W4908" s="204"/>
      <c r="X4908" s="207"/>
      <c r="Y4908" s="207"/>
      <c r="Z4908" s="204"/>
      <c r="AA4908" s="204"/>
      <c r="AB4908" s="204"/>
      <c r="AC4908" s="204"/>
    </row>
    <row r="4909" spans="1:29">
      <c r="A4909" s="204"/>
      <c r="B4909" s="204"/>
      <c r="C4909" s="204"/>
      <c r="D4909" s="204"/>
      <c r="E4909" s="204"/>
      <c r="F4909" s="204"/>
      <c r="G4909" s="204"/>
      <c r="H4909" s="204"/>
      <c r="I4909" s="204"/>
      <c r="J4909" s="204"/>
      <c r="K4909" s="204"/>
      <c r="L4909" s="205"/>
      <c r="M4909" s="205"/>
      <c r="N4909" s="204"/>
      <c r="O4909" s="204"/>
      <c r="P4909" s="206"/>
      <c r="Q4909" s="206"/>
      <c r="R4909" s="206"/>
      <c r="S4909" s="206"/>
      <c r="T4909" s="204"/>
      <c r="U4909" s="207"/>
      <c r="V4909" s="204"/>
      <c r="W4909" s="204"/>
      <c r="X4909" s="207"/>
      <c r="Y4909" s="207"/>
      <c r="Z4909" s="204"/>
      <c r="AA4909" s="204"/>
      <c r="AB4909" s="204"/>
      <c r="AC4909" s="204"/>
    </row>
    <row r="4910" spans="1:29">
      <c r="A4910" s="204"/>
      <c r="B4910" s="204"/>
      <c r="C4910" s="204"/>
      <c r="D4910" s="204"/>
      <c r="E4910" s="204"/>
      <c r="F4910" s="204"/>
      <c r="G4910" s="204"/>
      <c r="H4910" s="204"/>
      <c r="I4910" s="204"/>
      <c r="J4910" s="204"/>
      <c r="K4910" s="204"/>
      <c r="L4910" s="205"/>
      <c r="M4910" s="205"/>
      <c r="N4910" s="204"/>
      <c r="O4910" s="204"/>
      <c r="P4910" s="206"/>
      <c r="Q4910" s="206"/>
      <c r="R4910" s="206"/>
      <c r="S4910" s="206"/>
      <c r="T4910" s="204"/>
      <c r="U4910" s="207"/>
      <c r="V4910" s="204"/>
      <c r="W4910" s="204"/>
      <c r="X4910" s="207"/>
      <c r="Y4910" s="207"/>
      <c r="Z4910" s="204"/>
      <c r="AA4910" s="204"/>
      <c r="AB4910" s="204"/>
      <c r="AC4910" s="204"/>
    </row>
    <row r="4911" spans="1:29">
      <c r="A4911" s="204"/>
      <c r="B4911" s="204"/>
      <c r="C4911" s="204"/>
      <c r="D4911" s="204"/>
      <c r="E4911" s="204"/>
      <c r="F4911" s="204"/>
      <c r="G4911" s="204"/>
      <c r="H4911" s="204"/>
      <c r="I4911" s="204"/>
      <c r="J4911" s="204"/>
      <c r="K4911" s="204"/>
      <c r="L4911" s="205"/>
      <c r="M4911" s="205"/>
      <c r="N4911" s="204"/>
      <c r="O4911" s="204"/>
      <c r="P4911" s="206"/>
      <c r="Q4911" s="206"/>
      <c r="R4911" s="206"/>
      <c r="S4911" s="206"/>
      <c r="T4911" s="204"/>
      <c r="U4911" s="207"/>
      <c r="V4911" s="204"/>
      <c r="W4911" s="204"/>
      <c r="X4911" s="207"/>
      <c r="Y4911" s="207"/>
      <c r="Z4911" s="204"/>
      <c r="AA4911" s="204"/>
      <c r="AB4911" s="204"/>
      <c r="AC4911" s="204"/>
    </row>
    <row r="4912" spans="1:29">
      <c r="A4912" s="204"/>
      <c r="B4912" s="204"/>
      <c r="C4912" s="204"/>
      <c r="D4912" s="204"/>
      <c r="E4912" s="204"/>
      <c r="F4912" s="204"/>
      <c r="G4912" s="204"/>
      <c r="H4912" s="204"/>
      <c r="I4912" s="204"/>
      <c r="J4912" s="204"/>
      <c r="K4912" s="204"/>
      <c r="L4912" s="205"/>
      <c r="M4912" s="205"/>
      <c r="N4912" s="204"/>
      <c r="O4912" s="204"/>
      <c r="P4912" s="206"/>
      <c r="Q4912" s="206"/>
      <c r="R4912" s="206"/>
      <c r="S4912" s="206"/>
      <c r="T4912" s="204"/>
      <c r="U4912" s="207"/>
      <c r="V4912" s="204"/>
      <c r="W4912" s="204"/>
      <c r="X4912" s="207"/>
      <c r="Y4912" s="207"/>
      <c r="Z4912" s="204"/>
      <c r="AA4912" s="204"/>
      <c r="AB4912" s="204"/>
      <c r="AC4912" s="204"/>
    </row>
    <row r="4913" spans="1:29">
      <c r="A4913" s="204"/>
      <c r="B4913" s="204"/>
      <c r="C4913" s="204"/>
      <c r="D4913" s="204"/>
      <c r="E4913" s="204"/>
      <c r="F4913" s="204"/>
      <c r="G4913" s="204"/>
      <c r="H4913" s="204"/>
      <c r="I4913" s="204"/>
      <c r="J4913" s="204"/>
      <c r="K4913" s="204"/>
      <c r="L4913" s="205"/>
      <c r="M4913" s="205"/>
      <c r="N4913" s="204"/>
      <c r="O4913" s="204"/>
      <c r="P4913" s="206"/>
      <c r="Q4913" s="206"/>
      <c r="R4913" s="206"/>
      <c r="S4913" s="206"/>
      <c r="T4913" s="204"/>
      <c r="U4913" s="207"/>
      <c r="V4913" s="204"/>
      <c r="W4913" s="204"/>
      <c r="X4913" s="207"/>
      <c r="Y4913" s="207"/>
      <c r="Z4913" s="204"/>
      <c r="AA4913" s="204"/>
      <c r="AB4913" s="204"/>
      <c r="AC4913" s="204"/>
    </row>
    <row r="4914" spans="1:29">
      <c r="A4914" s="204"/>
      <c r="B4914" s="204"/>
      <c r="C4914" s="204"/>
      <c r="D4914" s="204"/>
      <c r="E4914" s="204"/>
      <c r="F4914" s="204"/>
      <c r="G4914" s="204"/>
      <c r="H4914" s="204"/>
      <c r="I4914" s="204"/>
      <c r="J4914" s="204"/>
      <c r="K4914" s="204"/>
      <c r="L4914" s="205"/>
      <c r="M4914" s="205"/>
      <c r="N4914" s="204"/>
      <c r="O4914" s="204"/>
      <c r="P4914" s="206"/>
      <c r="Q4914" s="206"/>
      <c r="R4914" s="206"/>
      <c r="S4914" s="206"/>
      <c r="T4914" s="204"/>
      <c r="U4914" s="207"/>
      <c r="V4914" s="204"/>
      <c r="W4914" s="204"/>
      <c r="X4914" s="207"/>
      <c r="Y4914" s="207"/>
      <c r="Z4914" s="204"/>
      <c r="AA4914" s="204"/>
      <c r="AB4914" s="204"/>
      <c r="AC4914" s="204"/>
    </row>
    <row r="4915" spans="1:29">
      <c r="A4915" s="204"/>
      <c r="B4915" s="204"/>
      <c r="C4915" s="204"/>
      <c r="D4915" s="204"/>
      <c r="E4915" s="204"/>
      <c r="F4915" s="204"/>
      <c r="G4915" s="204"/>
      <c r="H4915" s="204"/>
      <c r="I4915" s="204"/>
      <c r="J4915" s="204"/>
      <c r="K4915" s="204"/>
      <c r="L4915" s="205"/>
      <c r="M4915" s="205"/>
      <c r="N4915" s="204"/>
      <c r="O4915" s="204"/>
      <c r="P4915" s="206"/>
      <c r="Q4915" s="206"/>
      <c r="R4915" s="206"/>
      <c r="S4915" s="206"/>
      <c r="T4915" s="204"/>
      <c r="U4915" s="207"/>
      <c r="V4915" s="204"/>
      <c r="W4915" s="204"/>
      <c r="X4915" s="207"/>
      <c r="Y4915" s="207"/>
      <c r="Z4915" s="204"/>
      <c r="AA4915" s="204"/>
      <c r="AB4915" s="204"/>
      <c r="AC4915" s="204"/>
    </row>
    <row r="4916" spans="1:29">
      <c r="A4916" s="204"/>
      <c r="B4916" s="204"/>
      <c r="C4916" s="204"/>
      <c r="D4916" s="204"/>
      <c r="E4916" s="204"/>
      <c r="F4916" s="204"/>
      <c r="G4916" s="204"/>
      <c r="H4916" s="204"/>
      <c r="I4916" s="204"/>
      <c r="J4916" s="204"/>
      <c r="K4916" s="204"/>
      <c r="L4916" s="205"/>
      <c r="M4916" s="205"/>
      <c r="N4916" s="204"/>
      <c r="O4916" s="204"/>
      <c r="P4916" s="206"/>
      <c r="Q4916" s="206"/>
      <c r="R4916" s="206"/>
      <c r="S4916" s="206"/>
      <c r="T4916" s="204"/>
      <c r="U4916" s="207"/>
      <c r="V4916" s="204"/>
      <c r="W4916" s="204"/>
      <c r="X4916" s="207"/>
      <c r="Y4916" s="207"/>
      <c r="Z4916" s="204"/>
      <c r="AA4916" s="204"/>
      <c r="AB4916" s="204"/>
      <c r="AC4916" s="204"/>
    </row>
    <row r="4917" spans="1:29">
      <c r="A4917" s="204"/>
      <c r="B4917" s="204"/>
      <c r="C4917" s="204"/>
      <c r="D4917" s="204"/>
      <c r="E4917" s="204"/>
      <c r="F4917" s="204"/>
      <c r="G4917" s="204"/>
      <c r="H4917" s="204"/>
      <c r="I4917" s="204"/>
      <c r="J4917" s="204"/>
      <c r="K4917" s="204"/>
      <c r="L4917" s="205"/>
      <c r="M4917" s="205"/>
      <c r="N4917" s="204"/>
      <c r="O4917" s="204"/>
      <c r="P4917" s="206"/>
      <c r="Q4917" s="206"/>
      <c r="R4917" s="206"/>
      <c r="S4917" s="206"/>
      <c r="T4917" s="204"/>
      <c r="U4917" s="207"/>
      <c r="V4917" s="204"/>
      <c r="W4917" s="204"/>
      <c r="X4917" s="207"/>
      <c r="Y4917" s="207"/>
      <c r="Z4917" s="204"/>
      <c r="AA4917" s="204"/>
      <c r="AB4917" s="204"/>
      <c r="AC4917" s="204"/>
    </row>
    <row r="4918" spans="1:29">
      <c r="A4918" s="204"/>
      <c r="B4918" s="204"/>
      <c r="C4918" s="204"/>
      <c r="D4918" s="204"/>
      <c r="E4918" s="204"/>
      <c r="F4918" s="204"/>
      <c r="G4918" s="204"/>
      <c r="H4918" s="204"/>
      <c r="I4918" s="204"/>
      <c r="J4918" s="204"/>
      <c r="K4918" s="204"/>
      <c r="L4918" s="205"/>
      <c r="M4918" s="205"/>
      <c r="N4918" s="204"/>
      <c r="O4918" s="204"/>
      <c r="P4918" s="206"/>
      <c r="Q4918" s="206"/>
      <c r="R4918" s="206"/>
      <c r="S4918" s="206"/>
      <c r="T4918" s="204"/>
      <c r="U4918" s="207"/>
      <c r="V4918" s="204"/>
      <c r="W4918" s="204"/>
      <c r="X4918" s="207"/>
      <c r="Y4918" s="207"/>
      <c r="Z4918" s="204"/>
      <c r="AA4918" s="204"/>
      <c r="AB4918" s="204"/>
      <c r="AC4918" s="204"/>
    </row>
    <row r="4919" spans="1:29">
      <c r="A4919" s="204"/>
      <c r="B4919" s="204"/>
      <c r="C4919" s="204"/>
      <c r="D4919" s="204"/>
      <c r="E4919" s="204"/>
      <c r="F4919" s="204"/>
      <c r="G4919" s="204"/>
      <c r="H4919" s="204"/>
      <c r="I4919" s="204"/>
      <c r="J4919" s="204"/>
      <c r="K4919" s="204"/>
      <c r="L4919" s="205"/>
      <c r="M4919" s="205"/>
      <c r="N4919" s="204"/>
      <c r="O4919" s="204"/>
      <c r="P4919" s="206"/>
      <c r="Q4919" s="206"/>
      <c r="R4919" s="206"/>
      <c r="S4919" s="206"/>
      <c r="T4919" s="204"/>
      <c r="U4919" s="207"/>
      <c r="V4919" s="204"/>
      <c r="W4919" s="204"/>
      <c r="X4919" s="207"/>
      <c r="Y4919" s="207"/>
      <c r="Z4919" s="204"/>
      <c r="AA4919" s="204"/>
      <c r="AB4919" s="204"/>
      <c r="AC4919" s="204"/>
    </row>
    <row r="4920" spans="1:29">
      <c r="A4920" s="204"/>
      <c r="B4920" s="204"/>
      <c r="C4920" s="204"/>
      <c r="D4920" s="204"/>
      <c r="E4920" s="204"/>
      <c r="F4920" s="204"/>
      <c r="G4920" s="204"/>
      <c r="H4920" s="204"/>
      <c r="I4920" s="204"/>
      <c r="J4920" s="204"/>
      <c r="K4920" s="204"/>
      <c r="L4920" s="205"/>
      <c r="M4920" s="205"/>
      <c r="N4920" s="204"/>
      <c r="O4920" s="204"/>
      <c r="P4920" s="206"/>
      <c r="Q4920" s="206"/>
      <c r="R4920" s="206"/>
      <c r="S4920" s="206"/>
      <c r="T4920" s="204"/>
      <c r="U4920" s="207"/>
      <c r="V4920" s="204"/>
      <c r="W4920" s="204"/>
      <c r="X4920" s="207"/>
      <c r="Y4920" s="207"/>
      <c r="Z4920" s="204"/>
      <c r="AA4920" s="204"/>
      <c r="AB4920" s="204"/>
      <c r="AC4920" s="204"/>
    </row>
    <row r="4921" spans="1:29">
      <c r="A4921" s="204"/>
      <c r="B4921" s="204"/>
      <c r="C4921" s="204"/>
      <c r="D4921" s="204"/>
      <c r="E4921" s="204"/>
      <c r="F4921" s="204"/>
      <c r="G4921" s="204"/>
      <c r="H4921" s="204"/>
      <c r="I4921" s="204"/>
      <c r="J4921" s="204"/>
      <c r="K4921" s="204"/>
      <c r="L4921" s="205"/>
      <c r="M4921" s="205"/>
      <c r="N4921" s="204"/>
      <c r="O4921" s="204"/>
      <c r="P4921" s="206"/>
      <c r="Q4921" s="206"/>
      <c r="R4921" s="206"/>
      <c r="S4921" s="206"/>
      <c r="T4921" s="204"/>
      <c r="U4921" s="207"/>
      <c r="V4921" s="204"/>
      <c r="W4921" s="204"/>
      <c r="X4921" s="207"/>
      <c r="Y4921" s="207"/>
      <c r="Z4921" s="204"/>
      <c r="AA4921" s="204"/>
      <c r="AB4921" s="204"/>
      <c r="AC4921" s="204"/>
    </row>
    <row r="4922" spans="1:29">
      <c r="A4922" s="204"/>
      <c r="B4922" s="204"/>
      <c r="C4922" s="204"/>
      <c r="D4922" s="204"/>
      <c r="E4922" s="204"/>
      <c r="F4922" s="204"/>
      <c r="G4922" s="204"/>
      <c r="H4922" s="204"/>
      <c r="I4922" s="204"/>
      <c r="J4922" s="204"/>
      <c r="K4922" s="204"/>
      <c r="L4922" s="205"/>
      <c r="M4922" s="205"/>
      <c r="N4922" s="204"/>
      <c r="O4922" s="204"/>
      <c r="P4922" s="206"/>
      <c r="Q4922" s="206"/>
      <c r="R4922" s="206"/>
      <c r="S4922" s="206"/>
      <c r="T4922" s="204"/>
      <c r="U4922" s="207"/>
      <c r="V4922" s="204"/>
      <c r="W4922" s="204"/>
      <c r="X4922" s="207"/>
      <c r="Y4922" s="207"/>
      <c r="Z4922" s="204"/>
      <c r="AA4922" s="204"/>
      <c r="AB4922" s="204"/>
      <c r="AC4922" s="204"/>
    </row>
    <row r="4923" spans="1:29">
      <c r="A4923" s="204"/>
      <c r="B4923" s="204"/>
      <c r="C4923" s="204"/>
      <c r="D4923" s="204"/>
      <c r="E4923" s="204"/>
      <c r="F4923" s="204"/>
      <c r="G4923" s="204"/>
      <c r="H4923" s="204"/>
      <c r="I4923" s="204"/>
      <c r="J4923" s="204"/>
      <c r="K4923" s="204"/>
      <c r="L4923" s="205"/>
      <c r="M4923" s="205"/>
      <c r="N4923" s="204"/>
      <c r="O4923" s="204"/>
      <c r="P4923" s="206"/>
      <c r="Q4923" s="206"/>
      <c r="R4923" s="206"/>
      <c r="S4923" s="206"/>
      <c r="T4923" s="204"/>
      <c r="U4923" s="207"/>
      <c r="V4923" s="204"/>
      <c r="W4923" s="204"/>
      <c r="X4923" s="207"/>
      <c r="Y4923" s="207"/>
      <c r="Z4923" s="204"/>
      <c r="AA4923" s="204"/>
      <c r="AB4923" s="204"/>
      <c r="AC4923" s="204"/>
    </row>
    <row r="4924" spans="1:29">
      <c r="A4924" s="204"/>
      <c r="B4924" s="204"/>
      <c r="C4924" s="204"/>
      <c r="D4924" s="204"/>
      <c r="E4924" s="204"/>
      <c r="F4924" s="204"/>
      <c r="G4924" s="204"/>
      <c r="H4924" s="204"/>
      <c r="I4924" s="204"/>
      <c r="J4924" s="204"/>
      <c r="K4924" s="204"/>
      <c r="L4924" s="205"/>
      <c r="M4924" s="205"/>
      <c r="N4924" s="204"/>
      <c r="O4924" s="204"/>
      <c r="P4924" s="206"/>
      <c r="Q4924" s="206"/>
      <c r="R4924" s="206"/>
      <c r="S4924" s="206"/>
      <c r="T4924" s="204"/>
      <c r="U4924" s="207"/>
      <c r="V4924" s="204"/>
      <c r="W4924" s="204"/>
      <c r="X4924" s="207"/>
      <c r="Y4924" s="207"/>
      <c r="Z4924" s="204"/>
      <c r="AA4924" s="204"/>
      <c r="AB4924" s="204"/>
      <c r="AC4924" s="204"/>
    </row>
    <row r="4925" spans="1:29">
      <c r="A4925" s="204"/>
      <c r="B4925" s="204"/>
      <c r="C4925" s="204"/>
      <c r="D4925" s="204"/>
      <c r="E4925" s="204"/>
      <c r="F4925" s="204"/>
      <c r="G4925" s="204"/>
      <c r="H4925" s="204"/>
      <c r="I4925" s="204"/>
      <c r="J4925" s="204"/>
      <c r="K4925" s="204"/>
      <c r="L4925" s="205"/>
      <c r="M4925" s="205"/>
      <c r="N4925" s="204"/>
      <c r="O4925" s="204"/>
      <c r="P4925" s="206"/>
      <c r="Q4925" s="206"/>
      <c r="R4925" s="206"/>
      <c r="S4925" s="206"/>
      <c r="T4925" s="204"/>
      <c r="U4925" s="207"/>
      <c r="V4925" s="204"/>
      <c r="W4925" s="204"/>
      <c r="X4925" s="207"/>
      <c r="Y4925" s="207"/>
      <c r="Z4925" s="204"/>
      <c r="AA4925" s="204"/>
      <c r="AB4925" s="204"/>
      <c r="AC4925" s="204"/>
    </row>
    <row r="4926" spans="1:29">
      <c r="A4926" s="204"/>
      <c r="B4926" s="204"/>
      <c r="C4926" s="204"/>
      <c r="D4926" s="204"/>
      <c r="E4926" s="204"/>
      <c r="F4926" s="204"/>
      <c r="G4926" s="204"/>
      <c r="H4926" s="204"/>
      <c r="I4926" s="204"/>
      <c r="J4926" s="204"/>
      <c r="K4926" s="204"/>
      <c r="L4926" s="205"/>
      <c r="M4926" s="205"/>
      <c r="N4926" s="204"/>
      <c r="O4926" s="204"/>
      <c r="P4926" s="206"/>
      <c r="Q4926" s="206"/>
      <c r="R4926" s="206"/>
      <c r="S4926" s="206"/>
      <c r="T4926" s="204"/>
      <c r="U4926" s="207"/>
      <c r="V4926" s="204"/>
      <c r="W4926" s="204"/>
      <c r="X4926" s="207"/>
      <c r="Y4926" s="207"/>
      <c r="Z4926" s="204"/>
      <c r="AA4926" s="204"/>
      <c r="AB4926" s="204"/>
      <c r="AC4926" s="204"/>
    </row>
    <row r="4927" spans="1:29">
      <c r="A4927" s="204"/>
      <c r="B4927" s="204"/>
      <c r="C4927" s="204"/>
      <c r="D4927" s="204"/>
      <c r="E4927" s="204"/>
      <c r="F4927" s="204"/>
      <c r="G4927" s="204"/>
      <c r="H4927" s="204"/>
      <c r="I4927" s="204"/>
      <c r="J4927" s="204"/>
      <c r="K4927" s="204"/>
      <c r="L4927" s="205"/>
      <c r="M4927" s="205"/>
      <c r="N4927" s="204"/>
      <c r="O4927" s="204"/>
      <c r="P4927" s="206"/>
      <c r="Q4927" s="206"/>
      <c r="R4927" s="206"/>
      <c r="S4927" s="206"/>
      <c r="T4927" s="204"/>
      <c r="U4927" s="207"/>
      <c r="V4927" s="204"/>
      <c r="W4927" s="204"/>
      <c r="X4927" s="207"/>
      <c r="Y4927" s="207"/>
      <c r="Z4927" s="204"/>
      <c r="AA4927" s="204"/>
      <c r="AB4927" s="204"/>
      <c r="AC4927" s="204"/>
    </row>
    <row r="4928" spans="1:29">
      <c r="A4928" s="204"/>
      <c r="B4928" s="204"/>
      <c r="C4928" s="204"/>
      <c r="D4928" s="204"/>
      <c r="E4928" s="204"/>
      <c r="F4928" s="204"/>
      <c r="G4928" s="204"/>
      <c r="H4928" s="204"/>
      <c r="I4928" s="204"/>
      <c r="J4928" s="204"/>
      <c r="K4928" s="204"/>
      <c r="L4928" s="205"/>
      <c r="M4928" s="205"/>
      <c r="N4928" s="204"/>
      <c r="O4928" s="204"/>
      <c r="P4928" s="206"/>
      <c r="Q4928" s="206"/>
      <c r="R4928" s="206"/>
      <c r="S4928" s="206"/>
      <c r="T4928" s="204"/>
      <c r="U4928" s="207"/>
      <c r="V4928" s="204"/>
      <c r="W4928" s="204"/>
      <c r="X4928" s="207"/>
      <c r="Y4928" s="207"/>
      <c r="Z4928" s="204"/>
      <c r="AA4928" s="204"/>
      <c r="AB4928" s="204"/>
      <c r="AC4928" s="204"/>
    </row>
    <row r="4929" spans="1:29">
      <c r="A4929" s="204"/>
      <c r="B4929" s="204"/>
      <c r="C4929" s="204"/>
      <c r="D4929" s="204"/>
      <c r="E4929" s="204"/>
      <c r="F4929" s="204"/>
      <c r="G4929" s="204"/>
      <c r="H4929" s="204"/>
      <c r="I4929" s="204"/>
      <c r="J4929" s="204"/>
      <c r="K4929" s="204"/>
      <c r="L4929" s="205"/>
      <c r="M4929" s="205"/>
      <c r="N4929" s="204"/>
      <c r="O4929" s="204"/>
      <c r="P4929" s="206"/>
      <c r="Q4929" s="206"/>
      <c r="R4929" s="206"/>
      <c r="S4929" s="206"/>
      <c r="T4929" s="204"/>
      <c r="U4929" s="207"/>
      <c r="V4929" s="204"/>
      <c r="W4929" s="204"/>
      <c r="X4929" s="207"/>
      <c r="Y4929" s="207"/>
      <c r="Z4929" s="204"/>
      <c r="AA4929" s="204"/>
      <c r="AB4929" s="204"/>
      <c r="AC4929" s="204"/>
    </row>
    <row r="4930" spans="1:29">
      <c r="A4930" s="204"/>
      <c r="B4930" s="204"/>
      <c r="C4930" s="204"/>
      <c r="D4930" s="204"/>
      <c r="E4930" s="204"/>
      <c r="F4930" s="204"/>
      <c r="G4930" s="204"/>
      <c r="H4930" s="204"/>
      <c r="I4930" s="204"/>
      <c r="J4930" s="204"/>
      <c r="K4930" s="204"/>
      <c r="L4930" s="205"/>
      <c r="M4930" s="205"/>
      <c r="N4930" s="204"/>
      <c r="O4930" s="204"/>
      <c r="P4930" s="206"/>
      <c r="Q4930" s="206"/>
      <c r="R4930" s="206"/>
      <c r="S4930" s="206"/>
      <c r="T4930" s="204"/>
      <c r="U4930" s="207"/>
      <c r="V4930" s="204"/>
      <c r="W4930" s="204"/>
      <c r="X4930" s="207"/>
      <c r="Y4930" s="207"/>
      <c r="Z4930" s="204"/>
      <c r="AA4930" s="204"/>
      <c r="AB4930" s="204"/>
      <c r="AC4930" s="204"/>
    </row>
    <row r="4931" spans="1:29">
      <c r="A4931" s="204"/>
      <c r="B4931" s="204"/>
      <c r="C4931" s="204"/>
      <c r="D4931" s="204"/>
      <c r="E4931" s="204"/>
      <c r="F4931" s="204"/>
      <c r="G4931" s="204"/>
      <c r="H4931" s="204"/>
      <c r="I4931" s="204"/>
      <c r="J4931" s="204"/>
      <c r="K4931" s="204"/>
      <c r="L4931" s="205"/>
      <c r="M4931" s="205"/>
      <c r="N4931" s="204"/>
      <c r="O4931" s="204"/>
      <c r="P4931" s="206"/>
      <c r="Q4931" s="206"/>
      <c r="R4931" s="206"/>
      <c r="S4931" s="206"/>
      <c r="T4931" s="204"/>
      <c r="U4931" s="207"/>
      <c r="V4931" s="204"/>
      <c r="W4931" s="204"/>
      <c r="X4931" s="207"/>
      <c r="Y4931" s="207"/>
      <c r="Z4931" s="204"/>
      <c r="AA4931" s="204"/>
      <c r="AB4931" s="204"/>
      <c r="AC4931" s="204"/>
    </row>
    <row r="4932" spans="1:29">
      <c r="A4932" s="204"/>
      <c r="B4932" s="204"/>
      <c r="C4932" s="204"/>
      <c r="D4932" s="204"/>
      <c r="E4932" s="204"/>
      <c r="F4932" s="204"/>
      <c r="G4932" s="204"/>
      <c r="H4932" s="204"/>
      <c r="I4932" s="204"/>
      <c r="J4932" s="204"/>
      <c r="K4932" s="204"/>
      <c r="L4932" s="205"/>
      <c r="M4932" s="205"/>
      <c r="N4932" s="204"/>
      <c r="O4932" s="204"/>
      <c r="P4932" s="206"/>
      <c r="Q4932" s="206"/>
      <c r="R4932" s="206"/>
      <c r="S4932" s="206"/>
      <c r="T4932" s="204"/>
      <c r="U4932" s="207"/>
      <c r="V4932" s="204"/>
      <c r="W4932" s="204"/>
      <c r="X4932" s="207"/>
      <c r="Y4932" s="207"/>
      <c r="Z4932" s="204"/>
      <c r="AA4932" s="204"/>
      <c r="AB4932" s="204"/>
      <c r="AC4932" s="204"/>
    </row>
    <row r="4933" spans="1:29">
      <c r="A4933" s="204"/>
      <c r="B4933" s="204"/>
      <c r="C4933" s="204"/>
      <c r="D4933" s="204"/>
      <c r="E4933" s="204"/>
      <c r="F4933" s="204"/>
      <c r="G4933" s="204"/>
      <c r="H4933" s="204"/>
      <c r="I4933" s="204"/>
      <c r="J4933" s="204"/>
      <c r="K4933" s="204"/>
      <c r="L4933" s="205"/>
      <c r="M4933" s="205"/>
      <c r="N4933" s="204"/>
      <c r="O4933" s="204"/>
      <c r="P4933" s="206"/>
      <c r="Q4933" s="206"/>
      <c r="R4933" s="206"/>
      <c r="S4933" s="206"/>
      <c r="T4933" s="204"/>
      <c r="U4933" s="207"/>
      <c r="V4933" s="204"/>
      <c r="W4933" s="204"/>
      <c r="X4933" s="207"/>
      <c r="Y4933" s="207"/>
      <c r="Z4933" s="204"/>
      <c r="AA4933" s="204"/>
      <c r="AB4933" s="204"/>
      <c r="AC4933" s="204"/>
    </row>
    <row r="4934" spans="1:29">
      <c r="A4934" s="204"/>
      <c r="B4934" s="204"/>
      <c r="C4934" s="204"/>
      <c r="D4934" s="204"/>
      <c r="E4934" s="204"/>
      <c r="F4934" s="204"/>
      <c r="G4934" s="204"/>
      <c r="H4934" s="204"/>
      <c r="I4934" s="204"/>
      <c r="J4934" s="204"/>
      <c r="K4934" s="204"/>
      <c r="L4934" s="205"/>
      <c r="M4934" s="205"/>
      <c r="N4934" s="204"/>
      <c r="O4934" s="204"/>
      <c r="P4934" s="206"/>
      <c r="Q4934" s="206"/>
      <c r="R4934" s="206"/>
      <c r="S4934" s="206"/>
      <c r="T4934" s="204"/>
      <c r="U4934" s="207"/>
      <c r="V4934" s="204"/>
      <c r="W4934" s="204"/>
      <c r="X4934" s="207"/>
      <c r="Y4934" s="207"/>
      <c r="Z4934" s="204"/>
      <c r="AA4934" s="204"/>
      <c r="AB4934" s="204"/>
      <c r="AC4934" s="204"/>
    </row>
    <row r="4935" spans="1:29">
      <c r="A4935" s="204"/>
      <c r="B4935" s="204"/>
      <c r="C4935" s="204"/>
      <c r="D4935" s="204"/>
      <c r="E4935" s="204"/>
      <c r="F4935" s="204"/>
      <c r="G4935" s="204"/>
      <c r="H4935" s="204"/>
      <c r="I4935" s="204"/>
      <c r="J4935" s="204"/>
      <c r="K4935" s="204"/>
      <c r="L4935" s="205"/>
      <c r="M4935" s="205"/>
      <c r="N4935" s="204"/>
      <c r="O4935" s="204"/>
      <c r="P4935" s="206"/>
      <c r="Q4935" s="206"/>
      <c r="R4935" s="206"/>
      <c r="S4935" s="206"/>
      <c r="T4935" s="204"/>
      <c r="U4935" s="207"/>
      <c r="V4935" s="204"/>
      <c r="W4935" s="204"/>
      <c r="X4935" s="207"/>
      <c r="Y4935" s="207"/>
      <c r="Z4935" s="204"/>
      <c r="AA4935" s="204"/>
      <c r="AB4935" s="204"/>
      <c r="AC4935" s="204"/>
    </row>
    <row r="4936" spans="1:29">
      <c r="A4936" s="204"/>
      <c r="B4936" s="204"/>
      <c r="C4936" s="204"/>
      <c r="D4936" s="204"/>
      <c r="E4936" s="204"/>
      <c r="F4936" s="204"/>
      <c r="G4936" s="204"/>
      <c r="H4936" s="204"/>
      <c r="I4936" s="204"/>
      <c r="J4936" s="204"/>
      <c r="K4936" s="204"/>
      <c r="L4936" s="205"/>
      <c r="M4936" s="205"/>
      <c r="N4936" s="204"/>
      <c r="O4936" s="204"/>
      <c r="P4936" s="206"/>
      <c r="Q4936" s="206"/>
      <c r="R4936" s="206"/>
      <c r="S4936" s="206"/>
      <c r="T4936" s="204"/>
      <c r="U4936" s="207"/>
      <c r="V4936" s="204"/>
      <c r="W4936" s="204"/>
      <c r="X4936" s="207"/>
      <c r="Y4936" s="207"/>
      <c r="Z4936" s="204"/>
      <c r="AA4936" s="204"/>
      <c r="AB4936" s="204"/>
      <c r="AC4936" s="204"/>
    </row>
    <row r="4937" spans="1:29">
      <c r="A4937" s="204"/>
      <c r="B4937" s="204"/>
      <c r="C4937" s="204"/>
      <c r="D4937" s="204"/>
      <c r="E4937" s="204"/>
      <c r="F4937" s="204"/>
      <c r="G4937" s="204"/>
      <c r="H4937" s="204"/>
      <c r="I4937" s="204"/>
      <c r="J4937" s="204"/>
      <c r="K4937" s="204"/>
      <c r="L4937" s="205"/>
      <c r="M4937" s="205"/>
      <c r="N4937" s="204"/>
      <c r="O4937" s="204"/>
      <c r="P4937" s="206"/>
      <c r="Q4937" s="206"/>
      <c r="R4937" s="206"/>
      <c r="S4937" s="206"/>
      <c r="T4937" s="204"/>
      <c r="U4937" s="207"/>
      <c r="V4937" s="204"/>
      <c r="W4937" s="204"/>
      <c r="X4937" s="207"/>
      <c r="Y4937" s="207"/>
      <c r="Z4937" s="204"/>
      <c r="AA4937" s="204"/>
      <c r="AB4937" s="204"/>
      <c r="AC4937" s="204"/>
    </row>
    <row r="4938" spans="1:29">
      <c r="A4938" s="204"/>
      <c r="B4938" s="204"/>
      <c r="C4938" s="204"/>
      <c r="D4938" s="204"/>
      <c r="E4938" s="204"/>
      <c r="F4938" s="204"/>
      <c r="G4938" s="204"/>
      <c r="H4938" s="204"/>
      <c r="I4938" s="204"/>
      <c r="J4938" s="204"/>
      <c r="K4938" s="204"/>
      <c r="L4938" s="205"/>
      <c r="M4938" s="205"/>
      <c r="N4938" s="204"/>
      <c r="O4938" s="204"/>
      <c r="P4938" s="206"/>
      <c r="Q4938" s="206"/>
      <c r="R4938" s="206"/>
      <c r="S4938" s="206"/>
      <c r="T4938" s="204"/>
      <c r="U4938" s="207"/>
      <c r="V4938" s="204"/>
      <c r="W4938" s="204"/>
      <c r="X4938" s="207"/>
      <c r="Y4938" s="207"/>
      <c r="Z4938" s="204"/>
      <c r="AA4938" s="204"/>
      <c r="AB4938" s="204"/>
      <c r="AC4938" s="204"/>
    </row>
    <row r="4939" spans="1:29">
      <c r="A4939" s="204"/>
      <c r="B4939" s="204"/>
      <c r="C4939" s="204"/>
      <c r="D4939" s="204"/>
      <c r="E4939" s="204"/>
      <c r="F4939" s="204"/>
      <c r="G4939" s="204"/>
      <c r="H4939" s="204"/>
      <c r="I4939" s="204"/>
      <c r="J4939" s="204"/>
      <c r="K4939" s="204"/>
      <c r="L4939" s="205"/>
      <c r="M4939" s="205"/>
      <c r="N4939" s="204"/>
      <c r="O4939" s="204"/>
      <c r="P4939" s="206"/>
      <c r="Q4939" s="206"/>
      <c r="R4939" s="206"/>
      <c r="S4939" s="206"/>
      <c r="T4939" s="204"/>
      <c r="U4939" s="207"/>
      <c r="V4939" s="204"/>
      <c r="W4939" s="204"/>
      <c r="X4939" s="207"/>
      <c r="Y4939" s="207"/>
      <c r="Z4939" s="204"/>
      <c r="AA4939" s="204"/>
      <c r="AB4939" s="204"/>
      <c r="AC4939" s="204"/>
    </row>
    <row r="4940" spans="1:29">
      <c r="A4940" s="204"/>
      <c r="B4940" s="204"/>
      <c r="C4940" s="204"/>
      <c r="D4940" s="204"/>
      <c r="E4940" s="204"/>
      <c r="F4940" s="204"/>
      <c r="G4940" s="204"/>
      <c r="H4940" s="204"/>
      <c r="I4940" s="204"/>
      <c r="J4940" s="204"/>
      <c r="K4940" s="204"/>
      <c r="L4940" s="205"/>
      <c r="M4940" s="205"/>
      <c r="N4940" s="204"/>
      <c r="O4940" s="204"/>
      <c r="P4940" s="206"/>
      <c r="Q4940" s="206"/>
      <c r="R4940" s="206"/>
      <c r="S4940" s="206"/>
      <c r="T4940" s="204"/>
      <c r="U4940" s="207"/>
      <c r="V4940" s="204"/>
      <c r="W4940" s="204"/>
      <c r="X4940" s="207"/>
      <c r="Y4940" s="207"/>
      <c r="Z4940" s="204"/>
      <c r="AA4940" s="204"/>
      <c r="AB4940" s="204"/>
      <c r="AC4940" s="204"/>
    </row>
    <row r="4941" spans="1:29">
      <c r="A4941" s="204"/>
      <c r="B4941" s="204"/>
      <c r="C4941" s="204"/>
      <c r="D4941" s="204"/>
      <c r="E4941" s="204"/>
      <c r="F4941" s="204"/>
      <c r="G4941" s="204"/>
      <c r="H4941" s="204"/>
      <c r="I4941" s="204"/>
      <c r="J4941" s="204"/>
      <c r="K4941" s="204"/>
      <c r="L4941" s="205"/>
      <c r="M4941" s="205"/>
      <c r="N4941" s="204"/>
      <c r="O4941" s="204"/>
      <c r="P4941" s="206"/>
      <c r="Q4941" s="206"/>
      <c r="R4941" s="206"/>
      <c r="S4941" s="206"/>
      <c r="T4941" s="204"/>
      <c r="U4941" s="207"/>
      <c r="V4941" s="204"/>
      <c r="W4941" s="204"/>
      <c r="X4941" s="207"/>
      <c r="Y4941" s="207"/>
      <c r="Z4941" s="204"/>
      <c r="AA4941" s="204"/>
      <c r="AB4941" s="204"/>
      <c r="AC4941" s="204"/>
    </row>
    <row r="4942" spans="1:29">
      <c r="A4942" s="204"/>
      <c r="B4942" s="204"/>
      <c r="C4942" s="204"/>
      <c r="D4942" s="204"/>
      <c r="E4942" s="204"/>
      <c r="F4942" s="204"/>
      <c r="G4942" s="204"/>
      <c r="H4942" s="204"/>
      <c r="I4942" s="204"/>
      <c r="J4942" s="204"/>
      <c r="K4942" s="204"/>
      <c r="L4942" s="205"/>
      <c r="M4942" s="205"/>
      <c r="N4942" s="204"/>
      <c r="O4942" s="204"/>
      <c r="P4942" s="206"/>
      <c r="Q4942" s="206"/>
      <c r="R4942" s="206"/>
      <c r="S4942" s="206"/>
      <c r="T4942" s="204"/>
      <c r="U4942" s="207"/>
      <c r="V4942" s="204"/>
      <c r="W4942" s="204"/>
      <c r="X4942" s="207"/>
      <c r="Y4942" s="207"/>
      <c r="Z4942" s="204"/>
      <c r="AA4942" s="204"/>
      <c r="AB4942" s="204"/>
      <c r="AC4942" s="204"/>
    </row>
    <row r="4943" spans="1:29">
      <c r="A4943" s="204"/>
      <c r="B4943" s="204"/>
      <c r="C4943" s="204"/>
      <c r="D4943" s="204"/>
      <c r="E4943" s="204"/>
      <c r="F4943" s="204"/>
      <c r="G4943" s="204"/>
      <c r="H4943" s="204"/>
      <c r="I4943" s="204"/>
      <c r="J4943" s="204"/>
      <c r="K4943" s="204"/>
      <c r="L4943" s="205"/>
      <c r="M4943" s="205"/>
      <c r="N4943" s="204"/>
      <c r="O4943" s="204"/>
      <c r="P4943" s="206"/>
      <c r="Q4943" s="206"/>
      <c r="R4943" s="206"/>
      <c r="S4943" s="206"/>
      <c r="T4943" s="204"/>
      <c r="U4943" s="207"/>
      <c r="V4943" s="204"/>
      <c r="W4943" s="204"/>
      <c r="X4943" s="207"/>
      <c r="Y4943" s="207"/>
      <c r="Z4943" s="204"/>
      <c r="AA4943" s="204"/>
      <c r="AB4943" s="204"/>
      <c r="AC4943" s="204"/>
    </row>
    <row r="4944" spans="1:29">
      <c r="A4944" s="204"/>
      <c r="B4944" s="204"/>
      <c r="C4944" s="204"/>
      <c r="D4944" s="204"/>
      <c r="E4944" s="204"/>
      <c r="F4944" s="204"/>
      <c r="G4944" s="204"/>
      <c r="H4944" s="204"/>
      <c r="I4944" s="204"/>
      <c r="J4944" s="204"/>
      <c r="K4944" s="204"/>
      <c r="L4944" s="205"/>
      <c r="M4944" s="205"/>
      <c r="N4944" s="204"/>
      <c r="O4944" s="204"/>
      <c r="P4944" s="206"/>
      <c r="Q4944" s="206"/>
      <c r="R4944" s="206"/>
      <c r="S4944" s="206"/>
      <c r="T4944" s="204"/>
      <c r="U4944" s="207"/>
      <c r="V4944" s="204"/>
      <c r="W4944" s="204"/>
      <c r="X4944" s="207"/>
      <c r="Y4944" s="207"/>
      <c r="Z4944" s="204"/>
      <c r="AA4944" s="204"/>
      <c r="AB4944" s="204"/>
      <c r="AC4944" s="204"/>
    </row>
    <row r="4945" spans="1:29">
      <c r="A4945" s="204"/>
      <c r="B4945" s="204"/>
      <c r="C4945" s="204"/>
      <c r="D4945" s="204"/>
      <c r="E4945" s="204"/>
      <c r="F4945" s="204"/>
      <c r="G4945" s="204"/>
      <c r="H4945" s="204"/>
      <c r="I4945" s="204"/>
      <c r="J4945" s="204"/>
      <c r="K4945" s="204"/>
      <c r="L4945" s="205"/>
      <c r="M4945" s="205"/>
      <c r="N4945" s="204"/>
      <c r="O4945" s="204"/>
      <c r="P4945" s="206"/>
      <c r="Q4945" s="206"/>
      <c r="R4945" s="206"/>
      <c r="S4945" s="206"/>
      <c r="T4945" s="204"/>
      <c r="U4945" s="207"/>
      <c r="V4945" s="204"/>
      <c r="W4945" s="204"/>
      <c r="X4945" s="207"/>
      <c r="Y4945" s="207"/>
      <c r="Z4945" s="204"/>
      <c r="AA4945" s="204"/>
      <c r="AB4945" s="204"/>
      <c r="AC4945" s="204"/>
    </row>
    <row r="4946" spans="1:29">
      <c r="A4946" s="204"/>
      <c r="B4946" s="204"/>
      <c r="C4946" s="204"/>
      <c r="D4946" s="204"/>
      <c r="E4946" s="204"/>
      <c r="F4946" s="204"/>
      <c r="G4946" s="204"/>
      <c r="H4946" s="204"/>
      <c r="I4946" s="204"/>
      <c r="J4946" s="204"/>
      <c r="K4946" s="204"/>
      <c r="L4946" s="205"/>
      <c r="M4946" s="205"/>
      <c r="N4946" s="204"/>
      <c r="O4946" s="204"/>
      <c r="P4946" s="206"/>
      <c r="Q4946" s="206"/>
      <c r="R4946" s="206"/>
      <c r="S4946" s="206"/>
      <c r="T4946" s="204"/>
      <c r="U4946" s="207"/>
      <c r="V4946" s="204"/>
      <c r="W4946" s="204"/>
      <c r="X4946" s="207"/>
      <c r="Y4946" s="207"/>
      <c r="Z4946" s="204"/>
      <c r="AA4946" s="204"/>
      <c r="AB4946" s="204"/>
      <c r="AC4946" s="204"/>
    </row>
    <row r="4947" spans="1:29">
      <c r="A4947" s="204"/>
      <c r="B4947" s="204"/>
      <c r="C4947" s="204"/>
      <c r="D4947" s="204"/>
      <c r="E4947" s="204"/>
      <c r="F4947" s="204"/>
      <c r="G4947" s="204"/>
      <c r="H4947" s="204"/>
      <c r="I4947" s="204"/>
      <c r="J4947" s="204"/>
      <c r="K4947" s="204"/>
      <c r="L4947" s="205"/>
      <c r="M4947" s="205"/>
      <c r="N4947" s="204"/>
      <c r="O4947" s="204"/>
      <c r="P4947" s="206"/>
      <c r="Q4947" s="206"/>
      <c r="R4947" s="206"/>
      <c r="S4947" s="206"/>
      <c r="T4947" s="204"/>
      <c r="U4947" s="207"/>
      <c r="V4947" s="204"/>
      <c r="W4947" s="204"/>
      <c r="X4947" s="207"/>
      <c r="Y4947" s="207"/>
      <c r="Z4947" s="204"/>
      <c r="AA4947" s="204"/>
      <c r="AB4947" s="204"/>
      <c r="AC4947" s="204"/>
    </row>
    <row r="4948" spans="1:29">
      <c r="A4948" s="204"/>
      <c r="B4948" s="204"/>
      <c r="C4948" s="204"/>
      <c r="D4948" s="204"/>
      <c r="E4948" s="204"/>
      <c r="F4948" s="204"/>
      <c r="G4948" s="204"/>
      <c r="H4948" s="204"/>
      <c r="I4948" s="204"/>
      <c r="J4948" s="204"/>
      <c r="K4948" s="204"/>
      <c r="L4948" s="205"/>
      <c r="M4948" s="205"/>
      <c r="N4948" s="204"/>
      <c r="O4948" s="204"/>
      <c r="P4948" s="206"/>
      <c r="Q4948" s="206"/>
      <c r="R4948" s="206"/>
      <c r="S4948" s="206"/>
      <c r="T4948" s="204"/>
      <c r="U4948" s="207"/>
      <c r="V4948" s="204"/>
      <c r="W4948" s="204"/>
      <c r="X4948" s="207"/>
      <c r="Y4948" s="207"/>
      <c r="Z4948" s="204"/>
      <c r="AA4948" s="204"/>
      <c r="AB4948" s="204"/>
      <c r="AC4948" s="204"/>
    </row>
    <row r="4949" spans="1:29">
      <c r="A4949" s="204"/>
      <c r="B4949" s="204"/>
      <c r="C4949" s="204"/>
      <c r="D4949" s="204"/>
      <c r="E4949" s="204"/>
      <c r="F4949" s="204"/>
      <c r="G4949" s="204"/>
      <c r="H4949" s="204"/>
      <c r="I4949" s="204"/>
      <c r="J4949" s="204"/>
      <c r="K4949" s="204"/>
      <c r="L4949" s="205"/>
      <c r="M4949" s="205"/>
      <c r="N4949" s="204"/>
      <c r="O4949" s="204"/>
      <c r="P4949" s="206"/>
      <c r="Q4949" s="206"/>
      <c r="R4949" s="206"/>
      <c r="S4949" s="206"/>
      <c r="T4949" s="204"/>
      <c r="U4949" s="207"/>
      <c r="V4949" s="204"/>
      <c r="W4949" s="204"/>
      <c r="X4949" s="207"/>
      <c r="Y4949" s="207"/>
      <c r="Z4949" s="204"/>
      <c r="AA4949" s="204"/>
      <c r="AB4949" s="204"/>
      <c r="AC4949" s="204"/>
    </row>
    <row r="4950" spans="1:29">
      <c r="A4950" s="204"/>
      <c r="B4950" s="204"/>
      <c r="C4950" s="204"/>
      <c r="D4950" s="204"/>
      <c r="E4950" s="204"/>
      <c r="F4950" s="204"/>
      <c r="G4950" s="204"/>
      <c r="H4950" s="204"/>
      <c r="I4950" s="204"/>
      <c r="J4950" s="204"/>
      <c r="K4950" s="204"/>
      <c r="L4950" s="205"/>
      <c r="M4950" s="205"/>
      <c r="N4950" s="204"/>
      <c r="O4950" s="204"/>
      <c r="P4950" s="206"/>
      <c r="Q4950" s="206"/>
      <c r="R4950" s="206"/>
      <c r="S4950" s="206"/>
      <c r="T4950" s="204"/>
      <c r="U4950" s="207"/>
      <c r="V4950" s="204"/>
      <c r="W4950" s="204"/>
      <c r="X4950" s="207"/>
      <c r="Y4950" s="207"/>
      <c r="Z4950" s="204"/>
      <c r="AA4950" s="204"/>
      <c r="AB4950" s="204"/>
      <c r="AC4950" s="204"/>
    </row>
    <row r="4951" spans="1:29">
      <c r="A4951" s="204"/>
      <c r="B4951" s="204"/>
      <c r="C4951" s="204"/>
      <c r="D4951" s="204"/>
      <c r="E4951" s="204"/>
      <c r="F4951" s="204"/>
      <c r="G4951" s="204"/>
      <c r="H4951" s="204"/>
      <c r="I4951" s="204"/>
      <c r="J4951" s="204"/>
      <c r="K4951" s="204"/>
      <c r="L4951" s="205"/>
      <c r="M4951" s="205"/>
      <c r="N4951" s="204"/>
      <c r="O4951" s="204"/>
      <c r="P4951" s="206"/>
      <c r="Q4951" s="206"/>
      <c r="R4951" s="206"/>
      <c r="S4951" s="206"/>
      <c r="T4951" s="204"/>
      <c r="U4951" s="207"/>
      <c r="V4951" s="204"/>
      <c r="W4951" s="204"/>
      <c r="X4951" s="207"/>
      <c r="Y4951" s="207"/>
      <c r="Z4951" s="204"/>
      <c r="AA4951" s="204"/>
      <c r="AB4951" s="204"/>
      <c r="AC4951" s="204"/>
    </row>
    <row r="4952" spans="1:29">
      <c r="A4952" s="204"/>
      <c r="B4952" s="204"/>
      <c r="C4952" s="204"/>
      <c r="D4952" s="204"/>
      <c r="E4952" s="204"/>
      <c r="F4952" s="204"/>
      <c r="G4952" s="204"/>
      <c r="H4952" s="204"/>
      <c r="I4952" s="204"/>
      <c r="J4952" s="204"/>
      <c r="K4952" s="204"/>
      <c r="L4952" s="205"/>
      <c r="M4952" s="205"/>
      <c r="N4952" s="204"/>
      <c r="O4952" s="204"/>
      <c r="P4952" s="206"/>
      <c r="Q4952" s="206"/>
      <c r="R4952" s="206"/>
      <c r="S4952" s="206"/>
      <c r="T4952" s="204"/>
      <c r="U4952" s="207"/>
      <c r="V4952" s="204"/>
      <c r="W4952" s="204"/>
      <c r="X4952" s="207"/>
      <c r="Y4952" s="207"/>
      <c r="Z4952" s="204"/>
      <c r="AA4952" s="204"/>
      <c r="AB4952" s="204"/>
      <c r="AC4952" s="204"/>
    </row>
    <row r="4953" spans="1:29">
      <c r="A4953" s="204"/>
      <c r="B4953" s="204"/>
      <c r="C4953" s="204"/>
      <c r="D4953" s="204"/>
      <c r="E4953" s="204"/>
      <c r="F4953" s="204"/>
      <c r="G4953" s="204"/>
      <c r="H4953" s="204"/>
      <c r="I4953" s="204"/>
      <c r="J4953" s="204"/>
      <c r="K4953" s="204"/>
      <c r="L4953" s="205"/>
      <c r="M4953" s="205"/>
      <c r="N4953" s="204"/>
      <c r="O4953" s="204"/>
      <c r="P4953" s="206"/>
      <c r="Q4953" s="206"/>
      <c r="R4953" s="206"/>
      <c r="S4953" s="206"/>
      <c r="T4953" s="204"/>
      <c r="U4953" s="207"/>
      <c r="V4953" s="204"/>
      <c r="W4953" s="204"/>
      <c r="X4953" s="207"/>
      <c r="Y4953" s="207"/>
      <c r="Z4953" s="204"/>
      <c r="AA4953" s="204"/>
      <c r="AB4953" s="204"/>
      <c r="AC4953" s="204"/>
    </row>
    <row r="4954" spans="1:29">
      <c r="A4954" s="204"/>
      <c r="B4954" s="204"/>
      <c r="C4954" s="204"/>
      <c r="D4954" s="204"/>
      <c r="E4954" s="204"/>
      <c r="F4954" s="204"/>
      <c r="G4954" s="204"/>
      <c r="H4954" s="204"/>
      <c r="I4954" s="204"/>
      <c r="J4954" s="204"/>
      <c r="K4954" s="204"/>
      <c r="L4954" s="205"/>
      <c r="M4954" s="205"/>
      <c r="N4954" s="204"/>
      <c r="O4954" s="204"/>
      <c r="P4954" s="206"/>
      <c r="Q4954" s="206"/>
      <c r="R4954" s="206"/>
      <c r="S4954" s="206"/>
      <c r="T4954" s="204"/>
      <c r="U4954" s="207"/>
      <c r="V4954" s="204"/>
      <c r="W4954" s="204"/>
      <c r="X4954" s="207"/>
      <c r="Y4954" s="207"/>
      <c r="Z4954" s="204"/>
      <c r="AA4954" s="204"/>
      <c r="AB4954" s="204"/>
      <c r="AC4954" s="204"/>
    </row>
    <row r="4955" spans="1:29">
      <c r="A4955" s="204"/>
      <c r="B4955" s="204"/>
      <c r="C4955" s="204"/>
      <c r="D4955" s="204"/>
      <c r="E4955" s="204"/>
      <c r="F4955" s="204"/>
      <c r="G4955" s="204"/>
      <c r="H4955" s="204"/>
      <c r="I4955" s="204"/>
      <c r="J4955" s="204"/>
      <c r="K4955" s="204"/>
      <c r="L4955" s="205"/>
      <c r="M4955" s="205"/>
      <c r="N4955" s="204"/>
      <c r="O4955" s="204"/>
      <c r="P4955" s="206"/>
      <c r="Q4955" s="206"/>
      <c r="R4955" s="206"/>
      <c r="S4955" s="206"/>
      <c r="T4955" s="204"/>
      <c r="U4955" s="207"/>
      <c r="V4955" s="204"/>
      <c r="W4955" s="204"/>
      <c r="X4955" s="207"/>
      <c r="Y4955" s="207"/>
      <c r="Z4955" s="204"/>
      <c r="AA4955" s="204"/>
      <c r="AB4955" s="204"/>
      <c r="AC4955" s="204"/>
    </row>
    <row r="4956" spans="1:29">
      <c r="A4956" s="204"/>
      <c r="B4956" s="204"/>
      <c r="C4956" s="204"/>
      <c r="D4956" s="204"/>
      <c r="E4956" s="204"/>
      <c r="F4956" s="204"/>
      <c r="G4956" s="204"/>
      <c r="H4956" s="204"/>
      <c r="I4956" s="204"/>
      <c r="J4956" s="204"/>
      <c r="K4956" s="204"/>
      <c r="L4956" s="205"/>
      <c r="M4956" s="205"/>
      <c r="N4956" s="204"/>
      <c r="O4956" s="204"/>
      <c r="P4956" s="206"/>
      <c r="Q4956" s="206"/>
      <c r="R4956" s="206"/>
      <c r="S4956" s="206"/>
      <c r="T4956" s="204"/>
      <c r="U4956" s="207"/>
      <c r="V4956" s="204"/>
      <c r="W4956" s="204"/>
      <c r="X4956" s="207"/>
      <c r="Y4956" s="207"/>
      <c r="Z4956" s="204"/>
      <c r="AA4956" s="204"/>
      <c r="AB4956" s="204"/>
      <c r="AC4956" s="204"/>
    </row>
    <row r="4957" spans="1:29">
      <c r="A4957" s="204"/>
      <c r="B4957" s="204"/>
      <c r="C4957" s="204"/>
      <c r="D4957" s="204"/>
      <c r="E4957" s="204"/>
      <c r="F4957" s="204"/>
      <c r="G4957" s="204"/>
      <c r="H4957" s="204"/>
      <c r="I4957" s="204"/>
      <c r="J4957" s="204"/>
      <c r="K4957" s="204"/>
      <c r="L4957" s="205"/>
      <c r="M4957" s="205"/>
      <c r="N4957" s="204"/>
      <c r="O4957" s="204"/>
      <c r="P4957" s="206"/>
      <c r="Q4957" s="206"/>
      <c r="R4957" s="206"/>
      <c r="S4957" s="206"/>
      <c r="T4957" s="204"/>
      <c r="U4957" s="207"/>
      <c r="V4957" s="204"/>
      <c r="W4957" s="204"/>
      <c r="X4957" s="207"/>
      <c r="Y4957" s="207"/>
      <c r="Z4957" s="204"/>
      <c r="AA4957" s="204"/>
      <c r="AB4957" s="204"/>
      <c r="AC4957" s="204"/>
    </row>
    <row r="4958" spans="1:29">
      <c r="A4958" s="204"/>
      <c r="B4958" s="204"/>
      <c r="C4958" s="204"/>
      <c r="D4958" s="204"/>
      <c r="E4958" s="204"/>
      <c r="F4958" s="204"/>
      <c r="G4958" s="204"/>
      <c r="H4958" s="204"/>
      <c r="I4958" s="204"/>
      <c r="J4958" s="204"/>
      <c r="K4958" s="204"/>
      <c r="L4958" s="205"/>
      <c r="M4958" s="205"/>
      <c r="N4958" s="204"/>
      <c r="O4958" s="204"/>
      <c r="P4958" s="206"/>
      <c r="Q4958" s="206"/>
      <c r="R4958" s="206"/>
      <c r="S4958" s="206"/>
      <c r="T4958" s="204"/>
      <c r="U4958" s="207"/>
      <c r="V4958" s="204"/>
      <c r="W4958" s="204"/>
      <c r="X4958" s="207"/>
      <c r="Y4958" s="207"/>
      <c r="Z4958" s="204"/>
      <c r="AA4958" s="204"/>
      <c r="AB4958" s="204"/>
      <c r="AC4958" s="204"/>
    </row>
    <row r="4959" spans="1:29">
      <c r="A4959" s="204"/>
      <c r="B4959" s="204"/>
      <c r="C4959" s="204"/>
      <c r="D4959" s="204"/>
      <c r="E4959" s="204"/>
      <c r="F4959" s="204"/>
      <c r="G4959" s="204"/>
      <c r="H4959" s="204"/>
      <c r="I4959" s="204"/>
      <c r="J4959" s="204"/>
      <c r="K4959" s="204"/>
      <c r="L4959" s="205"/>
      <c r="M4959" s="205"/>
      <c r="N4959" s="204"/>
      <c r="O4959" s="204"/>
      <c r="P4959" s="206"/>
      <c r="Q4959" s="206"/>
      <c r="R4959" s="206"/>
      <c r="S4959" s="206"/>
      <c r="T4959" s="204"/>
      <c r="U4959" s="207"/>
      <c r="V4959" s="204"/>
      <c r="W4959" s="204"/>
      <c r="X4959" s="207"/>
      <c r="Y4959" s="207"/>
      <c r="Z4959" s="204"/>
      <c r="AA4959" s="204"/>
      <c r="AB4959" s="204"/>
      <c r="AC4959" s="204"/>
    </row>
    <row r="4960" spans="1:29">
      <c r="A4960" s="204"/>
      <c r="B4960" s="204"/>
      <c r="C4960" s="204"/>
      <c r="D4960" s="204"/>
      <c r="E4960" s="204"/>
      <c r="F4960" s="204"/>
      <c r="G4960" s="204"/>
      <c r="H4960" s="204"/>
      <c r="I4960" s="204"/>
      <c r="J4960" s="204"/>
      <c r="K4960" s="204"/>
      <c r="L4960" s="205"/>
      <c r="M4960" s="205"/>
      <c r="N4960" s="204"/>
      <c r="O4960" s="204"/>
      <c r="P4960" s="206"/>
      <c r="Q4960" s="206"/>
      <c r="R4960" s="206"/>
      <c r="S4960" s="206"/>
      <c r="T4960" s="204"/>
      <c r="U4960" s="207"/>
      <c r="V4960" s="204"/>
      <c r="W4960" s="204"/>
      <c r="X4960" s="207"/>
      <c r="Y4960" s="207"/>
      <c r="Z4960" s="204"/>
      <c r="AA4960" s="204"/>
      <c r="AB4960" s="204"/>
      <c r="AC4960" s="204"/>
    </row>
    <row r="4961" spans="1:29">
      <c r="A4961" s="204"/>
      <c r="B4961" s="204"/>
      <c r="C4961" s="204"/>
      <c r="D4961" s="204"/>
      <c r="E4961" s="204"/>
      <c r="F4961" s="204"/>
      <c r="G4961" s="204"/>
      <c r="H4961" s="204"/>
      <c r="I4961" s="204"/>
      <c r="J4961" s="204"/>
      <c r="K4961" s="204"/>
      <c r="L4961" s="205"/>
      <c r="M4961" s="205"/>
      <c r="N4961" s="204"/>
      <c r="O4961" s="204"/>
      <c r="P4961" s="206"/>
      <c r="Q4961" s="206"/>
      <c r="R4961" s="206"/>
      <c r="S4961" s="206"/>
      <c r="T4961" s="204"/>
      <c r="U4961" s="207"/>
      <c r="V4961" s="204"/>
      <c r="W4961" s="204"/>
      <c r="X4961" s="207"/>
      <c r="Y4961" s="207"/>
      <c r="Z4961" s="204"/>
      <c r="AA4961" s="204"/>
      <c r="AB4961" s="204"/>
      <c r="AC4961" s="204"/>
    </row>
    <row r="4962" spans="1:29">
      <c r="A4962" s="204"/>
      <c r="B4962" s="204"/>
      <c r="C4962" s="204"/>
      <c r="D4962" s="204"/>
      <c r="E4962" s="204"/>
      <c r="F4962" s="204"/>
      <c r="G4962" s="204"/>
      <c r="H4962" s="204"/>
      <c r="I4962" s="204"/>
      <c r="J4962" s="204"/>
      <c r="K4962" s="204"/>
      <c r="L4962" s="205"/>
      <c r="M4962" s="205"/>
      <c r="N4962" s="204"/>
      <c r="O4962" s="204"/>
      <c r="P4962" s="206"/>
      <c r="Q4962" s="206"/>
      <c r="R4962" s="206"/>
      <c r="S4962" s="206"/>
      <c r="T4962" s="204"/>
      <c r="U4962" s="207"/>
      <c r="V4962" s="204"/>
      <c r="W4962" s="204"/>
      <c r="X4962" s="207"/>
      <c r="Y4962" s="207"/>
      <c r="Z4962" s="204"/>
      <c r="AA4962" s="204"/>
      <c r="AB4962" s="204"/>
      <c r="AC4962" s="204"/>
    </row>
    <row r="4963" spans="1:29">
      <c r="A4963" s="204"/>
      <c r="B4963" s="204"/>
      <c r="C4963" s="204"/>
      <c r="D4963" s="204"/>
      <c r="E4963" s="204"/>
      <c r="F4963" s="204"/>
      <c r="G4963" s="204"/>
      <c r="H4963" s="204"/>
      <c r="I4963" s="204"/>
      <c r="J4963" s="204"/>
      <c r="K4963" s="204"/>
      <c r="L4963" s="205"/>
      <c r="M4963" s="205"/>
      <c r="N4963" s="204"/>
      <c r="O4963" s="204"/>
      <c r="P4963" s="206"/>
      <c r="Q4963" s="206"/>
      <c r="R4963" s="206"/>
      <c r="S4963" s="206"/>
      <c r="T4963" s="204"/>
      <c r="U4963" s="207"/>
      <c r="V4963" s="204"/>
      <c r="W4963" s="204"/>
      <c r="X4963" s="207"/>
      <c r="Y4963" s="207"/>
      <c r="Z4963" s="204"/>
      <c r="AA4963" s="204"/>
      <c r="AB4963" s="204"/>
      <c r="AC4963" s="204"/>
    </row>
    <row r="4964" spans="1:29">
      <c r="A4964" s="204"/>
      <c r="B4964" s="204"/>
      <c r="C4964" s="204"/>
      <c r="D4964" s="204"/>
      <c r="E4964" s="204"/>
      <c r="F4964" s="204"/>
      <c r="G4964" s="204"/>
      <c r="H4964" s="204"/>
      <c r="I4964" s="204"/>
      <c r="J4964" s="204"/>
      <c r="K4964" s="204"/>
      <c r="L4964" s="205"/>
      <c r="M4964" s="205"/>
      <c r="N4964" s="204"/>
      <c r="O4964" s="204"/>
      <c r="P4964" s="206"/>
      <c r="Q4964" s="206"/>
      <c r="R4964" s="206"/>
      <c r="S4964" s="206"/>
      <c r="T4964" s="204"/>
      <c r="U4964" s="207"/>
      <c r="V4964" s="204"/>
      <c r="W4964" s="204"/>
      <c r="X4964" s="207"/>
      <c r="Y4964" s="207"/>
      <c r="Z4964" s="204"/>
      <c r="AA4964" s="204"/>
      <c r="AB4964" s="204"/>
      <c r="AC4964" s="204"/>
    </row>
    <row r="4965" spans="1:29">
      <c r="A4965" s="204"/>
      <c r="B4965" s="204"/>
      <c r="C4965" s="204"/>
      <c r="D4965" s="204"/>
      <c r="E4965" s="204"/>
      <c r="F4965" s="204"/>
      <c r="G4965" s="204"/>
      <c r="H4965" s="204"/>
      <c r="I4965" s="204"/>
      <c r="J4965" s="204"/>
      <c r="K4965" s="204"/>
      <c r="L4965" s="205"/>
      <c r="M4965" s="205"/>
      <c r="N4965" s="204"/>
      <c r="O4965" s="204"/>
      <c r="P4965" s="206"/>
      <c r="Q4965" s="206"/>
      <c r="R4965" s="206"/>
      <c r="S4965" s="206"/>
      <c r="T4965" s="204"/>
      <c r="U4965" s="207"/>
      <c r="V4965" s="204"/>
      <c r="W4965" s="204"/>
      <c r="X4965" s="207"/>
      <c r="Y4965" s="207"/>
      <c r="Z4965" s="204"/>
      <c r="AA4965" s="204"/>
      <c r="AB4965" s="204"/>
      <c r="AC4965" s="204"/>
    </row>
    <row r="4966" spans="1:29">
      <c r="A4966" s="204"/>
      <c r="B4966" s="204"/>
      <c r="C4966" s="204"/>
      <c r="D4966" s="204"/>
      <c r="E4966" s="204"/>
      <c r="F4966" s="204"/>
      <c r="G4966" s="204"/>
      <c r="H4966" s="204"/>
      <c r="I4966" s="204"/>
      <c r="J4966" s="204"/>
      <c r="K4966" s="204"/>
      <c r="L4966" s="205"/>
      <c r="M4966" s="205"/>
      <c r="N4966" s="204"/>
      <c r="O4966" s="204"/>
      <c r="P4966" s="206"/>
      <c r="Q4966" s="206"/>
      <c r="R4966" s="206"/>
      <c r="S4966" s="206"/>
      <c r="T4966" s="204"/>
      <c r="U4966" s="207"/>
      <c r="V4966" s="204"/>
      <c r="W4966" s="204"/>
      <c r="X4966" s="207"/>
      <c r="Y4966" s="207"/>
      <c r="Z4966" s="204"/>
      <c r="AA4966" s="204"/>
      <c r="AB4966" s="204"/>
      <c r="AC4966" s="204"/>
    </row>
    <row r="4967" spans="1:29">
      <c r="A4967" s="204"/>
      <c r="B4967" s="204"/>
      <c r="C4967" s="204"/>
      <c r="D4967" s="204"/>
      <c r="E4967" s="204"/>
      <c r="F4967" s="204"/>
      <c r="G4967" s="204"/>
      <c r="H4967" s="204"/>
      <c r="I4967" s="204"/>
      <c r="J4967" s="204"/>
      <c r="K4967" s="204"/>
      <c r="L4967" s="205"/>
      <c r="M4967" s="205"/>
      <c r="N4967" s="204"/>
      <c r="O4967" s="204"/>
      <c r="P4967" s="206"/>
      <c r="Q4967" s="206"/>
      <c r="R4967" s="206"/>
      <c r="S4967" s="206"/>
      <c r="T4967" s="204"/>
      <c r="U4967" s="207"/>
      <c r="V4967" s="204"/>
      <c r="W4967" s="204"/>
      <c r="X4967" s="207"/>
      <c r="Y4967" s="207"/>
      <c r="Z4967" s="204"/>
      <c r="AA4967" s="204"/>
      <c r="AB4967" s="204"/>
      <c r="AC4967" s="204"/>
    </row>
    <row r="4968" spans="1:29">
      <c r="A4968" s="204"/>
      <c r="B4968" s="204"/>
      <c r="C4968" s="204"/>
      <c r="D4968" s="204"/>
      <c r="E4968" s="204"/>
      <c r="F4968" s="204"/>
      <c r="G4968" s="204"/>
      <c r="H4968" s="204"/>
      <c r="I4968" s="204"/>
      <c r="J4968" s="204"/>
      <c r="K4968" s="204"/>
      <c r="L4968" s="205"/>
      <c r="M4968" s="205"/>
      <c r="N4968" s="204"/>
      <c r="O4968" s="204"/>
      <c r="P4968" s="206"/>
      <c r="Q4968" s="206"/>
      <c r="R4968" s="206"/>
      <c r="S4968" s="206"/>
      <c r="T4968" s="204"/>
      <c r="U4968" s="207"/>
      <c r="V4968" s="204"/>
      <c r="W4968" s="204"/>
      <c r="X4968" s="207"/>
      <c r="Y4968" s="207"/>
      <c r="Z4968" s="204"/>
      <c r="AA4968" s="204"/>
      <c r="AB4968" s="204"/>
      <c r="AC4968" s="204"/>
    </row>
    <row r="4969" spans="1:29">
      <c r="A4969" s="204"/>
      <c r="B4969" s="204"/>
      <c r="C4969" s="204"/>
      <c r="D4969" s="204"/>
      <c r="E4969" s="204"/>
      <c r="F4969" s="204"/>
      <c r="G4969" s="204"/>
      <c r="H4969" s="204"/>
      <c r="I4969" s="204"/>
      <c r="J4969" s="204"/>
      <c r="K4969" s="204"/>
      <c r="L4969" s="205"/>
      <c r="M4969" s="205"/>
      <c r="N4969" s="204"/>
      <c r="O4969" s="204"/>
      <c r="P4969" s="206"/>
      <c r="Q4969" s="206"/>
      <c r="R4969" s="206"/>
      <c r="S4969" s="206"/>
      <c r="T4969" s="204"/>
      <c r="U4969" s="207"/>
      <c r="V4969" s="204"/>
      <c r="W4969" s="204"/>
      <c r="X4969" s="207"/>
      <c r="Y4969" s="207"/>
      <c r="Z4969" s="204"/>
      <c r="AA4969" s="204"/>
      <c r="AB4969" s="204"/>
      <c r="AC4969" s="204"/>
    </row>
    <row r="4970" spans="1:29">
      <c r="A4970" s="204"/>
      <c r="B4970" s="204"/>
      <c r="C4970" s="204"/>
      <c r="D4970" s="204"/>
      <c r="E4970" s="204"/>
      <c r="F4970" s="204"/>
      <c r="G4970" s="204"/>
      <c r="H4970" s="204"/>
      <c r="I4970" s="204"/>
      <c r="J4970" s="204"/>
      <c r="K4970" s="204"/>
      <c r="L4970" s="205"/>
      <c r="M4970" s="205"/>
      <c r="N4970" s="204"/>
      <c r="O4970" s="204"/>
      <c r="P4970" s="206"/>
      <c r="Q4970" s="206"/>
      <c r="R4970" s="206"/>
      <c r="S4970" s="206"/>
      <c r="T4970" s="204"/>
      <c r="U4970" s="207"/>
      <c r="V4970" s="204"/>
      <c r="W4970" s="204"/>
      <c r="X4970" s="207"/>
      <c r="Y4970" s="207"/>
      <c r="Z4970" s="204"/>
      <c r="AA4970" s="204"/>
      <c r="AB4970" s="204"/>
      <c r="AC4970" s="204"/>
    </row>
    <row r="4971" spans="1:29">
      <c r="A4971" s="204"/>
      <c r="B4971" s="204"/>
      <c r="C4971" s="204"/>
      <c r="D4971" s="204"/>
      <c r="E4971" s="204"/>
      <c r="F4971" s="204"/>
      <c r="G4971" s="204"/>
      <c r="H4971" s="204"/>
      <c r="I4971" s="204"/>
      <c r="J4971" s="204"/>
      <c r="K4971" s="204"/>
      <c r="L4971" s="205"/>
      <c r="M4971" s="205"/>
      <c r="N4971" s="204"/>
      <c r="O4971" s="204"/>
      <c r="P4971" s="206"/>
      <c r="Q4971" s="206"/>
      <c r="R4971" s="206"/>
      <c r="S4971" s="206"/>
      <c r="T4971" s="204"/>
      <c r="U4971" s="207"/>
      <c r="V4971" s="204"/>
      <c r="W4971" s="204"/>
      <c r="X4971" s="207"/>
      <c r="Y4971" s="207"/>
      <c r="Z4971" s="204"/>
      <c r="AA4971" s="204"/>
      <c r="AB4971" s="204"/>
      <c r="AC4971" s="204"/>
    </row>
    <row r="4972" spans="1:29">
      <c r="A4972" s="204"/>
      <c r="B4972" s="204"/>
      <c r="C4972" s="204"/>
      <c r="D4972" s="204"/>
      <c r="E4972" s="204"/>
      <c r="F4972" s="204"/>
      <c r="G4972" s="204"/>
      <c r="H4972" s="204"/>
      <c r="I4972" s="204"/>
      <c r="J4972" s="204"/>
      <c r="K4972" s="204"/>
      <c r="L4972" s="205"/>
      <c r="M4972" s="205"/>
      <c r="N4972" s="204"/>
      <c r="O4972" s="204"/>
      <c r="P4972" s="206"/>
      <c r="Q4972" s="206"/>
      <c r="R4972" s="206"/>
      <c r="S4972" s="206"/>
      <c r="T4972" s="204"/>
      <c r="U4972" s="207"/>
      <c r="V4972" s="204"/>
      <c r="W4972" s="204"/>
      <c r="X4972" s="207"/>
      <c r="Y4972" s="207"/>
      <c r="Z4972" s="204"/>
      <c r="AA4972" s="204"/>
      <c r="AB4972" s="204"/>
      <c r="AC4972" s="204"/>
    </row>
    <row r="4973" spans="1:29">
      <c r="A4973" s="204"/>
      <c r="B4973" s="204"/>
      <c r="C4973" s="204"/>
      <c r="D4973" s="204"/>
      <c r="E4973" s="204"/>
      <c r="F4973" s="204"/>
      <c r="G4973" s="204"/>
      <c r="H4973" s="204"/>
      <c r="I4973" s="204"/>
      <c r="J4973" s="204"/>
      <c r="K4973" s="204"/>
      <c r="L4973" s="205"/>
      <c r="M4973" s="205"/>
      <c r="N4973" s="204"/>
      <c r="O4973" s="204"/>
      <c r="P4973" s="206"/>
      <c r="Q4973" s="206"/>
      <c r="R4973" s="206"/>
      <c r="S4973" s="206"/>
      <c r="T4973" s="204"/>
      <c r="U4973" s="207"/>
      <c r="V4973" s="204"/>
      <c r="W4973" s="204"/>
      <c r="X4973" s="207"/>
      <c r="Y4973" s="207"/>
      <c r="Z4973" s="204"/>
      <c r="AA4973" s="204"/>
      <c r="AB4973" s="204"/>
      <c r="AC4973" s="204"/>
    </row>
    <row r="4974" spans="1:29">
      <c r="A4974" s="204"/>
      <c r="B4974" s="204"/>
      <c r="C4974" s="204"/>
      <c r="D4974" s="204"/>
      <c r="E4974" s="204"/>
      <c r="F4974" s="204"/>
      <c r="G4974" s="204"/>
      <c r="H4974" s="204"/>
      <c r="I4974" s="204"/>
      <c r="J4974" s="204"/>
      <c r="K4974" s="204"/>
      <c r="L4974" s="205"/>
      <c r="M4974" s="205"/>
      <c r="N4974" s="204"/>
      <c r="O4974" s="204"/>
      <c r="P4974" s="206"/>
      <c r="Q4974" s="206"/>
      <c r="R4974" s="206"/>
      <c r="S4974" s="206"/>
      <c r="T4974" s="204"/>
      <c r="U4974" s="207"/>
      <c r="V4974" s="204"/>
      <c r="W4974" s="204"/>
      <c r="X4974" s="207"/>
      <c r="Y4974" s="207"/>
      <c r="Z4974" s="204"/>
      <c r="AA4974" s="204"/>
      <c r="AB4974" s="204"/>
      <c r="AC4974" s="204"/>
    </row>
    <row r="4975" spans="1:29">
      <c r="A4975" s="204"/>
      <c r="B4975" s="204"/>
      <c r="C4975" s="204"/>
      <c r="D4975" s="204"/>
      <c r="E4975" s="204"/>
      <c r="F4975" s="204"/>
      <c r="G4975" s="204"/>
      <c r="H4975" s="204"/>
      <c r="I4975" s="204"/>
      <c r="J4975" s="204"/>
      <c r="K4975" s="204"/>
      <c r="L4975" s="205"/>
      <c r="M4975" s="205"/>
      <c r="N4975" s="204"/>
      <c r="O4975" s="204"/>
      <c r="P4975" s="206"/>
      <c r="Q4975" s="206"/>
      <c r="R4975" s="206"/>
      <c r="S4975" s="206"/>
      <c r="T4975" s="204"/>
      <c r="U4975" s="207"/>
      <c r="V4975" s="204"/>
      <c r="W4975" s="204"/>
      <c r="X4975" s="207"/>
      <c r="Y4975" s="207"/>
      <c r="Z4975" s="204"/>
      <c r="AA4975" s="204"/>
      <c r="AB4975" s="204"/>
      <c r="AC4975" s="204"/>
    </row>
    <row r="4976" spans="1:29">
      <c r="A4976" s="204"/>
      <c r="B4976" s="204"/>
      <c r="C4976" s="204"/>
      <c r="D4976" s="204"/>
      <c r="E4976" s="204"/>
      <c r="F4976" s="204"/>
      <c r="G4976" s="204"/>
      <c r="H4976" s="204"/>
      <c r="I4976" s="204"/>
      <c r="J4976" s="204"/>
      <c r="K4976" s="204"/>
      <c r="L4976" s="205"/>
      <c r="M4976" s="205"/>
      <c r="N4976" s="204"/>
      <c r="O4976" s="204"/>
      <c r="P4976" s="206"/>
      <c r="Q4976" s="206"/>
      <c r="R4976" s="206"/>
      <c r="S4976" s="206"/>
      <c r="T4976" s="204"/>
      <c r="U4976" s="207"/>
      <c r="V4976" s="204"/>
      <c r="W4976" s="204"/>
      <c r="X4976" s="207"/>
      <c r="Y4976" s="207"/>
      <c r="Z4976" s="204"/>
      <c r="AA4976" s="204"/>
      <c r="AB4976" s="204"/>
      <c r="AC4976" s="204"/>
    </row>
    <row r="4977" spans="1:29">
      <c r="A4977" s="204"/>
      <c r="B4977" s="204"/>
      <c r="C4977" s="204"/>
      <c r="D4977" s="204"/>
      <c r="E4977" s="204"/>
      <c r="F4977" s="204"/>
      <c r="G4977" s="204"/>
      <c r="H4977" s="204"/>
      <c r="I4977" s="204"/>
      <c r="J4977" s="204"/>
      <c r="K4977" s="204"/>
      <c r="L4977" s="205"/>
      <c r="M4977" s="205"/>
      <c r="N4977" s="204"/>
      <c r="O4977" s="204"/>
      <c r="P4977" s="206"/>
      <c r="Q4977" s="206"/>
      <c r="R4977" s="206"/>
      <c r="S4977" s="206"/>
      <c r="T4977" s="204"/>
      <c r="U4977" s="207"/>
      <c r="V4977" s="204"/>
      <c r="W4977" s="204"/>
      <c r="X4977" s="207"/>
      <c r="Y4977" s="207"/>
      <c r="Z4977" s="204"/>
      <c r="AA4977" s="204"/>
      <c r="AB4977" s="204"/>
      <c r="AC4977" s="204"/>
    </row>
    <row r="4978" spans="1:29">
      <c r="A4978" s="204"/>
      <c r="B4978" s="204"/>
      <c r="C4978" s="204"/>
      <c r="D4978" s="204"/>
      <c r="E4978" s="204"/>
      <c r="F4978" s="204"/>
      <c r="G4978" s="204"/>
      <c r="H4978" s="204"/>
      <c r="I4978" s="204"/>
      <c r="J4978" s="204"/>
      <c r="K4978" s="204"/>
      <c r="L4978" s="205"/>
      <c r="M4978" s="205"/>
      <c r="N4978" s="204"/>
      <c r="O4978" s="204"/>
      <c r="P4978" s="206"/>
      <c r="Q4978" s="206"/>
      <c r="R4978" s="206"/>
      <c r="S4978" s="206"/>
      <c r="T4978" s="204"/>
      <c r="U4978" s="207"/>
      <c r="V4978" s="204"/>
      <c r="W4978" s="204"/>
      <c r="X4978" s="207"/>
      <c r="Y4978" s="207"/>
      <c r="Z4978" s="204"/>
      <c r="AA4978" s="204"/>
      <c r="AB4978" s="204"/>
      <c r="AC4978" s="204"/>
    </row>
    <row r="4979" spans="1:29">
      <c r="A4979" s="204"/>
      <c r="B4979" s="204"/>
      <c r="C4979" s="204"/>
      <c r="D4979" s="204"/>
      <c r="E4979" s="204"/>
      <c r="F4979" s="204"/>
      <c r="G4979" s="204"/>
      <c r="H4979" s="204"/>
      <c r="I4979" s="204"/>
      <c r="J4979" s="204"/>
      <c r="K4979" s="204"/>
      <c r="L4979" s="205"/>
      <c r="M4979" s="205"/>
      <c r="N4979" s="204"/>
      <c r="O4979" s="204"/>
      <c r="P4979" s="206"/>
      <c r="Q4979" s="206"/>
      <c r="R4979" s="206"/>
      <c r="S4979" s="206"/>
      <c r="T4979" s="204"/>
      <c r="U4979" s="207"/>
      <c r="V4979" s="204"/>
      <c r="W4979" s="204"/>
      <c r="X4979" s="207"/>
      <c r="Y4979" s="207"/>
      <c r="Z4979" s="204"/>
      <c r="AA4979" s="204"/>
      <c r="AB4979" s="204"/>
      <c r="AC4979" s="204"/>
    </row>
    <row r="4980" spans="1:29">
      <c r="A4980" s="204"/>
      <c r="B4980" s="204"/>
      <c r="C4980" s="204"/>
      <c r="D4980" s="204"/>
      <c r="E4980" s="204"/>
      <c r="F4980" s="204"/>
      <c r="G4980" s="204"/>
      <c r="H4980" s="204"/>
      <c r="I4980" s="204"/>
      <c r="J4980" s="204"/>
      <c r="K4980" s="204"/>
      <c r="L4980" s="205"/>
      <c r="M4980" s="205"/>
      <c r="N4980" s="204"/>
      <c r="O4980" s="204"/>
      <c r="P4980" s="206"/>
      <c r="Q4980" s="206"/>
      <c r="R4980" s="206"/>
      <c r="S4980" s="206"/>
      <c r="T4980" s="204"/>
      <c r="U4980" s="207"/>
      <c r="V4980" s="204"/>
      <c r="W4980" s="204"/>
      <c r="X4980" s="207"/>
      <c r="Y4980" s="207"/>
      <c r="Z4980" s="204"/>
      <c r="AA4980" s="204"/>
      <c r="AB4980" s="204"/>
      <c r="AC4980" s="204"/>
    </row>
    <row r="4981" spans="1:29">
      <c r="A4981" s="204"/>
      <c r="B4981" s="204"/>
      <c r="C4981" s="204"/>
      <c r="D4981" s="204"/>
      <c r="E4981" s="204"/>
      <c r="F4981" s="204"/>
      <c r="G4981" s="204"/>
      <c r="H4981" s="204"/>
      <c r="I4981" s="204"/>
      <c r="J4981" s="204"/>
      <c r="K4981" s="204"/>
      <c r="L4981" s="205"/>
      <c r="M4981" s="205"/>
      <c r="N4981" s="204"/>
      <c r="O4981" s="204"/>
      <c r="P4981" s="206"/>
      <c r="Q4981" s="206"/>
      <c r="R4981" s="206"/>
      <c r="S4981" s="206"/>
      <c r="T4981" s="204"/>
      <c r="U4981" s="207"/>
      <c r="V4981" s="204"/>
      <c r="W4981" s="204"/>
      <c r="X4981" s="207"/>
      <c r="Y4981" s="207"/>
      <c r="Z4981" s="204"/>
      <c r="AA4981" s="204"/>
      <c r="AB4981" s="204"/>
      <c r="AC4981" s="204"/>
    </row>
    <row r="4982" spans="1:29">
      <c r="A4982" s="204"/>
      <c r="B4982" s="204"/>
      <c r="C4982" s="204"/>
      <c r="D4982" s="204"/>
      <c r="E4982" s="204"/>
      <c r="F4982" s="204"/>
      <c r="G4982" s="204"/>
      <c r="H4982" s="204"/>
      <c r="I4982" s="204"/>
      <c r="J4982" s="204"/>
      <c r="K4982" s="204"/>
      <c r="L4982" s="205"/>
      <c r="M4982" s="205"/>
      <c r="N4982" s="204"/>
      <c r="O4982" s="204"/>
      <c r="P4982" s="206"/>
      <c r="Q4982" s="206"/>
      <c r="R4982" s="206"/>
      <c r="S4982" s="206"/>
      <c r="T4982" s="204"/>
      <c r="U4982" s="207"/>
      <c r="V4982" s="204"/>
      <c r="W4982" s="204"/>
      <c r="X4982" s="207"/>
      <c r="Y4982" s="207"/>
      <c r="Z4982" s="204"/>
      <c r="AA4982" s="204"/>
      <c r="AB4982" s="204"/>
      <c r="AC4982" s="204"/>
    </row>
    <row r="4983" spans="1:29">
      <c r="A4983" s="204"/>
      <c r="B4983" s="204"/>
      <c r="C4983" s="204"/>
      <c r="D4983" s="204"/>
      <c r="E4983" s="204"/>
      <c r="F4983" s="204"/>
      <c r="G4983" s="204"/>
      <c r="H4983" s="204"/>
      <c r="I4983" s="204"/>
      <c r="J4983" s="204"/>
      <c r="K4983" s="204"/>
      <c r="L4983" s="205"/>
      <c r="M4983" s="205"/>
      <c r="N4983" s="204"/>
      <c r="O4983" s="204"/>
      <c r="P4983" s="206"/>
      <c r="Q4983" s="206"/>
      <c r="R4983" s="206"/>
      <c r="S4983" s="206"/>
      <c r="T4983" s="204"/>
      <c r="U4983" s="207"/>
      <c r="V4983" s="204"/>
      <c r="W4983" s="204"/>
      <c r="X4983" s="207"/>
      <c r="Y4983" s="207"/>
      <c r="Z4983" s="204"/>
      <c r="AA4983" s="204"/>
      <c r="AB4983" s="204"/>
      <c r="AC4983" s="204"/>
    </row>
    <row r="4984" spans="1:29">
      <c r="A4984" s="204"/>
      <c r="B4984" s="204"/>
      <c r="C4984" s="204"/>
      <c r="D4984" s="204"/>
      <c r="E4984" s="204"/>
      <c r="F4984" s="204"/>
      <c r="G4984" s="204"/>
      <c r="H4984" s="204"/>
      <c r="I4984" s="204"/>
      <c r="J4984" s="204"/>
      <c r="K4984" s="204"/>
      <c r="L4984" s="205"/>
      <c r="M4984" s="205"/>
      <c r="N4984" s="204"/>
      <c r="O4984" s="204"/>
      <c r="P4984" s="206"/>
      <c r="Q4984" s="206"/>
      <c r="R4984" s="206"/>
      <c r="S4984" s="206"/>
      <c r="T4984" s="204"/>
      <c r="U4984" s="207"/>
      <c r="V4984" s="204"/>
      <c r="W4984" s="204"/>
      <c r="X4984" s="207"/>
      <c r="Y4984" s="207"/>
      <c r="Z4984" s="204"/>
      <c r="AA4984" s="204"/>
      <c r="AB4984" s="204"/>
      <c r="AC4984" s="204"/>
    </row>
    <row r="4985" spans="1:29">
      <c r="A4985" s="204"/>
      <c r="B4985" s="204"/>
      <c r="C4985" s="204"/>
      <c r="D4985" s="204"/>
      <c r="E4985" s="204"/>
      <c r="F4985" s="204"/>
      <c r="G4985" s="204"/>
      <c r="H4985" s="204"/>
      <c r="I4985" s="204"/>
      <c r="J4985" s="204"/>
      <c r="K4985" s="204"/>
      <c r="L4985" s="205"/>
      <c r="M4985" s="205"/>
      <c r="N4985" s="204"/>
      <c r="O4985" s="204"/>
      <c r="P4985" s="206"/>
      <c r="Q4985" s="206"/>
      <c r="R4985" s="206"/>
      <c r="S4985" s="206"/>
      <c r="T4985" s="204"/>
      <c r="U4985" s="207"/>
      <c r="V4985" s="204"/>
      <c r="W4985" s="204"/>
      <c r="X4985" s="207"/>
      <c r="Y4985" s="207"/>
      <c r="Z4985" s="204"/>
      <c r="AA4985" s="204"/>
      <c r="AB4985" s="204"/>
      <c r="AC4985" s="204"/>
    </row>
    <row r="4986" spans="1:29">
      <c r="A4986" s="204"/>
      <c r="B4986" s="204"/>
      <c r="C4986" s="204"/>
      <c r="D4986" s="204"/>
      <c r="E4986" s="204"/>
      <c r="F4986" s="204"/>
      <c r="G4986" s="204"/>
      <c r="H4986" s="204"/>
      <c r="I4986" s="204"/>
      <c r="J4986" s="204"/>
      <c r="K4986" s="204"/>
      <c r="L4986" s="205"/>
      <c r="M4986" s="205"/>
      <c r="N4986" s="204"/>
      <c r="O4986" s="204"/>
      <c r="P4986" s="206"/>
      <c r="Q4986" s="206"/>
      <c r="R4986" s="206"/>
      <c r="S4986" s="206"/>
      <c r="T4986" s="204"/>
      <c r="U4986" s="207"/>
      <c r="V4986" s="204"/>
      <c r="W4986" s="204"/>
      <c r="X4986" s="207"/>
      <c r="Y4986" s="207"/>
      <c r="Z4986" s="204"/>
      <c r="AA4986" s="204"/>
      <c r="AB4986" s="204"/>
      <c r="AC4986" s="204"/>
    </row>
    <row r="4987" spans="1:29">
      <c r="A4987" s="204"/>
      <c r="B4987" s="204"/>
      <c r="C4987" s="204"/>
      <c r="D4987" s="204"/>
      <c r="E4987" s="204"/>
      <c r="F4987" s="204"/>
      <c r="G4987" s="204"/>
      <c r="H4987" s="204"/>
      <c r="I4987" s="204"/>
      <c r="J4987" s="204"/>
      <c r="K4987" s="204"/>
      <c r="L4987" s="205"/>
      <c r="M4987" s="205"/>
      <c r="N4987" s="204"/>
      <c r="O4987" s="204"/>
      <c r="P4987" s="206"/>
      <c r="Q4987" s="206"/>
      <c r="R4987" s="206"/>
      <c r="S4987" s="206"/>
      <c r="T4987" s="204"/>
      <c r="U4987" s="207"/>
      <c r="V4987" s="204"/>
      <c r="W4987" s="204"/>
      <c r="X4987" s="207"/>
      <c r="Y4987" s="207"/>
      <c r="Z4987" s="204"/>
      <c r="AA4987" s="204"/>
      <c r="AB4987" s="204"/>
      <c r="AC4987" s="204"/>
    </row>
    <row r="4988" spans="1:29">
      <c r="A4988" s="204"/>
      <c r="B4988" s="204"/>
      <c r="C4988" s="204"/>
      <c r="D4988" s="204"/>
      <c r="E4988" s="204"/>
      <c r="F4988" s="204"/>
      <c r="G4988" s="204"/>
      <c r="H4988" s="204"/>
      <c r="I4988" s="204"/>
      <c r="J4988" s="204"/>
      <c r="K4988" s="204"/>
      <c r="L4988" s="205"/>
      <c r="M4988" s="205"/>
      <c r="N4988" s="204"/>
      <c r="O4988" s="204"/>
      <c r="P4988" s="206"/>
      <c r="Q4988" s="206"/>
      <c r="R4988" s="206"/>
      <c r="S4988" s="206"/>
      <c r="T4988" s="204"/>
      <c r="U4988" s="207"/>
      <c r="V4988" s="204"/>
      <c r="W4988" s="204"/>
      <c r="X4988" s="207"/>
      <c r="Y4988" s="207"/>
      <c r="Z4988" s="204"/>
      <c r="AA4988" s="204"/>
      <c r="AB4988" s="204"/>
      <c r="AC4988" s="204"/>
    </row>
    <row r="4989" spans="1:29">
      <c r="A4989" s="204"/>
      <c r="B4989" s="204"/>
      <c r="C4989" s="204"/>
      <c r="D4989" s="204"/>
      <c r="E4989" s="204"/>
      <c r="F4989" s="204"/>
      <c r="G4989" s="204"/>
      <c r="H4989" s="204"/>
      <c r="I4989" s="204"/>
      <c r="J4989" s="204"/>
      <c r="K4989" s="204"/>
      <c r="L4989" s="205"/>
      <c r="M4989" s="205"/>
      <c r="N4989" s="204"/>
      <c r="O4989" s="204"/>
      <c r="P4989" s="206"/>
      <c r="Q4989" s="206"/>
      <c r="R4989" s="206"/>
      <c r="S4989" s="206"/>
      <c r="T4989" s="204"/>
      <c r="U4989" s="207"/>
      <c r="V4989" s="204"/>
      <c r="W4989" s="204"/>
      <c r="X4989" s="207"/>
      <c r="Y4989" s="207"/>
      <c r="Z4989" s="204"/>
      <c r="AA4989" s="204"/>
      <c r="AB4989" s="204"/>
      <c r="AC4989" s="204"/>
    </row>
    <row r="4990" spans="1:29">
      <c r="A4990" s="204"/>
      <c r="B4990" s="204"/>
      <c r="C4990" s="204"/>
      <c r="D4990" s="204"/>
      <c r="E4990" s="204"/>
      <c r="F4990" s="204"/>
      <c r="G4990" s="204"/>
      <c r="H4990" s="204"/>
      <c r="I4990" s="204"/>
      <c r="J4990" s="204"/>
      <c r="K4990" s="204"/>
      <c r="L4990" s="205"/>
      <c r="M4990" s="205"/>
      <c r="N4990" s="204"/>
      <c r="O4990" s="204"/>
      <c r="P4990" s="206"/>
      <c r="Q4990" s="206"/>
      <c r="R4990" s="206"/>
      <c r="S4990" s="206"/>
      <c r="T4990" s="204"/>
      <c r="U4990" s="207"/>
      <c r="V4990" s="204"/>
      <c r="W4990" s="204"/>
      <c r="X4990" s="207"/>
      <c r="Y4990" s="207"/>
      <c r="Z4990" s="204"/>
      <c r="AA4990" s="204"/>
      <c r="AB4990" s="204"/>
      <c r="AC4990" s="204"/>
    </row>
    <row r="4991" spans="1:29">
      <c r="A4991" s="204"/>
      <c r="B4991" s="204"/>
      <c r="C4991" s="204"/>
      <c r="D4991" s="204"/>
      <c r="E4991" s="204"/>
      <c r="F4991" s="204"/>
      <c r="G4991" s="204"/>
      <c r="H4991" s="204"/>
      <c r="I4991" s="204"/>
      <c r="J4991" s="204"/>
      <c r="K4991" s="204"/>
      <c r="L4991" s="205"/>
      <c r="M4991" s="205"/>
      <c r="N4991" s="204"/>
      <c r="O4991" s="204"/>
      <c r="P4991" s="206"/>
      <c r="Q4991" s="206"/>
      <c r="R4991" s="206"/>
      <c r="S4991" s="206"/>
      <c r="T4991" s="204"/>
      <c r="U4991" s="207"/>
      <c r="V4991" s="204"/>
      <c r="W4991" s="204"/>
      <c r="X4991" s="207"/>
      <c r="Y4991" s="207"/>
      <c r="Z4991" s="204"/>
      <c r="AA4991" s="204"/>
      <c r="AB4991" s="204"/>
      <c r="AC4991" s="204"/>
    </row>
    <row r="4992" spans="1:29">
      <c r="A4992" s="204"/>
      <c r="B4992" s="204"/>
      <c r="C4992" s="204"/>
      <c r="D4992" s="204"/>
      <c r="E4992" s="204"/>
      <c r="F4992" s="204"/>
      <c r="G4992" s="204"/>
      <c r="H4992" s="204"/>
      <c r="I4992" s="204"/>
      <c r="J4992" s="204"/>
      <c r="K4992" s="204"/>
      <c r="L4992" s="205"/>
      <c r="M4992" s="205"/>
      <c r="N4992" s="204"/>
      <c r="O4992" s="204"/>
      <c r="P4992" s="206"/>
      <c r="Q4992" s="206"/>
      <c r="R4992" s="206"/>
      <c r="S4992" s="206"/>
      <c r="T4992" s="204"/>
      <c r="U4992" s="207"/>
      <c r="V4992" s="204"/>
      <c r="W4992" s="204"/>
      <c r="X4992" s="207"/>
      <c r="Y4992" s="207"/>
      <c r="Z4992" s="204"/>
      <c r="AA4992" s="204"/>
      <c r="AB4992" s="204"/>
      <c r="AC4992" s="204"/>
    </row>
    <row r="4993" spans="1:29">
      <c r="A4993" s="204"/>
      <c r="B4993" s="204"/>
      <c r="C4993" s="204"/>
      <c r="D4993" s="204"/>
      <c r="E4993" s="204"/>
      <c r="F4993" s="204"/>
      <c r="G4993" s="204"/>
      <c r="H4993" s="204"/>
      <c r="I4993" s="204"/>
      <c r="J4993" s="204"/>
      <c r="K4993" s="204"/>
      <c r="L4993" s="205"/>
      <c r="M4993" s="205"/>
      <c r="N4993" s="204"/>
      <c r="O4993" s="204"/>
      <c r="P4993" s="206"/>
      <c r="Q4993" s="206"/>
      <c r="R4993" s="206"/>
      <c r="S4993" s="206"/>
      <c r="T4993" s="204"/>
      <c r="U4993" s="207"/>
      <c r="V4993" s="204"/>
      <c r="W4993" s="204"/>
      <c r="X4993" s="207"/>
      <c r="Y4993" s="207"/>
      <c r="Z4993" s="204"/>
      <c r="AA4993" s="204"/>
      <c r="AB4993" s="204"/>
      <c r="AC4993" s="204"/>
    </row>
    <row r="4994" spans="1:29">
      <c r="A4994" s="204"/>
      <c r="B4994" s="204"/>
      <c r="C4994" s="204"/>
      <c r="D4994" s="204"/>
      <c r="E4994" s="204"/>
      <c r="F4994" s="204"/>
      <c r="G4994" s="204"/>
      <c r="H4994" s="204"/>
      <c r="I4994" s="204"/>
      <c r="J4994" s="204"/>
      <c r="K4994" s="204"/>
      <c r="L4994" s="205"/>
      <c r="M4994" s="205"/>
      <c r="N4994" s="204"/>
      <c r="O4994" s="204"/>
      <c r="P4994" s="206"/>
      <c r="Q4994" s="206"/>
      <c r="R4994" s="206"/>
      <c r="S4994" s="206"/>
      <c r="T4994" s="204"/>
      <c r="U4994" s="207"/>
      <c r="V4994" s="204"/>
      <c r="W4994" s="204"/>
      <c r="X4994" s="207"/>
      <c r="Y4994" s="207"/>
      <c r="Z4994" s="204"/>
      <c r="AA4994" s="204"/>
      <c r="AB4994" s="204"/>
      <c r="AC4994" s="204"/>
    </row>
    <row r="4995" spans="1:29">
      <c r="A4995" s="204"/>
      <c r="B4995" s="204"/>
      <c r="C4995" s="204"/>
      <c r="D4995" s="204"/>
      <c r="E4995" s="204"/>
      <c r="F4995" s="204"/>
      <c r="G4995" s="204"/>
      <c r="H4995" s="204"/>
      <c r="I4995" s="204"/>
      <c r="J4995" s="204"/>
      <c r="K4995" s="204"/>
      <c r="L4995" s="205"/>
      <c r="M4995" s="205"/>
      <c r="N4995" s="204"/>
      <c r="O4995" s="204"/>
      <c r="P4995" s="206"/>
      <c r="Q4995" s="206"/>
      <c r="R4995" s="206"/>
      <c r="S4995" s="206"/>
      <c r="T4995" s="204"/>
      <c r="U4995" s="207"/>
      <c r="V4995" s="204"/>
      <c r="W4995" s="204"/>
      <c r="X4995" s="207"/>
      <c r="Y4995" s="207"/>
      <c r="Z4995" s="204"/>
      <c r="AA4995" s="204"/>
      <c r="AB4995" s="204"/>
      <c r="AC4995" s="204"/>
    </row>
    <row r="4996" spans="1:29">
      <c r="A4996" s="204"/>
      <c r="B4996" s="204"/>
      <c r="C4996" s="204"/>
      <c r="D4996" s="204"/>
      <c r="E4996" s="204"/>
      <c r="F4996" s="204"/>
      <c r="G4996" s="204"/>
      <c r="H4996" s="204"/>
      <c r="I4996" s="204"/>
      <c r="J4996" s="204"/>
      <c r="K4996" s="204"/>
      <c r="L4996" s="205"/>
      <c r="M4996" s="205"/>
      <c r="N4996" s="204"/>
      <c r="O4996" s="204"/>
      <c r="P4996" s="206"/>
      <c r="Q4996" s="206"/>
      <c r="R4996" s="206"/>
      <c r="S4996" s="206"/>
      <c r="T4996" s="204"/>
      <c r="U4996" s="207"/>
      <c r="V4996" s="204"/>
      <c r="W4996" s="204"/>
      <c r="X4996" s="207"/>
      <c r="Y4996" s="207"/>
      <c r="Z4996" s="204"/>
      <c r="AA4996" s="204"/>
      <c r="AB4996" s="204"/>
      <c r="AC4996" s="204"/>
    </row>
    <row r="4997" spans="1:29">
      <c r="A4997" s="204"/>
      <c r="B4997" s="204"/>
      <c r="C4997" s="204"/>
      <c r="D4997" s="204"/>
      <c r="E4997" s="204"/>
      <c r="F4997" s="204"/>
      <c r="G4997" s="204"/>
      <c r="H4997" s="204"/>
      <c r="I4997" s="204"/>
      <c r="J4997" s="204"/>
      <c r="K4997" s="204"/>
      <c r="L4997" s="205"/>
      <c r="M4997" s="205"/>
      <c r="N4997" s="204"/>
      <c r="O4997" s="204"/>
      <c r="P4997" s="206"/>
      <c r="Q4997" s="206"/>
      <c r="R4997" s="206"/>
      <c r="S4997" s="206"/>
      <c r="T4997" s="204"/>
      <c r="U4997" s="207"/>
      <c r="V4997" s="204"/>
      <c r="W4997" s="204"/>
      <c r="X4997" s="207"/>
      <c r="Y4997" s="207"/>
      <c r="Z4997" s="204"/>
      <c r="AA4997" s="204"/>
      <c r="AB4997" s="204"/>
      <c r="AC4997" s="204"/>
    </row>
    <row r="4998" spans="1:29">
      <c r="A4998" s="204"/>
      <c r="B4998" s="204"/>
      <c r="C4998" s="204"/>
      <c r="D4998" s="204"/>
      <c r="E4998" s="204"/>
      <c r="F4998" s="204"/>
      <c r="G4998" s="204"/>
      <c r="H4998" s="204"/>
      <c r="I4998" s="204"/>
      <c r="J4998" s="204"/>
      <c r="K4998" s="204"/>
      <c r="L4998" s="205"/>
      <c r="M4998" s="205"/>
      <c r="N4998" s="204"/>
      <c r="O4998" s="204"/>
      <c r="P4998" s="206"/>
      <c r="Q4998" s="206"/>
      <c r="R4998" s="206"/>
      <c r="S4998" s="206"/>
      <c r="T4998" s="204"/>
      <c r="U4998" s="207"/>
      <c r="V4998" s="204"/>
      <c r="W4998" s="204"/>
      <c r="X4998" s="207"/>
      <c r="Y4998" s="207"/>
      <c r="Z4998" s="204"/>
      <c r="AA4998" s="204"/>
      <c r="AB4998" s="204"/>
      <c r="AC4998" s="204"/>
    </row>
    <row r="4999" spans="1:29">
      <c r="A4999" s="204"/>
      <c r="B4999" s="204"/>
      <c r="C4999" s="204"/>
      <c r="D4999" s="204"/>
      <c r="E4999" s="204"/>
      <c r="F4999" s="204"/>
      <c r="G4999" s="204"/>
      <c r="H4999" s="204"/>
      <c r="I4999" s="204"/>
      <c r="J4999" s="204"/>
      <c r="K4999" s="204"/>
      <c r="L4999" s="205"/>
      <c r="M4999" s="205"/>
      <c r="N4999" s="204"/>
      <c r="O4999" s="204"/>
      <c r="P4999" s="206"/>
      <c r="Q4999" s="206"/>
      <c r="R4999" s="206"/>
      <c r="S4999" s="206"/>
      <c r="T4999" s="204"/>
      <c r="U4999" s="207"/>
      <c r="V4999" s="204"/>
      <c r="W4999" s="204"/>
      <c r="X4999" s="207"/>
      <c r="Y4999" s="207"/>
      <c r="Z4999" s="204"/>
      <c r="AA4999" s="204"/>
      <c r="AB4999" s="204"/>
      <c r="AC4999" s="204"/>
    </row>
    <row r="5000" spans="1:29">
      <c r="A5000" s="204"/>
      <c r="B5000" s="204"/>
      <c r="C5000" s="204"/>
      <c r="D5000" s="204"/>
      <c r="E5000" s="204"/>
      <c r="F5000" s="204"/>
      <c r="G5000" s="204"/>
      <c r="H5000" s="204"/>
      <c r="I5000" s="204"/>
      <c r="J5000" s="204"/>
      <c r="K5000" s="204"/>
      <c r="L5000" s="205"/>
      <c r="M5000" s="205"/>
      <c r="N5000" s="204"/>
      <c r="O5000" s="204"/>
      <c r="P5000" s="206"/>
      <c r="Q5000" s="206"/>
      <c r="R5000" s="206"/>
      <c r="S5000" s="206"/>
      <c r="T5000" s="204"/>
      <c r="U5000" s="207"/>
      <c r="V5000" s="204"/>
      <c r="W5000" s="204"/>
      <c r="X5000" s="207"/>
      <c r="Y5000" s="207"/>
      <c r="Z5000" s="204"/>
      <c r="AA5000" s="204"/>
      <c r="AB5000" s="204"/>
      <c r="AC5000" s="204"/>
    </row>
  </sheetData>
  <mergeCells count="4">
    <mergeCell ref="B3:D3"/>
    <mergeCell ref="B2:D2"/>
    <mergeCell ref="A11:D11"/>
    <mergeCell ref="S2:Y2"/>
  </mergeCells>
  <phoneticPr fontId="224" type="noConversion"/>
  <dataValidations disablePrompts="1" count="1">
    <dataValidation type="list" allowBlank="1" showInputMessage="1" showErrorMessage="1" sqref="B5" xr:uid="{00000000-0002-0000-0100-000000000000}">
      <formula1>"PROD,FIN,QA,NPI,SC,HR,LM,SOUR,IT,SALE,ME,ALL"</formula1>
    </dataValidation>
  </dataValidations>
  <pageMargins left="0.7" right="0.7" top="0.75" bottom="0.75" header="0.3" footer="0.3"/>
  <pageSetup paperSize="9" orientation="portrait" verticalDpi="203" r:id="rId1"/>
  <drawing r:id="rId2"/>
  <legacyDrawing r:id="rId3"/>
  <controls>
    <mc:AlternateContent xmlns:mc="http://schemas.openxmlformats.org/markup-compatibility/2006">
      <mc:Choice Requires="x14">
        <control shapeId="1064" r:id="rId4" name="CMDSend">
          <controlPr disabled="1" autoLine="0" r:id="rId5">
            <anchor moveWithCells="1">
              <from>
                <xdr:col>4</xdr:col>
                <xdr:colOff>234950</xdr:colOff>
                <xdr:row>5</xdr:row>
                <xdr:rowOff>38100</xdr:rowOff>
              </from>
              <to>
                <xdr:col>4</xdr:col>
                <xdr:colOff>1149350</xdr:colOff>
                <xdr:row>7</xdr:row>
                <xdr:rowOff>0</xdr:rowOff>
              </to>
            </anchor>
          </controlPr>
        </control>
      </mc:Choice>
      <mc:Fallback>
        <control shapeId="1064" r:id="rId4" name="CMDSend"/>
      </mc:Fallback>
    </mc:AlternateContent>
    <mc:AlternateContent xmlns:mc="http://schemas.openxmlformats.org/markup-compatibility/2006">
      <mc:Choice Requires="x14">
        <control shapeId="1047" r:id="rId6" name="CmdRelease">
          <controlPr defaultSize="0" print="0" autoLine="0" r:id="rId7">
            <anchor>
              <from>
                <xdr:col>4</xdr:col>
                <xdr:colOff>2527300</xdr:colOff>
                <xdr:row>7</xdr:row>
                <xdr:rowOff>101600</xdr:rowOff>
              </from>
              <to>
                <xdr:col>4</xdr:col>
                <xdr:colOff>3378200</xdr:colOff>
                <xdr:row>9</xdr:row>
                <xdr:rowOff>44450</xdr:rowOff>
              </to>
            </anchor>
          </controlPr>
        </control>
      </mc:Choice>
      <mc:Fallback>
        <control shapeId="1047" r:id="rId6" name="CmdRelease"/>
      </mc:Fallback>
    </mc:AlternateContent>
    <mc:AlternateContent xmlns:mc="http://schemas.openxmlformats.org/markup-compatibility/2006">
      <mc:Choice Requires="x14">
        <control shapeId="1045" r:id="rId8" name="CmdPO">
          <controlPr defaultSize="0" print="0" autoLine="0" r:id="rId9">
            <anchor>
              <from>
                <xdr:col>4</xdr:col>
                <xdr:colOff>2508250</xdr:colOff>
                <xdr:row>5</xdr:row>
                <xdr:rowOff>44450</xdr:rowOff>
              </from>
              <to>
                <xdr:col>4</xdr:col>
                <xdr:colOff>3378200</xdr:colOff>
                <xdr:row>6</xdr:row>
                <xdr:rowOff>158750</xdr:rowOff>
              </to>
            </anchor>
          </controlPr>
        </control>
      </mc:Choice>
      <mc:Fallback>
        <control shapeId="1045" r:id="rId8" name="CmdPO"/>
      </mc:Fallback>
    </mc:AlternateContent>
    <mc:AlternateContent xmlns:mc="http://schemas.openxmlformats.org/markup-compatibility/2006">
      <mc:Choice Requires="x14">
        <control shapeId="1054" r:id="rId10" name="UploadPrice">
          <controlPr defaultSize="0" print="0" autoLine="0" r:id="rId11">
            <anchor>
              <from>
                <xdr:col>4</xdr:col>
                <xdr:colOff>1422400</xdr:colOff>
                <xdr:row>3</xdr:row>
                <xdr:rowOff>0</xdr:rowOff>
              </from>
              <to>
                <xdr:col>4</xdr:col>
                <xdr:colOff>2432050</xdr:colOff>
                <xdr:row>4</xdr:row>
                <xdr:rowOff>114300</xdr:rowOff>
              </to>
            </anchor>
          </controlPr>
        </control>
      </mc:Choice>
      <mc:Fallback>
        <control shapeId="1054" r:id="rId10" name="UploadPrice"/>
      </mc:Fallback>
    </mc:AlternateContent>
    <mc:AlternateContent xmlns:mc="http://schemas.openxmlformats.org/markup-compatibility/2006">
      <mc:Choice Requires="x14">
        <control shapeId="1061" r:id="rId12" name="btnAttachment">
          <controlPr defaultSize="0" print="0" autoLine="0" r:id="rId13">
            <anchor>
              <from>
                <xdr:col>4</xdr:col>
                <xdr:colOff>228600</xdr:colOff>
                <xdr:row>9</xdr:row>
                <xdr:rowOff>158750</xdr:rowOff>
              </from>
              <to>
                <xdr:col>4</xdr:col>
                <xdr:colOff>1974850</xdr:colOff>
                <xdr:row>13</xdr:row>
                <xdr:rowOff>76200</xdr:rowOff>
              </to>
            </anchor>
          </controlPr>
        </control>
      </mc:Choice>
      <mc:Fallback>
        <control shapeId="1061" r:id="rId12" name="btnAttachment"/>
      </mc:Fallback>
    </mc:AlternateContent>
    <mc:AlternateContent xmlns:mc="http://schemas.openxmlformats.org/markup-compatibility/2006">
      <mc:Choice Requires="x14">
        <control shapeId="1065" r:id="rId14" name="CmdCancel">
          <controlPr autoLine="0" r:id="rId15">
            <anchor moveWithCells="1">
              <from>
                <xdr:col>4</xdr:col>
                <xdr:colOff>2489200</xdr:colOff>
                <xdr:row>9</xdr:row>
                <xdr:rowOff>152400</xdr:rowOff>
              </from>
              <to>
                <xdr:col>4</xdr:col>
                <xdr:colOff>3403600</xdr:colOff>
                <xdr:row>13</xdr:row>
                <xdr:rowOff>88900</xdr:rowOff>
              </to>
            </anchor>
          </controlPr>
        </control>
      </mc:Choice>
      <mc:Fallback>
        <control shapeId="1065" r:id="rId14" name="CmdCancel"/>
      </mc:Fallback>
    </mc:AlternateContent>
    <mc:AlternateContent xmlns:mc="http://schemas.openxmlformats.org/markup-compatibility/2006">
      <mc:Choice Requires="x14">
        <control shapeId="1025" r:id="rId16" name="Button 1">
          <controlPr defaultSize="0" print="0" autoFill="0" autoPict="0" macro="[0]!Binquiry">
            <anchor>
              <from>
                <xdr:col>4</xdr:col>
                <xdr:colOff>228600</xdr:colOff>
                <xdr:row>0</xdr:row>
                <xdr:rowOff>101600</xdr:rowOff>
              </from>
              <to>
                <xdr:col>4</xdr:col>
                <xdr:colOff>1079500</xdr:colOff>
                <xdr:row>2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Upload_buyer">
            <anchor>
              <from>
                <xdr:col>4</xdr:col>
                <xdr:colOff>254000</xdr:colOff>
                <xdr:row>3</xdr:row>
                <xdr:rowOff>0</xdr:rowOff>
              </from>
              <to>
                <xdr:col>4</xdr:col>
                <xdr:colOff>1289050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Button 29">
          <controlPr defaultSize="0" print="0" autoFill="0" autoPict="0" macro="[0]!BUpload">
            <anchor>
              <from>
                <xdr:col>4</xdr:col>
                <xdr:colOff>2520950</xdr:colOff>
                <xdr:row>3</xdr:row>
                <xdr:rowOff>0</xdr:rowOff>
              </from>
              <to>
                <xdr:col>4</xdr:col>
                <xdr:colOff>3378200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9" name="Button 36">
          <controlPr defaultSize="0" print="0" autoFill="0" autoPict="0" macro="[0]!GeneratePriceComparison">
            <anchor>
              <from>
                <xdr:col>4</xdr:col>
                <xdr:colOff>228600</xdr:colOff>
                <xdr:row>7</xdr:row>
                <xdr:rowOff>101600</xdr:rowOff>
              </from>
              <to>
                <xdr:col>4</xdr:col>
                <xdr:colOff>1892300</xdr:colOff>
                <xdr:row>9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0" name="Button 38">
          <controlPr defaultSize="0" print="0" autoFill="0" autoPict="0" macro="[0]!QMI">
            <anchor>
              <from>
                <xdr:col>4</xdr:col>
                <xdr:colOff>1993900</xdr:colOff>
                <xdr:row>0</xdr:row>
                <xdr:rowOff>101600</xdr:rowOff>
              </from>
              <to>
                <xdr:col>4</xdr:col>
                <xdr:colOff>3365500</xdr:colOff>
                <xdr:row>2</xdr:row>
                <xdr:rowOff>44450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2244"/>
  <sheetViews>
    <sheetView topLeftCell="C1" workbookViewId="0">
      <selection activeCell="V7" sqref="V7"/>
    </sheetView>
  </sheetViews>
  <sheetFormatPr defaultColWidth="9" defaultRowHeight="14.5"/>
  <cols>
    <col min="1" max="1" width="12.36328125" style="107" bestFit="1" customWidth="1"/>
    <col min="2" max="2" width="13.453125" style="107" bestFit="1" customWidth="1"/>
    <col min="3" max="16384" width="9" style="107"/>
  </cols>
  <sheetData>
    <row r="1" spans="1:22">
      <c r="A1" s="107" t="s">
        <v>12</v>
      </c>
      <c r="B1" s="107" t="s">
        <v>13</v>
      </c>
      <c r="H1" s="107" t="s">
        <v>107</v>
      </c>
      <c r="U1" s="107" t="s">
        <v>117</v>
      </c>
    </row>
    <row r="2" spans="1:22">
      <c r="A2" s="107">
        <v>11</v>
      </c>
      <c r="B2" s="107" t="s">
        <v>194</v>
      </c>
      <c r="H2" s="107" t="s">
        <v>108</v>
      </c>
      <c r="I2" s="107" t="s">
        <v>109</v>
      </c>
      <c r="J2" s="107" t="s">
        <v>110</v>
      </c>
      <c r="K2" s="107" t="s">
        <v>111</v>
      </c>
      <c r="L2" s="107" t="s">
        <v>112</v>
      </c>
      <c r="M2" s="107" t="s">
        <v>113</v>
      </c>
      <c r="N2" s="107" t="s">
        <v>114</v>
      </c>
      <c r="O2" s="107" t="s">
        <v>115</v>
      </c>
      <c r="P2" s="107" t="s">
        <v>116</v>
      </c>
      <c r="Q2" s="107" t="s">
        <v>122</v>
      </c>
      <c r="R2" s="107" t="s">
        <v>123</v>
      </c>
      <c r="U2" s="107" t="s">
        <v>118</v>
      </c>
      <c r="V2" s="107">
        <v>6.0864269999999996</v>
      </c>
    </row>
    <row r="3" spans="1:22" ht="15">
      <c r="A3" s="107">
        <v>61</v>
      </c>
      <c r="B3" s="107" t="s">
        <v>195</v>
      </c>
      <c r="N3" s="115"/>
      <c r="U3" s="107" t="s">
        <v>119</v>
      </c>
      <c r="V3" s="107">
        <v>0.78920000000000001</v>
      </c>
    </row>
    <row r="4" spans="1:22" ht="15">
      <c r="A4" s="107">
        <v>80</v>
      </c>
      <c r="B4" s="107" t="s">
        <v>196</v>
      </c>
      <c r="N4" s="115"/>
      <c r="U4" s="107" t="s">
        <v>120</v>
      </c>
      <c r="V4" s="107">
        <v>5.6839999999999998E-3</v>
      </c>
    </row>
    <row r="5" spans="1:22" ht="15">
      <c r="A5" s="107">
        <v>81</v>
      </c>
      <c r="B5" s="107" t="s">
        <v>197</v>
      </c>
      <c r="N5" s="115"/>
      <c r="U5" s="107" t="s">
        <v>121</v>
      </c>
      <c r="V5" s="107">
        <v>6.8651</v>
      </c>
    </row>
    <row r="6" spans="1:22" ht="15">
      <c r="A6" s="107">
        <v>22000</v>
      </c>
      <c r="B6" s="107" t="s">
        <v>198</v>
      </c>
      <c r="N6" s="115"/>
      <c r="U6" s="107" t="s">
        <v>124</v>
      </c>
      <c r="V6" s="107">
        <v>1</v>
      </c>
    </row>
    <row r="7" spans="1:22" ht="15">
      <c r="A7" s="107">
        <v>410006</v>
      </c>
      <c r="B7" s="107" t="s">
        <v>199</v>
      </c>
      <c r="N7" s="115"/>
      <c r="U7" s="107" t="s">
        <v>193</v>
      </c>
    </row>
    <row r="8" spans="1:22" ht="15">
      <c r="A8" s="107">
        <v>410007</v>
      </c>
      <c r="B8" s="107" t="s">
        <v>200</v>
      </c>
      <c r="N8" s="115"/>
    </row>
    <row r="9" spans="1:22">
      <c r="A9" s="107">
        <v>410008</v>
      </c>
      <c r="B9" s="107" t="s">
        <v>201</v>
      </c>
    </row>
    <row r="10" spans="1:22">
      <c r="A10" s="107">
        <v>410010</v>
      </c>
      <c r="B10" s="107" t="s">
        <v>202</v>
      </c>
    </row>
    <row r="11" spans="1:22">
      <c r="A11" s="107">
        <v>410011</v>
      </c>
      <c r="B11" s="107" t="s">
        <v>203</v>
      </c>
    </row>
    <row r="12" spans="1:22">
      <c r="A12" s="107">
        <v>410013</v>
      </c>
      <c r="B12" s="107" t="s">
        <v>204</v>
      </c>
    </row>
    <row r="13" spans="1:22">
      <c r="A13" s="107">
        <v>410014</v>
      </c>
      <c r="B13" s="107" t="s">
        <v>205</v>
      </c>
    </row>
    <row r="14" spans="1:22">
      <c r="A14" s="107">
        <v>410018</v>
      </c>
      <c r="B14" s="107" t="s">
        <v>206</v>
      </c>
    </row>
    <row r="15" spans="1:22">
      <c r="A15" s="107">
        <v>410023</v>
      </c>
      <c r="B15" s="107" t="s">
        <v>2156</v>
      </c>
    </row>
    <row r="16" spans="1:22">
      <c r="A16" s="107">
        <v>410029</v>
      </c>
      <c r="B16" s="107" t="s">
        <v>207</v>
      </c>
    </row>
    <row r="17" spans="1:2">
      <c r="A17" s="107">
        <v>410030</v>
      </c>
      <c r="B17" s="107" t="s">
        <v>208</v>
      </c>
    </row>
    <row r="18" spans="1:2">
      <c r="A18" s="107">
        <v>410031</v>
      </c>
      <c r="B18" s="107" t="s">
        <v>209</v>
      </c>
    </row>
    <row r="19" spans="1:2">
      <c r="A19" s="107">
        <v>410037</v>
      </c>
      <c r="B19" s="107" t="s">
        <v>210</v>
      </c>
    </row>
    <row r="20" spans="1:2">
      <c r="A20" s="107">
        <v>410044</v>
      </c>
      <c r="B20" s="107" t="s">
        <v>211</v>
      </c>
    </row>
    <row r="21" spans="1:2">
      <c r="A21" s="107">
        <v>410047</v>
      </c>
      <c r="B21" s="107" t="s">
        <v>212</v>
      </c>
    </row>
    <row r="22" spans="1:2">
      <c r="A22" s="107">
        <v>410049</v>
      </c>
      <c r="B22" s="107" t="s">
        <v>213</v>
      </c>
    </row>
    <row r="23" spans="1:2">
      <c r="A23" s="107">
        <v>410051</v>
      </c>
      <c r="B23" s="107" t="s">
        <v>214</v>
      </c>
    </row>
    <row r="24" spans="1:2">
      <c r="A24" s="107">
        <v>410055</v>
      </c>
      <c r="B24" s="107" t="s">
        <v>215</v>
      </c>
    </row>
    <row r="25" spans="1:2">
      <c r="A25" s="107">
        <v>410056</v>
      </c>
      <c r="B25" s="107" t="s">
        <v>216</v>
      </c>
    </row>
    <row r="26" spans="1:2">
      <c r="A26" s="107">
        <v>410057</v>
      </c>
      <c r="B26" s="107" t="s">
        <v>217</v>
      </c>
    </row>
    <row r="27" spans="1:2">
      <c r="A27" s="107">
        <v>410067</v>
      </c>
      <c r="B27" s="107" t="s">
        <v>218</v>
      </c>
    </row>
    <row r="28" spans="1:2">
      <c r="A28" s="107">
        <v>410070</v>
      </c>
      <c r="B28" s="107" t="s">
        <v>219</v>
      </c>
    </row>
    <row r="29" spans="1:2">
      <c r="A29" s="107">
        <v>410078</v>
      </c>
      <c r="B29" s="107" t="s">
        <v>220</v>
      </c>
    </row>
    <row r="30" spans="1:2">
      <c r="A30" s="107">
        <v>410082</v>
      </c>
      <c r="B30" s="107" t="s">
        <v>2135</v>
      </c>
    </row>
    <row r="31" spans="1:2">
      <c r="A31" s="107">
        <v>410085</v>
      </c>
      <c r="B31" s="107" t="s">
        <v>221</v>
      </c>
    </row>
    <row r="32" spans="1:2">
      <c r="A32" s="107">
        <v>410086</v>
      </c>
      <c r="B32" s="107" t="s">
        <v>222</v>
      </c>
    </row>
    <row r="33" spans="1:2">
      <c r="A33" s="107">
        <v>410087</v>
      </c>
      <c r="B33" s="107" t="s">
        <v>223</v>
      </c>
    </row>
    <row r="34" spans="1:2">
      <c r="A34" s="107">
        <v>410089</v>
      </c>
      <c r="B34" s="107" t="s">
        <v>224</v>
      </c>
    </row>
    <row r="35" spans="1:2">
      <c r="A35" s="107">
        <v>410090</v>
      </c>
      <c r="B35" s="107" t="s">
        <v>2145</v>
      </c>
    </row>
    <row r="36" spans="1:2">
      <c r="A36" s="107">
        <v>410093</v>
      </c>
      <c r="B36" s="107" t="s">
        <v>225</v>
      </c>
    </row>
    <row r="37" spans="1:2">
      <c r="A37" s="107">
        <v>410094</v>
      </c>
      <c r="B37" s="107" t="s">
        <v>226</v>
      </c>
    </row>
    <row r="38" spans="1:2">
      <c r="A38" s="107">
        <v>410095</v>
      </c>
      <c r="B38" s="107" t="s">
        <v>2179</v>
      </c>
    </row>
    <row r="39" spans="1:2">
      <c r="A39" s="107">
        <v>410096</v>
      </c>
      <c r="B39" s="107" t="s">
        <v>227</v>
      </c>
    </row>
    <row r="40" spans="1:2">
      <c r="A40" s="107">
        <v>410099</v>
      </c>
      <c r="B40" s="107" t="s">
        <v>228</v>
      </c>
    </row>
    <row r="41" spans="1:2">
      <c r="A41" s="107">
        <v>410102</v>
      </c>
      <c r="B41" s="107" t="s">
        <v>2180</v>
      </c>
    </row>
    <row r="42" spans="1:2">
      <c r="A42" s="107">
        <v>410103</v>
      </c>
      <c r="B42" s="107" t="s">
        <v>2157</v>
      </c>
    </row>
    <row r="43" spans="1:2">
      <c r="A43" s="107">
        <v>410104</v>
      </c>
      <c r="B43" s="107" t="s">
        <v>229</v>
      </c>
    </row>
    <row r="44" spans="1:2">
      <c r="A44" s="107">
        <v>410106</v>
      </c>
      <c r="B44" s="107" t="s">
        <v>230</v>
      </c>
    </row>
    <row r="45" spans="1:2">
      <c r="A45" s="107">
        <v>410108</v>
      </c>
      <c r="B45" s="107" t="s">
        <v>231</v>
      </c>
    </row>
    <row r="46" spans="1:2">
      <c r="A46" s="107">
        <v>410111</v>
      </c>
      <c r="B46" s="107" t="s">
        <v>232</v>
      </c>
    </row>
    <row r="47" spans="1:2">
      <c r="A47" s="107">
        <v>410117</v>
      </c>
      <c r="B47" s="107" t="s">
        <v>2293</v>
      </c>
    </row>
    <row r="48" spans="1:2">
      <c r="A48" s="107">
        <v>410118</v>
      </c>
      <c r="B48" s="107" t="s">
        <v>233</v>
      </c>
    </row>
    <row r="49" spans="1:2">
      <c r="A49" s="107">
        <v>410122</v>
      </c>
      <c r="B49" s="107" t="s">
        <v>2181</v>
      </c>
    </row>
    <row r="50" spans="1:2">
      <c r="A50" s="107">
        <v>410132</v>
      </c>
      <c r="B50" s="107" t="s">
        <v>234</v>
      </c>
    </row>
    <row r="51" spans="1:2">
      <c r="A51" s="107">
        <v>410137</v>
      </c>
      <c r="B51" s="107" t="s">
        <v>235</v>
      </c>
    </row>
    <row r="52" spans="1:2">
      <c r="A52" s="107">
        <v>410139</v>
      </c>
      <c r="B52" s="107" t="s">
        <v>236</v>
      </c>
    </row>
    <row r="53" spans="1:2">
      <c r="A53" s="107">
        <v>410140</v>
      </c>
      <c r="B53" s="107" t="s">
        <v>237</v>
      </c>
    </row>
    <row r="54" spans="1:2">
      <c r="A54" s="107">
        <v>410142</v>
      </c>
      <c r="B54" s="107" t="s">
        <v>238</v>
      </c>
    </row>
    <row r="55" spans="1:2">
      <c r="A55" s="107">
        <v>410144</v>
      </c>
      <c r="B55" s="107" t="s">
        <v>239</v>
      </c>
    </row>
    <row r="56" spans="1:2">
      <c r="A56" s="107">
        <v>410145</v>
      </c>
      <c r="B56" s="107" t="s">
        <v>240</v>
      </c>
    </row>
    <row r="57" spans="1:2">
      <c r="A57" s="107">
        <v>410149</v>
      </c>
      <c r="B57" s="107" t="s">
        <v>241</v>
      </c>
    </row>
    <row r="58" spans="1:2">
      <c r="A58" s="107">
        <v>410150</v>
      </c>
      <c r="B58" s="107" t="s">
        <v>242</v>
      </c>
    </row>
    <row r="59" spans="1:2">
      <c r="A59" s="107">
        <v>410151</v>
      </c>
      <c r="B59" s="107" t="s">
        <v>243</v>
      </c>
    </row>
    <row r="60" spans="1:2">
      <c r="A60" s="107">
        <v>410152</v>
      </c>
      <c r="B60" s="107" t="s">
        <v>244</v>
      </c>
    </row>
    <row r="61" spans="1:2">
      <c r="A61" s="107">
        <v>410153</v>
      </c>
      <c r="B61" s="107" t="s">
        <v>245</v>
      </c>
    </row>
    <row r="62" spans="1:2">
      <c r="A62" s="107">
        <v>410156</v>
      </c>
      <c r="B62" s="107" t="s">
        <v>246</v>
      </c>
    </row>
    <row r="63" spans="1:2">
      <c r="A63" s="107">
        <v>410158</v>
      </c>
      <c r="B63" s="107" t="s">
        <v>247</v>
      </c>
    </row>
    <row r="64" spans="1:2">
      <c r="A64" s="107">
        <v>410160</v>
      </c>
      <c r="B64" s="107" t="s">
        <v>248</v>
      </c>
    </row>
    <row r="65" spans="1:2">
      <c r="A65" s="107">
        <v>410161</v>
      </c>
      <c r="B65" s="107" t="s">
        <v>249</v>
      </c>
    </row>
    <row r="66" spans="1:2">
      <c r="A66" s="107">
        <v>410163</v>
      </c>
      <c r="B66" s="107" t="s">
        <v>250</v>
      </c>
    </row>
    <row r="67" spans="1:2">
      <c r="A67" s="107">
        <v>410165</v>
      </c>
      <c r="B67" s="107" t="s">
        <v>251</v>
      </c>
    </row>
    <row r="68" spans="1:2">
      <c r="A68" s="107">
        <v>410168</v>
      </c>
      <c r="B68" s="107" t="s">
        <v>252</v>
      </c>
    </row>
    <row r="69" spans="1:2">
      <c r="A69" s="107">
        <v>410170</v>
      </c>
      <c r="B69" s="107" t="s">
        <v>253</v>
      </c>
    </row>
    <row r="70" spans="1:2">
      <c r="A70" s="107">
        <v>410171</v>
      </c>
      <c r="B70" s="107" t="s">
        <v>254</v>
      </c>
    </row>
    <row r="71" spans="1:2">
      <c r="A71" s="107">
        <v>410177</v>
      </c>
      <c r="B71" s="107" t="s">
        <v>255</v>
      </c>
    </row>
    <row r="72" spans="1:2">
      <c r="A72" s="107">
        <v>410181</v>
      </c>
      <c r="B72" s="107" t="s">
        <v>256</v>
      </c>
    </row>
    <row r="73" spans="1:2">
      <c r="A73" s="107">
        <v>410183</v>
      </c>
      <c r="B73" s="107" t="s">
        <v>257</v>
      </c>
    </row>
    <row r="74" spans="1:2">
      <c r="A74" s="107">
        <v>410184</v>
      </c>
      <c r="B74" s="107" t="s">
        <v>258</v>
      </c>
    </row>
    <row r="75" spans="1:2">
      <c r="A75" s="107">
        <v>410185</v>
      </c>
      <c r="B75" s="107" t="s">
        <v>259</v>
      </c>
    </row>
    <row r="76" spans="1:2">
      <c r="A76" s="107">
        <v>410186</v>
      </c>
      <c r="B76" s="107" t="s">
        <v>260</v>
      </c>
    </row>
    <row r="77" spans="1:2">
      <c r="A77" s="107">
        <v>410191</v>
      </c>
      <c r="B77" s="107" t="s">
        <v>2182</v>
      </c>
    </row>
    <row r="78" spans="1:2">
      <c r="A78" s="107">
        <v>410200</v>
      </c>
      <c r="B78" s="107" t="s">
        <v>2183</v>
      </c>
    </row>
    <row r="79" spans="1:2">
      <c r="A79" s="107">
        <v>410992</v>
      </c>
      <c r="B79" s="107" t="s">
        <v>2184</v>
      </c>
    </row>
    <row r="80" spans="1:2">
      <c r="A80" s="107">
        <v>410993</v>
      </c>
      <c r="B80" s="107" t="s">
        <v>261</v>
      </c>
    </row>
    <row r="81" spans="1:2">
      <c r="A81" s="107">
        <v>410994</v>
      </c>
      <c r="B81" s="107" t="s">
        <v>262</v>
      </c>
    </row>
    <row r="82" spans="1:2">
      <c r="A82" s="107">
        <v>410995</v>
      </c>
      <c r="B82" s="107" t="s">
        <v>263</v>
      </c>
    </row>
    <row r="83" spans="1:2">
      <c r="A83" s="107">
        <v>410996</v>
      </c>
      <c r="B83" s="107" t="s">
        <v>264</v>
      </c>
    </row>
    <row r="84" spans="1:2">
      <c r="A84" s="107">
        <v>410997</v>
      </c>
      <c r="B84" s="107" t="s">
        <v>265</v>
      </c>
    </row>
    <row r="85" spans="1:2">
      <c r="A85" s="107">
        <v>410998</v>
      </c>
      <c r="B85" s="107" t="s">
        <v>266</v>
      </c>
    </row>
    <row r="86" spans="1:2">
      <c r="A86" s="107">
        <v>410999</v>
      </c>
      <c r="B86" s="107" t="s">
        <v>267</v>
      </c>
    </row>
    <row r="87" spans="1:2">
      <c r="A87" s="107">
        <v>411000</v>
      </c>
      <c r="B87" s="107" t="s">
        <v>2185</v>
      </c>
    </row>
    <row r="88" spans="1:2">
      <c r="A88" s="107">
        <v>411001</v>
      </c>
      <c r="B88" s="107" t="s">
        <v>2186</v>
      </c>
    </row>
    <row r="89" spans="1:2">
      <c r="A89" s="107">
        <v>420002</v>
      </c>
      <c r="B89" s="107" t="s">
        <v>268</v>
      </c>
    </row>
    <row r="90" spans="1:2">
      <c r="A90" s="107">
        <v>420003</v>
      </c>
      <c r="B90" s="107" t="s">
        <v>269</v>
      </c>
    </row>
    <row r="91" spans="1:2">
      <c r="A91" s="107">
        <v>420004</v>
      </c>
      <c r="B91" s="107" t="s">
        <v>270</v>
      </c>
    </row>
    <row r="92" spans="1:2">
      <c r="A92" s="107">
        <v>420005</v>
      </c>
      <c r="B92" s="107" t="s">
        <v>271</v>
      </c>
    </row>
    <row r="93" spans="1:2">
      <c r="A93" s="107">
        <v>420006</v>
      </c>
      <c r="B93" s="107" t="s">
        <v>272</v>
      </c>
    </row>
    <row r="94" spans="1:2">
      <c r="A94" s="107">
        <v>420007</v>
      </c>
      <c r="B94" s="107" t="s">
        <v>273</v>
      </c>
    </row>
    <row r="95" spans="1:2">
      <c r="A95" s="107">
        <v>420008</v>
      </c>
      <c r="B95" s="107" t="s">
        <v>274</v>
      </c>
    </row>
    <row r="96" spans="1:2">
      <c r="A96" s="107">
        <v>420009</v>
      </c>
      <c r="B96" s="107" t="s">
        <v>275</v>
      </c>
    </row>
    <row r="97" spans="1:2">
      <c r="A97" s="107">
        <v>420010</v>
      </c>
      <c r="B97" s="107" t="s">
        <v>276</v>
      </c>
    </row>
    <row r="98" spans="1:2">
      <c r="A98" s="107">
        <v>420011</v>
      </c>
      <c r="B98" s="107" t="s">
        <v>277</v>
      </c>
    </row>
    <row r="99" spans="1:2">
      <c r="A99" s="107">
        <v>420012</v>
      </c>
      <c r="B99" s="107" t="s">
        <v>278</v>
      </c>
    </row>
    <row r="100" spans="1:2">
      <c r="A100" s="107">
        <v>420013</v>
      </c>
      <c r="B100" s="107" t="s">
        <v>279</v>
      </c>
    </row>
    <row r="101" spans="1:2">
      <c r="A101" s="107">
        <v>420014</v>
      </c>
      <c r="B101" s="107" t="s">
        <v>280</v>
      </c>
    </row>
    <row r="102" spans="1:2">
      <c r="A102" s="107">
        <v>420015</v>
      </c>
      <c r="B102" s="107" t="s">
        <v>281</v>
      </c>
    </row>
    <row r="103" spans="1:2">
      <c r="A103" s="107">
        <v>420016</v>
      </c>
      <c r="B103" s="107" t="s">
        <v>282</v>
      </c>
    </row>
    <row r="104" spans="1:2">
      <c r="A104" s="107">
        <v>420017</v>
      </c>
      <c r="B104" s="107" t="s">
        <v>283</v>
      </c>
    </row>
    <row r="105" spans="1:2">
      <c r="A105" s="107">
        <v>420018</v>
      </c>
      <c r="B105" s="107" t="s">
        <v>284</v>
      </c>
    </row>
    <row r="106" spans="1:2">
      <c r="A106" s="107">
        <v>420019</v>
      </c>
      <c r="B106" s="107" t="s">
        <v>285</v>
      </c>
    </row>
    <row r="107" spans="1:2">
      <c r="A107" s="107">
        <v>420020</v>
      </c>
      <c r="B107" s="107" t="s">
        <v>286</v>
      </c>
    </row>
    <row r="108" spans="1:2">
      <c r="A108" s="107">
        <v>420021</v>
      </c>
      <c r="B108" s="107" t="s">
        <v>287</v>
      </c>
    </row>
    <row r="109" spans="1:2">
      <c r="A109" s="107">
        <v>420022</v>
      </c>
      <c r="B109" s="107" t="s">
        <v>288</v>
      </c>
    </row>
    <row r="110" spans="1:2">
      <c r="A110" s="107">
        <v>420023</v>
      </c>
      <c r="B110" s="107" t="s">
        <v>289</v>
      </c>
    </row>
    <row r="111" spans="1:2">
      <c r="A111" s="107">
        <v>420024</v>
      </c>
      <c r="B111" s="107" t="s">
        <v>290</v>
      </c>
    </row>
    <row r="112" spans="1:2">
      <c r="A112" s="107">
        <v>420025</v>
      </c>
      <c r="B112" s="107" t="s">
        <v>291</v>
      </c>
    </row>
    <row r="113" spans="1:2">
      <c r="A113" s="107">
        <v>420026</v>
      </c>
      <c r="B113" s="107" t="s">
        <v>292</v>
      </c>
    </row>
    <row r="114" spans="1:2">
      <c r="A114" s="107">
        <v>420027</v>
      </c>
      <c r="B114" s="107" t="s">
        <v>2187</v>
      </c>
    </row>
    <row r="115" spans="1:2">
      <c r="A115" s="107">
        <v>420028</v>
      </c>
      <c r="B115" s="107" t="s">
        <v>293</v>
      </c>
    </row>
    <row r="116" spans="1:2">
      <c r="A116" s="107">
        <v>420029</v>
      </c>
      <c r="B116" s="107" t="s">
        <v>294</v>
      </c>
    </row>
    <row r="117" spans="1:2">
      <c r="A117" s="107">
        <v>420030</v>
      </c>
      <c r="B117" s="107" t="s">
        <v>295</v>
      </c>
    </row>
    <row r="118" spans="1:2">
      <c r="A118" s="107">
        <v>420031</v>
      </c>
      <c r="B118" s="107" t="s">
        <v>296</v>
      </c>
    </row>
    <row r="119" spans="1:2">
      <c r="A119" s="107">
        <v>420032</v>
      </c>
      <c r="B119" s="107" t="s">
        <v>297</v>
      </c>
    </row>
    <row r="120" spans="1:2">
      <c r="A120" s="107">
        <v>420033</v>
      </c>
      <c r="B120" s="107" t="s">
        <v>298</v>
      </c>
    </row>
    <row r="121" spans="1:2">
      <c r="A121" s="107">
        <v>420034</v>
      </c>
      <c r="B121" s="107" t="s">
        <v>299</v>
      </c>
    </row>
    <row r="122" spans="1:2">
      <c r="A122" s="107">
        <v>420035</v>
      </c>
      <c r="B122" s="107" t="s">
        <v>300</v>
      </c>
    </row>
    <row r="123" spans="1:2">
      <c r="A123" s="107">
        <v>420036</v>
      </c>
      <c r="B123" s="107" t="s">
        <v>2111</v>
      </c>
    </row>
    <row r="124" spans="1:2">
      <c r="A124" s="107">
        <v>420037</v>
      </c>
      <c r="B124" s="107" t="s">
        <v>2112</v>
      </c>
    </row>
    <row r="125" spans="1:2">
      <c r="A125" s="107">
        <v>420038</v>
      </c>
      <c r="B125" s="107" t="s">
        <v>2130</v>
      </c>
    </row>
    <row r="126" spans="1:2">
      <c r="A126" s="107">
        <v>420039</v>
      </c>
      <c r="B126" s="107" t="s">
        <v>2138</v>
      </c>
    </row>
    <row r="127" spans="1:2">
      <c r="A127" s="107">
        <v>420040</v>
      </c>
      <c r="B127" s="107" t="s">
        <v>2146</v>
      </c>
    </row>
    <row r="128" spans="1:2">
      <c r="A128" s="107">
        <v>420041</v>
      </c>
      <c r="B128" s="107" t="s">
        <v>2188</v>
      </c>
    </row>
    <row r="129" spans="1:2">
      <c r="A129" s="107">
        <v>420042</v>
      </c>
      <c r="B129" s="107" t="s">
        <v>2189</v>
      </c>
    </row>
    <row r="130" spans="1:2">
      <c r="A130" s="107">
        <v>420043</v>
      </c>
      <c r="B130" s="107" t="s">
        <v>2190</v>
      </c>
    </row>
    <row r="131" spans="1:2">
      <c r="A131" s="107">
        <v>420044</v>
      </c>
      <c r="B131" s="107" t="s">
        <v>2191</v>
      </c>
    </row>
    <row r="132" spans="1:2">
      <c r="A132" s="107">
        <v>2150001</v>
      </c>
      <c r="B132" s="107" t="s">
        <v>301</v>
      </c>
    </row>
    <row r="133" spans="1:2">
      <c r="A133" s="107">
        <v>2400001</v>
      </c>
      <c r="B133" s="107" t="s">
        <v>302</v>
      </c>
    </row>
    <row r="134" spans="1:2">
      <c r="A134" s="107">
        <v>2400002</v>
      </c>
      <c r="B134" s="107" t="s">
        <v>303</v>
      </c>
    </row>
    <row r="135" spans="1:2">
      <c r="A135" s="107">
        <v>2400003</v>
      </c>
      <c r="B135" s="107" t="s">
        <v>304</v>
      </c>
    </row>
    <row r="136" spans="1:2">
      <c r="A136" s="107">
        <v>2400004</v>
      </c>
      <c r="B136" s="107" t="s">
        <v>305</v>
      </c>
    </row>
    <row r="137" spans="1:2">
      <c r="A137" s="107">
        <v>2400005</v>
      </c>
      <c r="B137" s="107" t="s">
        <v>306</v>
      </c>
    </row>
    <row r="138" spans="1:2">
      <c r="A138" s="107">
        <v>2400006</v>
      </c>
      <c r="B138" s="107" t="s">
        <v>307</v>
      </c>
    </row>
    <row r="139" spans="1:2">
      <c r="A139" s="107">
        <v>2400007</v>
      </c>
      <c r="B139" s="107" t="s">
        <v>308</v>
      </c>
    </row>
    <row r="140" spans="1:2">
      <c r="A140" s="107">
        <v>2400008</v>
      </c>
      <c r="B140" s="107" t="s">
        <v>309</v>
      </c>
    </row>
    <row r="141" spans="1:2">
      <c r="A141" s="107">
        <v>2400009</v>
      </c>
      <c r="B141" s="107" t="s">
        <v>310</v>
      </c>
    </row>
    <row r="142" spans="1:2">
      <c r="A142" s="107">
        <v>2400010</v>
      </c>
      <c r="B142" s="107" t="s">
        <v>311</v>
      </c>
    </row>
    <row r="143" spans="1:2">
      <c r="A143" s="107">
        <v>2400011</v>
      </c>
      <c r="B143" s="107" t="s">
        <v>312</v>
      </c>
    </row>
    <row r="144" spans="1:2">
      <c r="A144" s="107">
        <v>2400013</v>
      </c>
      <c r="B144" s="107" t="s">
        <v>308</v>
      </c>
    </row>
    <row r="145" spans="1:2">
      <c r="A145" s="107">
        <v>2400014</v>
      </c>
      <c r="B145" s="107" t="s">
        <v>313</v>
      </c>
    </row>
    <row r="146" spans="1:2">
      <c r="A146" s="107">
        <v>2400015</v>
      </c>
      <c r="B146" s="107" t="s">
        <v>314</v>
      </c>
    </row>
    <row r="147" spans="1:2">
      <c r="A147" s="107">
        <v>2400016</v>
      </c>
      <c r="B147" s="107" t="s">
        <v>315</v>
      </c>
    </row>
    <row r="148" spans="1:2">
      <c r="A148" s="107">
        <v>2400017</v>
      </c>
      <c r="B148" s="107" t="s">
        <v>2100</v>
      </c>
    </row>
    <row r="149" spans="1:2">
      <c r="A149" s="107">
        <v>2400018</v>
      </c>
      <c r="B149" s="107" t="s">
        <v>2092</v>
      </c>
    </row>
    <row r="150" spans="1:2">
      <c r="A150" s="107">
        <v>2400019</v>
      </c>
      <c r="B150" s="107" t="s">
        <v>2101</v>
      </c>
    </row>
    <row r="151" spans="1:2">
      <c r="A151" s="107">
        <v>2400020</v>
      </c>
      <c r="B151" s="107" t="s">
        <v>495</v>
      </c>
    </row>
    <row r="152" spans="1:2">
      <c r="A152" s="107">
        <v>2400021</v>
      </c>
      <c r="B152" s="107" t="s">
        <v>2113</v>
      </c>
    </row>
    <row r="153" spans="1:2">
      <c r="A153" s="107">
        <v>2400022</v>
      </c>
      <c r="B153" s="107" t="s">
        <v>2192</v>
      </c>
    </row>
    <row r="154" spans="1:2">
      <c r="A154" s="107">
        <v>2400023</v>
      </c>
      <c r="B154" s="107" t="s">
        <v>2193</v>
      </c>
    </row>
    <row r="155" spans="1:2">
      <c r="A155" s="107">
        <v>2400024</v>
      </c>
      <c r="B155" s="107" t="s">
        <v>2194</v>
      </c>
    </row>
    <row r="156" spans="1:2">
      <c r="A156" s="107">
        <v>2400025</v>
      </c>
      <c r="B156" s="107" t="s">
        <v>2195</v>
      </c>
    </row>
    <row r="157" spans="1:2">
      <c r="A157" s="107">
        <v>2400026</v>
      </c>
      <c r="B157" s="107" t="s">
        <v>2196</v>
      </c>
    </row>
    <row r="158" spans="1:2">
      <c r="A158" s="107">
        <v>2450001</v>
      </c>
      <c r="B158" s="107" t="s">
        <v>316</v>
      </c>
    </row>
    <row r="159" spans="1:2">
      <c r="A159" s="107">
        <v>2450002</v>
      </c>
      <c r="B159" s="107" t="s">
        <v>317</v>
      </c>
    </row>
    <row r="160" spans="1:2">
      <c r="A160" s="107">
        <v>2450003</v>
      </c>
      <c r="B160" s="107" t="s">
        <v>2197</v>
      </c>
    </row>
    <row r="161" spans="1:2">
      <c r="A161" s="107">
        <v>2460001</v>
      </c>
      <c r="B161" s="107" t="s">
        <v>318</v>
      </c>
    </row>
    <row r="162" spans="1:2">
      <c r="A162" s="107">
        <v>2460002</v>
      </c>
      <c r="B162" s="107" t="s">
        <v>319</v>
      </c>
    </row>
    <row r="163" spans="1:2">
      <c r="A163" s="107">
        <v>2460003</v>
      </c>
      <c r="B163" s="107" t="s">
        <v>2198</v>
      </c>
    </row>
    <row r="164" spans="1:2">
      <c r="A164" s="107">
        <v>2460004</v>
      </c>
      <c r="B164" s="107" t="s">
        <v>2199</v>
      </c>
    </row>
    <row r="165" spans="1:2">
      <c r="A165" s="107">
        <v>2470001</v>
      </c>
      <c r="B165" s="107" t="s">
        <v>320</v>
      </c>
    </row>
    <row r="166" spans="1:2">
      <c r="A166" s="107">
        <v>2470002</v>
      </c>
      <c r="B166" s="107" t="s">
        <v>318</v>
      </c>
    </row>
    <row r="167" spans="1:2">
      <c r="A167" s="107">
        <v>2470003</v>
      </c>
      <c r="B167" s="107" t="s">
        <v>321</v>
      </c>
    </row>
    <row r="168" spans="1:2">
      <c r="A168" s="107">
        <v>2470004</v>
      </c>
      <c r="B168" s="107" t="s">
        <v>322</v>
      </c>
    </row>
    <row r="169" spans="1:2">
      <c r="A169" s="107">
        <v>2470005</v>
      </c>
      <c r="B169" s="107" t="s">
        <v>323</v>
      </c>
    </row>
    <row r="170" spans="1:2">
      <c r="A170" s="107">
        <v>2470006</v>
      </c>
      <c r="B170" s="107" t="s">
        <v>324</v>
      </c>
    </row>
    <row r="171" spans="1:2">
      <c r="A171" s="107">
        <v>2470007</v>
      </c>
      <c r="B171" s="107" t="s">
        <v>325</v>
      </c>
    </row>
    <row r="172" spans="1:2">
      <c r="A172" s="107">
        <v>2470008</v>
      </c>
      <c r="B172" s="107" t="s">
        <v>326</v>
      </c>
    </row>
    <row r="173" spans="1:2">
      <c r="A173" s="107">
        <v>2470009</v>
      </c>
      <c r="B173" s="107" t="s">
        <v>327</v>
      </c>
    </row>
    <row r="174" spans="1:2">
      <c r="A174" s="107">
        <v>2470010</v>
      </c>
      <c r="B174" s="107" t="s">
        <v>328</v>
      </c>
    </row>
    <row r="175" spans="1:2">
      <c r="A175" s="107">
        <v>2470011</v>
      </c>
      <c r="B175" s="107" t="s">
        <v>329</v>
      </c>
    </row>
    <row r="176" spans="1:2">
      <c r="A176" s="107">
        <v>2470012</v>
      </c>
      <c r="B176" s="107" t="s">
        <v>330</v>
      </c>
    </row>
    <row r="177" spans="1:2">
      <c r="A177" s="107">
        <v>2470013</v>
      </c>
      <c r="B177" s="107" t="s">
        <v>331</v>
      </c>
    </row>
    <row r="178" spans="1:2">
      <c r="A178" s="107">
        <v>2470014</v>
      </c>
      <c r="B178" s="107" t="s">
        <v>332</v>
      </c>
    </row>
    <row r="179" spans="1:2">
      <c r="A179" s="107">
        <v>2470015</v>
      </c>
      <c r="B179" s="107" t="s">
        <v>333</v>
      </c>
    </row>
    <row r="180" spans="1:2">
      <c r="A180" s="107">
        <v>2470016</v>
      </c>
      <c r="B180" s="107" t="s">
        <v>334</v>
      </c>
    </row>
    <row r="181" spans="1:2">
      <c r="A181" s="107">
        <v>2470017</v>
      </c>
      <c r="B181" s="107" t="s">
        <v>2093</v>
      </c>
    </row>
    <row r="182" spans="1:2">
      <c r="A182" s="107">
        <v>2470018</v>
      </c>
      <c r="B182" s="107" t="s">
        <v>2114</v>
      </c>
    </row>
    <row r="183" spans="1:2">
      <c r="A183" s="107">
        <v>2470019</v>
      </c>
      <c r="B183" s="107" t="s">
        <v>2115</v>
      </c>
    </row>
    <row r="184" spans="1:2">
      <c r="A184" s="107">
        <v>2470020</v>
      </c>
      <c r="B184" s="107" t="s">
        <v>2116</v>
      </c>
    </row>
    <row r="185" spans="1:2">
      <c r="A185" s="107">
        <v>2470021</v>
      </c>
      <c r="B185" s="107" t="s">
        <v>2117</v>
      </c>
    </row>
    <row r="186" spans="1:2">
      <c r="A186" s="107">
        <v>2470022</v>
      </c>
      <c r="B186" s="107" t="s">
        <v>2118</v>
      </c>
    </row>
    <row r="187" spans="1:2">
      <c r="A187" s="107">
        <v>2470023</v>
      </c>
      <c r="B187" s="107" t="s">
        <v>2119</v>
      </c>
    </row>
    <row r="188" spans="1:2">
      <c r="A188" s="107">
        <v>2470024</v>
      </c>
      <c r="B188" s="107" t="s">
        <v>2120</v>
      </c>
    </row>
    <row r="189" spans="1:2">
      <c r="A189" s="107">
        <v>2470025</v>
      </c>
      <c r="B189" s="107" t="s">
        <v>2121</v>
      </c>
    </row>
    <row r="190" spans="1:2">
      <c r="A190" s="107">
        <v>2470026</v>
      </c>
      <c r="B190" s="107" t="s">
        <v>2122</v>
      </c>
    </row>
    <row r="191" spans="1:2">
      <c r="A191" s="107">
        <v>2470027</v>
      </c>
      <c r="B191" s="107" t="s">
        <v>2131</v>
      </c>
    </row>
    <row r="192" spans="1:2">
      <c r="A192" s="107">
        <v>2470028</v>
      </c>
      <c r="B192" s="107" t="s">
        <v>2132</v>
      </c>
    </row>
    <row r="193" spans="1:2">
      <c r="A193" s="107">
        <v>2470029</v>
      </c>
      <c r="B193" s="107" t="s">
        <v>2136</v>
      </c>
    </row>
    <row r="194" spans="1:2">
      <c r="A194" s="107">
        <v>2470030</v>
      </c>
      <c r="B194" s="107" t="s">
        <v>2147</v>
      </c>
    </row>
    <row r="195" spans="1:2">
      <c r="A195" s="107">
        <v>2470031</v>
      </c>
      <c r="B195" s="107" t="s">
        <v>2148</v>
      </c>
    </row>
    <row r="196" spans="1:2">
      <c r="A196" s="107">
        <v>2470032</v>
      </c>
      <c r="B196" s="107" t="s">
        <v>2149</v>
      </c>
    </row>
    <row r="197" spans="1:2">
      <c r="A197" s="107">
        <v>2470033</v>
      </c>
      <c r="B197" s="107" t="s">
        <v>2152</v>
      </c>
    </row>
    <row r="198" spans="1:2">
      <c r="A198" s="107">
        <v>2470034</v>
      </c>
      <c r="B198" s="107" t="s">
        <v>2153</v>
      </c>
    </row>
    <row r="199" spans="1:2">
      <c r="A199" s="107">
        <v>2470035</v>
      </c>
      <c r="B199" s="107" t="s">
        <v>2158</v>
      </c>
    </row>
    <row r="200" spans="1:2">
      <c r="A200" s="107">
        <v>2470036</v>
      </c>
      <c r="B200" s="107" t="s">
        <v>2159</v>
      </c>
    </row>
    <row r="201" spans="1:2">
      <c r="A201" s="107">
        <v>2470037</v>
      </c>
      <c r="B201" s="107" t="s">
        <v>2171</v>
      </c>
    </row>
    <row r="202" spans="1:2">
      <c r="A202" s="107">
        <v>2470038</v>
      </c>
      <c r="B202" s="107" t="s">
        <v>2172</v>
      </c>
    </row>
    <row r="203" spans="1:2">
      <c r="A203" s="107">
        <v>2470039</v>
      </c>
      <c r="B203" s="107" t="s">
        <v>2173</v>
      </c>
    </row>
    <row r="204" spans="1:2">
      <c r="A204" s="107">
        <v>2470040</v>
      </c>
      <c r="B204" s="107" t="s">
        <v>2174</v>
      </c>
    </row>
    <row r="205" spans="1:2">
      <c r="A205" s="107">
        <v>2470041</v>
      </c>
      <c r="B205" s="107" t="s">
        <v>2175</v>
      </c>
    </row>
    <row r="206" spans="1:2">
      <c r="A206" s="107">
        <v>2470042</v>
      </c>
      <c r="B206" s="107" t="s">
        <v>2200</v>
      </c>
    </row>
    <row r="207" spans="1:2">
      <c r="A207" s="107">
        <v>2470043</v>
      </c>
      <c r="B207" s="107" t="s">
        <v>2201</v>
      </c>
    </row>
    <row r="208" spans="1:2">
      <c r="A208" s="107">
        <v>2470044</v>
      </c>
      <c r="B208" s="107" t="s">
        <v>2202</v>
      </c>
    </row>
    <row r="209" spans="1:2">
      <c r="A209" s="107">
        <v>2470045</v>
      </c>
      <c r="B209" s="107" t="s">
        <v>2203</v>
      </c>
    </row>
    <row r="210" spans="1:2">
      <c r="A210" s="107">
        <v>2470046</v>
      </c>
      <c r="B210" s="107" t="s">
        <v>2204</v>
      </c>
    </row>
    <row r="211" spans="1:2">
      <c r="A211" s="107">
        <v>2470047</v>
      </c>
      <c r="B211" s="107" t="s">
        <v>2205</v>
      </c>
    </row>
    <row r="212" spans="1:2">
      <c r="A212" s="107">
        <v>2470048</v>
      </c>
      <c r="B212" s="107" t="s">
        <v>2206</v>
      </c>
    </row>
    <row r="213" spans="1:2">
      <c r="A213" s="107">
        <v>2470049</v>
      </c>
      <c r="B213" s="107" t="s">
        <v>2207</v>
      </c>
    </row>
    <row r="214" spans="1:2">
      <c r="A214" s="107">
        <v>2470050</v>
      </c>
      <c r="B214" s="107" t="s">
        <v>2208</v>
      </c>
    </row>
    <row r="215" spans="1:2">
      <c r="A215" s="107">
        <v>2470051</v>
      </c>
      <c r="B215" s="107" t="s">
        <v>332</v>
      </c>
    </row>
    <row r="216" spans="1:2">
      <c r="A216" s="107">
        <v>2470052</v>
      </c>
      <c r="B216" s="107" t="s">
        <v>2209</v>
      </c>
    </row>
    <row r="217" spans="1:2">
      <c r="A217" s="107">
        <v>2480001</v>
      </c>
      <c r="B217" s="107" t="s">
        <v>335</v>
      </c>
    </row>
    <row r="218" spans="1:2">
      <c r="A218" s="107">
        <v>2480592</v>
      </c>
      <c r="B218" s="107" t="s">
        <v>336</v>
      </c>
    </row>
    <row r="219" spans="1:2">
      <c r="A219" s="107">
        <v>6100001</v>
      </c>
      <c r="B219" s="107" t="s">
        <v>337</v>
      </c>
    </row>
    <row r="220" spans="1:2">
      <c r="A220" s="107">
        <v>6100002</v>
      </c>
      <c r="B220" s="107" t="s">
        <v>338</v>
      </c>
    </row>
    <row r="221" spans="1:2">
      <c r="A221" s="107">
        <v>6100012</v>
      </c>
      <c r="B221" s="107" t="s">
        <v>339</v>
      </c>
    </row>
    <row r="222" spans="1:2">
      <c r="A222" s="107">
        <v>6100016</v>
      </c>
      <c r="B222" s="107" t="s">
        <v>340</v>
      </c>
    </row>
    <row r="223" spans="1:2">
      <c r="A223" s="107">
        <v>6100029</v>
      </c>
      <c r="B223" s="107" t="s">
        <v>341</v>
      </c>
    </row>
    <row r="224" spans="1:2">
      <c r="A224" s="107">
        <v>6100036</v>
      </c>
      <c r="B224" s="107" t="s">
        <v>342</v>
      </c>
    </row>
    <row r="225" spans="1:2">
      <c r="A225" s="107">
        <v>6100041</v>
      </c>
      <c r="B225" s="107" t="s">
        <v>343</v>
      </c>
    </row>
    <row r="226" spans="1:2">
      <c r="A226" s="107">
        <v>6100052</v>
      </c>
      <c r="B226" s="107" t="s">
        <v>344</v>
      </c>
    </row>
    <row r="227" spans="1:2">
      <c r="A227" s="107">
        <v>6100060</v>
      </c>
      <c r="B227" s="107" t="s">
        <v>345</v>
      </c>
    </row>
    <row r="228" spans="1:2">
      <c r="A228" s="107">
        <v>6100066</v>
      </c>
      <c r="B228" s="107" t="s">
        <v>346</v>
      </c>
    </row>
    <row r="229" spans="1:2">
      <c r="A229" s="107">
        <v>6100069</v>
      </c>
      <c r="B229" s="107" t="s">
        <v>347</v>
      </c>
    </row>
    <row r="230" spans="1:2">
      <c r="A230" s="107">
        <v>6100074</v>
      </c>
      <c r="B230" s="107" t="s">
        <v>348</v>
      </c>
    </row>
    <row r="231" spans="1:2">
      <c r="A231" s="107">
        <v>6100077</v>
      </c>
      <c r="B231" s="107" t="s">
        <v>349</v>
      </c>
    </row>
    <row r="232" spans="1:2">
      <c r="A232" s="107">
        <v>6100079</v>
      </c>
      <c r="B232" s="107" t="s">
        <v>350</v>
      </c>
    </row>
    <row r="233" spans="1:2">
      <c r="A233" s="107">
        <v>6100081</v>
      </c>
      <c r="B233" s="107" t="s">
        <v>351</v>
      </c>
    </row>
    <row r="234" spans="1:2">
      <c r="A234" s="107">
        <v>6100085</v>
      </c>
      <c r="B234" s="107" t="s">
        <v>352</v>
      </c>
    </row>
    <row r="235" spans="1:2">
      <c r="A235" s="107">
        <v>6100093</v>
      </c>
      <c r="B235" s="107" t="s">
        <v>353</v>
      </c>
    </row>
    <row r="236" spans="1:2">
      <c r="A236" s="107">
        <v>6100098</v>
      </c>
      <c r="B236" s="107" t="s">
        <v>354</v>
      </c>
    </row>
    <row r="237" spans="1:2">
      <c r="A237" s="107">
        <v>6100114</v>
      </c>
      <c r="B237" s="107" t="s">
        <v>355</v>
      </c>
    </row>
    <row r="238" spans="1:2">
      <c r="A238" s="107">
        <v>6100132</v>
      </c>
      <c r="B238" s="107" t="s">
        <v>304</v>
      </c>
    </row>
    <row r="239" spans="1:2">
      <c r="A239" s="107">
        <v>6100138</v>
      </c>
      <c r="B239" s="107" t="s">
        <v>356</v>
      </c>
    </row>
    <row r="240" spans="1:2">
      <c r="A240" s="107">
        <v>6100142</v>
      </c>
      <c r="B240" s="107" t="s">
        <v>357</v>
      </c>
    </row>
    <row r="241" spans="1:2">
      <c r="A241" s="107">
        <v>6100151</v>
      </c>
      <c r="B241" s="107" t="s">
        <v>358</v>
      </c>
    </row>
    <row r="242" spans="1:2">
      <c r="A242" s="107">
        <v>6100165</v>
      </c>
      <c r="B242" s="107" t="s">
        <v>359</v>
      </c>
    </row>
    <row r="243" spans="1:2">
      <c r="A243" s="107">
        <v>6100171</v>
      </c>
      <c r="B243" s="107" t="s">
        <v>360</v>
      </c>
    </row>
    <row r="244" spans="1:2">
      <c r="A244" s="107">
        <v>6100197</v>
      </c>
      <c r="B244" s="107" t="s">
        <v>361</v>
      </c>
    </row>
    <row r="245" spans="1:2">
      <c r="A245" s="107">
        <v>6100202</v>
      </c>
      <c r="B245" s="107" t="s">
        <v>362</v>
      </c>
    </row>
    <row r="246" spans="1:2">
      <c r="A246" s="107">
        <v>6100214</v>
      </c>
      <c r="B246" s="107" t="s">
        <v>307</v>
      </c>
    </row>
    <row r="247" spans="1:2">
      <c r="A247" s="107">
        <v>6100220</v>
      </c>
      <c r="B247" s="107" t="s">
        <v>363</v>
      </c>
    </row>
    <row r="248" spans="1:2">
      <c r="A248" s="107">
        <v>6100222</v>
      </c>
      <c r="B248" s="107" t="s">
        <v>302</v>
      </c>
    </row>
    <row r="249" spans="1:2">
      <c r="A249" s="107">
        <v>6100230</v>
      </c>
      <c r="B249" s="107" t="s">
        <v>364</v>
      </c>
    </row>
    <row r="250" spans="1:2">
      <c r="A250" s="107">
        <v>6100232</v>
      </c>
      <c r="B250" s="107" t="s">
        <v>365</v>
      </c>
    </row>
    <row r="251" spans="1:2">
      <c r="A251" s="107">
        <v>6100253</v>
      </c>
      <c r="B251" s="107" t="s">
        <v>366</v>
      </c>
    </row>
    <row r="252" spans="1:2">
      <c r="A252" s="107">
        <v>6100276</v>
      </c>
      <c r="B252" s="107" t="s">
        <v>367</v>
      </c>
    </row>
    <row r="253" spans="1:2">
      <c r="A253" s="107">
        <v>6100279</v>
      </c>
      <c r="B253" s="107" t="s">
        <v>368</v>
      </c>
    </row>
    <row r="254" spans="1:2">
      <c r="A254" s="107">
        <v>6100280</v>
      </c>
      <c r="B254" s="107" t="s">
        <v>369</v>
      </c>
    </row>
    <row r="255" spans="1:2">
      <c r="A255" s="107">
        <v>6100283</v>
      </c>
      <c r="B255" s="107" t="s">
        <v>370</v>
      </c>
    </row>
    <row r="256" spans="1:2">
      <c r="A256" s="107">
        <v>6100284</v>
      </c>
      <c r="B256" s="107" t="s">
        <v>371</v>
      </c>
    </row>
    <row r="257" spans="1:2">
      <c r="A257" s="107">
        <v>6100287</v>
      </c>
      <c r="B257" s="107" t="s">
        <v>372</v>
      </c>
    </row>
    <row r="258" spans="1:2">
      <c r="A258" s="107">
        <v>6100302</v>
      </c>
      <c r="B258" s="107" t="s">
        <v>373</v>
      </c>
    </row>
    <row r="259" spans="1:2">
      <c r="A259" s="107">
        <v>6100309</v>
      </c>
      <c r="B259" s="107" t="s">
        <v>374</v>
      </c>
    </row>
    <row r="260" spans="1:2">
      <c r="A260" s="107">
        <v>6100310</v>
      </c>
      <c r="B260" s="107" t="s">
        <v>375</v>
      </c>
    </row>
    <row r="261" spans="1:2">
      <c r="A261" s="107">
        <v>6100536</v>
      </c>
      <c r="B261" s="107" t="s">
        <v>376</v>
      </c>
    </row>
    <row r="262" spans="1:2">
      <c r="A262" s="107">
        <v>6100588</v>
      </c>
      <c r="B262" s="107" t="s">
        <v>377</v>
      </c>
    </row>
    <row r="263" spans="1:2">
      <c r="A263" s="107">
        <v>6100589</v>
      </c>
      <c r="B263" s="107" t="s">
        <v>378</v>
      </c>
    </row>
    <row r="264" spans="1:2">
      <c r="A264" s="107">
        <v>6100590</v>
      </c>
      <c r="B264" s="107" t="s">
        <v>379</v>
      </c>
    </row>
    <row r="265" spans="1:2">
      <c r="A265" s="107">
        <v>6100592</v>
      </c>
      <c r="B265" s="107" t="s">
        <v>336</v>
      </c>
    </row>
    <row r="266" spans="1:2">
      <c r="A266" s="107">
        <v>6100593</v>
      </c>
      <c r="B266" s="107" t="s">
        <v>380</v>
      </c>
    </row>
    <row r="267" spans="1:2">
      <c r="A267" s="107">
        <v>6100595</v>
      </c>
      <c r="B267" s="107" t="s">
        <v>381</v>
      </c>
    </row>
    <row r="268" spans="1:2">
      <c r="A268" s="107">
        <v>6100598</v>
      </c>
      <c r="B268" s="107" t="s">
        <v>382</v>
      </c>
    </row>
    <row r="269" spans="1:2">
      <c r="A269" s="107">
        <v>6100599</v>
      </c>
      <c r="B269" s="107" t="s">
        <v>383</v>
      </c>
    </row>
    <row r="270" spans="1:2">
      <c r="A270" s="107">
        <v>6100600</v>
      </c>
      <c r="B270" s="107" t="s">
        <v>384</v>
      </c>
    </row>
    <row r="271" spans="1:2">
      <c r="A271" s="107">
        <v>6100603</v>
      </c>
      <c r="B271" s="107" t="s">
        <v>385</v>
      </c>
    </row>
    <row r="272" spans="1:2">
      <c r="A272" s="107">
        <v>6100604</v>
      </c>
      <c r="B272" s="107" t="s">
        <v>386</v>
      </c>
    </row>
    <row r="273" spans="1:2">
      <c r="A273" s="107">
        <v>6100607</v>
      </c>
      <c r="B273" s="107" t="s">
        <v>387</v>
      </c>
    </row>
    <row r="274" spans="1:2">
      <c r="A274" s="107">
        <v>6100609</v>
      </c>
      <c r="B274" s="107" t="s">
        <v>388</v>
      </c>
    </row>
    <row r="275" spans="1:2">
      <c r="A275" s="107">
        <v>6100610</v>
      </c>
      <c r="B275" s="107" t="s">
        <v>389</v>
      </c>
    </row>
    <row r="276" spans="1:2">
      <c r="A276" s="107">
        <v>6100611</v>
      </c>
      <c r="B276" s="107" t="s">
        <v>390</v>
      </c>
    </row>
    <row r="277" spans="1:2">
      <c r="A277" s="107">
        <v>6100614</v>
      </c>
      <c r="B277" s="107" t="s">
        <v>391</v>
      </c>
    </row>
    <row r="278" spans="1:2">
      <c r="A278" s="107">
        <v>6100618</v>
      </c>
      <c r="B278" s="107" t="s">
        <v>392</v>
      </c>
    </row>
    <row r="279" spans="1:2">
      <c r="A279" s="107">
        <v>6100620</v>
      </c>
      <c r="B279" s="107" t="s">
        <v>393</v>
      </c>
    </row>
    <row r="280" spans="1:2">
      <c r="A280" s="107">
        <v>6100621</v>
      </c>
      <c r="B280" s="107" t="s">
        <v>394</v>
      </c>
    </row>
    <row r="281" spans="1:2">
      <c r="A281" s="107">
        <v>6100624</v>
      </c>
      <c r="B281" s="107" t="s">
        <v>395</v>
      </c>
    </row>
    <row r="282" spans="1:2">
      <c r="A282" s="107">
        <v>6100625</v>
      </c>
      <c r="B282" s="107" t="s">
        <v>396</v>
      </c>
    </row>
    <row r="283" spans="1:2">
      <c r="A283" s="107">
        <v>6100626</v>
      </c>
      <c r="B283" s="107" t="s">
        <v>397</v>
      </c>
    </row>
    <row r="284" spans="1:2">
      <c r="A284" s="107">
        <v>6100627</v>
      </c>
      <c r="B284" s="107" t="s">
        <v>398</v>
      </c>
    </row>
    <row r="285" spans="1:2">
      <c r="A285" s="107">
        <v>6100628</v>
      </c>
      <c r="B285" s="107" t="s">
        <v>399</v>
      </c>
    </row>
    <row r="286" spans="1:2">
      <c r="A286" s="107">
        <v>6100711</v>
      </c>
      <c r="B286" s="107" t="s">
        <v>400</v>
      </c>
    </row>
    <row r="287" spans="1:2">
      <c r="A287" s="107">
        <v>6100717</v>
      </c>
      <c r="B287" s="107" t="s">
        <v>401</v>
      </c>
    </row>
    <row r="288" spans="1:2">
      <c r="A288" s="107">
        <v>6100746</v>
      </c>
      <c r="B288" s="107" t="s">
        <v>402</v>
      </c>
    </row>
    <row r="289" spans="1:2">
      <c r="A289" s="107">
        <v>6100749</v>
      </c>
      <c r="B289" s="107" t="s">
        <v>403</v>
      </c>
    </row>
    <row r="290" spans="1:2">
      <c r="A290" s="107">
        <v>6100761</v>
      </c>
      <c r="B290" s="107" t="s">
        <v>404</v>
      </c>
    </row>
    <row r="291" spans="1:2">
      <c r="A291" s="107">
        <v>6100766</v>
      </c>
      <c r="B291" s="107" t="s">
        <v>405</v>
      </c>
    </row>
    <row r="292" spans="1:2">
      <c r="A292" s="107">
        <v>6100782</v>
      </c>
      <c r="B292" s="107" t="s">
        <v>406</v>
      </c>
    </row>
    <row r="293" spans="1:2">
      <c r="A293" s="107">
        <v>6100808</v>
      </c>
      <c r="B293" s="107" t="s">
        <v>407</v>
      </c>
    </row>
    <row r="294" spans="1:2">
      <c r="A294" s="107">
        <v>6100815</v>
      </c>
      <c r="B294" s="107" t="s">
        <v>408</v>
      </c>
    </row>
    <row r="295" spans="1:2">
      <c r="A295" s="107">
        <v>6100820</v>
      </c>
      <c r="B295" s="107" t="s">
        <v>409</v>
      </c>
    </row>
    <row r="296" spans="1:2">
      <c r="A296" s="107">
        <v>6100832</v>
      </c>
      <c r="B296" s="107" t="s">
        <v>410</v>
      </c>
    </row>
    <row r="297" spans="1:2">
      <c r="A297" s="107">
        <v>6100855</v>
      </c>
      <c r="B297" s="107" t="s">
        <v>411</v>
      </c>
    </row>
    <row r="298" spans="1:2">
      <c r="A298" s="107">
        <v>6100873</v>
      </c>
      <c r="B298" s="107" t="s">
        <v>412</v>
      </c>
    </row>
    <row r="299" spans="1:2">
      <c r="A299" s="107">
        <v>6100877</v>
      </c>
      <c r="B299" s="107" t="s">
        <v>413</v>
      </c>
    </row>
    <row r="300" spans="1:2">
      <c r="A300" s="107">
        <v>6100878</v>
      </c>
      <c r="B300" s="107" t="s">
        <v>414</v>
      </c>
    </row>
    <row r="301" spans="1:2">
      <c r="A301" s="107">
        <v>6100879</v>
      </c>
      <c r="B301" s="107" t="s">
        <v>415</v>
      </c>
    </row>
    <row r="302" spans="1:2">
      <c r="A302" s="107">
        <v>6100929</v>
      </c>
      <c r="B302" s="107" t="s">
        <v>416</v>
      </c>
    </row>
    <row r="303" spans="1:2">
      <c r="A303" s="107">
        <v>6100965</v>
      </c>
      <c r="B303" s="107" t="s">
        <v>417</v>
      </c>
    </row>
    <row r="304" spans="1:2">
      <c r="A304" s="107">
        <v>6101006</v>
      </c>
      <c r="B304" s="107" t="s">
        <v>418</v>
      </c>
    </row>
    <row r="305" spans="1:2">
      <c r="A305" s="107">
        <v>6101023</v>
      </c>
      <c r="B305" s="107" t="s">
        <v>419</v>
      </c>
    </row>
    <row r="306" spans="1:2">
      <c r="A306" s="107">
        <v>6101064</v>
      </c>
      <c r="B306" s="107" t="s">
        <v>420</v>
      </c>
    </row>
    <row r="307" spans="1:2">
      <c r="A307" s="107">
        <v>6101068</v>
      </c>
      <c r="B307" s="107" t="s">
        <v>421</v>
      </c>
    </row>
    <row r="308" spans="1:2">
      <c r="A308" s="107">
        <v>6101109</v>
      </c>
      <c r="B308" s="107" t="s">
        <v>422</v>
      </c>
    </row>
    <row r="309" spans="1:2">
      <c r="A309" s="107">
        <v>6101118</v>
      </c>
      <c r="B309" s="107" t="s">
        <v>423</v>
      </c>
    </row>
    <row r="310" spans="1:2">
      <c r="A310" s="107">
        <v>6101134</v>
      </c>
      <c r="B310" s="107" t="s">
        <v>424</v>
      </c>
    </row>
    <row r="311" spans="1:2">
      <c r="A311" s="107">
        <v>6101197</v>
      </c>
      <c r="B311" s="107" t="s">
        <v>425</v>
      </c>
    </row>
    <row r="312" spans="1:2">
      <c r="A312" s="107">
        <v>6101215</v>
      </c>
      <c r="B312" s="107" t="s">
        <v>426</v>
      </c>
    </row>
    <row r="313" spans="1:2">
      <c r="A313" s="107">
        <v>6101219</v>
      </c>
      <c r="B313" s="107" t="s">
        <v>427</v>
      </c>
    </row>
    <row r="314" spans="1:2">
      <c r="A314" s="107">
        <v>6101221</v>
      </c>
      <c r="B314" s="107" t="s">
        <v>428</v>
      </c>
    </row>
    <row r="315" spans="1:2">
      <c r="A315" s="107">
        <v>6101233</v>
      </c>
      <c r="B315" s="107" t="s">
        <v>429</v>
      </c>
    </row>
    <row r="316" spans="1:2">
      <c r="A316" s="107">
        <v>6101250</v>
      </c>
      <c r="B316" s="107" t="s">
        <v>430</v>
      </c>
    </row>
    <row r="317" spans="1:2">
      <c r="A317" s="107">
        <v>6101253</v>
      </c>
      <c r="B317" s="107" t="s">
        <v>431</v>
      </c>
    </row>
    <row r="318" spans="1:2">
      <c r="A318" s="107">
        <v>6101258</v>
      </c>
      <c r="B318" s="107" t="s">
        <v>432</v>
      </c>
    </row>
    <row r="319" spans="1:2">
      <c r="A319" s="107">
        <v>6101259</v>
      </c>
      <c r="B319" s="107" t="s">
        <v>433</v>
      </c>
    </row>
    <row r="320" spans="1:2">
      <c r="A320" s="107">
        <v>6101261</v>
      </c>
      <c r="B320" s="107" t="s">
        <v>434</v>
      </c>
    </row>
    <row r="321" spans="1:2">
      <c r="A321" s="107">
        <v>6101262</v>
      </c>
      <c r="B321" s="107" t="s">
        <v>302</v>
      </c>
    </row>
    <row r="322" spans="1:2">
      <c r="A322" s="107">
        <v>6101265</v>
      </c>
      <c r="B322" s="107" t="s">
        <v>435</v>
      </c>
    </row>
    <row r="323" spans="1:2">
      <c r="A323" s="107">
        <v>6101266</v>
      </c>
      <c r="B323" s="107" t="s">
        <v>436</v>
      </c>
    </row>
    <row r="324" spans="1:2">
      <c r="A324" s="107">
        <v>6101268</v>
      </c>
      <c r="B324" s="107" t="s">
        <v>437</v>
      </c>
    </row>
    <row r="325" spans="1:2">
      <c r="A325" s="107">
        <v>6101275</v>
      </c>
      <c r="B325" s="107" t="s">
        <v>438</v>
      </c>
    </row>
    <row r="326" spans="1:2">
      <c r="A326" s="107">
        <v>6101276</v>
      </c>
      <c r="B326" s="107" t="s">
        <v>439</v>
      </c>
    </row>
    <row r="327" spans="1:2">
      <c r="A327" s="107">
        <v>6101277</v>
      </c>
      <c r="B327" s="107" t="s">
        <v>440</v>
      </c>
    </row>
    <row r="328" spans="1:2">
      <c r="A328" s="107">
        <v>6101278</v>
      </c>
      <c r="B328" s="107" t="s">
        <v>441</v>
      </c>
    </row>
    <row r="329" spans="1:2">
      <c r="A329" s="107">
        <v>6101279</v>
      </c>
      <c r="B329" s="107" t="s">
        <v>442</v>
      </c>
    </row>
    <row r="330" spans="1:2">
      <c r="A330" s="107">
        <v>6101280</v>
      </c>
      <c r="B330" s="107" t="s">
        <v>443</v>
      </c>
    </row>
    <row r="331" spans="1:2">
      <c r="A331" s="107">
        <v>6101281</v>
      </c>
      <c r="B331" s="107" t="s">
        <v>444</v>
      </c>
    </row>
    <row r="332" spans="1:2">
      <c r="A332" s="107">
        <v>6101283</v>
      </c>
      <c r="B332" s="107" t="s">
        <v>445</v>
      </c>
    </row>
    <row r="333" spans="1:2">
      <c r="A333" s="107">
        <v>6101284</v>
      </c>
      <c r="B333" s="107" t="s">
        <v>446</v>
      </c>
    </row>
    <row r="334" spans="1:2">
      <c r="A334" s="107">
        <v>6101285</v>
      </c>
      <c r="B334" s="107" t="s">
        <v>447</v>
      </c>
    </row>
    <row r="335" spans="1:2">
      <c r="A335" s="107">
        <v>6101287</v>
      </c>
      <c r="B335" s="107" t="s">
        <v>448</v>
      </c>
    </row>
    <row r="336" spans="1:2">
      <c r="A336" s="107">
        <v>6101288</v>
      </c>
      <c r="B336" s="107" t="s">
        <v>449</v>
      </c>
    </row>
    <row r="337" spans="1:2">
      <c r="A337" s="107">
        <v>6101289</v>
      </c>
      <c r="B337" s="107" t="s">
        <v>450</v>
      </c>
    </row>
    <row r="338" spans="1:2">
      <c r="A338" s="107">
        <v>6101291</v>
      </c>
      <c r="B338" s="107" t="s">
        <v>451</v>
      </c>
    </row>
    <row r="339" spans="1:2">
      <c r="A339" s="107">
        <v>6101292</v>
      </c>
      <c r="B339" s="107" t="s">
        <v>452</v>
      </c>
    </row>
    <row r="340" spans="1:2">
      <c r="A340" s="107">
        <v>6101293</v>
      </c>
      <c r="B340" s="107" t="s">
        <v>453</v>
      </c>
    </row>
    <row r="341" spans="1:2">
      <c r="A341" s="107">
        <v>6101294</v>
      </c>
      <c r="B341" s="107" t="s">
        <v>454</v>
      </c>
    </row>
    <row r="342" spans="1:2">
      <c r="A342" s="107">
        <v>6101295</v>
      </c>
      <c r="B342" s="107" t="s">
        <v>309</v>
      </c>
    </row>
    <row r="343" spans="1:2">
      <c r="A343" s="107">
        <v>6101296</v>
      </c>
      <c r="B343" s="107" t="s">
        <v>455</v>
      </c>
    </row>
    <row r="344" spans="1:2">
      <c r="A344" s="107">
        <v>6101297</v>
      </c>
      <c r="B344" s="107" t="s">
        <v>456</v>
      </c>
    </row>
    <row r="345" spans="1:2">
      <c r="A345" s="107">
        <v>6101298</v>
      </c>
      <c r="B345" s="107" t="s">
        <v>457</v>
      </c>
    </row>
    <row r="346" spans="1:2">
      <c r="A346" s="107">
        <v>6101299</v>
      </c>
      <c r="B346" s="107" t="s">
        <v>458</v>
      </c>
    </row>
    <row r="347" spans="1:2">
      <c r="A347" s="107">
        <v>6101300</v>
      </c>
      <c r="B347" s="107" t="s">
        <v>459</v>
      </c>
    </row>
    <row r="348" spans="1:2">
      <c r="A348" s="107">
        <v>6101301</v>
      </c>
      <c r="B348" s="107" t="s">
        <v>460</v>
      </c>
    </row>
    <row r="349" spans="1:2">
      <c r="A349" s="107">
        <v>6101302</v>
      </c>
      <c r="B349" s="107" t="s">
        <v>461</v>
      </c>
    </row>
    <row r="350" spans="1:2">
      <c r="A350" s="107">
        <v>6101303</v>
      </c>
      <c r="B350" s="107" t="s">
        <v>462</v>
      </c>
    </row>
    <row r="351" spans="1:2">
      <c r="A351" s="107">
        <v>6101304</v>
      </c>
      <c r="B351" s="107" t="s">
        <v>463</v>
      </c>
    </row>
    <row r="352" spans="1:2">
      <c r="A352" s="107">
        <v>6101305</v>
      </c>
      <c r="B352" s="107" t="s">
        <v>464</v>
      </c>
    </row>
    <row r="353" spans="1:2">
      <c r="A353" s="107">
        <v>6101306</v>
      </c>
      <c r="B353" s="107" t="s">
        <v>465</v>
      </c>
    </row>
    <row r="354" spans="1:2">
      <c r="A354" s="107">
        <v>6101307</v>
      </c>
      <c r="B354" s="107" t="s">
        <v>466</v>
      </c>
    </row>
    <row r="355" spans="1:2">
      <c r="A355" s="107">
        <v>6101308</v>
      </c>
      <c r="B355" s="107" t="s">
        <v>467</v>
      </c>
    </row>
    <row r="356" spans="1:2">
      <c r="A356" s="107">
        <v>6101309</v>
      </c>
      <c r="B356" s="107" t="s">
        <v>468</v>
      </c>
    </row>
    <row r="357" spans="1:2">
      <c r="A357" s="107">
        <v>6101310</v>
      </c>
      <c r="B357" s="107" t="s">
        <v>469</v>
      </c>
    </row>
    <row r="358" spans="1:2">
      <c r="A358" s="107">
        <v>6101311</v>
      </c>
      <c r="B358" s="107" t="s">
        <v>470</v>
      </c>
    </row>
    <row r="359" spans="1:2">
      <c r="A359" s="107">
        <v>6101312</v>
      </c>
      <c r="B359" s="107" t="s">
        <v>471</v>
      </c>
    </row>
    <row r="360" spans="1:2">
      <c r="A360" s="107">
        <v>6101313</v>
      </c>
      <c r="B360" s="107" t="s">
        <v>472</v>
      </c>
    </row>
    <row r="361" spans="1:2">
      <c r="A361" s="107">
        <v>6101314</v>
      </c>
      <c r="B361" s="107" t="s">
        <v>473</v>
      </c>
    </row>
    <row r="362" spans="1:2">
      <c r="A362" s="107">
        <v>6101315</v>
      </c>
      <c r="B362" s="107" t="s">
        <v>474</v>
      </c>
    </row>
    <row r="363" spans="1:2">
      <c r="A363" s="107">
        <v>6101317</v>
      </c>
      <c r="B363" s="107" t="s">
        <v>475</v>
      </c>
    </row>
    <row r="364" spans="1:2">
      <c r="A364" s="107">
        <v>6101318</v>
      </c>
      <c r="B364" s="107" t="s">
        <v>476</v>
      </c>
    </row>
    <row r="365" spans="1:2">
      <c r="A365" s="107">
        <v>6101319</v>
      </c>
      <c r="B365" s="107" t="s">
        <v>477</v>
      </c>
    </row>
    <row r="366" spans="1:2">
      <c r="A366" s="107">
        <v>6101320</v>
      </c>
      <c r="B366" s="107" t="s">
        <v>478</v>
      </c>
    </row>
    <row r="367" spans="1:2">
      <c r="A367" s="107">
        <v>6101321</v>
      </c>
      <c r="B367" s="107" t="s">
        <v>350</v>
      </c>
    </row>
    <row r="368" spans="1:2">
      <c r="A368" s="107">
        <v>6101322</v>
      </c>
      <c r="B368" s="107" t="s">
        <v>479</v>
      </c>
    </row>
    <row r="369" spans="1:2">
      <c r="A369" s="107">
        <v>6101323</v>
      </c>
      <c r="B369" s="107" t="s">
        <v>480</v>
      </c>
    </row>
    <row r="370" spans="1:2">
      <c r="A370" s="107">
        <v>6101324</v>
      </c>
      <c r="B370" s="107" t="s">
        <v>481</v>
      </c>
    </row>
    <row r="371" spans="1:2">
      <c r="A371" s="107">
        <v>6101325</v>
      </c>
      <c r="B371" s="107" t="s">
        <v>482</v>
      </c>
    </row>
    <row r="372" spans="1:2">
      <c r="A372" s="107">
        <v>6101326</v>
      </c>
      <c r="B372" s="107" t="s">
        <v>483</v>
      </c>
    </row>
    <row r="373" spans="1:2">
      <c r="A373" s="107">
        <v>6101328</v>
      </c>
      <c r="B373" s="107" t="s">
        <v>484</v>
      </c>
    </row>
    <row r="374" spans="1:2">
      <c r="A374" s="107">
        <v>6101329</v>
      </c>
      <c r="B374" s="107" t="s">
        <v>484</v>
      </c>
    </row>
    <row r="375" spans="1:2">
      <c r="A375" s="107">
        <v>6101330</v>
      </c>
      <c r="B375" s="107" t="s">
        <v>485</v>
      </c>
    </row>
    <row r="376" spans="1:2">
      <c r="A376" s="107">
        <v>6101331</v>
      </c>
      <c r="B376" s="107" t="s">
        <v>486</v>
      </c>
    </row>
    <row r="377" spans="1:2">
      <c r="A377" s="107">
        <v>6101332</v>
      </c>
      <c r="B377" s="107" t="s">
        <v>421</v>
      </c>
    </row>
    <row r="378" spans="1:2">
      <c r="A378" s="107">
        <v>6101333</v>
      </c>
      <c r="B378" s="107" t="s">
        <v>487</v>
      </c>
    </row>
    <row r="379" spans="1:2">
      <c r="A379" s="107">
        <v>6101334</v>
      </c>
      <c r="B379" s="107" t="s">
        <v>488</v>
      </c>
    </row>
    <row r="380" spans="1:2">
      <c r="A380" s="107">
        <v>6101335</v>
      </c>
      <c r="B380" s="107" t="s">
        <v>489</v>
      </c>
    </row>
    <row r="381" spans="1:2">
      <c r="A381" s="107">
        <v>6101336</v>
      </c>
      <c r="B381" s="107" t="s">
        <v>490</v>
      </c>
    </row>
    <row r="382" spans="1:2">
      <c r="A382" s="107">
        <v>6101337</v>
      </c>
      <c r="B382" s="107" t="s">
        <v>491</v>
      </c>
    </row>
    <row r="383" spans="1:2">
      <c r="A383" s="107">
        <v>6101338</v>
      </c>
      <c r="B383" s="107" t="s">
        <v>471</v>
      </c>
    </row>
    <row r="384" spans="1:2">
      <c r="A384" s="107">
        <v>6101339</v>
      </c>
      <c r="B384" s="107" t="s">
        <v>492</v>
      </c>
    </row>
    <row r="385" spans="1:2">
      <c r="A385" s="107">
        <v>6101340</v>
      </c>
      <c r="B385" s="107" t="s">
        <v>493</v>
      </c>
    </row>
    <row r="386" spans="1:2">
      <c r="A386" s="107">
        <v>6101341</v>
      </c>
      <c r="B386" s="107" t="s">
        <v>494</v>
      </c>
    </row>
    <row r="387" spans="1:2">
      <c r="A387" s="107">
        <v>6101342</v>
      </c>
      <c r="B387" s="107" t="s">
        <v>365</v>
      </c>
    </row>
    <row r="388" spans="1:2">
      <c r="A388" s="107">
        <v>6101343</v>
      </c>
      <c r="B388" s="107" t="s">
        <v>495</v>
      </c>
    </row>
    <row r="389" spans="1:2">
      <c r="A389" s="107">
        <v>6101344</v>
      </c>
      <c r="B389" s="107" t="s">
        <v>496</v>
      </c>
    </row>
    <row r="390" spans="1:2">
      <c r="A390" s="107">
        <v>6101345</v>
      </c>
      <c r="B390" s="107" t="s">
        <v>497</v>
      </c>
    </row>
    <row r="391" spans="1:2">
      <c r="A391" s="107">
        <v>6101346</v>
      </c>
      <c r="B391" s="107" t="s">
        <v>498</v>
      </c>
    </row>
    <row r="392" spans="1:2">
      <c r="A392" s="107">
        <v>6101347</v>
      </c>
      <c r="B392" s="107" t="s">
        <v>499</v>
      </c>
    </row>
    <row r="393" spans="1:2">
      <c r="A393" s="107">
        <v>6101348</v>
      </c>
      <c r="B393" s="107" t="s">
        <v>500</v>
      </c>
    </row>
    <row r="394" spans="1:2">
      <c r="A394" s="107">
        <v>6101349</v>
      </c>
      <c r="B394" s="107" t="s">
        <v>501</v>
      </c>
    </row>
    <row r="395" spans="1:2">
      <c r="A395" s="107">
        <v>6101350</v>
      </c>
      <c r="B395" s="107" t="s">
        <v>502</v>
      </c>
    </row>
    <row r="396" spans="1:2">
      <c r="A396" s="107">
        <v>6101351</v>
      </c>
      <c r="B396" s="107" t="s">
        <v>503</v>
      </c>
    </row>
    <row r="397" spans="1:2">
      <c r="A397" s="107">
        <v>6101352</v>
      </c>
      <c r="B397" s="107" t="s">
        <v>504</v>
      </c>
    </row>
    <row r="398" spans="1:2">
      <c r="A398" s="107">
        <v>6101353</v>
      </c>
      <c r="B398" s="107" t="s">
        <v>505</v>
      </c>
    </row>
    <row r="399" spans="1:2">
      <c r="A399" s="107">
        <v>6101354</v>
      </c>
      <c r="B399" s="107" t="s">
        <v>506</v>
      </c>
    </row>
    <row r="400" spans="1:2">
      <c r="A400" s="107">
        <v>6101355</v>
      </c>
      <c r="B400" s="107" t="s">
        <v>507</v>
      </c>
    </row>
    <row r="401" spans="1:2">
      <c r="A401" s="107">
        <v>6101356</v>
      </c>
      <c r="B401" s="107" t="s">
        <v>309</v>
      </c>
    </row>
    <row r="402" spans="1:2">
      <c r="A402" s="107">
        <v>6101357</v>
      </c>
      <c r="B402" s="107" t="s">
        <v>392</v>
      </c>
    </row>
    <row r="403" spans="1:2">
      <c r="A403" s="107">
        <v>6101358</v>
      </c>
      <c r="B403" s="107" t="s">
        <v>508</v>
      </c>
    </row>
    <row r="404" spans="1:2">
      <c r="A404" s="107">
        <v>6101359</v>
      </c>
      <c r="B404" s="107" t="s">
        <v>509</v>
      </c>
    </row>
    <row r="405" spans="1:2">
      <c r="A405" s="107">
        <v>6101360</v>
      </c>
      <c r="B405" s="107" t="s">
        <v>510</v>
      </c>
    </row>
    <row r="406" spans="1:2">
      <c r="A406" s="107">
        <v>6101361</v>
      </c>
      <c r="B406" s="107" t="s">
        <v>511</v>
      </c>
    </row>
    <row r="407" spans="1:2">
      <c r="A407" s="107">
        <v>6101362</v>
      </c>
      <c r="B407" s="107" t="s">
        <v>512</v>
      </c>
    </row>
    <row r="408" spans="1:2">
      <c r="A408" s="107">
        <v>6101363</v>
      </c>
      <c r="B408" s="107" t="s">
        <v>513</v>
      </c>
    </row>
    <row r="409" spans="1:2">
      <c r="A409" s="107">
        <v>6101364</v>
      </c>
      <c r="B409" s="107" t="s">
        <v>514</v>
      </c>
    </row>
    <row r="410" spans="1:2">
      <c r="A410" s="107">
        <v>6101365</v>
      </c>
      <c r="B410" s="107" t="s">
        <v>515</v>
      </c>
    </row>
    <row r="411" spans="1:2">
      <c r="A411" s="107">
        <v>6101366</v>
      </c>
      <c r="B411" s="107" t="s">
        <v>516</v>
      </c>
    </row>
    <row r="412" spans="1:2">
      <c r="A412" s="107">
        <v>6101367</v>
      </c>
      <c r="B412" s="107" t="s">
        <v>517</v>
      </c>
    </row>
    <row r="413" spans="1:2">
      <c r="A413" s="107">
        <v>6101368</v>
      </c>
      <c r="B413" s="107" t="s">
        <v>518</v>
      </c>
    </row>
    <row r="414" spans="1:2">
      <c r="A414" s="107">
        <v>6101369</v>
      </c>
      <c r="B414" s="107" t="s">
        <v>519</v>
      </c>
    </row>
    <row r="415" spans="1:2">
      <c r="A415" s="107">
        <v>6101370</v>
      </c>
      <c r="B415" s="107" t="s">
        <v>520</v>
      </c>
    </row>
    <row r="416" spans="1:2">
      <c r="A416" s="107">
        <v>6101371</v>
      </c>
      <c r="B416" s="107" t="s">
        <v>521</v>
      </c>
    </row>
    <row r="417" spans="1:2">
      <c r="A417" s="107">
        <v>6101372</v>
      </c>
      <c r="B417" s="107" t="s">
        <v>522</v>
      </c>
    </row>
    <row r="418" spans="1:2">
      <c r="A418" s="107">
        <v>6101373</v>
      </c>
      <c r="B418" s="107" t="s">
        <v>523</v>
      </c>
    </row>
    <row r="419" spans="1:2">
      <c r="A419" s="107">
        <v>6101374</v>
      </c>
      <c r="B419" s="107" t="s">
        <v>524</v>
      </c>
    </row>
    <row r="420" spans="1:2">
      <c r="A420" s="107">
        <v>6101375</v>
      </c>
      <c r="B420" s="107" t="s">
        <v>525</v>
      </c>
    </row>
    <row r="421" spans="1:2">
      <c r="A421" s="107">
        <v>6101377</v>
      </c>
      <c r="B421" s="107" t="s">
        <v>526</v>
      </c>
    </row>
    <row r="422" spans="1:2">
      <c r="A422" s="107">
        <v>6101378</v>
      </c>
      <c r="B422" s="107" t="s">
        <v>527</v>
      </c>
    </row>
    <row r="423" spans="1:2">
      <c r="A423" s="107">
        <v>6101379</v>
      </c>
      <c r="B423" s="107" t="s">
        <v>528</v>
      </c>
    </row>
    <row r="424" spans="1:2">
      <c r="A424" s="107">
        <v>6101380</v>
      </c>
      <c r="B424" s="107" t="s">
        <v>529</v>
      </c>
    </row>
    <row r="425" spans="1:2">
      <c r="A425" s="107">
        <v>6101381</v>
      </c>
      <c r="B425" s="107" t="s">
        <v>530</v>
      </c>
    </row>
    <row r="426" spans="1:2">
      <c r="A426" s="107">
        <v>6101382</v>
      </c>
      <c r="B426" s="107" t="s">
        <v>531</v>
      </c>
    </row>
    <row r="427" spans="1:2">
      <c r="A427" s="107">
        <v>6101383</v>
      </c>
      <c r="B427" s="107" t="s">
        <v>532</v>
      </c>
    </row>
    <row r="428" spans="1:2">
      <c r="A428" s="107">
        <v>6101384</v>
      </c>
      <c r="B428" s="107" t="s">
        <v>533</v>
      </c>
    </row>
    <row r="429" spans="1:2">
      <c r="A429" s="107">
        <v>6101385</v>
      </c>
      <c r="B429" s="107" t="s">
        <v>534</v>
      </c>
    </row>
    <row r="430" spans="1:2">
      <c r="A430" s="107">
        <v>6101386</v>
      </c>
      <c r="B430" s="107" t="s">
        <v>535</v>
      </c>
    </row>
    <row r="431" spans="1:2">
      <c r="A431" s="107">
        <v>6101387</v>
      </c>
      <c r="B431" s="107" t="s">
        <v>536</v>
      </c>
    </row>
    <row r="432" spans="1:2">
      <c r="A432" s="107">
        <v>6101388</v>
      </c>
      <c r="B432" s="107" t="s">
        <v>537</v>
      </c>
    </row>
    <row r="433" spans="1:2">
      <c r="A433" s="107">
        <v>6101389</v>
      </c>
      <c r="B433" s="107" t="s">
        <v>538</v>
      </c>
    </row>
    <row r="434" spans="1:2">
      <c r="A434" s="107">
        <v>6101390</v>
      </c>
      <c r="B434" s="107" t="s">
        <v>539</v>
      </c>
    </row>
    <row r="435" spans="1:2">
      <c r="A435" s="107">
        <v>6101391</v>
      </c>
      <c r="B435" s="107" t="s">
        <v>540</v>
      </c>
    </row>
    <row r="436" spans="1:2">
      <c r="A436" s="107">
        <v>6101392</v>
      </c>
      <c r="B436" s="107" t="s">
        <v>541</v>
      </c>
    </row>
    <row r="437" spans="1:2">
      <c r="A437" s="107">
        <v>6101393</v>
      </c>
      <c r="B437" s="107" t="s">
        <v>542</v>
      </c>
    </row>
    <row r="438" spans="1:2">
      <c r="A438" s="107">
        <v>6101394</v>
      </c>
      <c r="B438" s="107" t="s">
        <v>543</v>
      </c>
    </row>
    <row r="439" spans="1:2">
      <c r="A439" s="107">
        <v>6101395</v>
      </c>
      <c r="B439" s="107" t="s">
        <v>544</v>
      </c>
    </row>
    <row r="440" spans="1:2">
      <c r="A440" s="107">
        <v>6101396</v>
      </c>
      <c r="B440" s="107" t="s">
        <v>545</v>
      </c>
    </row>
    <row r="441" spans="1:2">
      <c r="A441" s="107">
        <v>6101397</v>
      </c>
      <c r="B441" s="107" t="s">
        <v>546</v>
      </c>
    </row>
    <row r="442" spans="1:2">
      <c r="A442" s="107">
        <v>6101398</v>
      </c>
      <c r="B442" s="107" t="s">
        <v>547</v>
      </c>
    </row>
    <row r="443" spans="1:2">
      <c r="A443" s="107">
        <v>6101399</v>
      </c>
      <c r="B443" s="107" t="s">
        <v>548</v>
      </c>
    </row>
    <row r="444" spans="1:2">
      <c r="A444" s="107">
        <v>6101400</v>
      </c>
      <c r="B444" s="107" t="s">
        <v>549</v>
      </c>
    </row>
    <row r="445" spans="1:2">
      <c r="A445" s="107">
        <v>6101401</v>
      </c>
      <c r="B445" s="107" t="s">
        <v>550</v>
      </c>
    </row>
    <row r="446" spans="1:2">
      <c r="A446" s="107">
        <v>6101402</v>
      </c>
      <c r="B446" s="107" t="s">
        <v>551</v>
      </c>
    </row>
    <row r="447" spans="1:2">
      <c r="A447" s="107">
        <v>6101403</v>
      </c>
      <c r="B447" s="107" t="s">
        <v>552</v>
      </c>
    </row>
    <row r="448" spans="1:2">
      <c r="A448" s="107">
        <v>6101404</v>
      </c>
      <c r="B448" s="107" t="s">
        <v>553</v>
      </c>
    </row>
    <row r="449" spans="1:2">
      <c r="A449" s="107">
        <v>6101405</v>
      </c>
      <c r="B449" s="107" t="s">
        <v>554</v>
      </c>
    </row>
    <row r="450" spans="1:2">
      <c r="A450" s="107">
        <v>6101406</v>
      </c>
      <c r="B450" s="107" t="s">
        <v>555</v>
      </c>
    </row>
    <row r="451" spans="1:2">
      <c r="A451" s="107">
        <v>6101407</v>
      </c>
      <c r="B451" s="107" t="s">
        <v>556</v>
      </c>
    </row>
    <row r="452" spans="1:2">
      <c r="A452" s="107">
        <v>6101408</v>
      </c>
      <c r="B452" s="107" t="s">
        <v>557</v>
      </c>
    </row>
    <row r="453" spans="1:2">
      <c r="A453" s="107">
        <v>6101409</v>
      </c>
      <c r="B453" s="107" t="s">
        <v>558</v>
      </c>
    </row>
    <row r="454" spans="1:2">
      <c r="A454" s="107">
        <v>6101410</v>
      </c>
      <c r="B454" s="107" t="s">
        <v>559</v>
      </c>
    </row>
    <row r="455" spans="1:2">
      <c r="A455" s="107">
        <v>6101411</v>
      </c>
      <c r="B455" s="107" t="s">
        <v>560</v>
      </c>
    </row>
    <row r="456" spans="1:2">
      <c r="A456" s="107">
        <v>6101412</v>
      </c>
      <c r="B456" s="107" t="s">
        <v>561</v>
      </c>
    </row>
    <row r="457" spans="1:2">
      <c r="A457" s="107">
        <v>6101413</v>
      </c>
      <c r="B457" s="107" t="s">
        <v>562</v>
      </c>
    </row>
    <row r="458" spans="1:2">
      <c r="A458" s="107">
        <v>6101414</v>
      </c>
      <c r="B458" s="107" t="s">
        <v>563</v>
      </c>
    </row>
    <row r="459" spans="1:2">
      <c r="A459" s="107">
        <v>6101415</v>
      </c>
      <c r="B459" s="107" t="s">
        <v>564</v>
      </c>
    </row>
    <row r="460" spans="1:2">
      <c r="A460" s="107">
        <v>6101416</v>
      </c>
      <c r="B460" s="107" t="s">
        <v>565</v>
      </c>
    </row>
    <row r="461" spans="1:2">
      <c r="A461" s="107">
        <v>6101417</v>
      </c>
      <c r="B461" s="107" t="s">
        <v>566</v>
      </c>
    </row>
    <row r="462" spans="1:2">
      <c r="A462" s="107">
        <v>6101418</v>
      </c>
      <c r="B462" s="107" t="s">
        <v>567</v>
      </c>
    </row>
    <row r="463" spans="1:2">
      <c r="A463" s="107">
        <v>6101419</v>
      </c>
      <c r="B463" s="107" t="s">
        <v>568</v>
      </c>
    </row>
    <row r="464" spans="1:2">
      <c r="A464" s="107">
        <v>6101420</v>
      </c>
      <c r="B464" s="107" t="s">
        <v>569</v>
      </c>
    </row>
    <row r="465" spans="1:2">
      <c r="A465" s="107">
        <v>6101421</v>
      </c>
      <c r="B465" s="107" t="s">
        <v>570</v>
      </c>
    </row>
    <row r="466" spans="1:2">
      <c r="A466" s="107">
        <v>6101422</v>
      </c>
      <c r="B466" s="107" t="s">
        <v>571</v>
      </c>
    </row>
    <row r="467" spans="1:2">
      <c r="A467" s="107">
        <v>6101423</v>
      </c>
      <c r="B467" s="107" t="s">
        <v>572</v>
      </c>
    </row>
    <row r="468" spans="1:2">
      <c r="A468" s="107">
        <v>6101424</v>
      </c>
      <c r="B468" s="107" t="s">
        <v>573</v>
      </c>
    </row>
    <row r="469" spans="1:2">
      <c r="A469" s="107">
        <v>6101425</v>
      </c>
      <c r="B469" s="107" t="s">
        <v>574</v>
      </c>
    </row>
    <row r="470" spans="1:2">
      <c r="A470" s="107">
        <v>6101426</v>
      </c>
      <c r="B470" s="107" t="s">
        <v>575</v>
      </c>
    </row>
    <row r="471" spans="1:2">
      <c r="A471" s="107">
        <v>6101427</v>
      </c>
      <c r="B471" s="107" t="s">
        <v>576</v>
      </c>
    </row>
    <row r="472" spans="1:2">
      <c r="A472" s="107">
        <v>6101428</v>
      </c>
      <c r="B472" s="107" t="s">
        <v>577</v>
      </c>
    </row>
    <row r="473" spans="1:2">
      <c r="A473" s="107">
        <v>6101429</v>
      </c>
      <c r="B473" s="107" t="s">
        <v>578</v>
      </c>
    </row>
    <row r="474" spans="1:2">
      <c r="A474" s="107">
        <v>6101430</v>
      </c>
      <c r="B474" s="107" t="s">
        <v>579</v>
      </c>
    </row>
    <row r="475" spans="1:2">
      <c r="A475" s="107">
        <v>6101431</v>
      </c>
      <c r="B475" s="107" t="s">
        <v>580</v>
      </c>
    </row>
    <row r="476" spans="1:2">
      <c r="A476" s="107">
        <v>6101432</v>
      </c>
      <c r="B476" s="107" t="s">
        <v>581</v>
      </c>
    </row>
    <row r="477" spans="1:2">
      <c r="A477" s="107">
        <v>6101433</v>
      </c>
      <c r="B477" s="107" t="s">
        <v>582</v>
      </c>
    </row>
    <row r="478" spans="1:2">
      <c r="A478" s="107">
        <v>6101434</v>
      </c>
      <c r="B478" s="107" t="s">
        <v>583</v>
      </c>
    </row>
    <row r="479" spans="1:2">
      <c r="A479" s="107">
        <v>6101435</v>
      </c>
      <c r="B479" s="107" t="s">
        <v>584</v>
      </c>
    </row>
    <row r="480" spans="1:2">
      <c r="A480" s="107">
        <v>6101436</v>
      </c>
      <c r="B480" s="107" t="s">
        <v>585</v>
      </c>
    </row>
    <row r="481" spans="1:2">
      <c r="A481" s="107">
        <v>6101437</v>
      </c>
      <c r="B481" s="107" t="s">
        <v>586</v>
      </c>
    </row>
    <row r="482" spans="1:2">
      <c r="A482" s="107">
        <v>6101438</v>
      </c>
      <c r="B482" s="107" t="s">
        <v>587</v>
      </c>
    </row>
    <row r="483" spans="1:2">
      <c r="A483" s="107">
        <v>6101439</v>
      </c>
      <c r="B483" s="107" t="s">
        <v>588</v>
      </c>
    </row>
    <row r="484" spans="1:2">
      <c r="A484" s="107">
        <v>6101440</v>
      </c>
      <c r="B484" s="107" t="s">
        <v>305</v>
      </c>
    </row>
    <row r="485" spans="1:2">
      <c r="A485" s="107">
        <v>6101441</v>
      </c>
      <c r="B485" s="107" t="s">
        <v>589</v>
      </c>
    </row>
    <row r="486" spans="1:2">
      <c r="A486" s="107">
        <v>6101442</v>
      </c>
      <c r="B486" s="107" t="s">
        <v>590</v>
      </c>
    </row>
    <row r="487" spans="1:2">
      <c r="A487" s="107">
        <v>6101443</v>
      </c>
      <c r="B487" s="107" t="s">
        <v>305</v>
      </c>
    </row>
    <row r="488" spans="1:2">
      <c r="A488" s="107">
        <v>6101444</v>
      </c>
      <c r="B488" s="107" t="s">
        <v>591</v>
      </c>
    </row>
    <row r="489" spans="1:2">
      <c r="A489" s="107">
        <v>6101445</v>
      </c>
      <c r="B489" s="107" t="s">
        <v>592</v>
      </c>
    </row>
    <row r="490" spans="1:2">
      <c r="A490" s="107">
        <v>6101446</v>
      </c>
      <c r="B490" s="107" t="s">
        <v>303</v>
      </c>
    </row>
    <row r="491" spans="1:2">
      <c r="A491" s="107">
        <v>6101447</v>
      </c>
      <c r="B491" s="107" t="s">
        <v>593</v>
      </c>
    </row>
    <row r="492" spans="1:2">
      <c r="A492" s="107">
        <v>6101448</v>
      </c>
      <c r="B492" s="107" t="s">
        <v>594</v>
      </c>
    </row>
    <row r="493" spans="1:2">
      <c r="A493" s="107">
        <v>6101449</v>
      </c>
      <c r="B493" s="107" t="s">
        <v>595</v>
      </c>
    </row>
    <row r="494" spans="1:2">
      <c r="A494" s="107">
        <v>6101450</v>
      </c>
      <c r="B494" s="107" t="s">
        <v>596</v>
      </c>
    </row>
    <row r="495" spans="1:2">
      <c r="A495" s="107">
        <v>6101451</v>
      </c>
      <c r="B495" s="107" t="s">
        <v>597</v>
      </c>
    </row>
    <row r="496" spans="1:2">
      <c r="A496" s="107">
        <v>6101452</v>
      </c>
      <c r="B496" s="107" t="s">
        <v>598</v>
      </c>
    </row>
    <row r="497" spans="1:2">
      <c r="A497" s="107">
        <v>6101453</v>
      </c>
      <c r="B497" s="107" t="s">
        <v>599</v>
      </c>
    </row>
    <row r="498" spans="1:2">
      <c r="A498" s="107">
        <v>6101454</v>
      </c>
      <c r="B498" s="107" t="s">
        <v>600</v>
      </c>
    </row>
    <row r="499" spans="1:2">
      <c r="A499" s="107">
        <v>6101455</v>
      </c>
      <c r="B499" s="107" t="s">
        <v>601</v>
      </c>
    </row>
    <row r="500" spans="1:2">
      <c r="A500" s="107">
        <v>6101456</v>
      </c>
      <c r="B500" s="107" t="s">
        <v>602</v>
      </c>
    </row>
    <row r="501" spans="1:2">
      <c r="A501" s="107">
        <v>6101457</v>
      </c>
      <c r="B501" s="107" t="s">
        <v>603</v>
      </c>
    </row>
    <row r="502" spans="1:2">
      <c r="A502" s="107">
        <v>6101458</v>
      </c>
      <c r="B502" s="107" t="s">
        <v>604</v>
      </c>
    </row>
    <row r="503" spans="1:2">
      <c r="A503" s="107">
        <v>6101459</v>
      </c>
      <c r="B503" s="107" t="s">
        <v>605</v>
      </c>
    </row>
    <row r="504" spans="1:2">
      <c r="A504" s="107">
        <v>6101460</v>
      </c>
      <c r="B504" s="107" t="s">
        <v>606</v>
      </c>
    </row>
    <row r="505" spans="1:2">
      <c r="A505" s="107">
        <v>6101461</v>
      </c>
      <c r="B505" s="107" t="s">
        <v>607</v>
      </c>
    </row>
    <row r="506" spans="1:2">
      <c r="A506" s="107">
        <v>6101462</v>
      </c>
      <c r="B506" s="107" t="s">
        <v>608</v>
      </c>
    </row>
    <row r="507" spans="1:2">
      <c r="A507" s="107">
        <v>6101463</v>
      </c>
      <c r="B507" s="107" t="s">
        <v>609</v>
      </c>
    </row>
    <row r="508" spans="1:2">
      <c r="A508" s="107">
        <v>6101464</v>
      </c>
      <c r="B508" s="107" t="s">
        <v>610</v>
      </c>
    </row>
    <row r="509" spans="1:2">
      <c r="A509" s="107">
        <v>6101465</v>
      </c>
      <c r="B509" s="107" t="s">
        <v>611</v>
      </c>
    </row>
    <row r="510" spans="1:2">
      <c r="A510" s="107">
        <v>6101466</v>
      </c>
      <c r="B510" s="107" t="s">
        <v>612</v>
      </c>
    </row>
    <row r="511" spans="1:2">
      <c r="A511" s="107">
        <v>6101467</v>
      </c>
      <c r="B511" s="107" t="s">
        <v>613</v>
      </c>
    </row>
    <row r="512" spans="1:2">
      <c r="A512" s="107">
        <v>6101468</v>
      </c>
      <c r="B512" s="107" t="s">
        <v>614</v>
      </c>
    </row>
    <row r="513" spans="1:2">
      <c r="A513" s="107">
        <v>6101469</v>
      </c>
      <c r="B513" s="107" t="s">
        <v>615</v>
      </c>
    </row>
    <row r="514" spans="1:2">
      <c r="A514" s="107">
        <v>6101470</v>
      </c>
      <c r="B514" s="107" t="s">
        <v>616</v>
      </c>
    </row>
    <row r="515" spans="1:2">
      <c r="A515" s="107">
        <v>6101471</v>
      </c>
      <c r="B515" s="107" t="s">
        <v>617</v>
      </c>
    </row>
    <row r="516" spans="1:2">
      <c r="A516" s="107">
        <v>6101472</v>
      </c>
      <c r="B516" s="107" t="s">
        <v>618</v>
      </c>
    </row>
    <row r="517" spans="1:2">
      <c r="A517" s="107">
        <v>6101473</v>
      </c>
      <c r="B517" s="107" t="s">
        <v>619</v>
      </c>
    </row>
    <row r="518" spans="1:2">
      <c r="A518" s="107">
        <v>6101474</v>
      </c>
      <c r="B518" s="107" t="s">
        <v>620</v>
      </c>
    </row>
    <row r="519" spans="1:2">
      <c r="A519" s="107">
        <v>6101475</v>
      </c>
      <c r="B519" s="107" t="s">
        <v>621</v>
      </c>
    </row>
    <row r="520" spans="1:2">
      <c r="A520" s="107">
        <v>6101476</v>
      </c>
      <c r="B520" s="107" t="s">
        <v>622</v>
      </c>
    </row>
    <row r="521" spans="1:2">
      <c r="A521" s="107">
        <v>6101477</v>
      </c>
      <c r="B521" s="107" t="s">
        <v>623</v>
      </c>
    </row>
    <row r="522" spans="1:2">
      <c r="A522" s="107">
        <v>6101478</v>
      </c>
      <c r="B522" s="107" t="s">
        <v>624</v>
      </c>
    </row>
    <row r="523" spans="1:2">
      <c r="A523" s="107">
        <v>6101479</v>
      </c>
      <c r="B523" s="107" t="s">
        <v>2210</v>
      </c>
    </row>
    <row r="524" spans="1:2">
      <c r="A524" s="107">
        <v>6101480</v>
      </c>
      <c r="B524" s="107" t="s">
        <v>2211</v>
      </c>
    </row>
    <row r="525" spans="1:2">
      <c r="A525" s="107">
        <v>6101481</v>
      </c>
      <c r="B525" s="107" t="s">
        <v>625</v>
      </c>
    </row>
    <row r="526" spans="1:2">
      <c r="A526" s="107">
        <v>6101482</v>
      </c>
      <c r="B526" s="107" t="s">
        <v>626</v>
      </c>
    </row>
    <row r="527" spans="1:2">
      <c r="A527" s="107">
        <v>6101483</v>
      </c>
      <c r="B527" s="107" t="s">
        <v>627</v>
      </c>
    </row>
    <row r="528" spans="1:2">
      <c r="A528" s="107">
        <v>6101484</v>
      </c>
      <c r="B528" s="107" t="s">
        <v>628</v>
      </c>
    </row>
    <row r="529" spans="1:2">
      <c r="A529" s="107">
        <v>6101485</v>
      </c>
      <c r="B529" s="107" t="s">
        <v>629</v>
      </c>
    </row>
    <row r="530" spans="1:2">
      <c r="A530" s="107">
        <v>6101486</v>
      </c>
      <c r="B530" s="107" t="s">
        <v>630</v>
      </c>
    </row>
    <row r="531" spans="1:2">
      <c r="A531" s="107">
        <v>6101487</v>
      </c>
      <c r="B531" s="107" t="s">
        <v>631</v>
      </c>
    </row>
    <row r="532" spans="1:2">
      <c r="A532" s="107">
        <v>6101488</v>
      </c>
      <c r="B532" s="107" t="s">
        <v>632</v>
      </c>
    </row>
    <row r="533" spans="1:2">
      <c r="A533" s="107">
        <v>6101489</v>
      </c>
      <c r="B533" s="107" t="s">
        <v>633</v>
      </c>
    </row>
    <row r="534" spans="1:2">
      <c r="A534" s="107">
        <v>6101490</v>
      </c>
      <c r="B534" s="107" t="s">
        <v>310</v>
      </c>
    </row>
    <row r="535" spans="1:2">
      <c r="A535" s="107">
        <v>6101491</v>
      </c>
      <c r="B535" s="107" t="s">
        <v>634</v>
      </c>
    </row>
    <row r="536" spans="1:2">
      <c r="A536" s="107">
        <v>6101492</v>
      </c>
      <c r="B536" s="107" t="s">
        <v>635</v>
      </c>
    </row>
    <row r="537" spans="1:2">
      <c r="A537" s="107">
        <v>6101493</v>
      </c>
      <c r="B537" s="107" t="s">
        <v>636</v>
      </c>
    </row>
    <row r="538" spans="1:2">
      <c r="A538" s="107">
        <v>6101494</v>
      </c>
      <c r="B538" s="107" t="s">
        <v>637</v>
      </c>
    </row>
    <row r="539" spans="1:2">
      <c r="A539" s="107">
        <v>6101495</v>
      </c>
      <c r="B539" s="107" t="s">
        <v>638</v>
      </c>
    </row>
    <row r="540" spans="1:2">
      <c r="A540" s="107">
        <v>6101496</v>
      </c>
      <c r="B540" s="107" t="s">
        <v>336</v>
      </c>
    </row>
    <row r="541" spans="1:2">
      <c r="A541" s="107">
        <v>6101497</v>
      </c>
      <c r="B541" s="107" t="s">
        <v>639</v>
      </c>
    </row>
    <row r="542" spans="1:2">
      <c r="A542" s="107">
        <v>6101498</v>
      </c>
      <c r="B542" s="107" t="s">
        <v>640</v>
      </c>
    </row>
    <row r="543" spans="1:2">
      <c r="A543" s="107">
        <v>6101499</v>
      </c>
      <c r="B543" s="107" t="s">
        <v>641</v>
      </c>
    </row>
    <row r="544" spans="1:2">
      <c r="A544" s="107">
        <v>6101500</v>
      </c>
      <c r="B544" s="107" t="s">
        <v>642</v>
      </c>
    </row>
    <row r="545" spans="1:2">
      <c r="A545" s="107">
        <v>6101501</v>
      </c>
      <c r="B545" s="107" t="s">
        <v>643</v>
      </c>
    </row>
    <row r="546" spans="1:2">
      <c r="A546" s="107">
        <v>6101502</v>
      </c>
      <c r="B546" s="107" t="s">
        <v>644</v>
      </c>
    </row>
    <row r="547" spans="1:2">
      <c r="A547" s="107">
        <v>6101503</v>
      </c>
      <c r="B547" s="107" t="s">
        <v>645</v>
      </c>
    </row>
    <row r="548" spans="1:2">
      <c r="A548" s="107">
        <v>6101504</v>
      </c>
      <c r="B548" s="107" t="s">
        <v>646</v>
      </c>
    </row>
    <row r="549" spans="1:2">
      <c r="A549" s="107">
        <v>6101505</v>
      </c>
      <c r="B549" s="107" t="s">
        <v>647</v>
      </c>
    </row>
    <row r="550" spans="1:2">
      <c r="A550" s="107">
        <v>6101506</v>
      </c>
      <c r="B550" s="107" t="s">
        <v>648</v>
      </c>
    </row>
    <row r="551" spans="1:2">
      <c r="A551" s="107">
        <v>6101507</v>
      </c>
      <c r="B551" s="107" t="s">
        <v>649</v>
      </c>
    </row>
    <row r="552" spans="1:2">
      <c r="A552" s="107">
        <v>6101508</v>
      </c>
      <c r="B552" s="107" t="s">
        <v>648</v>
      </c>
    </row>
    <row r="553" spans="1:2">
      <c r="A553" s="107">
        <v>6101509</v>
      </c>
      <c r="B553" s="107" t="s">
        <v>650</v>
      </c>
    </row>
    <row r="554" spans="1:2">
      <c r="A554" s="107">
        <v>6101510</v>
      </c>
      <c r="B554" s="107" t="s">
        <v>651</v>
      </c>
    </row>
    <row r="555" spans="1:2">
      <c r="A555" s="107">
        <v>6101511</v>
      </c>
      <c r="B555" s="107" t="s">
        <v>652</v>
      </c>
    </row>
    <row r="556" spans="1:2">
      <c r="A556" s="107">
        <v>6101512</v>
      </c>
      <c r="B556" s="107" t="s">
        <v>653</v>
      </c>
    </row>
    <row r="557" spans="1:2">
      <c r="A557" s="107">
        <v>6101513</v>
      </c>
      <c r="B557" s="107" t="s">
        <v>654</v>
      </c>
    </row>
    <row r="558" spans="1:2">
      <c r="A558" s="107">
        <v>6101514</v>
      </c>
      <c r="B558" s="107" t="s">
        <v>655</v>
      </c>
    </row>
    <row r="559" spans="1:2">
      <c r="A559" s="107">
        <v>6101515</v>
      </c>
      <c r="B559" s="107" t="s">
        <v>656</v>
      </c>
    </row>
    <row r="560" spans="1:2">
      <c r="A560" s="107">
        <v>6101516</v>
      </c>
      <c r="B560" s="107" t="s">
        <v>657</v>
      </c>
    </row>
    <row r="561" spans="1:2">
      <c r="A561" s="107">
        <v>6101517</v>
      </c>
      <c r="B561" s="107" t="s">
        <v>658</v>
      </c>
    </row>
    <row r="562" spans="1:2">
      <c r="A562" s="107">
        <v>6101518</v>
      </c>
      <c r="B562" s="107" t="s">
        <v>659</v>
      </c>
    </row>
    <row r="563" spans="1:2">
      <c r="A563" s="107">
        <v>6101519</v>
      </c>
      <c r="B563" s="107" t="s">
        <v>2150</v>
      </c>
    </row>
    <row r="564" spans="1:2">
      <c r="A564" s="107">
        <v>6101520</v>
      </c>
      <c r="B564" s="107" t="s">
        <v>2212</v>
      </c>
    </row>
    <row r="565" spans="1:2">
      <c r="A565" s="107">
        <v>6101521</v>
      </c>
      <c r="B565" s="107" t="s">
        <v>2213</v>
      </c>
    </row>
    <row r="566" spans="1:2">
      <c r="A566" s="107">
        <v>6101522</v>
      </c>
      <c r="B566" s="107" t="s">
        <v>2214</v>
      </c>
    </row>
    <row r="567" spans="1:2">
      <c r="A567" s="107">
        <v>6101523</v>
      </c>
      <c r="B567" s="107" t="s">
        <v>2215</v>
      </c>
    </row>
    <row r="568" spans="1:2">
      <c r="A568" s="107">
        <v>6101524</v>
      </c>
      <c r="B568" s="107" t="s">
        <v>2216</v>
      </c>
    </row>
    <row r="569" spans="1:2">
      <c r="A569" s="107">
        <v>6101525</v>
      </c>
      <c r="B569" s="107" t="s">
        <v>2217</v>
      </c>
    </row>
    <row r="570" spans="1:2">
      <c r="A570" s="107">
        <v>6101526</v>
      </c>
      <c r="B570" s="107" t="s">
        <v>2195</v>
      </c>
    </row>
    <row r="571" spans="1:2">
      <c r="A571" s="107">
        <v>6101527</v>
      </c>
      <c r="B571" s="107" t="s">
        <v>2218</v>
      </c>
    </row>
    <row r="572" spans="1:2">
      <c r="A572" s="107">
        <v>6101528</v>
      </c>
      <c r="B572" s="107" t="s">
        <v>2219</v>
      </c>
    </row>
    <row r="573" spans="1:2">
      <c r="A573" s="107">
        <v>6101529</v>
      </c>
      <c r="B573" s="107" t="s">
        <v>2220</v>
      </c>
    </row>
    <row r="574" spans="1:2">
      <c r="A574" s="107">
        <v>6101530</v>
      </c>
      <c r="B574" s="107" t="s">
        <v>2221</v>
      </c>
    </row>
    <row r="575" spans="1:2">
      <c r="A575" s="107">
        <v>6109901</v>
      </c>
      <c r="B575" s="107" t="s">
        <v>660</v>
      </c>
    </row>
    <row r="576" spans="1:2">
      <c r="A576" s="107">
        <v>6109902</v>
      </c>
      <c r="B576" s="107" t="s">
        <v>661</v>
      </c>
    </row>
    <row r="577" spans="1:2">
      <c r="A577" s="107">
        <v>6109903</v>
      </c>
      <c r="B577" s="107" t="s">
        <v>662</v>
      </c>
    </row>
    <row r="578" spans="1:2">
      <c r="A578" s="107">
        <v>6110286</v>
      </c>
      <c r="B578" s="107" t="s">
        <v>480</v>
      </c>
    </row>
    <row r="579" spans="1:2">
      <c r="A579" s="107">
        <v>6110536</v>
      </c>
      <c r="B579" s="107" t="s">
        <v>663</v>
      </c>
    </row>
    <row r="580" spans="1:2">
      <c r="A580" s="107">
        <v>6110562</v>
      </c>
      <c r="B580" s="107" t="s">
        <v>664</v>
      </c>
    </row>
    <row r="581" spans="1:2">
      <c r="A581" s="107">
        <v>6110584</v>
      </c>
      <c r="B581" s="107" t="s">
        <v>665</v>
      </c>
    </row>
    <row r="582" spans="1:2">
      <c r="A582" s="107">
        <v>6110586</v>
      </c>
      <c r="B582" s="107" t="s">
        <v>306</v>
      </c>
    </row>
    <row r="583" spans="1:2">
      <c r="A583" s="107">
        <v>6110590</v>
      </c>
      <c r="B583" s="107" t="s">
        <v>482</v>
      </c>
    </row>
    <row r="584" spans="1:2">
      <c r="A584" s="107">
        <v>6110591</v>
      </c>
      <c r="B584" s="107" t="s">
        <v>666</v>
      </c>
    </row>
    <row r="585" spans="1:2">
      <c r="A585" s="107">
        <v>6110592</v>
      </c>
      <c r="B585" s="107" t="s">
        <v>667</v>
      </c>
    </row>
    <row r="586" spans="1:2">
      <c r="A586" s="107">
        <v>6110593</v>
      </c>
      <c r="B586" s="107" t="s">
        <v>668</v>
      </c>
    </row>
    <row r="587" spans="1:2">
      <c r="A587" s="107">
        <v>6110598</v>
      </c>
      <c r="B587" s="107" t="s">
        <v>669</v>
      </c>
    </row>
    <row r="588" spans="1:2">
      <c r="A588" s="107">
        <v>6110749</v>
      </c>
      <c r="B588" s="107" t="s">
        <v>403</v>
      </c>
    </row>
    <row r="589" spans="1:2">
      <c r="A589" s="107">
        <v>6110803</v>
      </c>
      <c r="B589" s="107" t="s">
        <v>670</v>
      </c>
    </row>
    <row r="590" spans="1:2">
      <c r="A590" s="107">
        <v>6111098</v>
      </c>
      <c r="B590" s="107" t="s">
        <v>538</v>
      </c>
    </row>
    <row r="591" spans="1:2">
      <c r="A591" s="107">
        <v>6111133</v>
      </c>
      <c r="B591" s="107" t="s">
        <v>671</v>
      </c>
    </row>
    <row r="592" spans="1:2">
      <c r="A592" s="107">
        <v>6111188</v>
      </c>
      <c r="B592" s="107" t="s">
        <v>536</v>
      </c>
    </row>
    <row r="593" spans="1:2">
      <c r="A593" s="107">
        <v>6111234</v>
      </c>
      <c r="B593" s="107" t="s">
        <v>672</v>
      </c>
    </row>
    <row r="594" spans="1:2">
      <c r="A594" s="107">
        <v>6111249</v>
      </c>
      <c r="B594" s="107" t="s">
        <v>673</v>
      </c>
    </row>
    <row r="595" spans="1:2">
      <c r="A595" s="107">
        <v>6111264</v>
      </c>
      <c r="B595" s="107" t="s">
        <v>674</v>
      </c>
    </row>
    <row r="596" spans="1:2">
      <c r="A596" s="107">
        <v>6111270</v>
      </c>
      <c r="B596" s="107" t="s">
        <v>558</v>
      </c>
    </row>
    <row r="597" spans="1:2">
      <c r="A597" s="107">
        <v>6111271</v>
      </c>
      <c r="B597" s="107" t="s">
        <v>675</v>
      </c>
    </row>
    <row r="598" spans="1:2">
      <c r="A598" s="107">
        <v>6111272</v>
      </c>
      <c r="B598" s="107" t="s">
        <v>676</v>
      </c>
    </row>
    <row r="599" spans="1:2">
      <c r="A599" s="107">
        <v>6111273</v>
      </c>
      <c r="B599" s="107" t="s">
        <v>677</v>
      </c>
    </row>
    <row r="600" spans="1:2">
      <c r="A600" s="107">
        <v>6111274</v>
      </c>
      <c r="B600" s="107" t="s">
        <v>678</v>
      </c>
    </row>
    <row r="601" spans="1:2">
      <c r="A601" s="107">
        <v>6111275</v>
      </c>
      <c r="B601" s="107" t="s">
        <v>679</v>
      </c>
    </row>
    <row r="602" spans="1:2">
      <c r="A602" s="107">
        <v>6111276</v>
      </c>
      <c r="B602" s="107" t="s">
        <v>680</v>
      </c>
    </row>
    <row r="603" spans="1:2">
      <c r="A603" s="107">
        <v>6111277</v>
      </c>
      <c r="B603" s="107" t="s">
        <v>681</v>
      </c>
    </row>
    <row r="604" spans="1:2">
      <c r="A604" s="107">
        <v>6111278</v>
      </c>
      <c r="B604" s="107" t="s">
        <v>682</v>
      </c>
    </row>
    <row r="605" spans="1:2">
      <c r="A605" s="107">
        <v>6111279</v>
      </c>
      <c r="B605" s="107" t="s">
        <v>683</v>
      </c>
    </row>
    <row r="606" spans="1:2">
      <c r="A606" s="107">
        <v>6111280</v>
      </c>
      <c r="B606" s="107" t="s">
        <v>684</v>
      </c>
    </row>
    <row r="607" spans="1:2">
      <c r="A607" s="107">
        <v>6111281</v>
      </c>
      <c r="B607" s="107" t="s">
        <v>685</v>
      </c>
    </row>
    <row r="608" spans="1:2">
      <c r="A608" s="107">
        <v>6111282</v>
      </c>
      <c r="B608" s="107" t="s">
        <v>686</v>
      </c>
    </row>
    <row r="609" spans="1:2">
      <c r="A609" s="107">
        <v>6111283</v>
      </c>
      <c r="B609" s="107" t="s">
        <v>687</v>
      </c>
    </row>
    <row r="610" spans="1:2">
      <c r="A610" s="107">
        <v>6111284</v>
      </c>
      <c r="B610" s="107" t="s">
        <v>688</v>
      </c>
    </row>
    <row r="611" spans="1:2">
      <c r="A611" s="107">
        <v>6111285</v>
      </c>
      <c r="B611" s="107" t="s">
        <v>689</v>
      </c>
    </row>
    <row r="612" spans="1:2">
      <c r="A612" s="107">
        <v>6111286</v>
      </c>
      <c r="B612" s="107" t="s">
        <v>690</v>
      </c>
    </row>
    <row r="613" spans="1:2">
      <c r="A613" s="107">
        <v>6111287</v>
      </c>
      <c r="B613" s="107" t="s">
        <v>691</v>
      </c>
    </row>
    <row r="614" spans="1:2">
      <c r="A614" s="107">
        <v>6111288</v>
      </c>
      <c r="B614" s="107" t="s">
        <v>692</v>
      </c>
    </row>
    <row r="615" spans="1:2">
      <c r="A615" s="107">
        <v>6111289</v>
      </c>
      <c r="B615" s="107" t="s">
        <v>480</v>
      </c>
    </row>
    <row r="616" spans="1:2">
      <c r="A616" s="107">
        <v>6111290</v>
      </c>
      <c r="B616" s="107" t="s">
        <v>672</v>
      </c>
    </row>
    <row r="617" spans="1:2">
      <c r="A617" s="107">
        <v>6111291</v>
      </c>
      <c r="B617" s="107" t="s">
        <v>693</v>
      </c>
    </row>
    <row r="618" spans="1:2">
      <c r="A618" s="107">
        <v>6111292</v>
      </c>
      <c r="B618" s="107" t="s">
        <v>694</v>
      </c>
    </row>
    <row r="619" spans="1:2">
      <c r="A619" s="107">
        <v>6111293</v>
      </c>
      <c r="B619" s="107" t="s">
        <v>494</v>
      </c>
    </row>
    <row r="620" spans="1:2">
      <c r="A620" s="107">
        <v>6111294</v>
      </c>
      <c r="B620" s="107" t="s">
        <v>495</v>
      </c>
    </row>
    <row r="621" spans="1:2">
      <c r="A621" s="107">
        <v>6111295</v>
      </c>
      <c r="B621" s="107" t="s">
        <v>508</v>
      </c>
    </row>
    <row r="622" spans="1:2">
      <c r="A622" s="107">
        <v>6111296</v>
      </c>
      <c r="B622" s="107" t="s">
        <v>507</v>
      </c>
    </row>
    <row r="623" spans="1:2">
      <c r="A623" s="107">
        <v>6111297</v>
      </c>
      <c r="B623" s="107" t="s">
        <v>501</v>
      </c>
    </row>
    <row r="624" spans="1:2">
      <c r="A624" s="107">
        <v>6111298</v>
      </c>
      <c r="B624" s="107" t="s">
        <v>538</v>
      </c>
    </row>
    <row r="625" spans="1:2">
      <c r="A625" s="107">
        <v>6111299</v>
      </c>
      <c r="B625" s="107" t="s">
        <v>695</v>
      </c>
    </row>
    <row r="626" spans="1:2">
      <c r="A626" s="107">
        <v>6111300</v>
      </c>
      <c r="B626" s="107" t="s">
        <v>696</v>
      </c>
    </row>
    <row r="627" spans="1:2">
      <c r="A627" s="107">
        <v>6111301</v>
      </c>
      <c r="B627" s="107" t="s">
        <v>697</v>
      </c>
    </row>
    <row r="628" spans="1:2">
      <c r="A628" s="107">
        <v>6111302</v>
      </c>
      <c r="B628" s="107" t="s">
        <v>698</v>
      </c>
    </row>
    <row r="629" spans="1:2">
      <c r="A629" s="107">
        <v>6111303</v>
      </c>
      <c r="B629" s="107" t="s">
        <v>620</v>
      </c>
    </row>
    <row r="630" spans="1:2">
      <c r="A630" s="107">
        <v>6111304</v>
      </c>
      <c r="B630" s="107" t="s">
        <v>699</v>
      </c>
    </row>
    <row r="631" spans="1:2">
      <c r="A631" s="107">
        <v>6111305</v>
      </c>
      <c r="B631" s="107" t="s">
        <v>622</v>
      </c>
    </row>
    <row r="632" spans="1:2">
      <c r="A632" s="107">
        <v>6130001</v>
      </c>
      <c r="B632" s="107" t="s">
        <v>700</v>
      </c>
    </row>
    <row r="633" spans="1:2">
      <c r="A633" s="107">
        <v>6130002</v>
      </c>
      <c r="B633" s="107" t="s">
        <v>302</v>
      </c>
    </row>
    <row r="634" spans="1:2">
      <c r="A634" s="107">
        <v>6130003</v>
      </c>
      <c r="B634" s="107" t="s">
        <v>701</v>
      </c>
    </row>
    <row r="635" spans="1:2">
      <c r="A635" s="107">
        <v>6130004</v>
      </c>
      <c r="B635" s="107" t="s">
        <v>702</v>
      </c>
    </row>
    <row r="636" spans="1:2">
      <c r="A636" s="107">
        <v>6130005</v>
      </c>
      <c r="B636" s="107" t="s">
        <v>469</v>
      </c>
    </row>
    <row r="637" spans="1:2">
      <c r="A637" s="107">
        <v>6130006</v>
      </c>
      <c r="B637" s="107" t="s">
        <v>703</v>
      </c>
    </row>
    <row r="638" spans="1:2">
      <c r="A638" s="107">
        <v>6130007</v>
      </c>
      <c r="B638" s="107" t="s">
        <v>704</v>
      </c>
    </row>
    <row r="639" spans="1:2">
      <c r="A639" s="107">
        <v>6130008</v>
      </c>
      <c r="B639" s="107" t="s">
        <v>705</v>
      </c>
    </row>
    <row r="640" spans="1:2">
      <c r="A640" s="107">
        <v>6130009</v>
      </c>
      <c r="B640" s="107" t="s">
        <v>706</v>
      </c>
    </row>
    <row r="641" spans="1:2">
      <c r="A641" s="107">
        <v>6130010</v>
      </c>
      <c r="B641" s="107" t="s">
        <v>707</v>
      </c>
    </row>
    <row r="642" spans="1:2">
      <c r="A642" s="107">
        <v>6130011</v>
      </c>
      <c r="B642" s="107" t="s">
        <v>708</v>
      </c>
    </row>
    <row r="643" spans="1:2">
      <c r="A643" s="107">
        <v>6130012</v>
      </c>
      <c r="B643" s="107" t="s">
        <v>709</v>
      </c>
    </row>
    <row r="644" spans="1:2">
      <c r="A644" s="107">
        <v>6130013</v>
      </c>
      <c r="B644" s="107" t="s">
        <v>710</v>
      </c>
    </row>
    <row r="645" spans="1:2">
      <c r="A645" s="107">
        <v>6130014</v>
      </c>
      <c r="B645" s="107" t="s">
        <v>711</v>
      </c>
    </row>
    <row r="646" spans="1:2">
      <c r="A646" s="107">
        <v>6130015</v>
      </c>
      <c r="B646" s="107" t="s">
        <v>712</v>
      </c>
    </row>
    <row r="647" spans="1:2">
      <c r="A647" s="107">
        <v>6130016</v>
      </c>
      <c r="B647" s="107" t="s">
        <v>713</v>
      </c>
    </row>
    <row r="648" spans="1:2">
      <c r="A648" s="107">
        <v>6130017</v>
      </c>
      <c r="B648" s="107" t="s">
        <v>350</v>
      </c>
    </row>
    <row r="649" spans="1:2">
      <c r="A649" s="107">
        <v>6130018</v>
      </c>
      <c r="B649" s="107" t="s">
        <v>714</v>
      </c>
    </row>
    <row r="650" spans="1:2">
      <c r="A650" s="107">
        <v>6130019</v>
      </c>
      <c r="B650" s="107" t="s">
        <v>715</v>
      </c>
    </row>
    <row r="651" spans="1:2">
      <c r="A651" s="107">
        <v>6130020</v>
      </c>
      <c r="B651" s="107" t="s">
        <v>716</v>
      </c>
    </row>
    <row r="652" spans="1:2">
      <c r="A652" s="107">
        <v>6130021</v>
      </c>
      <c r="B652" s="107" t="s">
        <v>717</v>
      </c>
    </row>
    <row r="653" spans="1:2">
      <c r="A653" s="107">
        <v>6130022</v>
      </c>
      <c r="B653" s="107" t="s">
        <v>718</v>
      </c>
    </row>
    <row r="654" spans="1:2">
      <c r="A654" s="107">
        <v>6130023</v>
      </c>
      <c r="B654" s="107" t="s">
        <v>719</v>
      </c>
    </row>
    <row r="655" spans="1:2">
      <c r="A655" s="107">
        <v>6130024</v>
      </c>
      <c r="B655" s="107" t="s">
        <v>720</v>
      </c>
    </row>
    <row r="656" spans="1:2">
      <c r="A656" s="107">
        <v>6130025</v>
      </c>
      <c r="B656" s="107" t="s">
        <v>721</v>
      </c>
    </row>
    <row r="657" spans="1:2">
      <c r="A657" s="107">
        <v>6130026</v>
      </c>
      <c r="B657" s="107" t="s">
        <v>722</v>
      </c>
    </row>
    <row r="658" spans="1:2">
      <c r="A658" s="107">
        <v>6130027</v>
      </c>
      <c r="B658" s="107" t="s">
        <v>723</v>
      </c>
    </row>
    <row r="659" spans="1:2">
      <c r="A659" s="107">
        <v>6130028</v>
      </c>
      <c r="B659" s="107" t="s">
        <v>724</v>
      </c>
    </row>
    <row r="660" spans="1:2">
      <c r="A660" s="107">
        <v>6130029</v>
      </c>
      <c r="B660" s="107" t="s">
        <v>336</v>
      </c>
    </row>
    <row r="661" spans="1:2">
      <c r="A661" s="107">
        <v>6130030</v>
      </c>
      <c r="B661" s="107" t="s">
        <v>725</v>
      </c>
    </row>
    <row r="662" spans="1:2">
      <c r="A662" s="107">
        <v>6130031</v>
      </c>
      <c r="B662" s="107" t="s">
        <v>726</v>
      </c>
    </row>
    <row r="663" spans="1:2">
      <c r="A663" s="107">
        <v>6130032</v>
      </c>
      <c r="B663" s="107" t="s">
        <v>727</v>
      </c>
    </row>
    <row r="664" spans="1:2">
      <c r="A664" s="107">
        <v>6130033</v>
      </c>
      <c r="B664" s="107" t="s">
        <v>728</v>
      </c>
    </row>
    <row r="665" spans="1:2">
      <c r="A665" s="107">
        <v>6130034</v>
      </c>
      <c r="B665" s="107" t="s">
        <v>729</v>
      </c>
    </row>
    <row r="666" spans="1:2">
      <c r="A666" s="107">
        <v>6130035</v>
      </c>
      <c r="B666" s="107" t="s">
        <v>730</v>
      </c>
    </row>
    <row r="667" spans="1:2">
      <c r="A667" s="107">
        <v>6130036</v>
      </c>
      <c r="B667" s="107" t="s">
        <v>345</v>
      </c>
    </row>
    <row r="668" spans="1:2">
      <c r="A668" s="107">
        <v>6130037</v>
      </c>
      <c r="B668" s="107" t="s">
        <v>731</v>
      </c>
    </row>
    <row r="669" spans="1:2">
      <c r="A669" s="107">
        <v>6130038</v>
      </c>
      <c r="B669" s="107" t="s">
        <v>732</v>
      </c>
    </row>
    <row r="670" spans="1:2">
      <c r="A670" s="107">
        <v>6130039</v>
      </c>
      <c r="B670" s="107" t="s">
        <v>733</v>
      </c>
    </row>
    <row r="671" spans="1:2">
      <c r="A671" s="107">
        <v>6130040</v>
      </c>
      <c r="B671" s="107" t="s">
        <v>734</v>
      </c>
    </row>
    <row r="672" spans="1:2">
      <c r="A672" s="107">
        <v>6130042</v>
      </c>
      <c r="B672" s="107" t="s">
        <v>735</v>
      </c>
    </row>
    <row r="673" spans="1:2">
      <c r="A673" s="107">
        <v>6130043</v>
      </c>
      <c r="B673" s="107" t="s">
        <v>736</v>
      </c>
    </row>
    <row r="674" spans="1:2">
      <c r="A674" s="107">
        <v>6130044</v>
      </c>
      <c r="B674" s="107" t="s">
        <v>737</v>
      </c>
    </row>
    <row r="675" spans="1:2">
      <c r="A675" s="107">
        <v>6130045</v>
      </c>
      <c r="B675" s="107" t="s">
        <v>738</v>
      </c>
    </row>
    <row r="676" spans="1:2">
      <c r="A676" s="107">
        <v>6130046</v>
      </c>
      <c r="B676" s="107" t="s">
        <v>739</v>
      </c>
    </row>
    <row r="677" spans="1:2">
      <c r="A677" s="107">
        <v>6130047</v>
      </c>
      <c r="B677" s="107" t="s">
        <v>740</v>
      </c>
    </row>
    <row r="678" spans="1:2">
      <c r="A678" s="107">
        <v>6130048</v>
      </c>
      <c r="B678" s="107" t="s">
        <v>741</v>
      </c>
    </row>
    <row r="679" spans="1:2">
      <c r="A679" s="107">
        <v>6130049</v>
      </c>
      <c r="B679" s="107" t="s">
        <v>742</v>
      </c>
    </row>
    <row r="680" spans="1:2">
      <c r="A680" s="107">
        <v>6130050</v>
      </c>
      <c r="B680" s="107" t="s">
        <v>743</v>
      </c>
    </row>
    <row r="681" spans="1:2">
      <c r="A681" s="107">
        <v>6130286</v>
      </c>
      <c r="B681" s="107" t="s">
        <v>480</v>
      </c>
    </row>
    <row r="682" spans="1:2">
      <c r="A682" s="107">
        <v>6130287</v>
      </c>
      <c r="B682" s="107" t="s">
        <v>744</v>
      </c>
    </row>
    <row r="683" spans="1:2">
      <c r="A683" s="107">
        <v>6130292</v>
      </c>
      <c r="B683" s="107" t="s">
        <v>745</v>
      </c>
    </row>
    <row r="684" spans="1:2">
      <c r="A684" s="107">
        <v>6130294</v>
      </c>
      <c r="B684" s="107" t="s">
        <v>746</v>
      </c>
    </row>
    <row r="685" spans="1:2">
      <c r="A685" s="107">
        <v>6130295</v>
      </c>
      <c r="B685" s="107" t="s">
        <v>747</v>
      </c>
    </row>
    <row r="686" spans="1:2">
      <c r="A686" s="107">
        <v>6130296</v>
      </c>
      <c r="B686" s="107" t="s">
        <v>748</v>
      </c>
    </row>
    <row r="687" spans="1:2">
      <c r="A687" s="107">
        <v>6130297</v>
      </c>
      <c r="B687" s="107" t="s">
        <v>749</v>
      </c>
    </row>
    <row r="688" spans="1:2">
      <c r="A688" s="107">
        <v>6130298</v>
      </c>
      <c r="B688" s="107" t="s">
        <v>750</v>
      </c>
    </row>
    <row r="689" spans="1:2">
      <c r="A689" s="107">
        <v>6130299</v>
      </c>
      <c r="B689" s="107" t="s">
        <v>751</v>
      </c>
    </row>
    <row r="690" spans="1:2">
      <c r="A690" s="107">
        <v>6130300</v>
      </c>
      <c r="B690" s="107" t="s">
        <v>752</v>
      </c>
    </row>
    <row r="691" spans="1:2">
      <c r="A691" s="107">
        <v>6130301</v>
      </c>
      <c r="B691" s="107" t="s">
        <v>753</v>
      </c>
    </row>
    <row r="692" spans="1:2">
      <c r="A692" s="107">
        <v>6130302</v>
      </c>
      <c r="B692" s="107" t="s">
        <v>534</v>
      </c>
    </row>
    <row r="693" spans="1:2">
      <c r="A693" s="107">
        <v>6130303</v>
      </c>
      <c r="B693" s="107" t="s">
        <v>309</v>
      </c>
    </row>
    <row r="694" spans="1:2">
      <c r="A694" s="107">
        <v>6130304</v>
      </c>
      <c r="B694" s="107" t="s">
        <v>350</v>
      </c>
    </row>
    <row r="695" spans="1:2">
      <c r="A695" s="107">
        <v>6130305</v>
      </c>
      <c r="B695" s="107" t="s">
        <v>754</v>
      </c>
    </row>
    <row r="696" spans="1:2">
      <c r="A696" s="107">
        <v>6130306</v>
      </c>
      <c r="B696" s="107" t="s">
        <v>755</v>
      </c>
    </row>
    <row r="697" spans="1:2">
      <c r="A697" s="107">
        <v>6130307</v>
      </c>
      <c r="B697" s="107" t="s">
        <v>756</v>
      </c>
    </row>
    <row r="698" spans="1:2">
      <c r="A698" s="107">
        <v>6130308</v>
      </c>
      <c r="B698" s="107" t="s">
        <v>757</v>
      </c>
    </row>
    <row r="699" spans="1:2">
      <c r="A699" s="107">
        <v>6130309</v>
      </c>
      <c r="B699" s="107" t="s">
        <v>758</v>
      </c>
    </row>
    <row r="700" spans="1:2">
      <c r="A700" s="107">
        <v>6130310</v>
      </c>
      <c r="B700" s="107" t="s">
        <v>759</v>
      </c>
    </row>
    <row r="701" spans="1:2">
      <c r="A701" s="107">
        <v>6130311</v>
      </c>
      <c r="B701" s="107" t="s">
        <v>309</v>
      </c>
    </row>
    <row r="702" spans="1:2">
      <c r="A702" s="107">
        <v>6130312</v>
      </c>
      <c r="B702" s="107" t="s">
        <v>471</v>
      </c>
    </row>
    <row r="703" spans="1:2">
      <c r="A703" s="107">
        <v>6130313</v>
      </c>
      <c r="B703" s="107" t="s">
        <v>345</v>
      </c>
    </row>
    <row r="704" spans="1:2">
      <c r="A704" s="107">
        <v>6130314</v>
      </c>
      <c r="B704" s="107" t="s">
        <v>760</v>
      </c>
    </row>
    <row r="705" spans="1:2">
      <c r="A705" s="107">
        <v>6130315</v>
      </c>
      <c r="B705" s="107" t="s">
        <v>531</v>
      </c>
    </row>
    <row r="706" spans="1:2">
      <c r="A706" s="107">
        <v>6130316</v>
      </c>
      <c r="B706" s="107" t="s">
        <v>761</v>
      </c>
    </row>
    <row r="707" spans="1:2">
      <c r="A707" s="107">
        <v>6130317</v>
      </c>
      <c r="B707" s="107" t="s">
        <v>392</v>
      </c>
    </row>
    <row r="708" spans="1:2">
      <c r="A708" s="107">
        <v>6130318</v>
      </c>
      <c r="B708" s="107" t="s">
        <v>530</v>
      </c>
    </row>
    <row r="709" spans="1:2">
      <c r="A709" s="107">
        <v>6130319</v>
      </c>
      <c r="B709" s="107" t="s">
        <v>529</v>
      </c>
    </row>
    <row r="710" spans="1:2">
      <c r="A710" s="107">
        <v>6130320</v>
      </c>
      <c r="B710" s="107" t="s">
        <v>762</v>
      </c>
    </row>
    <row r="711" spans="1:2">
      <c r="A711" s="107">
        <v>6130321</v>
      </c>
      <c r="B711" s="107" t="s">
        <v>762</v>
      </c>
    </row>
    <row r="712" spans="1:2">
      <c r="A712" s="107">
        <v>6130322</v>
      </c>
      <c r="B712" s="107" t="s">
        <v>763</v>
      </c>
    </row>
    <row r="713" spans="1:2">
      <c r="A713" s="107">
        <v>6130323</v>
      </c>
      <c r="B713" s="107" t="s">
        <v>764</v>
      </c>
    </row>
    <row r="714" spans="1:2">
      <c r="A714" s="107">
        <v>6130324</v>
      </c>
      <c r="B714" s="107" t="s">
        <v>564</v>
      </c>
    </row>
    <row r="715" spans="1:2">
      <c r="A715" s="107">
        <v>6130325</v>
      </c>
      <c r="B715" s="107" t="s">
        <v>765</v>
      </c>
    </row>
    <row r="716" spans="1:2">
      <c r="A716" s="107">
        <v>6130326</v>
      </c>
      <c r="B716" s="107" t="s">
        <v>766</v>
      </c>
    </row>
    <row r="717" spans="1:2">
      <c r="A717" s="107">
        <v>6130327</v>
      </c>
      <c r="B717" s="107" t="s">
        <v>767</v>
      </c>
    </row>
    <row r="718" spans="1:2">
      <c r="A718" s="107">
        <v>6130328</v>
      </c>
      <c r="B718" s="107" t="s">
        <v>768</v>
      </c>
    </row>
    <row r="719" spans="1:2">
      <c r="A719" s="107">
        <v>6130329</v>
      </c>
      <c r="B719" s="107" t="s">
        <v>769</v>
      </c>
    </row>
    <row r="720" spans="1:2">
      <c r="A720" s="107">
        <v>6130330</v>
      </c>
      <c r="B720" s="107" t="s">
        <v>770</v>
      </c>
    </row>
    <row r="721" spans="1:2">
      <c r="A721" s="107">
        <v>6130331</v>
      </c>
      <c r="B721" s="107" t="s">
        <v>452</v>
      </c>
    </row>
    <row r="722" spans="1:2">
      <c r="A722" s="107">
        <v>6130332</v>
      </c>
      <c r="B722" s="107" t="s">
        <v>771</v>
      </c>
    </row>
    <row r="723" spans="1:2">
      <c r="A723" s="107">
        <v>6130333</v>
      </c>
      <c r="B723" s="107" t="s">
        <v>772</v>
      </c>
    </row>
    <row r="724" spans="1:2">
      <c r="A724" s="107">
        <v>6130334</v>
      </c>
      <c r="B724" s="107" t="s">
        <v>2222</v>
      </c>
    </row>
    <row r="725" spans="1:2">
      <c r="A725" s="107">
        <v>6130335</v>
      </c>
      <c r="B725" s="107" t="s">
        <v>2223</v>
      </c>
    </row>
    <row r="726" spans="1:2">
      <c r="A726" s="107">
        <v>6130336</v>
      </c>
      <c r="B726" s="107" t="s">
        <v>2224</v>
      </c>
    </row>
    <row r="727" spans="1:2">
      <c r="A727" s="107">
        <v>6150001</v>
      </c>
      <c r="B727" s="107" t="s">
        <v>773</v>
      </c>
    </row>
    <row r="728" spans="1:2">
      <c r="A728" s="107">
        <v>6150002</v>
      </c>
      <c r="B728" s="107" t="s">
        <v>774</v>
      </c>
    </row>
    <row r="729" spans="1:2">
      <c r="A729" s="107">
        <v>6150003</v>
      </c>
      <c r="B729" s="107" t="s">
        <v>775</v>
      </c>
    </row>
    <row r="730" spans="1:2">
      <c r="A730" s="107">
        <v>6150004</v>
      </c>
      <c r="B730" s="107" t="s">
        <v>776</v>
      </c>
    </row>
    <row r="731" spans="1:2">
      <c r="A731" s="107">
        <v>6150005</v>
      </c>
      <c r="B731" s="107" t="s">
        <v>777</v>
      </c>
    </row>
    <row r="732" spans="1:2">
      <c r="A732" s="107">
        <v>6150006</v>
      </c>
      <c r="B732" s="107" t="s">
        <v>778</v>
      </c>
    </row>
    <row r="733" spans="1:2">
      <c r="A733" s="107">
        <v>6150007</v>
      </c>
      <c r="B733" s="107" t="s">
        <v>779</v>
      </c>
    </row>
    <row r="734" spans="1:2">
      <c r="A734" s="107">
        <v>6150008</v>
      </c>
      <c r="B734" s="107" t="s">
        <v>780</v>
      </c>
    </row>
    <row r="735" spans="1:2">
      <c r="A735" s="107">
        <v>6150009</v>
      </c>
      <c r="B735" s="107" t="s">
        <v>781</v>
      </c>
    </row>
    <row r="736" spans="1:2">
      <c r="A736" s="107">
        <v>6150010</v>
      </c>
      <c r="B736" s="107" t="s">
        <v>782</v>
      </c>
    </row>
    <row r="737" spans="1:2">
      <c r="A737" s="107">
        <v>6150011</v>
      </c>
      <c r="B737" s="107" t="s">
        <v>783</v>
      </c>
    </row>
    <row r="738" spans="1:2">
      <c r="A738" s="107">
        <v>6150012</v>
      </c>
      <c r="B738" s="107" t="s">
        <v>784</v>
      </c>
    </row>
    <row r="739" spans="1:2">
      <c r="A739" s="107">
        <v>6150013</v>
      </c>
      <c r="B739" s="107" t="s">
        <v>785</v>
      </c>
    </row>
    <row r="740" spans="1:2">
      <c r="A740" s="107">
        <v>6150015</v>
      </c>
      <c r="B740" s="107" t="s">
        <v>723</v>
      </c>
    </row>
    <row r="741" spans="1:2">
      <c r="A741" s="107">
        <v>6150016</v>
      </c>
      <c r="B741" s="107" t="s">
        <v>724</v>
      </c>
    </row>
    <row r="742" spans="1:2">
      <c r="A742" s="107">
        <v>6150017</v>
      </c>
      <c r="B742" s="107" t="s">
        <v>786</v>
      </c>
    </row>
    <row r="743" spans="1:2">
      <c r="A743" s="107">
        <v>6150018</v>
      </c>
      <c r="B743" s="107" t="s">
        <v>787</v>
      </c>
    </row>
    <row r="744" spans="1:2">
      <c r="A744" s="107">
        <v>6150019</v>
      </c>
      <c r="B744" s="107" t="s">
        <v>788</v>
      </c>
    </row>
    <row r="745" spans="1:2">
      <c r="A745" s="107">
        <v>6150020</v>
      </c>
      <c r="B745" s="107" t="s">
        <v>789</v>
      </c>
    </row>
    <row r="746" spans="1:2">
      <c r="A746" s="107">
        <v>6150021</v>
      </c>
      <c r="B746" s="107" t="s">
        <v>790</v>
      </c>
    </row>
    <row r="747" spans="1:2">
      <c r="A747" s="107">
        <v>6150022</v>
      </c>
      <c r="B747" s="107" t="s">
        <v>791</v>
      </c>
    </row>
    <row r="748" spans="1:2">
      <c r="A748" s="107">
        <v>6150023</v>
      </c>
      <c r="B748" s="107" t="s">
        <v>792</v>
      </c>
    </row>
    <row r="749" spans="1:2">
      <c r="A749" s="107">
        <v>6150024</v>
      </c>
      <c r="B749" s="107" t="s">
        <v>793</v>
      </c>
    </row>
    <row r="750" spans="1:2">
      <c r="A750" s="107">
        <v>6150025</v>
      </c>
      <c r="B750" s="107" t="s">
        <v>794</v>
      </c>
    </row>
    <row r="751" spans="1:2">
      <c r="A751" s="107">
        <v>6150026</v>
      </c>
      <c r="B751" s="107" t="s">
        <v>795</v>
      </c>
    </row>
    <row r="752" spans="1:2">
      <c r="A752" s="107">
        <v>6150027</v>
      </c>
      <c r="B752" s="107" t="s">
        <v>796</v>
      </c>
    </row>
    <row r="753" spans="1:2">
      <c r="A753" s="107">
        <v>6150028</v>
      </c>
      <c r="B753" s="107" t="s">
        <v>797</v>
      </c>
    </row>
    <row r="754" spans="1:2">
      <c r="A754" s="107">
        <v>6150029</v>
      </c>
      <c r="B754" s="107" t="s">
        <v>798</v>
      </c>
    </row>
    <row r="755" spans="1:2">
      <c r="A755" s="107">
        <v>6150030</v>
      </c>
      <c r="B755" s="107" t="s">
        <v>441</v>
      </c>
    </row>
    <row r="756" spans="1:2">
      <c r="A756" s="107">
        <v>6150031</v>
      </c>
      <c r="B756" s="107" t="s">
        <v>750</v>
      </c>
    </row>
    <row r="757" spans="1:2">
      <c r="A757" s="107">
        <v>6150032</v>
      </c>
      <c r="B757" s="107" t="s">
        <v>751</v>
      </c>
    </row>
    <row r="758" spans="1:2">
      <c r="A758" s="107">
        <v>6150033</v>
      </c>
      <c r="B758" s="107" t="s">
        <v>749</v>
      </c>
    </row>
    <row r="759" spans="1:2">
      <c r="A759" s="107">
        <v>6150034</v>
      </c>
      <c r="B759" s="107" t="s">
        <v>799</v>
      </c>
    </row>
    <row r="760" spans="1:2">
      <c r="A760" s="107">
        <v>6150035</v>
      </c>
      <c r="B760" s="107" t="s">
        <v>787</v>
      </c>
    </row>
    <row r="761" spans="1:2">
      <c r="A761" s="107">
        <v>6150036</v>
      </c>
      <c r="B761" s="107" t="s">
        <v>800</v>
      </c>
    </row>
    <row r="762" spans="1:2">
      <c r="A762" s="107">
        <v>6150037</v>
      </c>
      <c r="B762" s="107" t="s">
        <v>801</v>
      </c>
    </row>
    <row r="763" spans="1:2">
      <c r="A763" s="107">
        <v>6150039</v>
      </c>
      <c r="B763" s="107" t="s">
        <v>802</v>
      </c>
    </row>
    <row r="764" spans="1:2">
      <c r="A764" s="107">
        <v>6150040</v>
      </c>
      <c r="B764" s="107" t="s">
        <v>803</v>
      </c>
    </row>
    <row r="765" spans="1:2">
      <c r="A765" s="107">
        <v>6150041</v>
      </c>
      <c r="B765" s="107" t="s">
        <v>787</v>
      </c>
    </row>
    <row r="766" spans="1:2">
      <c r="A766" s="107">
        <v>6150042</v>
      </c>
      <c r="B766" s="107" t="s">
        <v>804</v>
      </c>
    </row>
    <row r="767" spans="1:2">
      <c r="A767" s="107">
        <v>6150043</v>
      </c>
      <c r="B767" s="107" t="s">
        <v>805</v>
      </c>
    </row>
    <row r="768" spans="1:2">
      <c r="A768" s="107">
        <v>6150044</v>
      </c>
      <c r="B768" s="107" t="s">
        <v>782</v>
      </c>
    </row>
    <row r="769" spans="1:2">
      <c r="A769" s="107">
        <v>6150045</v>
      </c>
      <c r="B769" s="107" t="s">
        <v>806</v>
      </c>
    </row>
    <row r="770" spans="1:2">
      <c r="A770" s="107">
        <v>6150046</v>
      </c>
      <c r="B770" s="107" t="s">
        <v>807</v>
      </c>
    </row>
    <row r="771" spans="1:2">
      <c r="A771" s="107">
        <v>6150047</v>
      </c>
      <c r="B771" s="107" t="s">
        <v>808</v>
      </c>
    </row>
    <row r="772" spans="1:2">
      <c r="A772" s="107">
        <v>6150048</v>
      </c>
      <c r="B772" s="107" t="s">
        <v>809</v>
      </c>
    </row>
    <row r="773" spans="1:2">
      <c r="A773" s="107">
        <v>6150049</v>
      </c>
      <c r="B773" s="107" t="s">
        <v>810</v>
      </c>
    </row>
    <row r="774" spans="1:2">
      <c r="A774" s="107">
        <v>6150050</v>
      </c>
      <c r="B774" s="107" t="s">
        <v>811</v>
      </c>
    </row>
    <row r="775" spans="1:2">
      <c r="A775" s="107">
        <v>6150051</v>
      </c>
      <c r="B775" s="107" t="s">
        <v>812</v>
      </c>
    </row>
    <row r="776" spans="1:2">
      <c r="A776" s="107">
        <v>6150052</v>
      </c>
      <c r="B776" s="107" t="s">
        <v>813</v>
      </c>
    </row>
    <row r="777" spans="1:2">
      <c r="A777" s="107">
        <v>6150053</v>
      </c>
      <c r="B777" s="107" t="s">
        <v>814</v>
      </c>
    </row>
    <row r="778" spans="1:2">
      <c r="A778" s="107">
        <v>6150054</v>
      </c>
      <c r="B778" s="107" t="s">
        <v>815</v>
      </c>
    </row>
    <row r="779" spans="1:2">
      <c r="A779" s="107">
        <v>6150055</v>
      </c>
      <c r="B779" s="107" t="s">
        <v>816</v>
      </c>
    </row>
    <row r="780" spans="1:2">
      <c r="A780" s="107">
        <v>6150056</v>
      </c>
      <c r="B780" s="107" t="s">
        <v>815</v>
      </c>
    </row>
    <row r="781" spans="1:2">
      <c r="A781" s="107">
        <v>6150057</v>
      </c>
      <c r="B781" s="107" t="s">
        <v>817</v>
      </c>
    </row>
    <row r="782" spans="1:2">
      <c r="A782" s="107">
        <v>6150058</v>
      </c>
      <c r="B782" s="107" t="s">
        <v>782</v>
      </c>
    </row>
    <row r="783" spans="1:2">
      <c r="A783" s="107">
        <v>6150060</v>
      </c>
      <c r="B783" s="107" t="s">
        <v>818</v>
      </c>
    </row>
    <row r="784" spans="1:2">
      <c r="A784" s="107">
        <v>6150061</v>
      </c>
      <c r="B784" s="107" t="s">
        <v>819</v>
      </c>
    </row>
    <row r="785" spans="1:2">
      <c r="A785" s="107">
        <v>6150062</v>
      </c>
      <c r="B785" s="107" t="s">
        <v>820</v>
      </c>
    </row>
    <row r="786" spans="1:2">
      <c r="A786" s="107">
        <v>6150063</v>
      </c>
      <c r="B786" s="107" t="s">
        <v>817</v>
      </c>
    </row>
    <row r="787" spans="1:2">
      <c r="A787" s="107">
        <v>6150064</v>
      </c>
      <c r="B787" s="107" t="s">
        <v>821</v>
      </c>
    </row>
    <row r="788" spans="1:2">
      <c r="A788" s="107">
        <v>6150065</v>
      </c>
      <c r="B788" s="107" t="s">
        <v>822</v>
      </c>
    </row>
    <row r="789" spans="1:2">
      <c r="A789" s="107">
        <v>6150066</v>
      </c>
      <c r="B789" s="107" t="s">
        <v>823</v>
      </c>
    </row>
    <row r="790" spans="1:2">
      <c r="A790" s="107">
        <v>6150067</v>
      </c>
      <c r="B790" s="107" t="s">
        <v>824</v>
      </c>
    </row>
    <row r="791" spans="1:2">
      <c r="A791" s="107">
        <v>6150068</v>
      </c>
      <c r="B791" s="107" t="s">
        <v>825</v>
      </c>
    </row>
    <row r="792" spans="1:2">
      <c r="A792" s="107">
        <v>6150069</v>
      </c>
      <c r="B792" s="107" t="s">
        <v>826</v>
      </c>
    </row>
    <row r="793" spans="1:2">
      <c r="A793" s="107">
        <v>6150070</v>
      </c>
      <c r="B793" s="107" t="s">
        <v>827</v>
      </c>
    </row>
    <row r="794" spans="1:2">
      <c r="A794" s="107">
        <v>6150071</v>
      </c>
      <c r="B794" s="107" t="s">
        <v>828</v>
      </c>
    </row>
    <row r="795" spans="1:2">
      <c r="A795" s="107">
        <v>6150072</v>
      </c>
      <c r="B795" s="107" t="s">
        <v>829</v>
      </c>
    </row>
    <row r="796" spans="1:2">
      <c r="A796" s="107">
        <v>6150073</v>
      </c>
      <c r="B796" s="107" t="s">
        <v>830</v>
      </c>
    </row>
    <row r="797" spans="1:2">
      <c r="A797" s="107">
        <v>6151001</v>
      </c>
      <c r="B797" s="107" t="s">
        <v>831</v>
      </c>
    </row>
    <row r="798" spans="1:2">
      <c r="A798" s="107">
        <v>6151002</v>
      </c>
      <c r="B798" s="107" t="s">
        <v>832</v>
      </c>
    </row>
    <row r="799" spans="1:2">
      <c r="A799" s="107">
        <v>6151003</v>
      </c>
      <c r="B799" s="107" t="s">
        <v>833</v>
      </c>
    </row>
    <row r="800" spans="1:2">
      <c r="A800" s="107">
        <v>6151004</v>
      </c>
      <c r="B800" s="107" t="s">
        <v>834</v>
      </c>
    </row>
    <row r="801" spans="1:2">
      <c r="A801" s="107">
        <v>6151005</v>
      </c>
      <c r="B801" s="107" t="s">
        <v>835</v>
      </c>
    </row>
    <row r="802" spans="1:2">
      <c r="A802" s="107">
        <v>6151006</v>
      </c>
      <c r="B802" s="107" t="s">
        <v>836</v>
      </c>
    </row>
    <row r="803" spans="1:2">
      <c r="A803" s="107">
        <v>6151007</v>
      </c>
      <c r="B803" s="107" t="s">
        <v>837</v>
      </c>
    </row>
    <row r="804" spans="1:2">
      <c r="A804" s="107">
        <v>6151010</v>
      </c>
      <c r="B804" s="107" t="s">
        <v>838</v>
      </c>
    </row>
    <row r="805" spans="1:2">
      <c r="A805" s="107">
        <v>6151011</v>
      </c>
      <c r="B805" s="107" t="s">
        <v>839</v>
      </c>
    </row>
    <row r="806" spans="1:2">
      <c r="A806" s="107">
        <v>6151012</v>
      </c>
      <c r="B806" s="107" t="s">
        <v>840</v>
      </c>
    </row>
    <row r="807" spans="1:2">
      <c r="A807" s="107">
        <v>6151013</v>
      </c>
      <c r="B807" s="107" t="s">
        <v>841</v>
      </c>
    </row>
    <row r="808" spans="1:2">
      <c r="A808" s="107">
        <v>6151016</v>
      </c>
      <c r="B808" s="107" t="s">
        <v>842</v>
      </c>
    </row>
    <row r="809" spans="1:2">
      <c r="A809" s="107">
        <v>6151017</v>
      </c>
      <c r="B809" s="107" t="s">
        <v>843</v>
      </c>
    </row>
    <row r="810" spans="1:2">
      <c r="A810" s="107">
        <v>6151018</v>
      </c>
      <c r="B810" s="107" t="s">
        <v>844</v>
      </c>
    </row>
    <row r="811" spans="1:2">
      <c r="A811" s="107">
        <v>6151019</v>
      </c>
      <c r="B811" s="107" t="s">
        <v>845</v>
      </c>
    </row>
    <row r="812" spans="1:2">
      <c r="A812" s="107">
        <v>6151020</v>
      </c>
      <c r="B812" s="107" t="s">
        <v>846</v>
      </c>
    </row>
    <row r="813" spans="1:2">
      <c r="A813" s="107">
        <v>6151021</v>
      </c>
      <c r="B813" s="107" t="s">
        <v>847</v>
      </c>
    </row>
    <row r="814" spans="1:2">
      <c r="A814" s="107">
        <v>6151022</v>
      </c>
      <c r="B814" s="107" t="s">
        <v>848</v>
      </c>
    </row>
    <row r="815" spans="1:2">
      <c r="A815" s="107">
        <v>6151023</v>
      </c>
      <c r="B815" s="107" t="s">
        <v>849</v>
      </c>
    </row>
    <row r="816" spans="1:2">
      <c r="A816" s="107">
        <v>6151024</v>
      </c>
      <c r="B816" s="107" t="s">
        <v>850</v>
      </c>
    </row>
    <row r="817" spans="1:2">
      <c r="A817" s="107">
        <v>6151025</v>
      </c>
      <c r="B817" s="107" t="s">
        <v>851</v>
      </c>
    </row>
    <row r="818" spans="1:2">
      <c r="A818" s="107">
        <v>6151026</v>
      </c>
      <c r="B818" s="107" t="s">
        <v>852</v>
      </c>
    </row>
    <row r="819" spans="1:2">
      <c r="A819" s="107">
        <v>6151027</v>
      </c>
      <c r="B819" s="107" t="s">
        <v>842</v>
      </c>
    </row>
    <row r="820" spans="1:2">
      <c r="A820" s="107">
        <v>6151028</v>
      </c>
      <c r="B820" s="107" t="s">
        <v>853</v>
      </c>
    </row>
    <row r="821" spans="1:2">
      <c r="A821" s="107">
        <v>6151029</v>
      </c>
      <c r="B821" s="107" t="s">
        <v>854</v>
      </c>
    </row>
    <row r="822" spans="1:2">
      <c r="A822" s="107">
        <v>6151030</v>
      </c>
      <c r="B822" s="107" t="s">
        <v>855</v>
      </c>
    </row>
    <row r="823" spans="1:2">
      <c r="A823" s="107">
        <v>6151031</v>
      </c>
      <c r="B823" s="107" t="s">
        <v>856</v>
      </c>
    </row>
    <row r="824" spans="1:2">
      <c r="A824" s="107">
        <v>6151032</v>
      </c>
      <c r="B824" s="107" t="s">
        <v>857</v>
      </c>
    </row>
    <row r="825" spans="1:2">
      <c r="A825" s="107">
        <v>6151033</v>
      </c>
      <c r="B825" s="107" t="s">
        <v>858</v>
      </c>
    </row>
    <row r="826" spans="1:2">
      <c r="A826" s="107">
        <v>6151034</v>
      </c>
      <c r="B826" s="107" t="s">
        <v>859</v>
      </c>
    </row>
    <row r="827" spans="1:2">
      <c r="A827" s="107">
        <v>6151035</v>
      </c>
      <c r="B827" s="107" t="s">
        <v>860</v>
      </c>
    </row>
    <row r="828" spans="1:2">
      <c r="A828" s="107">
        <v>6151036</v>
      </c>
      <c r="B828" s="107" t="s">
        <v>861</v>
      </c>
    </row>
    <row r="829" spans="1:2">
      <c r="A829" s="107">
        <v>6151037</v>
      </c>
      <c r="B829" s="107" t="s">
        <v>862</v>
      </c>
    </row>
    <row r="830" spans="1:2">
      <c r="A830" s="107">
        <v>6151038</v>
      </c>
      <c r="B830" s="107" t="s">
        <v>863</v>
      </c>
    </row>
    <row r="831" spans="1:2">
      <c r="A831" s="107">
        <v>6151039</v>
      </c>
      <c r="B831" s="107" t="s">
        <v>864</v>
      </c>
    </row>
    <row r="832" spans="1:2">
      <c r="A832" s="107">
        <v>6151040</v>
      </c>
      <c r="B832" s="107" t="s">
        <v>865</v>
      </c>
    </row>
    <row r="833" spans="1:2">
      <c r="A833" s="107">
        <v>6151041</v>
      </c>
      <c r="B833" s="107" t="s">
        <v>866</v>
      </c>
    </row>
    <row r="834" spans="1:2">
      <c r="A834" s="107">
        <v>6151042</v>
      </c>
      <c r="B834" s="107" t="s">
        <v>867</v>
      </c>
    </row>
    <row r="835" spans="1:2">
      <c r="A835" s="107">
        <v>6151043</v>
      </c>
      <c r="B835" s="107" t="s">
        <v>868</v>
      </c>
    </row>
    <row r="836" spans="1:2">
      <c r="A836" s="107">
        <v>6151044</v>
      </c>
      <c r="B836" s="107" t="s">
        <v>869</v>
      </c>
    </row>
    <row r="837" spans="1:2">
      <c r="A837" s="107">
        <v>6151045</v>
      </c>
      <c r="B837" s="107" t="s">
        <v>2225</v>
      </c>
    </row>
    <row r="838" spans="1:2">
      <c r="A838" s="107">
        <v>6164001</v>
      </c>
      <c r="B838" s="107" t="s">
        <v>870</v>
      </c>
    </row>
    <row r="839" spans="1:2">
      <c r="A839" s="107">
        <v>6164002</v>
      </c>
      <c r="B839" s="107" t="s">
        <v>871</v>
      </c>
    </row>
    <row r="840" spans="1:2">
      <c r="A840" s="107">
        <v>6170003</v>
      </c>
      <c r="B840" s="107" t="s">
        <v>872</v>
      </c>
    </row>
    <row r="841" spans="1:2">
      <c r="A841" s="107">
        <v>6170004</v>
      </c>
      <c r="B841" s="107" t="s">
        <v>873</v>
      </c>
    </row>
    <row r="842" spans="1:2">
      <c r="A842" s="107">
        <v>6170005</v>
      </c>
      <c r="B842" s="107" t="s">
        <v>874</v>
      </c>
    </row>
    <row r="843" spans="1:2">
      <c r="A843" s="107">
        <v>6170006</v>
      </c>
      <c r="B843" s="107" t="s">
        <v>875</v>
      </c>
    </row>
    <row r="844" spans="1:2">
      <c r="A844" s="107">
        <v>6170007</v>
      </c>
      <c r="B844" s="107" t="s">
        <v>876</v>
      </c>
    </row>
    <row r="845" spans="1:2">
      <c r="A845" s="107">
        <v>6170008</v>
      </c>
      <c r="B845" s="107" t="s">
        <v>877</v>
      </c>
    </row>
    <row r="846" spans="1:2">
      <c r="A846" s="107">
        <v>6170009</v>
      </c>
      <c r="B846" s="107" t="s">
        <v>878</v>
      </c>
    </row>
    <row r="847" spans="1:2">
      <c r="A847" s="107">
        <v>6170010</v>
      </c>
      <c r="B847" s="107" t="s">
        <v>879</v>
      </c>
    </row>
    <row r="848" spans="1:2">
      <c r="A848" s="107">
        <v>6170012</v>
      </c>
      <c r="B848" s="107" t="s">
        <v>880</v>
      </c>
    </row>
    <row r="849" spans="1:2">
      <c r="A849" s="107">
        <v>6170013</v>
      </c>
      <c r="B849" s="107" t="s">
        <v>881</v>
      </c>
    </row>
    <row r="850" spans="1:2">
      <c r="A850" s="107">
        <v>6170014</v>
      </c>
      <c r="B850" s="107" t="s">
        <v>882</v>
      </c>
    </row>
    <row r="851" spans="1:2">
      <c r="A851" s="107">
        <v>6170015</v>
      </c>
      <c r="B851" s="107" t="s">
        <v>447</v>
      </c>
    </row>
    <row r="852" spans="1:2">
      <c r="A852" s="107">
        <v>6170016</v>
      </c>
      <c r="B852" s="107" t="s">
        <v>2226</v>
      </c>
    </row>
    <row r="853" spans="1:2">
      <c r="A853" s="107">
        <v>6170017</v>
      </c>
      <c r="B853" s="107" t="s">
        <v>883</v>
      </c>
    </row>
    <row r="854" spans="1:2">
      <c r="A854" s="107">
        <v>6170020</v>
      </c>
      <c r="B854" s="107" t="s">
        <v>880</v>
      </c>
    </row>
    <row r="855" spans="1:2">
      <c r="A855" s="107">
        <v>6170021</v>
      </c>
      <c r="B855" s="107" t="s">
        <v>884</v>
      </c>
    </row>
    <row r="856" spans="1:2">
      <c r="A856" s="107">
        <v>6170023</v>
      </c>
      <c r="B856" s="107" t="s">
        <v>885</v>
      </c>
    </row>
    <row r="857" spans="1:2">
      <c r="A857" s="107">
        <v>6170024</v>
      </c>
      <c r="B857" s="107" t="s">
        <v>886</v>
      </c>
    </row>
    <row r="858" spans="1:2">
      <c r="A858" s="107">
        <v>6170025</v>
      </c>
      <c r="B858" s="107" t="s">
        <v>2154</v>
      </c>
    </row>
    <row r="859" spans="1:2">
      <c r="A859" s="107">
        <v>6171376</v>
      </c>
      <c r="B859" s="107" t="s">
        <v>887</v>
      </c>
    </row>
    <row r="860" spans="1:2">
      <c r="A860" s="107">
        <v>6173001</v>
      </c>
      <c r="B860" s="107" t="s">
        <v>888</v>
      </c>
    </row>
    <row r="861" spans="1:2">
      <c r="A861" s="107">
        <v>6173002</v>
      </c>
      <c r="B861" s="107" t="s">
        <v>889</v>
      </c>
    </row>
    <row r="862" spans="1:2">
      <c r="A862" s="107">
        <v>6180001</v>
      </c>
      <c r="B862" s="107" t="s">
        <v>890</v>
      </c>
    </row>
    <row r="863" spans="1:2">
      <c r="A863" s="107">
        <v>6180003</v>
      </c>
      <c r="B863" s="107" t="s">
        <v>890</v>
      </c>
    </row>
    <row r="864" spans="1:2">
      <c r="A864" s="107">
        <v>6180004</v>
      </c>
      <c r="B864" s="107" t="s">
        <v>891</v>
      </c>
    </row>
    <row r="865" spans="1:2">
      <c r="A865" s="107">
        <v>6180005</v>
      </c>
      <c r="B865" s="107" t="s">
        <v>798</v>
      </c>
    </row>
    <row r="866" spans="1:2">
      <c r="A866" s="107">
        <v>6180006</v>
      </c>
      <c r="B866" s="107" t="s">
        <v>392</v>
      </c>
    </row>
    <row r="867" spans="1:2">
      <c r="A867" s="107">
        <v>6180008</v>
      </c>
      <c r="B867" s="107" t="s">
        <v>892</v>
      </c>
    </row>
    <row r="868" spans="1:2">
      <c r="A868" s="107">
        <v>6180009</v>
      </c>
      <c r="B868" s="107" t="s">
        <v>893</v>
      </c>
    </row>
    <row r="869" spans="1:2">
      <c r="A869" s="107">
        <v>6180012</v>
      </c>
      <c r="B869" s="107" t="s">
        <v>894</v>
      </c>
    </row>
    <row r="870" spans="1:2">
      <c r="A870" s="107">
        <v>6180013</v>
      </c>
      <c r="B870" s="107" t="s">
        <v>895</v>
      </c>
    </row>
    <row r="871" spans="1:2">
      <c r="A871" s="107">
        <v>6180017</v>
      </c>
      <c r="B871" s="107" t="s">
        <v>896</v>
      </c>
    </row>
    <row r="872" spans="1:2">
      <c r="A872" s="107">
        <v>6180018</v>
      </c>
      <c r="B872" s="107" t="s">
        <v>897</v>
      </c>
    </row>
    <row r="873" spans="1:2">
      <c r="A873" s="107">
        <v>8100246</v>
      </c>
      <c r="B873" s="107" t="s">
        <v>898</v>
      </c>
    </row>
    <row r="874" spans="1:2">
      <c r="A874" s="107">
        <v>8100250</v>
      </c>
      <c r="B874" s="107" t="s">
        <v>899</v>
      </c>
    </row>
    <row r="875" spans="1:2">
      <c r="A875" s="107">
        <v>8100286</v>
      </c>
      <c r="B875" s="107" t="s">
        <v>900</v>
      </c>
    </row>
    <row r="876" spans="1:2">
      <c r="A876" s="107">
        <v>8100447</v>
      </c>
      <c r="B876" s="107" t="s">
        <v>901</v>
      </c>
    </row>
    <row r="877" spans="1:2">
      <c r="A877" s="107">
        <v>8100536</v>
      </c>
      <c r="B877" s="107" t="s">
        <v>482</v>
      </c>
    </row>
    <row r="878" spans="1:2">
      <c r="A878" s="107">
        <v>8100538</v>
      </c>
      <c r="B878" s="107" t="s">
        <v>902</v>
      </c>
    </row>
    <row r="879" spans="1:2">
      <c r="A879" s="107">
        <v>8100572</v>
      </c>
      <c r="B879" s="107" t="s">
        <v>903</v>
      </c>
    </row>
    <row r="880" spans="1:2">
      <c r="A880" s="107">
        <v>8100573</v>
      </c>
      <c r="B880" s="107" t="s">
        <v>904</v>
      </c>
    </row>
    <row r="881" spans="1:2">
      <c r="A881" s="107">
        <v>8100576</v>
      </c>
      <c r="B881" s="107" t="s">
        <v>905</v>
      </c>
    </row>
    <row r="882" spans="1:2">
      <c r="A882" s="107">
        <v>8100583</v>
      </c>
      <c r="B882" s="107" t="s">
        <v>906</v>
      </c>
    </row>
    <row r="883" spans="1:2">
      <c r="A883" s="107">
        <v>8100585</v>
      </c>
      <c r="B883" s="107" t="s">
        <v>907</v>
      </c>
    </row>
    <row r="884" spans="1:2">
      <c r="A884" s="107">
        <v>8100589</v>
      </c>
      <c r="B884" s="107" t="s">
        <v>908</v>
      </c>
    </row>
    <row r="885" spans="1:2">
      <c r="A885" s="107">
        <v>8100590</v>
      </c>
      <c r="B885" s="107" t="s">
        <v>909</v>
      </c>
    </row>
    <row r="886" spans="1:2">
      <c r="A886" s="107">
        <v>8100591</v>
      </c>
      <c r="B886" s="107" t="s">
        <v>910</v>
      </c>
    </row>
    <row r="887" spans="1:2">
      <c r="A887" s="107">
        <v>8100602</v>
      </c>
      <c r="B887" s="107" t="s">
        <v>911</v>
      </c>
    </row>
    <row r="888" spans="1:2">
      <c r="A888" s="107">
        <v>8100608</v>
      </c>
      <c r="B888" s="107" t="s">
        <v>912</v>
      </c>
    </row>
    <row r="889" spans="1:2">
      <c r="A889" s="107">
        <v>8100615</v>
      </c>
      <c r="B889" s="107" t="s">
        <v>913</v>
      </c>
    </row>
    <row r="890" spans="1:2">
      <c r="A890" s="107">
        <v>8100619</v>
      </c>
      <c r="B890" s="107" t="s">
        <v>914</v>
      </c>
    </row>
    <row r="891" spans="1:2">
      <c r="A891" s="107">
        <v>8100622</v>
      </c>
      <c r="B891" s="107" t="s">
        <v>915</v>
      </c>
    </row>
    <row r="892" spans="1:2">
      <c r="A892" s="107">
        <v>8100623</v>
      </c>
      <c r="B892" s="107" t="s">
        <v>916</v>
      </c>
    </row>
    <row r="893" spans="1:2">
      <c r="A893" s="107">
        <v>8100624</v>
      </c>
      <c r="B893" s="107" t="s">
        <v>917</v>
      </c>
    </row>
    <row r="894" spans="1:2">
      <c r="A894" s="107">
        <v>8100705</v>
      </c>
      <c r="B894" s="107" t="s">
        <v>918</v>
      </c>
    </row>
    <row r="895" spans="1:2">
      <c r="A895" s="107">
        <v>8100760</v>
      </c>
      <c r="B895" s="107" t="s">
        <v>919</v>
      </c>
    </row>
    <row r="896" spans="1:2">
      <c r="A896" s="107">
        <v>8100762</v>
      </c>
      <c r="B896" s="107" t="s">
        <v>920</v>
      </c>
    </row>
    <row r="897" spans="1:2">
      <c r="A897" s="107">
        <v>8100793</v>
      </c>
      <c r="B897" s="107" t="s">
        <v>921</v>
      </c>
    </row>
    <row r="898" spans="1:2">
      <c r="A898" s="107">
        <v>8100820</v>
      </c>
      <c r="B898" s="107" t="s">
        <v>409</v>
      </c>
    </row>
    <row r="899" spans="1:2">
      <c r="A899" s="107">
        <v>8100835</v>
      </c>
      <c r="B899" s="107" t="s">
        <v>922</v>
      </c>
    </row>
    <row r="900" spans="1:2">
      <c r="A900" s="107">
        <v>8100879</v>
      </c>
      <c r="B900" s="107" t="s">
        <v>923</v>
      </c>
    </row>
    <row r="901" spans="1:2">
      <c r="A901" s="107">
        <v>8100880</v>
      </c>
      <c r="B901" s="107" t="s">
        <v>924</v>
      </c>
    </row>
    <row r="902" spans="1:2">
      <c r="A902" s="107">
        <v>8100911</v>
      </c>
      <c r="B902" s="107" t="s">
        <v>925</v>
      </c>
    </row>
    <row r="903" spans="1:2">
      <c r="A903" s="107">
        <v>8100926</v>
      </c>
      <c r="B903" s="107" t="s">
        <v>926</v>
      </c>
    </row>
    <row r="904" spans="1:2">
      <c r="A904" s="107">
        <v>8100927</v>
      </c>
      <c r="B904" s="107" t="s">
        <v>927</v>
      </c>
    </row>
    <row r="905" spans="1:2">
      <c r="A905" s="107">
        <v>8100928</v>
      </c>
      <c r="B905" s="107" t="s">
        <v>928</v>
      </c>
    </row>
    <row r="906" spans="1:2">
      <c r="A906" s="107">
        <v>8100930</v>
      </c>
      <c r="B906" s="107" t="s">
        <v>929</v>
      </c>
    </row>
    <row r="907" spans="1:2">
      <c r="A907" s="107">
        <v>8100932</v>
      </c>
      <c r="B907" s="107" t="s">
        <v>930</v>
      </c>
    </row>
    <row r="908" spans="1:2">
      <c r="A908" s="107">
        <v>8101022</v>
      </c>
      <c r="B908" s="107" t="s">
        <v>931</v>
      </c>
    </row>
    <row r="909" spans="1:2">
      <c r="A909" s="107">
        <v>8101027</v>
      </c>
      <c r="B909" s="107" t="s">
        <v>932</v>
      </c>
    </row>
    <row r="910" spans="1:2">
      <c r="A910" s="107">
        <v>8101028</v>
      </c>
      <c r="B910" s="107" t="s">
        <v>933</v>
      </c>
    </row>
    <row r="911" spans="1:2">
      <c r="A911" s="107">
        <v>8101056</v>
      </c>
      <c r="B911" s="107" t="s">
        <v>934</v>
      </c>
    </row>
    <row r="912" spans="1:2">
      <c r="A912" s="107">
        <v>8101158</v>
      </c>
      <c r="B912" s="107" t="s">
        <v>935</v>
      </c>
    </row>
    <row r="913" spans="1:2">
      <c r="A913" s="107">
        <v>8101166</v>
      </c>
      <c r="B913" s="107" t="s">
        <v>936</v>
      </c>
    </row>
    <row r="914" spans="1:2">
      <c r="A914" s="107">
        <v>8101170</v>
      </c>
      <c r="B914" s="107" t="s">
        <v>937</v>
      </c>
    </row>
    <row r="915" spans="1:2">
      <c r="A915" s="107">
        <v>8101176</v>
      </c>
      <c r="B915" s="107" t="s">
        <v>938</v>
      </c>
    </row>
    <row r="916" spans="1:2">
      <c r="A916" s="107">
        <v>8101189</v>
      </c>
      <c r="B916" s="107" t="s">
        <v>939</v>
      </c>
    </row>
    <row r="917" spans="1:2">
      <c r="A917" s="107">
        <v>8101192</v>
      </c>
      <c r="B917" s="107" t="s">
        <v>940</v>
      </c>
    </row>
    <row r="918" spans="1:2">
      <c r="A918" s="107">
        <v>8101202</v>
      </c>
      <c r="B918" s="107" t="s">
        <v>941</v>
      </c>
    </row>
    <row r="919" spans="1:2">
      <c r="A919" s="107">
        <v>8101203</v>
      </c>
      <c r="B919" s="107" t="s">
        <v>942</v>
      </c>
    </row>
    <row r="920" spans="1:2">
      <c r="A920" s="107">
        <v>8101214</v>
      </c>
      <c r="B920" s="107" t="s">
        <v>943</v>
      </c>
    </row>
    <row r="921" spans="1:2">
      <c r="A921" s="107">
        <v>8101236</v>
      </c>
      <c r="B921" s="107" t="s">
        <v>944</v>
      </c>
    </row>
    <row r="922" spans="1:2">
      <c r="A922" s="107">
        <v>8101238</v>
      </c>
      <c r="B922" s="107" t="s">
        <v>945</v>
      </c>
    </row>
    <row r="923" spans="1:2">
      <c r="A923" s="107">
        <v>8101254</v>
      </c>
      <c r="B923" s="107" t="s">
        <v>946</v>
      </c>
    </row>
    <row r="924" spans="1:2">
      <c r="A924" s="107">
        <v>8101255</v>
      </c>
      <c r="B924" s="107" t="s">
        <v>947</v>
      </c>
    </row>
    <row r="925" spans="1:2">
      <c r="A925" s="107">
        <v>8101260</v>
      </c>
      <c r="B925" s="107" t="s">
        <v>948</v>
      </c>
    </row>
    <row r="926" spans="1:2">
      <c r="A926" s="107">
        <v>8101261</v>
      </c>
      <c r="B926" s="107" t="s">
        <v>434</v>
      </c>
    </row>
    <row r="927" spans="1:2">
      <c r="A927" s="107">
        <v>8101263</v>
      </c>
      <c r="B927" s="107" t="s">
        <v>949</v>
      </c>
    </row>
    <row r="928" spans="1:2">
      <c r="A928" s="107">
        <v>8101267</v>
      </c>
      <c r="B928" s="107" t="s">
        <v>950</v>
      </c>
    </row>
    <row r="929" spans="1:2">
      <c r="A929" s="107">
        <v>8101269</v>
      </c>
      <c r="B929" s="107" t="s">
        <v>951</v>
      </c>
    </row>
    <row r="930" spans="1:2">
      <c r="A930" s="107">
        <v>8101271</v>
      </c>
      <c r="B930" s="107" t="s">
        <v>952</v>
      </c>
    </row>
    <row r="931" spans="1:2">
      <c r="A931" s="107">
        <v>8101272</v>
      </c>
      <c r="B931" s="107" t="s">
        <v>953</v>
      </c>
    </row>
    <row r="932" spans="1:2">
      <c r="A932" s="107">
        <v>8101273</v>
      </c>
      <c r="B932" s="107" t="s">
        <v>954</v>
      </c>
    </row>
    <row r="933" spans="1:2">
      <c r="A933" s="107">
        <v>8101274</v>
      </c>
      <c r="B933" s="107" t="s">
        <v>955</v>
      </c>
    </row>
    <row r="934" spans="1:2">
      <c r="A934" s="107">
        <v>8101282</v>
      </c>
      <c r="B934" s="107" t="s">
        <v>956</v>
      </c>
    </row>
    <row r="935" spans="1:2">
      <c r="A935" s="107">
        <v>8101286</v>
      </c>
      <c r="B935" s="107" t="s">
        <v>957</v>
      </c>
    </row>
    <row r="936" spans="1:2">
      <c r="A936" s="107">
        <v>8101290</v>
      </c>
      <c r="B936" s="107" t="s">
        <v>958</v>
      </c>
    </row>
    <row r="937" spans="1:2">
      <c r="A937" s="107">
        <v>8101291</v>
      </c>
      <c r="B937" s="107" t="s">
        <v>959</v>
      </c>
    </row>
    <row r="938" spans="1:2">
      <c r="A938" s="107">
        <v>8101292</v>
      </c>
      <c r="B938" s="107" t="s">
        <v>960</v>
      </c>
    </row>
    <row r="939" spans="1:2">
      <c r="A939" s="107">
        <v>8101293</v>
      </c>
      <c r="B939" s="107" t="s">
        <v>961</v>
      </c>
    </row>
    <row r="940" spans="1:2">
      <c r="A940" s="107">
        <v>8101294</v>
      </c>
      <c r="B940" s="107" t="s">
        <v>962</v>
      </c>
    </row>
    <row r="941" spans="1:2">
      <c r="A941" s="107">
        <v>8101295</v>
      </c>
      <c r="B941" s="107" t="s">
        <v>963</v>
      </c>
    </row>
    <row r="942" spans="1:2">
      <c r="A942" s="107">
        <v>8101296</v>
      </c>
      <c r="B942" s="107" t="s">
        <v>964</v>
      </c>
    </row>
    <row r="943" spans="1:2">
      <c r="A943" s="107">
        <v>8101297</v>
      </c>
      <c r="B943" s="107" t="s">
        <v>965</v>
      </c>
    </row>
    <row r="944" spans="1:2">
      <c r="A944" s="107">
        <v>8101298</v>
      </c>
      <c r="B944" s="107" t="s">
        <v>966</v>
      </c>
    </row>
    <row r="945" spans="1:2">
      <c r="A945" s="107">
        <v>8101299</v>
      </c>
      <c r="B945" s="107" t="s">
        <v>967</v>
      </c>
    </row>
    <row r="946" spans="1:2">
      <c r="A946" s="107">
        <v>8101300</v>
      </c>
      <c r="B946" s="107" t="s">
        <v>968</v>
      </c>
    </row>
    <row r="947" spans="1:2">
      <c r="A947" s="107">
        <v>8101301</v>
      </c>
      <c r="B947" s="107" t="s">
        <v>969</v>
      </c>
    </row>
    <row r="948" spans="1:2">
      <c r="A948" s="107">
        <v>8101302</v>
      </c>
      <c r="B948" s="107" t="s">
        <v>970</v>
      </c>
    </row>
    <row r="949" spans="1:2">
      <c r="A949" s="107">
        <v>8101303</v>
      </c>
      <c r="B949" s="107" t="s">
        <v>971</v>
      </c>
    </row>
    <row r="950" spans="1:2">
      <c r="A950" s="107">
        <v>8101304</v>
      </c>
      <c r="B950" s="107" t="s">
        <v>972</v>
      </c>
    </row>
    <row r="951" spans="1:2">
      <c r="A951" s="107">
        <v>8101305</v>
      </c>
      <c r="B951" s="107" t="s">
        <v>973</v>
      </c>
    </row>
    <row r="952" spans="1:2">
      <c r="A952" s="107">
        <v>8101306</v>
      </c>
      <c r="B952" s="107" t="s">
        <v>974</v>
      </c>
    </row>
    <row r="953" spans="1:2">
      <c r="A953" s="107">
        <v>8101307</v>
      </c>
      <c r="B953" s="107" t="s">
        <v>975</v>
      </c>
    </row>
    <row r="954" spans="1:2">
      <c r="A954" s="107">
        <v>8101308</v>
      </c>
      <c r="B954" s="107" t="s">
        <v>976</v>
      </c>
    </row>
    <row r="955" spans="1:2">
      <c r="A955" s="107">
        <v>8101309</v>
      </c>
      <c r="B955" s="107" t="s">
        <v>977</v>
      </c>
    </row>
    <row r="956" spans="1:2">
      <c r="A956" s="107">
        <v>8101310</v>
      </c>
      <c r="B956" s="107" t="s">
        <v>978</v>
      </c>
    </row>
    <row r="957" spans="1:2">
      <c r="A957" s="107">
        <v>8101311</v>
      </c>
      <c r="B957" s="107" t="s">
        <v>979</v>
      </c>
    </row>
    <row r="958" spans="1:2">
      <c r="A958" s="107">
        <v>8101312</v>
      </c>
      <c r="B958" s="107" t="s">
        <v>980</v>
      </c>
    </row>
    <row r="959" spans="1:2">
      <c r="A959" s="107">
        <v>8101313</v>
      </c>
      <c r="B959" s="107" t="s">
        <v>981</v>
      </c>
    </row>
    <row r="960" spans="1:2">
      <c r="A960" s="107">
        <v>8101314</v>
      </c>
      <c r="B960" s="107" t="s">
        <v>982</v>
      </c>
    </row>
    <row r="961" spans="1:2">
      <c r="A961" s="107">
        <v>8101315</v>
      </c>
      <c r="B961" s="107" t="s">
        <v>983</v>
      </c>
    </row>
    <row r="962" spans="1:2">
      <c r="A962" s="107">
        <v>8101316</v>
      </c>
      <c r="B962" s="107" t="s">
        <v>984</v>
      </c>
    </row>
    <row r="963" spans="1:2">
      <c r="A963" s="107">
        <v>8101317</v>
      </c>
      <c r="B963" s="107" t="s">
        <v>985</v>
      </c>
    </row>
    <row r="964" spans="1:2">
      <c r="A964" s="107">
        <v>8101318</v>
      </c>
      <c r="B964" s="107" t="s">
        <v>986</v>
      </c>
    </row>
    <row r="965" spans="1:2">
      <c r="A965" s="107">
        <v>8101319</v>
      </c>
      <c r="B965" s="107" t="s">
        <v>987</v>
      </c>
    </row>
    <row r="966" spans="1:2">
      <c r="A966" s="107">
        <v>8101320</v>
      </c>
      <c r="B966" s="107" t="s">
        <v>988</v>
      </c>
    </row>
    <row r="967" spans="1:2">
      <c r="A967" s="107">
        <v>8101321</v>
      </c>
      <c r="B967" s="107" t="s">
        <v>989</v>
      </c>
    </row>
    <row r="968" spans="1:2">
      <c r="A968" s="107">
        <v>8101323</v>
      </c>
      <c r="B968" s="107" t="s">
        <v>308</v>
      </c>
    </row>
    <row r="969" spans="1:2">
      <c r="A969" s="107">
        <v>8101324</v>
      </c>
      <c r="B969" s="107" t="s">
        <v>990</v>
      </c>
    </row>
    <row r="970" spans="1:2">
      <c r="A970" s="107">
        <v>8101325</v>
      </c>
      <c r="B970" s="107" t="s">
        <v>991</v>
      </c>
    </row>
    <row r="971" spans="1:2">
      <c r="A971" s="107">
        <v>8101326</v>
      </c>
      <c r="B971" s="107" t="s">
        <v>992</v>
      </c>
    </row>
    <row r="972" spans="1:2">
      <c r="A972" s="107">
        <v>8101327</v>
      </c>
      <c r="B972" s="107" t="s">
        <v>993</v>
      </c>
    </row>
    <row r="973" spans="1:2">
      <c r="A973" s="107">
        <v>8101328</v>
      </c>
      <c r="B973" s="107" t="s">
        <v>994</v>
      </c>
    </row>
    <row r="974" spans="1:2">
      <c r="A974" s="107">
        <v>8101329</v>
      </c>
      <c r="B974" s="107" t="s">
        <v>995</v>
      </c>
    </row>
    <row r="975" spans="1:2">
      <c r="A975" s="107">
        <v>8101330</v>
      </c>
      <c r="B975" s="107" t="s">
        <v>996</v>
      </c>
    </row>
    <row r="976" spans="1:2">
      <c r="A976" s="107">
        <v>8101331</v>
      </c>
      <c r="B976" s="107" t="s">
        <v>997</v>
      </c>
    </row>
    <row r="977" spans="1:2">
      <c r="A977" s="107">
        <v>8101332</v>
      </c>
      <c r="B977" s="107" t="s">
        <v>998</v>
      </c>
    </row>
    <row r="978" spans="1:2">
      <c r="A978" s="107">
        <v>8101333</v>
      </c>
      <c r="B978" s="107" t="s">
        <v>999</v>
      </c>
    </row>
    <row r="979" spans="1:2">
      <c r="A979" s="107">
        <v>8101334</v>
      </c>
      <c r="B979" s="107" t="s">
        <v>1000</v>
      </c>
    </row>
    <row r="980" spans="1:2">
      <c r="A980" s="107">
        <v>8101335</v>
      </c>
      <c r="B980" s="107" t="s">
        <v>1001</v>
      </c>
    </row>
    <row r="981" spans="1:2">
      <c r="A981" s="107">
        <v>8101336</v>
      </c>
      <c r="B981" s="107" t="s">
        <v>1002</v>
      </c>
    </row>
    <row r="982" spans="1:2">
      <c r="A982" s="107">
        <v>8101337</v>
      </c>
      <c r="B982" s="107" t="s">
        <v>1003</v>
      </c>
    </row>
    <row r="983" spans="1:2">
      <c r="A983" s="107">
        <v>8101338</v>
      </c>
      <c r="B983" s="107" t="s">
        <v>1004</v>
      </c>
    </row>
    <row r="984" spans="1:2">
      <c r="A984" s="107">
        <v>8101339</v>
      </c>
      <c r="B984" s="107" t="s">
        <v>1005</v>
      </c>
    </row>
    <row r="985" spans="1:2">
      <c r="A985" s="107">
        <v>8101340</v>
      </c>
      <c r="B985" s="107" t="s">
        <v>1006</v>
      </c>
    </row>
    <row r="986" spans="1:2">
      <c r="A986" s="107">
        <v>8101341</v>
      </c>
      <c r="B986" s="107" t="s">
        <v>1007</v>
      </c>
    </row>
    <row r="987" spans="1:2">
      <c r="A987" s="107">
        <v>8101342</v>
      </c>
      <c r="B987" s="107" t="s">
        <v>1008</v>
      </c>
    </row>
    <row r="988" spans="1:2">
      <c r="A988" s="107">
        <v>8101343</v>
      </c>
      <c r="B988" s="107" t="s">
        <v>1009</v>
      </c>
    </row>
    <row r="989" spans="1:2">
      <c r="A989" s="107">
        <v>8101344</v>
      </c>
      <c r="B989" s="107" t="s">
        <v>1010</v>
      </c>
    </row>
    <row r="990" spans="1:2">
      <c r="A990" s="107">
        <v>8101345</v>
      </c>
      <c r="B990" s="107" t="s">
        <v>1011</v>
      </c>
    </row>
    <row r="991" spans="1:2">
      <c r="A991" s="107">
        <v>8101346</v>
      </c>
      <c r="B991" s="107" t="s">
        <v>1012</v>
      </c>
    </row>
    <row r="992" spans="1:2">
      <c r="A992" s="107">
        <v>8101347</v>
      </c>
      <c r="B992" s="107" t="s">
        <v>1013</v>
      </c>
    </row>
    <row r="993" spans="1:2">
      <c r="A993" s="107">
        <v>8101348</v>
      </c>
      <c r="B993" s="107" t="s">
        <v>1014</v>
      </c>
    </row>
    <row r="994" spans="1:2">
      <c r="A994" s="107">
        <v>8101349</v>
      </c>
      <c r="B994" s="107" t="s">
        <v>1015</v>
      </c>
    </row>
    <row r="995" spans="1:2">
      <c r="A995" s="107">
        <v>8101350</v>
      </c>
      <c r="B995" s="107" t="s">
        <v>1016</v>
      </c>
    </row>
    <row r="996" spans="1:2">
      <c r="A996" s="107">
        <v>8101351</v>
      </c>
      <c r="B996" s="107" t="s">
        <v>1017</v>
      </c>
    </row>
    <row r="997" spans="1:2">
      <c r="A997" s="107">
        <v>8101352</v>
      </c>
      <c r="B997" s="107" t="s">
        <v>1018</v>
      </c>
    </row>
    <row r="998" spans="1:2">
      <c r="A998" s="107">
        <v>8101353</v>
      </c>
      <c r="B998" s="107" t="s">
        <v>1019</v>
      </c>
    </row>
    <row r="999" spans="1:2">
      <c r="A999" s="107">
        <v>8101354</v>
      </c>
      <c r="B999" s="107" t="s">
        <v>1020</v>
      </c>
    </row>
    <row r="1000" spans="1:2">
      <c r="A1000" s="107">
        <v>8101355</v>
      </c>
      <c r="B1000" s="107" t="s">
        <v>1021</v>
      </c>
    </row>
    <row r="1001" spans="1:2">
      <c r="A1001" s="107">
        <v>8101356</v>
      </c>
      <c r="B1001" s="107" t="s">
        <v>1022</v>
      </c>
    </row>
    <row r="1002" spans="1:2">
      <c r="A1002" s="107">
        <v>8101357</v>
      </c>
      <c r="B1002" s="107" t="s">
        <v>1023</v>
      </c>
    </row>
    <row r="1003" spans="1:2">
      <c r="A1003" s="107">
        <v>8101358</v>
      </c>
      <c r="B1003" s="107" t="s">
        <v>1024</v>
      </c>
    </row>
    <row r="1004" spans="1:2">
      <c r="A1004" s="107">
        <v>8101359</v>
      </c>
      <c r="B1004" s="107" t="s">
        <v>1025</v>
      </c>
    </row>
    <row r="1005" spans="1:2">
      <c r="A1005" s="107">
        <v>8101360</v>
      </c>
      <c r="B1005" s="107" t="s">
        <v>1026</v>
      </c>
    </row>
    <row r="1006" spans="1:2">
      <c r="A1006" s="107">
        <v>8101361</v>
      </c>
      <c r="B1006" s="107" t="s">
        <v>1027</v>
      </c>
    </row>
    <row r="1007" spans="1:2">
      <c r="A1007" s="107">
        <v>8101362</v>
      </c>
      <c r="B1007" s="107" t="s">
        <v>1028</v>
      </c>
    </row>
    <row r="1008" spans="1:2">
      <c r="A1008" s="107">
        <v>8101363</v>
      </c>
      <c r="B1008" s="107" t="s">
        <v>1029</v>
      </c>
    </row>
    <row r="1009" spans="1:2">
      <c r="A1009" s="107">
        <v>8101364</v>
      </c>
      <c r="B1009" s="107" t="s">
        <v>1030</v>
      </c>
    </row>
    <row r="1010" spans="1:2">
      <c r="A1010" s="107">
        <v>8101365</v>
      </c>
      <c r="B1010" s="107" t="s">
        <v>1031</v>
      </c>
    </row>
    <row r="1011" spans="1:2">
      <c r="A1011" s="107">
        <v>8101366</v>
      </c>
      <c r="B1011" s="107" t="s">
        <v>1032</v>
      </c>
    </row>
    <row r="1012" spans="1:2">
      <c r="A1012" s="107">
        <v>8101367</v>
      </c>
      <c r="B1012" s="107" t="s">
        <v>667</v>
      </c>
    </row>
    <row r="1013" spans="1:2">
      <c r="A1013" s="107">
        <v>8101368</v>
      </c>
      <c r="B1013" s="107" t="s">
        <v>1033</v>
      </c>
    </row>
    <row r="1014" spans="1:2">
      <c r="A1014" s="107">
        <v>8101369</v>
      </c>
      <c r="B1014" s="107" t="s">
        <v>1034</v>
      </c>
    </row>
    <row r="1015" spans="1:2">
      <c r="A1015" s="107">
        <v>8101370</v>
      </c>
      <c r="B1015" s="107" t="s">
        <v>469</v>
      </c>
    </row>
    <row r="1016" spans="1:2">
      <c r="A1016" s="107">
        <v>8101371</v>
      </c>
      <c r="B1016" s="107" t="s">
        <v>1035</v>
      </c>
    </row>
    <row r="1017" spans="1:2">
      <c r="A1017" s="107">
        <v>8101372</v>
      </c>
      <c r="B1017" s="107" t="s">
        <v>1036</v>
      </c>
    </row>
    <row r="1018" spans="1:2">
      <c r="A1018" s="107">
        <v>8101374</v>
      </c>
      <c r="B1018" s="107" t="s">
        <v>1037</v>
      </c>
    </row>
    <row r="1019" spans="1:2">
      <c r="A1019" s="107">
        <v>8101375</v>
      </c>
      <c r="B1019" s="107" t="s">
        <v>1038</v>
      </c>
    </row>
    <row r="1020" spans="1:2">
      <c r="A1020" s="107">
        <v>8101376</v>
      </c>
      <c r="B1020" s="107" t="s">
        <v>1039</v>
      </c>
    </row>
    <row r="1021" spans="1:2">
      <c r="A1021" s="107">
        <v>8101377</v>
      </c>
      <c r="B1021" s="107" t="s">
        <v>1040</v>
      </c>
    </row>
    <row r="1022" spans="1:2">
      <c r="A1022" s="107">
        <v>8101378</v>
      </c>
      <c r="B1022" s="107" t="s">
        <v>1041</v>
      </c>
    </row>
    <row r="1023" spans="1:2">
      <c r="A1023" s="107">
        <v>8101379</v>
      </c>
      <c r="B1023" s="107" t="s">
        <v>1042</v>
      </c>
    </row>
    <row r="1024" spans="1:2">
      <c r="A1024" s="107">
        <v>8101380</v>
      </c>
      <c r="B1024" s="107" t="s">
        <v>1043</v>
      </c>
    </row>
    <row r="1025" spans="1:2">
      <c r="A1025" s="107">
        <v>8101381</v>
      </c>
      <c r="B1025" s="107" t="s">
        <v>1044</v>
      </c>
    </row>
    <row r="1026" spans="1:2">
      <c r="A1026" s="107">
        <v>8101382</v>
      </c>
      <c r="B1026" s="107" t="s">
        <v>1045</v>
      </c>
    </row>
    <row r="1027" spans="1:2">
      <c r="A1027" s="107">
        <v>8101383</v>
      </c>
      <c r="B1027" s="107" t="s">
        <v>1046</v>
      </c>
    </row>
    <row r="1028" spans="1:2">
      <c r="A1028" s="107">
        <v>8101384</v>
      </c>
      <c r="B1028" s="107" t="s">
        <v>1029</v>
      </c>
    </row>
    <row r="1029" spans="1:2">
      <c r="A1029" s="107">
        <v>8101385</v>
      </c>
      <c r="B1029" s="107" t="s">
        <v>1047</v>
      </c>
    </row>
    <row r="1030" spans="1:2">
      <c r="A1030" s="107">
        <v>8101386</v>
      </c>
      <c r="B1030" s="107" t="s">
        <v>1048</v>
      </c>
    </row>
    <row r="1031" spans="1:2">
      <c r="A1031" s="107">
        <v>8101387</v>
      </c>
      <c r="B1031" s="107" t="s">
        <v>1049</v>
      </c>
    </row>
    <row r="1032" spans="1:2">
      <c r="A1032" s="107">
        <v>8101388</v>
      </c>
      <c r="B1032" s="107" t="s">
        <v>1050</v>
      </c>
    </row>
    <row r="1033" spans="1:2">
      <c r="A1033" s="107">
        <v>8101389</v>
      </c>
      <c r="B1033" s="107" t="s">
        <v>1051</v>
      </c>
    </row>
    <row r="1034" spans="1:2">
      <c r="A1034" s="107">
        <v>8101390</v>
      </c>
      <c r="B1034" s="107" t="s">
        <v>484</v>
      </c>
    </row>
    <row r="1035" spans="1:2">
      <c r="A1035" s="107">
        <v>8101391</v>
      </c>
      <c r="B1035" s="107" t="s">
        <v>1052</v>
      </c>
    </row>
    <row r="1036" spans="1:2">
      <c r="A1036" s="107">
        <v>8101392</v>
      </c>
      <c r="B1036" s="107" t="s">
        <v>1053</v>
      </c>
    </row>
    <row r="1037" spans="1:2">
      <c r="A1037" s="107">
        <v>8101393</v>
      </c>
      <c r="B1037" s="107" t="s">
        <v>1054</v>
      </c>
    </row>
    <row r="1038" spans="1:2">
      <c r="A1038" s="107">
        <v>8101394</v>
      </c>
      <c r="B1038" s="107" t="s">
        <v>495</v>
      </c>
    </row>
    <row r="1039" spans="1:2">
      <c r="A1039" s="107">
        <v>8101395</v>
      </c>
      <c r="B1039" s="107" t="s">
        <v>1055</v>
      </c>
    </row>
    <row r="1040" spans="1:2">
      <c r="A1040" s="107">
        <v>8101396</v>
      </c>
      <c r="B1040" s="107" t="s">
        <v>1056</v>
      </c>
    </row>
    <row r="1041" spans="1:2">
      <c r="A1041" s="107">
        <v>8101397</v>
      </c>
      <c r="B1041" s="107" t="s">
        <v>1057</v>
      </c>
    </row>
    <row r="1042" spans="1:2">
      <c r="A1042" s="107">
        <v>8101398</v>
      </c>
      <c r="B1042" s="107" t="s">
        <v>2164</v>
      </c>
    </row>
    <row r="1043" spans="1:2">
      <c r="A1043" s="107">
        <v>8101399</v>
      </c>
      <c r="B1043" s="107" t="s">
        <v>1058</v>
      </c>
    </row>
    <row r="1044" spans="1:2">
      <c r="A1044" s="107">
        <v>8101400</v>
      </c>
      <c r="B1044" s="107" t="s">
        <v>1059</v>
      </c>
    </row>
    <row r="1045" spans="1:2">
      <c r="A1045" s="107">
        <v>8101401</v>
      </c>
      <c r="B1045" s="107" t="s">
        <v>1060</v>
      </c>
    </row>
    <row r="1046" spans="1:2">
      <c r="A1046" s="107">
        <v>8101402</v>
      </c>
      <c r="B1046" s="107" t="s">
        <v>1061</v>
      </c>
    </row>
    <row r="1047" spans="1:2">
      <c r="A1047" s="107">
        <v>8101403</v>
      </c>
      <c r="B1047" s="107" t="s">
        <v>1062</v>
      </c>
    </row>
    <row r="1048" spans="1:2">
      <c r="A1048" s="107">
        <v>8101404</v>
      </c>
      <c r="B1048" s="107" t="s">
        <v>1063</v>
      </c>
    </row>
    <row r="1049" spans="1:2">
      <c r="A1049" s="107">
        <v>8101405</v>
      </c>
      <c r="B1049" s="107" t="s">
        <v>1064</v>
      </c>
    </row>
    <row r="1050" spans="1:2">
      <c r="A1050" s="107">
        <v>8101406</v>
      </c>
      <c r="B1050" s="107" t="s">
        <v>1065</v>
      </c>
    </row>
    <row r="1051" spans="1:2">
      <c r="A1051" s="107">
        <v>8101407</v>
      </c>
      <c r="B1051" s="107" t="s">
        <v>1066</v>
      </c>
    </row>
    <row r="1052" spans="1:2">
      <c r="A1052" s="107">
        <v>8101408</v>
      </c>
      <c r="B1052" s="107" t="s">
        <v>1067</v>
      </c>
    </row>
    <row r="1053" spans="1:2">
      <c r="A1053" s="107">
        <v>8101409</v>
      </c>
      <c r="B1053" s="107" t="s">
        <v>1068</v>
      </c>
    </row>
    <row r="1054" spans="1:2">
      <c r="A1054" s="107">
        <v>8101411</v>
      </c>
      <c r="B1054" s="107" t="s">
        <v>1069</v>
      </c>
    </row>
    <row r="1055" spans="1:2">
      <c r="A1055" s="107">
        <v>8101412</v>
      </c>
      <c r="B1055" s="107" t="s">
        <v>1070</v>
      </c>
    </row>
    <row r="1056" spans="1:2">
      <c r="A1056" s="107">
        <v>8101413</v>
      </c>
      <c r="B1056" s="107" t="s">
        <v>1071</v>
      </c>
    </row>
    <row r="1057" spans="1:2">
      <c r="A1057" s="107">
        <v>8101414</v>
      </c>
      <c r="B1057" s="107" t="s">
        <v>1072</v>
      </c>
    </row>
    <row r="1058" spans="1:2">
      <c r="A1058" s="107">
        <v>8101415</v>
      </c>
      <c r="B1058" s="107" t="s">
        <v>1073</v>
      </c>
    </row>
    <row r="1059" spans="1:2">
      <c r="A1059" s="107">
        <v>8101416</v>
      </c>
      <c r="B1059" s="107" t="s">
        <v>1074</v>
      </c>
    </row>
    <row r="1060" spans="1:2">
      <c r="A1060" s="107">
        <v>8101417</v>
      </c>
      <c r="B1060" s="107" t="s">
        <v>1075</v>
      </c>
    </row>
    <row r="1061" spans="1:2">
      <c r="A1061" s="107">
        <v>8101418</v>
      </c>
      <c r="B1061" s="107" t="s">
        <v>1076</v>
      </c>
    </row>
    <row r="1062" spans="1:2">
      <c r="A1062" s="107">
        <v>8101419</v>
      </c>
      <c r="B1062" s="107" t="s">
        <v>1077</v>
      </c>
    </row>
    <row r="1063" spans="1:2">
      <c r="A1063" s="107">
        <v>8101420</v>
      </c>
      <c r="B1063" s="107" t="s">
        <v>1078</v>
      </c>
    </row>
    <row r="1064" spans="1:2">
      <c r="A1064" s="107">
        <v>8101421</v>
      </c>
      <c r="B1064" s="107" t="s">
        <v>1079</v>
      </c>
    </row>
    <row r="1065" spans="1:2">
      <c r="A1065" s="107">
        <v>8101422</v>
      </c>
      <c r="B1065" s="107" t="s">
        <v>1080</v>
      </c>
    </row>
    <row r="1066" spans="1:2">
      <c r="A1066" s="107">
        <v>8101423</v>
      </c>
      <c r="B1066" s="107" t="s">
        <v>1081</v>
      </c>
    </row>
    <row r="1067" spans="1:2">
      <c r="A1067" s="107">
        <v>8101424</v>
      </c>
      <c r="B1067" s="107" t="s">
        <v>1082</v>
      </c>
    </row>
    <row r="1068" spans="1:2">
      <c r="A1068" s="107">
        <v>8101425</v>
      </c>
      <c r="B1068" s="107" t="s">
        <v>1083</v>
      </c>
    </row>
    <row r="1069" spans="1:2">
      <c r="A1069" s="107">
        <v>8101426</v>
      </c>
      <c r="B1069" s="107" t="s">
        <v>1084</v>
      </c>
    </row>
    <row r="1070" spans="1:2">
      <c r="A1070" s="107">
        <v>8101427</v>
      </c>
      <c r="B1070" s="107" t="s">
        <v>1085</v>
      </c>
    </row>
    <row r="1071" spans="1:2">
      <c r="A1071" s="107">
        <v>8101428</v>
      </c>
      <c r="B1071" s="107" t="s">
        <v>507</v>
      </c>
    </row>
    <row r="1072" spans="1:2">
      <c r="A1072" s="107">
        <v>8101429</v>
      </c>
      <c r="B1072" s="107" t="s">
        <v>1086</v>
      </c>
    </row>
    <row r="1073" spans="1:2">
      <c r="A1073" s="107">
        <v>8101430</v>
      </c>
      <c r="B1073" s="107" t="s">
        <v>1087</v>
      </c>
    </row>
    <row r="1074" spans="1:2">
      <c r="A1074" s="107">
        <v>8101431</v>
      </c>
      <c r="B1074" s="107" t="s">
        <v>1088</v>
      </c>
    </row>
    <row r="1075" spans="1:2">
      <c r="A1075" s="107">
        <v>8101432</v>
      </c>
      <c r="B1075" s="107" t="s">
        <v>1089</v>
      </c>
    </row>
    <row r="1076" spans="1:2">
      <c r="A1076" s="107">
        <v>8101433</v>
      </c>
      <c r="B1076" s="107" t="s">
        <v>1090</v>
      </c>
    </row>
    <row r="1077" spans="1:2">
      <c r="A1077" s="107">
        <v>8101434</v>
      </c>
      <c r="B1077" s="107" t="s">
        <v>1091</v>
      </c>
    </row>
    <row r="1078" spans="1:2">
      <c r="A1078" s="107">
        <v>8101435</v>
      </c>
      <c r="B1078" s="107" t="s">
        <v>1092</v>
      </c>
    </row>
    <row r="1079" spans="1:2">
      <c r="A1079" s="107">
        <v>8101436</v>
      </c>
      <c r="B1079" s="107" t="s">
        <v>1093</v>
      </c>
    </row>
    <row r="1080" spans="1:2">
      <c r="A1080" s="107">
        <v>8101437</v>
      </c>
      <c r="B1080" s="107" t="s">
        <v>410</v>
      </c>
    </row>
    <row r="1081" spans="1:2">
      <c r="A1081" s="107">
        <v>8101438</v>
      </c>
      <c r="B1081" s="107" t="s">
        <v>1094</v>
      </c>
    </row>
    <row r="1082" spans="1:2">
      <c r="A1082" s="107">
        <v>8101439</v>
      </c>
      <c r="B1082" s="107" t="s">
        <v>1095</v>
      </c>
    </row>
    <row r="1083" spans="1:2">
      <c r="A1083" s="107">
        <v>8101440</v>
      </c>
      <c r="B1083" s="107" t="s">
        <v>1096</v>
      </c>
    </row>
    <row r="1084" spans="1:2">
      <c r="A1084" s="107">
        <v>8101441</v>
      </c>
      <c r="B1084" s="107" t="s">
        <v>1097</v>
      </c>
    </row>
    <row r="1085" spans="1:2">
      <c r="A1085" s="107">
        <v>8101442</v>
      </c>
      <c r="B1085" s="107" t="s">
        <v>1098</v>
      </c>
    </row>
    <row r="1086" spans="1:2">
      <c r="A1086" s="107">
        <v>8101443</v>
      </c>
      <c r="B1086" s="107" t="s">
        <v>1099</v>
      </c>
    </row>
    <row r="1087" spans="1:2">
      <c r="A1087" s="107">
        <v>8101444</v>
      </c>
      <c r="B1087" s="107" t="s">
        <v>1100</v>
      </c>
    </row>
    <row r="1088" spans="1:2">
      <c r="A1088" s="107">
        <v>8101445</v>
      </c>
      <c r="B1088" s="107" t="s">
        <v>1101</v>
      </c>
    </row>
    <row r="1089" spans="1:2">
      <c r="A1089" s="107">
        <v>8101446</v>
      </c>
      <c r="B1089" s="107" t="s">
        <v>1102</v>
      </c>
    </row>
    <row r="1090" spans="1:2">
      <c r="A1090" s="107">
        <v>8101447</v>
      </c>
      <c r="B1090" s="107" t="s">
        <v>1103</v>
      </c>
    </row>
    <row r="1091" spans="1:2">
      <c r="A1091" s="107">
        <v>8101448</v>
      </c>
      <c r="B1091" s="107" t="s">
        <v>1104</v>
      </c>
    </row>
    <row r="1092" spans="1:2">
      <c r="A1092" s="107">
        <v>8101449</v>
      </c>
      <c r="B1092" s="107" t="s">
        <v>1105</v>
      </c>
    </row>
    <row r="1093" spans="1:2">
      <c r="A1093" s="107">
        <v>8101450</v>
      </c>
      <c r="B1093" s="107" t="s">
        <v>1106</v>
      </c>
    </row>
    <row r="1094" spans="1:2">
      <c r="A1094" s="107">
        <v>8101451</v>
      </c>
      <c r="B1094" s="107" t="s">
        <v>1107</v>
      </c>
    </row>
    <row r="1095" spans="1:2">
      <c r="A1095" s="107">
        <v>8101452</v>
      </c>
      <c r="B1095" s="107" t="s">
        <v>1108</v>
      </c>
    </row>
    <row r="1096" spans="1:2">
      <c r="A1096" s="107">
        <v>8101453</v>
      </c>
      <c r="B1096" s="107" t="s">
        <v>1109</v>
      </c>
    </row>
    <row r="1097" spans="1:2">
      <c r="A1097" s="107">
        <v>8101454</v>
      </c>
      <c r="B1097" s="107" t="s">
        <v>1110</v>
      </c>
    </row>
    <row r="1098" spans="1:2">
      <c r="A1098" s="107">
        <v>8101455</v>
      </c>
      <c r="B1098" s="107" t="s">
        <v>1111</v>
      </c>
    </row>
    <row r="1099" spans="1:2">
      <c r="A1099" s="107">
        <v>8101456</v>
      </c>
      <c r="B1099" s="107" t="s">
        <v>1112</v>
      </c>
    </row>
    <row r="1100" spans="1:2">
      <c r="A1100" s="107">
        <v>8101457</v>
      </c>
      <c r="B1100" s="107" t="s">
        <v>1113</v>
      </c>
    </row>
    <row r="1101" spans="1:2">
      <c r="A1101" s="107">
        <v>8101458</v>
      </c>
      <c r="B1101" s="107" t="s">
        <v>1114</v>
      </c>
    </row>
    <row r="1102" spans="1:2">
      <c r="A1102" s="107">
        <v>8101459</v>
      </c>
      <c r="B1102" s="107" t="s">
        <v>1115</v>
      </c>
    </row>
    <row r="1103" spans="1:2">
      <c r="A1103" s="107">
        <v>8101460</v>
      </c>
      <c r="B1103" s="107" t="s">
        <v>1116</v>
      </c>
    </row>
    <row r="1104" spans="1:2">
      <c r="A1104" s="107">
        <v>8101461</v>
      </c>
      <c r="B1104" s="107" t="s">
        <v>536</v>
      </c>
    </row>
    <row r="1105" spans="1:2">
      <c r="A1105" s="107">
        <v>8101462</v>
      </c>
      <c r="B1105" s="107" t="s">
        <v>1117</v>
      </c>
    </row>
    <row r="1106" spans="1:2">
      <c r="A1106" s="107">
        <v>8101463</v>
      </c>
      <c r="B1106" s="107" t="s">
        <v>1118</v>
      </c>
    </row>
    <row r="1107" spans="1:2">
      <c r="A1107" s="107">
        <v>8101464</v>
      </c>
      <c r="B1107" s="107" t="s">
        <v>1119</v>
      </c>
    </row>
    <row r="1108" spans="1:2">
      <c r="A1108" s="107">
        <v>8101465</v>
      </c>
      <c r="B1108" s="107" t="s">
        <v>1120</v>
      </c>
    </row>
    <row r="1109" spans="1:2">
      <c r="A1109" s="107">
        <v>8101466</v>
      </c>
      <c r="B1109" s="107" t="s">
        <v>1121</v>
      </c>
    </row>
    <row r="1110" spans="1:2">
      <c r="A1110" s="107">
        <v>8101467</v>
      </c>
      <c r="B1110" s="107" t="s">
        <v>1122</v>
      </c>
    </row>
    <row r="1111" spans="1:2">
      <c r="A1111" s="107">
        <v>8101468</v>
      </c>
      <c r="B1111" s="107" t="s">
        <v>1123</v>
      </c>
    </row>
    <row r="1112" spans="1:2">
      <c r="A1112" s="107">
        <v>8101469</v>
      </c>
      <c r="B1112" s="107" t="s">
        <v>1124</v>
      </c>
    </row>
    <row r="1113" spans="1:2">
      <c r="A1113" s="107">
        <v>8101470</v>
      </c>
      <c r="B1113" s="107" t="s">
        <v>1125</v>
      </c>
    </row>
    <row r="1114" spans="1:2">
      <c r="A1114" s="107">
        <v>8101471</v>
      </c>
      <c r="B1114" s="107" t="s">
        <v>1126</v>
      </c>
    </row>
    <row r="1115" spans="1:2">
      <c r="A1115" s="107">
        <v>8101472</v>
      </c>
      <c r="B1115" s="107" t="s">
        <v>1127</v>
      </c>
    </row>
    <row r="1116" spans="1:2">
      <c r="A1116" s="107">
        <v>8101473</v>
      </c>
      <c r="B1116" s="107" t="s">
        <v>1128</v>
      </c>
    </row>
    <row r="1117" spans="1:2">
      <c r="A1117" s="107">
        <v>8101474</v>
      </c>
      <c r="B1117" s="107" t="s">
        <v>1129</v>
      </c>
    </row>
    <row r="1118" spans="1:2">
      <c r="A1118" s="107">
        <v>8101475</v>
      </c>
      <c r="B1118" s="107" t="s">
        <v>1130</v>
      </c>
    </row>
    <row r="1119" spans="1:2">
      <c r="A1119" s="107">
        <v>8101476</v>
      </c>
      <c r="B1119" s="107" t="s">
        <v>1131</v>
      </c>
    </row>
    <row r="1120" spans="1:2">
      <c r="A1120" s="107">
        <v>8101477</v>
      </c>
      <c r="B1120" s="107" t="s">
        <v>1132</v>
      </c>
    </row>
    <row r="1121" spans="1:2">
      <c r="A1121" s="107">
        <v>8101478</v>
      </c>
      <c r="B1121" s="107" t="s">
        <v>1133</v>
      </c>
    </row>
    <row r="1122" spans="1:2">
      <c r="A1122" s="107">
        <v>8101479</v>
      </c>
      <c r="B1122" s="107" t="s">
        <v>1134</v>
      </c>
    </row>
    <row r="1123" spans="1:2">
      <c r="A1123" s="107">
        <v>8101480</v>
      </c>
      <c r="B1123" s="107" t="s">
        <v>1135</v>
      </c>
    </row>
    <row r="1124" spans="1:2">
      <c r="A1124" s="107">
        <v>8101481</v>
      </c>
      <c r="B1124" s="107" t="s">
        <v>1136</v>
      </c>
    </row>
    <row r="1125" spans="1:2">
      <c r="A1125" s="107">
        <v>8101482</v>
      </c>
      <c r="B1125" s="107" t="s">
        <v>1137</v>
      </c>
    </row>
    <row r="1126" spans="1:2">
      <c r="A1126" s="107">
        <v>8101483</v>
      </c>
      <c r="B1126" s="107" t="s">
        <v>1138</v>
      </c>
    </row>
    <row r="1127" spans="1:2">
      <c r="A1127" s="107">
        <v>8101484</v>
      </c>
      <c r="B1127" s="107" t="s">
        <v>1139</v>
      </c>
    </row>
    <row r="1128" spans="1:2">
      <c r="A1128" s="107">
        <v>8101485</v>
      </c>
      <c r="B1128" s="107" t="s">
        <v>987</v>
      </c>
    </row>
    <row r="1129" spans="1:2">
      <c r="A1129" s="107">
        <v>8101486</v>
      </c>
      <c r="B1129" s="107" t="s">
        <v>1140</v>
      </c>
    </row>
    <row r="1130" spans="1:2">
      <c r="A1130" s="107">
        <v>8101487</v>
      </c>
      <c r="B1130" s="107" t="s">
        <v>1141</v>
      </c>
    </row>
    <row r="1131" spans="1:2">
      <c r="A1131" s="107">
        <v>8101488</v>
      </c>
      <c r="B1131" s="107" t="s">
        <v>1142</v>
      </c>
    </row>
    <row r="1132" spans="1:2">
      <c r="A1132" s="107">
        <v>8101489</v>
      </c>
      <c r="B1132" s="107" t="s">
        <v>1143</v>
      </c>
    </row>
    <row r="1133" spans="1:2">
      <c r="A1133" s="107">
        <v>8101490</v>
      </c>
      <c r="B1133" s="107" t="s">
        <v>1144</v>
      </c>
    </row>
    <row r="1134" spans="1:2">
      <c r="A1134" s="107">
        <v>8101491</v>
      </c>
      <c r="B1134" s="107" t="s">
        <v>1145</v>
      </c>
    </row>
    <row r="1135" spans="1:2">
      <c r="A1135" s="107">
        <v>8101492</v>
      </c>
      <c r="B1135" s="107" t="s">
        <v>1146</v>
      </c>
    </row>
    <row r="1136" spans="1:2">
      <c r="A1136" s="107">
        <v>8101493</v>
      </c>
      <c r="B1136" s="107" t="s">
        <v>1147</v>
      </c>
    </row>
    <row r="1137" spans="1:2">
      <c r="A1137" s="107">
        <v>8101494</v>
      </c>
      <c r="B1137" s="107" t="s">
        <v>1148</v>
      </c>
    </row>
    <row r="1138" spans="1:2">
      <c r="A1138" s="107">
        <v>8101495</v>
      </c>
      <c r="B1138" s="107" t="s">
        <v>1149</v>
      </c>
    </row>
    <row r="1139" spans="1:2">
      <c r="A1139" s="107">
        <v>8101496</v>
      </c>
      <c r="B1139" s="107" t="s">
        <v>1150</v>
      </c>
    </row>
    <row r="1140" spans="1:2">
      <c r="A1140" s="107">
        <v>8101497</v>
      </c>
      <c r="B1140" s="107" t="s">
        <v>1151</v>
      </c>
    </row>
    <row r="1141" spans="1:2">
      <c r="A1141" s="107">
        <v>8101498</v>
      </c>
      <c r="B1141" s="107" t="s">
        <v>1152</v>
      </c>
    </row>
    <row r="1142" spans="1:2">
      <c r="A1142" s="107">
        <v>8101499</v>
      </c>
      <c r="B1142" s="107" t="s">
        <v>1153</v>
      </c>
    </row>
    <row r="1143" spans="1:2">
      <c r="A1143" s="107">
        <v>8101500</v>
      </c>
      <c r="B1143" s="107" t="s">
        <v>1154</v>
      </c>
    </row>
    <row r="1144" spans="1:2">
      <c r="A1144" s="107">
        <v>8101501</v>
      </c>
      <c r="B1144" s="107" t="s">
        <v>1155</v>
      </c>
    </row>
    <row r="1145" spans="1:2">
      <c r="A1145" s="107">
        <v>8101502</v>
      </c>
      <c r="B1145" s="107" t="s">
        <v>1156</v>
      </c>
    </row>
    <row r="1146" spans="1:2">
      <c r="A1146" s="107">
        <v>8101503</v>
      </c>
      <c r="B1146" s="107" t="s">
        <v>1157</v>
      </c>
    </row>
    <row r="1147" spans="1:2">
      <c r="A1147" s="107">
        <v>8101504</v>
      </c>
      <c r="B1147" s="107" t="s">
        <v>1158</v>
      </c>
    </row>
    <row r="1148" spans="1:2">
      <c r="A1148" s="107">
        <v>8101505</v>
      </c>
      <c r="B1148" s="107" t="s">
        <v>1159</v>
      </c>
    </row>
    <row r="1149" spans="1:2">
      <c r="A1149" s="107">
        <v>8101506</v>
      </c>
      <c r="B1149" s="107" t="s">
        <v>1160</v>
      </c>
    </row>
    <row r="1150" spans="1:2">
      <c r="A1150" s="107">
        <v>8101507</v>
      </c>
      <c r="B1150" s="107" t="s">
        <v>1161</v>
      </c>
    </row>
    <row r="1151" spans="1:2">
      <c r="A1151" s="107">
        <v>8101508</v>
      </c>
      <c r="B1151" s="107" t="s">
        <v>1162</v>
      </c>
    </row>
    <row r="1152" spans="1:2">
      <c r="A1152" s="107">
        <v>8101509</v>
      </c>
      <c r="B1152" s="107" t="s">
        <v>1163</v>
      </c>
    </row>
    <row r="1153" spans="1:2">
      <c r="A1153" s="107">
        <v>8101510</v>
      </c>
      <c r="B1153" s="107" t="s">
        <v>1164</v>
      </c>
    </row>
    <row r="1154" spans="1:2">
      <c r="A1154" s="107">
        <v>8101511</v>
      </c>
      <c r="B1154" s="107" t="s">
        <v>1165</v>
      </c>
    </row>
    <row r="1155" spans="1:2">
      <c r="A1155" s="107">
        <v>8101512</v>
      </c>
      <c r="B1155" s="107" t="s">
        <v>1166</v>
      </c>
    </row>
    <row r="1156" spans="1:2">
      <c r="A1156" s="107">
        <v>8101513</v>
      </c>
      <c r="B1156" s="107" t="s">
        <v>1167</v>
      </c>
    </row>
    <row r="1157" spans="1:2">
      <c r="A1157" s="107">
        <v>8101514</v>
      </c>
      <c r="B1157" s="107" t="s">
        <v>1168</v>
      </c>
    </row>
    <row r="1158" spans="1:2">
      <c r="A1158" s="107">
        <v>8101516</v>
      </c>
      <c r="B1158" s="107" t="s">
        <v>1169</v>
      </c>
    </row>
    <row r="1159" spans="1:2">
      <c r="A1159" s="107">
        <v>8101517</v>
      </c>
      <c r="B1159" s="107" t="s">
        <v>1170</v>
      </c>
    </row>
    <row r="1160" spans="1:2">
      <c r="A1160" s="107">
        <v>8101518</v>
      </c>
      <c r="B1160" s="107" t="s">
        <v>1171</v>
      </c>
    </row>
    <row r="1161" spans="1:2">
      <c r="A1161" s="107">
        <v>8101519</v>
      </c>
      <c r="B1161" s="107" t="s">
        <v>1172</v>
      </c>
    </row>
    <row r="1162" spans="1:2">
      <c r="A1162" s="107">
        <v>8101520</v>
      </c>
      <c r="B1162" s="107" t="s">
        <v>1173</v>
      </c>
    </row>
    <row r="1163" spans="1:2">
      <c r="A1163" s="107">
        <v>8101521</v>
      </c>
      <c r="B1163" s="107" t="s">
        <v>1174</v>
      </c>
    </row>
    <row r="1164" spans="1:2">
      <c r="A1164" s="107">
        <v>8101522</v>
      </c>
      <c r="B1164" s="107" t="s">
        <v>1175</v>
      </c>
    </row>
    <row r="1165" spans="1:2">
      <c r="A1165" s="107">
        <v>8101523</v>
      </c>
      <c r="B1165" s="107" t="s">
        <v>1176</v>
      </c>
    </row>
    <row r="1166" spans="1:2">
      <c r="A1166" s="107">
        <v>8101524</v>
      </c>
      <c r="B1166" s="107" t="s">
        <v>1177</v>
      </c>
    </row>
    <row r="1167" spans="1:2">
      <c r="A1167" s="107">
        <v>8101525</v>
      </c>
      <c r="B1167" s="107" t="s">
        <v>1178</v>
      </c>
    </row>
    <row r="1168" spans="1:2">
      <c r="A1168" s="107">
        <v>8101526</v>
      </c>
      <c r="B1168" s="107" t="s">
        <v>1156</v>
      </c>
    </row>
    <row r="1169" spans="1:2">
      <c r="A1169" s="107">
        <v>8101527</v>
      </c>
      <c r="B1169" s="107" t="s">
        <v>1179</v>
      </c>
    </row>
    <row r="1170" spans="1:2">
      <c r="A1170" s="107">
        <v>8101528</v>
      </c>
      <c r="B1170" s="107" t="s">
        <v>1180</v>
      </c>
    </row>
    <row r="1171" spans="1:2">
      <c r="A1171" s="107">
        <v>8101529</v>
      </c>
      <c r="B1171" s="107" t="s">
        <v>1181</v>
      </c>
    </row>
    <row r="1172" spans="1:2">
      <c r="A1172" s="107">
        <v>8101530</v>
      </c>
      <c r="B1172" s="107" t="s">
        <v>1182</v>
      </c>
    </row>
    <row r="1173" spans="1:2">
      <c r="A1173" s="107">
        <v>8101531</v>
      </c>
      <c r="B1173" s="107" t="s">
        <v>1183</v>
      </c>
    </row>
    <row r="1174" spans="1:2">
      <c r="A1174" s="107">
        <v>8101532</v>
      </c>
      <c r="B1174" s="107" t="s">
        <v>1184</v>
      </c>
    </row>
    <row r="1175" spans="1:2">
      <c r="A1175" s="107">
        <v>8101533</v>
      </c>
      <c r="B1175" s="107" t="s">
        <v>1185</v>
      </c>
    </row>
    <row r="1176" spans="1:2">
      <c r="A1176" s="107">
        <v>8101534</v>
      </c>
      <c r="B1176" s="107" t="s">
        <v>1186</v>
      </c>
    </row>
    <row r="1177" spans="1:2">
      <c r="A1177" s="107">
        <v>8101535</v>
      </c>
      <c r="B1177" s="107" t="s">
        <v>1187</v>
      </c>
    </row>
    <row r="1178" spans="1:2">
      <c r="A1178" s="107">
        <v>8101536</v>
      </c>
      <c r="B1178" s="107" t="s">
        <v>1188</v>
      </c>
    </row>
    <row r="1179" spans="1:2">
      <c r="A1179" s="107">
        <v>8101537</v>
      </c>
      <c r="B1179" s="107" t="s">
        <v>1189</v>
      </c>
    </row>
    <row r="1180" spans="1:2">
      <c r="A1180" s="107">
        <v>8101538</v>
      </c>
      <c r="B1180" s="107" t="s">
        <v>1190</v>
      </c>
    </row>
    <row r="1181" spans="1:2">
      <c r="A1181" s="107">
        <v>8101539</v>
      </c>
      <c r="B1181" s="107" t="s">
        <v>1191</v>
      </c>
    </row>
    <row r="1182" spans="1:2">
      <c r="A1182" s="107">
        <v>8101540</v>
      </c>
      <c r="B1182" s="107" t="s">
        <v>1192</v>
      </c>
    </row>
    <row r="1183" spans="1:2">
      <c r="A1183" s="107">
        <v>8101541</v>
      </c>
      <c r="B1183" s="107" t="s">
        <v>1193</v>
      </c>
    </row>
    <row r="1184" spans="1:2">
      <c r="A1184" s="107">
        <v>8101542</v>
      </c>
      <c r="B1184" s="107" t="s">
        <v>1194</v>
      </c>
    </row>
    <row r="1185" spans="1:2">
      <c r="A1185" s="107">
        <v>8101543</v>
      </c>
      <c r="B1185" s="107" t="s">
        <v>1195</v>
      </c>
    </row>
    <row r="1186" spans="1:2">
      <c r="A1186" s="107">
        <v>8101544</v>
      </c>
      <c r="B1186" s="107" t="s">
        <v>1196</v>
      </c>
    </row>
    <row r="1187" spans="1:2">
      <c r="A1187" s="107">
        <v>8101545</v>
      </c>
      <c r="B1187" s="107" t="s">
        <v>1197</v>
      </c>
    </row>
    <row r="1188" spans="1:2">
      <c r="A1188" s="107">
        <v>8101546</v>
      </c>
      <c r="B1188" s="107" t="s">
        <v>1198</v>
      </c>
    </row>
    <row r="1189" spans="1:2">
      <c r="A1189" s="107">
        <v>8101547</v>
      </c>
      <c r="B1189" s="107" t="s">
        <v>1199</v>
      </c>
    </row>
    <row r="1190" spans="1:2">
      <c r="A1190" s="107">
        <v>8101548</v>
      </c>
      <c r="B1190" s="107" t="s">
        <v>1200</v>
      </c>
    </row>
    <row r="1191" spans="1:2">
      <c r="A1191" s="107">
        <v>8101549</v>
      </c>
      <c r="B1191" s="107" t="s">
        <v>473</v>
      </c>
    </row>
    <row r="1192" spans="1:2">
      <c r="A1192" s="107">
        <v>8101550</v>
      </c>
      <c r="B1192" s="107" t="s">
        <v>1201</v>
      </c>
    </row>
    <row r="1193" spans="1:2">
      <c r="A1193" s="107">
        <v>8101551</v>
      </c>
      <c r="B1193" s="107" t="s">
        <v>1202</v>
      </c>
    </row>
    <row r="1194" spans="1:2">
      <c r="A1194" s="107">
        <v>8101552</v>
      </c>
      <c r="B1194" s="107" t="s">
        <v>1203</v>
      </c>
    </row>
    <row r="1195" spans="1:2">
      <c r="A1195" s="107">
        <v>8101553</v>
      </c>
      <c r="B1195" s="107" t="s">
        <v>1204</v>
      </c>
    </row>
    <row r="1196" spans="1:2">
      <c r="A1196" s="107">
        <v>8101554</v>
      </c>
      <c r="B1196" s="107" t="s">
        <v>1205</v>
      </c>
    </row>
    <row r="1197" spans="1:2">
      <c r="A1197" s="107">
        <v>8101555</v>
      </c>
      <c r="B1197" s="107" t="s">
        <v>1206</v>
      </c>
    </row>
    <row r="1198" spans="1:2">
      <c r="A1198" s="107">
        <v>8101556</v>
      </c>
      <c r="B1198" s="107" t="s">
        <v>2155</v>
      </c>
    </row>
    <row r="1199" spans="1:2">
      <c r="A1199" s="107">
        <v>8101557</v>
      </c>
      <c r="B1199" s="107" t="s">
        <v>1207</v>
      </c>
    </row>
    <row r="1200" spans="1:2">
      <c r="A1200" s="107">
        <v>8101558</v>
      </c>
      <c r="B1200" s="107" t="s">
        <v>1208</v>
      </c>
    </row>
    <row r="1201" spans="1:2">
      <c r="A1201" s="107">
        <v>8101559</v>
      </c>
      <c r="B1201" s="107" t="s">
        <v>1209</v>
      </c>
    </row>
    <row r="1202" spans="1:2">
      <c r="A1202" s="107">
        <v>8101560</v>
      </c>
      <c r="B1202" s="107" t="s">
        <v>1210</v>
      </c>
    </row>
    <row r="1203" spans="1:2">
      <c r="A1203" s="107">
        <v>8101561</v>
      </c>
      <c r="B1203" s="107" t="s">
        <v>1211</v>
      </c>
    </row>
    <row r="1204" spans="1:2">
      <c r="A1204" s="107">
        <v>8101562</v>
      </c>
      <c r="B1204" s="107" t="s">
        <v>579</v>
      </c>
    </row>
    <row r="1205" spans="1:2">
      <c r="A1205" s="107">
        <v>8101563</v>
      </c>
      <c r="B1205" s="107" t="s">
        <v>1212</v>
      </c>
    </row>
    <row r="1206" spans="1:2">
      <c r="A1206" s="107">
        <v>8101564</v>
      </c>
      <c r="B1206" s="107" t="s">
        <v>1213</v>
      </c>
    </row>
    <row r="1207" spans="1:2">
      <c r="A1207" s="107">
        <v>8101565</v>
      </c>
      <c r="B1207" s="107" t="s">
        <v>1214</v>
      </c>
    </row>
    <row r="1208" spans="1:2">
      <c r="A1208" s="107">
        <v>8101566</v>
      </c>
      <c r="B1208" s="107" t="s">
        <v>1215</v>
      </c>
    </row>
    <row r="1209" spans="1:2">
      <c r="A1209" s="107">
        <v>8101567</v>
      </c>
      <c r="B1209" s="107" t="s">
        <v>1216</v>
      </c>
    </row>
    <row r="1210" spans="1:2">
      <c r="A1210" s="107">
        <v>8101568</v>
      </c>
      <c r="B1210" s="107" t="s">
        <v>1217</v>
      </c>
    </row>
    <row r="1211" spans="1:2">
      <c r="A1211" s="107">
        <v>8101569</v>
      </c>
      <c r="B1211" s="107" t="s">
        <v>1218</v>
      </c>
    </row>
    <row r="1212" spans="1:2">
      <c r="A1212" s="107">
        <v>8101570</v>
      </c>
      <c r="B1212" s="107" t="s">
        <v>1219</v>
      </c>
    </row>
    <row r="1213" spans="1:2">
      <c r="A1213" s="107">
        <v>8101571</v>
      </c>
      <c r="B1213" s="107" t="s">
        <v>1220</v>
      </c>
    </row>
    <row r="1214" spans="1:2">
      <c r="A1214" s="107">
        <v>8101572</v>
      </c>
      <c r="B1214" s="107" t="s">
        <v>1221</v>
      </c>
    </row>
    <row r="1215" spans="1:2">
      <c r="A1215" s="107">
        <v>8101573</v>
      </c>
      <c r="B1215" s="107" t="s">
        <v>1222</v>
      </c>
    </row>
    <row r="1216" spans="1:2">
      <c r="A1216" s="107">
        <v>8101574</v>
      </c>
      <c r="B1216" s="107" t="s">
        <v>1223</v>
      </c>
    </row>
    <row r="1217" spans="1:2">
      <c r="A1217" s="107">
        <v>8101575</v>
      </c>
      <c r="B1217" s="107" t="s">
        <v>1224</v>
      </c>
    </row>
    <row r="1218" spans="1:2">
      <c r="A1218" s="107">
        <v>8101576</v>
      </c>
      <c r="B1218" s="107" t="s">
        <v>1225</v>
      </c>
    </row>
    <row r="1219" spans="1:2">
      <c r="A1219" s="107">
        <v>8101577</v>
      </c>
      <c r="B1219" s="107" t="s">
        <v>1226</v>
      </c>
    </row>
    <row r="1220" spans="1:2">
      <c r="A1220" s="107">
        <v>8101578</v>
      </c>
      <c r="B1220" s="107" t="s">
        <v>1227</v>
      </c>
    </row>
    <row r="1221" spans="1:2">
      <c r="A1221" s="107">
        <v>8101580</v>
      </c>
      <c r="B1221" s="107" t="s">
        <v>698</v>
      </c>
    </row>
    <row r="1222" spans="1:2">
      <c r="A1222" s="107">
        <v>8101581</v>
      </c>
      <c r="B1222" s="107" t="s">
        <v>1228</v>
      </c>
    </row>
    <row r="1223" spans="1:2">
      <c r="A1223" s="107">
        <v>8101582</v>
      </c>
      <c r="B1223" s="107" t="s">
        <v>1229</v>
      </c>
    </row>
    <row r="1224" spans="1:2">
      <c r="A1224" s="107">
        <v>8101583</v>
      </c>
      <c r="B1224" s="107" t="s">
        <v>1230</v>
      </c>
    </row>
    <row r="1225" spans="1:2">
      <c r="A1225" s="107">
        <v>8101584</v>
      </c>
      <c r="B1225" s="107" t="s">
        <v>1231</v>
      </c>
    </row>
    <row r="1226" spans="1:2">
      <c r="A1226" s="107">
        <v>8101585</v>
      </c>
      <c r="B1226" s="107" t="s">
        <v>1232</v>
      </c>
    </row>
    <row r="1227" spans="1:2">
      <c r="A1227" s="107">
        <v>8101586</v>
      </c>
      <c r="B1227" s="107" t="s">
        <v>1233</v>
      </c>
    </row>
    <row r="1228" spans="1:2">
      <c r="A1228" s="107">
        <v>8101587</v>
      </c>
      <c r="B1228" s="107" t="s">
        <v>1234</v>
      </c>
    </row>
    <row r="1229" spans="1:2">
      <c r="A1229" s="107">
        <v>8101588</v>
      </c>
      <c r="B1229" s="107" t="s">
        <v>1235</v>
      </c>
    </row>
    <row r="1230" spans="1:2">
      <c r="A1230" s="107">
        <v>8101589</v>
      </c>
      <c r="B1230" s="107" t="s">
        <v>1236</v>
      </c>
    </row>
    <row r="1231" spans="1:2">
      <c r="A1231" s="107">
        <v>8101590</v>
      </c>
      <c r="B1231" s="107" t="s">
        <v>1237</v>
      </c>
    </row>
    <row r="1232" spans="1:2">
      <c r="A1232" s="107">
        <v>8101591</v>
      </c>
      <c r="B1232" s="107" t="s">
        <v>1238</v>
      </c>
    </row>
    <row r="1233" spans="1:2">
      <c r="A1233" s="107">
        <v>8101592</v>
      </c>
      <c r="B1233" s="107" t="s">
        <v>1239</v>
      </c>
    </row>
    <row r="1234" spans="1:2">
      <c r="A1234" s="107">
        <v>8101593</v>
      </c>
      <c r="B1234" s="107" t="s">
        <v>1240</v>
      </c>
    </row>
    <row r="1235" spans="1:2">
      <c r="A1235" s="107">
        <v>8101594</v>
      </c>
      <c r="B1235" s="107" t="s">
        <v>1241</v>
      </c>
    </row>
    <row r="1236" spans="1:2">
      <c r="A1236" s="107">
        <v>8101595</v>
      </c>
      <c r="B1236" s="107" t="s">
        <v>1242</v>
      </c>
    </row>
    <row r="1237" spans="1:2">
      <c r="A1237" s="107">
        <v>8101596</v>
      </c>
      <c r="B1237" s="107" t="s">
        <v>1243</v>
      </c>
    </row>
    <row r="1238" spans="1:2">
      <c r="A1238" s="107">
        <v>8101597</v>
      </c>
      <c r="B1238" s="107" t="s">
        <v>1244</v>
      </c>
    </row>
    <row r="1239" spans="1:2">
      <c r="A1239" s="107">
        <v>8101598</v>
      </c>
      <c r="B1239" s="107" t="s">
        <v>1245</v>
      </c>
    </row>
    <row r="1240" spans="1:2">
      <c r="A1240" s="107">
        <v>8101599</v>
      </c>
      <c r="B1240" s="107" t="s">
        <v>1246</v>
      </c>
    </row>
    <row r="1241" spans="1:2">
      <c r="A1241" s="107">
        <v>8101600</v>
      </c>
      <c r="B1241" s="107" t="s">
        <v>1247</v>
      </c>
    </row>
    <row r="1242" spans="1:2">
      <c r="A1242" s="107">
        <v>8101601</v>
      </c>
      <c r="B1242" s="107" t="s">
        <v>1248</v>
      </c>
    </row>
    <row r="1243" spans="1:2">
      <c r="A1243" s="107">
        <v>8101602</v>
      </c>
      <c r="B1243" s="107" t="s">
        <v>1249</v>
      </c>
    </row>
    <row r="1244" spans="1:2">
      <c r="A1244" s="107">
        <v>8101603</v>
      </c>
      <c r="B1244" s="107" t="s">
        <v>1250</v>
      </c>
    </row>
    <row r="1245" spans="1:2">
      <c r="A1245" s="107">
        <v>8101604</v>
      </c>
      <c r="B1245" s="107" t="s">
        <v>1251</v>
      </c>
    </row>
    <row r="1246" spans="1:2">
      <c r="A1246" s="107">
        <v>8101605</v>
      </c>
      <c r="B1246" s="107" t="s">
        <v>1252</v>
      </c>
    </row>
    <row r="1247" spans="1:2">
      <c r="A1247" s="107">
        <v>8101606</v>
      </c>
      <c r="B1247" s="107" t="s">
        <v>1253</v>
      </c>
    </row>
    <row r="1248" spans="1:2">
      <c r="A1248" s="107">
        <v>8101607</v>
      </c>
      <c r="B1248" s="107" t="s">
        <v>1254</v>
      </c>
    </row>
    <row r="1249" spans="1:2">
      <c r="A1249" s="107">
        <v>8101608</v>
      </c>
      <c r="B1249" s="107" t="s">
        <v>1255</v>
      </c>
    </row>
    <row r="1250" spans="1:2">
      <c r="A1250" s="107">
        <v>8101609</v>
      </c>
      <c r="B1250" s="107" t="s">
        <v>1256</v>
      </c>
    </row>
    <row r="1251" spans="1:2">
      <c r="A1251" s="107">
        <v>8101610</v>
      </c>
      <c r="B1251" s="107" t="s">
        <v>1257</v>
      </c>
    </row>
    <row r="1252" spans="1:2">
      <c r="A1252" s="107">
        <v>8101611</v>
      </c>
      <c r="B1252" s="107" t="s">
        <v>1258</v>
      </c>
    </row>
    <row r="1253" spans="1:2">
      <c r="A1253" s="107">
        <v>8101612</v>
      </c>
      <c r="B1253" s="107" t="s">
        <v>1259</v>
      </c>
    </row>
    <row r="1254" spans="1:2">
      <c r="A1254" s="107">
        <v>8101613</v>
      </c>
      <c r="B1254" s="107" t="s">
        <v>1260</v>
      </c>
    </row>
    <row r="1255" spans="1:2">
      <c r="A1255" s="107">
        <v>8101614</v>
      </c>
      <c r="B1255" s="107" t="s">
        <v>1261</v>
      </c>
    </row>
    <row r="1256" spans="1:2">
      <c r="A1256" s="107">
        <v>8101615</v>
      </c>
      <c r="B1256" s="107" t="s">
        <v>1262</v>
      </c>
    </row>
    <row r="1257" spans="1:2">
      <c r="A1257" s="107">
        <v>8101616</v>
      </c>
      <c r="B1257" s="107" t="s">
        <v>1263</v>
      </c>
    </row>
    <row r="1258" spans="1:2">
      <c r="A1258" s="107">
        <v>8101617</v>
      </c>
      <c r="B1258" s="107" t="s">
        <v>1264</v>
      </c>
    </row>
    <row r="1259" spans="1:2">
      <c r="A1259" s="107">
        <v>8101618</v>
      </c>
      <c r="B1259" s="107" t="s">
        <v>1265</v>
      </c>
    </row>
    <row r="1260" spans="1:2">
      <c r="A1260" s="107">
        <v>8101619</v>
      </c>
      <c r="B1260" s="107" t="s">
        <v>1266</v>
      </c>
    </row>
    <row r="1261" spans="1:2">
      <c r="A1261" s="107">
        <v>8101620</v>
      </c>
      <c r="B1261" s="107" t="s">
        <v>1267</v>
      </c>
    </row>
    <row r="1262" spans="1:2">
      <c r="A1262" s="107">
        <v>8101621</v>
      </c>
      <c r="B1262" s="107" t="s">
        <v>1268</v>
      </c>
    </row>
    <row r="1263" spans="1:2">
      <c r="A1263" s="107">
        <v>8101622</v>
      </c>
      <c r="B1263" s="107" t="s">
        <v>1269</v>
      </c>
    </row>
    <row r="1264" spans="1:2">
      <c r="A1264" s="107">
        <v>8101623</v>
      </c>
      <c r="B1264" s="107" t="s">
        <v>1270</v>
      </c>
    </row>
    <row r="1265" spans="1:2">
      <c r="A1265" s="107">
        <v>8101624</v>
      </c>
      <c r="B1265" s="107" t="s">
        <v>1271</v>
      </c>
    </row>
    <row r="1266" spans="1:2">
      <c r="A1266" s="107">
        <v>8101700</v>
      </c>
      <c r="B1266" s="107" t="s">
        <v>1272</v>
      </c>
    </row>
    <row r="1267" spans="1:2">
      <c r="A1267" s="107">
        <v>8101701</v>
      </c>
      <c r="B1267" s="107" t="s">
        <v>1273</v>
      </c>
    </row>
    <row r="1268" spans="1:2">
      <c r="A1268" s="107">
        <v>8101702</v>
      </c>
      <c r="B1268" s="107" t="s">
        <v>1274</v>
      </c>
    </row>
    <row r="1269" spans="1:2">
      <c r="A1269" s="107">
        <v>8101703</v>
      </c>
      <c r="B1269" s="107" t="s">
        <v>1275</v>
      </c>
    </row>
    <row r="1270" spans="1:2">
      <c r="A1270" s="107">
        <v>8101704</v>
      </c>
      <c r="B1270" s="107" t="s">
        <v>1276</v>
      </c>
    </row>
    <row r="1271" spans="1:2">
      <c r="A1271" s="107">
        <v>8101705</v>
      </c>
      <c r="B1271" s="107" t="s">
        <v>1277</v>
      </c>
    </row>
    <row r="1272" spans="1:2">
      <c r="A1272" s="107">
        <v>8101706</v>
      </c>
      <c r="B1272" s="107" t="s">
        <v>1148</v>
      </c>
    </row>
    <row r="1273" spans="1:2">
      <c r="A1273" s="107">
        <v>8101707</v>
      </c>
      <c r="B1273" s="107" t="s">
        <v>1278</v>
      </c>
    </row>
    <row r="1274" spans="1:2">
      <c r="A1274" s="107">
        <v>8101708</v>
      </c>
      <c r="B1274" s="107" t="s">
        <v>1279</v>
      </c>
    </row>
    <row r="1275" spans="1:2">
      <c r="A1275" s="107">
        <v>8101709</v>
      </c>
      <c r="B1275" s="107" t="s">
        <v>1280</v>
      </c>
    </row>
    <row r="1276" spans="1:2">
      <c r="A1276" s="107">
        <v>8101710</v>
      </c>
      <c r="B1276" s="107" t="s">
        <v>1281</v>
      </c>
    </row>
    <row r="1277" spans="1:2">
      <c r="A1277" s="107">
        <v>8101711</v>
      </c>
      <c r="B1277" s="107" t="s">
        <v>1282</v>
      </c>
    </row>
    <row r="1278" spans="1:2">
      <c r="A1278" s="107">
        <v>8101712</v>
      </c>
      <c r="B1278" s="107" t="s">
        <v>1283</v>
      </c>
    </row>
    <row r="1279" spans="1:2">
      <c r="A1279" s="107">
        <v>8101713</v>
      </c>
      <c r="B1279" s="107" t="s">
        <v>1284</v>
      </c>
    </row>
    <row r="1280" spans="1:2">
      <c r="A1280" s="107">
        <v>8101714</v>
      </c>
      <c r="B1280" s="107" t="s">
        <v>1285</v>
      </c>
    </row>
    <row r="1281" spans="1:2">
      <c r="A1281" s="107">
        <v>8101715</v>
      </c>
      <c r="B1281" s="107" t="s">
        <v>1286</v>
      </c>
    </row>
    <row r="1282" spans="1:2">
      <c r="A1282" s="107">
        <v>8101716</v>
      </c>
      <c r="B1282" s="107" t="s">
        <v>1287</v>
      </c>
    </row>
    <row r="1283" spans="1:2">
      <c r="A1283" s="107">
        <v>8101717</v>
      </c>
      <c r="B1283" s="107" t="s">
        <v>1288</v>
      </c>
    </row>
    <row r="1284" spans="1:2">
      <c r="A1284" s="107">
        <v>8101718</v>
      </c>
      <c r="B1284" s="107" t="s">
        <v>1289</v>
      </c>
    </row>
    <row r="1285" spans="1:2">
      <c r="A1285" s="107">
        <v>8101719</v>
      </c>
      <c r="B1285" s="107" t="s">
        <v>1290</v>
      </c>
    </row>
    <row r="1286" spans="1:2">
      <c r="A1286" s="107">
        <v>8101720</v>
      </c>
      <c r="B1286" s="107" t="s">
        <v>1291</v>
      </c>
    </row>
    <row r="1287" spans="1:2">
      <c r="A1287" s="107">
        <v>8101721</v>
      </c>
      <c r="B1287" s="107" t="s">
        <v>1292</v>
      </c>
    </row>
    <row r="1288" spans="1:2">
      <c r="A1288" s="107">
        <v>8101722</v>
      </c>
      <c r="B1288" s="107" t="s">
        <v>1293</v>
      </c>
    </row>
    <row r="1289" spans="1:2">
      <c r="A1289" s="107">
        <v>8101723</v>
      </c>
      <c r="B1289" s="107" t="s">
        <v>1294</v>
      </c>
    </row>
    <row r="1290" spans="1:2">
      <c r="A1290" s="107">
        <v>8101724</v>
      </c>
      <c r="B1290" s="107" t="s">
        <v>1295</v>
      </c>
    </row>
    <row r="1291" spans="1:2">
      <c r="A1291" s="107">
        <v>8101725</v>
      </c>
      <c r="B1291" s="107" t="s">
        <v>1296</v>
      </c>
    </row>
    <row r="1292" spans="1:2">
      <c r="A1292" s="107">
        <v>8101726</v>
      </c>
      <c r="B1292" s="107" t="s">
        <v>1297</v>
      </c>
    </row>
    <row r="1293" spans="1:2">
      <c r="A1293" s="107">
        <v>8101727</v>
      </c>
      <c r="B1293" s="107" t="s">
        <v>1298</v>
      </c>
    </row>
    <row r="1294" spans="1:2">
      <c r="A1294" s="107">
        <v>8101728</v>
      </c>
      <c r="B1294" s="107" t="s">
        <v>2294</v>
      </c>
    </row>
    <row r="1295" spans="1:2">
      <c r="A1295" s="107">
        <v>8101729</v>
      </c>
      <c r="B1295" s="107" t="s">
        <v>1299</v>
      </c>
    </row>
    <row r="1296" spans="1:2">
      <c r="A1296" s="107">
        <v>8101730</v>
      </c>
      <c r="B1296" s="107" t="s">
        <v>1300</v>
      </c>
    </row>
    <row r="1297" spans="1:2">
      <c r="A1297" s="107">
        <v>8101731</v>
      </c>
      <c r="B1297" s="107" t="s">
        <v>2123</v>
      </c>
    </row>
    <row r="1298" spans="1:2">
      <c r="A1298" s="107">
        <v>8101732</v>
      </c>
      <c r="B1298" s="107" t="s">
        <v>1301</v>
      </c>
    </row>
    <row r="1299" spans="1:2">
      <c r="A1299" s="107">
        <v>8101733</v>
      </c>
      <c r="B1299" s="107" t="s">
        <v>1302</v>
      </c>
    </row>
    <row r="1300" spans="1:2">
      <c r="A1300" s="107">
        <v>8101734</v>
      </c>
      <c r="B1300" s="107" t="s">
        <v>1303</v>
      </c>
    </row>
    <row r="1301" spans="1:2">
      <c r="A1301" s="107">
        <v>8101735</v>
      </c>
      <c r="B1301" s="107" t="s">
        <v>1304</v>
      </c>
    </row>
    <row r="1302" spans="1:2">
      <c r="A1302" s="107">
        <v>8101736</v>
      </c>
      <c r="B1302" s="107" t="s">
        <v>1305</v>
      </c>
    </row>
    <row r="1303" spans="1:2">
      <c r="A1303" s="107">
        <v>8101737</v>
      </c>
      <c r="B1303" s="107" t="s">
        <v>1306</v>
      </c>
    </row>
    <row r="1304" spans="1:2">
      <c r="A1304" s="107">
        <v>8101738</v>
      </c>
      <c r="B1304" s="107" t="s">
        <v>1307</v>
      </c>
    </row>
    <row r="1305" spans="1:2">
      <c r="A1305" s="107">
        <v>8101739</v>
      </c>
      <c r="B1305" s="107" t="s">
        <v>1308</v>
      </c>
    </row>
    <row r="1306" spans="1:2">
      <c r="A1306" s="107">
        <v>8101740</v>
      </c>
      <c r="B1306" s="107" t="s">
        <v>1309</v>
      </c>
    </row>
    <row r="1307" spans="1:2">
      <c r="A1307" s="107">
        <v>8101741</v>
      </c>
      <c r="B1307" s="107" t="s">
        <v>1310</v>
      </c>
    </row>
    <row r="1308" spans="1:2">
      <c r="A1308" s="107">
        <v>8101742</v>
      </c>
      <c r="B1308" s="107" t="s">
        <v>1311</v>
      </c>
    </row>
    <row r="1309" spans="1:2">
      <c r="A1309" s="107">
        <v>8101743</v>
      </c>
      <c r="B1309" s="107" t="s">
        <v>627</v>
      </c>
    </row>
    <row r="1310" spans="1:2">
      <c r="A1310" s="107">
        <v>8101744</v>
      </c>
      <c r="B1310" s="107" t="s">
        <v>1312</v>
      </c>
    </row>
    <row r="1311" spans="1:2">
      <c r="A1311" s="107">
        <v>8101745</v>
      </c>
      <c r="B1311" s="107" t="s">
        <v>1313</v>
      </c>
    </row>
    <row r="1312" spans="1:2">
      <c r="A1312" s="107">
        <v>8101746</v>
      </c>
      <c r="B1312" s="107" t="s">
        <v>1314</v>
      </c>
    </row>
    <row r="1313" spans="1:2">
      <c r="A1313" s="107">
        <v>8101747</v>
      </c>
      <c r="B1313" s="107" t="s">
        <v>1315</v>
      </c>
    </row>
    <row r="1314" spans="1:2">
      <c r="A1314" s="107">
        <v>8101748</v>
      </c>
      <c r="B1314" s="107" t="s">
        <v>1316</v>
      </c>
    </row>
    <row r="1315" spans="1:2">
      <c r="A1315" s="107">
        <v>8101749</v>
      </c>
      <c r="B1315" s="107" t="s">
        <v>1317</v>
      </c>
    </row>
    <row r="1316" spans="1:2">
      <c r="A1316" s="107">
        <v>8101750</v>
      </c>
      <c r="B1316" s="107" t="s">
        <v>1318</v>
      </c>
    </row>
    <row r="1317" spans="1:2">
      <c r="A1317" s="107">
        <v>8101751</v>
      </c>
      <c r="B1317" s="107" t="s">
        <v>1319</v>
      </c>
    </row>
    <row r="1318" spans="1:2">
      <c r="A1318" s="107">
        <v>8101752</v>
      </c>
      <c r="B1318" s="107" t="s">
        <v>1320</v>
      </c>
    </row>
    <row r="1319" spans="1:2">
      <c r="A1319" s="107">
        <v>8101753</v>
      </c>
      <c r="B1319" s="107" t="s">
        <v>1321</v>
      </c>
    </row>
    <row r="1320" spans="1:2">
      <c r="A1320" s="107">
        <v>8101754</v>
      </c>
      <c r="B1320" s="107" t="s">
        <v>1322</v>
      </c>
    </row>
    <row r="1321" spans="1:2">
      <c r="A1321" s="107">
        <v>8101755</v>
      </c>
      <c r="B1321" s="107" t="s">
        <v>1323</v>
      </c>
    </row>
    <row r="1322" spans="1:2">
      <c r="A1322" s="107">
        <v>8101756</v>
      </c>
      <c r="B1322" s="107" t="s">
        <v>1324</v>
      </c>
    </row>
    <row r="1323" spans="1:2">
      <c r="A1323" s="107">
        <v>8101757</v>
      </c>
      <c r="B1323" s="107" t="s">
        <v>1325</v>
      </c>
    </row>
    <row r="1324" spans="1:2">
      <c r="A1324" s="107">
        <v>8101758</v>
      </c>
      <c r="B1324" s="107" t="s">
        <v>1326</v>
      </c>
    </row>
    <row r="1325" spans="1:2">
      <c r="A1325" s="107">
        <v>8101759</v>
      </c>
      <c r="B1325" s="107" t="s">
        <v>1327</v>
      </c>
    </row>
    <row r="1326" spans="1:2">
      <c r="A1326" s="107">
        <v>8101760</v>
      </c>
      <c r="B1326" s="107" t="s">
        <v>1328</v>
      </c>
    </row>
    <row r="1327" spans="1:2">
      <c r="A1327" s="107">
        <v>8101761</v>
      </c>
      <c r="B1327" s="107" t="s">
        <v>1329</v>
      </c>
    </row>
    <row r="1328" spans="1:2">
      <c r="A1328" s="107">
        <v>8101762</v>
      </c>
      <c r="B1328" s="107" t="s">
        <v>1330</v>
      </c>
    </row>
    <row r="1329" spans="1:2">
      <c r="A1329" s="107">
        <v>8101763</v>
      </c>
      <c r="B1329" s="107" t="s">
        <v>1331</v>
      </c>
    </row>
    <row r="1330" spans="1:2">
      <c r="A1330" s="107">
        <v>8101764</v>
      </c>
      <c r="B1330" s="107" t="s">
        <v>1332</v>
      </c>
    </row>
    <row r="1331" spans="1:2">
      <c r="A1331" s="107">
        <v>8101765</v>
      </c>
      <c r="B1331" s="107" t="s">
        <v>1333</v>
      </c>
    </row>
    <row r="1332" spans="1:2">
      <c r="A1332" s="107">
        <v>8101766</v>
      </c>
      <c r="B1332" s="107" t="s">
        <v>1334</v>
      </c>
    </row>
    <row r="1333" spans="1:2">
      <c r="A1333" s="107">
        <v>8101767</v>
      </c>
      <c r="B1333" s="107" t="s">
        <v>1335</v>
      </c>
    </row>
    <row r="1334" spans="1:2">
      <c r="A1334" s="107">
        <v>8101768</v>
      </c>
      <c r="B1334" s="107" t="s">
        <v>1336</v>
      </c>
    </row>
    <row r="1335" spans="1:2">
      <c r="A1335" s="107">
        <v>8101769</v>
      </c>
      <c r="B1335" s="107" t="s">
        <v>1337</v>
      </c>
    </row>
    <row r="1336" spans="1:2">
      <c r="A1336" s="107">
        <v>8101770</v>
      </c>
      <c r="B1336" s="107" t="s">
        <v>1338</v>
      </c>
    </row>
    <row r="1337" spans="1:2">
      <c r="A1337" s="107">
        <v>8101771</v>
      </c>
      <c r="B1337" s="107" t="s">
        <v>1339</v>
      </c>
    </row>
    <row r="1338" spans="1:2">
      <c r="A1338" s="107">
        <v>8101772</v>
      </c>
      <c r="B1338" s="107" t="s">
        <v>1340</v>
      </c>
    </row>
    <row r="1339" spans="1:2">
      <c r="A1339" s="107">
        <v>8101773</v>
      </c>
      <c r="B1339" s="107" t="s">
        <v>1341</v>
      </c>
    </row>
    <row r="1340" spans="1:2">
      <c r="A1340" s="107">
        <v>8101774</v>
      </c>
      <c r="B1340" s="107" t="s">
        <v>1342</v>
      </c>
    </row>
    <row r="1341" spans="1:2">
      <c r="A1341" s="107">
        <v>8101775</v>
      </c>
      <c r="B1341" s="107" t="s">
        <v>1343</v>
      </c>
    </row>
    <row r="1342" spans="1:2">
      <c r="A1342" s="107">
        <v>8101776</v>
      </c>
      <c r="B1342" s="107" t="s">
        <v>1344</v>
      </c>
    </row>
    <row r="1343" spans="1:2">
      <c r="A1343" s="107">
        <v>8101777</v>
      </c>
      <c r="B1343" s="107" t="s">
        <v>1345</v>
      </c>
    </row>
    <row r="1344" spans="1:2">
      <c r="A1344" s="107">
        <v>8101778</v>
      </c>
      <c r="B1344" s="107" t="s">
        <v>1346</v>
      </c>
    </row>
    <row r="1345" spans="1:2">
      <c r="A1345" s="107">
        <v>8101779</v>
      </c>
      <c r="B1345" s="107" t="s">
        <v>1347</v>
      </c>
    </row>
    <row r="1346" spans="1:2">
      <c r="A1346" s="107">
        <v>8101780</v>
      </c>
      <c r="B1346" s="107" t="s">
        <v>2227</v>
      </c>
    </row>
    <row r="1347" spans="1:2">
      <c r="A1347" s="107">
        <v>8101781</v>
      </c>
      <c r="B1347" s="107" t="s">
        <v>1348</v>
      </c>
    </row>
    <row r="1348" spans="1:2">
      <c r="A1348" s="107">
        <v>8101782</v>
      </c>
      <c r="B1348" s="107" t="s">
        <v>1349</v>
      </c>
    </row>
    <row r="1349" spans="1:2">
      <c r="A1349" s="107">
        <v>8101783</v>
      </c>
      <c r="B1349" s="107" t="s">
        <v>1350</v>
      </c>
    </row>
    <row r="1350" spans="1:2">
      <c r="A1350" s="107">
        <v>8101784</v>
      </c>
      <c r="B1350" s="107" t="s">
        <v>1351</v>
      </c>
    </row>
    <row r="1351" spans="1:2">
      <c r="A1351" s="107">
        <v>8101785</v>
      </c>
      <c r="B1351" s="107" t="s">
        <v>1350</v>
      </c>
    </row>
    <row r="1352" spans="1:2">
      <c r="A1352" s="107">
        <v>8101786</v>
      </c>
      <c r="B1352" s="107" t="s">
        <v>1352</v>
      </c>
    </row>
    <row r="1353" spans="1:2">
      <c r="A1353" s="107">
        <v>8101787</v>
      </c>
      <c r="B1353" s="107" t="s">
        <v>1353</v>
      </c>
    </row>
    <row r="1354" spans="1:2">
      <c r="A1354" s="107">
        <v>8101788</v>
      </c>
      <c r="B1354" s="107" t="s">
        <v>1354</v>
      </c>
    </row>
    <row r="1355" spans="1:2">
      <c r="A1355" s="107">
        <v>8101789</v>
      </c>
      <c r="B1355" s="107" t="s">
        <v>1355</v>
      </c>
    </row>
    <row r="1356" spans="1:2">
      <c r="A1356" s="107">
        <v>8101790</v>
      </c>
      <c r="B1356" s="107" t="s">
        <v>1356</v>
      </c>
    </row>
    <row r="1357" spans="1:2">
      <c r="A1357" s="107">
        <v>8101791</v>
      </c>
      <c r="B1357" s="107" t="s">
        <v>1357</v>
      </c>
    </row>
    <row r="1358" spans="1:2">
      <c r="A1358" s="107">
        <v>8101792</v>
      </c>
      <c r="B1358" s="107" t="s">
        <v>1358</v>
      </c>
    </row>
    <row r="1359" spans="1:2">
      <c r="A1359" s="107">
        <v>8101793</v>
      </c>
      <c r="B1359" s="107" t="s">
        <v>1359</v>
      </c>
    </row>
    <row r="1360" spans="1:2">
      <c r="A1360" s="107">
        <v>8101794</v>
      </c>
      <c r="B1360" s="107" t="s">
        <v>1360</v>
      </c>
    </row>
    <row r="1361" spans="1:2">
      <c r="A1361" s="107">
        <v>8101795</v>
      </c>
      <c r="B1361" s="107" t="s">
        <v>1361</v>
      </c>
    </row>
    <row r="1362" spans="1:2">
      <c r="A1362" s="107">
        <v>8101796</v>
      </c>
      <c r="B1362" s="107" t="s">
        <v>2102</v>
      </c>
    </row>
    <row r="1363" spans="1:2">
      <c r="A1363" s="107">
        <v>8101797</v>
      </c>
      <c r="B1363" s="107" t="s">
        <v>1362</v>
      </c>
    </row>
    <row r="1364" spans="1:2">
      <c r="A1364" s="107">
        <v>8101798</v>
      </c>
      <c r="B1364" s="107" t="s">
        <v>1363</v>
      </c>
    </row>
    <row r="1365" spans="1:2">
      <c r="A1365" s="107">
        <v>8101799</v>
      </c>
      <c r="B1365" s="107" t="s">
        <v>1364</v>
      </c>
    </row>
    <row r="1366" spans="1:2">
      <c r="A1366" s="107">
        <v>8101800</v>
      </c>
      <c r="B1366" s="107" t="s">
        <v>1365</v>
      </c>
    </row>
    <row r="1367" spans="1:2">
      <c r="A1367" s="107">
        <v>8101801</v>
      </c>
      <c r="B1367" s="107" t="s">
        <v>1366</v>
      </c>
    </row>
    <row r="1368" spans="1:2">
      <c r="A1368" s="107">
        <v>8101802</v>
      </c>
      <c r="B1368" s="107" t="s">
        <v>982</v>
      </c>
    </row>
    <row r="1369" spans="1:2">
      <c r="A1369" s="107">
        <v>8101803</v>
      </c>
      <c r="B1369" s="107" t="s">
        <v>1367</v>
      </c>
    </row>
    <row r="1370" spans="1:2">
      <c r="A1370" s="107">
        <v>8101804</v>
      </c>
      <c r="B1370" s="107" t="s">
        <v>1368</v>
      </c>
    </row>
    <row r="1371" spans="1:2">
      <c r="A1371" s="107">
        <v>8101805</v>
      </c>
      <c r="B1371" s="107" t="s">
        <v>1369</v>
      </c>
    </row>
    <row r="1372" spans="1:2">
      <c r="A1372" s="107">
        <v>8101806</v>
      </c>
      <c r="B1372" s="107" t="s">
        <v>1370</v>
      </c>
    </row>
    <row r="1373" spans="1:2">
      <c r="A1373" s="107">
        <v>8101807</v>
      </c>
      <c r="B1373" s="107" t="s">
        <v>2160</v>
      </c>
    </row>
    <row r="1374" spans="1:2">
      <c r="A1374" s="107">
        <v>8101808</v>
      </c>
      <c r="B1374" s="107" t="s">
        <v>1371</v>
      </c>
    </row>
    <row r="1375" spans="1:2">
      <c r="A1375" s="107">
        <v>8101809</v>
      </c>
      <c r="B1375" s="107" t="s">
        <v>1372</v>
      </c>
    </row>
    <row r="1376" spans="1:2">
      <c r="A1376" s="107">
        <v>8101810</v>
      </c>
      <c r="B1376" s="107" t="s">
        <v>1373</v>
      </c>
    </row>
    <row r="1377" spans="1:2">
      <c r="A1377" s="107">
        <v>8101811</v>
      </c>
      <c r="B1377" s="107" t="s">
        <v>1374</v>
      </c>
    </row>
    <row r="1378" spans="1:2">
      <c r="A1378" s="107">
        <v>8101812</v>
      </c>
      <c r="B1378" s="107" t="s">
        <v>1375</v>
      </c>
    </row>
    <row r="1379" spans="1:2">
      <c r="A1379" s="107">
        <v>8101813</v>
      </c>
      <c r="B1379" s="107" t="s">
        <v>1376</v>
      </c>
    </row>
    <row r="1380" spans="1:2">
      <c r="A1380" s="107">
        <v>8101814</v>
      </c>
      <c r="B1380" s="107" t="s">
        <v>1377</v>
      </c>
    </row>
    <row r="1381" spans="1:2">
      <c r="A1381" s="107">
        <v>8101815</v>
      </c>
      <c r="B1381" s="107" t="s">
        <v>1378</v>
      </c>
    </row>
    <row r="1382" spans="1:2">
      <c r="A1382" s="107">
        <v>8101816</v>
      </c>
      <c r="B1382" s="107" t="s">
        <v>1379</v>
      </c>
    </row>
    <row r="1383" spans="1:2">
      <c r="A1383" s="107">
        <v>8101817</v>
      </c>
      <c r="B1383" s="107" t="s">
        <v>1380</v>
      </c>
    </row>
    <row r="1384" spans="1:2">
      <c r="A1384" s="107">
        <v>8101818</v>
      </c>
      <c r="B1384" s="107" t="s">
        <v>1381</v>
      </c>
    </row>
    <row r="1385" spans="1:2">
      <c r="A1385" s="107">
        <v>8101819</v>
      </c>
      <c r="B1385" s="107" t="s">
        <v>1382</v>
      </c>
    </row>
    <row r="1386" spans="1:2">
      <c r="A1386" s="107">
        <v>8101820</v>
      </c>
      <c r="B1386" s="107" t="s">
        <v>1383</v>
      </c>
    </row>
    <row r="1387" spans="1:2">
      <c r="A1387" s="107">
        <v>8101821</v>
      </c>
      <c r="B1387" s="107" t="s">
        <v>1384</v>
      </c>
    </row>
    <row r="1388" spans="1:2">
      <c r="A1388" s="107">
        <v>8101822</v>
      </c>
      <c r="B1388" s="107" t="s">
        <v>1385</v>
      </c>
    </row>
    <row r="1389" spans="1:2">
      <c r="A1389" s="107">
        <v>8101823</v>
      </c>
      <c r="B1389" s="107" t="s">
        <v>412</v>
      </c>
    </row>
    <row r="1390" spans="1:2">
      <c r="A1390" s="107">
        <v>8101824</v>
      </c>
      <c r="B1390" s="107" t="s">
        <v>1386</v>
      </c>
    </row>
    <row r="1391" spans="1:2">
      <c r="A1391" s="107">
        <v>8101825</v>
      </c>
      <c r="B1391" s="107" t="s">
        <v>1387</v>
      </c>
    </row>
    <row r="1392" spans="1:2">
      <c r="A1392" s="107">
        <v>8101826</v>
      </c>
      <c r="B1392" s="107" t="s">
        <v>1144</v>
      </c>
    </row>
    <row r="1393" spans="1:2">
      <c r="A1393" s="107">
        <v>8101827</v>
      </c>
      <c r="B1393" s="107" t="s">
        <v>1388</v>
      </c>
    </row>
    <row r="1394" spans="1:2">
      <c r="A1394" s="107">
        <v>8101828</v>
      </c>
      <c r="B1394" s="107" t="s">
        <v>1389</v>
      </c>
    </row>
    <row r="1395" spans="1:2">
      <c r="A1395" s="107">
        <v>8101829</v>
      </c>
      <c r="B1395" s="107" t="s">
        <v>1390</v>
      </c>
    </row>
    <row r="1396" spans="1:2">
      <c r="A1396" s="107">
        <v>8101830</v>
      </c>
      <c r="B1396" s="107" t="s">
        <v>1391</v>
      </c>
    </row>
    <row r="1397" spans="1:2">
      <c r="A1397" s="107">
        <v>8101831</v>
      </c>
      <c r="B1397" s="107" t="s">
        <v>1392</v>
      </c>
    </row>
    <row r="1398" spans="1:2">
      <c r="A1398" s="107">
        <v>8101832</v>
      </c>
      <c r="B1398" s="107" t="s">
        <v>1393</v>
      </c>
    </row>
    <row r="1399" spans="1:2">
      <c r="A1399" s="107">
        <v>8101833</v>
      </c>
      <c r="B1399" s="107" t="s">
        <v>1394</v>
      </c>
    </row>
    <row r="1400" spans="1:2">
      <c r="A1400" s="107">
        <v>8101834</v>
      </c>
      <c r="B1400" s="107" t="s">
        <v>2176</v>
      </c>
    </row>
    <row r="1401" spans="1:2">
      <c r="A1401" s="107">
        <v>8101835</v>
      </c>
      <c r="B1401" s="107" t="s">
        <v>1395</v>
      </c>
    </row>
    <row r="1402" spans="1:2">
      <c r="A1402" s="107">
        <v>8101836</v>
      </c>
      <c r="B1402" s="107" t="s">
        <v>1396</v>
      </c>
    </row>
    <row r="1403" spans="1:2">
      <c r="A1403" s="107">
        <v>8101837</v>
      </c>
      <c r="B1403" s="107" t="s">
        <v>1397</v>
      </c>
    </row>
    <row r="1404" spans="1:2">
      <c r="A1404" s="107">
        <v>8101838</v>
      </c>
      <c r="B1404" s="107" t="s">
        <v>1398</v>
      </c>
    </row>
    <row r="1405" spans="1:2">
      <c r="A1405" s="107">
        <v>8101839</v>
      </c>
      <c r="B1405" s="107" t="s">
        <v>1399</v>
      </c>
    </row>
    <row r="1406" spans="1:2">
      <c r="A1406" s="107">
        <v>8101840</v>
      </c>
      <c r="B1406" s="107" t="s">
        <v>1400</v>
      </c>
    </row>
    <row r="1407" spans="1:2">
      <c r="A1407" s="107">
        <v>8101841</v>
      </c>
      <c r="B1407" s="107" t="s">
        <v>1401</v>
      </c>
    </row>
    <row r="1408" spans="1:2">
      <c r="A1408" s="107">
        <v>8101842</v>
      </c>
      <c r="B1408" s="107" t="s">
        <v>1402</v>
      </c>
    </row>
    <row r="1409" spans="1:2">
      <c r="A1409" s="107">
        <v>8101843</v>
      </c>
      <c r="B1409" s="107" t="s">
        <v>1403</v>
      </c>
    </row>
    <row r="1410" spans="1:2">
      <c r="A1410" s="107">
        <v>8101844</v>
      </c>
      <c r="B1410" s="107" t="s">
        <v>1404</v>
      </c>
    </row>
    <row r="1411" spans="1:2">
      <c r="A1411" s="107">
        <v>8101845</v>
      </c>
      <c r="B1411" s="107" t="s">
        <v>1405</v>
      </c>
    </row>
    <row r="1412" spans="1:2">
      <c r="A1412" s="107">
        <v>8101846</v>
      </c>
      <c r="B1412" s="107" t="s">
        <v>1406</v>
      </c>
    </row>
    <row r="1413" spans="1:2">
      <c r="A1413" s="107">
        <v>8101847</v>
      </c>
      <c r="B1413" s="107" t="s">
        <v>1407</v>
      </c>
    </row>
    <row r="1414" spans="1:2">
      <c r="A1414" s="107">
        <v>8101848</v>
      </c>
      <c r="B1414" s="107" t="s">
        <v>1408</v>
      </c>
    </row>
    <row r="1415" spans="1:2">
      <c r="A1415" s="107">
        <v>8101849</v>
      </c>
      <c r="B1415" s="107" t="s">
        <v>1409</v>
      </c>
    </row>
    <row r="1416" spans="1:2">
      <c r="A1416" s="107">
        <v>8101850</v>
      </c>
      <c r="B1416" s="107" t="s">
        <v>1410</v>
      </c>
    </row>
    <row r="1417" spans="1:2">
      <c r="A1417" s="107">
        <v>8101851</v>
      </c>
      <c r="B1417" s="107" t="s">
        <v>1411</v>
      </c>
    </row>
    <row r="1418" spans="1:2">
      <c r="A1418" s="107">
        <v>8101852</v>
      </c>
      <c r="B1418" s="107" t="s">
        <v>1412</v>
      </c>
    </row>
    <row r="1419" spans="1:2">
      <c r="A1419" s="107">
        <v>8101853</v>
      </c>
      <c r="B1419" s="107" t="s">
        <v>1413</v>
      </c>
    </row>
    <row r="1420" spans="1:2">
      <c r="A1420" s="107">
        <v>8101854</v>
      </c>
      <c r="B1420" s="107" t="s">
        <v>1414</v>
      </c>
    </row>
    <row r="1421" spans="1:2">
      <c r="A1421" s="107">
        <v>8101855</v>
      </c>
      <c r="B1421" s="107" t="s">
        <v>1415</v>
      </c>
    </row>
    <row r="1422" spans="1:2">
      <c r="A1422" s="107">
        <v>8101856</v>
      </c>
      <c r="B1422" s="107" t="s">
        <v>1416</v>
      </c>
    </row>
    <row r="1423" spans="1:2">
      <c r="A1423" s="107">
        <v>8101857</v>
      </c>
      <c r="B1423" s="107" t="s">
        <v>1417</v>
      </c>
    </row>
    <row r="1424" spans="1:2">
      <c r="A1424" s="107">
        <v>8101858</v>
      </c>
      <c r="B1424" s="107" t="s">
        <v>1418</v>
      </c>
    </row>
    <row r="1425" spans="1:2">
      <c r="A1425" s="107">
        <v>8101859</v>
      </c>
      <c r="B1425" s="107" t="s">
        <v>1419</v>
      </c>
    </row>
    <row r="1426" spans="1:2">
      <c r="A1426" s="107">
        <v>8101860</v>
      </c>
      <c r="B1426" s="107" t="s">
        <v>1420</v>
      </c>
    </row>
    <row r="1427" spans="1:2">
      <c r="A1427" s="107">
        <v>8101861</v>
      </c>
      <c r="B1427" s="107" t="s">
        <v>1421</v>
      </c>
    </row>
    <row r="1428" spans="1:2">
      <c r="A1428" s="107">
        <v>8101862</v>
      </c>
      <c r="B1428" s="107" t="s">
        <v>1422</v>
      </c>
    </row>
    <row r="1429" spans="1:2">
      <c r="A1429" s="107">
        <v>8101863</v>
      </c>
      <c r="B1429" s="107" t="s">
        <v>1423</v>
      </c>
    </row>
    <row r="1430" spans="1:2">
      <c r="A1430" s="107">
        <v>8101864</v>
      </c>
      <c r="B1430" s="107" t="s">
        <v>1424</v>
      </c>
    </row>
    <row r="1431" spans="1:2">
      <c r="A1431" s="107">
        <v>8101865</v>
      </c>
      <c r="B1431" s="107" t="s">
        <v>1425</v>
      </c>
    </row>
    <row r="1432" spans="1:2">
      <c r="A1432" s="107">
        <v>8101866</v>
      </c>
      <c r="B1432" s="107" t="s">
        <v>1426</v>
      </c>
    </row>
    <row r="1433" spans="1:2">
      <c r="A1433" s="107">
        <v>8101867</v>
      </c>
      <c r="B1433" s="107" t="s">
        <v>1427</v>
      </c>
    </row>
    <row r="1434" spans="1:2">
      <c r="A1434" s="107">
        <v>8101868</v>
      </c>
      <c r="B1434" s="107" t="s">
        <v>1428</v>
      </c>
    </row>
    <row r="1435" spans="1:2">
      <c r="A1435" s="107">
        <v>8101869</v>
      </c>
      <c r="B1435" s="107" t="s">
        <v>1429</v>
      </c>
    </row>
    <row r="1436" spans="1:2">
      <c r="A1436" s="107">
        <v>8101870</v>
      </c>
      <c r="B1436" s="107" t="s">
        <v>1430</v>
      </c>
    </row>
    <row r="1437" spans="1:2">
      <c r="A1437" s="107">
        <v>8101871</v>
      </c>
      <c r="B1437" s="107" t="s">
        <v>1431</v>
      </c>
    </row>
    <row r="1438" spans="1:2">
      <c r="A1438" s="107">
        <v>8101872</v>
      </c>
      <c r="B1438" s="107" t="s">
        <v>1432</v>
      </c>
    </row>
    <row r="1439" spans="1:2">
      <c r="A1439" s="107">
        <v>8101873</v>
      </c>
      <c r="B1439" s="107" t="s">
        <v>1433</v>
      </c>
    </row>
    <row r="1440" spans="1:2">
      <c r="A1440" s="107">
        <v>8101874</v>
      </c>
      <c r="B1440" s="107" t="s">
        <v>1434</v>
      </c>
    </row>
    <row r="1441" spans="1:2">
      <c r="A1441" s="107">
        <v>8101875</v>
      </c>
      <c r="B1441" s="107" t="s">
        <v>1435</v>
      </c>
    </row>
    <row r="1442" spans="1:2">
      <c r="A1442" s="107">
        <v>8101876</v>
      </c>
      <c r="B1442" s="107" t="s">
        <v>642</v>
      </c>
    </row>
    <row r="1443" spans="1:2">
      <c r="A1443" s="107">
        <v>8101877</v>
      </c>
      <c r="B1443" s="107" t="s">
        <v>1436</v>
      </c>
    </row>
    <row r="1444" spans="1:2">
      <c r="A1444" s="107">
        <v>8101878</v>
      </c>
      <c r="B1444" s="107" t="s">
        <v>1437</v>
      </c>
    </row>
    <row r="1445" spans="1:2">
      <c r="A1445" s="107">
        <v>8101879</v>
      </c>
      <c r="B1445" s="107" t="s">
        <v>1438</v>
      </c>
    </row>
    <row r="1446" spans="1:2">
      <c r="A1446" s="107">
        <v>8101880</v>
      </c>
      <c r="B1446" s="107" t="s">
        <v>1439</v>
      </c>
    </row>
    <row r="1447" spans="1:2">
      <c r="A1447" s="107">
        <v>8101881</v>
      </c>
      <c r="B1447" s="107" t="s">
        <v>1440</v>
      </c>
    </row>
    <row r="1448" spans="1:2">
      <c r="A1448" s="107">
        <v>8101882</v>
      </c>
      <c r="B1448" s="107" t="s">
        <v>1439</v>
      </c>
    </row>
    <row r="1449" spans="1:2">
      <c r="A1449" s="107">
        <v>8101883</v>
      </c>
      <c r="B1449" s="107" t="s">
        <v>1441</v>
      </c>
    </row>
    <row r="1450" spans="1:2">
      <c r="A1450" s="107">
        <v>8101884</v>
      </c>
      <c r="B1450" s="107" t="s">
        <v>1442</v>
      </c>
    </row>
    <row r="1451" spans="1:2">
      <c r="A1451" s="107">
        <v>8101885</v>
      </c>
      <c r="B1451" s="107" t="s">
        <v>1443</v>
      </c>
    </row>
    <row r="1452" spans="1:2">
      <c r="A1452" s="107">
        <v>8101886</v>
      </c>
      <c r="B1452" s="107" t="s">
        <v>1444</v>
      </c>
    </row>
    <row r="1453" spans="1:2">
      <c r="A1453" s="107">
        <v>8101887</v>
      </c>
      <c r="B1453" s="107" t="s">
        <v>1445</v>
      </c>
    </row>
    <row r="1454" spans="1:2">
      <c r="A1454" s="107">
        <v>8101888</v>
      </c>
      <c r="B1454" s="107" t="s">
        <v>1446</v>
      </c>
    </row>
    <row r="1455" spans="1:2">
      <c r="A1455" s="107">
        <v>8101889</v>
      </c>
      <c r="B1455" s="107" t="s">
        <v>1447</v>
      </c>
    </row>
    <row r="1456" spans="1:2">
      <c r="A1456" s="107">
        <v>8101890</v>
      </c>
      <c r="B1456" s="107" t="s">
        <v>1448</v>
      </c>
    </row>
    <row r="1457" spans="1:2">
      <c r="A1457" s="107">
        <v>8101891</v>
      </c>
      <c r="B1457" s="107" t="s">
        <v>1449</v>
      </c>
    </row>
    <row r="1458" spans="1:2">
      <c r="A1458" s="107">
        <v>8101892</v>
      </c>
      <c r="B1458" s="107" t="s">
        <v>1450</v>
      </c>
    </row>
    <row r="1459" spans="1:2">
      <c r="A1459" s="107">
        <v>8101893</v>
      </c>
      <c r="B1459" s="107" t="s">
        <v>1451</v>
      </c>
    </row>
    <row r="1460" spans="1:2">
      <c r="A1460" s="107">
        <v>8101894</v>
      </c>
      <c r="B1460" s="107" t="s">
        <v>1452</v>
      </c>
    </row>
    <row r="1461" spans="1:2">
      <c r="A1461" s="107">
        <v>8101895</v>
      </c>
      <c r="B1461" s="107" t="s">
        <v>1453</v>
      </c>
    </row>
    <row r="1462" spans="1:2">
      <c r="A1462" s="107">
        <v>8101896</v>
      </c>
      <c r="B1462" s="107" t="s">
        <v>1454</v>
      </c>
    </row>
    <row r="1463" spans="1:2">
      <c r="A1463" s="107">
        <v>8101897</v>
      </c>
      <c r="B1463" s="107" t="s">
        <v>1455</v>
      </c>
    </row>
    <row r="1464" spans="1:2">
      <c r="A1464" s="107">
        <v>8101898</v>
      </c>
      <c r="B1464" s="107" t="s">
        <v>1456</v>
      </c>
    </row>
    <row r="1465" spans="1:2">
      <c r="A1465" s="107">
        <v>8101899</v>
      </c>
      <c r="B1465" s="107" t="s">
        <v>1457</v>
      </c>
    </row>
    <row r="1466" spans="1:2">
      <c r="A1466" s="107">
        <v>8101900</v>
      </c>
      <c r="B1466" s="107" t="s">
        <v>1458</v>
      </c>
    </row>
    <row r="1467" spans="1:2">
      <c r="A1467" s="107">
        <v>8101901</v>
      </c>
      <c r="B1467" s="107" t="s">
        <v>1459</v>
      </c>
    </row>
    <row r="1468" spans="1:2">
      <c r="A1468" s="107">
        <v>8101902</v>
      </c>
      <c r="B1468" s="107" t="s">
        <v>1460</v>
      </c>
    </row>
    <row r="1469" spans="1:2">
      <c r="A1469" s="107">
        <v>8101903</v>
      </c>
      <c r="B1469" s="107" t="s">
        <v>1461</v>
      </c>
    </row>
    <row r="1470" spans="1:2">
      <c r="A1470" s="107">
        <v>8101904</v>
      </c>
      <c r="B1470" s="107" t="s">
        <v>1462</v>
      </c>
    </row>
    <row r="1471" spans="1:2">
      <c r="A1471" s="107">
        <v>8101905</v>
      </c>
      <c r="B1471" s="107" t="s">
        <v>1463</v>
      </c>
    </row>
    <row r="1472" spans="1:2">
      <c r="A1472" s="107">
        <v>8101906</v>
      </c>
      <c r="B1472" s="107" t="s">
        <v>1464</v>
      </c>
    </row>
    <row r="1473" spans="1:2">
      <c r="A1473" s="107">
        <v>8101907</v>
      </c>
      <c r="B1473" s="107" t="s">
        <v>1465</v>
      </c>
    </row>
    <row r="1474" spans="1:2">
      <c r="A1474" s="107">
        <v>8101908</v>
      </c>
      <c r="B1474" s="107" t="s">
        <v>1466</v>
      </c>
    </row>
    <row r="1475" spans="1:2">
      <c r="A1475" s="107">
        <v>8101909</v>
      </c>
      <c r="B1475" s="107" t="s">
        <v>1467</v>
      </c>
    </row>
    <row r="1476" spans="1:2">
      <c r="A1476" s="107">
        <v>8101910</v>
      </c>
      <c r="B1476" s="107" t="s">
        <v>1468</v>
      </c>
    </row>
    <row r="1477" spans="1:2">
      <c r="A1477" s="107">
        <v>8101911</v>
      </c>
      <c r="B1477" s="107" t="s">
        <v>1469</v>
      </c>
    </row>
    <row r="1478" spans="1:2">
      <c r="A1478" s="107">
        <v>8101912</v>
      </c>
      <c r="B1478" s="107" t="s">
        <v>648</v>
      </c>
    </row>
    <row r="1479" spans="1:2">
      <c r="A1479" s="107">
        <v>8101913</v>
      </c>
      <c r="B1479" s="107" t="s">
        <v>1470</v>
      </c>
    </row>
    <row r="1480" spans="1:2">
      <c r="A1480" s="107">
        <v>8101914</v>
      </c>
      <c r="B1480" s="107" t="s">
        <v>1471</v>
      </c>
    </row>
    <row r="1481" spans="1:2">
      <c r="A1481" s="107">
        <v>8101915</v>
      </c>
      <c r="B1481" s="107" t="s">
        <v>1472</v>
      </c>
    </row>
    <row r="1482" spans="1:2">
      <c r="A1482" s="107">
        <v>8101916</v>
      </c>
      <c r="B1482" s="107" t="s">
        <v>1473</v>
      </c>
    </row>
    <row r="1483" spans="1:2">
      <c r="A1483" s="107">
        <v>8101917</v>
      </c>
      <c r="B1483" s="107" t="s">
        <v>1474</v>
      </c>
    </row>
    <row r="1484" spans="1:2">
      <c r="A1484" s="107">
        <v>8101918</v>
      </c>
      <c r="B1484" s="107" t="s">
        <v>1475</v>
      </c>
    </row>
    <row r="1485" spans="1:2">
      <c r="A1485" s="107">
        <v>8101919</v>
      </c>
      <c r="B1485" s="107" t="s">
        <v>1476</v>
      </c>
    </row>
    <row r="1486" spans="1:2">
      <c r="A1486" s="107">
        <v>8101920</v>
      </c>
      <c r="B1486" s="107" t="s">
        <v>1477</v>
      </c>
    </row>
    <row r="1487" spans="1:2">
      <c r="A1487" s="107">
        <v>8101921</v>
      </c>
      <c r="B1487" s="107" t="s">
        <v>1478</v>
      </c>
    </row>
    <row r="1488" spans="1:2">
      <c r="A1488" s="107">
        <v>8101922</v>
      </c>
      <c r="B1488" s="107" t="s">
        <v>1479</v>
      </c>
    </row>
    <row r="1489" spans="1:2">
      <c r="A1489" s="107">
        <v>8101923</v>
      </c>
      <c r="B1489" s="107" t="s">
        <v>1480</v>
      </c>
    </row>
    <row r="1490" spans="1:2">
      <c r="A1490" s="107">
        <v>8101924</v>
      </c>
      <c r="B1490" s="107" t="s">
        <v>1481</v>
      </c>
    </row>
    <row r="1491" spans="1:2">
      <c r="A1491" s="107">
        <v>8101925</v>
      </c>
      <c r="B1491" s="107" t="s">
        <v>1482</v>
      </c>
    </row>
    <row r="1492" spans="1:2">
      <c r="A1492" s="107">
        <v>8101926</v>
      </c>
      <c r="B1492" s="107" t="s">
        <v>1483</v>
      </c>
    </row>
    <row r="1493" spans="1:2">
      <c r="A1493" s="107">
        <v>8101927</v>
      </c>
      <c r="B1493" s="107" t="s">
        <v>1484</v>
      </c>
    </row>
    <row r="1494" spans="1:2">
      <c r="A1494" s="107">
        <v>8101928</v>
      </c>
      <c r="B1494" s="107" t="s">
        <v>1485</v>
      </c>
    </row>
    <row r="1495" spans="1:2">
      <c r="A1495" s="107">
        <v>8101929</v>
      </c>
      <c r="B1495" s="107" t="s">
        <v>1486</v>
      </c>
    </row>
    <row r="1496" spans="1:2">
      <c r="A1496" s="107">
        <v>8101930</v>
      </c>
      <c r="B1496" s="107" t="s">
        <v>1487</v>
      </c>
    </row>
    <row r="1497" spans="1:2">
      <c r="A1497" s="107">
        <v>8101931</v>
      </c>
      <c r="B1497" s="107" t="s">
        <v>1488</v>
      </c>
    </row>
    <row r="1498" spans="1:2">
      <c r="A1498" s="107">
        <v>8101932</v>
      </c>
      <c r="B1498" s="107" t="s">
        <v>1489</v>
      </c>
    </row>
    <row r="1499" spans="1:2">
      <c r="A1499" s="107">
        <v>8101933</v>
      </c>
      <c r="B1499" s="107" t="s">
        <v>1490</v>
      </c>
    </row>
    <row r="1500" spans="1:2">
      <c r="A1500" s="107">
        <v>8101934</v>
      </c>
      <c r="B1500" s="107" t="s">
        <v>1491</v>
      </c>
    </row>
    <row r="1501" spans="1:2">
      <c r="A1501" s="107">
        <v>8101935</v>
      </c>
      <c r="B1501" s="107" t="s">
        <v>1492</v>
      </c>
    </row>
    <row r="1502" spans="1:2">
      <c r="A1502" s="107">
        <v>8101936</v>
      </c>
      <c r="B1502" s="107" t="s">
        <v>1493</v>
      </c>
    </row>
    <row r="1503" spans="1:2">
      <c r="A1503" s="107">
        <v>8101937</v>
      </c>
      <c r="B1503" s="107" t="s">
        <v>1494</v>
      </c>
    </row>
    <row r="1504" spans="1:2">
      <c r="A1504" s="107">
        <v>8101938</v>
      </c>
      <c r="B1504" s="107" t="s">
        <v>1495</v>
      </c>
    </row>
    <row r="1505" spans="1:2">
      <c r="A1505" s="107">
        <v>8101939</v>
      </c>
      <c r="B1505" s="107" t="s">
        <v>1496</v>
      </c>
    </row>
    <row r="1506" spans="1:2">
      <c r="A1506" s="107">
        <v>8101940</v>
      </c>
      <c r="B1506" s="107" t="s">
        <v>1497</v>
      </c>
    </row>
    <row r="1507" spans="1:2">
      <c r="A1507" s="107">
        <v>8101941</v>
      </c>
      <c r="B1507" s="107" t="s">
        <v>1498</v>
      </c>
    </row>
    <row r="1508" spans="1:2">
      <c r="A1508" s="107">
        <v>8101942</v>
      </c>
      <c r="B1508" s="107" t="s">
        <v>1499</v>
      </c>
    </row>
    <row r="1509" spans="1:2">
      <c r="A1509" s="107">
        <v>8101943</v>
      </c>
      <c r="B1509" s="107" t="s">
        <v>1500</v>
      </c>
    </row>
    <row r="1510" spans="1:2">
      <c r="A1510" s="107">
        <v>8101944</v>
      </c>
      <c r="B1510" s="107" t="s">
        <v>1501</v>
      </c>
    </row>
    <row r="1511" spans="1:2">
      <c r="A1511" s="107">
        <v>8101945</v>
      </c>
      <c r="B1511" s="107" t="s">
        <v>1502</v>
      </c>
    </row>
    <row r="1512" spans="1:2">
      <c r="A1512" s="107">
        <v>8101946</v>
      </c>
      <c r="B1512" s="107" t="s">
        <v>1503</v>
      </c>
    </row>
    <row r="1513" spans="1:2">
      <c r="A1513" s="107">
        <v>8101947</v>
      </c>
      <c r="B1513" s="107" t="s">
        <v>2094</v>
      </c>
    </row>
    <row r="1514" spans="1:2">
      <c r="A1514" s="107">
        <v>8101948</v>
      </c>
      <c r="B1514" s="107" t="s">
        <v>2095</v>
      </c>
    </row>
    <row r="1515" spans="1:2">
      <c r="A1515" s="107">
        <v>8101949</v>
      </c>
      <c r="B1515" s="107" t="s">
        <v>2096</v>
      </c>
    </row>
    <row r="1516" spans="1:2">
      <c r="A1516" s="107">
        <v>8101950</v>
      </c>
      <c r="B1516" s="107" t="s">
        <v>2097</v>
      </c>
    </row>
    <row r="1517" spans="1:2">
      <c r="A1517" s="107">
        <v>8101951</v>
      </c>
      <c r="B1517" s="107" t="s">
        <v>2103</v>
      </c>
    </row>
    <row r="1518" spans="1:2">
      <c r="A1518" s="107">
        <v>8101952</v>
      </c>
      <c r="B1518" s="107" t="s">
        <v>2106</v>
      </c>
    </row>
    <row r="1519" spans="1:2">
      <c r="A1519" s="107">
        <v>8101953</v>
      </c>
      <c r="B1519" s="107" t="s">
        <v>2110</v>
      </c>
    </row>
    <row r="1520" spans="1:2">
      <c r="A1520" s="107">
        <v>8101954</v>
      </c>
      <c r="B1520" s="107" t="s">
        <v>2124</v>
      </c>
    </row>
    <row r="1521" spans="1:2">
      <c r="A1521" s="107">
        <v>8101955</v>
      </c>
      <c r="B1521" s="107" t="s">
        <v>2125</v>
      </c>
    </row>
    <row r="1522" spans="1:2">
      <c r="A1522" s="107">
        <v>8101956</v>
      </c>
      <c r="B1522" s="107" t="s">
        <v>2126</v>
      </c>
    </row>
    <row r="1523" spans="1:2">
      <c r="A1523" s="107">
        <v>8101957</v>
      </c>
      <c r="B1523" s="107" t="s">
        <v>2133</v>
      </c>
    </row>
    <row r="1524" spans="1:2">
      <c r="A1524" s="107">
        <v>8101958</v>
      </c>
      <c r="B1524" s="107" t="s">
        <v>2134</v>
      </c>
    </row>
    <row r="1525" spans="1:2">
      <c r="A1525" s="107">
        <v>8101959</v>
      </c>
      <c r="B1525" s="107" t="s">
        <v>2139</v>
      </c>
    </row>
    <row r="1526" spans="1:2">
      <c r="A1526" s="107">
        <v>8101960</v>
      </c>
      <c r="B1526" s="107" t="s">
        <v>2140</v>
      </c>
    </row>
    <row r="1527" spans="1:2">
      <c r="A1527" s="107">
        <v>8101961</v>
      </c>
      <c r="B1527" s="107" t="s">
        <v>2141</v>
      </c>
    </row>
    <row r="1528" spans="1:2">
      <c r="A1528" s="107">
        <v>8101962</v>
      </c>
      <c r="B1528" s="107" t="s">
        <v>2142</v>
      </c>
    </row>
    <row r="1529" spans="1:2">
      <c r="A1529" s="107">
        <v>8101963</v>
      </c>
      <c r="B1529" s="107" t="s">
        <v>2151</v>
      </c>
    </row>
    <row r="1530" spans="1:2">
      <c r="A1530" s="107">
        <v>8101964</v>
      </c>
      <c r="B1530" s="107" t="s">
        <v>2161</v>
      </c>
    </row>
    <row r="1531" spans="1:2">
      <c r="A1531" s="107">
        <v>8101965</v>
      </c>
      <c r="B1531" s="107" t="s">
        <v>2162</v>
      </c>
    </row>
    <row r="1532" spans="1:2">
      <c r="A1532" s="107">
        <v>8101966</v>
      </c>
      <c r="B1532" s="107" t="s">
        <v>2163</v>
      </c>
    </row>
    <row r="1533" spans="1:2">
      <c r="A1533" s="107">
        <v>8101967</v>
      </c>
      <c r="B1533" s="107" t="s">
        <v>2166</v>
      </c>
    </row>
    <row r="1534" spans="1:2">
      <c r="A1534" s="107">
        <v>8101968</v>
      </c>
      <c r="B1534" s="107" t="s">
        <v>2177</v>
      </c>
    </row>
    <row r="1535" spans="1:2">
      <c r="A1535" s="107">
        <v>8101969</v>
      </c>
      <c r="B1535" s="107" t="s">
        <v>2178</v>
      </c>
    </row>
    <row r="1536" spans="1:2">
      <c r="A1536" s="107">
        <v>8101970</v>
      </c>
      <c r="B1536" s="107" t="s">
        <v>2228</v>
      </c>
    </row>
    <row r="1537" spans="1:2">
      <c r="A1537" s="107">
        <v>8101971</v>
      </c>
      <c r="B1537" s="107" t="s">
        <v>2229</v>
      </c>
    </row>
    <row r="1538" spans="1:2">
      <c r="A1538" s="107">
        <v>8101972</v>
      </c>
      <c r="B1538" s="107" t="s">
        <v>2230</v>
      </c>
    </row>
    <row r="1539" spans="1:2">
      <c r="A1539" s="107">
        <v>8101973</v>
      </c>
      <c r="B1539" s="107" t="s">
        <v>2231</v>
      </c>
    </row>
    <row r="1540" spans="1:2">
      <c r="A1540" s="107">
        <v>8101974</v>
      </c>
      <c r="B1540" s="107" t="s">
        <v>2232</v>
      </c>
    </row>
    <row r="1541" spans="1:2">
      <c r="A1541" s="107">
        <v>8101975</v>
      </c>
      <c r="B1541" s="107" t="s">
        <v>2233</v>
      </c>
    </row>
    <row r="1542" spans="1:2">
      <c r="A1542" s="107">
        <v>8101976</v>
      </c>
      <c r="B1542" s="107" t="s">
        <v>2234</v>
      </c>
    </row>
    <row r="1543" spans="1:2">
      <c r="A1543" s="107">
        <v>8101977</v>
      </c>
      <c r="B1543" s="107" t="s">
        <v>2235</v>
      </c>
    </row>
    <row r="1544" spans="1:2">
      <c r="A1544" s="107">
        <v>8101978</v>
      </c>
      <c r="B1544" s="107" t="s">
        <v>2236</v>
      </c>
    </row>
    <row r="1545" spans="1:2">
      <c r="A1545" s="107">
        <v>8101979</v>
      </c>
      <c r="B1545" s="107" t="s">
        <v>2237</v>
      </c>
    </row>
    <row r="1546" spans="1:2">
      <c r="A1546" s="107">
        <v>8101980</v>
      </c>
      <c r="B1546" s="107" t="s">
        <v>2238</v>
      </c>
    </row>
    <row r="1547" spans="1:2">
      <c r="A1547" s="107">
        <v>8101981</v>
      </c>
      <c r="B1547" s="107" t="s">
        <v>2239</v>
      </c>
    </row>
    <row r="1548" spans="1:2">
      <c r="A1548" s="107">
        <v>8101982</v>
      </c>
      <c r="B1548" s="107" t="s">
        <v>2240</v>
      </c>
    </row>
    <row r="1549" spans="1:2">
      <c r="A1549" s="107">
        <v>8101983</v>
      </c>
      <c r="B1549" s="107" t="s">
        <v>2241</v>
      </c>
    </row>
    <row r="1550" spans="1:2">
      <c r="A1550" s="107">
        <v>8101984</v>
      </c>
      <c r="B1550" s="107" t="s">
        <v>2242</v>
      </c>
    </row>
    <row r="1551" spans="1:2">
      <c r="A1551" s="107">
        <v>8101985</v>
      </c>
      <c r="B1551" s="107" t="s">
        <v>2243</v>
      </c>
    </row>
    <row r="1552" spans="1:2">
      <c r="A1552" s="107">
        <v>8101986</v>
      </c>
      <c r="B1552" s="107" t="s">
        <v>2244</v>
      </c>
    </row>
    <row r="1553" spans="1:2">
      <c r="A1553" s="107">
        <v>8101987</v>
      </c>
      <c r="B1553" s="107" t="s">
        <v>2245</v>
      </c>
    </row>
    <row r="1554" spans="1:2">
      <c r="A1554" s="107">
        <v>8101988</v>
      </c>
      <c r="B1554" s="107" t="s">
        <v>2246</v>
      </c>
    </row>
    <row r="1555" spans="1:2">
      <c r="A1555" s="107">
        <v>8101989</v>
      </c>
      <c r="B1555" s="107" t="s">
        <v>2247</v>
      </c>
    </row>
    <row r="1556" spans="1:2">
      <c r="A1556" s="107">
        <v>8101990</v>
      </c>
      <c r="B1556" s="107" t="s">
        <v>2248</v>
      </c>
    </row>
    <row r="1557" spans="1:2">
      <c r="A1557" s="107">
        <v>8101991</v>
      </c>
      <c r="B1557" s="107" t="s">
        <v>2249</v>
      </c>
    </row>
    <row r="1558" spans="1:2">
      <c r="A1558" s="107">
        <v>8101992</v>
      </c>
      <c r="B1558" s="107" t="s">
        <v>2250</v>
      </c>
    </row>
    <row r="1559" spans="1:2">
      <c r="A1559" s="107">
        <v>8101993</v>
      </c>
      <c r="B1559" s="107" t="s">
        <v>2251</v>
      </c>
    </row>
    <row r="1560" spans="1:2">
      <c r="A1560" s="107">
        <v>8101994</v>
      </c>
      <c r="B1560" s="107" t="s">
        <v>2252</v>
      </c>
    </row>
    <row r="1561" spans="1:2">
      <c r="A1561" s="107">
        <v>8101995</v>
      </c>
      <c r="B1561" s="107" t="s">
        <v>2253</v>
      </c>
    </row>
    <row r="1562" spans="1:2">
      <c r="A1562" s="107">
        <v>8101996</v>
      </c>
      <c r="B1562" s="107" t="s">
        <v>2254</v>
      </c>
    </row>
    <row r="1563" spans="1:2">
      <c r="A1563" s="107">
        <v>8101997</v>
      </c>
      <c r="B1563" s="107" t="s">
        <v>2255</v>
      </c>
    </row>
    <row r="1564" spans="1:2">
      <c r="A1564" s="107">
        <v>8101998</v>
      </c>
      <c r="B1564" s="107" t="s">
        <v>2256</v>
      </c>
    </row>
    <row r="1565" spans="1:2">
      <c r="A1565" s="107">
        <v>8101999</v>
      </c>
      <c r="B1565" s="107" t="s">
        <v>2257</v>
      </c>
    </row>
    <row r="1566" spans="1:2">
      <c r="A1566" s="107">
        <v>8102000</v>
      </c>
      <c r="B1566" s="107" t="s">
        <v>2258</v>
      </c>
    </row>
    <row r="1567" spans="1:2">
      <c r="A1567" s="107">
        <v>8102001</v>
      </c>
      <c r="B1567" s="107" t="s">
        <v>2259</v>
      </c>
    </row>
    <row r="1568" spans="1:2">
      <c r="A1568" s="107">
        <v>8102002</v>
      </c>
      <c r="B1568" s="107" t="s">
        <v>2260</v>
      </c>
    </row>
    <row r="1569" spans="1:2">
      <c r="A1569" s="107">
        <v>8102003</v>
      </c>
      <c r="B1569" s="107" t="s">
        <v>2261</v>
      </c>
    </row>
    <row r="1570" spans="1:2">
      <c r="A1570" s="107">
        <v>8102004</v>
      </c>
      <c r="B1570" s="107" t="s">
        <v>2262</v>
      </c>
    </row>
    <row r="1571" spans="1:2">
      <c r="A1571" s="107">
        <v>8102005</v>
      </c>
      <c r="B1571" s="107" t="s">
        <v>2295</v>
      </c>
    </row>
    <row r="1572" spans="1:2">
      <c r="A1572" s="107">
        <v>8109901</v>
      </c>
      <c r="B1572" s="107" t="s">
        <v>1504</v>
      </c>
    </row>
    <row r="1573" spans="1:2">
      <c r="A1573" s="107">
        <v>8109902</v>
      </c>
      <c r="B1573" s="107" t="s">
        <v>1505</v>
      </c>
    </row>
    <row r="1574" spans="1:2">
      <c r="A1574" s="107">
        <v>8109903</v>
      </c>
      <c r="B1574" s="107" t="s">
        <v>1506</v>
      </c>
    </row>
    <row r="1575" spans="1:2">
      <c r="A1575" s="107">
        <v>8109904</v>
      </c>
      <c r="B1575" s="107" t="s">
        <v>1507</v>
      </c>
    </row>
    <row r="1576" spans="1:2">
      <c r="A1576" s="107">
        <v>8109905</v>
      </c>
      <c r="B1576" s="107" t="s">
        <v>1508</v>
      </c>
    </row>
    <row r="1577" spans="1:2">
      <c r="A1577" s="107">
        <v>8109906</v>
      </c>
      <c r="B1577" s="107" t="s">
        <v>1509</v>
      </c>
    </row>
    <row r="1578" spans="1:2">
      <c r="A1578" s="107">
        <v>8109907</v>
      </c>
      <c r="B1578" s="107" t="s">
        <v>1510</v>
      </c>
    </row>
    <row r="1579" spans="1:2">
      <c r="A1579" s="107">
        <v>8109908</v>
      </c>
      <c r="B1579" s="107" t="s">
        <v>1511</v>
      </c>
    </row>
    <row r="1580" spans="1:2">
      <c r="A1580" s="107">
        <v>8109909</v>
      </c>
      <c r="B1580" s="107" t="s">
        <v>1512</v>
      </c>
    </row>
    <row r="1581" spans="1:2">
      <c r="A1581" s="107">
        <v>8109910</v>
      </c>
      <c r="B1581" s="107" t="s">
        <v>1513</v>
      </c>
    </row>
    <row r="1582" spans="1:2">
      <c r="A1582" s="107">
        <v>8109911</v>
      </c>
      <c r="B1582" s="107" t="s">
        <v>1514</v>
      </c>
    </row>
    <row r="1583" spans="1:2">
      <c r="A1583" s="107">
        <v>8109912</v>
      </c>
      <c r="B1583" s="107" t="s">
        <v>1515</v>
      </c>
    </row>
    <row r="1584" spans="1:2">
      <c r="A1584" s="107">
        <v>8109913</v>
      </c>
      <c r="B1584" s="107" t="s">
        <v>1516</v>
      </c>
    </row>
    <row r="1585" spans="1:2">
      <c r="A1585" s="107">
        <v>8109914</v>
      </c>
      <c r="B1585" s="107" t="s">
        <v>1517</v>
      </c>
    </row>
    <row r="1586" spans="1:2">
      <c r="A1586" s="107">
        <v>8109915</v>
      </c>
      <c r="B1586" s="107" t="s">
        <v>1518</v>
      </c>
    </row>
    <row r="1587" spans="1:2">
      <c r="A1587" s="107">
        <v>8109916</v>
      </c>
      <c r="B1587" s="107" t="s">
        <v>1519</v>
      </c>
    </row>
    <row r="1588" spans="1:2">
      <c r="A1588" s="107">
        <v>8111888</v>
      </c>
      <c r="B1588" s="107" t="s">
        <v>480</v>
      </c>
    </row>
    <row r="1589" spans="1:2">
      <c r="A1589" s="107">
        <v>8132001</v>
      </c>
      <c r="B1589" s="107" t="s">
        <v>1520</v>
      </c>
    </row>
    <row r="1590" spans="1:2">
      <c r="A1590" s="107">
        <v>8132002</v>
      </c>
      <c r="B1590" s="107" t="s">
        <v>1521</v>
      </c>
    </row>
    <row r="1591" spans="1:2">
      <c r="A1591" s="107">
        <v>8132003</v>
      </c>
      <c r="B1591" s="107" t="s">
        <v>1522</v>
      </c>
    </row>
    <row r="1592" spans="1:2">
      <c r="A1592" s="107">
        <v>8132004</v>
      </c>
      <c r="B1592" s="107" t="s">
        <v>1523</v>
      </c>
    </row>
    <row r="1593" spans="1:2">
      <c r="A1593" s="107">
        <v>8132005</v>
      </c>
      <c r="B1593" s="107" t="s">
        <v>1524</v>
      </c>
    </row>
    <row r="1594" spans="1:2">
      <c r="A1594" s="107">
        <v>8132006</v>
      </c>
      <c r="B1594" s="107" t="s">
        <v>1525</v>
      </c>
    </row>
    <row r="1595" spans="1:2">
      <c r="A1595" s="107">
        <v>8132007</v>
      </c>
      <c r="B1595" s="107" t="s">
        <v>1526</v>
      </c>
    </row>
    <row r="1596" spans="1:2">
      <c r="A1596" s="107">
        <v>8132008</v>
      </c>
      <c r="B1596" s="107" t="s">
        <v>1527</v>
      </c>
    </row>
    <row r="1597" spans="1:2">
      <c r="A1597" s="107">
        <v>8132009</v>
      </c>
      <c r="B1597" s="107" t="s">
        <v>1528</v>
      </c>
    </row>
    <row r="1598" spans="1:2">
      <c r="A1598" s="107">
        <v>8132010</v>
      </c>
      <c r="B1598" s="107" t="s">
        <v>1529</v>
      </c>
    </row>
    <row r="1599" spans="1:2">
      <c r="A1599" s="107">
        <v>8132011</v>
      </c>
      <c r="B1599" s="107" t="s">
        <v>1530</v>
      </c>
    </row>
    <row r="1600" spans="1:2">
      <c r="A1600" s="107">
        <v>8132012</v>
      </c>
      <c r="B1600" s="107" t="s">
        <v>1531</v>
      </c>
    </row>
    <row r="1601" spans="1:2">
      <c r="A1601" s="107">
        <v>8132013</v>
      </c>
      <c r="B1601" s="107" t="s">
        <v>1532</v>
      </c>
    </row>
    <row r="1602" spans="1:2">
      <c r="A1602" s="107">
        <v>8132014</v>
      </c>
      <c r="B1602" s="107" t="s">
        <v>1533</v>
      </c>
    </row>
    <row r="1603" spans="1:2">
      <c r="A1603" s="107">
        <v>8132015</v>
      </c>
      <c r="B1603" s="107" t="s">
        <v>1534</v>
      </c>
    </row>
    <row r="1604" spans="1:2">
      <c r="A1604" s="107">
        <v>8132016</v>
      </c>
      <c r="B1604" s="107" t="s">
        <v>1535</v>
      </c>
    </row>
    <row r="1605" spans="1:2">
      <c r="A1605" s="107">
        <v>8132017</v>
      </c>
      <c r="B1605" s="107" t="s">
        <v>1536</v>
      </c>
    </row>
    <row r="1606" spans="1:2">
      <c r="A1606" s="107">
        <v>8132018</v>
      </c>
      <c r="B1606" s="107" t="s">
        <v>1537</v>
      </c>
    </row>
    <row r="1607" spans="1:2">
      <c r="A1607" s="107">
        <v>8132019</v>
      </c>
      <c r="B1607" s="107" t="s">
        <v>1538</v>
      </c>
    </row>
    <row r="1608" spans="1:2">
      <c r="A1608" s="107">
        <v>8132020</v>
      </c>
      <c r="B1608" s="107" t="s">
        <v>1539</v>
      </c>
    </row>
    <row r="1609" spans="1:2">
      <c r="A1609" s="107">
        <v>8132021</v>
      </c>
      <c r="B1609" s="107" t="s">
        <v>1540</v>
      </c>
    </row>
    <row r="1610" spans="1:2">
      <c r="A1610" s="107">
        <v>8132022</v>
      </c>
      <c r="B1610" s="107" t="s">
        <v>1541</v>
      </c>
    </row>
    <row r="1611" spans="1:2">
      <c r="A1611" s="107">
        <v>8132023</v>
      </c>
      <c r="B1611" s="107" t="s">
        <v>1542</v>
      </c>
    </row>
    <row r="1612" spans="1:2">
      <c r="A1612" s="107">
        <v>8132024</v>
      </c>
      <c r="B1612" s="107" t="s">
        <v>1543</v>
      </c>
    </row>
    <row r="1613" spans="1:2">
      <c r="A1613" s="107">
        <v>8132025</v>
      </c>
      <c r="B1613" s="107" t="s">
        <v>1544</v>
      </c>
    </row>
    <row r="1614" spans="1:2">
      <c r="A1614" s="107">
        <v>8132026</v>
      </c>
      <c r="B1614" s="107" t="s">
        <v>1545</v>
      </c>
    </row>
    <row r="1615" spans="1:2">
      <c r="A1615" s="107">
        <v>8132027</v>
      </c>
      <c r="B1615" s="107" t="s">
        <v>1546</v>
      </c>
    </row>
    <row r="1616" spans="1:2">
      <c r="A1616" s="107">
        <v>8132028</v>
      </c>
      <c r="B1616" s="107" t="s">
        <v>1547</v>
      </c>
    </row>
    <row r="1617" spans="1:2">
      <c r="A1617" s="107">
        <v>8132029</v>
      </c>
      <c r="B1617" s="107" t="s">
        <v>1548</v>
      </c>
    </row>
    <row r="1618" spans="1:2">
      <c r="A1618" s="107">
        <v>8132030</v>
      </c>
      <c r="B1618" s="107" t="s">
        <v>1549</v>
      </c>
    </row>
    <row r="1619" spans="1:2">
      <c r="A1619" s="107">
        <v>8132031</v>
      </c>
      <c r="B1619" s="107" t="s">
        <v>1550</v>
      </c>
    </row>
    <row r="1620" spans="1:2">
      <c r="A1620" s="107">
        <v>8132032</v>
      </c>
      <c r="B1620" s="107" t="s">
        <v>1551</v>
      </c>
    </row>
    <row r="1621" spans="1:2">
      <c r="A1621" s="107">
        <v>8132033</v>
      </c>
      <c r="B1621" s="107" t="s">
        <v>1552</v>
      </c>
    </row>
    <row r="1622" spans="1:2">
      <c r="A1622" s="107">
        <v>8132034</v>
      </c>
      <c r="B1622" s="107" t="s">
        <v>1553</v>
      </c>
    </row>
    <row r="1623" spans="1:2">
      <c r="A1623" s="107">
        <v>8132035</v>
      </c>
      <c r="B1623" s="107" t="s">
        <v>1554</v>
      </c>
    </row>
    <row r="1624" spans="1:2">
      <c r="A1624" s="107">
        <v>8132036</v>
      </c>
      <c r="B1624" s="107" t="s">
        <v>1555</v>
      </c>
    </row>
    <row r="1625" spans="1:2">
      <c r="A1625" s="107">
        <v>8132037</v>
      </c>
      <c r="B1625" s="107" t="s">
        <v>1556</v>
      </c>
    </row>
    <row r="1626" spans="1:2">
      <c r="A1626" s="107">
        <v>8132038</v>
      </c>
      <c r="B1626" s="107" t="s">
        <v>1557</v>
      </c>
    </row>
    <row r="1627" spans="1:2">
      <c r="A1627" s="107">
        <v>8132039</v>
      </c>
      <c r="B1627" s="107" t="s">
        <v>1558</v>
      </c>
    </row>
    <row r="1628" spans="1:2">
      <c r="A1628" s="107">
        <v>8132040</v>
      </c>
      <c r="B1628" s="107" t="s">
        <v>1559</v>
      </c>
    </row>
    <row r="1629" spans="1:2">
      <c r="A1629" s="107">
        <v>8132041</v>
      </c>
      <c r="B1629" s="107" t="s">
        <v>1560</v>
      </c>
    </row>
    <row r="1630" spans="1:2">
      <c r="A1630" s="107">
        <v>8132042</v>
      </c>
      <c r="B1630" s="107" t="s">
        <v>1561</v>
      </c>
    </row>
    <row r="1631" spans="1:2">
      <c r="A1631" s="107">
        <v>8132043</v>
      </c>
      <c r="B1631" s="107" t="s">
        <v>1562</v>
      </c>
    </row>
    <row r="1632" spans="1:2">
      <c r="A1632" s="107">
        <v>8132044</v>
      </c>
      <c r="B1632" s="107" t="s">
        <v>1563</v>
      </c>
    </row>
    <row r="1633" spans="1:2">
      <c r="A1633" s="107">
        <v>8132045</v>
      </c>
      <c r="B1633" s="107" t="s">
        <v>1564</v>
      </c>
    </row>
    <row r="1634" spans="1:2">
      <c r="A1634" s="107">
        <v>8132046</v>
      </c>
      <c r="B1634" s="107" t="s">
        <v>1565</v>
      </c>
    </row>
    <row r="1635" spans="1:2">
      <c r="A1635" s="107">
        <v>8132047</v>
      </c>
      <c r="B1635" s="107" t="s">
        <v>1566</v>
      </c>
    </row>
    <row r="1636" spans="1:2">
      <c r="A1636" s="107">
        <v>8132048</v>
      </c>
      <c r="B1636" s="107" t="s">
        <v>1567</v>
      </c>
    </row>
    <row r="1637" spans="1:2">
      <c r="A1637" s="107">
        <v>8132049</v>
      </c>
      <c r="B1637" s="107" t="s">
        <v>1568</v>
      </c>
    </row>
    <row r="1638" spans="1:2">
      <c r="A1638" s="107">
        <v>8132050</v>
      </c>
      <c r="B1638" s="107" t="s">
        <v>1569</v>
      </c>
    </row>
    <row r="1639" spans="1:2">
      <c r="A1639" s="107">
        <v>8132051</v>
      </c>
      <c r="B1639" s="107" t="s">
        <v>1570</v>
      </c>
    </row>
    <row r="1640" spans="1:2">
      <c r="A1640" s="107">
        <v>8132052</v>
      </c>
      <c r="B1640" s="107" t="s">
        <v>1571</v>
      </c>
    </row>
    <row r="1641" spans="1:2">
      <c r="A1641" s="107">
        <v>8132053</v>
      </c>
      <c r="B1641" s="107" t="s">
        <v>1572</v>
      </c>
    </row>
    <row r="1642" spans="1:2">
      <c r="A1642" s="107">
        <v>8132054</v>
      </c>
      <c r="B1642" s="107" t="s">
        <v>1573</v>
      </c>
    </row>
    <row r="1643" spans="1:2">
      <c r="A1643" s="107">
        <v>8132055</v>
      </c>
      <c r="B1643" s="107" t="s">
        <v>1574</v>
      </c>
    </row>
    <row r="1644" spans="1:2">
      <c r="A1644" s="107">
        <v>8132056</v>
      </c>
      <c r="B1644" s="107" t="s">
        <v>1575</v>
      </c>
    </row>
    <row r="1645" spans="1:2">
      <c r="A1645" s="107">
        <v>8132057</v>
      </c>
      <c r="B1645" s="107" t="s">
        <v>1576</v>
      </c>
    </row>
    <row r="1646" spans="1:2">
      <c r="A1646" s="107">
        <v>8132058</v>
      </c>
      <c r="B1646" s="107" t="s">
        <v>1577</v>
      </c>
    </row>
    <row r="1647" spans="1:2">
      <c r="A1647" s="107">
        <v>8132059</v>
      </c>
      <c r="B1647" s="107" t="s">
        <v>1578</v>
      </c>
    </row>
    <row r="1648" spans="1:2">
      <c r="A1648" s="107">
        <v>8132060</v>
      </c>
      <c r="B1648" s="107" t="s">
        <v>1579</v>
      </c>
    </row>
    <row r="1649" spans="1:2">
      <c r="A1649" s="107">
        <v>8132061</v>
      </c>
      <c r="B1649" s="107" t="s">
        <v>1580</v>
      </c>
    </row>
    <row r="1650" spans="1:2">
      <c r="A1650" s="107">
        <v>8132062</v>
      </c>
      <c r="B1650" s="107" t="s">
        <v>1581</v>
      </c>
    </row>
    <row r="1651" spans="1:2">
      <c r="A1651" s="107">
        <v>8132063</v>
      </c>
      <c r="B1651" s="107" t="s">
        <v>1582</v>
      </c>
    </row>
    <row r="1652" spans="1:2">
      <c r="A1652" s="107">
        <v>8132064</v>
      </c>
      <c r="B1652" s="107" t="s">
        <v>1583</v>
      </c>
    </row>
    <row r="1653" spans="1:2">
      <c r="A1653" s="107">
        <v>8132065</v>
      </c>
      <c r="B1653" s="107" t="s">
        <v>1584</v>
      </c>
    </row>
    <row r="1654" spans="1:2">
      <c r="A1654" s="107">
        <v>8132066</v>
      </c>
      <c r="B1654" s="107" t="s">
        <v>1585</v>
      </c>
    </row>
    <row r="1655" spans="1:2">
      <c r="A1655" s="107">
        <v>8132068</v>
      </c>
      <c r="B1655" s="107" t="s">
        <v>1586</v>
      </c>
    </row>
    <row r="1656" spans="1:2">
      <c r="A1656" s="107">
        <v>8132069</v>
      </c>
      <c r="B1656" s="107" t="s">
        <v>1587</v>
      </c>
    </row>
    <row r="1657" spans="1:2">
      <c r="A1657" s="107">
        <v>8132070</v>
      </c>
      <c r="B1657" s="107" t="s">
        <v>1588</v>
      </c>
    </row>
    <row r="1658" spans="1:2">
      <c r="A1658" s="107">
        <v>8132071</v>
      </c>
      <c r="B1658" s="107" t="s">
        <v>1589</v>
      </c>
    </row>
    <row r="1659" spans="1:2">
      <c r="A1659" s="107">
        <v>8132072</v>
      </c>
      <c r="B1659" s="107" t="s">
        <v>1590</v>
      </c>
    </row>
    <row r="1660" spans="1:2">
      <c r="A1660" s="107">
        <v>8132073</v>
      </c>
      <c r="B1660" s="107" t="s">
        <v>1591</v>
      </c>
    </row>
    <row r="1661" spans="1:2">
      <c r="A1661" s="107">
        <v>8132074</v>
      </c>
      <c r="B1661" s="107" t="s">
        <v>1592</v>
      </c>
    </row>
    <row r="1662" spans="1:2">
      <c r="A1662" s="107">
        <v>8132075</v>
      </c>
      <c r="B1662" s="107" t="s">
        <v>1593</v>
      </c>
    </row>
    <row r="1663" spans="1:2">
      <c r="A1663" s="107">
        <v>8132076</v>
      </c>
      <c r="B1663" s="107" t="s">
        <v>1594</v>
      </c>
    </row>
    <row r="1664" spans="1:2">
      <c r="A1664" s="107">
        <v>8132077</v>
      </c>
      <c r="B1664" s="107" t="s">
        <v>756</v>
      </c>
    </row>
    <row r="1665" spans="1:2">
      <c r="A1665" s="107">
        <v>8132078</v>
      </c>
      <c r="B1665" s="107" t="s">
        <v>1595</v>
      </c>
    </row>
    <row r="1666" spans="1:2">
      <c r="A1666" s="107">
        <v>8132079</v>
      </c>
      <c r="B1666" s="107" t="s">
        <v>1596</v>
      </c>
    </row>
    <row r="1667" spans="1:2">
      <c r="A1667" s="107">
        <v>8132080</v>
      </c>
      <c r="B1667" s="107" t="s">
        <v>1597</v>
      </c>
    </row>
    <row r="1668" spans="1:2">
      <c r="A1668" s="107">
        <v>8132081</v>
      </c>
      <c r="B1668" s="107" t="s">
        <v>890</v>
      </c>
    </row>
    <row r="1669" spans="1:2">
      <c r="A1669" s="107">
        <v>8132082</v>
      </c>
      <c r="B1669" s="107" t="s">
        <v>1598</v>
      </c>
    </row>
    <row r="1670" spans="1:2">
      <c r="A1670" s="107">
        <v>8132083</v>
      </c>
      <c r="B1670" s="107" t="s">
        <v>1599</v>
      </c>
    </row>
    <row r="1671" spans="1:2">
      <c r="A1671" s="107">
        <v>8132084</v>
      </c>
      <c r="B1671" s="107" t="s">
        <v>1600</v>
      </c>
    </row>
    <row r="1672" spans="1:2">
      <c r="A1672" s="107">
        <v>8132085</v>
      </c>
      <c r="B1672" s="107" t="s">
        <v>1601</v>
      </c>
    </row>
    <row r="1673" spans="1:2">
      <c r="A1673" s="107">
        <v>8132086</v>
      </c>
      <c r="B1673" s="107" t="s">
        <v>1602</v>
      </c>
    </row>
    <row r="1674" spans="1:2">
      <c r="A1674" s="107">
        <v>8132087</v>
      </c>
      <c r="B1674" s="107" t="s">
        <v>1603</v>
      </c>
    </row>
    <row r="1675" spans="1:2">
      <c r="A1675" s="107">
        <v>8132088</v>
      </c>
      <c r="B1675" s="107" t="s">
        <v>1604</v>
      </c>
    </row>
    <row r="1676" spans="1:2">
      <c r="A1676" s="107">
        <v>8132089</v>
      </c>
      <c r="B1676" s="107" t="s">
        <v>1605</v>
      </c>
    </row>
    <row r="1677" spans="1:2">
      <c r="A1677" s="107">
        <v>8132090</v>
      </c>
      <c r="B1677" s="107" t="s">
        <v>1606</v>
      </c>
    </row>
    <row r="1678" spans="1:2">
      <c r="A1678" s="107">
        <v>8132091</v>
      </c>
      <c r="B1678" s="107" t="s">
        <v>1607</v>
      </c>
    </row>
    <row r="1679" spans="1:2">
      <c r="A1679" s="107">
        <v>8132092</v>
      </c>
      <c r="B1679" s="107" t="s">
        <v>1608</v>
      </c>
    </row>
    <row r="1680" spans="1:2">
      <c r="A1680" s="107">
        <v>8132093</v>
      </c>
      <c r="B1680" s="107" t="s">
        <v>1609</v>
      </c>
    </row>
    <row r="1681" spans="1:2">
      <c r="A1681" s="107">
        <v>8132094</v>
      </c>
      <c r="B1681" s="107" t="s">
        <v>1610</v>
      </c>
    </row>
    <row r="1682" spans="1:2">
      <c r="A1682" s="107">
        <v>8132095</v>
      </c>
      <c r="B1682" s="107" t="s">
        <v>1611</v>
      </c>
    </row>
    <row r="1683" spans="1:2">
      <c r="A1683" s="107">
        <v>8132096</v>
      </c>
      <c r="B1683" s="107" t="s">
        <v>1612</v>
      </c>
    </row>
    <row r="1684" spans="1:2">
      <c r="A1684" s="107">
        <v>8132097</v>
      </c>
      <c r="B1684" s="107" t="s">
        <v>1613</v>
      </c>
    </row>
    <row r="1685" spans="1:2">
      <c r="A1685" s="107">
        <v>8132098</v>
      </c>
      <c r="B1685" s="107" t="s">
        <v>1614</v>
      </c>
    </row>
    <row r="1686" spans="1:2">
      <c r="A1686" s="107">
        <v>8132099</v>
      </c>
      <c r="B1686" s="107" t="s">
        <v>1615</v>
      </c>
    </row>
    <row r="1687" spans="1:2">
      <c r="A1687" s="107">
        <v>8132100</v>
      </c>
      <c r="B1687" s="107" t="s">
        <v>1616</v>
      </c>
    </row>
    <row r="1688" spans="1:2">
      <c r="A1688" s="107">
        <v>8132101</v>
      </c>
      <c r="B1688" s="107" t="s">
        <v>1617</v>
      </c>
    </row>
    <row r="1689" spans="1:2">
      <c r="A1689" s="107">
        <v>8132102</v>
      </c>
      <c r="B1689" s="107" t="s">
        <v>1618</v>
      </c>
    </row>
    <row r="1690" spans="1:2">
      <c r="A1690" s="107">
        <v>8132103</v>
      </c>
      <c r="B1690" s="107" t="s">
        <v>1619</v>
      </c>
    </row>
    <row r="1691" spans="1:2">
      <c r="A1691" s="107">
        <v>8132104</v>
      </c>
      <c r="B1691" s="107" t="s">
        <v>1620</v>
      </c>
    </row>
    <row r="1692" spans="1:2">
      <c r="A1692" s="107">
        <v>8132105</v>
      </c>
      <c r="B1692" s="107" t="s">
        <v>1621</v>
      </c>
    </row>
    <row r="1693" spans="1:2">
      <c r="A1693" s="107">
        <v>8132106</v>
      </c>
      <c r="B1693" s="107" t="s">
        <v>1622</v>
      </c>
    </row>
    <row r="1694" spans="1:2">
      <c r="A1694" s="107">
        <v>8132107</v>
      </c>
      <c r="B1694" s="107" t="s">
        <v>1623</v>
      </c>
    </row>
    <row r="1695" spans="1:2">
      <c r="A1695" s="107">
        <v>8132108</v>
      </c>
      <c r="B1695" s="107" t="s">
        <v>1624</v>
      </c>
    </row>
    <row r="1696" spans="1:2">
      <c r="A1696" s="107">
        <v>8132109</v>
      </c>
      <c r="B1696" s="107" t="s">
        <v>1625</v>
      </c>
    </row>
    <row r="1697" spans="1:2">
      <c r="A1697" s="107">
        <v>8132110</v>
      </c>
      <c r="B1697" s="107" t="s">
        <v>1626</v>
      </c>
    </row>
    <row r="1698" spans="1:2">
      <c r="A1698" s="107">
        <v>8132111</v>
      </c>
      <c r="B1698" s="107" t="s">
        <v>1627</v>
      </c>
    </row>
    <row r="1699" spans="1:2">
      <c r="A1699" s="107">
        <v>8132112</v>
      </c>
      <c r="B1699" s="107" t="s">
        <v>1628</v>
      </c>
    </row>
    <row r="1700" spans="1:2">
      <c r="A1700" s="107">
        <v>8132113</v>
      </c>
      <c r="B1700" s="107" t="s">
        <v>1629</v>
      </c>
    </row>
    <row r="1701" spans="1:2">
      <c r="A1701" s="107">
        <v>8132114</v>
      </c>
      <c r="B1701" s="107" t="s">
        <v>1630</v>
      </c>
    </row>
    <row r="1702" spans="1:2">
      <c r="A1702" s="107">
        <v>8132115</v>
      </c>
      <c r="B1702" s="107" t="s">
        <v>1631</v>
      </c>
    </row>
    <row r="1703" spans="1:2">
      <c r="A1703" s="107">
        <v>8132116</v>
      </c>
      <c r="B1703" s="107" t="s">
        <v>1632</v>
      </c>
    </row>
    <row r="1704" spans="1:2">
      <c r="A1704" s="107">
        <v>8132117</v>
      </c>
      <c r="B1704" s="107" t="s">
        <v>1633</v>
      </c>
    </row>
    <row r="1705" spans="1:2">
      <c r="A1705" s="107">
        <v>8132118</v>
      </c>
      <c r="B1705" s="107" t="s">
        <v>1634</v>
      </c>
    </row>
    <row r="1706" spans="1:2">
      <c r="A1706" s="107">
        <v>8132119</v>
      </c>
      <c r="B1706" s="107" t="s">
        <v>1635</v>
      </c>
    </row>
    <row r="1707" spans="1:2">
      <c r="A1707" s="107">
        <v>8132120</v>
      </c>
      <c r="B1707" s="107" t="s">
        <v>1636</v>
      </c>
    </row>
    <row r="1708" spans="1:2">
      <c r="A1708" s="107">
        <v>8132121</v>
      </c>
      <c r="B1708" s="107" t="s">
        <v>1637</v>
      </c>
    </row>
    <row r="1709" spans="1:2">
      <c r="A1709" s="107">
        <v>8132122</v>
      </c>
      <c r="B1709" s="107" t="s">
        <v>1638</v>
      </c>
    </row>
    <row r="1710" spans="1:2">
      <c r="A1710" s="107">
        <v>8132123</v>
      </c>
      <c r="B1710" s="107" t="s">
        <v>1346</v>
      </c>
    </row>
    <row r="1711" spans="1:2">
      <c r="A1711" s="107">
        <v>8132124</v>
      </c>
      <c r="B1711" s="107" t="s">
        <v>1639</v>
      </c>
    </row>
    <row r="1712" spans="1:2">
      <c r="A1712" s="107">
        <v>8132125</v>
      </c>
      <c r="B1712" s="107" t="s">
        <v>1640</v>
      </c>
    </row>
    <row r="1713" spans="1:2">
      <c r="A1713" s="107">
        <v>8132126</v>
      </c>
      <c r="B1713" s="107" t="s">
        <v>1641</v>
      </c>
    </row>
    <row r="1714" spans="1:2">
      <c r="A1714" s="107">
        <v>8132127</v>
      </c>
      <c r="B1714" s="107" t="s">
        <v>1642</v>
      </c>
    </row>
    <row r="1715" spans="1:2">
      <c r="A1715" s="107">
        <v>8132128</v>
      </c>
      <c r="B1715" s="107" t="s">
        <v>1643</v>
      </c>
    </row>
    <row r="1716" spans="1:2">
      <c r="A1716" s="107">
        <v>8132129</v>
      </c>
      <c r="B1716" s="107" t="s">
        <v>1644</v>
      </c>
    </row>
    <row r="1717" spans="1:2">
      <c r="A1717" s="107">
        <v>8132130</v>
      </c>
      <c r="B1717" s="107" t="s">
        <v>1645</v>
      </c>
    </row>
    <row r="1718" spans="1:2">
      <c r="A1718" s="107">
        <v>8132131</v>
      </c>
      <c r="B1718" s="107" t="s">
        <v>1646</v>
      </c>
    </row>
    <row r="1719" spans="1:2">
      <c r="A1719" s="107">
        <v>8132132</v>
      </c>
      <c r="B1719" s="107" t="s">
        <v>1647</v>
      </c>
    </row>
    <row r="1720" spans="1:2">
      <c r="A1720" s="107">
        <v>8132133</v>
      </c>
      <c r="B1720" s="107" t="s">
        <v>1648</v>
      </c>
    </row>
    <row r="1721" spans="1:2">
      <c r="A1721" s="107">
        <v>8132134</v>
      </c>
      <c r="B1721" s="107" t="s">
        <v>1649</v>
      </c>
    </row>
    <row r="1722" spans="1:2">
      <c r="A1722" s="107">
        <v>8132135</v>
      </c>
      <c r="B1722" s="107" t="s">
        <v>1650</v>
      </c>
    </row>
    <row r="1723" spans="1:2">
      <c r="A1723" s="107">
        <v>8132136</v>
      </c>
      <c r="B1723" s="107" t="s">
        <v>1651</v>
      </c>
    </row>
    <row r="1724" spans="1:2">
      <c r="A1724" s="107">
        <v>8132137</v>
      </c>
      <c r="B1724" s="107" t="s">
        <v>1652</v>
      </c>
    </row>
    <row r="1725" spans="1:2">
      <c r="A1725" s="107">
        <v>8132138</v>
      </c>
      <c r="B1725" s="107" t="s">
        <v>1653</v>
      </c>
    </row>
    <row r="1726" spans="1:2">
      <c r="A1726" s="107">
        <v>8132141</v>
      </c>
      <c r="B1726" s="107" t="s">
        <v>890</v>
      </c>
    </row>
    <row r="1727" spans="1:2">
      <c r="A1727" s="107">
        <v>8132142</v>
      </c>
      <c r="B1727" s="107" t="s">
        <v>1654</v>
      </c>
    </row>
    <row r="1728" spans="1:2">
      <c r="A1728" s="107">
        <v>8132143</v>
      </c>
      <c r="B1728" s="107" t="s">
        <v>1655</v>
      </c>
    </row>
    <row r="1729" spans="1:2">
      <c r="A1729" s="107">
        <v>8132144</v>
      </c>
      <c r="B1729" s="107" t="s">
        <v>1656</v>
      </c>
    </row>
    <row r="1730" spans="1:2">
      <c r="A1730" s="107">
        <v>8132145</v>
      </c>
      <c r="B1730" s="107" t="s">
        <v>972</v>
      </c>
    </row>
    <row r="1731" spans="1:2">
      <c r="A1731" s="107">
        <v>8132146</v>
      </c>
      <c r="B1731" s="107" t="s">
        <v>1657</v>
      </c>
    </row>
    <row r="1732" spans="1:2">
      <c r="A1732" s="107">
        <v>8132147</v>
      </c>
      <c r="B1732" s="107" t="s">
        <v>1658</v>
      </c>
    </row>
    <row r="1733" spans="1:2">
      <c r="A1733" s="107">
        <v>8132148</v>
      </c>
      <c r="B1733" s="107" t="s">
        <v>1659</v>
      </c>
    </row>
    <row r="1734" spans="1:2">
      <c r="A1734" s="107">
        <v>8132149</v>
      </c>
      <c r="B1734" s="107" t="s">
        <v>1660</v>
      </c>
    </row>
    <row r="1735" spans="1:2">
      <c r="A1735" s="107">
        <v>8132150</v>
      </c>
      <c r="B1735" s="107" t="s">
        <v>1661</v>
      </c>
    </row>
    <row r="1736" spans="1:2">
      <c r="A1736" s="107">
        <v>8132151</v>
      </c>
      <c r="B1736" s="107" t="s">
        <v>1662</v>
      </c>
    </row>
    <row r="1737" spans="1:2">
      <c r="A1737" s="107">
        <v>8132152</v>
      </c>
      <c r="B1737" s="107" t="s">
        <v>1663</v>
      </c>
    </row>
    <row r="1738" spans="1:2">
      <c r="A1738" s="107">
        <v>8132153</v>
      </c>
      <c r="B1738" s="107" t="s">
        <v>973</v>
      </c>
    </row>
    <row r="1739" spans="1:2">
      <c r="A1739" s="107">
        <v>8132154</v>
      </c>
      <c r="B1739" s="107" t="s">
        <v>1664</v>
      </c>
    </row>
    <row r="1740" spans="1:2">
      <c r="A1740" s="107">
        <v>8132155</v>
      </c>
      <c r="B1740" s="107" t="s">
        <v>1665</v>
      </c>
    </row>
    <row r="1741" spans="1:2">
      <c r="A1741" s="107">
        <v>8132156</v>
      </c>
      <c r="B1741" s="107" t="s">
        <v>1666</v>
      </c>
    </row>
    <row r="1742" spans="1:2">
      <c r="A1742" s="107">
        <v>8132157</v>
      </c>
      <c r="B1742" s="107" t="s">
        <v>975</v>
      </c>
    </row>
    <row r="1743" spans="1:2">
      <c r="A1743" s="107">
        <v>8132158</v>
      </c>
      <c r="B1743" s="107" t="s">
        <v>1667</v>
      </c>
    </row>
    <row r="1744" spans="1:2">
      <c r="A1744" s="107">
        <v>8132159</v>
      </c>
      <c r="B1744" s="107" t="s">
        <v>1668</v>
      </c>
    </row>
    <row r="1745" spans="1:2">
      <c r="A1745" s="107">
        <v>8132160</v>
      </c>
      <c r="B1745" s="107" t="s">
        <v>1669</v>
      </c>
    </row>
    <row r="1746" spans="1:2">
      <c r="A1746" s="107">
        <v>8132161</v>
      </c>
      <c r="B1746" s="107" t="s">
        <v>1670</v>
      </c>
    </row>
    <row r="1747" spans="1:2">
      <c r="A1747" s="107">
        <v>8132162</v>
      </c>
      <c r="B1747" s="107" t="s">
        <v>1671</v>
      </c>
    </row>
    <row r="1748" spans="1:2">
      <c r="A1748" s="107">
        <v>8132163</v>
      </c>
      <c r="B1748" s="107" t="s">
        <v>1672</v>
      </c>
    </row>
    <row r="1749" spans="1:2">
      <c r="A1749" s="107">
        <v>8132164</v>
      </c>
      <c r="B1749" s="107" t="s">
        <v>1673</v>
      </c>
    </row>
    <row r="1750" spans="1:2">
      <c r="A1750" s="107">
        <v>8132165</v>
      </c>
      <c r="B1750" s="107" t="s">
        <v>1674</v>
      </c>
    </row>
    <row r="1751" spans="1:2">
      <c r="A1751" s="107">
        <v>8132166</v>
      </c>
      <c r="B1751" s="107" t="s">
        <v>1675</v>
      </c>
    </row>
    <row r="1752" spans="1:2">
      <c r="A1752" s="107">
        <v>8132167</v>
      </c>
      <c r="B1752" s="107" t="s">
        <v>978</v>
      </c>
    </row>
    <row r="1753" spans="1:2">
      <c r="A1753" s="107">
        <v>8132168</v>
      </c>
      <c r="B1753" s="107" t="s">
        <v>1676</v>
      </c>
    </row>
    <row r="1754" spans="1:2">
      <c r="A1754" s="107">
        <v>8132169</v>
      </c>
      <c r="B1754" s="107" t="s">
        <v>959</v>
      </c>
    </row>
    <row r="1755" spans="1:2">
      <c r="A1755" s="107">
        <v>8132170</v>
      </c>
      <c r="B1755" s="107" t="s">
        <v>1677</v>
      </c>
    </row>
    <row r="1756" spans="1:2">
      <c r="A1756" s="107">
        <v>8132171</v>
      </c>
      <c r="B1756" s="107" t="s">
        <v>1678</v>
      </c>
    </row>
    <row r="1757" spans="1:2">
      <c r="A1757" s="107">
        <v>8132172</v>
      </c>
      <c r="B1757" s="107" t="s">
        <v>1679</v>
      </c>
    </row>
    <row r="1758" spans="1:2">
      <c r="A1758" s="107">
        <v>8132173</v>
      </c>
      <c r="B1758" s="107" t="s">
        <v>1680</v>
      </c>
    </row>
    <row r="1759" spans="1:2">
      <c r="A1759" s="107">
        <v>8132174</v>
      </c>
      <c r="B1759" s="107" t="s">
        <v>1681</v>
      </c>
    </row>
    <row r="1760" spans="1:2">
      <c r="A1760" s="107">
        <v>8132175</v>
      </c>
      <c r="B1760" s="107" t="s">
        <v>1682</v>
      </c>
    </row>
    <row r="1761" spans="1:2">
      <c r="A1761" s="107">
        <v>8132176</v>
      </c>
      <c r="B1761" s="107" t="s">
        <v>1683</v>
      </c>
    </row>
    <row r="1762" spans="1:2">
      <c r="A1762" s="107">
        <v>8132177</v>
      </c>
      <c r="B1762" s="107" t="s">
        <v>1684</v>
      </c>
    </row>
    <row r="1763" spans="1:2">
      <c r="A1763" s="107">
        <v>8132178</v>
      </c>
      <c r="B1763" s="107" t="s">
        <v>1685</v>
      </c>
    </row>
    <row r="1764" spans="1:2">
      <c r="A1764" s="107">
        <v>8132179</v>
      </c>
      <c r="B1764" s="107" t="s">
        <v>1686</v>
      </c>
    </row>
    <row r="1765" spans="1:2">
      <c r="A1765" s="107">
        <v>8132180</v>
      </c>
      <c r="B1765" s="107" t="s">
        <v>1687</v>
      </c>
    </row>
    <row r="1766" spans="1:2">
      <c r="A1766" s="107">
        <v>8132181</v>
      </c>
      <c r="B1766" s="107" t="s">
        <v>1688</v>
      </c>
    </row>
    <row r="1767" spans="1:2">
      <c r="A1767" s="107">
        <v>8132182</v>
      </c>
      <c r="B1767" s="107" t="s">
        <v>1689</v>
      </c>
    </row>
    <row r="1768" spans="1:2">
      <c r="A1768" s="107">
        <v>8132183</v>
      </c>
      <c r="B1768" s="107" t="s">
        <v>1690</v>
      </c>
    </row>
    <row r="1769" spans="1:2">
      <c r="A1769" s="107">
        <v>8132184</v>
      </c>
      <c r="B1769" s="107" t="s">
        <v>1691</v>
      </c>
    </row>
    <row r="1770" spans="1:2">
      <c r="A1770" s="107">
        <v>8132185</v>
      </c>
      <c r="B1770" s="107" t="s">
        <v>943</v>
      </c>
    </row>
    <row r="1771" spans="1:2">
      <c r="A1771" s="107">
        <v>8132186</v>
      </c>
      <c r="B1771" s="107" t="s">
        <v>1692</v>
      </c>
    </row>
    <row r="1772" spans="1:2">
      <c r="A1772" s="107">
        <v>8132187</v>
      </c>
      <c r="B1772" s="107" t="s">
        <v>1693</v>
      </c>
    </row>
    <row r="1773" spans="1:2">
      <c r="A1773" s="107">
        <v>8132188</v>
      </c>
      <c r="B1773" s="107" t="s">
        <v>1694</v>
      </c>
    </row>
    <row r="1774" spans="1:2">
      <c r="A1774" s="107">
        <v>8132189</v>
      </c>
      <c r="B1774" s="107" t="s">
        <v>1695</v>
      </c>
    </row>
    <row r="1775" spans="1:2">
      <c r="A1775" s="107">
        <v>8132190</v>
      </c>
      <c r="B1775" s="107" t="s">
        <v>921</v>
      </c>
    </row>
    <row r="1776" spans="1:2">
      <c r="A1776" s="107">
        <v>8132191</v>
      </c>
      <c r="B1776" s="107" t="s">
        <v>1696</v>
      </c>
    </row>
    <row r="1777" spans="1:2">
      <c r="A1777" s="107">
        <v>8132192</v>
      </c>
      <c r="B1777" s="107" t="s">
        <v>1697</v>
      </c>
    </row>
    <row r="1778" spans="1:2">
      <c r="A1778" s="107">
        <v>8132193</v>
      </c>
      <c r="B1778" s="107" t="s">
        <v>1698</v>
      </c>
    </row>
    <row r="1779" spans="1:2">
      <c r="A1779" s="107">
        <v>8132194</v>
      </c>
      <c r="B1779" s="107" t="s">
        <v>1699</v>
      </c>
    </row>
    <row r="1780" spans="1:2">
      <c r="A1780" s="107">
        <v>8132195</v>
      </c>
      <c r="B1780" s="107" t="s">
        <v>1700</v>
      </c>
    </row>
    <row r="1781" spans="1:2">
      <c r="A1781" s="107">
        <v>8132196</v>
      </c>
      <c r="B1781" s="107" t="s">
        <v>1701</v>
      </c>
    </row>
    <row r="1782" spans="1:2">
      <c r="A1782" s="107">
        <v>8132197</v>
      </c>
      <c r="B1782" s="107" t="s">
        <v>1702</v>
      </c>
    </row>
    <row r="1783" spans="1:2">
      <c r="A1783" s="107">
        <v>8132198</v>
      </c>
      <c r="B1783" s="107" t="s">
        <v>1703</v>
      </c>
    </row>
    <row r="1784" spans="1:2">
      <c r="A1784" s="107">
        <v>8132199</v>
      </c>
      <c r="B1784" s="107" t="s">
        <v>1704</v>
      </c>
    </row>
    <row r="1785" spans="1:2">
      <c r="A1785" s="107">
        <v>8132200</v>
      </c>
      <c r="B1785" s="107" t="s">
        <v>1705</v>
      </c>
    </row>
    <row r="1786" spans="1:2">
      <c r="A1786" s="107">
        <v>8132201</v>
      </c>
      <c r="B1786" s="107" t="s">
        <v>1706</v>
      </c>
    </row>
    <row r="1787" spans="1:2">
      <c r="A1787" s="107">
        <v>8132202</v>
      </c>
      <c r="B1787" s="107" t="s">
        <v>1707</v>
      </c>
    </row>
    <row r="1788" spans="1:2">
      <c r="A1788" s="107">
        <v>8132203</v>
      </c>
      <c r="B1788" s="107" t="s">
        <v>1708</v>
      </c>
    </row>
    <row r="1789" spans="1:2">
      <c r="A1789" s="107">
        <v>8132204</v>
      </c>
      <c r="B1789" s="107" t="s">
        <v>1709</v>
      </c>
    </row>
    <row r="1790" spans="1:2">
      <c r="A1790" s="107">
        <v>8132205</v>
      </c>
      <c r="B1790" s="107" t="s">
        <v>1710</v>
      </c>
    </row>
    <row r="1791" spans="1:2">
      <c r="A1791" s="107">
        <v>8132206</v>
      </c>
      <c r="B1791" s="107" t="s">
        <v>1711</v>
      </c>
    </row>
    <row r="1792" spans="1:2">
      <c r="A1792" s="107">
        <v>8132207</v>
      </c>
      <c r="B1792" s="107" t="s">
        <v>1712</v>
      </c>
    </row>
    <row r="1793" spans="1:2">
      <c r="A1793" s="107">
        <v>8132208</v>
      </c>
      <c r="B1793" s="107" t="s">
        <v>1713</v>
      </c>
    </row>
    <row r="1794" spans="1:2">
      <c r="A1794" s="107">
        <v>8132209</v>
      </c>
      <c r="B1794" s="107" t="s">
        <v>1079</v>
      </c>
    </row>
    <row r="1795" spans="1:2">
      <c r="A1795" s="107">
        <v>8132210</v>
      </c>
      <c r="B1795" s="107" t="s">
        <v>1714</v>
      </c>
    </row>
    <row r="1796" spans="1:2">
      <c r="A1796" s="107">
        <v>8132211</v>
      </c>
      <c r="B1796" s="107" t="s">
        <v>1715</v>
      </c>
    </row>
    <row r="1797" spans="1:2">
      <c r="A1797" s="107">
        <v>8132212</v>
      </c>
      <c r="B1797" s="107" t="s">
        <v>981</v>
      </c>
    </row>
    <row r="1798" spans="1:2">
      <c r="A1798" s="107">
        <v>8132213</v>
      </c>
      <c r="B1798" s="107" t="s">
        <v>1716</v>
      </c>
    </row>
    <row r="1799" spans="1:2">
      <c r="A1799" s="107">
        <v>8132214</v>
      </c>
      <c r="B1799" s="107" t="s">
        <v>1036</v>
      </c>
    </row>
    <row r="1800" spans="1:2">
      <c r="A1800" s="107">
        <v>8132215</v>
      </c>
      <c r="B1800" s="107" t="s">
        <v>1042</v>
      </c>
    </row>
    <row r="1801" spans="1:2">
      <c r="A1801" s="107">
        <v>8132216</v>
      </c>
      <c r="B1801" s="107" t="s">
        <v>1717</v>
      </c>
    </row>
    <row r="1802" spans="1:2">
      <c r="A1802" s="107">
        <v>8132217</v>
      </c>
      <c r="B1802" s="107" t="s">
        <v>1718</v>
      </c>
    </row>
    <row r="1803" spans="1:2">
      <c r="A1803" s="107">
        <v>8132218</v>
      </c>
      <c r="B1803" s="107" t="s">
        <v>1719</v>
      </c>
    </row>
    <row r="1804" spans="1:2">
      <c r="A1804" s="107">
        <v>8132219</v>
      </c>
      <c r="B1804" s="107" t="s">
        <v>1720</v>
      </c>
    </row>
    <row r="1805" spans="1:2">
      <c r="A1805" s="107">
        <v>8132220</v>
      </c>
      <c r="B1805" s="107" t="s">
        <v>1721</v>
      </c>
    </row>
    <row r="1806" spans="1:2">
      <c r="A1806" s="107">
        <v>8132221</v>
      </c>
      <c r="B1806" s="107" t="s">
        <v>1722</v>
      </c>
    </row>
    <row r="1807" spans="1:2">
      <c r="A1807" s="107">
        <v>8132222</v>
      </c>
      <c r="B1807" s="107" t="s">
        <v>1723</v>
      </c>
    </row>
    <row r="1808" spans="1:2">
      <c r="A1808" s="107">
        <v>8132223</v>
      </c>
      <c r="B1808" s="107" t="s">
        <v>1724</v>
      </c>
    </row>
    <row r="1809" spans="1:2">
      <c r="A1809" s="107">
        <v>8132224</v>
      </c>
      <c r="B1809" s="107" t="s">
        <v>1725</v>
      </c>
    </row>
    <row r="1810" spans="1:2">
      <c r="A1810" s="107">
        <v>8132225</v>
      </c>
      <c r="B1810" s="107" t="s">
        <v>1726</v>
      </c>
    </row>
    <row r="1811" spans="1:2">
      <c r="A1811" s="107">
        <v>8132226</v>
      </c>
      <c r="B1811" s="107" t="s">
        <v>1028</v>
      </c>
    </row>
    <row r="1812" spans="1:2">
      <c r="A1812" s="107">
        <v>8132227</v>
      </c>
      <c r="B1812" s="107" t="s">
        <v>1008</v>
      </c>
    </row>
    <row r="1813" spans="1:2">
      <c r="A1813" s="107">
        <v>8132228</v>
      </c>
      <c r="B1813" s="107" t="s">
        <v>1009</v>
      </c>
    </row>
    <row r="1814" spans="1:2">
      <c r="A1814" s="107">
        <v>8132229</v>
      </c>
      <c r="B1814" s="107" t="s">
        <v>1727</v>
      </c>
    </row>
    <row r="1815" spans="1:2">
      <c r="A1815" s="107">
        <v>8132230</v>
      </c>
      <c r="B1815" s="107" t="s">
        <v>1728</v>
      </c>
    </row>
    <row r="1816" spans="1:2">
      <c r="A1816" s="107">
        <v>8132231</v>
      </c>
      <c r="B1816" s="107" t="s">
        <v>1729</v>
      </c>
    </row>
    <row r="1817" spans="1:2">
      <c r="A1817" s="107">
        <v>8132232</v>
      </c>
      <c r="B1817" s="107" t="s">
        <v>1730</v>
      </c>
    </row>
    <row r="1818" spans="1:2">
      <c r="A1818" s="107">
        <v>8132233</v>
      </c>
      <c r="B1818" s="107" t="s">
        <v>1731</v>
      </c>
    </row>
    <row r="1819" spans="1:2">
      <c r="A1819" s="107">
        <v>8132234</v>
      </c>
      <c r="B1819" s="107" t="s">
        <v>1732</v>
      </c>
    </row>
    <row r="1820" spans="1:2">
      <c r="A1820" s="107">
        <v>8132235</v>
      </c>
      <c r="B1820" s="107" t="s">
        <v>1733</v>
      </c>
    </row>
    <row r="1821" spans="1:2">
      <c r="A1821" s="107">
        <v>8132236</v>
      </c>
      <c r="B1821" s="107" t="s">
        <v>1734</v>
      </c>
    </row>
    <row r="1822" spans="1:2">
      <c r="A1822" s="107">
        <v>8132237</v>
      </c>
      <c r="B1822" s="107" t="s">
        <v>1074</v>
      </c>
    </row>
    <row r="1823" spans="1:2">
      <c r="A1823" s="107">
        <v>8132238</v>
      </c>
      <c r="B1823" s="107" t="s">
        <v>1735</v>
      </c>
    </row>
    <row r="1824" spans="1:2">
      <c r="A1824" s="107">
        <v>8132239</v>
      </c>
      <c r="B1824" s="107" t="s">
        <v>1736</v>
      </c>
    </row>
    <row r="1825" spans="1:2">
      <c r="A1825" s="107">
        <v>8132240</v>
      </c>
      <c r="B1825" s="107" t="s">
        <v>1737</v>
      </c>
    </row>
    <row r="1826" spans="1:2">
      <c r="A1826" s="107">
        <v>8132241</v>
      </c>
      <c r="B1826" s="107" t="s">
        <v>1047</v>
      </c>
    </row>
    <row r="1827" spans="1:2">
      <c r="A1827" s="107">
        <v>8132242</v>
      </c>
      <c r="B1827" s="107" t="s">
        <v>1738</v>
      </c>
    </row>
    <row r="1828" spans="1:2">
      <c r="A1828" s="107">
        <v>8132243</v>
      </c>
      <c r="B1828" s="107" t="s">
        <v>1739</v>
      </c>
    </row>
    <row r="1829" spans="1:2">
      <c r="A1829" s="107">
        <v>8132244</v>
      </c>
      <c r="B1829" s="107" t="s">
        <v>2164</v>
      </c>
    </row>
    <row r="1830" spans="1:2">
      <c r="A1830" s="107">
        <v>8132245</v>
      </c>
      <c r="B1830" s="107" t="s">
        <v>1740</v>
      </c>
    </row>
    <row r="1831" spans="1:2">
      <c r="A1831" s="107">
        <v>8132246</v>
      </c>
      <c r="B1831" s="107" t="s">
        <v>1741</v>
      </c>
    </row>
    <row r="1832" spans="1:2">
      <c r="A1832" s="107">
        <v>8132247</v>
      </c>
      <c r="B1832" s="107" t="s">
        <v>1742</v>
      </c>
    </row>
    <row r="1833" spans="1:2">
      <c r="A1833" s="107">
        <v>8132248</v>
      </c>
      <c r="B1833" s="107" t="s">
        <v>1743</v>
      </c>
    </row>
    <row r="1834" spans="1:2">
      <c r="A1834" s="107">
        <v>8132249</v>
      </c>
      <c r="B1834" s="107" t="s">
        <v>1744</v>
      </c>
    </row>
    <row r="1835" spans="1:2">
      <c r="A1835" s="107">
        <v>8132250</v>
      </c>
      <c r="B1835" s="107" t="s">
        <v>1745</v>
      </c>
    </row>
    <row r="1836" spans="1:2">
      <c r="A1836" s="107">
        <v>8132251</v>
      </c>
      <c r="B1836" s="107" t="s">
        <v>1746</v>
      </c>
    </row>
    <row r="1837" spans="1:2">
      <c r="A1837" s="107">
        <v>8132252</v>
      </c>
      <c r="B1837" s="107" t="s">
        <v>1747</v>
      </c>
    </row>
    <row r="1838" spans="1:2">
      <c r="A1838" s="107">
        <v>8132253</v>
      </c>
      <c r="B1838" s="107" t="s">
        <v>1059</v>
      </c>
    </row>
    <row r="1839" spans="1:2">
      <c r="A1839" s="107">
        <v>8132254</v>
      </c>
      <c r="B1839" s="107" t="s">
        <v>1062</v>
      </c>
    </row>
    <row r="1840" spans="1:2">
      <c r="A1840" s="107">
        <v>8132255</v>
      </c>
      <c r="B1840" s="107" t="s">
        <v>1748</v>
      </c>
    </row>
    <row r="1841" spans="1:2">
      <c r="A1841" s="107">
        <v>8132256</v>
      </c>
      <c r="B1841" s="107" t="s">
        <v>1749</v>
      </c>
    </row>
    <row r="1842" spans="1:2">
      <c r="A1842" s="107">
        <v>8132257</v>
      </c>
      <c r="B1842" s="107" t="s">
        <v>1750</v>
      </c>
    </row>
    <row r="1843" spans="1:2">
      <c r="A1843" s="107">
        <v>8132258</v>
      </c>
      <c r="B1843" s="107" t="s">
        <v>1751</v>
      </c>
    </row>
    <row r="1844" spans="1:2">
      <c r="A1844" s="107">
        <v>8132259</v>
      </c>
      <c r="B1844" s="107" t="s">
        <v>1752</v>
      </c>
    </row>
    <row r="1845" spans="1:2">
      <c r="A1845" s="107">
        <v>8132260</v>
      </c>
      <c r="B1845" s="107" t="s">
        <v>1753</v>
      </c>
    </row>
    <row r="1846" spans="1:2">
      <c r="A1846" s="107">
        <v>8132261</v>
      </c>
      <c r="B1846" s="107" t="s">
        <v>1754</v>
      </c>
    </row>
    <row r="1847" spans="1:2">
      <c r="A1847" s="107">
        <v>8132262</v>
      </c>
      <c r="B1847" s="107" t="s">
        <v>1755</v>
      </c>
    </row>
    <row r="1848" spans="1:2">
      <c r="A1848" s="107">
        <v>8132263</v>
      </c>
      <c r="B1848" s="107" t="s">
        <v>1756</v>
      </c>
    </row>
    <row r="1849" spans="1:2">
      <c r="A1849" s="107">
        <v>8132264</v>
      </c>
      <c r="B1849" s="107" t="s">
        <v>1757</v>
      </c>
    </row>
    <row r="1850" spans="1:2">
      <c r="A1850" s="107">
        <v>8132265</v>
      </c>
      <c r="B1850" s="107" t="s">
        <v>1758</v>
      </c>
    </row>
    <row r="1851" spans="1:2">
      <c r="A1851" s="107">
        <v>8132266</v>
      </c>
      <c r="B1851" s="107" t="s">
        <v>1759</v>
      </c>
    </row>
    <row r="1852" spans="1:2">
      <c r="A1852" s="107">
        <v>8132267</v>
      </c>
      <c r="B1852" s="107" t="s">
        <v>1031</v>
      </c>
    </row>
    <row r="1853" spans="1:2">
      <c r="A1853" s="107">
        <v>8132268</v>
      </c>
      <c r="B1853" s="107" t="s">
        <v>1037</v>
      </c>
    </row>
    <row r="1854" spans="1:2">
      <c r="A1854" s="107">
        <v>8132269</v>
      </c>
      <c r="B1854" s="107" t="s">
        <v>1760</v>
      </c>
    </row>
    <row r="1855" spans="1:2">
      <c r="A1855" s="107">
        <v>8132270</v>
      </c>
      <c r="B1855" s="107" t="s">
        <v>1761</v>
      </c>
    </row>
    <row r="1856" spans="1:2">
      <c r="A1856" s="107">
        <v>8132271</v>
      </c>
      <c r="B1856" s="107" t="s">
        <v>1083</v>
      </c>
    </row>
    <row r="1857" spans="1:2">
      <c r="A1857" s="107">
        <v>8132272</v>
      </c>
      <c r="B1857" s="107" t="s">
        <v>1762</v>
      </c>
    </row>
    <row r="1858" spans="1:2">
      <c r="A1858" s="107">
        <v>8132273</v>
      </c>
      <c r="B1858" s="107" t="s">
        <v>1763</v>
      </c>
    </row>
    <row r="1859" spans="1:2">
      <c r="A1859" s="107">
        <v>8132274</v>
      </c>
      <c r="B1859" s="107" t="s">
        <v>1764</v>
      </c>
    </row>
    <row r="1860" spans="1:2">
      <c r="A1860" s="107">
        <v>8132275</v>
      </c>
      <c r="B1860" s="107" t="s">
        <v>1765</v>
      </c>
    </row>
    <row r="1861" spans="1:2">
      <c r="A1861" s="107">
        <v>8132276</v>
      </c>
      <c r="B1861" s="107" t="s">
        <v>1766</v>
      </c>
    </row>
    <row r="1862" spans="1:2">
      <c r="A1862" s="107">
        <v>8132277</v>
      </c>
      <c r="B1862" s="107" t="s">
        <v>1767</v>
      </c>
    </row>
    <row r="1863" spans="1:2">
      <c r="A1863" s="107">
        <v>8132278</v>
      </c>
      <c r="B1863" s="107" t="s">
        <v>1116</v>
      </c>
    </row>
    <row r="1864" spans="1:2">
      <c r="A1864" s="107">
        <v>8132279</v>
      </c>
      <c r="B1864" s="107" t="s">
        <v>1768</v>
      </c>
    </row>
    <row r="1865" spans="1:2">
      <c r="A1865" s="107">
        <v>8132280</v>
      </c>
      <c r="B1865" s="107" t="s">
        <v>1769</v>
      </c>
    </row>
    <row r="1866" spans="1:2">
      <c r="A1866" s="107">
        <v>8132281</v>
      </c>
      <c r="B1866" s="107" t="s">
        <v>1770</v>
      </c>
    </row>
    <row r="1867" spans="1:2">
      <c r="A1867" s="107">
        <v>8132282</v>
      </c>
      <c r="B1867" s="107" t="s">
        <v>1771</v>
      </c>
    </row>
    <row r="1868" spans="1:2">
      <c r="A1868" s="107">
        <v>8132283</v>
      </c>
      <c r="B1868" s="107" t="s">
        <v>1772</v>
      </c>
    </row>
    <row r="1869" spans="1:2">
      <c r="A1869" s="107">
        <v>8132284</v>
      </c>
      <c r="B1869" s="107" t="s">
        <v>1773</v>
      </c>
    </row>
    <row r="1870" spans="1:2">
      <c r="A1870" s="107">
        <v>8132285</v>
      </c>
      <c r="B1870" s="107" t="s">
        <v>1774</v>
      </c>
    </row>
    <row r="1871" spans="1:2">
      <c r="A1871" s="107">
        <v>8132286</v>
      </c>
      <c r="B1871" s="107" t="s">
        <v>1775</v>
      </c>
    </row>
    <row r="1872" spans="1:2">
      <c r="A1872" s="107">
        <v>8132287</v>
      </c>
      <c r="B1872" s="107" t="s">
        <v>1776</v>
      </c>
    </row>
    <row r="1873" spans="1:2">
      <c r="A1873" s="107">
        <v>8132288</v>
      </c>
      <c r="B1873" s="107" t="s">
        <v>1777</v>
      </c>
    </row>
    <row r="1874" spans="1:2">
      <c r="A1874" s="107">
        <v>8132289</v>
      </c>
      <c r="B1874" s="107" t="s">
        <v>1778</v>
      </c>
    </row>
    <row r="1875" spans="1:2">
      <c r="A1875" s="107">
        <v>8132290</v>
      </c>
      <c r="B1875" s="107" t="s">
        <v>1779</v>
      </c>
    </row>
    <row r="1876" spans="1:2">
      <c r="A1876" s="107">
        <v>8132291</v>
      </c>
      <c r="B1876" s="107" t="s">
        <v>1780</v>
      </c>
    </row>
    <row r="1877" spans="1:2">
      <c r="A1877" s="107">
        <v>8132292</v>
      </c>
      <c r="B1877" s="107" t="s">
        <v>1781</v>
      </c>
    </row>
    <row r="1878" spans="1:2">
      <c r="A1878" s="107">
        <v>8132293</v>
      </c>
      <c r="B1878" s="107" t="s">
        <v>1782</v>
      </c>
    </row>
    <row r="1879" spans="1:2">
      <c r="A1879" s="107">
        <v>8132294</v>
      </c>
      <c r="B1879" s="107" t="s">
        <v>1131</v>
      </c>
    </row>
    <row r="1880" spans="1:2">
      <c r="A1880" s="107">
        <v>8132295</v>
      </c>
      <c r="B1880" s="107" t="s">
        <v>1783</v>
      </c>
    </row>
    <row r="1881" spans="1:2">
      <c r="A1881" s="107">
        <v>8132296</v>
      </c>
      <c r="B1881" s="107" t="s">
        <v>1784</v>
      </c>
    </row>
    <row r="1882" spans="1:2">
      <c r="A1882" s="107">
        <v>8132297</v>
      </c>
      <c r="B1882" s="107" t="s">
        <v>1785</v>
      </c>
    </row>
    <row r="1883" spans="1:2">
      <c r="A1883" s="107">
        <v>8132298</v>
      </c>
      <c r="B1883" s="107" t="s">
        <v>1786</v>
      </c>
    </row>
    <row r="1884" spans="1:2">
      <c r="A1884" s="107">
        <v>8132299</v>
      </c>
      <c r="B1884" s="107" t="s">
        <v>1787</v>
      </c>
    </row>
    <row r="1885" spans="1:2">
      <c r="A1885" s="107">
        <v>8132300</v>
      </c>
      <c r="B1885" s="107" t="s">
        <v>2263</v>
      </c>
    </row>
    <row r="1886" spans="1:2">
      <c r="A1886" s="107">
        <v>8132301</v>
      </c>
      <c r="B1886" s="107" t="s">
        <v>1788</v>
      </c>
    </row>
    <row r="1887" spans="1:2">
      <c r="A1887" s="107">
        <v>8132302</v>
      </c>
      <c r="B1887" s="107" t="s">
        <v>1789</v>
      </c>
    </row>
    <row r="1888" spans="1:2">
      <c r="A1888" s="107">
        <v>8132303</v>
      </c>
      <c r="B1888" s="107" t="s">
        <v>1790</v>
      </c>
    </row>
    <row r="1889" spans="1:2">
      <c r="A1889" s="107">
        <v>8132304</v>
      </c>
      <c r="B1889" s="107" t="s">
        <v>1791</v>
      </c>
    </row>
    <row r="1890" spans="1:2">
      <c r="A1890" s="107">
        <v>8132305</v>
      </c>
      <c r="B1890" s="107" t="s">
        <v>1792</v>
      </c>
    </row>
    <row r="1891" spans="1:2">
      <c r="A1891" s="107">
        <v>8132306</v>
      </c>
      <c r="B1891" s="107" t="s">
        <v>1793</v>
      </c>
    </row>
    <row r="1892" spans="1:2">
      <c r="A1892" s="107">
        <v>8132307</v>
      </c>
      <c r="B1892" s="107" t="s">
        <v>1794</v>
      </c>
    </row>
    <row r="1893" spans="1:2">
      <c r="A1893" s="107">
        <v>8132308</v>
      </c>
      <c r="B1893" s="107" t="s">
        <v>1795</v>
      </c>
    </row>
    <row r="1894" spans="1:2">
      <c r="A1894" s="107">
        <v>8132309</v>
      </c>
      <c r="B1894" s="107" t="s">
        <v>1796</v>
      </c>
    </row>
    <row r="1895" spans="1:2">
      <c r="A1895" s="107">
        <v>8132310</v>
      </c>
      <c r="B1895" s="107" t="s">
        <v>1797</v>
      </c>
    </row>
    <row r="1896" spans="1:2">
      <c r="A1896" s="107">
        <v>8132311</v>
      </c>
      <c r="B1896" s="107" t="s">
        <v>469</v>
      </c>
    </row>
    <row r="1897" spans="1:2">
      <c r="A1897" s="107">
        <v>8132312</v>
      </c>
      <c r="B1897" s="107" t="s">
        <v>1798</v>
      </c>
    </row>
    <row r="1898" spans="1:2">
      <c r="A1898" s="107">
        <v>8132313</v>
      </c>
      <c r="B1898" s="107" t="s">
        <v>1137</v>
      </c>
    </row>
    <row r="1899" spans="1:2">
      <c r="A1899" s="107">
        <v>8132314</v>
      </c>
      <c r="B1899" s="107" t="s">
        <v>1799</v>
      </c>
    </row>
    <row r="1900" spans="1:2">
      <c r="A1900" s="107">
        <v>8132315</v>
      </c>
      <c r="B1900" s="107" t="s">
        <v>1800</v>
      </c>
    </row>
    <row r="1901" spans="1:2">
      <c r="A1901" s="107">
        <v>8132316</v>
      </c>
      <c r="B1901" s="107" t="s">
        <v>1801</v>
      </c>
    </row>
    <row r="1902" spans="1:2">
      <c r="A1902" s="107">
        <v>8132317</v>
      </c>
      <c r="B1902" s="107" t="s">
        <v>1802</v>
      </c>
    </row>
    <row r="1903" spans="1:2">
      <c r="A1903" s="107">
        <v>8132318</v>
      </c>
      <c r="B1903" s="107" t="s">
        <v>1803</v>
      </c>
    </row>
    <row r="1904" spans="1:2">
      <c r="A1904" s="107">
        <v>8132319</v>
      </c>
      <c r="B1904" s="107" t="s">
        <v>1804</v>
      </c>
    </row>
    <row r="1905" spans="1:2">
      <c r="A1905" s="107">
        <v>8132320</v>
      </c>
      <c r="B1905" s="107" t="s">
        <v>1805</v>
      </c>
    </row>
    <row r="1906" spans="1:2">
      <c r="A1906" s="107">
        <v>8132321</v>
      </c>
      <c r="B1906" s="107" t="s">
        <v>1806</v>
      </c>
    </row>
    <row r="1907" spans="1:2">
      <c r="A1907" s="107">
        <v>8132322</v>
      </c>
      <c r="B1907" s="107" t="s">
        <v>1807</v>
      </c>
    </row>
    <row r="1908" spans="1:2">
      <c r="A1908" s="107">
        <v>8132323</v>
      </c>
      <c r="B1908" s="107" t="s">
        <v>1808</v>
      </c>
    </row>
    <row r="1909" spans="1:2">
      <c r="A1909" s="107">
        <v>8132324</v>
      </c>
      <c r="B1909" s="107" t="s">
        <v>1809</v>
      </c>
    </row>
    <row r="1910" spans="1:2">
      <c r="A1910" s="107">
        <v>8132325</v>
      </c>
      <c r="B1910" s="107" t="s">
        <v>1810</v>
      </c>
    </row>
    <row r="1911" spans="1:2">
      <c r="A1911" s="107">
        <v>8132326</v>
      </c>
      <c r="B1911" s="107" t="s">
        <v>1811</v>
      </c>
    </row>
    <row r="1912" spans="1:2">
      <c r="A1912" s="107">
        <v>8132327</v>
      </c>
      <c r="B1912" s="107" t="s">
        <v>1812</v>
      </c>
    </row>
    <row r="1913" spans="1:2">
      <c r="A1913" s="107">
        <v>8132328</v>
      </c>
      <c r="B1913" s="107" t="s">
        <v>1813</v>
      </c>
    </row>
    <row r="1914" spans="1:2">
      <c r="A1914" s="107">
        <v>8132329</v>
      </c>
      <c r="B1914" s="107" t="s">
        <v>1814</v>
      </c>
    </row>
    <row r="1915" spans="1:2">
      <c r="A1915" s="107">
        <v>8132330</v>
      </c>
      <c r="B1915" s="107" t="s">
        <v>1815</v>
      </c>
    </row>
    <row r="1916" spans="1:2">
      <c r="A1916" s="107">
        <v>8132331</v>
      </c>
      <c r="B1916" s="107" t="s">
        <v>1816</v>
      </c>
    </row>
    <row r="1917" spans="1:2">
      <c r="A1917" s="107">
        <v>8132332</v>
      </c>
      <c r="B1917" s="107" t="s">
        <v>1069</v>
      </c>
    </row>
    <row r="1918" spans="1:2">
      <c r="A1918" s="107">
        <v>8132333</v>
      </c>
      <c r="B1918" s="107" t="s">
        <v>1817</v>
      </c>
    </row>
    <row r="1919" spans="1:2">
      <c r="A1919" s="107">
        <v>8132334</v>
      </c>
      <c r="B1919" s="107" t="s">
        <v>1818</v>
      </c>
    </row>
    <row r="1920" spans="1:2">
      <c r="A1920" s="107">
        <v>8132335</v>
      </c>
      <c r="B1920" s="107" t="s">
        <v>1819</v>
      </c>
    </row>
    <row r="1921" spans="1:2">
      <c r="A1921" s="107">
        <v>8132336</v>
      </c>
      <c r="B1921" s="107" t="s">
        <v>1820</v>
      </c>
    </row>
    <row r="1922" spans="1:2">
      <c r="A1922" s="107">
        <v>8132337</v>
      </c>
      <c r="B1922" s="107" t="s">
        <v>1821</v>
      </c>
    </row>
    <row r="1923" spans="1:2">
      <c r="A1923" s="107">
        <v>8132338</v>
      </c>
      <c r="B1923" s="107" t="s">
        <v>1822</v>
      </c>
    </row>
    <row r="1924" spans="1:2">
      <c r="A1924" s="107">
        <v>8132339</v>
      </c>
      <c r="B1924" s="107" t="s">
        <v>1823</v>
      </c>
    </row>
    <row r="1925" spans="1:2">
      <c r="A1925" s="107">
        <v>8132340</v>
      </c>
      <c r="B1925" s="107" t="s">
        <v>1824</v>
      </c>
    </row>
    <row r="1926" spans="1:2">
      <c r="A1926" s="107">
        <v>8132341</v>
      </c>
      <c r="B1926" s="107" t="s">
        <v>1825</v>
      </c>
    </row>
    <row r="1927" spans="1:2">
      <c r="A1927" s="107">
        <v>8132342</v>
      </c>
      <c r="B1927" s="107" t="s">
        <v>1826</v>
      </c>
    </row>
    <row r="1928" spans="1:2">
      <c r="A1928" s="107">
        <v>8132343</v>
      </c>
      <c r="B1928" s="107" t="s">
        <v>1827</v>
      </c>
    </row>
    <row r="1929" spans="1:2">
      <c r="A1929" s="107">
        <v>8132344</v>
      </c>
      <c r="B1929" s="107" t="s">
        <v>1828</v>
      </c>
    </row>
    <row r="1930" spans="1:2">
      <c r="A1930" s="107">
        <v>8132345</v>
      </c>
      <c r="B1930" s="107" t="s">
        <v>1043</v>
      </c>
    </row>
    <row r="1931" spans="1:2">
      <c r="A1931" s="107">
        <v>8132346</v>
      </c>
      <c r="B1931" s="107" t="s">
        <v>1829</v>
      </c>
    </row>
    <row r="1932" spans="1:2">
      <c r="A1932" s="107">
        <v>8132347</v>
      </c>
      <c r="B1932" s="107" t="s">
        <v>1830</v>
      </c>
    </row>
    <row r="1933" spans="1:2">
      <c r="A1933" s="107">
        <v>8132348</v>
      </c>
      <c r="B1933" s="107" t="s">
        <v>1831</v>
      </c>
    </row>
    <row r="1934" spans="1:2">
      <c r="A1934" s="107">
        <v>8132349</v>
      </c>
      <c r="B1934" s="107" t="s">
        <v>1832</v>
      </c>
    </row>
    <row r="1935" spans="1:2">
      <c r="A1935" s="107">
        <v>8132350</v>
      </c>
      <c r="B1935" s="107" t="s">
        <v>1833</v>
      </c>
    </row>
    <row r="1936" spans="1:2">
      <c r="A1936" s="107">
        <v>8132351</v>
      </c>
      <c r="B1936" s="107" t="s">
        <v>1176</v>
      </c>
    </row>
    <row r="1937" spans="1:2">
      <c r="A1937" s="107">
        <v>8132352</v>
      </c>
      <c r="B1937" s="107" t="s">
        <v>1834</v>
      </c>
    </row>
    <row r="1938" spans="1:2">
      <c r="A1938" s="107">
        <v>8132353</v>
      </c>
      <c r="B1938" s="107" t="s">
        <v>1835</v>
      </c>
    </row>
    <row r="1939" spans="1:2">
      <c r="A1939" s="107">
        <v>8132354</v>
      </c>
      <c r="B1939" s="107" t="s">
        <v>1836</v>
      </c>
    </row>
    <row r="1940" spans="1:2">
      <c r="A1940" s="107">
        <v>8132355</v>
      </c>
      <c r="B1940" s="107" t="s">
        <v>1837</v>
      </c>
    </row>
    <row r="1941" spans="1:2">
      <c r="A1941" s="107">
        <v>8132356</v>
      </c>
      <c r="B1941" s="107" t="s">
        <v>1838</v>
      </c>
    </row>
    <row r="1942" spans="1:2">
      <c r="A1942" s="107">
        <v>8132357</v>
      </c>
      <c r="B1942" s="107" t="s">
        <v>1839</v>
      </c>
    </row>
    <row r="1943" spans="1:2">
      <c r="A1943" s="107">
        <v>8132358</v>
      </c>
      <c r="B1943" s="107" t="s">
        <v>1840</v>
      </c>
    </row>
    <row r="1944" spans="1:2">
      <c r="A1944" s="107">
        <v>8132359</v>
      </c>
      <c r="B1944" s="107" t="s">
        <v>1841</v>
      </c>
    </row>
    <row r="1945" spans="1:2">
      <c r="A1945" s="107">
        <v>8132360</v>
      </c>
      <c r="B1945" s="107" t="s">
        <v>1842</v>
      </c>
    </row>
    <row r="1946" spans="1:2">
      <c r="A1946" s="107">
        <v>8132361</v>
      </c>
      <c r="B1946" s="107" t="s">
        <v>1843</v>
      </c>
    </row>
    <row r="1947" spans="1:2">
      <c r="A1947" s="107">
        <v>8132362</v>
      </c>
      <c r="B1947" s="107" t="s">
        <v>1844</v>
      </c>
    </row>
    <row r="1948" spans="1:2">
      <c r="A1948" s="107">
        <v>8132363</v>
      </c>
      <c r="B1948" s="107" t="s">
        <v>1845</v>
      </c>
    </row>
    <row r="1949" spans="1:2">
      <c r="A1949" s="107">
        <v>8132364</v>
      </c>
      <c r="B1949" s="107" t="s">
        <v>1846</v>
      </c>
    </row>
    <row r="1950" spans="1:2">
      <c r="A1950" s="107">
        <v>8132365</v>
      </c>
      <c r="B1950" s="107" t="s">
        <v>1847</v>
      </c>
    </row>
    <row r="1951" spans="1:2">
      <c r="A1951" s="107">
        <v>8132366</v>
      </c>
      <c r="B1951" s="107" t="s">
        <v>1848</v>
      </c>
    </row>
    <row r="1952" spans="1:2">
      <c r="A1952" s="107">
        <v>8132367</v>
      </c>
      <c r="B1952" s="107" t="s">
        <v>1849</v>
      </c>
    </row>
    <row r="1953" spans="1:2">
      <c r="A1953" s="107">
        <v>8132368</v>
      </c>
      <c r="B1953" s="107" t="s">
        <v>1850</v>
      </c>
    </row>
    <row r="1954" spans="1:2">
      <c r="A1954" s="107">
        <v>8132369</v>
      </c>
      <c r="B1954" s="107" t="s">
        <v>2264</v>
      </c>
    </row>
    <row r="1955" spans="1:2">
      <c r="A1955" s="107">
        <v>8132370</v>
      </c>
      <c r="B1955" s="107" t="s">
        <v>1851</v>
      </c>
    </row>
    <row r="1956" spans="1:2">
      <c r="A1956" s="107">
        <v>8132371</v>
      </c>
      <c r="B1956" s="107" t="s">
        <v>1852</v>
      </c>
    </row>
    <row r="1957" spans="1:2">
      <c r="A1957" s="107">
        <v>8132372</v>
      </c>
      <c r="B1957" s="107" t="s">
        <v>1226</v>
      </c>
    </row>
    <row r="1958" spans="1:2">
      <c r="A1958" s="107">
        <v>8132373</v>
      </c>
      <c r="B1958" s="107" t="s">
        <v>1853</v>
      </c>
    </row>
    <row r="1959" spans="1:2">
      <c r="A1959" s="107">
        <v>8132374</v>
      </c>
      <c r="B1959" s="107" t="s">
        <v>1854</v>
      </c>
    </row>
    <row r="1960" spans="1:2">
      <c r="A1960" s="107">
        <v>8132375</v>
      </c>
      <c r="B1960" s="107" t="s">
        <v>1855</v>
      </c>
    </row>
    <row r="1961" spans="1:2">
      <c r="A1961" s="107">
        <v>8132376</v>
      </c>
      <c r="B1961" s="107" t="s">
        <v>1856</v>
      </c>
    </row>
    <row r="1962" spans="1:2">
      <c r="A1962" s="107">
        <v>8132377</v>
      </c>
      <c r="B1962" s="107" t="s">
        <v>1857</v>
      </c>
    </row>
    <row r="1963" spans="1:2">
      <c r="A1963" s="107">
        <v>8132378</v>
      </c>
      <c r="B1963" s="107" t="s">
        <v>1858</v>
      </c>
    </row>
    <row r="1964" spans="1:2">
      <c r="A1964" s="107">
        <v>8132379</v>
      </c>
      <c r="B1964" s="107" t="s">
        <v>1236</v>
      </c>
    </row>
    <row r="1965" spans="1:2">
      <c r="A1965" s="107">
        <v>8132380</v>
      </c>
      <c r="B1965" s="107" t="s">
        <v>1859</v>
      </c>
    </row>
    <row r="1966" spans="1:2">
      <c r="A1966" s="107">
        <v>8132381</v>
      </c>
      <c r="B1966" s="107" t="s">
        <v>1860</v>
      </c>
    </row>
    <row r="1967" spans="1:2">
      <c r="A1967" s="107">
        <v>8132382</v>
      </c>
      <c r="B1967" s="107" t="s">
        <v>1861</v>
      </c>
    </row>
    <row r="1968" spans="1:2">
      <c r="A1968" s="107">
        <v>8132383</v>
      </c>
      <c r="B1968" s="107" t="s">
        <v>1862</v>
      </c>
    </row>
    <row r="1969" spans="1:2">
      <c r="A1969" s="107">
        <v>8132384</v>
      </c>
      <c r="B1969" s="107" t="s">
        <v>1863</v>
      </c>
    </row>
    <row r="1970" spans="1:2">
      <c r="A1970" s="107">
        <v>8132385</v>
      </c>
      <c r="B1970" s="107" t="s">
        <v>1864</v>
      </c>
    </row>
    <row r="1971" spans="1:2">
      <c r="A1971" s="107">
        <v>8132386</v>
      </c>
      <c r="B1971" s="107" t="s">
        <v>1865</v>
      </c>
    </row>
    <row r="1972" spans="1:2">
      <c r="A1972" s="107">
        <v>8132387</v>
      </c>
      <c r="B1972" s="107" t="s">
        <v>1866</v>
      </c>
    </row>
    <row r="1973" spans="1:2">
      <c r="A1973" s="107">
        <v>8132388</v>
      </c>
      <c r="B1973" s="107" t="s">
        <v>1867</v>
      </c>
    </row>
    <row r="1974" spans="1:2">
      <c r="A1974" s="107">
        <v>8132389</v>
      </c>
      <c r="B1974" s="107" t="s">
        <v>1868</v>
      </c>
    </row>
    <row r="1975" spans="1:2">
      <c r="A1975" s="107">
        <v>8132390</v>
      </c>
      <c r="B1975" s="107" t="s">
        <v>1869</v>
      </c>
    </row>
    <row r="1976" spans="1:2">
      <c r="A1976" s="107">
        <v>8132391</v>
      </c>
      <c r="B1976" s="107" t="s">
        <v>1870</v>
      </c>
    </row>
    <row r="1977" spans="1:2">
      <c r="A1977" s="107">
        <v>8132392</v>
      </c>
      <c r="B1977" s="107" t="s">
        <v>1871</v>
      </c>
    </row>
    <row r="1978" spans="1:2">
      <c r="A1978" s="107">
        <v>8132393</v>
      </c>
      <c r="B1978" s="107" t="s">
        <v>1872</v>
      </c>
    </row>
    <row r="1979" spans="1:2">
      <c r="A1979" s="107">
        <v>8132394</v>
      </c>
      <c r="B1979" s="107" t="s">
        <v>1873</v>
      </c>
    </row>
    <row r="1980" spans="1:2">
      <c r="A1980" s="107">
        <v>8132395</v>
      </c>
      <c r="B1980" s="107" t="s">
        <v>1874</v>
      </c>
    </row>
    <row r="1981" spans="1:2">
      <c r="A1981" s="107">
        <v>8132396</v>
      </c>
      <c r="B1981" s="107" t="s">
        <v>1249</v>
      </c>
    </row>
    <row r="1982" spans="1:2">
      <c r="A1982" s="107">
        <v>8132397</v>
      </c>
      <c r="B1982" s="107" t="s">
        <v>1875</v>
      </c>
    </row>
    <row r="1983" spans="1:2">
      <c r="A1983" s="107">
        <v>8132398</v>
      </c>
      <c r="B1983" s="107" t="s">
        <v>1876</v>
      </c>
    </row>
    <row r="1984" spans="1:2">
      <c r="A1984" s="107">
        <v>8132399</v>
      </c>
      <c r="B1984" s="107" t="s">
        <v>1877</v>
      </c>
    </row>
    <row r="1985" spans="1:2">
      <c r="A1985" s="107">
        <v>8132400</v>
      </c>
      <c r="B1985" s="107" t="s">
        <v>1878</v>
      </c>
    </row>
    <row r="1986" spans="1:2">
      <c r="A1986" s="107">
        <v>8132401</v>
      </c>
      <c r="B1986" s="107" t="s">
        <v>1879</v>
      </c>
    </row>
    <row r="1987" spans="1:2">
      <c r="A1987" s="107">
        <v>8132402</v>
      </c>
      <c r="B1987" s="107" t="s">
        <v>1880</v>
      </c>
    </row>
    <row r="1988" spans="1:2">
      <c r="A1988" s="107">
        <v>8132403</v>
      </c>
      <c r="B1988" s="107" t="s">
        <v>1881</v>
      </c>
    </row>
    <row r="1989" spans="1:2">
      <c r="A1989" s="107">
        <v>8132404</v>
      </c>
      <c r="B1989" s="107" t="s">
        <v>1882</v>
      </c>
    </row>
    <row r="1990" spans="1:2">
      <c r="A1990" s="107">
        <v>8132405</v>
      </c>
      <c r="B1990" s="107" t="s">
        <v>1883</v>
      </c>
    </row>
    <row r="1991" spans="1:2">
      <c r="A1991" s="107">
        <v>8132406</v>
      </c>
      <c r="B1991" s="107" t="s">
        <v>1884</v>
      </c>
    </row>
    <row r="1992" spans="1:2">
      <c r="A1992" s="107">
        <v>8132407</v>
      </c>
      <c r="B1992" s="107" t="s">
        <v>1885</v>
      </c>
    </row>
    <row r="1993" spans="1:2">
      <c r="A1993" s="107">
        <v>8132408</v>
      </c>
      <c r="B1993" s="107" t="s">
        <v>1886</v>
      </c>
    </row>
    <row r="1994" spans="1:2">
      <c r="A1994" s="107">
        <v>8132409</v>
      </c>
      <c r="B1994" s="107" t="s">
        <v>1887</v>
      </c>
    </row>
    <row r="1995" spans="1:2">
      <c r="A1995" s="107">
        <v>8132410</v>
      </c>
      <c r="B1995" s="107" t="s">
        <v>1888</v>
      </c>
    </row>
    <row r="1996" spans="1:2">
      <c r="A1996" s="107">
        <v>8132411</v>
      </c>
      <c r="B1996" s="107" t="s">
        <v>1889</v>
      </c>
    </row>
    <row r="1997" spans="1:2">
      <c r="A1997" s="107">
        <v>8132412</v>
      </c>
      <c r="B1997" s="107" t="s">
        <v>2098</v>
      </c>
    </row>
    <row r="1998" spans="1:2">
      <c r="A1998" s="107">
        <v>8132413</v>
      </c>
      <c r="B1998" s="107" t="s">
        <v>1890</v>
      </c>
    </row>
    <row r="1999" spans="1:2">
      <c r="A1999" s="107">
        <v>8132414</v>
      </c>
      <c r="B1999" s="107" t="s">
        <v>1891</v>
      </c>
    </row>
    <row r="2000" spans="1:2">
      <c r="A2000" s="107">
        <v>8132415</v>
      </c>
      <c r="B2000" s="107" t="s">
        <v>1892</v>
      </c>
    </row>
    <row r="2001" spans="1:2">
      <c r="A2001" s="107">
        <v>8132416</v>
      </c>
      <c r="B2001" s="107" t="s">
        <v>1893</v>
      </c>
    </row>
    <row r="2002" spans="1:2">
      <c r="A2002" s="107">
        <v>8132417</v>
      </c>
      <c r="B2002" s="107" t="s">
        <v>1894</v>
      </c>
    </row>
    <row r="2003" spans="1:2">
      <c r="A2003" s="107">
        <v>8132418</v>
      </c>
      <c r="B2003" s="107" t="s">
        <v>1895</v>
      </c>
    </row>
    <row r="2004" spans="1:2">
      <c r="A2004" s="107">
        <v>8132419</v>
      </c>
      <c r="B2004" s="107" t="s">
        <v>1896</v>
      </c>
    </row>
    <row r="2005" spans="1:2">
      <c r="A2005" s="107">
        <v>8132420</v>
      </c>
      <c r="B2005" s="107" t="s">
        <v>1897</v>
      </c>
    </row>
    <row r="2006" spans="1:2">
      <c r="A2006" s="107">
        <v>8132421</v>
      </c>
      <c r="B2006" s="107" t="s">
        <v>1898</v>
      </c>
    </row>
    <row r="2007" spans="1:2">
      <c r="A2007" s="107">
        <v>8132422</v>
      </c>
      <c r="B2007" s="107" t="s">
        <v>1349</v>
      </c>
    </row>
    <row r="2008" spans="1:2">
      <c r="A2008" s="107">
        <v>8132423</v>
      </c>
      <c r="B2008" s="107" t="s">
        <v>1899</v>
      </c>
    </row>
    <row r="2009" spans="1:2">
      <c r="A2009" s="107">
        <v>8132424</v>
      </c>
      <c r="B2009" s="107" t="s">
        <v>1900</v>
      </c>
    </row>
    <row r="2010" spans="1:2">
      <c r="A2010" s="107">
        <v>8132425</v>
      </c>
      <c r="B2010" s="107" t="s">
        <v>1901</v>
      </c>
    </row>
    <row r="2011" spans="1:2">
      <c r="A2011" s="107">
        <v>8132426</v>
      </c>
      <c r="B2011" s="107" t="s">
        <v>1902</v>
      </c>
    </row>
    <row r="2012" spans="1:2">
      <c r="A2012" s="107">
        <v>8132427</v>
      </c>
      <c r="B2012" s="107" t="s">
        <v>1903</v>
      </c>
    </row>
    <row r="2013" spans="1:2">
      <c r="A2013" s="107">
        <v>8132428</v>
      </c>
      <c r="B2013" s="107" t="s">
        <v>1904</v>
      </c>
    </row>
    <row r="2014" spans="1:2">
      <c r="A2014" s="107">
        <v>8132429</v>
      </c>
      <c r="B2014" s="107" t="s">
        <v>1905</v>
      </c>
    </row>
    <row r="2015" spans="1:2">
      <c r="A2015" s="107">
        <v>8132430</v>
      </c>
      <c r="B2015" s="107" t="s">
        <v>1906</v>
      </c>
    </row>
    <row r="2016" spans="1:2">
      <c r="A2016" s="107">
        <v>8132431</v>
      </c>
      <c r="B2016" s="107" t="s">
        <v>1907</v>
      </c>
    </row>
    <row r="2017" spans="1:2">
      <c r="A2017" s="107">
        <v>8132432</v>
      </c>
      <c r="B2017" s="107" t="s">
        <v>1908</v>
      </c>
    </row>
    <row r="2018" spans="1:2">
      <c r="A2018" s="107">
        <v>8132433</v>
      </c>
      <c r="B2018" s="107" t="s">
        <v>1909</v>
      </c>
    </row>
    <row r="2019" spans="1:2">
      <c r="A2019" s="107">
        <v>8132434</v>
      </c>
      <c r="B2019" s="107" t="s">
        <v>1910</v>
      </c>
    </row>
    <row r="2020" spans="1:2">
      <c r="A2020" s="107">
        <v>8132435</v>
      </c>
      <c r="B2020" s="107" t="s">
        <v>1911</v>
      </c>
    </row>
    <row r="2021" spans="1:2">
      <c r="A2021" s="107">
        <v>8132436</v>
      </c>
      <c r="B2021" s="107" t="s">
        <v>1912</v>
      </c>
    </row>
    <row r="2022" spans="1:2">
      <c r="A2022" s="107">
        <v>8132437</v>
      </c>
      <c r="B2022" s="107" t="s">
        <v>1913</v>
      </c>
    </row>
    <row r="2023" spans="1:2">
      <c r="A2023" s="107">
        <v>8132438</v>
      </c>
      <c r="B2023" s="107" t="s">
        <v>1914</v>
      </c>
    </row>
    <row r="2024" spans="1:2">
      <c r="A2024" s="107">
        <v>8132439</v>
      </c>
      <c r="B2024" s="107" t="s">
        <v>1915</v>
      </c>
    </row>
    <row r="2025" spans="1:2">
      <c r="A2025" s="107">
        <v>8132440</v>
      </c>
      <c r="B2025" s="107" t="s">
        <v>1916</v>
      </c>
    </row>
    <row r="2026" spans="1:2">
      <c r="A2026" s="107">
        <v>8132441</v>
      </c>
      <c r="B2026" s="107" t="s">
        <v>1917</v>
      </c>
    </row>
    <row r="2027" spans="1:2">
      <c r="A2027" s="107">
        <v>8132442</v>
      </c>
      <c r="B2027" s="107" t="s">
        <v>1918</v>
      </c>
    </row>
    <row r="2028" spans="1:2">
      <c r="A2028" s="107">
        <v>8132443</v>
      </c>
      <c r="B2028" s="107" t="s">
        <v>1919</v>
      </c>
    </row>
    <row r="2029" spans="1:2">
      <c r="A2029" s="107">
        <v>8132444</v>
      </c>
      <c r="B2029" s="107" t="s">
        <v>1920</v>
      </c>
    </row>
    <row r="2030" spans="1:2">
      <c r="A2030" s="107">
        <v>8132445</v>
      </c>
      <c r="B2030" s="107" t="s">
        <v>1921</v>
      </c>
    </row>
    <row r="2031" spans="1:2">
      <c r="A2031" s="107">
        <v>8132446</v>
      </c>
      <c r="B2031" s="107" t="s">
        <v>1922</v>
      </c>
    </row>
    <row r="2032" spans="1:2">
      <c r="A2032" s="107">
        <v>8132447</v>
      </c>
      <c r="B2032" s="107" t="s">
        <v>1923</v>
      </c>
    </row>
    <row r="2033" spans="1:2">
      <c r="A2033" s="107">
        <v>8132448</v>
      </c>
      <c r="B2033" s="107" t="s">
        <v>1924</v>
      </c>
    </row>
    <row r="2034" spans="1:2">
      <c r="A2034" s="107">
        <v>8132449</v>
      </c>
      <c r="B2034" s="107" t="s">
        <v>1925</v>
      </c>
    </row>
    <row r="2035" spans="1:2">
      <c r="A2035" s="107">
        <v>8132450</v>
      </c>
      <c r="B2035" s="107" t="s">
        <v>1926</v>
      </c>
    </row>
    <row r="2036" spans="1:2">
      <c r="A2036" s="107">
        <v>8132451</v>
      </c>
      <c r="B2036" s="107" t="s">
        <v>1927</v>
      </c>
    </row>
    <row r="2037" spans="1:2">
      <c r="A2037" s="107">
        <v>8132452</v>
      </c>
      <c r="B2037" s="107" t="s">
        <v>1928</v>
      </c>
    </row>
    <row r="2038" spans="1:2">
      <c r="A2038" s="107">
        <v>8132453</v>
      </c>
      <c r="B2038" s="107" t="s">
        <v>1929</v>
      </c>
    </row>
    <row r="2039" spans="1:2">
      <c r="A2039" s="107">
        <v>8132454</v>
      </c>
      <c r="B2039" s="107" t="s">
        <v>1930</v>
      </c>
    </row>
    <row r="2040" spans="1:2">
      <c r="A2040" s="107">
        <v>8132455</v>
      </c>
      <c r="B2040" s="107" t="s">
        <v>1931</v>
      </c>
    </row>
    <row r="2041" spans="1:2">
      <c r="A2041" s="107">
        <v>8132456</v>
      </c>
      <c r="B2041" s="107" t="s">
        <v>1932</v>
      </c>
    </row>
    <row r="2042" spans="1:2">
      <c r="A2042" s="107">
        <v>8132457</v>
      </c>
      <c r="B2042" s="107" t="s">
        <v>1933</v>
      </c>
    </row>
    <row r="2043" spans="1:2">
      <c r="A2043" s="107">
        <v>8132458</v>
      </c>
      <c r="B2043" s="107" t="s">
        <v>1934</v>
      </c>
    </row>
    <row r="2044" spans="1:2">
      <c r="A2044" s="107">
        <v>8132459</v>
      </c>
      <c r="B2044" s="107" t="s">
        <v>1935</v>
      </c>
    </row>
    <row r="2045" spans="1:2">
      <c r="A2045" s="107">
        <v>8132460</v>
      </c>
      <c r="B2045" s="107" t="s">
        <v>1936</v>
      </c>
    </row>
    <row r="2046" spans="1:2">
      <c r="A2046" s="107">
        <v>8132461</v>
      </c>
      <c r="B2046" s="107" t="s">
        <v>1937</v>
      </c>
    </row>
    <row r="2047" spans="1:2">
      <c r="A2047" s="107">
        <v>8132462</v>
      </c>
      <c r="B2047" s="107" t="s">
        <v>1938</v>
      </c>
    </row>
    <row r="2048" spans="1:2">
      <c r="A2048" s="107">
        <v>8132463</v>
      </c>
      <c r="B2048" s="107" t="s">
        <v>1939</v>
      </c>
    </row>
    <row r="2049" spans="1:2">
      <c r="A2049" s="107">
        <v>8132464</v>
      </c>
      <c r="B2049" s="107" t="s">
        <v>1940</v>
      </c>
    </row>
    <row r="2050" spans="1:2">
      <c r="A2050" s="107">
        <v>8132465</v>
      </c>
      <c r="B2050" s="107" t="s">
        <v>1941</v>
      </c>
    </row>
    <row r="2051" spans="1:2">
      <c r="A2051" s="107">
        <v>8132466</v>
      </c>
      <c r="B2051" s="107" t="s">
        <v>1942</v>
      </c>
    </row>
    <row r="2052" spans="1:2">
      <c r="A2052" s="107">
        <v>8132467</v>
      </c>
      <c r="B2052" s="107" t="s">
        <v>1943</v>
      </c>
    </row>
    <row r="2053" spans="1:2">
      <c r="A2053" s="107">
        <v>8132468</v>
      </c>
      <c r="B2053" s="107" t="s">
        <v>1944</v>
      </c>
    </row>
    <row r="2054" spans="1:2">
      <c r="A2054" s="107">
        <v>8132469</v>
      </c>
      <c r="B2054" s="107" t="s">
        <v>1945</v>
      </c>
    </row>
    <row r="2055" spans="1:2">
      <c r="A2055" s="107">
        <v>8132470</v>
      </c>
      <c r="B2055" s="107" t="s">
        <v>1946</v>
      </c>
    </row>
    <row r="2056" spans="1:2">
      <c r="A2056" s="107">
        <v>8132471</v>
      </c>
      <c r="B2056" s="107" t="s">
        <v>1947</v>
      </c>
    </row>
    <row r="2057" spans="1:2">
      <c r="A2057" s="107">
        <v>8132472</v>
      </c>
      <c r="B2057" s="107" t="s">
        <v>1948</v>
      </c>
    </row>
    <row r="2058" spans="1:2">
      <c r="A2058" s="107">
        <v>8132473</v>
      </c>
      <c r="B2058" s="107" t="s">
        <v>1949</v>
      </c>
    </row>
    <row r="2059" spans="1:2">
      <c r="A2059" s="107">
        <v>8132474</v>
      </c>
      <c r="B2059" s="107" t="s">
        <v>1950</v>
      </c>
    </row>
    <row r="2060" spans="1:2">
      <c r="A2060" s="107">
        <v>8132475</v>
      </c>
      <c r="B2060" s="107" t="s">
        <v>1951</v>
      </c>
    </row>
    <row r="2061" spans="1:2">
      <c r="A2061" s="107">
        <v>8132476</v>
      </c>
      <c r="B2061" s="107" t="s">
        <v>1952</v>
      </c>
    </row>
    <row r="2062" spans="1:2">
      <c r="A2062" s="107">
        <v>8132477</v>
      </c>
      <c r="B2062" s="107" t="s">
        <v>1953</v>
      </c>
    </row>
    <row r="2063" spans="1:2">
      <c r="A2063" s="107">
        <v>8132478</v>
      </c>
      <c r="B2063" s="107" t="s">
        <v>1954</v>
      </c>
    </row>
    <row r="2064" spans="1:2">
      <c r="A2064" s="107">
        <v>8132479</v>
      </c>
      <c r="B2064" s="107" t="s">
        <v>1955</v>
      </c>
    </row>
    <row r="2065" spans="1:2">
      <c r="A2065" s="107">
        <v>8132480</v>
      </c>
      <c r="B2065" s="107" t="s">
        <v>1956</v>
      </c>
    </row>
    <row r="2066" spans="1:2">
      <c r="A2066" s="107">
        <v>8132481</v>
      </c>
      <c r="B2066" s="107" t="s">
        <v>1957</v>
      </c>
    </row>
    <row r="2067" spans="1:2">
      <c r="A2067" s="107">
        <v>8132482</v>
      </c>
      <c r="B2067" s="107" t="s">
        <v>1958</v>
      </c>
    </row>
    <row r="2068" spans="1:2">
      <c r="A2068" s="107">
        <v>8132483</v>
      </c>
      <c r="B2068" s="107" t="s">
        <v>2104</v>
      </c>
    </row>
    <row r="2069" spans="1:2">
      <c r="A2069" s="107">
        <v>8132484</v>
      </c>
      <c r="B2069" s="107" t="s">
        <v>2127</v>
      </c>
    </row>
    <row r="2070" spans="1:2">
      <c r="A2070" s="107">
        <v>8132485</v>
      </c>
      <c r="B2070" s="107" t="s">
        <v>2128</v>
      </c>
    </row>
    <row r="2071" spans="1:2">
      <c r="A2071" s="107">
        <v>8132486</v>
      </c>
      <c r="B2071" s="107" t="s">
        <v>2265</v>
      </c>
    </row>
    <row r="2072" spans="1:2">
      <c r="A2072" s="107">
        <v>8132487</v>
      </c>
      <c r="B2072" s="107" t="s">
        <v>2266</v>
      </c>
    </row>
    <row r="2073" spans="1:2">
      <c r="A2073" s="107">
        <v>8132488</v>
      </c>
      <c r="B2073" s="107" t="s">
        <v>2267</v>
      </c>
    </row>
    <row r="2074" spans="1:2">
      <c r="A2074" s="107">
        <v>8132489</v>
      </c>
      <c r="B2074" s="107" t="s">
        <v>2268</v>
      </c>
    </row>
    <row r="2075" spans="1:2">
      <c r="A2075" s="107">
        <v>8132490</v>
      </c>
      <c r="B2075" s="107" t="s">
        <v>2269</v>
      </c>
    </row>
    <row r="2076" spans="1:2">
      <c r="A2076" s="107">
        <v>8132491</v>
      </c>
      <c r="B2076" s="107" t="s">
        <v>2270</v>
      </c>
    </row>
    <row r="2077" spans="1:2">
      <c r="A2077" s="107">
        <v>8132492</v>
      </c>
      <c r="B2077" s="107" t="s">
        <v>2271</v>
      </c>
    </row>
    <row r="2078" spans="1:2">
      <c r="A2078" s="107">
        <v>8132493</v>
      </c>
      <c r="B2078" s="107" t="s">
        <v>2272</v>
      </c>
    </row>
    <row r="2079" spans="1:2">
      <c r="A2079" s="107">
        <v>8132494</v>
      </c>
      <c r="B2079" s="107" t="s">
        <v>2273</v>
      </c>
    </row>
    <row r="2080" spans="1:2">
      <c r="A2080" s="107">
        <v>8132495</v>
      </c>
      <c r="B2080" s="107" t="s">
        <v>2274</v>
      </c>
    </row>
    <row r="2081" spans="1:2">
      <c r="A2081" s="107">
        <v>8132496</v>
      </c>
      <c r="B2081" s="107" t="s">
        <v>2275</v>
      </c>
    </row>
    <row r="2082" spans="1:2">
      <c r="A2082" s="107">
        <v>8132497</v>
      </c>
      <c r="B2082" s="107" t="s">
        <v>2276</v>
      </c>
    </row>
    <row r="2083" spans="1:2">
      <c r="A2083" s="107">
        <v>8132498</v>
      </c>
      <c r="B2083" s="107" t="s">
        <v>2277</v>
      </c>
    </row>
    <row r="2084" spans="1:2">
      <c r="A2084" s="107">
        <v>8132499</v>
      </c>
      <c r="B2084" s="107" t="s">
        <v>2278</v>
      </c>
    </row>
    <row r="2085" spans="1:2">
      <c r="A2085" s="107">
        <v>8132500</v>
      </c>
      <c r="B2085" s="107" t="s">
        <v>2279</v>
      </c>
    </row>
    <row r="2086" spans="1:2">
      <c r="A2086" s="107">
        <v>8132501</v>
      </c>
      <c r="B2086" s="107" t="s">
        <v>2280</v>
      </c>
    </row>
    <row r="2087" spans="1:2">
      <c r="A2087" s="107">
        <v>8132502</v>
      </c>
      <c r="B2087" s="107" t="s">
        <v>2281</v>
      </c>
    </row>
    <row r="2088" spans="1:2">
      <c r="A2088" s="107">
        <v>8132503</v>
      </c>
      <c r="B2088" s="107" t="s">
        <v>2282</v>
      </c>
    </row>
    <row r="2089" spans="1:2">
      <c r="A2089" s="107">
        <v>8132504</v>
      </c>
      <c r="B2089" s="107" t="s">
        <v>2283</v>
      </c>
    </row>
    <row r="2090" spans="1:2">
      <c r="A2090" s="107">
        <v>8132505</v>
      </c>
      <c r="B2090" s="107" t="s">
        <v>2284</v>
      </c>
    </row>
    <row r="2091" spans="1:2">
      <c r="A2091" s="107">
        <v>8132506</v>
      </c>
      <c r="B2091" s="107" t="s">
        <v>2285</v>
      </c>
    </row>
    <row r="2092" spans="1:2">
      <c r="A2092" s="107">
        <v>8139901</v>
      </c>
      <c r="B2092" s="107" t="s">
        <v>1959</v>
      </c>
    </row>
    <row r="2093" spans="1:2">
      <c r="A2093" s="107">
        <v>8139902</v>
      </c>
      <c r="B2093" s="107" t="s">
        <v>1960</v>
      </c>
    </row>
    <row r="2094" spans="1:2">
      <c r="A2094" s="107">
        <v>8150001</v>
      </c>
      <c r="B2094" s="107" t="s">
        <v>1961</v>
      </c>
    </row>
    <row r="2095" spans="1:2">
      <c r="A2095" s="107">
        <v>8150002</v>
      </c>
      <c r="B2095" s="107" t="s">
        <v>1962</v>
      </c>
    </row>
    <row r="2096" spans="1:2">
      <c r="A2096" s="107">
        <v>8150003</v>
      </c>
      <c r="B2096" s="107" t="s">
        <v>1963</v>
      </c>
    </row>
    <row r="2097" spans="1:2">
      <c r="A2097" s="107">
        <v>8150004</v>
      </c>
      <c r="B2097" s="107" t="s">
        <v>1964</v>
      </c>
    </row>
    <row r="2098" spans="1:2">
      <c r="A2098" s="107">
        <v>8150005</v>
      </c>
      <c r="B2098" s="107" t="s">
        <v>1965</v>
      </c>
    </row>
    <row r="2099" spans="1:2">
      <c r="A2099" s="107">
        <v>8150006</v>
      </c>
      <c r="B2099" s="107" t="s">
        <v>1966</v>
      </c>
    </row>
    <row r="2100" spans="1:2">
      <c r="A2100" s="107">
        <v>8150007</v>
      </c>
      <c r="B2100" s="107" t="s">
        <v>1967</v>
      </c>
    </row>
    <row r="2101" spans="1:2">
      <c r="A2101" s="107">
        <v>8150008</v>
      </c>
      <c r="B2101" s="107" t="s">
        <v>1968</v>
      </c>
    </row>
    <row r="2102" spans="1:2">
      <c r="A2102" s="107">
        <v>8150009</v>
      </c>
      <c r="B2102" s="107" t="s">
        <v>1969</v>
      </c>
    </row>
    <row r="2103" spans="1:2">
      <c r="A2103" s="107">
        <v>8150010</v>
      </c>
      <c r="B2103" s="107" t="s">
        <v>1970</v>
      </c>
    </row>
    <row r="2104" spans="1:2">
      <c r="A2104" s="107">
        <v>8150011</v>
      </c>
      <c r="B2104" s="107" t="s">
        <v>1971</v>
      </c>
    </row>
    <row r="2105" spans="1:2">
      <c r="A2105" s="107">
        <v>8150012</v>
      </c>
      <c r="B2105" s="107" t="s">
        <v>1972</v>
      </c>
    </row>
    <row r="2106" spans="1:2">
      <c r="A2106" s="107">
        <v>8150013</v>
      </c>
      <c r="B2106" s="107" t="s">
        <v>1973</v>
      </c>
    </row>
    <row r="2107" spans="1:2">
      <c r="A2107" s="107">
        <v>8150014</v>
      </c>
      <c r="B2107" s="107" t="s">
        <v>1974</v>
      </c>
    </row>
    <row r="2108" spans="1:2">
      <c r="A2108" s="107">
        <v>8150015</v>
      </c>
      <c r="B2108" s="107" t="s">
        <v>837</v>
      </c>
    </row>
    <row r="2109" spans="1:2">
      <c r="A2109" s="107">
        <v>8150016</v>
      </c>
      <c r="B2109" s="107" t="s">
        <v>1975</v>
      </c>
    </row>
    <row r="2110" spans="1:2">
      <c r="A2110" s="107">
        <v>8150017</v>
      </c>
      <c r="B2110" s="107" t="s">
        <v>1976</v>
      </c>
    </row>
    <row r="2111" spans="1:2">
      <c r="A2111" s="107">
        <v>8150018</v>
      </c>
      <c r="B2111" s="107" t="s">
        <v>1977</v>
      </c>
    </row>
    <row r="2112" spans="1:2">
      <c r="A2112" s="107">
        <v>8150019</v>
      </c>
      <c r="B2112" s="107" t="s">
        <v>1978</v>
      </c>
    </row>
    <row r="2113" spans="1:2">
      <c r="A2113" s="107">
        <v>8150020</v>
      </c>
      <c r="B2113" s="107" t="s">
        <v>1979</v>
      </c>
    </row>
    <row r="2114" spans="1:2">
      <c r="A2114" s="107">
        <v>8150021</v>
      </c>
      <c r="B2114" s="107" t="s">
        <v>1980</v>
      </c>
    </row>
    <row r="2115" spans="1:2">
      <c r="A2115" s="107">
        <v>8150022</v>
      </c>
      <c r="B2115" s="107" t="s">
        <v>1981</v>
      </c>
    </row>
    <row r="2116" spans="1:2">
      <c r="A2116" s="107">
        <v>8150023</v>
      </c>
      <c r="B2116" s="107" t="s">
        <v>1982</v>
      </c>
    </row>
    <row r="2117" spans="1:2">
      <c r="A2117" s="107">
        <v>8151023</v>
      </c>
      <c r="B2117" s="107" t="s">
        <v>1983</v>
      </c>
    </row>
    <row r="2118" spans="1:2">
      <c r="A2118" s="107">
        <v>8151024</v>
      </c>
      <c r="B2118" s="107" t="s">
        <v>1984</v>
      </c>
    </row>
    <row r="2119" spans="1:2">
      <c r="A2119" s="107">
        <v>8151025</v>
      </c>
      <c r="B2119" s="107" t="s">
        <v>1985</v>
      </c>
    </row>
    <row r="2120" spans="1:2">
      <c r="A2120" s="107">
        <v>8151026</v>
      </c>
      <c r="B2120" s="107" t="s">
        <v>1986</v>
      </c>
    </row>
    <row r="2121" spans="1:2">
      <c r="A2121" s="107">
        <v>8151027</v>
      </c>
      <c r="B2121" s="107" t="s">
        <v>1987</v>
      </c>
    </row>
    <row r="2122" spans="1:2">
      <c r="A2122" s="107">
        <v>8151028</v>
      </c>
      <c r="B2122" s="107" t="s">
        <v>1988</v>
      </c>
    </row>
    <row r="2123" spans="1:2">
      <c r="A2123" s="107">
        <v>8151029</v>
      </c>
      <c r="B2123" s="107" t="s">
        <v>1989</v>
      </c>
    </row>
    <row r="2124" spans="1:2">
      <c r="A2124" s="107">
        <v>8151030</v>
      </c>
      <c r="B2124" s="107" t="s">
        <v>1990</v>
      </c>
    </row>
    <row r="2125" spans="1:2">
      <c r="A2125" s="107">
        <v>8151031</v>
      </c>
      <c r="B2125" s="107" t="s">
        <v>1991</v>
      </c>
    </row>
    <row r="2126" spans="1:2">
      <c r="A2126" s="107">
        <v>8151032</v>
      </c>
      <c r="B2126" s="107" t="s">
        <v>1992</v>
      </c>
    </row>
    <row r="2127" spans="1:2">
      <c r="A2127" s="107">
        <v>8151033</v>
      </c>
      <c r="B2127" s="107" t="s">
        <v>1993</v>
      </c>
    </row>
    <row r="2128" spans="1:2">
      <c r="A2128" s="107">
        <v>8151034</v>
      </c>
      <c r="B2128" s="107" t="s">
        <v>1994</v>
      </c>
    </row>
    <row r="2129" spans="1:2">
      <c r="A2129" s="107">
        <v>8151035</v>
      </c>
      <c r="B2129" s="107" t="s">
        <v>1995</v>
      </c>
    </row>
    <row r="2130" spans="1:2">
      <c r="A2130" s="107">
        <v>8151036</v>
      </c>
      <c r="B2130" s="107" t="s">
        <v>1996</v>
      </c>
    </row>
    <row r="2131" spans="1:2">
      <c r="A2131" s="107">
        <v>8151037</v>
      </c>
      <c r="B2131" s="107" t="s">
        <v>1997</v>
      </c>
    </row>
    <row r="2132" spans="1:2">
      <c r="A2132" s="107">
        <v>8151038</v>
      </c>
      <c r="B2132" s="107" t="s">
        <v>1998</v>
      </c>
    </row>
    <row r="2133" spans="1:2">
      <c r="A2133" s="107">
        <v>8151039</v>
      </c>
      <c r="B2133" s="107" t="s">
        <v>1999</v>
      </c>
    </row>
    <row r="2134" spans="1:2">
      <c r="A2134" s="107">
        <v>8151040</v>
      </c>
      <c r="B2134" s="107" t="s">
        <v>2000</v>
      </c>
    </row>
    <row r="2135" spans="1:2">
      <c r="A2135" s="107">
        <v>8151041</v>
      </c>
      <c r="B2135" s="107" t="s">
        <v>857</v>
      </c>
    </row>
    <row r="2136" spans="1:2">
      <c r="A2136" s="107">
        <v>8151042</v>
      </c>
      <c r="B2136" s="107" t="s">
        <v>2001</v>
      </c>
    </row>
    <row r="2137" spans="1:2">
      <c r="A2137" s="107">
        <v>8151043</v>
      </c>
      <c r="B2137" s="107" t="s">
        <v>2002</v>
      </c>
    </row>
    <row r="2138" spans="1:2">
      <c r="A2138" s="107">
        <v>8151044</v>
      </c>
      <c r="B2138" s="107" t="s">
        <v>2003</v>
      </c>
    </row>
    <row r="2139" spans="1:2">
      <c r="A2139" s="107">
        <v>8151045</v>
      </c>
      <c r="B2139" s="107" t="s">
        <v>2004</v>
      </c>
    </row>
    <row r="2140" spans="1:2">
      <c r="A2140" s="107">
        <v>8151046</v>
      </c>
      <c r="B2140" s="107" t="s">
        <v>2005</v>
      </c>
    </row>
    <row r="2141" spans="1:2">
      <c r="A2141" s="107">
        <v>8151047</v>
      </c>
      <c r="B2141" s="107" t="s">
        <v>2006</v>
      </c>
    </row>
    <row r="2142" spans="1:2">
      <c r="A2142" s="107">
        <v>8151048</v>
      </c>
      <c r="B2142" s="107" t="s">
        <v>2007</v>
      </c>
    </row>
    <row r="2143" spans="1:2">
      <c r="A2143" s="107">
        <v>8151049</v>
      </c>
      <c r="B2143" s="107" t="s">
        <v>2008</v>
      </c>
    </row>
    <row r="2144" spans="1:2">
      <c r="A2144" s="107">
        <v>8151050</v>
      </c>
      <c r="B2144" s="107" t="s">
        <v>2009</v>
      </c>
    </row>
    <row r="2145" spans="1:2">
      <c r="A2145" s="107">
        <v>8151051</v>
      </c>
      <c r="B2145" s="107" t="s">
        <v>2010</v>
      </c>
    </row>
    <row r="2146" spans="1:2">
      <c r="A2146" s="107">
        <v>8151052</v>
      </c>
      <c r="B2146" s="107" t="s">
        <v>2011</v>
      </c>
    </row>
    <row r="2147" spans="1:2">
      <c r="A2147" s="107">
        <v>8151053</v>
      </c>
      <c r="B2147" s="107" t="s">
        <v>2012</v>
      </c>
    </row>
    <row r="2148" spans="1:2">
      <c r="A2148" s="107">
        <v>8151054</v>
      </c>
      <c r="B2148" s="107" t="s">
        <v>2013</v>
      </c>
    </row>
    <row r="2149" spans="1:2">
      <c r="A2149" s="107">
        <v>8151055</v>
      </c>
      <c r="B2149" s="107" t="s">
        <v>2014</v>
      </c>
    </row>
    <row r="2150" spans="1:2">
      <c r="A2150" s="107">
        <v>8151056</v>
      </c>
      <c r="B2150" s="107" t="s">
        <v>2015</v>
      </c>
    </row>
    <row r="2151" spans="1:2">
      <c r="A2151" s="107">
        <v>8151057</v>
      </c>
      <c r="B2151" s="107" t="s">
        <v>2016</v>
      </c>
    </row>
    <row r="2152" spans="1:2">
      <c r="A2152" s="107">
        <v>8151058</v>
      </c>
      <c r="B2152" s="107" t="s">
        <v>2017</v>
      </c>
    </row>
    <row r="2153" spans="1:2">
      <c r="A2153" s="107">
        <v>8151059</v>
      </c>
      <c r="B2153" s="107" t="s">
        <v>2018</v>
      </c>
    </row>
    <row r="2154" spans="1:2">
      <c r="A2154" s="107">
        <v>8151060</v>
      </c>
      <c r="B2154" s="107" t="s">
        <v>2019</v>
      </c>
    </row>
    <row r="2155" spans="1:2">
      <c r="A2155" s="107">
        <v>8151061</v>
      </c>
      <c r="B2155" s="107" t="s">
        <v>2020</v>
      </c>
    </row>
    <row r="2156" spans="1:2">
      <c r="A2156" s="107">
        <v>8151062</v>
      </c>
      <c r="B2156" s="107" t="s">
        <v>2021</v>
      </c>
    </row>
    <row r="2157" spans="1:2">
      <c r="A2157" s="107">
        <v>8151063</v>
      </c>
      <c r="B2157" s="107" t="s">
        <v>2022</v>
      </c>
    </row>
    <row r="2158" spans="1:2">
      <c r="A2158" s="107">
        <v>8151064</v>
      </c>
      <c r="B2158" s="107" t="s">
        <v>2023</v>
      </c>
    </row>
    <row r="2159" spans="1:2">
      <c r="A2159" s="107">
        <v>8151065</v>
      </c>
      <c r="B2159" s="107" t="s">
        <v>2024</v>
      </c>
    </row>
    <row r="2160" spans="1:2">
      <c r="A2160" s="107">
        <v>8151066</v>
      </c>
      <c r="B2160" s="107" t="s">
        <v>2025</v>
      </c>
    </row>
    <row r="2161" spans="1:2">
      <c r="A2161" s="107">
        <v>8151067</v>
      </c>
      <c r="B2161" s="107" t="s">
        <v>2026</v>
      </c>
    </row>
    <row r="2162" spans="1:2">
      <c r="A2162" s="107">
        <v>8151068</v>
      </c>
      <c r="B2162" s="107" t="s">
        <v>2027</v>
      </c>
    </row>
    <row r="2163" spans="1:2">
      <c r="A2163" s="107">
        <v>8151069</v>
      </c>
      <c r="B2163" s="107" t="s">
        <v>868</v>
      </c>
    </row>
    <row r="2164" spans="1:2">
      <c r="A2164" s="107">
        <v>8151070</v>
      </c>
      <c r="B2164" s="107" t="s">
        <v>2028</v>
      </c>
    </row>
    <row r="2165" spans="1:2">
      <c r="A2165" s="107">
        <v>8151071</v>
      </c>
      <c r="B2165" s="107" t="s">
        <v>2029</v>
      </c>
    </row>
    <row r="2166" spans="1:2">
      <c r="A2166" s="107">
        <v>8151072</v>
      </c>
      <c r="B2166" s="107" t="s">
        <v>2030</v>
      </c>
    </row>
    <row r="2167" spans="1:2">
      <c r="A2167" s="107">
        <v>8151073</v>
      </c>
      <c r="B2167" s="107" t="s">
        <v>2031</v>
      </c>
    </row>
    <row r="2168" spans="1:2">
      <c r="A2168" s="107">
        <v>8151074</v>
      </c>
      <c r="B2168" s="107" t="s">
        <v>2032</v>
      </c>
    </row>
    <row r="2169" spans="1:2">
      <c r="A2169" s="107">
        <v>8151075</v>
      </c>
      <c r="B2169" s="107" t="s">
        <v>2033</v>
      </c>
    </row>
    <row r="2170" spans="1:2">
      <c r="A2170" s="107">
        <v>8151076</v>
      </c>
      <c r="B2170" s="107" t="s">
        <v>2034</v>
      </c>
    </row>
    <row r="2171" spans="1:2">
      <c r="A2171" s="107">
        <v>8151077</v>
      </c>
      <c r="B2171" s="107" t="s">
        <v>2035</v>
      </c>
    </row>
    <row r="2172" spans="1:2">
      <c r="A2172" s="107">
        <v>8151078</v>
      </c>
      <c r="B2172" s="107" t="s">
        <v>2036</v>
      </c>
    </row>
    <row r="2173" spans="1:2">
      <c r="A2173" s="107">
        <v>8151079</v>
      </c>
      <c r="B2173" s="107" t="s">
        <v>2037</v>
      </c>
    </row>
    <row r="2174" spans="1:2">
      <c r="A2174" s="107">
        <v>8151080</v>
      </c>
      <c r="B2174" s="107" t="s">
        <v>2099</v>
      </c>
    </row>
    <row r="2175" spans="1:2">
      <c r="A2175" s="107">
        <v>8151081</v>
      </c>
      <c r="B2175" s="107" t="s">
        <v>2105</v>
      </c>
    </row>
    <row r="2176" spans="1:2">
      <c r="A2176" s="107">
        <v>8151082</v>
      </c>
      <c r="B2176" s="107" t="s">
        <v>2286</v>
      </c>
    </row>
    <row r="2177" spans="1:2">
      <c r="A2177" s="107">
        <v>8151083</v>
      </c>
      <c r="B2177" s="107" t="s">
        <v>2287</v>
      </c>
    </row>
    <row r="2178" spans="1:2">
      <c r="A2178" s="107">
        <v>8151084</v>
      </c>
      <c r="B2178" s="107" t="s">
        <v>2288</v>
      </c>
    </row>
    <row r="2179" spans="1:2">
      <c r="A2179" s="107">
        <v>8151085</v>
      </c>
      <c r="B2179" s="107" t="s">
        <v>2289</v>
      </c>
    </row>
    <row r="2180" spans="1:2">
      <c r="A2180" s="107">
        <v>8151086</v>
      </c>
      <c r="B2180" s="107" t="s">
        <v>2290</v>
      </c>
    </row>
    <row r="2181" spans="1:2">
      <c r="A2181" s="107">
        <v>8151087</v>
      </c>
      <c r="B2181" s="107" t="s">
        <v>2291</v>
      </c>
    </row>
    <row r="2182" spans="1:2">
      <c r="A2182" s="107">
        <v>8151088</v>
      </c>
      <c r="B2182" s="107" t="s">
        <v>2292</v>
      </c>
    </row>
    <row r="2183" spans="1:2">
      <c r="A2183" s="107">
        <v>8151999</v>
      </c>
      <c r="B2183" s="107" t="s">
        <v>2038</v>
      </c>
    </row>
    <row r="2184" spans="1:2">
      <c r="A2184" s="107">
        <v>8170001</v>
      </c>
      <c r="B2184" s="107" t="s">
        <v>2039</v>
      </c>
    </row>
    <row r="2185" spans="1:2">
      <c r="A2185" s="107">
        <v>8170002</v>
      </c>
      <c r="B2185" s="107" t="s">
        <v>2040</v>
      </c>
    </row>
    <row r="2186" spans="1:2">
      <c r="A2186" s="107">
        <v>8170003</v>
      </c>
      <c r="B2186" s="107" t="s">
        <v>2041</v>
      </c>
    </row>
    <row r="2187" spans="1:2">
      <c r="A2187" s="107">
        <v>8170004</v>
      </c>
      <c r="B2187" s="107" t="s">
        <v>2042</v>
      </c>
    </row>
    <row r="2188" spans="1:2">
      <c r="A2188" s="107">
        <v>8170005</v>
      </c>
      <c r="B2188" s="107" t="s">
        <v>2043</v>
      </c>
    </row>
    <row r="2189" spans="1:2">
      <c r="A2189" s="107">
        <v>8170006</v>
      </c>
      <c r="B2189" s="107" t="s">
        <v>1799</v>
      </c>
    </row>
    <row r="2190" spans="1:2">
      <c r="A2190" s="107">
        <v>8170007</v>
      </c>
      <c r="B2190" s="107" t="s">
        <v>2044</v>
      </c>
    </row>
    <row r="2191" spans="1:2">
      <c r="A2191" s="107">
        <v>8170008</v>
      </c>
      <c r="B2191" s="107" t="s">
        <v>2045</v>
      </c>
    </row>
    <row r="2192" spans="1:2">
      <c r="A2192" s="107">
        <v>8170009</v>
      </c>
      <c r="B2192" s="107" t="s">
        <v>2046</v>
      </c>
    </row>
    <row r="2193" spans="1:2">
      <c r="A2193" s="107">
        <v>8170010</v>
      </c>
      <c r="B2193" s="107" t="s">
        <v>2047</v>
      </c>
    </row>
    <row r="2194" spans="1:2">
      <c r="A2194" s="107">
        <v>8170011</v>
      </c>
      <c r="B2194" s="107" t="s">
        <v>2048</v>
      </c>
    </row>
    <row r="2195" spans="1:2">
      <c r="A2195" s="107">
        <v>8170012</v>
      </c>
      <c r="B2195" s="107" t="s">
        <v>2049</v>
      </c>
    </row>
    <row r="2196" spans="1:2">
      <c r="A2196" s="107">
        <v>8170013</v>
      </c>
      <c r="B2196" s="107" t="s">
        <v>2050</v>
      </c>
    </row>
    <row r="2197" spans="1:2">
      <c r="A2197" s="107">
        <v>8170014</v>
      </c>
      <c r="B2197" s="107" t="s">
        <v>2051</v>
      </c>
    </row>
    <row r="2198" spans="1:2">
      <c r="A2198" s="107">
        <v>8170015</v>
      </c>
      <c r="B2198" s="107" t="s">
        <v>2052</v>
      </c>
    </row>
    <row r="2199" spans="1:2">
      <c r="A2199" s="107">
        <v>8170016</v>
      </c>
      <c r="B2199" s="107" t="s">
        <v>1231</v>
      </c>
    </row>
    <row r="2200" spans="1:2">
      <c r="A2200" s="107">
        <v>8170017</v>
      </c>
      <c r="B2200" s="107" t="s">
        <v>2053</v>
      </c>
    </row>
    <row r="2201" spans="1:2">
      <c r="A2201" s="107">
        <v>8170018</v>
      </c>
      <c r="B2201" s="107" t="s">
        <v>2054</v>
      </c>
    </row>
    <row r="2202" spans="1:2">
      <c r="A2202" s="107">
        <v>8170019</v>
      </c>
      <c r="B2202" s="107" t="s">
        <v>2055</v>
      </c>
    </row>
    <row r="2203" spans="1:2">
      <c r="A2203" s="107">
        <v>8170020</v>
      </c>
      <c r="B2203" s="107" t="s">
        <v>880</v>
      </c>
    </row>
    <row r="2204" spans="1:2">
      <c r="A2204" s="107">
        <v>8170021</v>
      </c>
      <c r="B2204" s="107" t="s">
        <v>2056</v>
      </c>
    </row>
    <row r="2205" spans="1:2">
      <c r="A2205" s="107">
        <v>8170022</v>
      </c>
      <c r="B2205" s="107" t="s">
        <v>886</v>
      </c>
    </row>
    <row r="2206" spans="1:2">
      <c r="A2206" s="107">
        <v>8170023</v>
      </c>
      <c r="B2206" s="107" t="s">
        <v>2057</v>
      </c>
    </row>
    <row r="2207" spans="1:2">
      <c r="A2207" s="107">
        <v>8170024</v>
      </c>
      <c r="B2207" s="107" t="s">
        <v>2058</v>
      </c>
    </row>
    <row r="2208" spans="1:2">
      <c r="A2208" s="107">
        <v>8170025</v>
      </c>
      <c r="B2208" s="107" t="s">
        <v>2059</v>
      </c>
    </row>
    <row r="2209" spans="1:2">
      <c r="A2209" s="107">
        <v>8170026</v>
      </c>
      <c r="B2209" s="107" t="s">
        <v>2060</v>
      </c>
    </row>
    <row r="2210" spans="1:2">
      <c r="A2210" s="107">
        <v>8170027</v>
      </c>
      <c r="B2210" s="107" t="s">
        <v>2061</v>
      </c>
    </row>
    <row r="2211" spans="1:2">
      <c r="A2211" s="107">
        <v>8170028</v>
      </c>
      <c r="B2211" s="107" t="s">
        <v>2062</v>
      </c>
    </row>
    <row r="2212" spans="1:2">
      <c r="A2212" s="107">
        <v>8170029</v>
      </c>
      <c r="B2212" s="107" t="s">
        <v>2063</v>
      </c>
    </row>
    <row r="2213" spans="1:2">
      <c r="A2213" s="107">
        <v>8170030</v>
      </c>
      <c r="B2213" s="107" t="s">
        <v>2064</v>
      </c>
    </row>
    <row r="2214" spans="1:2">
      <c r="A2214" s="107">
        <v>8170031</v>
      </c>
      <c r="B2214" s="107" t="s">
        <v>2065</v>
      </c>
    </row>
    <row r="2215" spans="1:2">
      <c r="A2215" s="107">
        <v>8170032</v>
      </c>
      <c r="B2215" s="107" t="s">
        <v>2066</v>
      </c>
    </row>
    <row r="2216" spans="1:2">
      <c r="A2216" s="107">
        <v>8170033</v>
      </c>
      <c r="B2216" s="107" t="s">
        <v>1509</v>
      </c>
    </row>
    <row r="2217" spans="1:2">
      <c r="A2217" s="107">
        <v>8170034</v>
      </c>
      <c r="B2217" s="107" t="s">
        <v>1510</v>
      </c>
    </row>
    <row r="2218" spans="1:2">
      <c r="A2218" s="107">
        <v>8170035</v>
      </c>
      <c r="B2218" s="107" t="s">
        <v>2067</v>
      </c>
    </row>
    <row r="2219" spans="1:2">
      <c r="A2219" s="107">
        <v>8170036</v>
      </c>
      <c r="B2219" s="107" t="s">
        <v>2068</v>
      </c>
    </row>
    <row r="2220" spans="1:2">
      <c r="A2220" s="107">
        <v>8170037</v>
      </c>
      <c r="B2220" s="107" t="s">
        <v>2069</v>
      </c>
    </row>
    <row r="2221" spans="1:2">
      <c r="A2221" s="107">
        <v>8170038</v>
      </c>
      <c r="B2221" s="107" t="s">
        <v>2070</v>
      </c>
    </row>
    <row r="2222" spans="1:2">
      <c r="A2222" s="107">
        <v>8170039</v>
      </c>
      <c r="B2222" s="107" t="s">
        <v>2071</v>
      </c>
    </row>
    <row r="2223" spans="1:2">
      <c r="A2223" s="107">
        <v>8170040</v>
      </c>
      <c r="B2223" s="107" t="s">
        <v>2072</v>
      </c>
    </row>
    <row r="2224" spans="1:2">
      <c r="A2224" s="107">
        <v>8180001</v>
      </c>
      <c r="B2224" s="107" t="s">
        <v>2073</v>
      </c>
    </row>
    <row r="2225" spans="1:2">
      <c r="A2225" s="107">
        <v>8180002</v>
      </c>
      <c r="B2225" s="107" t="s">
        <v>2074</v>
      </c>
    </row>
    <row r="2226" spans="1:2">
      <c r="A2226" s="107">
        <v>8180007</v>
      </c>
      <c r="B2226" s="107" t="s">
        <v>2075</v>
      </c>
    </row>
    <row r="2227" spans="1:2">
      <c r="A2227" s="107">
        <v>8180008</v>
      </c>
      <c r="B2227" s="107" t="s">
        <v>2076</v>
      </c>
    </row>
    <row r="2228" spans="1:2">
      <c r="A2228" s="107">
        <v>8180009</v>
      </c>
      <c r="B2228" s="107" t="s">
        <v>2077</v>
      </c>
    </row>
    <row r="2229" spans="1:2">
      <c r="A2229" s="107">
        <v>8180010</v>
      </c>
      <c r="B2229" s="107" t="s">
        <v>2078</v>
      </c>
    </row>
    <row r="2230" spans="1:2">
      <c r="A2230" s="107">
        <v>8180011</v>
      </c>
      <c r="B2230" s="107" t="s">
        <v>1693</v>
      </c>
    </row>
    <row r="2231" spans="1:2">
      <c r="A2231" s="107">
        <v>8180014</v>
      </c>
      <c r="B2231" s="107" t="s">
        <v>2079</v>
      </c>
    </row>
    <row r="2232" spans="1:2">
      <c r="A2232" s="107">
        <v>8180015</v>
      </c>
      <c r="B2232" s="107" t="s">
        <v>2080</v>
      </c>
    </row>
    <row r="2233" spans="1:2">
      <c r="A2233" s="107">
        <v>8180016</v>
      </c>
      <c r="B2233" s="107" t="s">
        <v>2081</v>
      </c>
    </row>
    <row r="2234" spans="1:2">
      <c r="A2234" s="107">
        <v>8180018</v>
      </c>
      <c r="B2234" s="107" t="s">
        <v>2082</v>
      </c>
    </row>
    <row r="2235" spans="1:2">
      <c r="A2235" s="107">
        <v>8180019</v>
      </c>
      <c r="B2235" s="107" t="s">
        <v>2083</v>
      </c>
    </row>
    <row r="2236" spans="1:2">
      <c r="A2236" s="107">
        <v>8180020</v>
      </c>
      <c r="B2236" s="107" t="s">
        <v>2084</v>
      </c>
    </row>
    <row r="2237" spans="1:2">
      <c r="A2237" s="107">
        <v>8180021</v>
      </c>
      <c r="B2237" s="107" t="s">
        <v>2085</v>
      </c>
    </row>
    <row r="2238" spans="1:2">
      <c r="A2238" s="107">
        <v>8180022</v>
      </c>
      <c r="B2238" s="107" t="s">
        <v>2086</v>
      </c>
    </row>
    <row r="2239" spans="1:2">
      <c r="A2239" s="107">
        <v>8180023</v>
      </c>
      <c r="B2239" s="107" t="s">
        <v>2087</v>
      </c>
    </row>
    <row r="2240" spans="1:2">
      <c r="A2240" s="107">
        <v>8180024</v>
      </c>
      <c r="B2240" s="107" t="s">
        <v>2088</v>
      </c>
    </row>
    <row r="2241" spans="1:2">
      <c r="A2241" s="107">
        <v>8180025</v>
      </c>
      <c r="B2241" s="107" t="s">
        <v>2089</v>
      </c>
    </row>
    <row r="2242" spans="1:2">
      <c r="A2242" s="107">
        <v>8199999</v>
      </c>
      <c r="B2242" s="107" t="s">
        <v>2090</v>
      </c>
    </row>
    <row r="2243" spans="1:2">
      <c r="A2243" s="107">
        <v>9999999</v>
      </c>
      <c r="B2243" s="107" t="s">
        <v>2090</v>
      </c>
    </row>
    <row r="2244" spans="1:2">
      <c r="A2244" s="107">
        <v>81322369</v>
      </c>
      <c r="B2244" s="107" t="s">
        <v>2091</v>
      </c>
    </row>
  </sheetData>
  <sortState xmlns:xlrd2="http://schemas.microsoft.com/office/spreadsheetml/2017/richdata2" ref="H3:R8">
    <sortCondition ref="H3:H8"/>
    <sortCondition ref="P3:P8"/>
  </sortState>
  <phoneticPr fontId="22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4:AE6"/>
  <sheetViews>
    <sheetView showGridLines="0" workbookViewId="0">
      <selection activeCell="N20" sqref="N20"/>
    </sheetView>
  </sheetViews>
  <sheetFormatPr defaultColWidth="9" defaultRowHeight="14.5"/>
  <cols>
    <col min="1" max="1" width="17.36328125" style="107" bestFit="1" customWidth="1"/>
    <col min="2" max="2" width="4.6328125" style="107" bestFit="1" customWidth="1"/>
    <col min="3" max="3" width="5.90625" style="107" bestFit="1" customWidth="1"/>
    <col min="4" max="4" width="7.453125" style="107" bestFit="1" customWidth="1"/>
    <col min="5" max="7" width="9" style="107"/>
    <col min="8" max="9" width="4.6328125" style="107" bestFit="1" customWidth="1"/>
    <col min="10" max="16384" width="9" style="107"/>
  </cols>
  <sheetData>
    <row r="4" spans="1:31">
      <c r="A4" s="2" t="s">
        <v>4</v>
      </c>
      <c r="B4" s="212"/>
      <c r="C4" s="215"/>
      <c r="D4" s="216"/>
    </row>
    <row r="6" spans="1:31">
      <c r="A6" s="1" t="s">
        <v>24</v>
      </c>
      <c r="B6" s="1" t="s">
        <v>25</v>
      </c>
      <c r="C6" s="1" t="s">
        <v>26</v>
      </c>
      <c r="D6" s="1" t="s">
        <v>27</v>
      </c>
      <c r="E6" s="1" t="s">
        <v>28</v>
      </c>
      <c r="F6" s="1" t="s">
        <v>29</v>
      </c>
      <c r="G6" s="1" t="s">
        <v>30</v>
      </c>
      <c r="H6" s="1" t="s">
        <v>31</v>
      </c>
      <c r="I6" s="1" t="s">
        <v>32</v>
      </c>
      <c r="J6" s="1" t="s">
        <v>33</v>
      </c>
      <c r="K6" s="1" t="s">
        <v>34</v>
      </c>
      <c r="L6" s="3" t="s">
        <v>10</v>
      </c>
      <c r="M6" s="3" t="s">
        <v>35</v>
      </c>
      <c r="N6" s="1" t="s">
        <v>36</v>
      </c>
      <c r="O6" s="1" t="s">
        <v>37</v>
      </c>
      <c r="P6" s="4" t="s">
        <v>38</v>
      </c>
      <c r="Q6" s="5" t="s">
        <v>39</v>
      </c>
      <c r="R6" s="5" t="s">
        <v>40</v>
      </c>
      <c r="S6" s="5" t="s">
        <v>41</v>
      </c>
      <c r="T6" s="1" t="s">
        <v>42</v>
      </c>
      <c r="U6" s="6" t="s">
        <v>43</v>
      </c>
      <c r="V6" s="1" t="s">
        <v>44</v>
      </c>
      <c r="W6" s="1" t="s">
        <v>45</v>
      </c>
      <c r="X6" s="6" t="s">
        <v>11</v>
      </c>
      <c r="Y6" s="6" t="s">
        <v>46</v>
      </c>
      <c r="Z6" s="1" t="s">
        <v>47</v>
      </c>
      <c r="AA6" s="1" t="s">
        <v>48</v>
      </c>
      <c r="AB6" s="1" t="s">
        <v>49</v>
      </c>
      <c r="AC6" s="1" t="s">
        <v>50</v>
      </c>
      <c r="AD6" s="1" t="s">
        <v>51</v>
      </c>
      <c r="AE6" s="1" t="s">
        <v>52</v>
      </c>
    </row>
  </sheetData>
  <mergeCells count="1">
    <mergeCell ref="B4:D4"/>
  </mergeCells>
  <phoneticPr fontId="22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xInquiry">
                <anchor moveWithCells="1" sizeWithCells="1">
                  <from>
                    <xdr:col>9</xdr:col>
                    <xdr:colOff>0</xdr:colOff>
                    <xdr:row>1</xdr:row>
                    <xdr:rowOff>120650</xdr:rowOff>
                  </from>
                  <to>
                    <xdr:col>10</xdr:col>
                    <xdr:colOff>254000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Delete">
                <anchor moveWithCells="1" sizeWithCells="1">
                  <from>
                    <xdr:col>11</xdr:col>
                    <xdr:colOff>254000</xdr:colOff>
                    <xdr:row>1</xdr:row>
                    <xdr:rowOff>139700</xdr:rowOff>
                  </from>
                  <to>
                    <xdr:col>12</xdr:col>
                    <xdr:colOff>539750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5:D26"/>
  <sheetViews>
    <sheetView showGridLines="0" workbookViewId="0">
      <pane ySplit="5" topLeftCell="A6" activePane="bottomLeft" state="frozen"/>
      <selection pane="bottomLeft" activeCell="E18" sqref="E18"/>
    </sheetView>
  </sheetViews>
  <sheetFormatPr defaultColWidth="9" defaultRowHeight="14.5"/>
  <cols>
    <col min="1" max="1" width="12.6328125" style="107" bestFit="1" customWidth="1"/>
    <col min="2" max="3" width="9" style="107"/>
    <col min="4" max="4" width="24.08984375" style="107" customWidth="1"/>
    <col min="5" max="16384" width="9" style="107"/>
  </cols>
  <sheetData>
    <row r="5" spans="1:4" ht="15">
      <c r="A5" s="112" t="s">
        <v>163</v>
      </c>
      <c r="B5" s="173" t="s">
        <v>165</v>
      </c>
      <c r="C5" s="173" t="s">
        <v>166</v>
      </c>
      <c r="D5" s="112" t="s">
        <v>164</v>
      </c>
    </row>
    <row r="6" spans="1:4">
      <c r="A6" s="170">
        <v>8132252</v>
      </c>
      <c r="B6" s="170"/>
      <c r="C6" s="170" t="s">
        <v>168</v>
      </c>
      <c r="D6" s="174"/>
    </row>
    <row r="7" spans="1:4">
      <c r="A7" s="171">
        <v>6110048</v>
      </c>
      <c r="B7" s="171" t="s">
        <v>167</v>
      </c>
      <c r="C7" s="171"/>
      <c r="D7" s="175"/>
    </row>
    <row r="8" spans="1:4">
      <c r="A8" s="171"/>
      <c r="B8" s="171"/>
      <c r="C8" s="171"/>
      <c r="D8" s="175"/>
    </row>
    <row r="9" spans="1:4">
      <c r="A9" s="171"/>
      <c r="B9" s="171"/>
      <c r="C9" s="171"/>
      <c r="D9" s="175"/>
    </row>
    <row r="10" spans="1:4">
      <c r="A10" s="171"/>
      <c r="B10" s="171"/>
      <c r="C10" s="171"/>
      <c r="D10" s="175"/>
    </row>
    <row r="11" spans="1:4">
      <c r="A11" s="171"/>
      <c r="B11" s="171"/>
      <c r="C11" s="171"/>
      <c r="D11" s="175"/>
    </row>
    <row r="12" spans="1:4">
      <c r="A12" s="171"/>
      <c r="B12" s="171"/>
      <c r="C12" s="171"/>
      <c r="D12" s="175"/>
    </row>
    <row r="13" spans="1:4">
      <c r="A13" s="171"/>
      <c r="B13" s="171"/>
      <c r="C13" s="171"/>
      <c r="D13" s="175"/>
    </row>
    <row r="14" spans="1:4">
      <c r="A14" s="171"/>
      <c r="B14" s="171"/>
      <c r="C14" s="171"/>
      <c r="D14" s="175"/>
    </row>
    <row r="15" spans="1:4">
      <c r="A15" s="171"/>
      <c r="B15" s="171"/>
      <c r="C15" s="171"/>
      <c r="D15" s="175"/>
    </row>
    <row r="16" spans="1:4">
      <c r="A16" s="171"/>
      <c r="B16" s="171"/>
      <c r="C16" s="171"/>
      <c r="D16" s="175"/>
    </row>
    <row r="17" spans="1:4">
      <c r="A17" s="171"/>
      <c r="B17" s="171"/>
      <c r="C17" s="171"/>
      <c r="D17" s="175"/>
    </row>
    <row r="18" spans="1:4">
      <c r="A18" s="171"/>
      <c r="B18" s="171"/>
      <c r="C18" s="171"/>
      <c r="D18" s="175"/>
    </row>
    <row r="19" spans="1:4">
      <c r="A19" s="171"/>
      <c r="B19" s="171"/>
      <c r="C19" s="171"/>
      <c r="D19" s="175"/>
    </row>
    <row r="20" spans="1:4">
      <c r="A20" s="171"/>
      <c r="B20" s="171"/>
      <c r="C20" s="171"/>
      <c r="D20" s="175"/>
    </row>
    <row r="21" spans="1:4">
      <c r="A21" s="171"/>
      <c r="B21" s="171"/>
      <c r="C21" s="171"/>
      <c r="D21" s="175"/>
    </row>
    <row r="22" spans="1:4">
      <c r="A22" s="171"/>
      <c r="B22" s="171"/>
      <c r="C22" s="171"/>
      <c r="D22" s="175"/>
    </row>
    <row r="23" spans="1:4">
      <c r="A23" s="171"/>
      <c r="B23" s="171"/>
      <c r="C23" s="171"/>
      <c r="D23" s="175"/>
    </row>
    <row r="24" spans="1:4">
      <c r="A24" s="171"/>
      <c r="B24" s="171"/>
      <c r="C24" s="171"/>
      <c r="D24" s="175"/>
    </row>
    <row r="25" spans="1:4">
      <c r="A25" s="171"/>
      <c r="B25" s="171"/>
      <c r="C25" s="171"/>
      <c r="D25" s="175"/>
    </row>
    <row r="26" spans="1:4">
      <c r="A26" s="172"/>
      <c r="B26" s="172"/>
      <c r="C26" s="172"/>
      <c r="D26" s="176"/>
    </row>
  </sheetData>
  <phoneticPr fontId="224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validVendorUpload">
                <anchor moveWithCells="1">
                  <from>
                    <xdr:col>0</xdr:col>
                    <xdr:colOff>260350</xdr:colOff>
                    <xdr:row>1</xdr:row>
                    <xdr:rowOff>44450</xdr:rowOff>
                  </from>
                  <to>
                    <xdr:col>0</xdr:col>
                    <xdr:colOff>869950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validVendorInquiry">
                <anchor moveWithCells="1">
                  <from>
                    <xdr:col>1</xdr:col>
                    <xdr:colOff>425450</xdr:colOff>
                    <xdr:row>1</xdr:row>
                    <xdr:rowOff>63500</xdr:rowOff>
                  </from>
                  <to>
                    <xdr:col>2</xdr:col>
                    <xdr:colOff>387350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23"/>
  <sheetViews>
    <sheetView showGridLines="0" workbookViewId="0">
      <selection activeCell="M5" sqref="M5"/>
    </sheetView>
  </sheetViews>
  <sheetFormatPr defaultColWidth="9" defaultRowHeight="14.5"/>
  <cols>
    <col min="1" max="1" width="10.36328125" style="116" bestFit="1" customWidth="1"/>
    <col min="2" max="2" width="9.6328125" style="116" customWidth="1"/>
    <col min="3" max="3" width="35.453125" style="116" customWidth="1"/>
    <col min="4" max="4" width="6.36328125" style="116" customWidth="1"/>
    <col min="5" max="5" width="9" style="116"/>
    <col min="6" max="12" width="10.453125" style="116" customWidth="1"/>
    <col min="13" max="13" width="13.90625" style="116" customWidth="1"/>
    <col min="14" max="16384" width="9" style="116"/>
  </cols>
  <sheetData>
    <row r="1" spans="1:13" ht="15.5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</row>
    <row r="2" spans="1:13" ht="15.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</row>
    <row r="3" spans="1:13" ht="21.5" thickBot="1">
      <c r="A3" s="218" t="s">
        <v>126</v>
      </c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</row>
    <row r="4" spans="1:13" ht="15" customHeight="1">
      <c r="A4" s="117" t="s">
        <v>56</v>
      </c>
      <c r="B4" s="118"/>
      <c r="C4" s="119"/>
      <c r="D4" s="119"/>
      <c r="E4" s="120"/>
      <c r="F4" s="121" t="s">
        <v>57</v>
      </c>
      <c r="G4" s="118"/>
      <c r="H4" s="118"/>
      <c r="I4" s="120"/>
      <c r="J4" s="122" t="s">
        <v>58</v>
      </c>
      <c r="K4" s="123"/>
      <c r="L4" s="124"/>
      <c r="M4" s="125" t="s">
        <v>129</v>
      </c>
    </row>
    <row r="5" spans="1:13" ht="15" customHeight="1" thickBot="1">
      <c r="A5" s="126" t="s">
        <v>60</v>
      </c>
      <c r="B5" s="127"/>
      <c r="C5" s="128"/>
      <c r="D5" s="128"/>
      <c r="E5" s="129"/>
      <c r="F5" s="130" t="s">
        <v>61</v>
      </c>
      <c r="G5" s="131"/>
      <c r="H5" s="131"/>
      <c r="I5" s="132"/>
      <c r="J5" s="133" t="s">
        <v>98</v>
      </c>
      <c r="K5" s="134"/>
      <c r="L5" s="135"/>
      <c r="M5" s="136" t="s">
        <v>99</v>
      </c>
    </row>
    <row r="6" spans="1:13" ht="15" customHeight="1" thickTop="1" thickBot="1">
      <c r="A6" s="137" t="s">
        <v>67</v>
      </c>
      <c r="B6" s="137" t="s">
        <v>68</v>
      </c>
      <c r="C6" s="137" t="s">
        <v>69</v>
      </c>
      <c r="D6" s="137" t="s">
        <v>100</v>
      </c>
      <c r="E6" s="138" t="s">
        <v>101</v>
      </c>
      <c r="F6" s="139"/>
      <c r="G6" s="139" t="s">
        <v>102</v>
      </c>
      <c r="H6" s="139"/>
      <c r="I6" s="139" t="s">
        <v>102</v>
      </c>
      <c r="J6" s="139"/>
      <c r="K6" s="140" t="s">
        <v>102</v>
      </c>
      <c r="L6" s="141" t="s">
        <v>103</v>
      </c>
      <c r="M6" s="142" t="s">
        <v>102</v>
      </c>
    </row>
    <row r="7" spans="1:13" ht="15" customHeight="1" thickTop="1">
      <c r="A7" s="143"/>
      <c r="B7" s="144"/>
      <c r="C7" s="145"/>
      <c r="D7" s="145"/>
      <c r="E7" s="146"/>
      <c r="F7" s="147"/>
      <c r="G7" s="148"/>
      <c r="H7" s="149"/>
      <c r="I7" s="133"/>
      <c r="J7" s="149"/>
      <c r="K7" s="150"/>
      <c r="L7" s="151"/>
      <c r="M7" s="151"/>
    </row>
    <row r="8" spans="1:13" ht="15" customHeight="1">
      <c r="A8" s="143"/>
      <c r="B8" s="144"/>
      <c r="C8" s="145"/>
      <c r="D8" s="145"/>
      <c r="E8" s="146"/>
      <c r="F8" s="147"/>
      <c r="G8" s="148"/>
      <c r="H8" s="149"/>
      <c r="I8" s="133"/>
      <c r="J8" s="149"/>
      <c r="K8" s="150"/>
      <c r="L8" s="152"/>
      <c r="M8" s="152"/>
    </row>
    <row r="9" spans="1:13" ht="15" customHeight="1">
      <c r="A9" s="143"/>
      <c r="B9" s="144"/>
      <c r="C9" s="145"/>
      <c r="D9" s="145"/>
      <c r="E9" s="146"/>
      <c r="F9" s="147"/>
      <c r="G9" s="148"/>
      <c r="H9" s="149"/>
      <c r="I9" s="133"/>
      <c r="J9" s="149"/>
      <c r="K9" s="150"/>
      <c r="L9" s="152"/>
      <c r="M9" s="152"/>
    </row>
    <row r="10" spans="1:13" ht="15" customHeight="1">
      <c r="A10" s="143"/>
      <c r="B10" s="152"/>
      <c r="C10" s="145"/>
      <c r="D10" s="145"/>
      <c r="E10" s="146"/>
      <c r="F10" s="147"/>
      <c r="G10" s="148"/>
      <c r="H10" s="149"/>
      <c r="I10" s="133"/>
      <c r="J10" s="149"/>
      <c r="K10" s="150"/>
      <c r="L10" s="152"/>
      <c r="M10" s="152"/>
    </row>
    <row r="11" spans="1:13" ht="15" customHeight="1">
      <c r="A11" s="143"/>
      <c r="B11" s="152"/>
      <c r="C11" s="145"/>
      <c r="D11" s="145"/>
      <c r="E11" s="146"/>
      <c r="F11" s="147"/>
      <c r="G11" s="148"/>
      <c r="H11" s="149"/>
      <c r="I11" s="133"/>
      <c r="J11" s="149"/>
      <c r="K11" s="150"/>
      <c r="L11" s="152"/>
      <c r="M11" s="152"/>
    </row>
    <row r="12" spans="1:13" ht="15" customHeight="1">
      <c r="A12" s="143"/>
      <c r="B12" s="152"/>
      <c r="C12" s="145"/>
      <c r="D12" s="145"/>
      <c r="E12" s="146"/>
      <c r="F12" s="147"/>
      <c r="G12" s="148"/>
      <c r="H12" s="147"/>
      <c r="I12" s="148"/>
      <c r="J12" s="147"/>
      <c r="K12" s="150"/>
      <c r="L12" s="152"/>
      <c r="M12" s="152"/>
    </row>
    <row r="13" spans="1:13" ht="15" customHeight="1">
      <c r="A13" s="153"/>
      <c r="B13" s="148"/>
      <c r="C13" s="145"/>
      <c r="D13" s="145"/>
      <c r="E13" s="148"/>
      <c r="F13" s="148"/>
      <c r="G13" s="148"/>
      <c r="H13" s="148"/>
      <c r="I13" s="148"/>
      <c r="J13" s="148"/>
      <c r="K13" s="150"/>
      <c r="L13" s="148"/>
      <c r="M13" s="148"/>
    </row>
    <row r="14" spans="1:13" ht="15" customHeight="1">
      <c r="A14" s="163" t="s">
        <v>127</v>
      </c>
      <c r="B14" s="164"/>
      <c r="C14" s="165"/>
      <c r="D14" s="165"/>
      <c r="E14" s="164"/>
      <c r="F14" s="164"/>
      <c r="G14" s="164"/>
      <c r="H14" s="164"/>
      <c r="I14" s="164"/>
      <c r="J14" s="164"/>
      <c r="K14" s="166" t="s">
        <v>128</v>
      </c>
      <c r="L14" s="164"/>
      <c r="M14" s="164"/>
    </row>
    <row r="15" spans="1:13" ht="15" customHeight="1">
      <c r="A15" s="154"/>
      <c r="B15" s="155"/>
      <c r="C15" s="156"/>
      <c r="D15" s="156"/>
      <c r="E15" s="155"/>
      <c r="F15" s="155"/>
      <c r="G15" s="155"/>
      <c r="H15" s="155"/>
      <c r="I15" s="155"/>
      <c r="J15" s="155"/>
      <c r="K15" s="157"/>
      <c r="L15" s="155"/>
      <c r="M15" s="155"/>
    </row>
    <row r="16" spans="1:13" ht="15" customHeight="1">
      <c r="A16" s="154"/>
      <c r="B16" s="155"/>
      <c r="C16" s="156"/>
      <c r="D16" s="156"/>
      <c r="E16" s="155"/>
      <c r="F16" s="155"/>
      <c r="G16" s="155"/>
      <c r="H16" s="155"/>
      <c r="I16" s="155"/>
      <c r="J16" s="155"/>
      <c r="K16" s="157"/>
      <c r="L16" s="155"/>
      <c r="M16" s="155"/>
    </row>
    <row r="17" spans="1:13" ht="15" customHeight="1">
      <c r="A17" s="154"/>
      <c r="B17" s="155"/>
      <c r="C17" s="156"/>
      <c r="D17" s="156"/>
      <c r="E17" s="155"/>
      <c r="F17" s="155"/>
      <c r="G17" s="155"/>
      <c r="H17" s="155"/>
      <c r="I17" s="155"/>
      <c r="J17" s="155"/>
      <c r="K17" s="157"/>
      <c r="L17" s="155"/>
      <c r="M17" s="155"/>
    </row>
    <row r="18" spans="1:13" ht="15" customHeight="1">
      <c r="A18" s="154"/>
      <c r="B18" s="155"/>
      <c r="C18" s="156"/>
      <c r="D18" s="156"/>
      <c r="E18" s="155"/>
      <c r="F18" s="155"/>
      <c r="G18" s="155"/>
      <c r="H18" s="155"/>
      <c r="I18" s="155"/>
      <c r="J18" s="155"/>
      <c r="K18" s="157"/>
      <c r="L18" s="155"/>
      <c r="M18" s="155"/>
    </row>
    <row r="20" spans="1:13" ht="24.75" customHeight="1">
      <c r="A20" s="219" t="s">
        <v>125</v>
      </c>
      <c r="B20" s="219"/>
      <c r="C20" s="158"/>
      <c r="D20" s="107"/>
      <c r="E20" s="107"/>
      <c r="F20" s="159" t="s">
        <v>104</v>
      </c>
      <c r="G20" s="160" t="s">
        <v>105</v>
      </c>
      <c r="H20" s="161"/>
      <c r="I20" s="161"/>
      <c r="J20" s="107"/>
      <c r="K20" s="159" t="s">
        <v>106</v>
      </c>
      <c r="L20" s="161"/>
      <c r="M20" s="161"/>
    </row>
    <row r="21" spans="1:13" ht="29.25" customHeight="1">
      <c r="K21" s="159"/>
      <c r="L21" s="159"/>
      <c r="M21" s="159"/>
    </row>
    <row r="23" spans="1:13">
      <c r="A23" s="162"/>
    </row>
  </sheetData>
  <mergeCells count="4">
    <mergeCell ref="A1:M1"/>
    <mergeCell ref="A2:M2"/>
    <mergeCell ref="A3:M3"/>
    <mergeCell ref="A20:B20"/>
  </mergeCells>
  <phoneticPr fontId="22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O25"/>
  <sheetViews>
    <sheetView showGridLines="0" workbookViewId="0">
      <selection activeCell="H10" sqref="H10"/>
    </sheetView>
  </sheetViews>
  <sheetFormatPr defaultColWidth="9" defaultRowHeight="14.5"/>
  <cols>
    <col min="1" max="1" width="9.08984375" style="7" customWidth="1"/>
    <col min="2" max="2" width="14.453125" style="7" customWidth="1"/>
    <col min="3" max="3" width="26.90625" style="7" customWidth="1"/>
    <col min="4" max="5" width="9" style="7"/>
    <col min="6" max="6" width="13.453125" style="7" customWidth="1"/>
    <col min="7" max="7" width="13.453125" style="104" customWidth="1"/>
    <col min="8" max="8" width="9" style="11"/>
    <col min="9" max="10" width="9" style="7"/>
    <col min="11" max="11" width="7.453125" style="7" bestFit="1" customWidth="1"/>
    <col min="12" max="12" width="7.90625" style="82" bestFit="1" customWidth="1"/>
    <col min="13" max="13" width="9" style="81"/>
    <col min="14" max="14" width="10.08984375" style="7" customWidth="1"/>
    <col min="15" max="15" width="12" style="7" bestFit="1" customWidth="1"/>
    <col min="16" max="16384" width="9" style="7"/>
  </cols>
  <sheetData>
    <row r="1" spans="1:15" ht="15.5">
      <c r="A1" s="232" t="str">
        <f>"ECI ( "&amp;IF(B4="HZ","Hui Zhou","Thailand")&amp;" ) Co., Ltd"</f>
        <v>ECI ( Thailand ) Co., Ltd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</row>
    <row r="2" spans="1:15" ht="15.5">
      <c r="A2" s="233" t="str">
        <f>"盛威尔（"&amp;IF($B$4="HZ","惠州","泰国")&amp;"）电缆科技有限公司"</f>
        <v>盛威尔（泰国）电缆科技有限公司</v>
      </c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</row>
    <row r="3" spans="1:15" ht="21.5" thickBot="1">
      <c r="A3" s="234" t="s">
        <v>55</v>
      </c>
      <c r="B3" s="234"/>
      <c r="C3" s="234"/>
      <c r="D3" s="234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4"/>
    </row>
    <row r="4" spans="1:15" ht="15.75" customHeight="1">
      <c r="A4" s="22" t="s">
        <v>16</v>
      </c>
      <c r="B4" s="23"/>
      <c r="C4" s="22" t="s">
        <v>56</v>
      </c>
      <c r="D4" s="24"/>
      <c r="E4" s="25"/>
      <c r="F4" s="26" t="s">
        <v>57</v>
      </c>
      <c r="G4" s="235"/>
      <c r="H4" s="236"/>
      <c r="I4" s="236"/>
      <c r="J4" s="27" t="s">
        <v>58</v>
      </c>
      <c r="K4" s="237"/>
      <c r="L4" s="238"/>
      <c r="M4" s="238"/>
      <c r="N4" s="239"/>
      <c r="O4" s="28" t="s">
        <v>59</v>
      </c>
    </row>
    <row r="5" spans="1:15">
      <c r="A5" s="220" t="s">
        <v>60</v>
      </c>
      <c r="B5" s="221"/>
      <c r="C5" s="228"/>
      <c r="D5" s="228"/>
      <c r="E5" s="228"/>
      <c r="F5" s="29" t="s">
        <v>61</v>
      </c>
      <c r="G5" s="105"/>
      <c r="H5" s="87"/>
      <c r="I5" s="30"/>
      <c r="J5" s="31" t="s">
        <v>62</v>
      </c>
      <c r="K5" s="229"/>
      <c r="L5" s="230"/>
      <c r="M5" s="230"/>
      <c r="N5" s="231"/>
      <c r="O5" s="32" t="s">
        <v>63</v>
      </c>
    </row>
    <row r="6" spans="1:15">
      <c r="A6" s="220" t="s">
        <v>64</v>
      </c>
      <c r="B6" s="221"/>
      <c r="C6" s="222"/>
      <c r="D6" s="222"/>
      <c r="E6" s="222"/>
      <c r="F6" s="31" t="s">
        <v>65</v>
      </c>
      <c r="G6" s="223"/>
      <c r="H6" s="223"/>
      <c r="I6" s="223"/>
      <c r="J6" s="223"/>
      <c r="K6" s="224" t="s">
        <v>66</v>
      </c>
      <c r="L6" s="225"/>
      <c r="M6" s="225"/>
      <c r="N6" s="225"/>
      <c r="O6" s="226"/>
    </row>
    <row r="7" spans="1:15" ht="15" thickBot="1">
      <c r="A7" s="33" t="s">
        <v>67</v>
      </c>
      <c r="B7" s="33" t="s">
        <v>68</v>
      </c>
      <c r="C7" s="33" t="s">
        <v>69</v>
      </c>
      <c r="D7" s="33" t="s">
        <v>70</v>
      </c>
      <c r="E7" s="33" t="s">
        <v>71</v>
      </c>
      <c r="F7" s="33" t="s">
        <v>72</v>
      </c>
      <c r="G7" s="96" t="s">
        <v>73</v>
      </c>
      <c r="H7" s="88" t="s">
        <v>74</v>
      </c>
      <c r="I7" s="34" t="s">
        <v>75</v>
      </c>
      <c r="J7" s="33" t="s">
        <v>76</v>
      </c>
      <c r="K7" s="33" t="s">
        <v>77</v>
      </c>
      <c r="L7" s="35" t="s">
        <v>44</v>
      </c>
      <c r="M7" s="36" t="s">
        <v>85</v>
      </c>
      <c r="N7" s="33" t="s">
        <v>78</v>
      </c>
      <c r="O7" s="37" t="s">
        <v>79</v>
      </c>
    </row>
    <row r="8" spans="1:15" s="43" customFormat="1" ht="20.149999999999999" customHeight="1">
      <c r="A8" s="38"/>
      <c r="B8" s="39"/>
      <c r="C8" s="40"/>
      <c r="D8" s="39"/>
      <c r="E8" s="39"/>
      <c r="F8" s="39"/>
      <c r="G8" s="97"/>
      <c r="H8" s="89"/>
      <c r="I8" s="39"/>
      <c r="J8" s="39"/>
      <c r="K8" s="39"/>
      <c r="L8" s="39"/>
      <c r="M8" s="41"/>
      <c r="N8" s="39"/>
      <c r="O8" s="42"/>
    </row>
    <row r="9" spans="1:15" s="43" customFormat="1" ht="20.149999999999999" customHeight="1">
      <c r="A9" s="44"/>
      <c r="B9" s="45"/>
      <c r="C9" s="46"/>
      <c r="D9" s="45"/>
      <c r="E9" s="45"/>
      <c r="F9" s="45"/>
      <c r="G9" s="98"/>
      <c r="H9" s="90"/>
      <c r="I9" s="45"/>
      <c r="J9" s="45"/>
      <c r="K9" s="45"/>
      <c r="L9" s="45"/>
      <c r="M9" s="47"/>
      <c r="N9" s="45"/>
      <c r="O9" s="48"/>
    </row>
    <row r="10" spans="1:15" s="43" customFormat="1" ht="20.149999999999999" customHeight="1">
      <c r="A10" s="44"/>
      <c r="B10" s="45"/>
      <c r="C10" s="46"/>
      <c r="D10" s="45"/>
      <c r="E10" s="45"/>
      <c r="F10" s="45"/>
      <c r="G10" s="98"/>
      <c r="H10" s="90"/>
      <c r="I10" s="45"/>
      <c r="J10" s="45"/>
      <c r="K10" s="45"/>
      <c r="L10" s="45"/>
      <c r="M10" s="47"/>
      <c r="N10" s="45"/>
      <c r="O10" s="48"/>
    </row>
    <row r="11" spans="1:15" s="43" customFormat="1" ht="20.149999999999999" customHeight="1">
      <c r="A11" s="44"/>
      <c r="B11" s="45"/>
      <c r="C11" s="46"/>
      <c r="D11" s="45"/>
      <c r="E11" s="45"/>
      <c r="F11" s="45"/>
      <c r="G11" s="98"/>
      <c r="H11" s="90"/>
      <c r="I11" s="45"/>
      <c r="J11" s="45"/>
      <c r="K11" s="45"/>
      <c r="L11" s="45"/>
      <c r="M11" s="47"/>
      <c r="N11" s="45"/>
      <c r="O11" s="48"/>
    </row>
    <row r="12" spans="1:15" s="43" customFormat="1" ht="20.149999999999999" customHeight="1">
      <c r="A12" s="44"/>
      <c r="B12" s="45"/>
      <c r="C12" s="46"/>
      <c r="D12" s="45"/>
      <c r="E12" s="45"/>
      <c r="F12" s="45"/>
      <c r="G12" s="98"/>
      <c r="H12" s="90"/>
      <c r="I12" s="45"/>
      <c r="J12" s="45"/>
      <c r="K12" s="45"/>
      <c r="L12" s="45"/>
      <c r="M12" s="47"/>
      <c r="N12" s="45"/>
      <c r="O12" s="48"/>
    </row>
    <row r="13" spans="1:15" s="43" customFormat="1" ht="20.149999999999999" customHeight="1">
      <c r="A13" s="44"/>
      <c r="B13" s="45"/>
      <c r="C13" s="46"/>
      <c r="D13" s="45"/>
      <c r="E13" s="45"/>
      <c r="F13" s="45"/>
      <c r="G13" s="98"/>
      <c r="H13" s="90"/>
      <c r="I13" s="45"/>
      <c r="J13" s="45"/>
      <c r="K13" s="45"/>
      <c r="L13" s="45"/>
      <c r="M13" s="47"/>
      <c r="N13" s="45"/>
      <c r="O13" s="48"/>
    </row>
    <row r="14" spans="1:15" s="43" customFormat="1" ht="20.149999999999999" customHeight="1">
      <c r="A14" s="44"/>
      <c r="B14" s="45"/>
      <c r="C14" s="46"/>
      <c r="D14" s="45"/>
      <c r="E14" s="45"/>
      <c r="F14" s="45"/>
      <c r="G14" s="98"/>
      <c r="H14" s="90"/>
      <c r="I14" s="45"/>
      <c r="J14" s="45"/>
      <c r="K14" s="45"/>
      <c r="L14" s="45"/>
      <c r="M14" s="47"/>
      <c r="N14" s="45"/>
      <c r="O14" s="48"/>
    </row>
    <row r="15" spans="1:15" s="43" customFormat="1" ht="20.149999999999999" customHeight="1">
      <c r="A15" s="44"/>
      <c r="B15" s="45"/>
      <c r="C15" s="46"/>
      <c r="D15" s="45"/>
      <c r="E15" s="45"/>
      <c r="F15" s="45"/>
      <c r="G15" s="98"/>
      <c r="H15" s="90"/>
      <c r="I15" s="45"/>
      <c r="J15" s="45"/>
      <c r="K15" s="45"/>
      <c r="L15" s="45"/>
      <c r="M15" s="47"/>
      <c r="N15" s="45"/>
      <c r="O15" s="48"/>
    </row>
    <row r="16" spans="1:15" s="43" customFormat="1" ht="20.149999999999999" customHeight="1">
      <c r="A16" s="44"/>
      <c r="B16" s="45"/>
      <c r="C16" s="46"/>
      <c r="D16" s="45"/>
      <c r="E16" s="45"/>
      <c r="F16" s="45"/>
      <c r="G16" s="98"/>
      <c r="H16" s="90"/>
      <c r="I16" s="45"/>
      <c r="J16" s="45"/>
      <c r="K16" s="45"/>
      <c r="L16" s="45"/>
      <c r="M16" s="47"/>
      <c r="N16" s="45"/>
      <c r="O16" s="48"/>
    </row>
    <row r="17" spans="1:15" s="43" customFormat="1" ht="20.149999999999999" customHeight="1" thickBot="1">
      <c r="A17" s="49"/>
      <c r="B17" s="50"/>
      <c r="C17" s="51"/>
      <c r="D17" s="50"/>
      <c r="E17" s="50"/>
      <c r="F17" s="50"/>
      <c r="G17" s="99"/>
      <c r="H17" s="91"/>
      <c r="I17" s="50"/>
      <c r="J17" s="50"/>
      <c r="K17" s="50"/>
      <c r="L17" s="50"/>
      <c r="M17" s="52"/>
      <c r="N17" s="50"/>
      <c r="O17" s="53"/>
    </row>
    <row r="18" spans="1:15" ht="15.5">
      <c r="A18" s="54" t="s">
        <v>80</v>
      </c>
      <c r="B18" s="55"/>
      <c r="C18" s="56"/>
      <c r="D18" s="57"/>
      <c r="E18" s="55"/>
      <c r="F18" s="59"/>
      <c r="G18" s="100"/>
      <c r="H18" s="92"/>
      <c r="I18" s="55"/>
      <c r="J18" s="55"/>
      <c r="K18" s="58"/>
      <c r="L18" s="59" t="s">
        <v>86</v>
      </c>
      <c r="M18" s="60"/>
      <c r="N18" s="61" t="s">
        <v>87</v>
      </c>
      <c r="O18" s="169"/>
    </row>
    <row r="19" spans="1:15">
      <c r="A19" s="62" t="s">
        <v>81</v>
      </c>
      <c r="B19" s="63"/>
      <c r="C19" s="64"/>
      <c r="D19" s="63"/>
      <c r="E19" s="65"/>
      <c r="F19" s="65"/>
      <c r="G19" s="101"/>
      <c r="H19" s="93"/>
      <c r="I19" s="65"/>
      <c r="J19" s="65"/>
      <c r="K19" s="66"/>
      <c r="L19" s="67"/>
      <c r="M19" s="68"/>
      <c r="N19" s="66"/>
      <c r="O19" s="66"/>
    </row>
    <row r="20" spans="1:15" ht="15" thickBot="1">
      <c r="A20" s="63"/>
      <c r="B20" s="69"/>
      <c r="C20" s="70"/>
      <c r="D20" s="63"/>
      <c r="E20" s="65"/>
      <c r="F20" s="71"/>
      <c r="G20" s="102"/>
      <c r="H20" s="94"/>
      <c r="I20" s="65"/>
      <c r="J20" s="65"/>
      <c r="K20" s="72"/>
      <c r="L20" s="73"/>
      <c r="M20" s="74"/>
      <c r="N20" s="72"/>
      <c r="O20" s="66"/>
    </row>
    <row r="21" spans="1:15">
      <c r="A21" s="75" t="s">
        <v>82</v>
      </c>
      <c r="B21" s="75"/>
      <c r="C21" s="76"/>
      <c r="D21" s="77"/>
      <c r="E21" s="77"/>
      <c r="F21" s="77"/>
      <c r="G21" s="103" t="s">
        <v>83</v>
      </c>
      <c r="H21" s="95"/>
      <c r="I21" s="78"/>
      <c r="J21" s="78"/>
      <c r="K21" s="78"/>
      <c r="L21" s="227" t="s">
        <v>84</v>
      </c>
      <c r="M21" s="227"/>
      <c r="N21" s="79"/>
      <c r="O21" s="80"/>
    </row>
    <row r="25" spans="1:15">
      <c r="L25" s="7"/>
    </row>
  </sheetData>
  <mergeCells count="13">
    <mergeCell ref="A5:B5"/>
    <mergeCell ref="C5:E5"/>
    <mergeCell ref="K5:N5"/>
    <mergeCell ref="A1:O1"/>
    <mergeCell ref="A2:O2"/>
    <mergeCell ref="A3:O3"/>
    <mergeCell ref="G4:I4"/>
    <mergeCell ref="K4:N4"/>
    <mergeCell ref="A6:B6"/>
    <mergeCell ref="C6:E6"/>
    <mergeCell ref="G6:J6"/>
    <mergeCell ref="K6:O6"/>
    <mergeCell ref="L21:M21"/>
  </mergeCells>
  <phoneticPr fontId="224" type="noConversion"/>
  <pageMargins left="0.2" right="0.17" top="0.34" bottom="0.43" header="0.31496062992125984" footer="0.17"/>
  <pageSetup paperSize="9" scale="87" fitToHeight="0" orientation="landscape" verticalDpi="0" r:id="rId1"/>
  <headerFooter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Summary</vt:lpstr>
      <vt:lpstr>PRBuyer</vt:lpstr>
      <vt:lpstr>Vendor</vt:lpstr>
      <vt:lpstr>Delete PR</vt:lpstr>
      <vt:lpstr>Invalid Vendor</vt:lpstr>
      <vt:lpstr>Price Comparison</vt:lpstr>
      <vt:lpstr>PR</vt:lpstr>
      <vt:lpstr>Buyer</vt:lpstr>
      <vt:lpstr>Currency</vt:lpstr>
      <vt:lpstr>EUR</vt:lpstr>
      <vt:lpstr>HKD</vt:lpstr>
      <vt:lpstr>KRW</vt:lpstr>
      <vt:lpstr>RMB</vt:lpstr>
      <vt:lpstr>Supplier1</vt:lpstr>
      <vt:lpstr>Supplier2</vt:lpstr>
      <vt:lpstr>Supplier3</vt:lpstr>
      <vt:lpstr>THB</vt:lpstr>
      <vt:lpstr>USD</vt:lpstr>
      <vt:lpstr>'Price Comparison'!xTotal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June FT</dc:creator>
  <cp:lastModifiedBy>Zhong, Ethan FT</cp:lastModifiedBy>
  <cp:lastPrinted>2014-12-25T03:38:46Z</cp:lastPrinted>
  <dcterms:created xsi:type="dcterms:W3CDTF">2014-01-22T05:21:03Z</dcterms:created>
  <dcterms:modified xsi:type="dcterms:W3CDTF">2025-10-29T05:40:10Z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